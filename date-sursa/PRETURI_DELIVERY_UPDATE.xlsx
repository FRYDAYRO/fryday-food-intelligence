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Valentin H\Downloads\"/>
    </mc:Choice>
  </mc:AlternateContent>
  <xr:revisionPtr revIDLastSave="0" documentId="8_{DB4D53BF-0871-445A-B259-94343B716CB7}" xr6:coauthVersionLast="47" xr6:coauthVersionMax="47" xr10:uidLastSave="{00000000-0000-0000-0000-000000000000}"/>
  <bookViews>
    <workbookView xWindow="-108" yWindow="-108" windowWidth="23256" windowHeight="12456" xr2:uid="{D0F3FB3D-541C-4C26-8EEA-01CB8940F727}"/>
  </bookViews>
  <sheets>
    <sheet name="Preturi DELIVERY RO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7" i="1" l="1"/>
  <c r="D67" i="1"/>
  <c r="B68" i="1"/>
  <c r="B69" i="1"/>
  <c r="D70" i="1"/>
  <c r="H70" i="1" s="1"/>
  <c r="D69" i="1"/>
  <c r="H69" i="1" s="1"/>
  <c r="D68" i="1"/>
  <c r="C30" i="1"/>
  <c r="C14" i="1"/>
  <c r="C17" i="1"/>
  <c r="C15" i="1"/>
  <c r="C11" i="1"/>
  <c r="C8" i="1"/>
  <c r="C10" i="1"/>
  <c r="C12" i="1"/>
  <c r="C13" i="1"/>
  <c r="C18" i="1"/>
  <c r="C7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48" i="1"/>
  <c r="C44" i="1"/>
  <c r="C43" i="1"/>
  <c r="C27" i="1"/>
  <c r="C28" i="1"/>
  <c r="C29" i="1"/>
  <c r="C31" i="1"/>
  <c r="C32" i="1"/>
  <c r="C33" i="1"/>
  <c r="C34" i="1"/>
  <c r="C35" i="1"/>
  <c r="C37" i="1"/>
  <c r="C38" i="1"/>
  <c r="C39" i="1"/>
  <c r="C40" i="1"/>
  <c r="C41" i="1"/>
  <c r="C26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7" i="1"/>
  <c r="D22" i="1"/>
</calcChain>
</file>

<file path=xl/sharedStrings.xml><?xml version="1.0" encoding="utf-8"?>
<sst xmlns="http://schemas.openxmlformats.org/spreadsheetml/2006/main" count="592" uniqueCount="174">
  <si>
    <t>Nu se schimbă</t>
  </si>
  <si>
    <t>NU</t>
  </si>
  <si>
    <t>Junior Meal 4 Nuggets</t>
  </si>
  <si>
    <t>Junior Meal Pui Burger</t>
  </si>
  <si>
    <t>Junior Meal Hamburger</t>
  </si>
  <si>
    <t>JUNIOR MEAL</t>
  </si>
  <si>
    <t>Se schimbă</t>
  </si>
  <si>
    <t>Caramel Machiato</t>
  </si>
  <si>
    <t>Vanilla Latte Grande</t>
  </si>
  <si>
    <t>Vanilla Latte</t>
  </si>
  <si>
    <t>Cioco Cappucino Grande</t>
  </si>
  <si>
    <t>Cioco Cappucino</t>
  </si>
  <si>
    <t>Caffe Latte Grande</t>
  </si>
  <si>
    <t>Caffe Latte</t>
  </si>
  <si>
    <t>Cappucino Grande</t>
  </si>
  <si>
    <t>Cappucino</t>
  </si>
  <si>
    <t>Americano Grande</t>
  </si>
  <si>
    <t>Americano</t>
  </si>
  <si>
    <t>Latte Machiato</t>
  </si>
  <si>
    <t>Espresso Grande</t>
  </si>
  <si>
    <t>Espresso</t>
  </si>
  <si>
    <t>FRYCAFE</t>
  </si>
  <si>
    <t>TIRAMISU CU FISTIC</t>
  </si>
  <si>
    <t>CHEESECAKE NEWYORK</t>
  </si>
  <si>
    <t>Millefoglie</t>
  </si>
  <si>
    <t>Prajitura Maritozzo</t>
  </si>
  <si>
    <t>Prajitura mascarpone capsuni</t>
  </si>
  <si>
    <t>TIRAMISU</t>
  </si>
  <si>
    <t>Prajitura vanilie bezea</t>
  </si>
  <si>
    <t>Tort pufos capsuni</t>
  </si>
  <si>
    <t>CARROT CAKE</t>
  </si>
  <si>
    <t>Profiterol ciocolata</t>
  </si>
  <si>
    <t>Tort ciocolata zmeura</t>
  </si>
  <si>
    <t>PRAJITURI</t>
  </si>
  <si>
    <t xml:space="preserve">PRODUS NOU </t>
  </si>
  <si>
    <t>-</t>
  </si>
  <si>
    <t>LIMONADA 310 ML</t>
  </si>
  <si>
    <t>DOZE PEPSI 330 ML/TWIST ZERO 330 ML/7UP 330 ML/MIRINDA PORTOCALE 330 ML</t>
  </si>
  <si>
    <t>DOZA PEPSI ZERO</t>
  </si>
  <si>
    <t>Pepsi cu gust de Înghețată de Vanilie</t>
  </si>
  <si>
    <t>Pepsi cu gust de Căpșuni și Frișcă</t>
  </si>
  <si>
    <t>Apa Evian</t>
  </si>
  <si>
    <t>Budweiser</t>
  </si>
  <si>
    <t>Corona</t>
  </si>
  <si>
    <t>Red Bull</t>
  </si>
  <si>
    <t>Dr Pepper</t>
  </si>
  <si>
    <t>Lipton Lamaie 0.5L</t>
  </si>
  <si>
    <t>Prigat Capsuni &amp;Banane</t>
  </si>
  <si>
    <t>Prigat Portocale</t>
  </si>
  <si>
    <t>Apa Minerala AQUA CARPATICA</t>
  </si>
  <si>
    <t>Apa Plata AQUA CARPATICA</t>
  </si>
  <si>
    <t>DRINKS</t>
  </si>
  <si>
    <t>Milkshake Fructul Pasiunii 200G</t>
  </si>
  <si>
    <t>Milkshake Apple Cinnamon 220G</t>
  </si>
  <si>
    <t>Milkshake Biscoff 210G</t>
  </si>
  <si>
    <t>Milkshake Banane 200G</t>
  </si>
  <si>
    <t>Milkshake Capsuni 200G</t>
  </si>
  <si>
    <t>Milkshake Ciocolata 200G</t>
  </si>
  <si>
    <t>Milkshake Vanilie 200G</t>
  </si>
  <si>
    <t>2X APPLE TOFFEE FRYPIE</t>
  </si>
  <si>
    <t>Nutella Burger Banane</t>
  </si>
  <si>
    <t>Nutella Burger Capsuni</t>
  </si>
  <si>
    <t>Nutella Burger</t>
  </si>
  <si>
    <t>APPLE  TOFFEE FRYPIE</t>
  </si>
  <si>
    <t>MILKSHAKE &amp; DESSERT</t>
  </si>
  <si>
    <t>Sacosa</t>
  </si>
  <si>
    <t>Punga Mica</t>
  </si>
  <si>
    <t>AMBALAJE</t>
  </si>
  <si>
    <t>ADD Jalapeno</t>
  </si>
  <si>
    <t>ADD Felie Cheddar</t>
  </si>
  <si>
    <t>ADD Bacon</t>
  </si>
  <si>
    <t>ADD ON UPSELL</t>
  </si>
  <si>
    <t>DIP N TRUFFLE 100G</t>
  </si>
  <si>
    <t>DIP N FRYRANCH 400G</t>
  </si>
  <si>
    <t>DIP N FRYRANCH 250G</t>
  </si>
  <si>
    <t>DIP N FRYRANCH 100G</t>
  </si>
  <si>
    <t>DIP N Cheddar 100 ML</t>
  </si>
  <si>
    <t>Sos SWEET CHILLI 25G</t>
  </si>
  <si>
    <t>Sos HONEY MUSTARD 25G</t>
  </si>
  <si>
    <t>Sos Barbeque 25G</t>
  </si>
  <si>
    <t>Sos Mayoneza 10ml</t>
  </si>
  <si>
    <t>Sos Ketchup 10ml</t>
  </si>
  <si>
    <t>SIDE FRYRANCH 40G</t>
  </si>
  <si>
    <t>Side Cheddar 40 ml</t>
  </si>
  <si>
    <t>Sos Usturoi</t>
  </si>
  <si>
    <t>Sos Samurai</t>
  </si>
  <si>
    <t>Sos Truffle Mayo</t>
  </si>
  <si>
    <t>SAUCES</t>
  </si>
  <si>
    <t>Fry Shaker Cajun</t>
  </si>
  <si>
    <t>Fry Shaker Parmezan &amp; Usturoi</t>
  </si>
  <si>
    <t>Cartofi prajiti in ulei de alune SuperSize 250g</t>
  </si>
  <si>
    <t>Cartofi prajiti in ulei de alune 150g</t>
  </si>
  <si>
    <t>Cartofi prajiti in ulei de alune 112g</t>
  </si>
  <si>
    <t>DA</t>
  </si>
  <si>
    <t>DA – 30%</t>
  </si>
  <si>
    <t>CARTOFI CRISS CUT 140G</t>
  </si>
  <si>
    <t>FRIES&amp;SAUCES</t>
  </si>
  <si>
    <t>Extra Homestyle Crispy</t>
  </si>
  <si>
    <t>PACK COUNTRY HOT WINGS 30 (891G)</t>
  </si>
  <si>
    <t>PACK COUNTRY WINGS 30 (810G)</t>
  </si>
  <si>
    <t>PACK HOMESTYLE CRISPY 20 (990G)</t>
  </si>
  <si>
    <t>HOMESTYLE CRISPY 5 (248G)</t>
  </si>
  <si>
    <t>HOMESTYLE CRISPY 4 (198G)</t>
  </si>
  <si>
    <t>HOMESTYLE CRISPY 3 (149G)</t>
  </si>
  <si>
    <t>9 HOT COUNTRY WINGS</t>
  </si>
  <si>
    <t>7 HOT COUNTRY WINGS</t>
  </si>
  <si>
    <t>5 HOT COUNTRY WINGS</t>
  </si>
  <si>
    <t>3 HOT COUNTRY WINGS</t>
  </si>
  <si>
    <t>9 COUNTRY WINGS</t>
  </si>
  <si>
    <t>7 COUNTRY WINGS</t>
  </si>
  <si>
    <t>5 COUNTRY WINGS</t>
  </si>
  <si>
    <t>3 COUNTRY WINGS</t>
  </si>
  <si>
    <t>9 NUGGETS</t>
  </si>
  <si>
    <t>6 NUGGETS</t>
  </si>
  <si>
    <t>4 NUGGETS</t>
  </si>
  <si>
    <t>FRIED CHICKEN</t>
  </si>
  <si>
    <t>SALATA COLESLAW</t>
  </si>
  <si>
    <t>MAC &amp; CHEESY BITES</t>
  </si>
  <si>
    <t>BURGER VEGETARIAN</t>
  </si>
  <si>
    <t>SHRIMP BURGER</t>
  </si>
  <si>
    <t>BURGERS SPECIALS &amp;SNACKS</t>
  </si>
  <si>
    <t>ROSTI SAUSAGE BURGER</t>
  </si>
  <si>
    <t>ALMETTE BASIL PORC</t>
  </si>
  <si>
    <t>ALMETTE FRESH PORC</t>
  </si>
  <si>
    <t>ALMETTE BASIL PUI</t>
  </si>
  <si>
    <t>ALMETTE FRESH PUI</t>
  </si>
  <si>
    <t>BREAKFAST</t>
  </si>
  <si>
    <t>Produs NOU</t>
  </si>
  <si>
    <t>–</t>
  </si>
  <si>
    <t>CHICKEN LEMON</t>
  </si>
  <si>
    <t>CHICKEN PESTO</t>
  </si>
  <si>
    <t>SAMURAI CHICKEN</t>
  </si>
  <si>
    <t>DUBLU CHICKEN TRUFFLE</t>
  </si>
  <si>
    <t>CHICKEN TRUFFLE</t>
  </si>
  <si>
    <t>HOMESTYLE CHICKEN FRYRANCH</t>
  </si>
  <si>
    <t>HOMESTYLE CHICKEN LEMON</t>
  </si>
  <si>
    <t>HOMESTYLE CHICKEN PESTO</t>
  </si>
  <si>
    <t>DUBLU PUI BURGER</t>
  </si>
  <si>
    <t>PUI BURGER</t>
  </si>
  <si>
    <t>CHICKEN BURGERS</t>
  </si>
  <si>
    <t>HOMESTYLE CHICKEN LEMON LETTUCE WRAP</t>
  </si>
  <si>
    <t>HOMESTYLE CHICKEN FRYRANCH LETTUCE WRAP</t>
  </si>
  <si>
    <t>AMERICAN TRIPLU CHEESEBURGER LETTUCE WRAP</t>
  </si>
  <si>
    <t>LETTUCE WRAP</t>
  </si>
  <si>
    <t>AMERICAN TRIPLU CHEESEBURGER</t>
  </si>
  <si>
    <t xml:space="preserve">NOU LA FRY </t>
  </si>
  <si>
    <t>DUBLU RED PEPPER SMASHED</t>
  </si>
  <si>
    <t>DUBLU BLACK TRUFFLE SMASHED</t>
  </si>
  <si>
    <t>AMERICAN DUBLU CHEESEBURGER</t>
  </si>
  <si>
    <t>DUBLU SMASHED BURGER(RETETA NOUA )</t>
  </si>
  <si>
    <t>DUBLU CHEESEBURGER</t>
  </si>
  <si>
    <t>DUBLU HAMBURGER</t>
  </si>
  <si>
    <t>RED PEPPER SMASHED</t>
  </si>
  <si>
    <t>BLACK TRUFFLE SMASHED</t>
  </si>
  <si>
    <t>SMASHED BURGER(RETETA NOUA)</t>
  </si>
  <si>
    <t>AMERICAN CHEESEBURGER</t>
  </si>
  <si>
    <t>CHEESEBURGER</t>
  </si>
  <si>
    <t>HAMBURGER</t>
  </si>
  <si>
    <t>Observații</t>
  </si>
  <si>
    <t>Preț NOU DUPĂ discount</t>
  </si>
  <si>
    <t>Preț NOU ÎNAINTE de discount</t>
  </si>
  <si>
    <t>Preț actual (după discount)</t>
  </si>
  <si>
    <t>Produs</t>
  </si>
  <si>
    <t>Data implementare: 03 august 2026</t>
  </si>
  <si>
    <t>România – etapa 03 august 2026. Prețuri cu TVA; „înainte de discount" = listare NErotunjită.</t>
  </si>
  <si>
    <t>CR – IT | Modificare prețuri DELIVERY</t>
  </si>
  <si>
    <t>dif actual vs nou</t>
  </si>
  <si>
    <t xml:space="preserve">Creare produs nou DATORITA DISCOUNTULUI CE SE ALICA PE PRETUL NOU </t>
  </si>
  <si>
    <t>Se aplică discount 30% SI 40% LA 4 PRODUSE</t>
  </si>
  <si>
    <t>PRET FINAL DE AFISAT PENTRU CLIENT</t>
  </si>
  <si>
    <t>SMASHED BEEF BURGER</t>
  </si>
  <si>
    <t>DA – 40%</t>
  </si>
  <si>
    <t>Milkshake Cirese 200G</t>
  </si>
  <si>
    <t>ACTIVARE PRODUS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</si>
</sst>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0000"/>
      <name val="Arial"/>
      <family val="2"/>
    </font>
    <font>
      <b/>
      <sz val="9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666666"/>
      <name val="Arial"/>
      <family val="2"/>
    </font>
    <font>
      <b/>
      <sz val="14"/>
      <color rgb="FFD32F2F"/>
      <name val="Arial"/>
      <family val="2"/>
    </font>
    <font>
      <sz val="11"/>
      <color rgb="FFFF0000"/>
      <name val="Calibri"/>
      <family val="2"/>
      <scheme val="minor"/>
    </font>
    <font>
      <sz val="12"/>
      <color rgb="FF222222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3F3"/>
      </patternFill>
    </fill>
    <fill>
      <patternFill patternType="solid">
        <fgColor rgb="FFF5E0E0"/>
      </patternFill>
    </fill>
    <fill>
      <patternFill patternType="solid">
        <fgColor rgb="FFD32F2F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0" borderId="0" xfId="0"/>
    <xf numFmtId="0" fontId="6" fillId="0" borderId="0" xfId="0" applyFont="1" applyAlignment="1">
      <alignment vertical="center"/>
    </xf>
    <xf numFmtId="4" fontId="0" fillId="0" borderId="0" xfId="0" applyNumberFormat="1"/>
    <xf numFmtId="4" fontId="3" fillId="2" borderId="1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wrapText="1"/>
    </xf>
    <xf numFmtId="0" fontId="9" fillId="0" borderId="0" xfId="0" applyFont="1"/>
    <xf numFmtId="4" fontId="10" fillId="2" borderId="1" xfId="0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 wrapText="1"/>
    </xf>
    <xf numFmtId="4" fontId="8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9FFB9-90FF-4573-A9B5-DD5BDD760E83}">
  <dimension ref="A1:I159"/>
  <sheetViews>
    <sheetView tabSelected="1" workbookViewId="0">
      <selection activeCell="F123" sqref="F123"/>
    </sheetView>
  </sheetViews>
  <sheetFormatPr defaultRowHeight="14.4" x14ac:dyDescent="0.3"/>
  <cols>
    <col min="1" max="1" width="38" customWidth="1"/>
    <col min="2" max="2" width="16" customWidth="1"/>
    <col min="3" max="3" width="18" customWidth="1"/>
    <col min="4" max="4" width="16" customWidth="1"/>
    <col min="5" max="5" width="19.33203125" customWidth="1"/>
    <col min="6" max="6" width="16" customWidth="1"/>
    <col min="7" max="7" width="22.33203125" customWidth="1"/>
  </cols>
  <sheetData>
    <row r="1" spans="1:9" ht="17.399999999999999" x14ac:dyDescent="0.3">
      <c r="A1" s="9" t="s">
        <v>165</v>
      </c>
      <c r="B1" s="10"/>
      <c r="C1" s="10"/>
      <c r="D1" s="10"/>
      <c r="E1" s="10"/>
      <c r="F1" s="10"/>
    </row>
    <row r="2" spans="1:9" x14ac:dyDescent="0.3">
      <c r="A2" s="11" t="s">
        <v>164</v>
      </c>
      <c r="B2" s="10"/>
      <c r="C2" s="10"/>
      <c r="D2" s="10"/>
      <c r="E2" s="10"/>
      <c r="F2" s="10"/>
    </row>
    <row r="3" spans="1:9" x14ac:dyDescent="0.3">
      <c r="A3" s="8" t="s">
        <v>163</v>
      </c>
    </row>
    <row r="4" spans="1:9" ht="43.2" x14ac:dyDescent="0.3">
      <c r="D4" s="14" t="s">
        <v>169</v>
      </c>
    </row>
    <row r="5" spans="1:9" ht="34.049999999999997" customHeight="1" x14ac:dyDescent="0.3">
      <c r="A5" s="7" t="s">
        <v>162</v>
      </c>
      <c r="B5" s="7" t="s">
        <v>161</v>
      </c>
      <c r="C5" s="7" t="s">
        <v>160</v>
      </c>
      <c r="D5" s="7" t="s">
        <v>159</v>
      </c>
      <c r="E5" s="7" t="s">
        <v>168</v>
      </c>
      <c r="F5" s="7" t="s">
        <v>158</v>
      </c>
      <c r="G5" s="6" t="s">
        <v>167</v>
      </c>
      <c r="H5" s="6" t="s">
        <v>166</v>
      </c>
      <c r="I5" s="15"/>
    </row>
    <row r="6" spans="1:9" x14ac:dyDescent="0.3">
      <c r="A6" s="4" t="s">
        <v>170</v>
      </c>
      <c r="B6" s="4"/>
      <c r="C6" s="4"/>
      <c r="D6" s="4"/>
      <c r="E6" s="4"/>
      <c r="F6" s="4"/>
      <c r="G6" s="4"/>
    </row>
    <row r="7" spans="1:9" x14ac:dyDescent="0.3">
      <c r="A7" s="3" t="s">
        <v>157</v>
      </c>
      <c r="B7" s="2">
        <v>10</v>
      </c>
      <c r="C7" s="2">
        <f>D7/0.7</f>
        <v>14.285714285714286</v>
      </c>
      <c r="D7" s="2">
        <v>10</v>
      </c>
      <c r="E7" s="1" t="s">
        <v>94</v>
      </c>
      <c r="F7" s="1" t="s">
        <v>0</v>
      </c>
      <c r="G7" s="1" t="s">
        <v>1</v>
      </c>
      <c r="H7" s="12">
        <f>D7-B7</f>
        <v>0</v>
      </c>
    </row>
    <row r="8" spans="1:9" x14ac:dyDescent="0.3">
      <c r="A8" s="3" t="s">
        <v>156</v>
      </c>
      <c r="B8" s="2">
        <v>13</v>
      </c>
      <c r="C8" s="2">
        <f t="shared" ref="C8:C18" si="0">D8/0.7</f>
        <v>19.271428571428572</v>
      </c>
      <c r="D8" s="2">
        <v>13.49</v>
      </c>
      <c r="E8" s="1" t="s">
        <v>94</v>
      </c>
      <c r="F8" s="1" t="s">
        <v>6</v>
      </c>
      <c r="G8" s="1" t="s">
        <v>93</v>
      </c>
      <c r="H8" s="12">
        <f t="shared" ref="H8:H71" si="1">D8-B8</f>
        <v>0.49000000000000021</v>
      </c>
    </row>
    <row r="9" spans="1:9" x14ac:dyDescent="0.3">
      <c r="A9" s="3" t="s">
        <v>155</v>
      </c>
      <c r="B9" s="2">
        <v>13</v>
      </c>
      <c r="C9" s="2" t="s">
        <v>35</v>
      </c>
      <c r="D9" s="2">
        <v>13</v>
      </c>
      <c r="E9" s="1" t="s">
        <v>1</v>
      </c>
      <c r="F9" s="1" t="s">
        <v>0</v>
      </c>
      <c r="G9" s="1" t="s">
        <v>1</v>
      </c>
      <c r="H9" s="12">
        <f t="shared" si="1"/>
        <v>0</v>
      </c>
    </row>
    <row r="10" spans="1:9" x14ac:dyDescent="0.3">
      <c r="A10" s="3" t="s">
        <v>154</v>
      </c>
      <c r="B10" s="2">
        <v>24.5</v>
      </c>
      <c r="C10" s="2">
        <f t="shared" si="0"/>
        <v>36.414285714285711</v>
      </c>
      <c r="D10" s="2">
        <v>25.49</v>
      </c>
      <c r="E10" s="1" t="s">
        <v>94</v>
      </c>
      <c r="F10" s="1" t="s">
        <v>6</v>
      </c>
      <c r="G10" s="1" t="s">
        <v>93</v>
      </c>
      <c r="H10" s="12">
        <f t="shared" si="1"/>
        <v>0.98999999999999844</v>
      </c>
    </row>
    <row r="11" spans="1:9" x14ac:dyDescent="0.3">
      <c r="A11" s="3" t="s">
        <v>153</v>
      </c>
      <c r="B11" s="2">
        <v>25</v>
      </c>
      <c r="C11" s="13">
        <f>D11/0.6</f>
        <v>43.316666666666663</v>
      </c>
      <c r="D11" s="13">
        <v>25.99</v>
      </c>
      <c r="E11" s="5" t="s">
        <v>171</v>
      </c>
      <c r="F11" s="1" t="s">
        <v>6</v>
      </c>
      <c r="G11" s="1" t="s">
        <v>93</v>
      </c>
      <c r="H11" s="12">
        <f t="shared" si="1"/>
        <v>0.98999999999999844</v>
      </c>
    </row>
    <row r="12" spans="1:9" x14ac:dyDescent="0.3">
      <c r="A12" s="3" t="s">
        <v>152</v>
      </c>
      <c r="B12" s="2">
        <v>29</v>
      </c>
      <c r="C12" s="2">
        <f t="shared" si="0"/>
        <v>42.842857142857142</v>
      </c>
      <c r="D12" s="2">
        <v>29.99</v>
      </c>
      <c r="E12" s="1" t="s">
        <v>94</v>
      </c>
      <c r="F12" s="1" t="s">
        <v>6</v>
      </c>
      <c r="G12" s="1" t="s">
        <v>93</v>
      </c>
      <c r="H12" s="12">
        <f t="shared" si="1"/>
        <v>0.98999999999999844</v>
      </c>
    </row>
    <row r="13" spans="1:9" x14ac:dyDescent="0.3">
      <c r="A13" s="3" t="s">
        <v>151</v>
      </c>
      <c r="B13" s="2">
        <v>16</v>
      </c>
      <c r="C13" s="2">
        <f t="shared" si="0"/>
        <v>24.271428571428572</v>
      </c>
      <c r="D13" s="2">
        <v>16.989999999999998</v>
      </c>
      <c r="E13" s="1" t="s">
        <v>94</v>
      </c>
      <c r="F13" s="1" t="s">
        <v>6</v>
      </c>
      <c r="G13" s="1" t="s">
        <v>93</v>
      </c>
      <c r="H13" s="12">
        <f t="shared" si="1"/>
        <v>0.98999999999999844</v>
      </c>
    </row>
    <row r="14" spans="1:9" x14ac:dyDescent="0.3">
      <c r="A14" s="3" t="s">
        <v>150</v>
      </c>
      <c r="B14" s="2">
        <v>19</v>
      </c>
      <c r="C14" s="13">
        <f>D14/0.6</f>
        <v>33.316666666666663</v>
      </c>
      <c r="D14" s="13">
        <v>19.989999999999998</v>
      </c>
      <c r="E14" s="5" t="s">
        <v>171</v>
      </c>
      <c r="F14" s="1" t="s">
        <v>6</v>
      </c>
      <c r="G14" s="1" t="s">
        <v>93</v>
      </c>
      <c r="H14" s="12">
        <f t="shared" si="1"/>
        <v>0.98999999999999844</v>
      </c>
    </row>
    <row r="15" spans="1:9" x14ac:dyDescent="0.3">
      <c r="A15" s="3" t="s">
        <v>149</v>
      </c>
      <c r="B15" s="2">
        <v>30.5</v>
      </c>
      <c r="C15" s="13">
        <f>D15/0.6</f>
        <v>54.150000000000006</v>
      </c>
      <c r="D15" s="13">
        <v>32.49</v>
      </c>
      <c r="E15" s="5" t="s">
        <v>171</v>
      </c>
      <c r="F15" s="1" t="s">
        <v>6</v>
      </c>
      <c r="G15" s="1" t="s">
        <v>93</v>
      </c>
      <c r="H15" s="12">
        <f t="shared" si="1"/>
        <v>1.990000000000002</v>
      </c>
    </row>
    <row r="16" spans="1:9" x14ac:dyDescent="0.3">
      <c r="A16" s="3" t="s">
        <v>148</v>
      </c>
      <c r="B16" s="2">
        <v>19</v>
      </c>
      <c r="C16" s="2" t="s">
        <v>35</v>
      </c>
      <c r="D16" s="2">
        <v>19</v>
      </c>
      <c r="E16" s="1" t="s">
        <v>1</v>
      </c>
      <c r="F16" s="1" t="s">
        <v>0</v>
      </c>
      <c r="G16" s="1" t="s">
        <v>1</v>
      </c>
      <c r="H16" s="12">
        <f t="shared" si="1"/>
        <v>0</v>
      </c>
    </row>
    <row r="17" spans="1:8" x14ac:dyDescent="0.3">
      <c r="A17" s="3" t="s">
        <v>147</v>
      </c>
      <c r="B17" s="2">
        <v>31</v>
      </c>
      <c r="C17" s="16">
        <f>D17/0.7</f>
        <v>47.128571428571433</v>
      </c>
      <c r="D17" s="16">
        <v>32.99</v>
      </c>
      <c r="E17" s="17" t="s">
        <v>94</v>
      </c>
      <c r="F17" s="1" t="s">
        <v>6</v>
      </c>
      <c r="G17" s="1" t="s">
        <v>93</v>
      </c>
      <c r="H17" s="12">
        <f t="shared" si="1"/>
        <v>1.990000000000002</v>
      </c>
    </row>
    <row r="18" spans="1:8" x14ac:dyDescent="0.3">
      <c r="A18" s="3" t="s">
        <v>146</v>
      </c>
      <c r="B18" s="2">
        <v>35</v>
      </c>
      <c r="C18" s="2">
        <f t="shared" si="0"/>
        <v>52.842857142857149</v>
      </c>
      <c r="D18" s="2">
        <v>36.99</v>
      </c>
      <c r="E18" s="1" t="s">
        <v>94</v>
      </c>
      <c r="F18" s="1" t="s">
        <v>6</v>
      </c>
      <c r="G18" s="1" t="s">
        <v>93</v>
      </c>
      <c r="H18" s="12">
        <f t="shared" si="1"/>
        <v>1.990000000000002</v>
      </c>
    </row>
    <row r="19" spans="1:8" x14ac:dyDescent="0.3">
      <c r="A19" s="4" t="s">
        <v>145</v>
      </c>
      <c r="B19" s="4"/>
      <c r="C19" s="4"/>
      <c r="D19" s="4"/>
      <c r="E19" s="4"/>
      <c r="F19" s="4"/>
      <c r="G19" s="4"/>
      <c r="H19" s="12">
        <f t="shared" si="1"/>
        <v>0</v>
      </c>
    </row>
    <row r="20" spans="1:8" x14ac:dyDescent="0.3">
      <c r="A20" s="3" t="s">
        <v>144</v>
      </c>
      <c r="B20" s="2">
        <v>25</v>
      </c>
      <c r="C20" s="1" t="s">
        <v>35</v>
      </c>
      <c r="D20" s="2">
        <v>25</v>
      </c>
      <c r="E20" s="1" t="s">
        <v>1</v>
      </c>
      <c r="F20" s="1" t="s">
        <v>0</v>
      </c>
      <c r="G20" s="1"/>
      <c r="H20" s="12">
        <f t="shared" si="1"/>
        <v>0</v>
      </c>
    </row>
    <row r="21" spans="1:8" x14ac:dyDescent="0.3">
      <c r="A21" s="4" t="s">
        <v>143</v>
      </c>
      <c r="B21" s="4"/>
      <c r="C21" s="4"/>
      <c r="D21" s="4"/>
      <c r="E21" s="4"/>
      <c r="F21" s="4"/>
      <c r="G21" s="4"/>
      <c r="H21" s="12">
        <f t="shared" si="1"/>
        <v>0</v>
      </c>
    </row>
    <row r="22" spans="1:8" ht="22.8" x14ac:dyDescent="0.3">
      <c r="A22" s="3" t="s">
        <v>142</v>
      </c>
      <c r="B22" s="2">
        <v>25</v>
      </c>
      <c r="C22" s="1" t="s">
        <v>35</v>
      </c>
      <c r="D22" s="2">
        <f>25+2.99</f>
        <v>27.990000000000002</v>
      </c>
      <c r="E22" s="1" t="s">
        <v>1</v>
      </c>
      <c r="F22" s="1" t="s">
        <v>6</v>
      </c>
      <c r="G22" s="1" t="s">
        <v>1</v>
      </c>
      <c r="H22" s="12">
        <f t="shared" si="1"/>
        <v>2.990000000000002</v>
      </c>
    </row>
    <row r="23" spans="1:8" ht="22.8" x14ac:dyDescent="0.3">
      <c r="A23" s="3" t="s">
        <v>141</v>
      </c>
      <c r="B23" s="2">
        <v>28</v>
      </c>
      <c r="C23" s="1" t="s">
        <v>35</v>
      </c>
      <c r="D23" s="2">
        <v>28.99</v>
      </c>
      <c r="E23" s="1" t="s">
        <v>1</v>
      </c>
      <c r="F23" s="1" t="s">
        <v>6</v>
      </c>
      <c r="G23" s="1" t="s">
        <v>1</v>
      </c>
      <c r="H23" s="12">
        <f t="shared" si="1"/>
        <v>0.98999999999999844</v>
      </c>
    </row>
    <row r="24" spans="1:8" ht="22.8" x14ac:dyDescent="0.3">
      <c r="A24" s="3" t="s">
        <v>140</v>
      </c>
      <c r="B24" s="2">
        <v>28</v>
      </c>
      <c r="C24" s="1" t="s">
        <v>35</v>
      </c>
      <c r="D24" s="2">
        <v>28.99</v>
      </c>
      <c r="E24" s="1" t="s">
        <v>1</v>
      </c>
      <c r="F24" s="1" t="s">
        <v>6</v>
      </c>
      <c r="G24" s="1" t="s">
        <v>1</v>
      </c>
      <c r="H24" s="12">
        <f t="shared" si="1"/>
        <v>0.98999999999999844</v>
      </c>
    </row>
    <row r="25" spans="1:8" x14ac:dyDescent="0.3">
      <c r="A25" s="4" t="s">
        <v>139</v>
      </c>
      <c r="B25" s="4"/>
      <c r="C25" s="4"/>
      <c r="D25" s="4"/>
      <c r="E25" s="4"/>
      <c r="F25" s="4"/>
      <c r="G25" s="4"/>
      <c r="H25" s="12">
        <f t="shared" si="1"/>
        <v>0</v>
      </c>
    </row>
    <row r="26" spans="1:8" x14ac:dyDescent="0.3">
      <c r="A26" s="3" t="s">
        <v>138</v>
      </c>
      <c r="B26" s="2">
        <v>10</v>
      </c>
      <c r="C26" s="2">
        <f>D26/0.7</f>
        <v>14.285714285714286</v>
      </c>
      <c r="D26" s="2">
        <v>10</v>
      </c>
      <c r="E26" s="1" t="s">
        <v>94</v>
      </c>
      <c r="F26" s="1" t="s">
        <v>0</v>
      </c>
      <c r="G26" s="1" t="s">
        <v>1</v>
      </c>
      <c r="H26" s="12">
        <f t="shared" si="1"/>
        <v>0</v>
      </c>
    </row>
    <row r="27" spans="1:8" x14ac:dyDescent="0.3">
      <c r="A27" s="3" t="s">
        <v>137</v>
      </c>
      <c r="B27" s="2">
        <v>18</v>
      </c>
      <c r="C27" s="2">
        <f t="shared" ref="C27:C41" si="2">D27/0.7</f>
        <v>26.414285714285715</v>
      </c>
      <c r="D27" s="2">
        <v>18.489999999999998</v>
      </c>
      <c r="E27" s="1" t="s">
        <v>94</v>
      </c>
      <c r="F27" s="1" t="s">
        <v>6</v>
      </c>
      <c r="G27" s="1" t="s">
        <v>93</v>
      </c>
      <c r="H27" s="12">
        <f t="shared" si="1"/>
        <v>0.48999999999999844</v>
      </c>
    </row>
    <row r="28" spans="1:8" x14ac:dyDescent="0.3">
      <c r="A28" s="3" t="s">
        <v>136</v>
      </c>
      <c r="B28" s="2">
        <v>28</v>
      </c>
      <c r="C28" s="2">
        <f t="shared" si="2"/>
        <v>42.128571428571426</v>
      </c>
      <c r="D28" s="2">
        <v>29.49</v>
      </c>
      <c r="E28" s="1" t="s">
        <v>94</v>
      </c>
      <c r="F28" s="1" t="s">
        <v>6</v>
      </c>
      <c r="G28" s="1" t="s">
        <v>93</v>
      </c>
      <c r="H28" s="12">
        <f t="shared" si="1"/>
        <v>1.4899999999999984</v>
      </c>
    </row>
    <row r="29" spans="1:8" x14ac:dyDescent="0.3">
      <c r="A29" s="3" t="s">
        <v>135</v>
      </c>
      <c r="B29" s="2">
        <v>28</v>
      </c>
      <c r="C29" s="2">
        <f t="shared" si="2"/>
        <v>41.414285714285718</v>
      </c>
      <c r="D29" s="2">
        <v>28.99</v>
      </c>
      <c r="E29" s="1" t="s">
        <v>94</v>
      </c>
      <c r="F29" s="1" t="s">
        <v>6</v>
      </c>
      <c r="G29" s="1" t="s">
        <v>93</v>
      </c>
      <c r="H29" s="12">
        <f t="shared" si="1"/>
        <v>0.98999999999999844</v>
      </c>
    </row>
    <row r="30" spans="1:8" x14ac:dyDescent="0.3">
      <c r="A30" s="3" t="s">
        <v>134</v>
      </c>
      <c r="B30" s="2">
        <v>28</v>
      </c>
      <c r="C30" s="16">
        <f>D30/0.7</f>
        <v>41.414285714285718</v>
      </c>
      <c r="D30" s="16">
        <v>28.99</v>
      </c>
      <c r="E30" s="17" t="s">
        <v>94</v>
      </c>
      <c r="F30" s="1" t="s">
        <v>6</v>
      </c>
      <c r="G30" s="1" t="s">
        <v>93</v>
      </c>
      <c r="H30" s="12">
        <f t="shared" si="1"/>
        <v>0.98999999999999844</v>
      </c>
    </row>
    <row r="31" spans="1:8" x14ac:dyDescent="0.3">
      <c r="A31" s="3" t="s">
        <v>133</v>
      </c>
      <c r="B31" s="2">
        <v>16</v>
      </c>
      <c r="C31" s="2">
        <f t="shared" si="2"/>
        <v>23.557142857142857</v>
      </c>
      <c r="D31" s="2">
        <v>16.489999999999998</v>
      </c>
      <c r="E31" s="1" t="s">
        <v>94</v>
      </c>
      <c r="F31" s="1" t="s">
        <v>6</v>
      </c>
      <c r="G31" s="1" t="s">
        <v>93</v>
      </c>
      <c r="H31" s="12">
        <f t="shared" si="1"/>
        <v>0.48999999999999844</v>
      </c>
    </row>
    <row r="32" spans="1:8" x14ac:dyDescent="0.3">
      <c r="A32" s="3" t="s">
        <v>132</v>
      </c>
      <c r="B32" s="2">
        <v>21</v>
      </c>
      <c r="C32" s="2">
        <f t="shared" si="2"/>
        <v>31.414285714285715</v>
      </c>
      <c r="D32" s="2">
        <v>21.99</v>
      </c>
      <c r="E32" s="1" t="s">
        <v>94</v>
      </c>
      <c r="F32" s="1" t="s">
        <v>6</v>
      </c>
      <c r="G32" s="1" t="s">
        <v>93</v>
      </c>
      <c r="H32" s="12">
        <f t="shared" si="1"/>
        <v>0.98999999999999844</v>
      </c>
    </row>
    <row r="33" spans="1:8" x14ac:dyDescent="0.3">
      <c r="A33" s="3" t="s">
        <v>131</v>
      </c>
      <c r="B33" s="2" t="s">
        <v>128</v>
      </c>
      <c r="C33" s="2">
        <f t="shared" si="2"/>
        <v>25.7</v>
      </c>
      <c r="D33" s="2">
        <v>17.989999999999998</v>
      </c>
      <c r="E33" s="1" t="s">
        <v>94</v>
      </c>
      <c r="F33" s="5" t="s">
        <v>127</v>
      </c>
      <c r="G33" s="5" t="s">
        <v>93</v>
      </c>
      <c r="H33" s="12">
        <v>0</v>
      </c>
    </row>
    <row r="34" spans="1:8" x14ac:dyDescent="0.3">
      <c r="A34" s="3" t="s">
        <v>130</v>
      </c>
      <c r="B34" s="2" t="s">
        <v>128</v>
      </c>
      <c r="C34" s="2">
        <f t="shared" si="2"/>
        <v>25.7</v>
      </c>
      <c r="D34" s="2">
        <v>17.989999999999998</v>
      </c>
      <c r="E34" s="1" t="s">
        <v>94</v>
      </c>
      <c r="F34" s="5" t="s">
        <v>127</v>
      </c>
      <c r="G34" s="5" t="s">
        <v>93</v>
      </c>
      <c r="H34" s="12">
        <v>0</v>
      </c>
    </row>
    <row r="35" spans="1:8" x14ac:dyDescent="0.3">
      <c r="A35" s="3" t="s">
        <v>129</v>
      </c>
      <c r="B35" s="2" t="s">
        <v>128</v>
      </c>
      <c r="C35" s="2">
        <f t="shared" si="2"/>
        <v>25.7</v>
      </c>
      <c r="D35" s="2">
        <v>17.989999999999998</v>
      </c>
      <c r="E35" s="1" t="s">
        <v>94</v>
      </c>
      <c r="F35" s="5" t="s">
        <v>127</v>
      </c>
      <c r="G35" s="5" t="s">
        <v>93</v>
      </c>
      <c r="H35" s="12">
        <v>0</v>
      </c>
    </row>
    <row r="36" spans="1:8" x14ac:dyDescent="0.3">
      <c r="A36" s="4" t="s">
        <v>126</v>
      </c>
      <c r="B36" s="4"/>
      <c r="C36" s="4"/>
      <c r="D36" s="4"/>
      <c r="E36" s="4"/>
      <c r="F36" s="4"/>
      <c r="G36" s="4"/>
      <c r="H36" s="12">
        <f t="shared" si="1"/>
        <v>0</v>
      </c>
    </row>
    <row r="37" spans="1:8" x14ac:dyDescent="0.3">
      <c r="A37" s="3" t="s">
        <v>125</v>
      </c>
      <c r="B37" s="2">
        <v>20</v>
      </c>
      <c r="C37" s="2">
        <f t="shared" si="2"/>
        <v>28.571428571428573</v>
      </c>
      <c r="D37" s="2">
        <v>20</v>
      </c>
      <c r="E37" s="1" t="s">
        <v>94</v>
      </c>
      <c r="F37" s="1" t="s">
        <v>6</v>
      </c>
      <c r="G37" s="1" t="s">
        <v>1</v>
      </c>
      <c r="H37" s="12">
        <f t="shared" si="1"/>
        <v>0</v>
      </c>
    </row>
    <row r="38" spans="1:8" x14ac:dyDescent="0.3">
      <c r="A38" s="3" t="s">
        <v>124</v>
      </c>
      <c r="B38" s="2">
        <v>20</v>
      </c>
      <c r="C38" s="2">
        <f t="shared" si="2"/>
        <v>28.571428571428573</v>
      </c>
      <c r="D38" s="2">
        <v>20</v>
      </c>
      <c r="E38" s="1" t="s">
        <v>94</v>
      </c>
      <c r="F38" s="1" t="s">
        <v>6</v>
      </c>
      <c r="G38" s="1" t="s">
        <v>1</v>
      </c>
      <c r="H38" s="12">
        <f t="shared" si="1"/>
        <v>0</v>
      </c>
    </row>
    <row r="39" spans="1:8" x14ac:dyDescent="0.3">
      <c r="A39" s="3" t="s">
        <v>123</v>
      </c>
      <c r="B39" s="2">
        <v>20</v>
      </c>
      <c r="C39" s="2">
        <f t="shared" si="2"/>
        <v>28.571428571428573</v>
      </c>
      <c r="D39" s="2">
        <v>20</v>
      </c>
      <c r="E39" s="1" t="s">
        <v>94</v>
      </c>
      <c r="F39" s="1" t="s">
        <v>6</v>
      </c>
      <c r="G39" s="1" t="s">
        <v>93</v>
      </c>
      <c r="H39" s="12">
        <f t="shared" si="1"/>
        <v>0</v>
      </c>
    </row>
    <row r="40" spans="1:8" x14ac:dyDescent="0.3">
      <c r="A40" s="3" t="s">
        <v>122</v>
      </c>
      <c r="B40" s="2">
        <v>20</v>
      </c>
      <c r="C40" s="2">
        <f t="shared" si="2"/>
        <v>28.571428571428573</v>
      </c>
      <c r="D40" s="2">
        <v>20</v>
      </c>
      <c r="E40" s="1" t="s">
        <v>94</v>
      </c>
      <c r="F40" s="1" t="s">
        <v>6</v>
      </c>
      <c r="G40" s="1" t="s">
        <v>93</v>
      </c>
      <c r="H40" s="12">
        <f t="shared" si="1"/>
        <v>0</v>
      </c>
    </row>
    <row r="41" spans="1:8" x14ac:dyDescent="0.3">
      <c r="A41" s="3" t="s">
        <v>121</v>
      </c>
      <c r="B41" s="2">
        <v>23</v>
      </c>
      <c r="C41" s="2">
        <f t="shared" si="2"/>
        <v>32.857142857142861</v>
      </c>
      <c r="D41" s="2">
        <v>23</v>
      </c>
      <c r="E41" s="1" t="s">
        <v>94</v>
      </c>
      <c r="F41" s="1" t="s">
        <v>6</v>
      </c>
      <c r="G41" s="1" t="s">
        <v>93</v>
      </c>
      <c r="H41" s="12">
        <f t="shared" si="1"/>
        <v>0</v>
      </c>
    </row>
    <row r="42" spans="1:8" x14ac:dyDescent="0.3">
      <c r="A42" s="4" t="s">
        <v>120</v>
      </c>
      <c r="B42" s="4"/>
      <c r="C42" s="4"/>
      <c r="D42" s="4"/>
      <c r="E42" s="4"/>
      <c r="F42" s="4"/>
      <c r="G42" s="4"/>
      <c r="H42" s="12">
        <f t="shared" si="1"/>
        <v>0</v>
      </c>
    </row>
    <row r="43" spans="1:8" x14ac:dyDescent="0.3">
      <c r="A43" s="3" t="s">
        <v>119</v>
      </c>
      <c r="B43" s="2">
        <v>28</v>
      </c>
      <c r="C43" s="2">
        <f>D43/0.7</f>
        <v>41.414285714285718</v>
      </c>
      <c r="D43" s="2">
        <v>28.99</v>
      </c>
      <c r="E43" s="1" t="s">
        <v>94</v>
      </c>
      <c r="F43" s="1" t="s">
        <v>6</v>
      </c>
      <c r="G43" s="1" t="s">
        <v>93</v>
      </c>
      <c r="H43" s="12">
        <f t="shared" si="1"/>
        <v>0.98999999999999844</v>
      </c>
    </row>
    <row r="44" spans="1:8" x14ac:dyDescent="0.3">
      <c r="A44" s="3" t="s">
        <v>118</v>
      </c>
      <c r="B44" s="2">
        <v>23</v>
      </c>
      <c r="C44" s="2">
        <f>D44/0.7</f>
        <v>34.271428571428572</v>
      </c>
      <c r="D44" s="2">
        <v>23.99</v>
      </c>
      <c r="E44" s="1" t="s">
        <v>94</v>
      </c>
      <c r="F44" s="1" t="s">
        <v>6</v>
      </c>
      <c r="G44" s="1" t="s">
        <v>93</v>
      </c>
      <c r="H44" s="12">
        <f t="shared" si="1"/>
        <v>0.98999999999999844</v>
      </c>
    </row>
    <row r="45" spans="1:8" x14ac:dyDescent="0.3">
      <c r="A45" s="3" t="s">
        <v>117</v>
      </c>
      <c r="B45" s="2">
        <v>16.5</v>
      </c>
      <c r="C45" s="1"/>
      <c r="D45" s="2">
        <v>16.5</v>
      </c>
      <c r="E45" s="1" t="s">
        <v>1</v>
      </c>
      <c r="F45" s="1" t="s">
        <v>0</v>
      </c>
      <c r="G45" s="1" t="s">
        <v>1</v>
      </c>
      <c r="H45" s="12">
        <f t="shared" si="1"/>
        <v>0</v>
      </c>
    </row>
    <row r="46" spans="1:8" x14ac:dyDescent="0.3">
      <c r="A46" s="3" t="s">
        <v>116</v>
      </c>
      <c r="B46" s="2">
        <v>10</v>
      </c>
      <c r="C46" s="1"/>
      <c r="D46" s="2">
        <v>10.25</v>
      </c>
      <c r="E46" s="1" t="s">
        <v>1</v>
      </c>
      <c r="F46" s="1" t="s">
        <v>6</v>
      </c>
      <c r="G46" s="1" t="s">
        <v>1</v>
      </c>
      <c r="H46" s="12">
        <f t="shared" si="1"/>
        <v>0.25</v>
      </c>
    </row>
    <row r="47" spans="1:8" x14ac:dyDescent="0.3">
      <c r="A47" s="4" t="s">
        <v>115</v>
      </c>
      <c r="B47" s="4"/>
      <c r="C47" s="4"/>
      <c r="D47" s="4"/>
      <c r="E47" s="4"/>
      <c r="F47" s="4"/>
      <c r="G47" s="4"/>
      <c r="H47" s="12">
        <f t="shared" si="1"/>
        <v>0</v>
      </c>
    </row>
    <row r="48" spans="1:8" x14ac:dyDescent="0.3">
      <c r="A48" s="3" t="s">
        <v>114</v>
      </c>
      <c r="B48" s="2">
        <v>12</v>
      </c>
      <c r="C48" s="2">
        <f>D48/0.7</f>
        <v>17.857142857142858</v>
      </c>
      <c r="D48" s="2">
        <v>12.5</v>
      </c>
      <c r="E48" s="1" t="s">
        <v>94</v>
      </c>
      <c r="F48" s="1" t="s">
        <v>6</v>
      </c>
      <c r="G48" s="1" t="s">
        <v>93</v>
      </c>
      <c r="H48" s="12">
        <f t="shared" si="1"/>
        <v>0.5</v>
      </c>
    </row>
    <row r="49" spans="1:8" x14ac:dyDescent="0.3">
      <c r="A49" s="3" t="s">
        <v>113</v>
      </c>
      <c r="B49" s="2">
        <v>19</v>
      </c>
      <c r="C49" s="2">
        <f t="shared" ref="C49:C61" si="3">D49/0.7</f>
        <v>27.857142857142858</v>
      </c>
      <c r="D49" s="2">
        <v>19.5</v>
      </c>
      <c r="E49" s="1" t="s">
        <v>94</v>
      </c>
      <c r="F49" s="1" t="s">
        <v>6</v>
      </c>
      <c r="G49" s="1" t="s">
        <v>93</v>
      </c>
      <c r="H49" s="12">
        <f t="shared" si="1"/>
        <v>0.5</v>
      </c>
    </row>
    <row r="50" spans="1:8" x14ac:dyDescent="0.3">
      <c r="A50" s="3" t="s">
        <v>112</v>
      </c>
      <c r="B50" s="2">
        <v>26</v>
      </c>
      <c r="C50" s="2">
        <f t="shared" si="3"/>
        <v>37.857142857142861</v>
      </c>
      <c r="D50" s="2">
        <v>26.5</v>
      </c>
      <c r="E50" s="1" t="s">
        <v>94</v>
      </c>
      <c r="F50" s="1" t="s">
        <v>6</v>
      </c>
      <c r="G50" s="1" t="s">
        <v>93</v>
      </c>
      <c r="H50" s="12">
        <f t="shared" si="1"/>
        <v>0.5</v>
      </c>
    </row>
    <row r="51" spans="1:8" x14ac:dyDescent="0.3">
      <c r="A51" s="3" t="s">
        <v>111</v>
      </c>
      <c r="B51" s="2">
        <v>17</v>
      </c>
      <c r="C51" s="2">
        <f t="shared" si="3"/>
        <v>25</v>
      </c>
      <c r="D51" s="2">
        <v>17.5</v>
      </c>
      <c r="E51" s="1" t="s">
        <v>94</v>
      </c>
      <c r="F51" s="1" t="s">
        <v>6</v>
      </c>
      <c r="G51" s="1" t="s">
        <v>93</v>
      </c>
      <c r="H51" s="12">
        <f t="shared" si="1"/>
        <v>0.5</v>
      </c>
    </row>
    <row r="52" spans="1:8" x14ac:dyDescent="0.3">
      <c r="A52" s="3" t="s">
        <v>110</v>
      </c>
      <c r="B52" s="2">
        <v>27.5</v>
      </c>
      <c r="C52" s="2">
        <f t="shared" si="3"/>
        <v>40</v>
      </c>
      <c r="D52" s="2">
        <v>28</v>
      </c>
      <c r="E52" s="1" t="s">
        <v>94</v>
      </c>
      <c r="F52" s="1" t="s">
        <v>6</v>
      </c>
      <c r="G52" s="1" t="s">
        <v>93</v>
      </c>
      <c r="H52" s="12">
        <f t="shared" si="1"/>
        <v>0.5</v>
      </c>
    </row>
    <row r="53" spans="1:8" x14ac:dyDescent="0.3">
      <c r="A53" s="3" t="s">
        <v>109</v>
      </c>
      <c r="B53" s="2">
        <v>30.5</v>
      </c>
      <c r="C53" s="2">
        <f t="shared" si="3"/>
        <v>44.285714285714292</v>
      </c>
      <c r="D53" s="2">
        <v>31</v>
      </c>
      <c r="E53" s="1" t="s">
        <v>94</v>
      </c>
      <c r="F53" s="1" t="s">
        <v>6</v>
      </c>
      <c r="G53" s="1" t="s">
        <v>93</v>
      </c>
      <c r="H53" s="12">
        <f t="shared" si="1"/>
        <v>0.5</v>
      </c>
    </row>
    <row r="54" spans="1:8" x14ac:dyDescent="0.3">
      <c r="A54" s="3" t="s">
        <v>108</v>
      </c>
      <c r="B54" s="2">
        <v>36</v>
      </c>
      <c r="C54" s="2">
        <f t="shared" si="3"/>
        <v>52.142857142857146</v>
      </c>
      <c r="D54" s="2">
        <v>36.5</v>
      </c>
      <c r="E54" s="1" t="s">
        <v>94</v>
      </c>
      <c r="F54" s="1" t="s">
        <v>6</v>
      </c>
      <c r="G54" s="1" t="s">
        <v>93</v>
      </c>
      <c r="H54" s="12">
        <f t="shared" si="1"/>
        <v>0.5</v>
      </c>
    </row>
    <row r="55" spans="1:8" x14ac:dyDescent="0.3">
      <c r="A55" s="3" t="s">
        <v>107</v>
      </c>
      <c r="B55" s="2">
        <v>17</v>
      </c>
      <c r="C55" s="2">
        <f t="shared" si="3"/>
        <v>25</v>
      </c>
      <c r="D55" s="2">
        <v>17.5</v>
      </c>
      <c r="E55" s="1" t="s">
        <v>94</v>
      </c>
      <c r="F55" s="1" t="s">
        <v>6</v>
      </c>
      <c r="G55" s="1" t="s">
        <v>93</v>
      </c>
      <c r="H55" s="12">
        <f t="shared" si="1"/>
        <v>0.5</v>
      </c>
    </row>
    <row r="56" spans="1:8" x14ac:dyDescent="0.3">
      <c r="A56" s="3" t="s">
        <v>106</v>
      </c>
      <c r="B56" s="2">
        <v>27.5</v>
      </c>
      <c r="C56" s="2">
        <f t="shared" si="3"/>
        <v>40</v>
      </c>
      <c r="D56" s="2">
        <v>28</v>
      </c>
      <c r="E56" s="1" t="s">
        <v>94</v>
      </c>
      <c r="F56" s="1" t="s">
        <v>6</v>
      </c>
      <c r="G56" s="1" t="s">
        <v>93</v>
      </c>
      <c r="H56" s="12">
        <f t="shared" si="1"/>
        <v>0.5</v>
      </c>
    </row>
    <row r="57" spans="1:8" x14ac:dyDescent="0.3">
      <c r="A57" s="3" t="s">
        <v>105</v>
      </c>
      <c r="B57" s="2">
        <v>30.5</v>
      </c>
      <c r="C57" s="2">
        <f t="shared" si="3"/>
        <v>44.285714285714292</v>
      </c>
      <c r="D57" s="2">
        <v>31</v>
      </c>
      <c r="E57" s="1" t="s">
        <v>94</v>
      </c>
      <c r="F57" s="1" t="s">
        <v>6</v>
      </c>
      <c r="G57" s="1" t="s">
        <v>93</v>
      </c>
      <c r="H57" s="12">
        <f t="shared" si="1"/>
        <v>0.5</v>
      </c>
    </row>
    <row r="58" spans="1:8" x14ac:dyDescent="0.3">
      <c r="A58" s="3" t="s">
        <v>104</v>
      </c>
      <c r="B58" s="2">
        <v>36</v>
      </c>
      <c r="C58" s="2">
        <f t="shared" si="3"/>
        <v>52.142857142857146</v>
      </c>
      <c r="D58" s="2">
        <v>36.5</v>
      </c>
      <c r="E58" s="1" t="s">
        <v>94</v>
      </c>
      <c r="F58" s="1" t="s">
        <v>6</v>
      </c>
      <c r="G58" s="1" t="s">
        <v>93</v>
      </c>
      <c r="H58" s="12">
        <f t="shared" si="1"/>
        <v>0.5</v>
      </c>
    </row>
    <row r="59" spans="1:8" x14ac:dyDescent="0.3">
      <c r="A59" s="3" t="s">
        <v>103</v>
      </c>
      <c r="B59" s="2">
        <v>20.5</v>
      </c>
      <c r="C59" s="2">
        <f t="shared" si="3"/>
        <v>30.000000000000004</v>
      </c>
      <c r="D59" s="2">
        <v>21</v>
      </c>
      <c r="E59" s="1" t="s">
        <v>94</v>
      </c>
      <c r="F59" s="1" t="s">
        <v>6</v>
      </c>
      <c r="G59" s="1" t="s">
        <v>93</v>
      </c>
      <c r="H59" s="12">
        <f t="shared" si="1"/>
        <v>0.5</v>
      </c>
    </row>
    <row r="60" spans="1:8" x14ac:dyDescent="0.3">
      <c r="A60" s="3" t="s">
        <v>102</v>
      </c>
      <c r="B60" s="2">
        <v>28</v>
      </c>
      <c r="C60" s="2">
        <f t="shared" si="3"/>
        <v>40.714285714285715</v>
      </c>
      <c r="D60" s="2">
        <v>28.5</v>
      </c>
      <c r="E60" s="1" t="s">
        <v>94</v>
      </c>
      <c r="F60" s="1" t="s">
        <v>6</v>
      </c>
      <c r="G60" s="1" t="s">
        <v>93</v>
      </c>
      <c r="H60" s="12">
        <f t="shared" si="1"/>
        <v>0.5</v>
      </c>
    </row>
    <row r="61" spans="1:8" x14ac:dyDescent="0.3">
      <c r="A61" s="3" t="s">
        <v>101</v>
      </c>
      <c r="B61" s="2">
        <v>34</v>
      </c>
      <c r="C61" s="2">
        <f t="shared" si="3"/>
        <v>49.285714285714292</v>
      </c>
      <c r="D61" s="2">
        <v>34.5</v>
      </c>
      <c r="E61" s="1" t="s">
        <v>94</v>
      </c>
      <c r="F61" s="1" t="s">
        <v>6</v>
      </c>
      <c r="G61" s="1" t="s">
        <v>93</v>
      </c>
      <c r="H61" s="12">
        <f t="shared" si="1"/>
        <v>0.5</v>
      </c>
    </row>
    <row r="62" spans="1:8" x14ac:dyDescent="0.3">
      <c r="A62" s="3" t="s">
        <v>100</v>
      </c>
      <c r="B62" s="2">
        <v>120</v>
      </c>
      <c r="C62" s="1" t="s">
        <v>35</v>
      </c>
      <c r="D62" s="2">
        <v>121.24</v>
      </c>
      <c r="E62" s="1" t="s">
        <v>1</v>
      </c>
      <c r="F62" s="1" t="s">
        <v>6</v>
      </c>
      <c r="G62" s="1" t="s">
        <v>1</v>
      </c>
      <c r="H62" s="12">
        <f t="shared" si="1"/>
        <v>1.2399999999999949</v>
      </c>
    </row>
    <row r="63" spans="1:8" x14ac:dyDescent="0.3">
      <c r="A63" s="3" t="s">
        <v>99</v>
      </c>
      <c r="B63" s="2">
        <v>120</v>
      </c>
      <c r="C63" s="1" t="s">
        <v>35</v>
      </c>
      <c r="D63" s="2">
        <v>121.24</v>
      </c>
      <c r="E63" s="1" t="s">
        <v>1</v>
      </c>
      <c r="F63" s="1" t="s">
        <v>6</v>
      </c>
      <c r="G63" s="1" t="s">
        <v>1</v>
      </c>
      <c r="H63" s="12">
        <f t="shared" si="1"/>
        <v>1.2399999999999949</v>
      </c>
    </row>
    <row r="64" spans="1:8" x14ac:dyDescent="0.3">
      <c r="A64" s="3" t="s">
        <v>98</v>
      </c>
      <c r="B64" s="2">
        <v>120</v>
      </c>
      <c r="C64" s="1" t="s">
        <v>35</v>
      </c>
      <c r="D64" s="2">
        <v>121.24</v>
      </c>
      <c r="E64" s="1" t="s">
        <v>1</v>
      </c>
      <c r="F64" s="1" t="s">
        <v>6</v>
      </c>
      <c r="G64" s="1" t="s">
        <v>1</v>
      </c>
      <c r="H64" s="12">
        <f t="shared" si="1"/>
        <v>1.2399999999999949</v>
      </c>
    </row>
    <row r="65" spans="1:8" x14ac:dyDescent="0.3">
      <c r="A65" s="3" t="s">
        <v>97</v>
      </c>
      <c r="B65" s="2">
        <v>7</v>
      </c>
      <c r="C65" s="1"/>
      <c r="D65" s="2">
        <v>7</v>
      </c>
      <c r="E65" s="1" t="s">
        <v>1</v>
      </c>
      <c r="F65" s="1" t="s">
        <v>0</v>
      </c>
      <c r="G65" s="1" t="s">
        <v>1</v>
      </c>
      <c r="H65" s="12">
        <f t="shared" si="1"/>
        <v>0</v>
      </c>
    </row>
    <row r="66" spans="1:8" x14ac:dyDescent="0.3">
      <c r="A66" s="4" t="s">
        <v>96</v>
      </c>
      <c r="B66" s="4"/>
      <c r="C66" s="4"/>
      <c r="D66" s="4"/>
      <c r="E66" s="4"/>
      <c r="F66" s="4"/>
      <c r="G66" s="4"/>
      <c r="H66" s="12">
        <f t="shared" si="1"/>
        <v>0</v>
      </c>
    </row>
    <row r="67" spans="1:8" x14ac:dyDescent="0.3">
      <c r="A67" s="3" t="s">
        <v>95</v>
      </c>
      <c r="B67" s="13">
        <v>13.65</v>
      </c>
      <c r="C67" s="13">
        <f>D67/0.7</f>
        <v>20.214285714285715</v>
      </c>
      <c r="D67" s="13">
        <f>B67+0.5</f>
        <v>14.15</v>
      </c>
      <c r="E67" s="1" t="s">
        <v>94</v>
      </c>
      <c r="F67" s="1" t="s">
        <v>6</v>
      </c>
      <c r="G67" s="1" t="s">
        <v>93</v>
      </c>
      <c r="H67" s="12">
        <f t="shared" si="1"/>
        <v>0.5</v>
      </c>
    </row>
    <row r="68" spans="1:8" x14ac:dyDescent="0.3">
      <c r="A68" s="3" t="s">
        <v>92</v>
      </c>
      <c r="B68" s="13">
        <f>14.49</f>
        <v>14.49</v>
      </c>
      <c r="C68" s="13"/>
      <c r="D68" s="13">
        <f>B68+0.5</f>
        <v>14.99</v>
      </c>
      <c r="E68" s="1" t="s">
        <v>1</v>
      </c>
      <c r="F68" s="1" t="s">
        <v>6</v>
      </c>
      <c r="G68" s="1" t="s">
        <v>1</v>
      </c>
      <c r="H68" s="12">
        <f t="shared" si="1"/>
        <v>0.5</v>
      </c>
    </row>
    <row r="69" spans="1:8" x14ac:dyDescent="0.3">
      <c r="A69" s="3" t="s">
        <v>91</v>
      </c>
      <c r="B69" s="13">
        <f>16.99-0.5</f>
        <v>16.489999999999998</v>
      </c>
      <c r="C69" s="13"/>
      <c r="D69" s="13">
        <f>B69+0.5</f>
        <v>16.989999999999998</v>
      </c>
      <c r="E69" s="1" t="s">
        <v>1</v>
      </c>
      <c r="F69" s="1" t="s">
        <v>6</v>
      </c>
      <c r="G69" s="1" t="s">
        <v>1</v>
      </c>
      <c r="H69" s="12">
        <f t="shared" si="1"/>
        <v>0.5</v>
      </c>
    </row>
    <row r="70" spans="1:8" x14ac:dyDescent="0.3">
      <c r="A70" s="3" t="s">
        <v>90</v>
      </c>
      <c r="B70" s="13">
        <v>23.49</v>
      </c>
      <c r="C70" s="13"/>
      <c r="D70" s="13">
        <f>B70+0.5</f>
        <v>23.99</v>
      </c>
      <c r="E70" s="1" t="s">
        <v>1</v>
      </c>
      <c r="F70" s="1" t="s">
        <v>6</v>
      </c>
      <c r="G70" s="1" t="s">
        <v>1</v>
      </c>
      <c r="H70" s="12">
        <f t="shared" si="1"/>
        <v>0.5</v>
      </c>
    </row>
    <row r="71" spans="1:8" x14ac:dyDescent="0.3">
      <c r="A71" s="3" t="s">
        <v>89</v>
      </c>
      <c r="B71" s="2">
        <v>5</v>
      </c>
      <c r="C71" s="1"/>
      <c r="D71" s="2">
        <v>5</v>
      </c>
      <c r="E71" s="1" t="s">
        <v>1</v>
      </c>
      <c r="F71" s="1" t="s">
        <v>0</v>
      </c>
      <c r="G71" s="1" t="s">
        <v>1</v>
      </c>
      <c r="H71" s="12">
        <f t="shared" si="1"/>
        <v>0</v>
      </c>
    </row>
    <row r="72" spans="1:8" x14ac:dyDescent="0.3">
      <c r="A72" s="3" t="s">
        <v>88</v>
      </c>
      <c r="B72" s="2">
        <v>5</v>
      </c>
      <c r="C72" s="1"/>
      <c r="D72" s="2">
        <v>5</v>
      </c>
      <c r="E72" s="1" t="s">
        <v>1</v>
      </c>
      <c r="F72" s="1" t="s">
        <v>0</v>
      </c>
      <c r="G72" s="1" t="s">
        <v>1</v>
      </c>
      <c r="H72" s="12">
        <f t="shared" ref="H72:H135" si="4">D72-B72</f>
        <v>0</v>
      </c>
    </row>
    <row r="73" spans="1:8" x14ac:dyDescent="0.3">
      <c r="A73" s="4" t="s">
        <v>87</v>
      </c>
      <c r="B73" s="4"/>
      <c r="C73" s="4"/>
      <c r="D73" s="4"/>
      <c r="E73" s="4"/>
      <c r="F73" s="4"/>
      <c r="G73" s="4"/>
      <c r="H73" s="12">
        <f t="shared" si="4"/>
        <v>0</v>
      </c>
    </row>
    <row r="74" spans="1:8" x14ac:dyDescent="0.3">
      <c r="A74" s="3" t="s">
        <v>86</v>
      </c>
      <c r="B74" s="2">
        <v>6</v>
      </c>
      <c r="C74" s="1"/>
      <c r="D74" s="2">
        <v>6.1</v>
      </c>
      <c r="E74" s="1" t="s">
        <v>1</v>
      </c>
      <c r="F74" s="1" t="s">
        <v>6</v>
      </c>
      <c r="G74" s="1" t="s">
        <v>1</v>
      </c>
      <c r="H74" s="12">
        <f t="shared" si="4"/>
        <v>9.9999999999999645E-2</v>
      </c>
    </row>
    <row r="75" spans="1:8" x14ac:dyDescent="0.3">
      <c r="A75" s="3" t="s">
        <v>85</v>
      </c>
      <c r="B75" s="2">
        <v>6</v>
      </c>
      <c r="C75" s="1"/>
      <c r="D75" s="2">
        <v>6.1</v>
      </c>
      <c r="E75" s="1" t="s">
        <v>1</v>
      </c>
      <c r="F75" s="1" t="s">
        <v>6</v>
      </c>
      <c r="G75" s="1" t="s">
        <v>1</v>
      </c>
      <c r="H75" s="12">
        <f t="shared" si="4"/>
        <v>9.9999999999999645E-2</v>
      </c>
    </row>
    <row r="76" spans="1:8" x14ac:dyDescent="0.3">
      <c r="A76" s="3" t="s">
        <v>84</v>
      </c>
      <c r="B76" s="2">
        <v>6</v>
      </c>
      <c r="C76" s="1"/>
      <c r="D76" s="2">
        <v>6.1</v>
      </c>
      <c r="E76" s="1" t="s">
        <v>1</v>
      </c>
      <c r="F76" s="1" t="s">
        <v>6</v>
      </c>
      <c r="G76" s="1" t="s">
        <v>1</v>
      </c>
      <c r="H76" s="12">
        <f t="shared" si="4"/>
        <v>9.9999999999999645E-2</v>
      </c>
    </row>
    <row r="77" spans="1:8" x14ac:dyDescent="0.3">
      <c r="A77" s="3" t="s">
        <v>83</v>
      </c>
      <c r="B77" s="2">
        <v>6.5</v>
      </c>
      <c r="C77" s="1"/>
      <c r="D77" s="2">
        <v>6.6</v>
      </c>
      <c r="E77" s="1" t="s">
        <v>1</v>
      </c>
      <c r="F77" s="1" t="s">
        <v>6</v>
      </c>
      <c r="G77" s="1" t="s">
        <v>1</v>
      </c>
      <c r="H77" s="12">
        <f t="shared" si="4"/>
        <v>9.9999999999999645E-2</v>
      </c>
    </row>
    <row r="78" spans="1:8" x14ac:dyDescent="0.3">
      <c r="A78" s="3" t="s">
        <v>82</v>
      </c>
      <c r="B78" s="2">
        <v>6</v>
      </c>
      <c r="C78" s="1"/>
      <c r="D78" s="2">
        <v>6.1</v>
      </c>
      <c r="E78" s="1" t="s">
        <v>1</v>
      </c>
      <c r="F78" s="1" t="s">
        <v>6</v>
      </c>
      <c r="G78" s="1" t="s">
        <v>1</v>
      </c>
      <c r="H78" s="12">
        <f t="shared" si="4"/>
        <v>9.9999999999999645E-2</v>
      </c>
    </row>
    <row r="79" spans="1:8" x14ac:dyDescent="0.3">
      <c r="A79" s="3" t="s">
        <v>81</v>
      </c>
      <c r="B79" s="2">
        <v>3.5</v>
      </c>
      <c r="C79" s="1"/>
      <c r="D79" s="2">
        <v>3.6</v>
      </c>
      <c r="E79" s="1" t="s">
        <v>1</v>
      </c>
      <c r="F79" s="1" t="s">
        <v>6</v>
      </c>
      <c r="G79" s="1" t="s">
        <v>1</v>
      </c>
      <c r="H79" s="12">
        <f t="shared" si="4"/>
        <v>0.10000000000000009</v>
      </c>
    </row>
    <row r="80" spans="1:8" x14ac:dyDescent="0.3">
      <c r="A80" s="3" t="s">
        <v>80</v>
      </c>
      <c r="B80" s="2">
        <v>3.5</v>
      </c>
      <c r="C80" s="1"/>
      <c r="D80" s="2">
        <v>3.6</v>
      </c>
      <c r="E80" s="1" t="s">
        <v>1</v>
      </c>
      <c r="F80" s="1" t="s">
        <v>6</v>
      </c>
      <c r="G80" s="1" t="s">
        <v>1</v>
      </c>
      <c r="H80" s="12">
        <f t="shared" si="4"/>
        <v>0.10000000000000009</v>
      </c>
    </row>
    <row r="81" spans="1:8" x14ac:dyDescent="0.3">
      <c r="A81" s="3" t="s">
        <v>79</v>
      </c>
      <c r="B81" s="2">
        <v>5.2</v>
      </c>
      <c r="C81" s="1"/>
      <c r="D81" s="2">
        <v>5.3</v>
      </c>
      <c r="E81" s="1" t="s">
        <v>1</v>
      </c>
      <c r="F81" s="1" t="s">
        <v>6</v>
      </c>
      <c r="G81" s="1" t="s">
        <v>1</v>
      </c>
      <c r="H81" s="12">
        <f t="shared" si="4"/>
        <v>9.9999999999999645E-2</v>
      </c>
    </row>
    <row r="82" spans="1:8" x14ac:dyDescent="0.3">
      <c r="A82" s="3" t="s">
        <v>78</v>
      </c>
      <c r="B82" s="2">
        <v>5.2</v>
      </c>
      <c r="C82" s="1"/>
      <c r="D82" s="2">
        <v>5.3</v>
      </c>
      <c r="E82" s="1" t="s">
        <v>1</v>
      </c>
      <c r="F82" s="1" t="s">
        <v>6</v>
      </c>
      <c r="G82" s="1" t="s">
        <v>1</v>
      </c>
      <c r="H82" s="12">
        <f t="shared" si="4"/>
        <v>9.9999999999999645E-2</v>
      </c>
    </row>
    <row r="83" spans="1:8" x14ac:dyDescent="0.3">
      <c r="A83" s="3" t="s">
        <v>77</v>
      </c>
      <c r="B83" s="2">
        <v>5.2</v>
      </c>
      <c r="C83" s="1"/>
      <c r="D83" s="2">
        <v>5.3</v>
      </c>
      <c r="E83" s="1" t="s">
        <v>1</v>
      </c>
      <c r="F83" s="1" t="s">
        <v>6</v>
      </c>
      <c r="G83" s="1" t="s">
        <v>1</v>
      </c>
      <c r="H83" s="12">
        <f t="shared" si="4"/>
        <v>9.9999999999999645E-2</v>
      </c>
    </row>
    <row r="84" spans="1:8" x14ac:dyDescent="0.3">
      <c r="A84" s="3" t="s">
        <v>76</v>
      </c>
      <c r="B84" s="2">
        <v>13.98</v>
      </c>
      <c r="C84" s="1"/>
      <c r="D84" s="2">
        <v>14.08</v>
      </c>
      <c r="E84" s="1" t="s">
        <v>1</v>
      </c>
      <c r="F84" s="1" t="s">
        <v>6</v>
      </c>
      <c r="G84" s="1" t="s">
        <v>1</v>
      </c>
      <c r="H84" s="12">
        <f t="shared" si="4"/>
        <v>9.9999999999999645E-2</v>
      </c>
    </row>
    <row r="85" spans="1:8" x14ac:dyDescent="0.3">
      <c r="A85" s="3" t="s">
        <v>75</v>
      </c>
      <c r="B85" s="2">
        <v>13.98</v>
      </c>
      <c r="C85" s="1"/>
      <c r="D85" s="2">
        <v>14.08</v>
      </c>
      <c r="E85" s="1" t="s">
        <v>1</v>
      </c>
      <c r="F85" s="1" t="s">
        <v>6</v>
      </c>
      <c r="G85" s="1" t="s">
        <v>1</v>
      </c>
      <c r="H85" s="12">
        <f t="shared" si="4"/>
        <v>9.9999999999999645E-2</v>
      </c>
    </row>
    <row r="86" spans="1:8" x14ac:dyDescent="0.3">
      <c r="A86" s="3" t="s">
        <v>74</v>
      </c>
      <c r="B86" s="2">
        <v>25</v>
      </c>
      <c r="C86" s="1"/>
      <c r="D86" s="2">
        <v>25.1</v>
      </c>
      <c r="E86" s="1" t="s">
        <v>1</v>
      </c>
      <c r="F86" s="1" t="s">
        <v>6</v>
      </c>
      <c r="G86" s="1" t="s">
        <v>1</v>
      </c>
      <c r="H86" s="12">
        <f t="shared" si="4"/>
        <v>0.10000000000000142</v>
      </c>
    </row>
    <row r="87" spans="1:8" x14ac:dyDescent="0.3">
      <c r="A87" s="3" t="s">
        <v>73</v>
      </c>
      <c r="B87" s="2">
        <v>35</v>
      </c>
      <c r="C87" s="1"/>
      <c r="D87" s="2">
        <v>35.1</v>
      </c>
      <c r="E87" s="1" t="s">
        <v>1</v>
      </c>
      <c r="F87" s="1" t="s">
        <v>6</v>
      </c>
      <c r="G87" s="1" t="s">
        <v>1</v>
      </c>
      <c r="H87" s="12">
        <f t="shared" si="4"/>
        <v>0.10000000000000142</v>
      </c>
    </row>
    <row r="88" spans="1:8" x14ac:dyDescent="0.3">
      <c r="A88" s="3" t="s">
        <v>72</v>
      </c>
      <c r="B88" s="2">
        <v>13.98</v>
      </c>
      <c r="C88" s="1"/>
      <c r="D88" s="2">
        <v>14.08</v>
      </c>
      <c r="E88" s="1" t="s">
        <v>1</v>
      </c>
      <c r="F88" s="1" t="s">
        <v>6</v>
      </c>
      <c r="G88" s="1" t="s">
        <v>1</v>
      </c>
      <c r="H88" s="12">
        <f t="shared" si="4"/>
        <v>9.9999999999999645E-2</v>
      </c>
    </row>
    <row r="89" spans="1:8" x14ac:dyDescent="0.3">
      <c r="A89" s="4" t="s">
        <v>71</v>
      </c>
      <c r="B89" s="4"/>
      <c r="C89" s="4"/>
      <c r="D89" s="4"/>
      <c r="E89" s="4"/>
      <c r="F89" s="4"/>
      <c r="G89" s="4"/>
      <c r="H89" s="12">
        <f t="shared" si="4"/>
        <v>0</v>
      </c>
    </row>
    <row r="90" spans="1:8" x14ac:dyDescent="0.3">
      <c r="A90" s="3" t="s">
        <v>70</v>
      </c>
      <c r="B90" s="2">
        <v>2</v>
      </c>
      <c r="C90" s="1"/>
      <c r="D90" s="2">
        <v>2</v>
      </c>
      <c r="E90" s="1" t="s">
        <v>1</v>
      </c>
      <c r="F90" s="1" t="s">
        <v>0</v>
      </c>
      <c r="G90" s="1" t="s">
        <v>1</v>
      </c>
      <c r="H90" s="12">
        <f t="shared" si="4"/>
        <v>0</v>
      </c>
    </row>
    <row r="91" spans="1:8" x14ac:dyDescent="0.3">
      <c r="A91" s="3" t="s">
        <v>69</v>
      </c>
      <c r="B91" s="2">
        <v>3</v>
      </c>
      <c r="C91" s="1"/>
      <c r="D91" s="2">
        <v>3</v>
      </c>
      <c r="E91" s="1" t="s">
        <v>1</v>
      </c>
      <c r="F91" s="1" t="s">
        <v>0</v>
      </c>
      <c r="G91" s="1" t="s">
        <v>1</v>
      </c>
      <c r="H91" s="12">
        <f t="shared" si="4"/>
        <v>0</v>
      </c>
    </row>
    <row r="92" spans="1:8" x14ac:dyDescent="0.3">
      <c r="A92" s="3" t="s">
        <v>68</v>
      </c>
      <c r="B92" s="2">
        <v>2</v>
      </c>
      <c r="C92" s="1"/>
      <c r="D92" s="2">
        <v>2</v>
      </c>
      <c r="E92" s="1" t="s">
        <v>1</v>
      </c>
      <c r="F92" s="1" t="s">
        <v>0</v>
      </c>
      <c r="G92" s="1" t="s">
        <v>1</v>
      </c>
      <c r="H92" s="12">
        <f t="shared" si="4"/>
        <v>0</v>
      </c>
    </row>
    <row r="93" spans="1:8" x14ac:dyDescent="0.3">
      <c r="A93" s="4" t="s">
        <v>67</v>
      </c>
      <c r="B93" s="4"/>
      <c r="C93" s="4"/>
      <c r="D93" s="4"/>
      <c r="E93" s="4"/>
      <c r="F93" s="4"/>
      <c r="G93" s="4"/>
      <c r="H93" s="12">
        <f t="shared" si="4"/>
        <v>0</v>
      </c>
    </row>
    <row r="94" spans="1:8" x14ac:dyDescent="0.3">
      <c r="A94" s="3" t="s">
        <v>66</v>
      </c>
      <c r="B94" s="13">
        <v>0.5</v>
      </c>
      <c r="C94" s="1"/>
      <c r="D94" s="13">
        <v>0.75</v>
      </c>
      <c r="E94" s="1" t="s">
        <v>1</v>
      </c>
      <c r="F94" s="5" t="s">
        <v>6</v>
      </c>
      <c r="G94" s="1" t="s">
        <v>1</v>
      </c>
      <c r="H94" s="12">
        <f t="shared" si="4"/>
        <v>0.25</v>
      </c>
    </row>
    <row r="95" spans="1:8" x14ac:dyDescent="0.3">
      <c r="A95" s="3" t="s">
        <v>65</v>
      </c>
      <c r="B95" s="13">
        <v>1.5</v>
      </c>
      <c r="C95" s="1"/>
      <c r="D95" s="13">
        <v>2</v>
      </c>
      <c r="E95" s="1" t="s">
        <v>1</v>
      </c>
      <c r="F95" s="5" t="s">
        <v>6</v>
      </c>
      <c r="G95" s="1" t="s">
        <v>1</v>
      </c>
      <c r="H95" s="12">
        <f t="shared" si="4"/>
        <v>0.5</v>
      </c>
    </row>
    <row r="96" spans="1:8" x14ac:dyDescent="0.3">
      <c r="A96" s="4" t="s">
        <v>64</v>
      </c>
      <c r="B96" s="4"/>
      <c r="C96" s="4"/>
      <c r="D96" s="4"/>
      <c r="E96" s="4"/>
      <c r="F96" s="4"/>
      <c r="G96" s="4"/>
      <c r="H96" s="12">
        <f t="shared" si="4"/>
        <v>0</v>
      </c>
    </row>
    <row r="97" spans="1:8" x14ac:dyDescent="0.3">
      <c r="A97" s="3" t="s">
        <v>63</v>
      </c>
      <c r="B97" s="2">
        <v>10.9</v>
      </c>
      <c r="C97" s="1"/>
      <c r="D97" s="2">
        <v>10.9</v>
      </c>
      <c r="E97" s="1" t="s">
        <v>1</v>
      </c>
      <c r="F97" s="1" t="s">
        <v>0</v>
      </c>
      <c r="G97" s="1" t="s">
        <v>1</v>
      </c>
      <c r="H97" s="12">
        <f t="shared" si="4"/>
        <v>0</v>
      </c>
    </row>
    <row r="98" spans="1:8" x14ac:dyDescent="0.3">
      <c r="A98" s="3" t="s">
        <v>62</v>
      </c>
      <c r="B98" s="2">
        <v>12</v>
      </c>
      <c r="C98" s="1"/>
      <c r="D98" s="2">
        <v>12</v>
      </c>
      <c r="E98" s="1" t="s">
        <v>1</v>
      </c>
      <c r="F98" s="1" t="s">
        <v>0</v>
      </c>
      <c r="G98" s="1" t="s">
        <v>1</v>
      </c>
      <c r="H98" s="12">
        <f t="shared" si="4"/>
        <v>0</v>
      </c>
    </row>
    <row r="99" spans="1:8" x14ac:dyDescent="0.3">
      <c r="A99" s="3" t="s">
        <v>61</v>
      </c>
      <c r="B99" s="2">
        <v>14</v>
      </c>
      <c r="C99" s="1"/>
      <c r="D99" s="2">
        <v>14</v>
      </c>
      <c r="E99" s="1" t="s">
        <v>1</v>
      </c>
      <c r="F99" s="1" t="s">
        <v>0</v>
      </c>
      <c r="G99" s="1" t="s">
        <v>1</v>
      </c>
      <c r="H99" s="12">
        <f t="shared" si="4"/>
        <v>0</v>
      </c>
    </row>
    <row r="100" spans="1:8" x14ac:dyDescent="0.3">
      <c r="A100" s="3" t="s">
        <v>60</v>
      </c>
      <c r="B100" s="2">
        <v>14</v>
      </c>
      <c r="C100" s="1"/>
      <c r="D100" s="2">
        <v>14</v>
      </c>
      <c r="E100" s="1" t="s">
        <v>1</v>
      </c>
      <c r="F100" s="1" t="s">
        <v>0</v>
      </c>
      <c r="G100" s="1" t="s">
        <v>1</v>
      </c>
      <c r="H100" s="12">
        <f t="shared" si="4"/>
        <v>0</v>
      </c>
    </row>
    <row r="101" spans="1:8" x14ac:dyDescent="0.3">
      <c r="A101" s="3" t="s">
        <v>59</v>
      </c>
      <c r="B101" s="2">
        <v>15</v>
      </c>
      <c r="C101" s="1"/>
      <c r="D101" s="2">
        <v>15</v>
      </c>
      <c r="E101" s="1" t="s">
        <v>1</v>
      </c>
      <c r="F101" s="1" t="s">
        <v>0</v>
      </c>
      <c r="G101" s="1" t="s">
        <v>1</v>
      </c>
      <c r="H101" s="12">
        <f t="shared" si="4"/>
        <v>0</v>
      </c>
    </row>
    <row r="102" spans="1:8" x14ac:dyDescent="0.3">
      <c r="A102" s="3" t="s">
        <v>58</v>
      </c>
      <c r="B102" s="2">
        <v>14</v>
      </c>
      <c r="C102" s="1"/>
      <c r="D102" s="2">
        <v>14</v>
      </c>
      <c r="E102" s="1" t="s">
        <v>1</v>
      </c>
      <c r="F102" s="1" t="s">
        <v>0</v>
      </c>
      <c r="G102" s="1" t="s">
        <v>1</v>
      </c>
      <c r="H102" s="12">
        <f t="shared" si="4"/>
        <v>0</v>
      </c>
    </row>
    <row r="103" spans="1:8" x14ac:dyDescent="0.3">
      <c r="A103" s="3" t="s">
        <v>57</v>
      </c>
      <c r="B103" s="2">
        <v>16</v>
      </c>
      <c r="C103" s="1"/>
      <c r="D103" s="2">
        <v>16</v>
      </c>
      <c r="E103" s="1" t="s">
        <v>1</v>
      </c>
      <c r="F103" s="1" t="s">
        <v>0</v>
      </c>
      <c r="G103" s="1" t="s">
        <v>1</v>
      </c>
      <c r="H103" s="12">
        <f t="shared" si="4"/>
        <v>0</v>
      </c>
    </row>
    <row r="104" spans="1:8" x14ac:dyDescent="0.3">
      <c r="A104" s="3" t="s">
        <v>56</v>
      </c>
      <c r="B104" s="2">
        <v>16</v>
      </c>
      <c r="C104" s="1"/>
      <c r="D104" s="2">
        <v>16</v>
      </c>
      <c r="E104" s="1" t="s">
        <v>1</v>
      </c>
      <c r="F104" s="1" t="s">
        <v>0</v>
      </c>
      <c r="G104" s="1" t="s">
        <v>1</v>
      </c>
      <c r="H104" s="12">
        <f t="shared" si="4"/>
        <v>0</v>
      </c>
    </row>
    <row r="105" spans="1:8" x14ac:dyDescent="0.3">
      <c r="A105" s="3" t="s">
        <v>55</v>
      </c>
      <c r="B105" s="2">
        <v>16</v>
      </c>
      <c r="C105" s="1"/>
      <c r="D105" s="2">
        <v>16</v>
      </c>
      <c r="E105" s="1" t="s">
        <v>1</v>
      </c>
      <c r="F105" s="1" t="s">
        <v>0</v>
      </c>
      <c r="G105" s="1" t="s">
        <v>1</v>
      </c>
      <c r="H105" s="12">
        <f t="shared" si="4"/>
        <v>0</v>
      </c>
    </row>
    <row r="106" spans="1:8" x14ac:dyDescent="0.3">
      <c r="A106" s="3" t="s">
        <v>54</v>
      </c>
      <c r="B106" s="2">
        <v>16</v>
      </c>
      <c r="C106" s="1"/>
      <c r="D106" s="2">
        <v>16</v>
      </c>
      <c r="E106" s="1" t="s">
        <v>1</v>
      </c>
      <c r="F106" s="1" t="s">
        <v>0</v>
      </c>
      <c r="G106" s="1" t="s">
        <v>1</v>
      </c>
      <c r="H106" s="12">
        <f t="shared" si="4"/>
        <v>0</v>
      </c>
    </row>
    <row r="107" spans="1:8" x14ac:dyDescent="0.3">
      <c r="A107" s="3" t="s">
        <v>53</v>
      </c>
      <c r="B107" s="2">
        <v>16</v>
      </c>
      <c r="C107" s="1"/>
      <c r="D107" s="2">
        <v>16</v>
      </c>
      <c r="E107" s="1" t="s">
        <v>1</v>
      </c>
      <c r="F107" s="1" t="s">
        <v>0</v>
      </c>
      <c r="G107" s="1" t="s">
        <v>1</v>
      </c>
      <c r="H107" s="12">
        <f t="shared" si="4"/>
        <v>0</v>
      </c>
    </row>
    <row r="108" spans="1:8" x14ac:dyDescent="0.3">
      <c r="A108" s="3" t="s">
        <v>172</v>
      </c>
      <c r="B108" s="2">
        <v>16</v>
      </c>
      <c r="C108" s="1"/>
      <c r="D108" s="2">
        <v>16</v>
      </c>
      <c r="E108" s="1" t="s">
        <v>1</v>
      </c>
      <c r="F108" s="1" t="s">
        <v>0</v>
      </c>
      <c r="G108" s="1" t="s">
        <v>1</v>
      </c>
      <c r="H108" s="12">
        <f t="shared" si="4"/>
        <v>0</v>
      </c>
    </row>
    <row r="109" spans="1:8" x14ac:dyDescent="0.3">
      <c r="A109" s="3" t="s">
        <v>52</v>
      </c>
      <c r="B109" s="2">
        <v>16</v>
      </c>
      <c r="C109" s="1"/>
      <c r="D109" s="2">
        <v>16</v>
      </c>
      <c r="E109" s="1" t="s">
        <v>1</v>
      </c>
      <c r="F109" s="1" t="s">
        <v>0</v>
      </c>
      <c r="G109" s="1" t="s">
        <v>1</v>
      </c>
      <c r="H109" s="12">
        <f t="shared" si="4"/>
        <v>0</v>
      </c>
    </row>
    <row r="110" spans="1:8" x14ac:dyDescent="0.3">
      <c r="A110" s="4" t="s">
        <v>51</v>
      </c>
      <c r="B110" s="4"/>
      <c r="C110" s="4"/>
      <c r="D110" s="4"/>
      <c r="E110" s="4"/>
      <c r="F110" s="4"/>
      <c r="G110" s="4"/>
      <c r="H110" s="12">
        <f t="shared" si="4"/>
        <v>0</v>
      </c>
    </row>
    <row r="111" spans="1:8" x14ac:dyDescent="0.3">
      <c r="A111" s="3" t="s">
        <v>50</v>
      </c>
      <c r="B111" s="2">
        <v>11</v>
      </c>
      <c r="C111" s="1"/>
      <c r="D111" s="2">
        <v>11.99</v>
      </c>
      <c r="E111" s="1" t="s">
        <v>1</v>
      </c>
      <c r="F111" s="1" t="s">
        <v>6</v>
      </c>
      <c r="G111" s="1" t="s">
        <v>1</v>
      </c>
      <c r="H111" s="12">
        <f t="shared" si="4"/>
        <v>0.99000000000000021</v>
      </c>
    </row>
    <row r="112" spans="1:8" x14ac:dyDescent="0.3">
      <c r="A112" s="3" t="s">
        <v>49</v>
      </c>
      <c r="B112" s="2">
        <v>11</v>
      </c>
      <c r="C112" s="1"/>
      <c r="D112" s="2">
        <v>11.99</v>
      </c>
      <c r="E112" s="1" t="s">
        <v>1</v>
      </c>
      <c r="F112" s="1" t="s">
        <v>6</v>
      </c>
      <c r="G112" s="1" t="s">
        <v>1</v>
      </c>
      <c r="H112" s="12">
        <f t="shared" si="4"/>
        <v>0.99000000000000021</v>
      </c>
    </row>
    <row r="113" spans="1:8" x14ac:dyDescent="0.3">
      <c r="A113" s="3" t="s">
        <v>48</v>
      </c>
      <c r="B113" s="2">
        <v>12</v>
      </c>
      <c r="C113" s="1"/>
      <c r="D113" s="2">
        <v>12.99</v>
      </c>
      <c r="E113" s="1" t="s">
        <v>1</v>
      </c>
      <c r="F113" s="1" t="s">
        <v>6</v>
      </c>
      <c r="G113" s="1" t="s">
        <v>1</v>
      </c>
      <c r="H113" s="12">
        <f t="shared" si="4"/>
        <v>0.99000000000000021</v>
      </c>
    </row>
    <row r="114" spans="1:8" x14ac:dyDescent="0.3">
      <c r="A114" s="3" t="s">
        <v>47</v>
      </c>
      <c r="B114" s="2">
        <v>12</v>
      </c>
      <c r="C114" s="1"/>
      <c r="D114" s="2">
        <v>12.99</v>
      </c>
      <c r="E114" s="1" t="s">
        <v>1</v>
      </c>
      <c r="F114" s="1" t="s">
        <v>6</v>
      </c>
      <c r="G114" s="1" t="s">
        <v>1</v>
      </c>
      <c r="H114" s="12">
        <f t="shared" si="4"/>
        <v>0.99000000000000021</v>
      </c>
    </row>
    <row r="115" spans="1:8" x14ac:dyDescent="0.3">
      <c r="A115" s="18" t="s">
        <v>46</v>
      </c>
      <c r="B115" s="13">
        <v>12</v>
      </c>
      <c r="C115" s="5"/>
      <c r="D115" s="13">
        <v>12.99</v>
      </c>
      <c r="E115" s="5" t="s">
        <v>1</v>
      </c>
      <c r="F115" s="5" t="s">
        <v>173</v>
      </c>
      <c r="G115" s="5" t="s">
        <v>1</v>
      </c>
      <c r="H115" s="19">
        <f t="shared" si="4"/>
        <v>0.99000000000000021</v>
      </c>
    </row>
    <row r="116" spans="1:8" x14ac:dyDescent="0.3">
      <c r="A116" s="3" t="s">
        <v>45</v>
      </c>
      <c r="B116" s="2">
        <v>12</v>
      </c>
      <c r="C116" s="1"/>
      <c r="D116" s="2">
        <v>12.99</v>
      </c>
      <c r="E116" s="1" t="s">
        <v>1</v>
      </c>
      <c r="F116" s="1" t="s">
        <v>6</v>
      </c>
      <c r="G116" s="1" t="s">
        <v>1</v>
      </c>
      <c r="H116" s="12">
        <f t="shared" si="4"/>
        <v>0.99000000000000021</v>
      </c>
    </row>
    <row r="117" spans="1:8" x14ac:dyDescent="0.3">
      <c r="A117" s="3" t="s">
        <v>44</v>
      </c>
      <c r="B117" s="2">
        <v>17</v>
      </c>
      <c r="C117" s="1"/>
      <c r="D117" s="2">
        <v>17.989999999999998</v>
      </c>
      <c r="E117" s="1" t="s">
        <v>1</v>
      </c>
      <c r="F117" s="1" t="s">
        <v>6</v>
      </c>
      <c r="G117" s="1" t="s">
        <v>1</v>
      </c>
      <c r="H117" s="12">
        <f t="shared" si="4"/>
        <v>0.98999999999999844</v>
      </c>
    </row>
    <row r="118" spans="1:8" x14ac:dyDescent="0.3">
      <c r="A118" s="3" t="s">
        <v>43</v>
      </c>
      <c r="B118" s="2">
        <v>19</v>
      </c>
      <c r="C118" s="1"/>
      <c r="D118" s="2">
        <v>19.989999999999998</v>
      </c>
      <c r="E118" s="1" t="s">
        <v>1</v>
      </c>
      <c r="F118" s="1" t="s">
        <v>6</v>
      </c>
      <c r="G118" s="1" t="s">
        <v>1</v>
      </c>
      <c r="H118" s="12">
        <f t="shared" si="4"/>
        <v>0.98999999999999844</v>
      </c>
    </row>
    <row r="119" spans="1:8" x14ac:dyDescent="0.3">
      <c r="A119" s="3" t="s">
        <v>42</v>
      </c>
      <c r="B119" s="2">
        <v>18</v>
      </c>
      <c r="C119" s="1"/>
      <c r="D119" s="2">
        <v>18.989999999999998</v>
      </c>
      <c r="E119" s="1" t="s">
        <v>1</v>
      </c>
      <c r="F119" s="1" t="s">
        <v>6</v>
      </c>
      <c r="G119" s="1" t="s">
        <v>1</v>
      </c>
      <c r="H119" s="12">
        <f t="shared" si="4"/>
        <v>0.98999999999999844</v>
      </c>
    </row>
    <row r="120" spans="1:8" x14ac:dyDescent="0.3">
      <c r="A120" s="3" t="s">
        <v>41</v>
      </c>
      <c r="B120" s="2">
        <v>17</v>
      </c>
      <c r="C120" s="1"/>
      <c r="D120" s="2">
        <v>17.989999999999998</v>
      </c>
      <c r="E120" s="1" t="s">
        <v>1</v>
      </c>
      <c r="F120" s="1" t="s">
        <v>6</v>
      </c>
      <c r="G120" s="1" t="s">
        <v>1</v>
      </c>
      <c r="H120" s="12">
        <f t="shared" si="4"/>
        <v>0.98999999999999844</v>
      </c>
    </row>
    <row r="121" spans="1:8" x14ac:dyDescent="0.3">
      <c r="A121" s="3" t="s">
        <v>40</v>
      </c>
      <c r="B121" s="2">
        <v>9.5</v>
      </c>
      <c r="C121" s="1"/>
      <c r="D121" s="2">
        <v>10.49</v>
      </c>
      <c r="E121" s="1" t="s">
        <v>1</v>
      </c>
      <c r="F121" s="1" t="s">
        <v>6</v>
      </c>
      <c r="G121" s="1" t="s">
        <v>1</v>
      </c>
      <c r="H121" s="12">
        <f t="shared" si="4"/>
        <v>0.99000000000000021</v>
      </c>
    </row>
    <row r="122" spans="1:8" x14ac:dyDescent="0.3">
      <c r="A122" s="3" t="s">
        <v>39</v>
      </c>
      <c r="B122" s="2">
        <v>9.5</v>
      </c>
      <c r="C122" s="1"/>
      <c r="D122" s="2">
        <v>10.49</v>
      </c>
      <c r="E122" s="1" t="s">
        <v>1</v>
      </c>
      <c r="F122" s="1" t="s">
        <v>6</v>
      </c>
      <c r="G122" s="1" t="s">
        <v>1</v>
      </c>
      <c r="H122" s="12">
        <f t="shared" si="4"/>
        <v>0.99000000000000021</v>
      </c>
    </row>
    <row r="123" spans="1:8" x14ac:dyDescent="0.3">
      <c r="A123" s="3" t="s">
        <v>38</v>
      </c>
      <c r="B123" s="2">
        <v>5.49</v>
      </c>
      <c r="C123" s="1"/>
      <c r="D123" s="2">
        <v>5.49</v>
      </c>
      <c r="E123" s="1" t="s">
        <v>1</v>
      </c>
      <c r="F123" s="5" t="s">
        <v>0</v>
      </c>
      <c r="G123" s="1" t="s">
        <v>1</v>
      </c>
      <c r="H123" s="12">
        <f t="shared" si="4"/>
        <v>0</v>
      </c>
    </row>
    <row r="124" spans="1:8" ht="22.8" x14ac:dyDescent="0.3">
      <c r="A124" s="3" t="s">
        <v>37</v>
      </c>
      <c r="B124" s="2">
        <v>9.5</v>
      </c>
      <c r="C124" s="1"/>
      <c r="D124" s="2">
        <v>10.49</v>
      </c>
      <c r="E124" s="1" t="s">
        <v>1</v>
      </c>
      <c r="F124" s="1" t="s">
        <v>6</v>
      </c>
      <c r="G124" s="1" t="s">
        <v>1</v>
      </c>
      <c r="H124" s="12">
        <f t="shared" si="4"/>
        <v>0.99000000000000021</v>
      </c>
    </row>
    <row r="125" spans="1:8" x14ac:dyDescent="0.3">
      <c r="A125" s="18" t="s">
        <v>36</v>
      </c>
      <c r="B125" s="13" t="s">
        <v>35</v>
      </c>
      <c r="C125" s="5"/>
      <c r="D125" s="13">
        <v>13</v>
      </c>
      <c r="E125" s="5" t="s">
        <v>1</v>
      </c>
      <c r="F125" s="5" t="s">
        <v>34</v>
      </c>
      <c r="G125" s="5" t="s">
        <v>1</v>
      </c>
      <c r="H125" s="12">
        <v>0</v>
      </c>
    </row>
    <row r="126" spans="1:8" x14ac:dyDescent="0.3">
      <c r="A126" s="4" t="s">
        <v>33</v>
      </c>
      <c r="B126" s="4"/>
      <c r="C126" s="4"/>
      <c r="D126" s="4"/>
      <c r="E126" s="4"/>
      <c r="F126" s="4"/>
      <c r="G126" s="4"/>
      <c r="H126" s="12">
        <f t="shared" si="4"/>
        <v>0</v>
      </c>
    </row>
    <row r="127" spans="1:8" x14ac:dyDescent="0.3">
      <c r="A127" s="3" t="s">
        <v>32</v>
      </c>
      <c r="B127" s="2">
        <v>18</v>
      </c>
      <c r="C127" s="1"/>
      <c r="D127" s="2">
        <v>18</v>
      </c>
      <c r="E127" s="1" t="s">
        <v>1</v>
      </c>
      <c r="F127" s="1" t="s">
        <v>0</v>
      </c>
      <c r="G127" s="1" t="s">
        <v>1</v>
      </c>
      <c r="H127" s="12">
        <f t="shared" si="4"/>
        <v>0</v>
      </c>
    </row>
    <row r="128" spans="1:8" x14ac:dyDescent="0.3">
      <c r="A128" s="3" t="s">
        <v>31</v>
      </c>
      <c r="B128" s="2">
        <v>16</v>
      </c>
      <c r="C128" s="1"/>
      <c r="D128" s="2">
        <v>16</v>
      </c>
      <c r="E128" s="1" t="s">
        <v>1</v>
      </c>
      <c r="F128" s="1" t="s">
        <v>0</v>
      </c>
      <c r="G128" s="1" t="s">
        <v>1</v>
      </c>
      <c r="H128" s="12">
        <f t="shared" si="4"/>
        <v>0</v>
      </c>
    </row>
    <row r="129" spans="1:8" x14ac:dyDescent="0.3">
      <c r="A129" s="3" t="s">
        <v>30</v>
      </c>
      <c r="B129" s="2">
        <v>18</v>
      </c>
      <c r="C129" s="1"/>
      <c r="D129" s="2">
        <v>18</v>
      </c>
      <c r="E129" s="1" t="s">
        <v>1</v>
      </c>
      <c r="F129" s="1" t="s">
        <v>0</v>
      </c>
      <c r="G129" s="1" t="s">
        <v>1</v>
      </c>
      <c r="H129" s="12">
        <f t="shared" si="4"/>
        <v>0</v>
      </c>
    </row>
    <row r="130" spans="1:8" x14ac:dyDescent="0.3">
      <c r="A130" s="3" t="s">
        <v>29</v>
      </c>
      <c r="B130" s="2">
        <v>18</v>
      </c>
      <c r="C130" s="1"/>
      <c r="D130" s="2">
        <v>18</v>
      </c>
      <c r="E130" s="1" t="s">
        <v>1</v>
      </c>
      <c r="F130" s="1" t="s">
        <v>0</v>
      </c>
      <c r="G130" s="1" t="s">
        <v>1</v>
      </c>
      <c r="H130" s="12">
        <f t="shared" si="4"/>
        <v>0</v>
      </c>
    </row>
    <row r="131" spans="1:8" x14ac:dyDescent="0.3">
      <c r="A131" s="3" t="s">
        <v>28</v>
      </c>
      <c r="B131" s="2">
        <v>16</v>
      </c>
      <c r="C131" s="1"/>
      <c r="D131" s="2">
        <v>16</v>
      </c>
      <c r="E131" s="1" t="s">
        <v>1</v>
      </c>
      <c r="F131" s="1" t="s">
        <v>0</v>
      </c>
      <c r="G131" s="1" t="s">
        <v>1</v>
      </c>
      <c r="H131" s="12">
        <f t="shared" si="4"/>
        <v>0</v>
      </c>
    </row>
    <row r="132" spans="1:8" x14ac:dyDescent="0.3">
      <c r="A132" s="3" t="s">
        <v>27</v>
      </c>
      <c r="B132" s="2">
        <v>18</v>
      </c>
      <c r="C132" s="1"/>
      <c r="D132" s="2">
        <v>18</v>
      </c>
      <c r="E132" s="1" t="s">
        <v>1</v>
      </c>
      <c r="F132" s="1" t="s">
        <v>0</v>
      </c>
      <c r="G132" s="1" t="s">
        <v>1</v>
      </c>
      <c r="H132" s="12">
        <f t="shared" si="4"/>
        <v>0</v>
      </c>
    </row>
    <row r="133" spans="1:8" x14ac:dyDescent="0.3">
      <c r="A133" s="3" t="s">
        <v>26</v>
      </c>
      <c r="B133" s="2">
        <v>18</v>
      </c>
      <c r="C133" s="1"/>
      <c r="D133" s="2">
        <v>18</v>
      </c>
      <c r="E133" s="1" t="s">
        <v>1</v>
      </c>
      <c r="F133" s="1" t="s">
        <v>0</v>
      </c>
      <c r="G133" s="1" t="s">
        <v>1</v>
      </c>
      <c r="H133" s="12">
        <f t="shared" si="4"/>
        <v>0</v>
      </c>
    </row>
    <row r="134" spans="1:8" x14ac:dyDescent="0.3">
      <c r="A134" s="3" t="s">
        <v>25</v>
      </c>
      <c r="B134" s="2">
        <v>18</v>
      </c>
      <c r="C134" s="1"/>
      <c r="D134" s="2">
        <v>18</v>
      </c>
      <c r="E134" s="1" t="s">
        <v>1</v>
      </c>
      <c r="F134" s="1" t="s">
        <v>0</v>
      </c>
      <c r="G134" s="1" t="s">
        <v>1</v>
      </c>
      <c r="H134" s="12">
        <f t="shared" si="4"/>
        <v>0</v>
      </c>
    </row>
    <row r="135" spans="1:8" x14ac:dyDescent="0.3">
      <c r="A135" s="3" t="s">
        <v>24</v>
      </c>
      <c r="B135" s="2">
        <v>18</v>
      </c>
      <c r="C135" s="1"/>
      <c r="D135" s="2">
        <v>18</v>
      </c>
      <c r="E135" s="1" t="s">
        <v>1</v>
      </c>
      <c r="F135" s="1" t="s">
        <v>0</v>
      </c>
      <c r="G135" s="1" t="s">
        <v>1</v>
      </c>
      <c r="H135" s="12">
        <f t="shared" si="4"/>
        <v>0</v>
      </c>
    </row>
    <row r="136" spans="1:8" x14ac:dyDescent="0.3">
      <c r="A136" s="3" t="s">
        <v>23</v>
      </c>
      <c r="B136" s="2">
        <v>21</v>
      </c>
      <c r="C136" s="1"/>
      <c r="D136" s="2">
        <v>21</v>
      </c>
      <c r="E136" s="1" t="s">
        <v>1</v>
      </c>
      <c r="F136" s="1" t="s">
        <v>0</v>
      </c>
      <c r="G136" s="1" t="s">
        <v>1</v>
      </c>
      <c r="H136" s="12">
        <f t="shared" ref="H136:H159" si="5">D136-B136</f>
        <v>0</v>
      </c>
    </row>
    <row r="137" spans="1:8" x14ac:dyDescent="0.3">
      <c r="A137" s="3" t="s">
        <v>22</v>
      </c>
      <c r="B137" s="2">
        <v>21</v>
      </c>
      <c r="C137" s="1"/>
      <c r="D137" s="2">
        <v>21</v>
      </c>
      <c r="E137" s="1" t="s">
        <v>1</v>
      </c>
      <c r="F137" s="1" t="s">
        <v>0</v>
      </c>
      <c r="G137" s="1" t="s">
        <v>1</v>
      </c>
      <c r="H137" s="12">
        <f t="shared" si="5"/>
        <v>0</v>
      </c>
    </row>
    <row r="138" spans="1:8" x14ac:dyDescent="0.3">
      <c r="A138" s="4" t="s">
        <v>21</v>
      </c>
      <c r="B138" s="4"/>
      <c r="C138" s="4"/>
      <c r="D138" s="4"/>
      <c r="E138" s="4"/>
      <c r="F138" s="4"/>
      <c r="G138" s="4"/>
      <c r="H138" s="12">
        <f t="shared" si="5"/>
        <v>0</v>
      </c>
    </row>
    <row r="139" spans="1:8" x14ac:dyDescent="0.3">
      <c r="A139" s="3" t="s">
        <v>20</v>
      </c>
      <c r="B139" s="2">
        <v>9</v>
      </c>
      <c r="C139" s="1"/>
      <c r="D139" s="2">
        <v>9.99</v>
      </c>
      <c r="E139" s="1" t="s">
        <v>1</v>
      </c>
      <c r="F139" s="1" t="s">
        <v>6</v>
      </c>
      <c r="G139" s="1" t="s">
        <v>1</v>
      </c>
      <c r="H139" s="12">
        <f t="shared" si="5"/>
        <v>0.99000000000000021</v>
      </c>
    </row>
    <row r="140" spans="1:8" x14ac:dyDescent="0.3">
      <c r="A140" s="3" t="s">
        <v>19</v>
      </c>
      <c r="B140" s="2">
        <v>11</v>
      </c>
      <c r="C140" s="1"/>
      <c r="D140" s="2">
        <v>11.99</v>
      </c>
      <c r="E140" s="1" t="s">
        <v>1</v>
      </c>
      <c r="F140" s="1" t="s">
        <v>6</v>
      </c>
      <c r="G140" s="1" t="s">
        <v>1</v>
      </c>
      <c r="H140" s="12">
        <f t="shared" si="5"/>
        <v>0.99000000000000021</v>
      </c>
    </row>
    <row r="141" spans="1:8" x14ac:dyDescent="0.3">
      <c r="A141" s="3" t="s">
        <v>18</v>
      </c>
      <c r="B141" s="2">
        <v>14</v>
      </c>
      <c r="C141" s="1"/>
      <c r="D141" s="2">
        <v>14.99</v>
      </c>
      <c r="E141" s="1" t="s">
        <v>1</v>
      </c>
      <c r="F141" s="1" t="s">
        <v>6</v>
      </c>
      <c r="G141" s="1" t="s">
        <v>1</v>
      </c>
      <c r="H141" s="12">
        <f t="shared" si="5"/>
        <v>0.99000000000000021</v>
      </c>
    </row>
    <row r="142" spans="1:8" x14ac:dyDescent="0.3">
      <c r="A142" s="3" t="s">
        <v>17</v>
      </c>
      <c r="B142" s="2">
        <v>11</v>
      </c>
      <c r="C142" s="1"/>
      <c r="D142" s="2">
        <v>11.99</v>
      </c>
      <c r="E142" s="1" t="s">
        <v>1</v>
      </c>
      <c r="F142" s="1" t="s">
        <v>6</v>
      </c>
      <c r="G142" s="1" t="s">
        <v>1</v>
      </c>
      <c r="H142" s="12">
        <f t="shared" si="5"/>
        <v>0.99000000000000021</v>
      </c>
    </row>
    <row r="143" spans="1:8" x14ac:dyDescent="0.3">
      <c r="A143" s="3" t="s">
        <v>16</v>
      </c>
      <c r="B143" s="2">
        <v>14</v>
      </c>
      <c r="C143" s="1"/>
      <c r="D143" s="2">
        <v>14.99</v>
      </c>
      <c r="E143" s="1" t="s">
        <v>1</v>
      </c>
      <c r="F143" s="1" t="s">
        <v>6</v>
      </c>
      <c r="G143" s="1" t="s">
        <v>1</v>
      </c>
      <c r="H143" s="12">
        <f t="shared" si="5"/>
        <v>0.99000000000000021</v>
      </c>
    </row>
    <row r="144" spans="1:8" x14ac:dyDescent="0.3">
      <c r="A144" s="3" t="s">
        <v>15</v>
      </c>
      <c r="B144" s="2">
        <v>13</v>
      </c>
      <c r="C144" s="1"/>
      <c r="D144" s="2">
        <v>13.99</v>
      </c>
      <c r="E144" s="1" t="s">
        <v>1</v>
      </c>
      <c r="F144" s="1" t="s">
        <v>6</v>
      </c>
      <c r="G144" s="1" t="s">
        <v>1</v>
      </c>
      <c r="H144" s="12">
        <f t="shared" si="5"/>
        <v>0.99000000000000021</v>
      </c>
    </row>
    <row r="145" spans="1:8" x14ac:dyDescent="0.3">
      <c r="A145" s="3" t="s">
        <v>14</v>
      </c>
      <c r="B145" s="2">
        <v>15</v>
      </c>
      <c r="C145" s="1"/>
      <c r="D145" s="2">
        <v>15.99</v>
      </c>
      <c r="E145" s="1" t="s">
        <v>1</v>
      </c>
      <c r="F145" s="1" t="s">
        <v>6</v>
      </c>
      <c r="G145" s="1" t="s">
        <v>1</v>
      </c>
      <c r="H145" s="12">
        <f t="shared" si="5"/>
        <v>0.99000000000000021</v>
      </c>
    </row>
    <row r="146" spans="1:8" x14ac:dyDescent="0.3">
      <c r="A146" s="3" t="s">
        <v>13</v>
      </c>
      <c r="B146" s="2">
        <v>14</v>
      </c>
      <c r="C146" s="1"/>
      <c r="D146" s="2">
        <v>14.99</v>
      </c>
      <c r="E146" s="1" t="s">
        <v>1</v>
      </c>
      <c r="F146" s="1" t="s">
        <v>6</v>
      </c>
      <c r="G146" s="1" t="s">
        <v>1</v>
      </c>
      <c r="H146" s="12">
        <f t="shared" si="5"/>
        <v>0.99000000000000021</v>
      </c>
    </row>
    <row r="147" spans="1:8" x14ac:dyDescent="0.3">
      <c r="A147" s="3" t="s">
        <v>12</v>
      </c>
      <c r="B147" s="2">
        <v>15</v>
      </c>
      <c r="C147" s="1"/>
      <c r="D147" s="2">
        <v>15.99</v>
      </c>
      <c r="E147" s="1" t="s">
        <v>1</v>
      </c>
      <c r="F147" s="1" t="s">
        <v>6</v>
      </c>
      <c r="G147" s="1" t="s">
        <v>1</v>
      </c>
      <c r="H147" s="12">
        <f t="shared" si="5"/>
        <v>0.99000000000000021</v>
      </c>
    </row>
    <row r="148" spans="1:8" x14ac:dyDescent="0.3">
      <c r="A148" s="3" t="s">
        <v>11</v>
      </c>
      <c r="B148" s="2">
        <v>14</v>
      </c>
      <c r="C148" s="1"/>
      <c r="D148" s="2">
        <v>14.99</v>
      </c>
      <c r="E148" s="1" t="s">
        <v>1</v>
      </c>
      <c r="F148" s="1" t="s">
        <v>6</v>
      </c>
      <c r="G148" s="1" t="s">
        <v>1</v>
      </c>
      <c r="H148" s="12">
        <f t="shared" si="5"/>
        <v>0.99000000000000021</v>
      </c>
    </row>
    <row r="149" spans="1:8" x14ac:dyDescent="0.3">
      <c r="A149" s="3" t="s">
        <v>10</v>
      </c>
      <c r="B149" s="2">
        <v>16</v>
      </c>
      <c r="C149" s="1"/>
      <c r="D149" s="2">
        <v>16.989999999999998</v>
      </c>
      <c r="E149" s="1" t="s">
        <v>1</v>
      </c>
      <c r="F149" s="1" t="s">
        <v>6</v>
      </c>
      <c r="G149" s="1" t="s">
        <v>1</v>
      </c>
      <c r="H149" s="12">
        <f t="shared" si="5"/>
        <v>0.98999999999999844</v>
      </c>
    </row>
    <row r="150" spans="1:8" x14ac:dyDescent="0.3">
      <c r="A150" s="3" t="s">
        <v>9</v>
      </c>
      <c r="B150" s="2">
        <v>14</v>
      </c>
      <c r="C150" s="1"/>
      <c r="D150" s="2">
        <v>14.99</v>
      </c>
      <c r="E150" s="1" t="s">
        <v>1</v>
      </c>
      <c r="F150" s="1" t="s">
        <v>6</v>
      </c>
      <c r="G150" s="1" t="s">
        <v>1</v>
      </c>
      <c r="H150" s="12">
        <f t="shared" si="5"/>
        <v>0.99000000000000021</v>
      </c>
    </row>
    <row r="151" spans="1:8" x14ac:dyDescent="0.3">
      <c r="A151" s="3" t="s">
        <v>8</v>
      </c>
      <c r="B151" s="2">
        <v>16</v>
      </c>
      <c r="C151" s="1"/>
      <c r="D151" s="2">
        <v>16.989999999999998</v>
      </c>
      <c r="E151" s="1" t="s">
        <v>1</v>
      </c>
      <c r="F151" s="1" t="s">
        <v>6</v>
      </c>
      <c r="G151" s="1" t="s">
        <v>1</v>
      </c>
      <c r="H151" s="12">
        <f t="shared" si="5"/>
        <v>0.98999999999999844</v>
      </c>
    </row>
    <row r="152" spans="1:8" x14ac:dyDescent="0.3">
      <c r="A152" s="3" t="s">
        <v>7</v>
      </c>
      <c r="B152" s="2">
        <v>16</v>
      </c>
      <c r="C152" s="1"/>
      <c r="D152" s="2">
        <v>16.989999999999998</v>
      </c>
      <c r="E152" s="1" t="s">
        <v>1</v>
      </c>
      <c r="F152" s="1" t="s">
        <v>6</v>
      </c>
      <c r="G152" s="1" t="s">
        <v>1</v>
      </c>
      <c r="H152" s="12">
        <f t="shared" si="5"/>
        <v>0.98999999999999844</v>
      </c>
    </row>
    <row r="153" spans="1:8" x14ac:dyDescent="0.3">
      <c r="A153" s="4" t="s">
        <v>5</v>
      </c>
      <c r="B153" s="4"/>
      <c r="C153" s="4"/>
      <c r="D153" s="4"/>
      <c r="E153" s="4"/>
      <c r="F153" s="4"/>
      <c r="G153" s="4"/>
      <c r="H153" s="12">
        <f t="shared" si="5"/>
        <v>0</v>
      </c>
    </row>
    <row r="154" spans="1:8" x14ac:dyDescent="0.3">
      <c r="A154" s="3" t="s">
        <v>4</v>
      </c>
      <c r="B154" s="2">
        <v>39</v>
      </c>
      <c r="C154" s="1"/>
      <c r="D154" s="2">
        <v>39</v>
      </c>
      <c r="E154" s="1" t="s">
        <v>1</v>
      </c>
      <c r="F154" s="1" t="s">
        <v>0</v>
      </c>
      <c r="G154" s="1" t="s">
        <v>1</v>
      </c>
      <c r="H154" s="12">
        <f t="shared" si="5"/>
        <v>0</v>
      </c>
    </row>
    <row r="155" spans="1:8" x14ac:dyDescent="0.3">
      <c r="A155" s="3" t="s">
        <v>3</v>
      </c>
      <c r="B155" s="2">
        <v>39</v>
      </c>
      <c r="C155" s="1"/>
      <c r="D155" s="2">
        <v>39</v>
      </c>
      <c r="E155" s="1" t="s">
        <v>1</v>
      </c>
      <c r="F155" s="1" t="s">
        <v>0</v>
      </c>
      <c r="G155" s="1" t="s">
        <v>1</v>
      </c>
      <c r="H155" s="12">
        <f t="shared" si="5"/>
        <v>0</v>
      </c>
    </row>
    <row r="156" spans="1:8" x14ac:dyDescent="0.3">
      <c r="A156" s="3" t="s">
        <v>2</v>
      </c>
      <c r="B156" s="2">
        <v>39</v>
      </c>
      <c r="C156" s="1"/>
      <c r="D156" s="2">
        <v>39</v>
      </c>
      <c r="E156" s="1" t="s">
        <v>1</v>
      </c>
      <c r="F156" s="1" t="s">
        <v>0</v>
      </c>
      <c r="G156" s="1" t="s">
        <v>1</v>
      </c>
      <c r="H156" s="12">
        <f t="shared" si="5"/>
        <v>0</v>
      </c>
    </row>
    <row r="157" spans="1:8" x14ac:dyDescent="0.3">
      <c r="A157" s="3" t="s">
        <v>4</v>
      </c>
      <c r="B157" s="2">
        <v>39</v>
      </c>
      <c r="C157" s="2"/>
      <c r="D157" s="2">
        <v>39</v>
      </c>
      <c r="E157" s="1" t="s">
        <v>1</v>
      </c>
      <c r="F157" s="1" t="s">
        <v>0</v>
      </c>
      <c r="G157" s="1" t="s">
        <v>1</v>
      </c>
      <c r="H157" s="12">
        <f t="shared" si="5"/>
        <v>0</v>
      </c>
    </row>
    <row r="158" spans="1:8" x14ac:dyDescent="0.3">
      <c r="A158" s="3" t="s">
        <v>3</v>
      </c>
      <c r="B158" s="2">
        <v>39</v>
      </c>
      <c r="C158" s="2"/>
      <c r="D158" s="2">
        <v>39</v>
      </c>
      <c r="E158" s="1" t="s">
        <v>1</v>
      </c>
      <c r="F158" s="1" t="s">
        <v>0</v>
      </c>
      <c r="G158" s="1" t="s">
        <v>1</v>
      </c>
      <c r="H158" s="12">
        <f t="shared" si="5"/>
        <v>0</v>
      </c>
    </row>
    <row r="159" spans="1:8" x14ac:dyDescent="0.3">
      <c r="A159" s="3" t="s">
        <v>2</v>
      </c>
      <c r="B159" s="2">
        <v>39</v>
      </c>
      <c r="C159" s="2"/>
      <c r="D159" s="2">
        <v>39</v>
      </c>
      <c r="E159" s="1" t="s">
        <v>1</v>
      </c>
      <c r="F159" s="1" t="s">
        <v>0</v>
      </c>
      <c r="G159" s="1" t="s">
        <v>1</v>
      </c>
      <c r="H159" s="12">
        <f t="shared" si="5"/>
        <v>0</v>
      </c>
    </row>
  </sheetData>
  <mergeCells count="2">
    <mergeCell ref="A1:F1"/>
    <mergeCell ref="A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Preturi DELIVERY 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 H</dc:creator>
  <cp:lastModifiedBy>Valentin H</cp:lastModifiedBy>
  <dcterms:created xsi:type="dcterms:W3CDTF">2026-07-23T07:27:28Z</dcterms:created>
  <dcterms:modified xsi:type="dcterms:W3CDTF">2026-07-27T05:43:42Z</dcterms:modified>
</cp:coreProperties>
</file>