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MENCLATOR" sheetId="1" state="visible" r:id="rId3"/>
    <sheet name="RETETAR" sheetId="2" state="visible" r:id="rId4"/>
    <sheet name="FOOD COST" sheetId="3" state="visible" r:id="rId5"/>
    <sheet name="FC PMIX" sheetId="4" state="visible" r:id="rId6"/>
    <sheet name="CATEGORII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<sst xmlns="http://schemas.openxmlformats.org/spreadsheetml/2006/main" count="6513" uniqueCount="955">
  <si>
    <t xml:space="preserve">NOMENCLATOR — cost actual + COST NOU (koliber 7000210 = 3.35)</t>
  </si>
  <si>
    <t xml:space="preserve">Col D = cost actual. Col E = cost nou (portocaliu). Koliber @ 3.35; restul = cost actual. Modifici cost → curge în MC și MC nou.</t>
  </si>
  <si>
    <t xml:space="preserve">Cod MP</t>
  </si>
  <si>
    <t xml:space="preserve">Denumire materie primă (NBO)</t>
  </si>
  <si>
    <t xml:space="preserve">UM</t>
  </si>
  <si>
    <t xml:space="preserve">Cost / UM</t>
  </si>
  <si>
    <t xml:space="preserve">Cost NOU / UM</t>
  </si>
  <si>
    <t xml:space="preserve">700977</t>
  </si>
  <si>
    <t xml:space="preserve">1.000 EA Aqua Carpatica Plata (raw)</t>
  </si>
  <si>
    <t xml:space="preserve">EA</t>
  </si>
  <si>
    <t xml:space="preserve">702586</t>
  </si>
  <si>
    <t xml:space="preserve">1.000 EA Aripioare de pui picante</t>
  </si>
  <si>
    <t xml:space="preserve">702230</t>
  </si>
  <si>
    <t xml:space="preserve">1.000 EA Barbecue Sauce 100 x 25g</t>
  </si>
  <si>
    <t xml:space="preserve">700158</t>
  </si>
  <si>
    <t xml:space="preserve">1.000 EA BASE - Milkshake 2021</t>
  </si>
  <si>
    <t xml:space="preserve">7000230</t>
  </si>
  <si>
    <t xml:space="preserve">1.000 EA BASE - Milkshake 2026</t>
  </si>
  <si>
    <t xml:space="preserve">7000235</t>
  </si>
  <si>
    <t xml:space="preserve">1.000 EA BASE - Milkshake CAN</t>
  </si>
  <si>
    <t xml:space="preserve">702176</t>
  </si>
  <si>
    <t xml:space="preserve">1.000 EA CARROT CAKE</t>
  </si>
  <si>
    <t xml:space="preserve">702479</t>
  </si>
  <si>
    <t xml:space="preserve">1.000 EA MARITOZZO 90 g x 12</t>
  </si>
  <si>
    <t xml:space="preserve">7000014</t>
  </si>
  <si>
    <t xml:space="preserve">1.000 EA MILLEFOGLIE RAW</t>
  </si>
  <si>
    <t xml:space="preserve">4083</t>
  </si>
  <si>
    <t xml:space="preserve">1.000 EA Nuggets cornflakes (raw)</t>
  </si>
  <si>
    <t xml:space="preserve">702044</t>
  </si>
  <si>
    <t xml:space="preserve">1.000 EA Pepsi Max 0.33L PROMO FREE</t>
  </si>
  <si>
    <t xml:space="preserve">702548</t>
  </si>
  <si>
    <t xml:space="preserve">1.000 EA Prep Limonada</t>
  </si>
  <si>
    <t xml:space="preserve">ML</t>
  </si>
  <si>
    <t xml:space="preserve">4073</t>
  </si>
  <si>
    <t xml:space="preserve">1.000 EA Topping KitKat Crunch (raw)</t>
  </si>
  <si>
    <t xml:space="preserve">GM</t>
  </si>
  <si>
    <t xml:space="preserve">702171</t>
  </si>
  <si>
    <t xml:space="preserve">1.000 EA Tort de ciocolata cu zmeura</t>
  </si>
  <si>
    <t xml:space="preserve">702624</t>
  </si>
  <si>
    <t xml:space="preserve">2025 - PATRATA FRY IMPERFECT</t>
  </si>
  <si>
    <t xml:space="preserve">702315</t>
  </si>
  <si>
    <t xml:space="preserve">7UP ZERO BIB</t>
  </si>
  <si>
    <t xml:space="preserve">702631</t>
  </si>
  <si>
    <t xml:space="preserve">Almette cu rosii si busuioc 150 gr</t>
  </si>
  <si>
    <t xml:space="preserve">7000015</t>
  </si>
  <si>
    <t xml:space="preserve">Ambalaj Crispy FRY 300x148x70 (T+M+S)</t>
  </si>
  <si>
    <t xml:space="preserve">3002</t>
  </si>
  <si>
    <t xml:space="preserve">Apa Evian (raw)</t>
  </si>
  <si>
    <t xml:space="preserve">7000011</t>
  </si>
  <si>
    <t xml:space="preserve">APPLE CINNAMON TOPPING WITH DICES</t>
  </si>
  <si>
    <t xml:space="preserve">701010</t>
  </si>
  <si>
    <t xml:space="preserve">Aqua Carpatica Minerala (raw)</t>
  </si>
  <si>
    <t xml:space="preserve">60602</t>
  </si>
  <si>
    <t xml:space="preserve">Ardei Rosii Capia 2.5kg</t>
  </si>
  <si>
    <t xml:space="preserve">702587</t>
  </si>
  <si>
    <t xml:space="preserve">Aripioare de pui nepicante</t>
  </si>
  <si>
    <t xml:space="preserve">4003</t>
  </si>
  <si>
    <t xml:space="preserve">Bacon (raw)</t>
  </si>
  <si>
    <t xml:space="preserve">702342</t>
  </si>
  <si>
    <t xml:space="preserve">BASE - Pepsi Soft Drinks 500 ml</t>
  </si>
  <si>
    <t xml:space="preserve">697008</t>
  </si>
  <si>
    <t xml:space="preserve">BASE - Soft Drinks 250ml</t>
  </si>
  <si>
    <t xml:space="preserve">701054</t>
  </si>
  <si>
    <t xml:space="preserve">Bere Budweiser 0.33</t>
  </si>
  <si>
    <t xml:space="preserve">697054</t>
  </si>
  <si>
    <t xml:space="preserve">Biogon C E290 10kg</t>
  </si>
  <si>
    <t xml:space="preserve">7000016</t>
  </si>
  <si>
    <t xml:space="preserve">BOL SALATA COLESLAW CIRIY226AE1311 Y226 FRYDAY</t>
  </si>
  <si>
    <t xml:space="preserve">7000123</t>
  </si>
  <si>
    <t xml:space="preserve">Branza cheddar felii 2026</t>
  </si>
  <si>
    <t xml:space="preserve">702263</t>
  </si>
  <si>
    <t xml:space="preserve">Breaded Shrimp Patty 100g</t>
  </si>
  <si>
    <t xml:space="preserve">700682</t>
  </si>
  <si>
    <t xml:space="preserve">BULINA BANANE 2025</t>
  </si>
  <si>
    <t xml:space="preserve">700681</t>
  </si>
  <si>
    <t xml:space="preserve">BULINA CAPSUNI 2025</t>
  </si>
  <si>
    <t xml:space="preserve">700968</t>
  </si>
  <si>
    <t xml:space="preserve">Bulina porc</t>
  </si>
  <si>
    <t xml:space="preserve">7000017</t>
  </si>
  <si>
    <t xml:space="preserve">CAPAC BOL SALATA COLESLAW LIRISL95S LID Y226 FRYDAY</t>
  </si>
  <si>
    <t xml:space="preserve">702116</t>
  </si>
  <si>
    <t xml:space="preserve">Capac din plastic negru 4oz</t>
  </si>
  <si>
    <t xml:space="preserve">702114</t>
  </si>
  <si>
    <t xml:space="preserve">Capac din plastic SR 80 (8OZ)</t>
  </si>
  <si>
    <t xml:space="preserve">702115</t>
  </si>
  <si>
    <t xml:space="preserve">Capac dn plastic SR 90 (12OZ)</t>
  </si>
  <si>
    <t xml:space="preserve">7000006</t>
  </si>
  <si>
    <t xml:space="preserve">CAPAC PENTRU PAHAR CARTON CL90 - 0.35-0.4-0.5 ML</t>
  </si>
  <si>
    <t xml:space="preserve">7000013</t>
  </si>
  <si>
    <t xml:space="preserve">CAPAC PLAT CU ORIFICIU FRYZZZ</t>
  </si>
  <si>
    <t xml:space="preserve">701043</t>
  </si>
  <si>
    <t xml:space="preserve">Capac sosiera 50ml</t>
  </si>
  <si>
    <t xml:space="preserve">702037</t>
  </si>
  <si>
    <t xml:space="preserve">Cartofi congelati</t>
  </si>
  <si>
    <t xml:space="preserve">701035</t>
  </si>
  <si>
    <t xml:space="preserve">Ceapa prajita</t>
  </si>
  <si>
    <t xml:space="preserve">7000130</t>
  </si>
  <si>
    <t xml:space="preserve">CHEESECAKE NY 2.130 KG</t>
  </si>
  <si>
    <t xml:space="preserve">7000133</t>
  </si>
  <si>
    <t xml:space="preserve">CHIFLA CARTOF 3.5inch 53G x 72</t>
  </si>
  <si>
    <t xml:space="preserve">1003</t>
  </si>
  <si>
    <t xml:space="preserve">Corona (raw)</t>
  </si>
  <si>
    <t xml:space="preserve">702633</t>
  </si>
  <si>
    <t xml:space="preserve">Creme castraveti 200 gr</t>
  </si>
  <si>
    <t xml:space="preserve">702316</t>
  </si>
  <si>
    <t xml:space="preserve">CUTIE CARTOFI FRYDAY 112G 2024</t>
  </si>
  <si>
    <t xml:space="preserve">702317</t>
  </si>
  <si>
    <t xml:space="preserve">CUTIE CARTOFI FRYDAY 150G 2024</t>
  </si>
  <si>
    <t xml:space="preserve">702318</t>
  </si>
  <si>
    <t xml:space="preserve">CUTIE CARTOFI FRYDAY 250G 2024</t>
  </si>
  <si>
    <t xml:space="preserve">7000182</t>
  </si>
  <si>
    <t xml:space="preserve">CUTIE CARTON FRYPIE APPLE TOFFEFE FRYDAY</t>
  </si>
  <si>
    <t xml:space="preserve">8001</t>
  </si>
  <si>
    <t xml:space="preserve">Cutie Jucarie</t>
  </si>
  <si>
    <t xml:space="preserve">702607</t>
  </si>
  <si>
    <t xml:space="preserve">CUTIE MICA BLACK TRUFFLE BRG 2025 - PATRATA FRY</t>
  </si>
  <si>
    <t xml:space="preserve">702367</t>
  </si>
  <si>
    <t xml:space="preserve">CUTIE MICA HOMESTYLE BRG.2024</t>
  </si>
  <si>
    <t xml:space="preserve">702556</t>
  </si>
  <si>
    <t xml:space="preserve">CUTIE MICA RED PEPPER SMASHED BURGER Fry</t>
  </si>
  <si>
    <t xml:space="preserve">702471</t>
  </si>
  <si>
    <t xml:space="preserve">CUTIE MICA Shrimp Burger 2024- PATRAT</t>
  </si>
  <si>
    <t xml:space="preserve">702261</t>
  </si>
  <si>
    <t xml:space="preserve">DR PEPPER DOZA 0.33L</t>
  </si>
  <si>
    <t xml:space="preserve">7000018</t>
  </si>
  <si>
    <t xml:space="preserve">Frydays Homestyle Chick'n Tender 65g</t>
  </si>
  <si>
    <t xml:space="preserve">702092</t>
  </si>
  <si>
    <t xml:space="preserve">Furculita Rosie</t>
  </si>
  <si>
    <t xml:space="preserve">700963</t>
  </si>
  <si>
    <t xml:space="preserve">Green Pesto Mayo</t>
  </si>
  <si>
    <t xml:space="preserve">7000141</t>
  </si>
  <si>
    <t xml:space="preserve">HARTIE AMERICAN CHEESBURGER 12X12 AA14</t>
  </si>
  <si>
    <t xml:space="preserve">7000140</t>
  </si>
  <si>
    <t xml:space="preserve">HARTIE BURGER Doubles 12x12 AA13</t>
  </si>
  <si>
    <t xml:space="preserve">5028</t>
  </si>
  <si>
    <t xml:space="preserve">Hartie Burger Fryday</t>
  </si>
  <si>
    <t xml:space="preserve">700653</t>
  </si>
  <si>
    <t xml:space="preserve">Hartie Kraft Pui</t>
  </si>
  <si>
    <t xml:space="preserve">700655</t>
  </si>
  <si>
    <t xml:space="preserve">Hartie Little Hamburgers</t>
  </si>
  <si>
    <t xml:space="preserve">7000125</t>
  </si>
  <si>
    <t xml:space="preserve">HEINZ HONEY MUSTARD DIPPOT 100X25G</t>
  </si>
  <si>
    <t xml:space="preserve">7000126</t>
  </si>
  <si>
    <t xml:space="preserve">HEINZ KETCHUP SASCHET 200X10ML</t>
  </si>
  <si>
    <t xml:space="preserve">7000128</t>
  </si>
  <si>
    <t xml:space="preserve">HEINZ MAYONNAISE SASCHET 200X100ML</t>
  </si>
  <si>
    <t xml:space="preserve">7000124</t>
  </si>
  <si>
    <t xml:space="preserve">HEINZ SWEET CHILLY DIPPOT 100X25G</t>
  </si>
  <si>
    <t xml:space="preserve">7000103</t>
  </si>
  <si>
    <t xml:space="preserve">Homestyle CKN Patty</t>
  </si>
  <si>
    <t xml:space="preserve">7000144</t>
  </si>
  <si>
    <t xml:space="preserve">Iceberg Cal.1  400/500gr</t>
  </si>
  <si>
    <t xml:space="preserve">702140</t>
  </si>
  <si>
    <t xml:space="preserve">Illy Expresso Clasico 1.5 kg</t>
  </si>
  <si>
    <t xml:space="preserve">4028</t>
  </si>
  <si>
    <t xml:space="preserve">Jalapenos (raw)</t>
  </si>
  <si>
    <t xml:space="preserve">702052</t>
  </si>
  <si>
    <t xml:space="preserve">Ketchup Jerrycan Heinz 10.2L</t>
  </si>
  <si>
    <t xml:space="preserve">4032</t>
  </si>
  <si>
    <t xml:space="preserve">Lapte cafea</t>
  </si>
  <si>
    <t xml:space="preserve">4033</t>
  </si>
  <si>
    <t xml:space="preserve">Lapte UHT 7.5%</t>
  </si>
  <si>
    <t xml:space="preserve">702122</t>
  </si>
  <si>
    <t xml:space="preserve">Lemon Pepper  Mayo</t>
  </si>
  <si>
    <t xml:space="preserve">702512</t>
  </si>
  <si>
    <t xml:space="preserve">LOTUS-BISCOFF CREMA TARTINABILA 3KG</t>
  </si>
  <si>
    <t xml:space="preserve">7000163</t>
  </si>
  <si>
    <t xml:space="preserve">LW CRISSCUTS SKIN-ON</t>
  </si>
  <si>
    <t xml:space="preserve">702088-MAC</t>
  </si>
  <si>
    <t xml:space="preserve">Mac&amp;Cheese Bites RAW</t>
  </si>
  <si>
    <t xml:space="preserve">7000132</t>
  </si>
  <si>
    <t xml:space="preserve">Mandarina cu sorbet, 12 buc</t>
  </si>
  <si>
    <t xml:space="preserve">702193</t>
  </si>
  <si>
    <t xml:space="preserve">Monin Syrup caramel 70 cl</t>
  </si>
  <si>
    <t xml:space="preserve">702048</t>
  </si>
  <si>
    <t xml:space="preserve">Mustar Heinz 875ml</t>
  </si>
  <si>
    <t xml:space="preserve">702314</t>
  </si>
  <si>
    <t xml:space="preserve">N Sos Cocktail</t>
  </si>
  <si>
    <t xml:space="preserve">4041</t>
  </si>
  <si>
    <t xml:space="preserve">Nutella (raw)</t>
  </si>
  <si>
    <t xml:space="preserve">702035</t>
  </si>
  <si>
    <t xml:space="preserve">Pahar cafea 4OZ</t>
  </si>
  <si>
    <t xml:space="preserve">7000151</t>
  </si>
  <si>
    <t xml:space="preserve">PAHAR CARTOFI FRY 12OZ - 85MM 2026</t>
  </si>
  <si>
    <t xml:space="preserve">5032</t>
  </si>
  <si>
    <t xml:space="preserve">Pahar Carton Chedar Dip 130ml</t>
  </si>
  <si>
    <t xml:space="preserve">7000003</t>
  </si>
  <si>
    <t xml:space="preserve">Pahar Carton Dip'n FRY RANCH 130ml</t>
  </si>
  <si>
    <t xml:space="preserve">7000002</t>
  </si>
  <si>
    <t xml:space="preserve">Pahar Carton Dip'n Truffle 130ml</t>
  </si>
  <si>
    <t xml:space="preserve">5033</t>
  </si>
  <si>
    <t xml:space="preserve">Pahar Carton DW Fryday 250ml</t>
  </si>
  <si>
    <t xml:space="preserve">5034</t>
  </si>
  <si>
    <t xml:space="preserve">Pahar Carton DW Fryday 350ml</t>
  </si>
  <si>
    <t xml:space="preserve">7000004</t>
  </si>
  <si>
    <t xml:space="preserve">PAHAR DIN CARTON [300ML/12OZ] FRY RANCH CGRBA7991 DP12N</t>
  </si>
  <si>
    <t xml:space="preserve">7000005</t>
  </si>
  <si>
    <t xml:space="preserve">PAHAR DIN CARTON [400ML/16OZ] FRY RANCH CGRBA7992 DP16T</t>
  </si>
  <si>
    <t xml:space="preserve">7000012</t>
  </si>
  <si>
    <t xml:space="preserve">PAHAR PET FRYZZZ 300-400ML</t>
  </si>
  <si>
    <t xml:space="preserve">7000181</t>
  </si>
  <si>
    <t xml:space="preserve">Pahar Storm</t>
  </si>
  <si>
    <t xml:space="preserve">5042</t>
  </si>
  <si>
    <t xml:space="preserve">Pai 12 mm</t>
  </si>
  <si>
    <t xml:space="preserve">702138</t>
  </si>
  <si>
    <t xml:space="preserve">Pai hartie 8mm</t>
  </si>
  <si>
    <t xml:space="preserve">5044</t>
  </si>
  <si>
    <t xml:space="preserve">Paletine Lemn 14 cm</t>
  </si>
  <si>
    <t xml:space="preserve">702045</t>
  </si>
  <si>
    <t xml:space="preserve">Patties pui 50gr Transavia</t>
  </si>
  <si>
    <t xml:space="preserve">7000121</t>
  </si>
  <si>
    <t xml:space="preserve">PEPSI ZERO CREAM SODA 330ML</t>
  </si>
  <si>
    <t xml:space="preserve">7000122</t>
  </si>
  <si>
    <t xml:space="preserve">PEPSI ZERO STRAWBERRY CREAM 330ML</t>
  </si>
  <si>
    <t xml:space="preserve">700657</t>
  </si>
  <si>
    <t xml:space="preserve">Pepsi-Cola 0.33L</t>
  </si>
  <si>
    <t xml:space="preserve">702015</t>
  </si>
  <si>
    <t xml:space="preserve">Piure Banane Monin</t>
  </si>
  <si>
    <t xml:space="preserve">702016</t>
  </si>
  <si>
    <t xml:space="preserve">Piure Capsuni Monin</t>
  </si>
  <si>
    <t xml:space="preserve">NOU-PIU-GRAP</t>
  </si>
  <si>
    <t xml:space="preserve">Piure Grapefruit Monin</t>
  </si>
  <si>
    <t xml:space="preserve">NOU-PIU-PEPE</t>
  </si>
  <si>
    <t xml:space="preserve">Piure Pepene Rosu Monin</t>
  </si>
  <si>
    <t xml:space="preserve">NOU-PIU-PINA</t>
  </si>
  <si>
    <t xml:space="preserve">Piure Pina Colada Monin</t>
  </si>
  <si>
    <t xml:space="preserve">7000166</t>
  </si>
  <si>
    <t xml:space="preserve">PLACINTA MAR CARAMEL. 70G</t>
  </si>
  <si>
    <t xml:space="preserve">7000169</t>
  </si>
  <si>
    <t xml:space="preserve">PLIC CONDIMENTE CAJUN [3G] FRY</t>
  </si>
  <si>
    <t xml:space="preserve">7000168</t>
  </si>
  <si>
    <t xml:space="preserve">PLIC CONDIMENTE PARMESAN [3G] FRY</t>
  </si>
  <si>
    <t xml:space="preserve">702181</t>
  </si>
  <si>
    <t xml:space="preserve">Prajitura cu mascarpone si capasuni in pahar sticla</t>
  </si>
  <si>
    <t xml:space="preserve">702179</t>
  </si>
  <si>
    <t xml:space="preserve">Prajitura de vanilie cu bezea crocanta</t>
  </si>
  <si>
    <t xml:space="preserve">7000210</t>
  </si>
  <si>
    <t xml:space="preserve">PREP - smashed koliber 60G</t>
  </si>
  <si>
    <t xml:space="preserve">7000024</t>
  </si>
  <si>
    <t xml:space="preserve">Prep Salata Coleslaw</t>
  </si>
  <si>
    <t xml:space="preserve">3016</t>
  </si>
  <si>
    <t xml:space="preserve">Prigat Portocale (raw)</t>
  </si>
  <si>
    <t xml:space="preserve">702175</t>
  </si>
  <si>
    <t xml:space="preserve">Profiterol cu ciocolata</t>
  </si>
  <si>
    <t xml:space="preserve">702507</t>
  </si>
  <si>
    <t xml:space="preserve">PUNGA 11x5x12.5 BURGER MIC</t>
  </si>
  <si>
    <t xml:space="preserve">5046</t>
  </si>
  <si>
    <t xml:space="preserve">Punga Alba Pui 15x15</t>
  </si>
  <si>
    <t xml:space="preserve">7000167</t>
  </si>
  <si>
    <t xml:space="preserve">Punga Fry Shaker</t>
  </si>
  <si>
    <t xml:space="preserve">702146</t>
  </si>
  <si>
    <t xml:space="preserve">PUNGA FRYDAY PEPSI 23X10X30</t>
  </si>
  <si>
    <t xml:space="preserve">700970</t>
  </si>
  <si>
    <t xml:space="preserve">Punga Pui Nepicant</t>
  </si>
  <si>
    <t xml:space="preserve">700971</t>
  </si>
  <si>
    <t xml:space="preserve">Punga Pui Picant</t>
  </si>
  <si>
    <t xml:space="preserve">702147</t>
  </si>
  <si>
    <t xml:space="preserve">PUNGA TO GO FRD+PEPSI 26X17X33</t>
  </si>
  <si>
    <t xml:space="preserve">3017</t>
  </si>
  <si>
    <t xml:space="preserve">Redbull (raw)</t>
  </si>
  <si>
    <t xml:space="preserve">702514</t>
  </si>
  <si>
    <t xml:space="preserve">Redpeppajam Sauce</t>
  </si>
  <si>
    <t xml:space="preserve">702414</t>
  </si>
  <si>
    <t xml:space="preserve">Rosti Rounds</t>
  </si>
  <si>
    <t xml:space="preserve">702102</t>
  </si>
  <si>
    <t xml:space="preserve">RTS - Sos Samurai 25ml</t>
  </si>
  <si>
    <t xml:space="preserve">702103</t>
  </si>
  <si>
    <t xml:space="preserve">RTS - Sos Truffle Mayo 25ml</t>
  </si>
  <si>
    <t xml:space="preserve">702104</t>
  </si>
  <si>
    <t xml:space="preserve">RTS - Sos Usturoi 25ml</t>
  </si>
  <si>
    <t xml:space="preserve">702237</t>
  </si>
  <si>
    <t xml:space="preserve">Sacosa mare to go FRD 32X16.5X34</t>
  </si>
  <si>
    <t xml:space="preserve">4056</t>
  </si>
  <si>
    <t xml:space="preserve">Salata Eisberg</t>
  </si>
  <si>
    <t xml:space="preserve">7000143</t>
  </si>
  <si>
    <t xml:space="preserve">SALATA LOLLO BIONDA S 500g</t>
  </si>
  <si>
    <t xml:space="preserve">702458</t>
  </si>
  <si>
    <t xml:space="preserve">Sausage Patty</t>
  </si>
  <si>
    <t xml:space="preserve">5054</t>
  </si>
  <si>
    <t xml:space="preserve">Servetele umede</t>
  </si>
  <si>
    <t xml:space="preserve">4063</t>
  </si>
  <si>
    <t xml:space="preserve">Sos Brender Mayo BIB</t>
  </si>
  <si>
    <t xml:space="preserve">4064</t>
  </si>
  <si>
    <t xml:space="preserve">Sos Cheddar BIB</t>
  </si>
  <si>
    <t xml:space="preserve">7000001</t>
  </si>
  <si>
    <t xml:space="preserve">Sos FryRanch</t>
  </si>
  <si>
    <t xml:space="preserve">NOU-SOSREAL</t>
  </si>
  <si>
    <t xml:space="preserve">Sos Real Burger</t>
  </si>
  <si>
    <t xml:space="preserve">701042</t>
  </si>
  <si>
    <t xml:space="preserve">Sosiera neagra 50ml</t>
  </si>
  <si>
    <t xml:space="preserve">7000131</t>
  </si>
  <si>
    <t xml:space="preserve">TIRAMISU FISTIC 1.2 KG</t>
  </si>
  <si>
    <t xml:space="preserve">702180</t>
  </si>
  <si>
    <t xml:space="preserve">TIRAMISÙ pufos in pahar sticla</t>
  </si>
  <si>
    <t xml:space="preserve">4077</t>
  </si>
  <si>
    <t xml:space="preserve">Topping Oreo Crunch (raw)</t>
  </si>
  <si>
    <t xml:space="preserve">702178</t>
  </si>
  <si>
    <t xml:space="preserve">Tort pufos cu capsuni</t>
  </si>
  <si>
    <t xml:space="preserve">702511</t>
  </si>
  <si>
    <t xml:space="preserve">Truffle Mayonaise 10L</t>
  </si>
  <si>
    <t xml:space="preserve">4078</t>
  </si>
  <si>
    <t xml:space="preserve">Ulei de alune</t>
  </si>
  <si>
    <t xml:space="preserve">4080</t>
  </si>
  <si>
    <t xml:space="preserve">Veggie Plant Based 95g</t>
  </si>
  <si>
    <t xml:space="preserve">7000142</t>
  </si>
  <si>
    <t xml:space="preserve">Y - Ceapa Cuburi</t>
  </si>
  <si>
    <t xml:space="preserve">697191</t>
  </si>
  <si>
    <t xml:space="preserve">Y-Banane Feliate</t>
  </si>
  <si>
    <t xml:space="preserve">697190</t>
  </si>
  <si>
    <t xml:space="preserve">Y-Capsuni Feliate</t>
  </si>
  <si>
    <t xml:space="preserve">702399</t>
  </si>
  <si>
    <t xml:space="preserve">Y-Castraveti felii in saramura</t>
  </si>
  <si>
    <t xml:space="preserve">REȚETAR — cost actual + COST NOU (koliber 3.35)</t>
  </si>
  <si>
    <t xml:space="preserve">COST = cost actual. COST NOU = cu koliber @ 3.35. TOTAL = MC actual, TOTAL NOU = MC nou.</t>
  </si>
  <si>
    <t xml:space="preserve">Single HAMBURGER</t>
  </si>
  <si>
    <t xml:space="preserve">BURGER VITA</t>
  </si>
  <si>
    <t xml:space="preserve">COD</t>
  </si>
  <si>
    <t xml:space="preserve">INGREDIENT</t>
  </si>
  <si>
    <t xml:space="preserve">QTY</t>
  </si>
  <si>
    <t xml:space="preserve">COST/UM</t>
  </si>
  <si>
    <t xml:space="preserve">COST</t>
  </si>
  <si>
    <t xml:space="preserve">COST/UM NOU</t>
  </si>
  <si>
    <t xml:space="preserve">COST NOU</t>
  </si>
  <si>
    <t xml:space="preserve">Single HAMBURGER D</t>
  </si>
  <si>
    <t xml:space="preserve">DUBLU HAMBURGER new</t>
  </si>
  <si>
    <t xml:space="preserve">DUBLU HAMBURGER new D</t>
  </si>
  <si>
    <t xml:space="preserve">CHEESEBURGER new</t>
  </si>
  <si>
    <t xml:space="preserve">CHEESEBURGER new D</t>
  </si>
  <si>
    <t xml:space="preserve">DUBLU CHEESEBURGER new</t>
  </si>
  <si>
    <t xml:space="preserve">DUBLU CHEESEBURGER new D</t>
  </si>
  <si>
    <t xml:space="preserve">AMERICAN CHEESEBURGER new</t>
  </si>
  <si>
    <t xml:space="preserve">AMERICAN CHEESEBURGER new D</t>
  </si>
  <si>
    <t xml:space="preserve">AMERICAN DUBLU CHEESEBURGER new</t>
  </si>
  <si>
    <t xml:space="preserve">AMERICAN DUBLU CHEESEBURGER new D</t>
  </si>
  <si>
    <t xml:space="preserve">AMERICAN TRIPLU CHEESEBURGER new</t>
  </si>
  <si>
    <t xml:space="preserve">AMERICAN TRIPLU CHEESEBURGER new D</t>
  </si>
  <si>
    <t xml:space="preserve">SMASHED BURGER new</t>
  </si>
  <si>
    <t xml:space="preserve">SMASHED BURGER new D</t>
  </si>
  <si>
    <t xml:space="preserve">DUBLU SMASHED BURGER new</t>
  </si>
  <si>
    <t xml:space="preserve">DUBLU SMASHED BURGER new D</t>
  </si>
  <si>
    <t xml:space="preserve">BLACK TRUFFLE SMASHED new</t>
  </si>
  <si>
    <t xml:space="preserve">BLACK TRUFFLE SMASHED new D</t>
  </si>
  <si>
    <t xml:space="preserve">DUBLU BLACK TRUFFLE SMASHED new</t>
  </si>
  <si>
    <t xml:space="preserve">DUBLU BLACK TRUFFLE SMASHED new D</t>
  </si>
  <si>
    <t xml:space="preserve">RED PEPPER SMASHED new</t>
  </si>
  <si>
    <t xml:space="preserve">RED PEPPER SMASHED new D</t>
  </si>
  <si>
    <t xml:space="preserve">DUBLU RED PEPPER SMASHED new</t>
  </si>
  <si>
    <t xml:space="preserve">DUBLU RED PEPPER SMASHED new D</t>
  </si>
  <si>
    <t xml:space="preserve">AMERICAN TRIPLU CHEESEBURGER LETTUCE WRAP</t>
  </si>
  <si>
    <t xml:space="preserve">AMERICAN TRIPLU CHEESEBURGER LETTUCE WRAP D</t>
  </si>
  <si>
    <t xml:space="preserve">PUI BURGER new</t>
  </si>
  <si>
    <t xml:space="preserve">BURGER PUI</t>
  </si>
  <si>
    <t xml:space="preserve">PUI BURGER new D</t>
  </si>
  <si>
    <t xml:space="preserve">DUBLU PUI BURGER new</t>
  </si>
  <si>
    <t xml:space="preserve">DUBLU PUI BURGER new D</t>
  </si>
  <si>
    <t xml:space="preserve">HOMESTYLE CHICKEN PESTO new</t>
  </si>
  <si>
    <t xml:space="preserve">HOMESTYLE CHICKEN PESTO new D</t>
  </si>
  <si>
    <t xml:space="preserve">HOMESTYLE CHICKEN LEMON new</t>
  </si>
  <si>
    <t xml:space="preserve">HOMESTYLE CHICKEN LEMON new D</t>
  </si>
  <si>
    <t xml:space="preserve">HOMESTYLE CHICKEN RANCH new</t>
  </si>
  <si>
    <t xml:space="preserve">HOMESTYLE CHICKEN RANCH new D</t>
  </si>
  <si>
    <t xml:space="preserve">CHICKEN TRUFFLE new</t>
  </si>
  <si>
    <t xml:space="preserve">CHICKEN TRUFFLE new D</t>
  </si>
  <si>
    <t xml:space="preserve">DUBLU CHICKEN TRUFFLE new</t>
  </si>
  <si>
    <t xml:space="preserve">DUBLU CHICKEN TRUFFLE new D</t>
  </si>
  <si>
    <t xml:space="preserve">Chicken FryRanch XRemus</t>
  </si>
  <si>
    <t xml:space="preserve">HOMESTYLE CHICKEN FRYRANCH LETTUCE WRAP</t>
  </si>
  <si>
    <t xml:space="preserve">HOMESTYLE CHICKEN FRYRANCH LETTUCE WRAP D</t>
  </si>
  <si>
    <t xml:space="preserve">HOMESTYLE CHICKEN LEMON LETTUCE WRAP D</t>
  </si>
  <si>
    <t xml:space="preserve">TRIPLU PUI BURGER new</t>
  </si>
  <si>
    <t xml:space="preserve">TRIPLU CHICKEN TRUFFLE new D</t>
  </si>
  <si>
    <t xml:space="preserve">ALMETTE FRESH PUI new</t>
  </si>
  <si>
    <t xml:space="preserve">BREAKFAST</t>
  </si>
  <si>
    <t xml:space="preserve">ALMETTE FRESH PUI new D</t>
  </si>
  <si>
    <t xml:space="preserve">ALMETTE BASIL PUI new</t>
  </si>
  <si>
    <t xml:space="preserve">ALMETTE BASIL PUI new D</t>
  </si>
  <si>
    <t xml:space="preserve">ALMETTE FRESH PORC new</t>
  </si>
  <si>
    <t xml:space="preserve">ALMETTE FRESH PORC new D</t>
  </si>
  <si>
    <t xml:space="preserve">ALMETTE BASIL PORC new</t>
  </si>
  <si>
    <t xml:space="preserve">ALMETTE BASIL PORC new D</t>
  </si>
  <si>
    <t xml:space="preserve">ROSTI SAUSAGE BURGER new</t>
  </si>
  <si>
    <t xml:space="preserve">ROSTI SAUSAGE BURGER new D</t>
  </si>
  <si>
    <t xml:space="preserve">SHRIMP BURGER new</t>
  </si>
  <si>
    <t xml:space="preserve">CREVETI</t>
  </si>
  <si>
    <t xml:space="preserve">SHRIMP BURGER new D</t>
  </si>
  <si>
    <t xml:space="preserve">BURGER VEGETARIAN new</t>
  </si>
  <si>
    <t xml:space="preserve">BURGER VEGETARIAN</t>
  </si>
  <si>
    <t xml:space="preserve">BURGER VEGETARIAN new D</t>
  </si>
  <si>
    <t xml:space="preserve">4 NUGGETS new</t>
  </si>
  <si>
    <t xml:space="preserve">FRIED CHICKEN</t>
  </si>
  <si>
    <t xml:space="preserve">4 NUGGETS new D</t>
  </si>
  <si>
    <t xml:space="preserve">6 NUGGETS new</t>
  </si>
  <si>
    <t xml:space="preserve">6 NUGGETS new D</t>
  </si>
  <si>
    <t xml:space="preserve">9 NUGGETS new</t>
  </si>
  <si>
    <t xml:space="preserve">9 NUGGETS new D</t>
  </si>
  <si>
    <t xml:space="preserve">3 COUNTRY WINGS new</t>
  </si>
  <si>
    <t xml:space="preserve">3 COUNTRY WINGS new D</t>
  </si>
  <si>
    <t xml:space="preserve">5 COUNTRY WINGS new</t>
  </si>
  <si>
    <t xml:space="preserve">5 COUNTRY WINGS new D</t>
  </si>
  <si>
    <t xml:space="preserve">7 COUNTRY WINGS new</t>
  </si>
  <si>
    <t xml:space="preserve">7 COUNTRY WINGS new D</t>
  </si>
  <si>
    <t xml:space="preserve">9 COUNTRY WINGS new</t>
  </si>
  <si>
    <t xml:space="preserve">9 COUNTRY WINGS new D</t>
  </si>
  <si>
    <t xml:space="preserve">3 HOT COUNTRY WINGS new</t>
  </si>
  <si>
    <t xml:space="preserve">3 HOT COUNTRY WINGS new D</t>
  </si>
  <si>
    <t xml:space="preserve">5 HOT COUNTRY WINGS new</t>
  </si>
  <si>
    <t xml:space="preserve">5 HOT COUNTRY WINGS new D</t>
  </si>
  <si>
    <t xml:space="preserve">7 HOT COUNTRY WINGS new</t>
  </si>
  <si>
    <t xml:space="preserve">7 HOT COUNTRY WINGS new D</t>
  </si>
  <si>
    <t xml:space="preserve">9 HOT COUNTRY WINGS new</t>
  </si>
  <si>
    <t xml:space="preserve">9 HOT COUNTRY WINGS new D</t>
  </si>
  <si>
    <t xml:space="preserve">HOMESTYLE CRISPY 3 (180G) new</t>
  </si>
  <si>
    <t xml:space="preserve">HOMESTYLE CRISPY 3 (180G) new D</t>
  </si>
  <si>
    <t xml:space="preserve">HOMESTYLE CRISPY 4 (240G) new</t>
  </si>
  <si>
    <t xml:space="preserve">HOMESTYLE CRISPY 4 (240G) new D</t>
  </si>
  <si>
    <t xml:space="preserve">HOMESTYLE CRISPY 5 (300G) new</t>
  </si>
  <si>
    <t xml:space="preserve">HOMESTYLE CRISPY 5 (300G) new D</t>
  </si>
  <si>
    <t xml:space="preserve">PACK HOMESTYLE CRISPY 20 (1200G) new</t>
  </si>
  <si>
    <t xml:space="preserve">PACK HOMESTYLE CRISPY 20 (1200G) new D</t>
  </si>
  <si>
    <t xml:space="preserve">PACK COUNTRY WINGS 30 (900G) new</t>
  </si>
  <si>
    <t xml:space="preserve">PACK COUNTRY WINGS 30 (900G) new D</t>
  </si>
  <si>
    <t xml:space="preserve">PACK COUNTRY HOT WINGS 30 (990G) new</t>
  </si>
  <si>
    <t xml:space="preserve">PACK COUNTRY HOT WINGS 30 (990G) new D</t>
  </si>
  <si>
    <t xml:space="preserve">REALLY CRUNCHY FRIES 170G</t>
  </si>
  <si>
    <t xml:space="preserve">FRIES</t>
  </si>
  <si>
    <t xml:space="preserve">CARTOFI CRISS CUT 140G new</t>
  </si>
  <si>
    <t xml:space="preserve">CARTOFI CRISS CUT D</t>
  </si>
  <si>
    <t xml:space="preserve">Cartofi prajiti in ulei de alune 112g D New</t>
  </si>
  <si>
    <t xml:space="preserve">Cartofi prajiti in ulei de alune 150g D New</t>
  </si>
  <si>
    <t xml:space="preserve">Cartofi prajiti in ulei de alune SuperSize 250g D New</t>
  </si>
  <si>
    <t xml:space="preserve">MAC &amp; CHEESY BITES NEW</t>
  </si>
  <si>
    <t xml:space="preserve">SNACK</t>
  </si>
  <si>
    <t xml:space="preserve">MAC &amp; CHEESY BITES NEW D</t>
  </si>
  <si>
    <t xml:space="preserve">SALATA COLESLAW NEW</t>
  </si>
  <si>
    <t xml:space="preserve">SALATA COLESLAW NEW D</t>
  </si>
  <si>
    <t xml:space="preserve">ADD Bacon new</t>
  </si>
  <si>
    <t xml:space="preserve">ADD Bacon new D</t>
  </si>
  <si>
    <t xml:space="preserve">ADD FELIE CHEDDAR new</t>
  </si>
  <si>
    <t xml:space="preserve">ADD Felie Cheddar new D</t>
  </si>
  <si>
    <t xml:space="preserve">Punga</t>
  </si>
  <si>
    <t xml:space="preserve">Punga Mica</t>
  </si>
  <si>
    <t xml:space="preserve">Punga Mica D</t>
  </si>
  <si>
    <t xml:space="preserve">Sacosa</t>
  </si>
  <si>
    <t xml:space="preserve">Sacosa D</t>
  </si>
  <si>
    <t xml:space="preserve">ADD JALAPENO new</t>
  </si>
  <si>
    <t xml:space="preserve">ADD JALAPENO new D</t>
  </si>
  <si>
    <t xml:space="preserve">EXTRA HOMESTYLE CRISPY new</t>
  </si>
  <si>
    <t xml:space="preserve">EXTRA HOMESTYLE CRISPY new D</t>
  </si>
  <si>
    <t xml:space="preserve">Fry Shaker Parmezan &amp; Usturoi</t>
  </si>
  <si>
    <t xml:space="preserve">Fry Shaker Parmezan &amp; Usturoi D</t>
  </si>
  <si>
    <t xml:space="preserve">Fry Shaker Cajun</t>
  </si>
  <si>
    <t xml:space="preserve">Fry Shaker Cajun D</t>
  </si>
  <si>
    <t xml:space="preserve">Sos Truffle Mayo NEW</t>
  </si>
  <si>
    <t xml:space="preserve">SAUCES</t>
  </si>
  <si>
    <t xml:space="preserve">Sos Truffle Mayo NEW D</t>
  </si>
  <si>
    <t xml:space="preserve">Sos Samurai NEW</t>
  </si>
  <si>
    <t xml:space="preserve">Sos Samurai NEW D</t>
  </si>
  <si>
    <t xml:space="preserve">Sos Usturoi NEW</t>
  </si>
  <si>
    <t xml:space="preserve">Sos Usturoi NEW D</t>
  </si>
  <si>
    <t xml:space="preserve">Side Cheddar 40 ml D NEW</t>
  </si>
  <si>
    <t xml:space="preserve">Side Cheddar 40 ml D NEW D</t>
  </si>
  <si>
    <t xml:space="preserve">SIDE FRYRANCH 40G NEW</t>
  </si>
  <si>
    <t xml:space="preserve">SIDE FRYRANCH 40G NEW D</t>
  </si>
  <si>
    <t xml:space="preserve">Sos Ketchup 10ml NEW</t>
  </si>
  <si>
    <t xml:space="preserve">Sos Ketchup 10ml NEW D</t>
  </si>
  <si>
    <t xml:space="preserve">Sos Mayoneza 10ml NEW</t>
  </si>
  <si>
    <t xml:space="preserve">Sos Mayoneza 10ml NEW D</t>
  </si>
  <si>
    <t xml:space="preserve">Sos Barbeque 25G NEW</t>
  </si>
  <si>
    <t xml:space="preserve">Sos Barbeque 25G NEW D</t>
  </si>
  <si>
    <t xml:space="preserve">Sos HONEY MUSTARD 25G NEW</t>
  </si>
  <si>
    <t xml:space="preserve">Sos HONEY MUSTARD 25G NEW D</t>
  </si>
  <si>
    <t xml:space="preserve">Sos SWEET CHILLI 25G NEW</t>
  </si>
  <si>
    <t xml:space="preserve">Sos SWEET CHILLI 25G NEW D</t>
  </si>
  <si>
    <t xml:space="preserve">2X Sos Ketchup 10ml D NEW</t>
  </si>
  <si>
    <t xml:space="preserve">DIP N Cheddar 100 ML D NEW</t>
  </si>
  <si>
    <t xml:space="preserve">DIP N Cheddar 100 ML D NEW D</t>
  </si>
  <si>
    <t xml:space="preserve">DIP N FRYRANCH 100G NEW</t>
  </si>
  <si>
    <t xml:space="preserve">DIP N FRYRANCH 100G NEW D</t>
  </si>
  <si>
    <t xml:space="preserve">DIP N FRYRANCH 250G NEW</t>
  </si>
  <si>
    <t xml:space="preserve">DIP N FRYRANCH 250G NEW D</t>
  </si>
  <si>
    <t xml:space="preserve">DIP N FRYRANCH 400G NEW</t>
  </si>
  <si>
    <t xml:space="preserve">DIP N FRYRANCH 400G NEW D</t>
  </si>
  <si>
    <t xml:space="preserve">DIP N TRUFFLE 100G NEW</t>
  </si>
  <si>
    <t xml:space="preserve">DIP N TRUFFLE 100G NEW D</t>
  </si>
  <si>
    <t xml:space="preserve">APPLE TOFFEE FRYPIE</t>
  </si>
  <si>
    <t xml:space="preserve">MILKSHAKE &amp; DESSERT</t>
  </si>
  <si>
    <t xml:space="preserve">APPLE TOFFEE FRYPIE D</t>
  </si>
  <si>
    <t xml:space="preserve">Nutella Burger NEW</t>
  </si>
  <si>
    <t xml:space="preserve">Nutella Burger NEW D</t>
  </si>
  <si>
    <t xml:space="preserve">Nutella Burger Capsuni NEW</t>
  </si>
  <si>
    <t xml:space="preserve">Nutella Burger Capsuni NEW D</t>
  </si>
  <si>
    <t xml:space="preserve">Nutella Burger Banane NEW</t>
  </si>
  <si>
    <t xml:space="preserve">Nutella Burger Banane NEW D</t>
  </si>
  <si>
    <t xml:space="preserve">Milkshake Biscoff NEW</t>
  </si>
  <si>
    <t xml:space="preserve">Milkshake Apple Cinnamon NEW</t>
  </si>
  <si>
    <t xml:space="preserve">Milkshake Vanilie NEW</t>
  </si>
  <si>
    <t xml:space="preserve">Milkshake Banane NEW</t>
  </si>
  <si>
    <t xml:space="preserve">Milkshake Capsuni NEW</t>
  </si>
  <si>
    <t xml:space="preserve">Milkshake Ciocolata NEW</t>
  </si>
  <si>
    <t xml:space="preserve">APPLE TOFFEE FRYPIE 2X</t>
  </si>
  <si>
    <t xml:space="preserve">APPLE TOFFEE FRYPIE 2X D</t>
  </si>
  <si>
    <t xml:space="preserve">ADD-ON NUTELLA NEW</t>
  </si>
  <si>
    <t xml:space="preserve">ADD-ON BANANE NEW</t>
  </si>
  <si>
    <t xml:space="preserve">Topping Biscoff</t>
  </si>
  <si>
    <t xml:space="preserve">topping OREO</t>
  </si>
  <si>
    <t xml:space="preserve">topping KITKAT NEW</t>
  </si>
  <si>
    <t xml:space="preserve">topping APPLE CINAMON NEW</t>
  </si>
  <si>
    <t xml:space="preserve">add NUTELLA milkshake NEW</t>
  </si>
  <si>
    <t xml:space="preserve">ADD-ON CAPSUNI NEW</t>
  </si>
  <si>
    <t xml:space="preserve">Milkshake Vanilie 200G</t>
  </si>
  <si>
    <t xml:space="preserve">Milkshake Vanilie 200G D</t>
  </si>
  <si>
    <t xml:space="preserve">Milkshake Ciocolata 200G</t>
  </si>
  <si>
    <t xml:space="preserve">Milkshake Ciocolata 200G D</t>
  </si>
  <si>
    <t xml:space="preserve">Milkshake Capsuni 200G</t>
  </si>
  <si>
    <t xml:space="preserve">Milkshake Capsuni 200G D</t>
  </si>
  <si>
    <t xml:space="preserve">Milkshake Banane 200G</t>
  </si>
  <si>
    <t xml:space="preserve">Milkshake Biscoff 210G D</t>
  </si>
  <si>
    <t xml:space="preserve">Milkshake Apple Cinnamon 220G</t>
  </si>
  <si>
    <t xml:space="preserve">Milkshake Apple Cinnamon 220G D</t>
  </si>
  <si>
    <t xml:space="preserve">Milkshake Cirese 200G (DOZA)</t>
  </si>
  <si>
    <t xml:space="preserve">Milkshake Fructul Pasiunii 200G (Doza )</t>
  </si>
  <si>
    <t xml:space="preserve">ApfelStorm X Toffee</t>
  </si>
  <si>
    <t xml:space="preserve">Suc PET 250ml new</t>
  </si>
  <si>
    <t xml:space="preserve">DRINKS</t>
  </si>
  <si>
    <t xml:space="preserve">Suc PET 500ml new</t>
  </si>
  <si>
    <t xml:space="preserve">Apa Plata AQUA CARPATICA new</t>
  </si>
  <si>
    <t xml:space="preserve">Apa Plata AQUA CARPATICA new D</t>
  </si>
  <si>
    <t xml:space="preserve">Apa Minerala AQUA CARPATICA new</t>
  </si>
  <si>
    <t xml:space="preserve">Apa Minerala AQUA CARPATICA new D</t>
  </si>
  <si>
    <t xml:space="preserve">Prigat Portocale new</t>
  </si>
  <si>
    <t xml:space="preserve">Prigat Portocale new D</t>
  </si>
  <si>
    <t xml:space="preserve">Dr Pepper new</t>
  </si>
  <si>
    <t xml:space="preserve">Dr Pepper new D</t>
  </si>
  <si>
    <t xml:space="preserve">Red Bull new</t>
  </si>
  <si>
    <t xml:space="preserve">Red Bull new D</t>
  </si>
  <si>
    <t xml:space="preserve">Bere Corona new</t>
  </si>
  <si>
    <t xml:space="preserve">Bere Corona new D</t>
  </si>
  <si>
    <t xml:space="preserve">Budweiser new</t>
  </si>
  <si>
    <t xml:space="preserve">Budweiser new D</t>
  </si>
  <si>
    <t xml:space="preserve">Apa Evian new</t>
  </si>
  <si>
    <t xml:space="preserve">Apa Evian new D</t>
  </si>
  <si>
    <t xml:space="preserve">FRYZZZ CAPSUNI new</t>
  </si>
  <si>
    <t xml:space="preserve">FRYZZZ GRAPEFRUIT new</t>
  </si>
  <si>
    <t xml:space="preserve">FRYZZZ PINACOLADA new</t>
  </si>
  <si>
    <t xml:space="preserve">FRYZZZ PEPENE ROSU new</t>
  </si>
  <si>
    <t xml:space="preserve">Pepsi cu gust de Căpșuni și Frișcă new</t>
  </si>
  <si>
    <t xml:space="preserve">Pepsi cu gust de Căpșuni și Frișcă new D</t>
  </si>
  <si>
    <t xml:space="preserve">Pepsi cu gust de Înghețată de Vanilie new</t>
  </si>
  <si>
    <t xml:space="preserve">Pepsi cu gust de Înghețată de Vanilie new D</t>
  </si>
  <si>
    <t xml:space="preserve">DOZA PEPSI ZERO new D</t>
  </si>
  <si>
    <t xml:space="preserve">Doza Pepsi 330ml new D</t>
  </si>
  <si>
    <t xml:space="preserve">Tort ciocolata zmeura new</t>
  </si>
  <si>
    <t xml:space="preserve">FRYCAFE</t>
  </si>
  <si>
    <t xml:space="preserve">Tort ciocolata zmeura new D</t>
  </si>
  <si>
    <t xml:space="preserve">Profiterol ciocolata new</t>
  </si>
  <si>
    <t xml:space="preserve">Profiterol ciocolata new D</t>
  </si>
  <si>
    <t xml:space="preserve">CARROT CAKE new</t>
  </si>
  <si>
    <t xml:space="preserve">CARROT CAKE new D</t>
  </si>
  <si>
    <t xml:space="preserve">Tort pufos capsuni new</t>
  </si>
  <si>
    <t xml:space="preserve">Tort pufos capsuni new D</t>
  </si>
  <si>
    <t xml:space="preserve">Prajitura vanilie bezea new</t>
  </si>
  <si>
    <t xml:space="preserve">Prajitura vanilie bezea new D</t>
  </si>
  <si>
    <t xml:space="preserve">TIRAMISU new</t>
  </si>
  <si>
    <t xml:space="preserve">TIRAMISU new D</t>
  </si>
  <si>
    <t xml:space="preserve">Prajitura mascarpone capsuni new</t>
  </si>
  <si>
    <t xml:space="preserve">Prajitura mascarpone capsuni new D</t>
  </si>
  <si>
    <t xml:space="preserve">Prajitura Maritozzo new</t>
  </si>
  <si>
    <t xml:space="preserve">Prajitura Maritozzo new D</t>
  </si>
  <si>
    <t xml:space="preserve">Millefoglie new</t>
  </si>
  <si>
    <t xml:space="preserve">Millefoglie new D</t>
  </si>
  <si>
    <t xml:space="preserve">Espresso NEW</t>
  </si>
  <si>
    <t xml:space="preserve">Espresso NEW D</t>
  </si>
  <si>
    <t xml:space="preserve">Espresso Grande NEw</t>
  </si>
  <si>
    <t xml:space="preserve">Espresso Grande NEw D</t>
  </si>
  <si>
    <t xml:space="preserve">Latte Machiato NEW</t>
  </si>
  <si>
    <t xml:space="preserve">Latte Machiato NEW D</t>
  </si>
  <si>
    <t xml:space="preserve">Americano NEW</t>
  </si>
  <si>
    <t xml:space="preserve">Americano NEW D</t>
  </si>
  <si>
    <t xml:space="preserve">Americano Grande NEW</t>
  </si>
  <si>
    <t xml:space="preserve">Americano Grande NEW D</t>
  </si>
  <si>
    <t xml:space="preserve">Cappucino NEW</t>
  </si>
  <si>
    <t xml:space="preserve">Cappucino NEW D</t>
  </si>
  <si>
    <t xml:space="preserve">Cappucino Grande NEW</t>
  </si>
  <si>
    <t xml:space="preserve">Cappucino Grande NEW D</t>
  </si>
  <si>
    <t xml:space="preserve">Caffe Latte NEW</t>
  </si>
  <si>
    <t xml:space="preserve">Caffe Latte NEW D</t>
  </si>
  <si>
    <t xml:space="preserve">Caffe Latte Grande NEW</t>
  </si>
  <si>
    <t xml:space="preserve">Caffe Latte Grande NEW D</t>
  </si>
  <si>
    <t xml:space="preserve">Cioco Cappucino NEW</t>
  </si>
  <si>
    <t xml:space="preserve">Cioco Cappucino NEW D</t>
  </si>
  <si>
    <t xml:space="preserve">Cioco Cappucino Grande new</t>
  </si>
  <si>
    <t xml:space="preserve">Cioco Cappucino Grande new D</t>
  </si>
  <si>
    <t xml:space="preserve">Vanilla Latte new</t>
  </si>
  <si>
    <t xml:space="preserve">Vanilla Latte new D</t>
  </si>
  <si>
    <t xml:space="preserve">Vanilla Latte Grande new</t>
  </si>
  <si>
    <t xml:space="preserve">Vanilla Latte Grande new D</t>
  </si>
  <si>
    <t xml:space="preserve">Caramel Machiato new</t>
  </si>
  <si>
    <t xml:space="preserve">Caramel Machiato new D</t>
  </si>
  <si>
    <t xml:space="preserve">ICED COFFEE LATTE new</t>
  </si>
  <si>
    <t xml:space="preserve">LIMONADA 350ML new</t>
  </si>
  <si>
    <t xml:space="preserve">LIMONADA 400ML new D</t>
  </si>
  <si>
    <t xml:space="preserve">CHEESECAKE NEWYORK new</t>
  </si>
  <si>
    <t xml:space="preserve">CHEESECAKE NEWYORK new D</t>
  </si>
  <si>
    <t xml:space="preserve">TIRAMISU CU FISTIC new</t>
  </si>
  <si>
    <t xml:space="preserve">TIRAMISU CU FISTIC new D</t>
  </si>
  <si>
    <t xml:space="preserve">MANDARINA CU SORBET new</t>
  </si>
  <si>
    <t xml:space="preserve">MANDARINA CU SORBET new D</t>
  </si>
  <si>
    <t xml:space="preserve">Junior Meal Hamburger new</t>
  </si>
  <si>
    <t xml:space="preserve">JUNIOR</t>
  </si>
  <si>
    <t xml:space="preserve">Junior Meal Hamburger new D</t>
  </si>
  <si>
    <t xml:space="preserve">Junior Meal Pui Burger new</t>
  </si>
  <si>
    <t xml:space="preserve">Junior Meal Pui Burger new D</t>
  </si>
  <si>
    <t xml:space="preserve">Junior Meal 4 Nuggets new</t>
  </si>
  <si>
    <t xml:space="preserve">Junior Meal 4 Nuggets new D</t>
  </si>
  <si>
    <t xml:space="preserve">FOOD COST — MC actual + MC NOU (koliber 3.35) | Instore + Delivery</t>
  </si>
  <si>
    <t xml:space="preserve">Δ Aug/Oct/Dec (N-P, albastru) = majorările EDITABILE. Preț lună = I + Δ cumulat. FC NOU = MC nou / preț fără TVA.</t>
  </si>
  <si>
    <t xml:space="preserve">Denumire comercială</t>
  </si>
  <si>
    <t xml:space="preserve">Rețetă (Recipe Cards)</t>
  </si>
  <si>
    <t xml:space="preserve">Categorie</t>
  </si>
  <si>
    <t xml:space="preserve">Canal</t>
  </si>
  <si>
    <t xml:space="preserve">Tip TVA</t>
  </si>
  <si>
    <t xml:space="preserve">TVA %</t>
  </si>
  <si>
    <t xml:space="preserve">MC actual</t>
  </si>
  <si>
    <t xml:space="preserve">MC NOU</t>
  </si>
  <si>
    <t xml:space="preserve">Preț cu TVA</t>
  </si>
  <si>
    <t xml:space="preserve">Preț fără TVA</t>
  </si>
  <si>
    <t xml:space="preserve">FC actual %</t>
  </si>
  <si>
    <t xml:space="preserve">FC NOU %</t>
  </si>
  <si>
    <t xml:space="preserve">Note</t>
  </si>
  <si>
    <t xml:space="preserve">Δ Aug (major.)</t>
  </si>
  <si>
    <t xml:space="preserve">Δ Oct (major.)</t>
  </si>
  <si>
    <t xml:space="preserve">Δ Dec (major.)</t>
  </si>
  <si>
    <t xml:space="preserve">Preț Aug cu TVA</t>
  </si>
  <si>
    <t xml:space="preserve">Preț Aug fără TVA</t>
  </si>
  <si>
    <t xml:space="preserve">FC NOU Aug %</t>
  </si>
  <si>
    <t xml:space="preserve">Preț Oct cu TVA</t>
  </si>
  <si>
    <t xml:space="preserve">Preț Oct fără TVA</t>
  </si>
  <si>
    <t xml:space="preserve">FC NOU Oct %</t>
  </si>
  <si>
    <t xml:space="preserve">Preț Dec cu TVA</t>
  </si>
  <si>
    <t xml:space="preserve">Preț Dec fără TVA</t>
  </si>
  <si>
    <t xml:space="preserve">FC NOU Dec %</t>
  </si>
  <si>
    <t xml:space="preserve">HAMBURGER</t>
  </si>
  <si>
    <t xml:space="preserve">Instore</t>
  </si>
  <si>
    <t xml:space="preserve">FOOD</t>
  </si>
  <si>
    <t xml:space="preserve">HAMBURGER D</t>
  </si>
  <si>
    <t xml:space="preserve">Delivery</t>
  </si>
  <si>
    <t xml:space="preserve">DUBLU HAMBURGER</t>
  </si>
  <si>
    <t xml:space="preserve">DUBLU HAMBURGER D</t>
  </si>
  <si>
    <t xml:space="preserve">CHEESEBURGER</t>
  </si>
  <si>
    <t xml:space="preserve">CHEESEBURGER D</t>
  </si>
  <si>
    <t xml:space="preserve">DUBLU CHEESEBURGER</t>
  </si>
  <si>
    <t xml:space="preserve">DUBLU CHEESEBURGER D</t>
  </si>
  <si>
    <t xml:space="preserve">AMERICAN CHEESEBURGER</t>
  </si>
  <si>
    <t xml:space="preserve">AMERICAN CHEESEBURGER D</t>
  </si>
  <si>
    <t xml:space="preserve">AMERICAN DUBLU CHEESEBURGER</t>
  </si>
  <si>
    <t xml:space="preserve">AMERICAN DUBLU CHEESEBURGER D</t>
  </si>
  <si>
    <t xml:space="preserve">AMERICAN TRIPLU CHEESEBURGER</t>
  </si>
  <si>
    <t xml:space="preserve">AMERICAN TRIPLU CHEESEBURGER D</t>
  </si>
  <si>
    <t xml:space="preserve">SMASHED BURGER</t>
  </si>
  <si>
    <t xml:space="preserve">SMASHED BURGER D</t>
  </si>
  <si>
    <t xml:space="preserve">DUBLU SMASHED BURGER</t>
  </si>
  <si>
    <t xml:space="preserve">DUBLU SMASHED BURGER D</t>
  </si>
  <si>
    <t xml:space="preserve">BLACK TRUFFLE SMASHED</t>
  </si>
  <si>
    <t xml:space="preserve">BLACK TRUFFLE SMASHED D</t>
  </si>
  <si>
    <t xml:space="preserve">DUBLU BLACK TRUFFLE SMASHED</t>
  </si>
  <si>
    <t xml:space="preserve">DUBLU BLACK TRUFFLE SMASHED D</t>
  </si>
  <si>
    <t xml:space="preserve">RED PEPPER SMASHED</t>
  </si>
  <si>
    <t xml:space="preserve">RED PEPPER SMASHED D</t>
  </si>
  <si>
    <t xml:space="preserve">DUBLU RED PEPPER SMASHED</t>
  </si>
  <si>
    <t xml:space="preserve">DUBLU RED PEPPER SMASHED D</t>
  </si>
  <si>
    <t xml:space="preserve">PUI BURGER</t>
  </si>
  <si>
    <t xml:space="preserve">PUI BURGER D</t>
  </si>
  <si>
    <t xml:space="preserve">DUBLU PUI BURGER</t>
  </si>
  <si>
    <t xml:space="preserve">DUBLU PUI BURGER D</t>
  </si>
  <si>
    <t xml:space="preserve">HOMESTYLE CHICKEN PESTO</t>
  </si>
  <si>
    <t xml:space="preserve">HOMESTYLE CHICKEN PESTO D</t>
  </si>
  <si>
    <t xml:space="preserve">HOMESTYLE CHICKEN LEMON</t>
  </si>
  <si>
    <t xml:space="preserve">HOMESTYLE CHICKEN LEMON D</t>
  </si>
  <si>
    <t xml:space="preserve">HOMESTYLE CHICKEN RANCH</t>
  </si>
  <si>
    <t xml:space="preserve">HOMESTYLE CHICKEN RANCH D</t>
  </si>
  <si>
    <t xml:space="preserve">CHICKEN TRUFFLE</t>
  </si>
  <si>
    <t xml:space="preserve">CHICKEN TRUFFLE D</t>
  </si>
  <si>
    <t xml:space="preserve">DUBLU CHICKEN TRUFFLE</t>
  </si>
  <si>
    <t xml:space="preserve">DUBLU CHICKEN TRUFFLE D</t>
  </si>
  <si>
    <t xml:space="preserve">HOMESTYLE CHICKEN LEMON LETTUCE WRAP</t>
  </si>
  <si>
    <t xml:space="preserve">TRIPLU PUI BURGER</t>
  </si>
  <si>
    <t xml:space="preserve">TRIPLU CHICKEN TRUFFLE</t>
  </si>
  <si>
    <t xml:space="preserve">ALMETTE FRESH PUI</t>
  </si>
  <si>
    <t xml:space="preserve">ALMETTE FRESH PUI D</t>
  </si>
  <si>
    <t xml:space="preserve">ALMETTE BASIL PUI</t>
  </si>
  <si>
    <t xml:space="preserve">ALMETTE BASIL PUI D</t>
  </si>
  <si>
    <t xml:space="preserve">ALMETTE FRESH PORC</t>
  </si>
  <si>
    <t xml:space="preserve">ALMETTE FRESH PORC D</t>
  </si>
  <si>
    <t xml:space="preserve">ALMETTE BASIL PORC</t>
  </si>
  <si>
    <t xml:space="preserve">ALMETTE BASIL PORC D</t>
  </si>
  <si>
    <t xml:space="preserve">ROSTI SAUSAGE BURGER</t>
  </si>
  <si>
    <t xml:space="preserve">ROSTI SAUSAGE BURGER D</t>
  </si>
  <si>
    <t xml:space="preserve">SHRIMP BURGER</t>
  </si>
  <si>
    <t xml:space="preserve">SHRIMP BURGER D</t>
  </si>
  <si>
    <t xml:space="preserve">BURGER VEGETARIAN D</t>
  </si>
  <si>
    <t xml:space="preserve">4 NUGGETS</t>
  </si>
  <si>
    <t xml:space="preserve">4 NUGGETS D</t>
  </si>
  <si>
    <t xml:space="preserve">6 NUGGETS</t>
  </si>
  <si>
    <t xml:space="preserve">6 NUGGETS D</t>
  </si>
  <si>
    <t xml:space="preserve">9 NUGGETS</t>
  </si>
  <si>
    <t xml:space="preserve">9 NUGGETS D</t>
  </si>
  <si>
    <t xml:space="preserve">3 COUNTRY WINGS</t>
  </si>
  <si>
    <t xml:space="preserve">3 COUNTRY WINGS D</t>
  </si>
  <si>
    <t xml:space="preserve">5 COUNTRY WINGS</t>
  </si>
  <si>
    <t xml:space="preserve">5 COUNTRY WINGS D</t>
  </si>
  <si>
    <t xml:space="preserve">7 COUNTRY WINGS</t>
  </si>
  <si>
    <t xml:space="preserve">7 COUNTRY WINGS D</t>
  </si>
  <si>
    <t xml:space="preserve">9 COUNTRY WINGS</t>
  </si>
  <si>
    <t xml:space="preserve">9 COUNTRY WINGS D</t>
  </si>
  <si>
    <t xml:space="preserve">3 HOT COUNTRY WINGS</t>
  </si>
  <si>
    <t xml:space="preserve">3 HOT COUNTRY WINGS D</t>
  </si>
  <si>
    <t xml:space="preserve">5 HOT COUNTRY WINGS</t>
  </si>
  <si>
    <t xml:space="preserve">5 HOT COUNTRY WINGS D</t>
  </si>
  <si>
    <t xml:space="preserve">7 HOT COUNTRY WINGS</t>
  </si>
  <si>
    <t xml:space="preserve">7 HOT COUNTRY WINGS D</t>
  </si>
  <si>
    <t xml:space="preserve">9 HOT COUNTRY WINGS</t>
  </si>
  <si>
    <t xml:space="preserve">9 HOT COUNTRY WINGS D</t>
  </si>
  <si>
    <t xml:space="preserve">HOMESTYLE CRISPY 3 (180G)</t>
  </si>
  <si>
    <t xml:space="preserve">HOMESTYLE CRISPY 3 (180G) D</t>
  </si>
  <si>
    <t xml:space="preserve">HOMESTYLE CRISPY 4 (240G)</t>
  </si>
  <si>
    <t xml:space="preserve">HOMESTYLE CRISPY 4 (240G) D</t>
  </si>
  <si>
    <t xml:space="preserve">HOMESTYLE CRISPY 5 (300G)</t>
  </si>
  <si>
    <t xml:space="preserve">HOMESTYLE CRISPY 5 (300G) D</t>
  </si>
  <si>
    <t xml:space="preserve">PACK HOMESTYLE CRISPY 20 (1200G)</t>
  </si>
  <si>
    <t xml:space="preserve">PACK HOMESTYLE CRISPY 20 (1200G) D</t>
  </si>
  <si>
    <t xml:space="preserve">PACK COUNTRY WINGS 30 (1050G)</t>
  </si>
  <si>
    <t xml:space="preserve">PACK COUNTRY WINGS 30 (1050G) D</t>
  </si>
  <si>
    <t xml:space="preserve">PACK COUNTRY HOT WINGS 30 (1050G)</t>
  </si>
  <si>
    <t xml:space="preserve">PACK COUNTRY HOT WINGS 30 (1050G) D</t>
  </si>
  <si>
    <t xml:space="preserve">acesta se va activa pe delivery cand se termina ambalajele 112/150/250-revin cu cr</t>
  </si>
  <si>
    <t xml:space="preserve">CARTOFI CRISS CUT 140G</t>
  </si>
  <si>
    <t xml:space="preserve">acesta se va lansa in 30 mai -revin cu cr de listare</t>
  </si>
  <si>
    <t xml:space="preserve">CARTOFI CRISS CUT 140G D</t>
  </si>
  <si>
    <t xml:space="preserve">Cartofi prajiti in ulei de alune 112g D</t>
  </si>
  <si>
    <t xml:space="preserve">Cartofi prajiti in ulei de alune 150g D</t>
  </si>
  <si>
    <t xml:space="preserve">Cartofi prajiti in ulei de alune SuperSize 250g D</t>
  </si>
  <si>
    <t xml:space="preserve">MAC &amp; CHEESY BITES</t>
  </si>
  <si>
    <t xml:space="preserve">MAC &amp; CHEESY BITES D</t>
  </si>
  <si>
    <t xml:space="preserve">SALATA COLESLAW</t>
  </si>
  <si>
    <t xml:space="preserve">SALATA COLESLAW D</t>
  </si>
  <si>
    <t xml:space="preserve">ADD Bacon</t>
  </si>
  <si>
    <t xml:space="preserve">ADD Bacon D</t>
  </si>
  <si>
    <t xml:space="preserve">ADD Felie Cheddar</t>
  </si>
  <si>
    <t xml:space="preserve">ADD Felie Cheddar D</t>
  </si>
  <si>
    <t xml:space="preserve">ADD Jalapeno</t>
  </si>
  <si>
    <t xml:space="preserve">ADD Jalapeno D</t>
  </si>
  <si>
    <t xml:space="preserve">Extra Homestyle Crispy</t>
  </si>
  <si>
    <t xml:space="preserve">Extra Homestyle Crispy D</t>
  </si>
  <si>
    <t xml:space="preserve">Sos Truffle Mayo</t>
  </si>
  <si>
    <t xml:space="preserve">Sos Truffle Mayo D</t>
  </si>
  <si>
    <t xml:space="preserve">Sos Samurai</t>
  </si>
  <si>
    <t xml:space="preserve">Sos Samurai D</t>
  </si>
  <si>
    <t xml:space="preserve">Sos Usturoi</t>
  </si>
  <si>
    <t xml:space="preserve">Sos Usturoi D</t>
  </si>
  <si>
    <t xml:space="preserve">Side Cheddar 40 ml</t>
  </si>
  <si>
    <t xml:space="preserve">Side Cheddar 40 ml D</t>
  </si>
  <si>
    <t xml:space="preserve">SIDE FRYRANCH 40G</t>
  </si>
  <si>
    <t xml:space="preserve">SIDE FRYRANCH 40G D</t>
  </si>
  <si>
    <t xml:space="preserve">Sos Ketchup 10ml</t>
  </si>
  <si>
    <t xml:space="preserve">Sos Ketchup 10ml D</t>
  </si>
  <si>
    <t xml:space="preserve">Sos Mayoneza 10ml</t>
  </si>
  <si>
    <t xml:space="preserve">Sos Mayoneza 10ml D</t>
  </si>
  <si>
    <t xml:space="preserve">Sos Barbeque 25G</t>
  </si>
  <si>
    <t xml:space="preserve">Sos Barbeque 25G D</t>
  </si>
  <si>
    <t xml:space="preserve">Sos HONEY MUSTARD 25G</t>
  </si>
  <si>
    <t xml:space="preserve">Sos HONEY MUSTARD 25G D</t>
  </si>
  <si>
    <t xml:space="preserve">Sos SWEET CHILLI 25G</t>
  </si>
  <si>
    <t xml:space="preserve">Sos SWEET CHILLI 25G D</t>
  </si>
  <si>
    <t xml:space="preserve">2X Sos Ketchup 10ml/Mayoneza 10ml</t>
  </si>
  <si>
    <t xml:space="preserve">IN CAMPANII SI IN CATEGORIA CAMPANII INSIDE =SE ALEGE KETCHUP + MAYO SAU KETCHUP + KETCHUP</t>
  </si>
  <si>
    <t xml:space="preserve">DIP N Cheddar 100 ML</t>
  </si>
  <si>
    <t xml:space="preserve">DIP N Cheddar 100 ML D</t>
  </si>
  <si>
    <t xml:space="preserve">DIP N FRYRANCH 100G</t>
  </si>
  <si>
    <t xml:space="preserve">DIP N FRYRANCH 100G D</t>
  </si>
  <si>
    <t xml:space="preserve">DIP N FRYRANCH 250G</t>
  </si>
  <si>
    <t xml:space="preserve">DIP N FRYRANCH 250G D</t>
  </si>
  <si>
    <t xml:space="preserve">DIP N FRYRANCH 400G</t>
  </si>
  <si>
    <t xml:space="preserve">DIP N FRYRANCH 400G D</t>
  </si>
  <si>
    <t xml:space="preserve">DIP N TRUFFLE 100G</t>
  </si>
  <si>
    <t xml:space="preserve">DIP N TRUFFLE 100G D</t>
  </si>
  <si>
    <t xml:space="preserve">APPLE PIE TOFFIE</t>
  </si>
  <si>
    <t xml:space="preserve">REVIN CU CR-LANSARE 01 IUNIE</t>
  </si>
  <si>
    <t xml:space="preserve">APPLE PIE TOFFIE D</t>
  </si>
  <si>
    <t xml:space="preserve">Nutella Burger</t>
  </si>
  <si>
    <t xml:space="preserve">Nutella Burger D</t>
  </si>
  <si>
    <t xml:space="preserve">Nutella Burger Capsuni</t>
  </si>
  <si>
    <t xml:space="preserve">Nutella Burger Capsuni D</t>
  </si>
  <si>
    <t xml:space="preserve">Nutella Burger Banane</t>
  </si>
  <si>
    <t xml:space="preserve">Nutella Burger Banane D</t>
  </si>
  <si>
    <t xml:space="preserve">Milkshake Biscoff 300G</t>
  </si>
  <si>
    <t xml:space="preserve">Milkshake Apple Cinnamon 300G</t>
  </si>
  <si>
    <t xml:space="preserve">Milkshake Vanilie 300G</t>
  </si>
  <si>
    <t xml:space="preserve">Milkshake Banane 300G</t>
  </si>
  <si>
    <t xml:space="preserve">Milkshake Capsuni 300G</t>
  </si>
  <si>
    <t xml:space="preserve">Milkshake Ciocolata 300G</t>
  </si>
  <si>
    <t xml:space="preserve">APPLE PIE TOFFIE 2X</t>
  </si>
  <si>
    <t xml:space="preserve">APPLE PIE TOFFIE 2X D</t>
  </si>
  <si>
    <t xml:space="preserve">ADD-ON Nutella</t>
  </si>
  <si>
    <t xml:space="preserve">ADD-ON Banane</t>
  </si>
  <si>
    <t xml:space="preserve">Topping Oreo</t>
  </si>
  <si>
    <t xml:space="preserve">Topping KitKat</t>
  </si>
  <si>
    <t xml:space="preserve">Topping Apple Cinnamon</t>
  </si>
  <si>
    <t xml:space="preserve">Add Nutella Milkshake</t>
  </si>
  <si>
    <t xml:space="preserve">ADD-ON Capsuni</t>
  </si>
  <si>
    <t xml:space="preserve">Milkshake Banane 200G D</t>
  </si>
  <si>
    <t xml:space="preserve">Milkshake Biscoff 210G</t>
  </si>
  <si>
    <t xml:space="preserve">Milkshake Cirese CAN D</t>
  </si>
  <si>
    <t xml:space="preserve">Milkshake Fructul Pasiunii CAN D</t>
  </si>
  <si>
    <t xml:space="preserve">Pepsi /PEPSI ZERO/7UP ZERO/MIRINDA ZERO/LIPTON 250ML</t>
  </si>
  <si>
    <t xml:space="preserve">VOM AVEA RETETA ACTUALA LA 250 -DIN IUNIE TRECEM PE PAHARUL NOU DE 350</t>
  </si>
  <si>
    <t xml:space="preserve">Pepsi /PEPSI ZERO/7UP ZERO/MIRINDA ZERO/LIPTON 500ML</t>
  </si>
  <si>
    <t xml:space="preserve">VOM AVEA RETETA ACTUALA LA 500 -DIN IUNIE TRECEM PE PAHARUL NOU DE 500</t>
  </si>
  <si>
    <t xml:space="preserve">Apa Plata AQUA CARPATICA</t>
  </si>
  <si>
    <t xml:space="preserve">Apa Plata AQUA CARPATICA D</t>
  </si>
  <si>
    <t xml:space="preserve">Apa Minerala AQUA CARPATICA</t>
  </si>
  <si>
    <t xml:space="preserve">Apa Minerala AQUA CARPATICA D</t>
  </si>
  <si>
    <t xml:space="preserve">Prigat Portocale/Capsuni &amp;Banane</t>
  </si>
  <si>
    <t xml:space="preserve">se delisteaza Prigat Limonada /Prigat Piersici</t>
  </si>
  <si>
    <t xml:space="preserve">Prigat Portocale/Capsuni &amp;Banane D</t>
  </si>
  <si>
    <t xml:space="preserve">Dr Pepper</t>
  </si>
  <si>
    <t xml:space="preserve">Dr Pepper D</t>
  </si>
  <si>
    <t xml:space="preserve">Red Bull</t>
  </si>
  <si>
    <t xml:space="preserve">Red Bull D</t>
  </si>
  <si>
    <t xml:space="preserve">Corona</t>
  </si>
  <si>
    <t xml:space="preserve">Corona D</t>
  </si>
  <si>
    <t xml:space="preserve">Budweiser</t>
  </si>
  <si>
    <t xml:space="preserve">Budweiser D</t>
  </si>
  <si>
    <t xml:space="preserve">Apa Evian</t>
  </si>
  <si>
    <t xml:space="preserve">Apa Evian D</t>
  </si>
  <si>
    <t xml:space="preserve">FRYZZZ CAPSUNI</t>
  </si>
  <si>
    <t xml:space="preserve">FRYZZZ GRAPEFRUIT</t>
  </si>
  <si>
    <t xml:space="preserve">FRYZZZ PINACOLADA</t>
  </si>
  <si>
    <t xml:space="preserve">FRYZZZ PEPENE ROSU</t>
  </si>
  <si>
    <t xml:space="preserve">Pepsi cu gust de Căpșuni și Frișcă</t>
  </si>
  <si>
    <t xml:space="preserve">Pepsi cu gust de Căpșuni și Frișcă D</t>
  </si>
  <si>
    <t xml:space="preserve">Pepsi cu gust de Înghețată de Vanilie</t>
  </si>
  <si>
    <t xml:space="preserve">Pepsi cu gust de Înghețată de Vanilie D</t>
  </si>
  <si>
    <t xml:space="preserve">DOZA PEPSI ZERO D</t>
  </si>
  <si>
    <t xml:space="preserve">DOZE PEPSI 330 ML/TWIST ZERO 330 ML/7UP 330 ML/MIRINDA PORTOCALE 330 ML D</t>
  </si>
  <si>
    <t xml:space="preserve">Tort ciocolata zmeura</t>
  </si>
  <si>
    <t xml:space="preserve">Tort ciocolata zmeura D</t>
  </si>
  <si>
    <t xml:space="preserve">Profiterol ciocolata</t>
  </si>
  <si>
    <t xml:space="preserve">Profiterol ciocolata D</t>
  </si>
  <si>
    <t xml:space="preserve">CARROT CAKE</t>
  </si>
  <si>
    <t xml:space="preserve">CARROT CAKE D</t>
  </si>
  <si>
    <t xml:space="preserve">Tort pufos capsuni</t>
  </si>
  <si>
    <t xml:space="preserve">Tort pufos capsuni D</t>
  </si>
  <si>
    <t xml:space="preserve">Prajitura vanilie bezea</t>
  </si>
  <si>
    <t xml:space="preserve">Prajitura vanilie bezea D</t>
  </si>
  <si>
    <t xml:space="preserve">TIRAMISU</t>
  </si>
  <si>
    <t xml:space="preserve">TIRAMISU D</t>
  </si>
  <si>
    <t xml:space="preserve">Prajitura mascarpone capsuni</t>
  </si>
  <si>
    <t xml:space="preserve">Prajitura mascarpone capsuni D</t>
  </si>
  <si>
    <t xml:space="preserve">Prajitura Maritozzo</t>
  </si>
  <si>
    <t xml:space="preserve">Prajitura Maritozzo D</t>
  </si>
  <si>
    <t xml:space="preserve">Millefoglie</t>
  </si>
  <si>
    <t xml:space="preserve">Millefoglie D</t>
  </si>
  <si>
    <t xml:space="preserve">Espresso</t>
  </si>
  <si>
    <t xml:space="preserve">Espresso D</t>
  </si>
  <si>
    <t xml:space="preserve">Espresso Grande</t>
  </si>
  <si>
    <t xml:space="preserve">Espresso Grande D</t>
  </si>
  <si>
    <t xml:space="preserve">Latte Machiato</t>
  </si>
  <si>
    <t xml:space="preserve">Latte Machiato D</t>
  </si>
  <si>
    <t xml:space="preserve">Americano</t>
  </si>
  <si>
    <t xml:space="preserve">Americano D</t>
  </si>
  <si>
    <t xml:space="preserve">Americano Grande</t>
  </si>
  <si>
    <t xml:space="preserve">Americano Grande D</t>
  </si>
  <si>
    <t xml:space="preserve">Cappucino</t>
  </si>
  <si>
    <t xml:space="preserve">Cappucino D</t>
  </si>
  <si>
    <t xml:space="preserve">Cappucino Grande</t>
  </si>
  <si>
    <t xml:space="preserve">Cappucino Grande D</t>
  </si>
  <si>
    <t xml:space="preserve">Caffe Latte</t>
  </si>
  <si>
    <t xml:space="preserve">Caffe Latte D</t>
  </si>
  <si>
    <t xml:space="preserve">Caffe Latte Grande</t>
  </si>
  <si>
    <t xml:space="preserve">Caffe Latte Grande D</t>
  </si>
  <si>
    <t xml:space="preserve">Cioco Cappucino</t>
  </si>
  <si>
    <t xml:space="preserve">Cioco Cappucino D</t>
  </si>
  <si>
    <t xml:space="preserve">Cioco Cappucino Grande</t>
  </si>
  <si>
    <t xml:space="preserve">Cioco Cappucino Grande D</t>
  </si>
  <si>
    <t xml:space="preserve">Vanilla Latte</t>
  </si>
  <si>
    <t xml:space="preserve">Vanilla Latte D</t>
  </si>
  <si>
    <t xml:space="preserve">Vanilla Latte Grande</t>
  </si>
  <si>
    <t xml:space="preserve">Vanilla Latte Grande D</t>
  </si>
  <si>
    <t xml:space="preserve">Caramel Machiato</t>
  </si>
  <si>
    <t xml:space="preserve">Caramel Machiato D</t>
  </si>
  <si>
    <t xml:space="preserve">ICED COFFEE LATTE</t>
  </si>
  <si>
    <t xml:space="preserve">LIMONADA 350ML</t>
  </si>
  <si>
    <t xml:space="preserve">LIMONADA 400ML D</t>
  </si>
  <si>
    <t xml:space="preserve">CHEESECAKE NEWYORK</t>
  </si>
  <si>
    <t xml:space="preserve">CHEESECAKE NEWYORK D</t>
  </si>
  <si>
    <t xml:space="preserve">TIRAMISU CU FISTIC</t>
  </si>
  <si>
    <t xml:space="preserve">TIRAMISU CU FISTIC D</t>
  </si>
  <si>
    <t xml:space="preserve">MANDARINA CU SORBET</t>
  </si>
  <si>
    <t xml:space="preserve">MANDARINA CU SORBET D</t>
  </si>
  <si>
    <t xml:space="preserve">Junior Meal Hamburger</t>
  </si>
  <si>
    <t xml:space="preserve">Junior Meal Hamburger D</t>
  </si>
  <si>
    <t xml:space="preserve">Junior Meal Pui Burger</t>
  </si>
  <si>
    <t xml:space="preserve">Junior Meal Pui Burger D</t>
  </si>
  <si>
    <t xml:space="preserve">Junior Meal 4 Nuggets</t>
  </si>
  <si>
    <t xml:space="preserve">Junior Meal 4 Nuggets D</t>
  </si>
  <si>
    <t xml:space="preserve">FC PMIX iunie — food cost pe 4 etape</t>
  </si>
  <si>
    <t xml:space="preserve">Buc=PMIX iunie. Preț&amp;MC din FOOD COST (Δ editabile acolo). FC = Σ MC tot / Σ Sales fără TVA.</t>
  </si>
  <si>
    <t xml:space="preserve">NBO Net Sales iunie (editabil):</t>
  </si>
  <si>
    <t xml:space="preserve">Actual = MC actual TOT (cu free+delistate) / NBO. Aug/Oct/Dec = MC nou DOAR meniu / Sales listă etapă (fără free/discount/delistate).</t>
  </si>
  <si>
    <t xml:space="preserve">Etapă</t>
  </si>
  <si>
    <t xml:space="preserve">Bază (lei)</t>
  </si>
  <si>
    <t xml:space="preserve">FC</t>
  </si>
  <si>
    <t xml:space="preserve">Δ vs Actual (pp)</t>
  </si>
  <si>
    <t xml:space="preserve">Actual</t>
  </si>
  <si>
    <t xml:space="preserve">August</t>
  </si>
  <si>
    <t xml:space="preserve">Octombrie</t>
  </si>
  <si>
    <t xml:space="preserve">Decembrie</t>
  </si>
  <si>
    <t xml:space="preserve">Buc iunie</t>
  </si>
  <si>
    <t xml:space="preserve">MC nou</t>
  </si>
  <si>
    <t xml:space="preserve">Preț fT Act</t>
  </si>
  <si>
    <t xml:space="preserve">Preț fT Aug</t>
  </si>
  <si>
    <t xml:space="preserve">Preț fT Oct</t>
  </si>
  <si>
    <t xml:space="preserve">Preț fT Dec</t>
  </si>
  <si>
    <t xml:space="preserve">MC tot act</t>
  </si>
  <si>
    <t xml:space="preserve">MC tot nou</t>
  </si>
  <si>
    <t xml:space="preserve">Sales Act</t>
  </si>
  <si>
    <t xml:space="preserve">Sales Aug</t>
  </si>
  <si>
    <t xml:space="preserve">Sales Oct</t>
  </si>
  <si>
    <t xml:space="preserve">Sales Dec</t>
  </si>
  <si>
    <t xml:space="preserve">DELISTATE + FREE iunie (istoric)</t>
  </si>
  <si>
    <t xml:space="preserve">TOTAL GENERAL</t>
  </si>
  <si>
    <t xml:space="preserve">CATEGORII — pondere + FC pe etape (Actual=MC actual; Aug/Oct/Dec=MC nou 3.35)</t>
  </si>
  <si>
    <t xml:space="preserve">FC etapă = Σ MC / Σ Sales fT etapă. Δ = variație în pp față de Actual.</t>
  </si>
  <si>
    <t xml:space="preserve">▌ INSTORE</t>
  </si>
  <si>
    <t xml:space="preserve">Sales fT</t>
  </si>
  <si>
    <t xml:space="preserve">% total</t>
  </si>
  <si>
    <t xml:space="preserve">FC actual</t>
  </si>
  <si>
    <t xml:space="preserve">FC Aug</t>
  </si>
  <si>
    <t xml:space="preserve">Δ Aug</t>
  </si>
  <si>
    <t xml:space="preserve">FC Oct</t>
  </si>
  <si>
    <t xml:space="preserve">Δ Oct</t>
  </si>
  <si>
    <t xml:space="preserve">FC Dec</t>
  </si>
  <si>
    <t xml:space="preserve">Δ Dec</t>
  </si>
  <si>
    <t xml:space="preserve">BURGERI VITĂ</t>
  </si>
  <si>
    <t xml:space="preserve">BURGERI PUI</t>
  </si>
  <si>
    <t xml:space="preserve">DESERT (milkshake + plăcinte)</t>
  </si>
  <si>
    <t xml:space="preserve">DESERT 2 (nutella burger + prăjituri)</t>
  </si>
  <si>
    <t xml:space="preserve">DRINKS (suc, apă, cafele, bere)</t>
  </si>
  <si>
    <t xml:space="preserve">BREAKFAST &amp; SALATĂ &amp; MAC&amp;CHEESY &amp; ADD-ON</t>
  </si>
  <si>
    <t xml:space="preserve">CARTOFI</t>
  </si>
  <si>
    <t xml:space="preserve">SOSURI</t>
  </si>
  <si>
    <t xml:space="preserve">FRY SHAKERE</t>
  </si>
  <si>
    <t xml:space="preserve">TOTAL</t>
  </si>
  <si>
    <t xml:space="preserve">▌ DELIVERY</t>
  </si>
  <si>
    <t xml:space="preserve">▌ TOTAL (Instore + Delivery)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</si>
</sst>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00"/>
    <numFmt numFmtId="166" formatCode="&quot;RETETAR: &quot;@"/>
    <numFmt numFmtId="167" formatCode="#,##0.##"/>
    <numFmt numFmtId="168" formatCode="&quot;TOTAL &quot;@"/>
    <numFmt numFmtId="169" formatCode="0%"/>
    <numFmt numFmtId="170" formatCode="#,##0.00"/>
    <numFmt numFmtId="171" formatCode="0.0%"/>
    <numFmt numFmtId="172" formatCode="#,##0"/>
    <numFmt numFmtId="173" formatCode="0.00%"/>
    <numFmt numFmtId="174" formatCode="\+0.00;\-0.00;0.0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i val="true"/>
      <sz val="8"/>
      <color rgb="FF1F4E79"/>
      <name val="Arial"/>
      <family val="0"/>
      <charset val="1"/>
    </font>
    <font>
      <sz val="10"/>
      <color rgb="FFC55A11"/>
      <name val="Arial"/>
      <family val="0"/>
      <charset val="1"/>
    </font>
    <font>
      <sz val="10"/>
      <color rgb="FF0070C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F4E79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C55A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i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9"/>
      <color rgb="FF0061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FE9CC"/>
        <bgColor rgb="FFFCE4D6"/>
      </patternFill>
    </fill>
    <fill>
      <patternFill patternType="solid">
        <fgColor rgb="FFD9F2D9"/>
        <bgColor rgb="FFE2EFDA"/>
      </patternFill>
    </fill>
    <fill>
      <patternFill patternType="solid">
        <fgColor rgb="FFF4B183"/>
        <bgColor rgb="FFF2D0CE"/>
      </patternFill>
    </fill>
    <fill>
      <patternFill patternType="solid">
        <fgColor rgb="FF2E5B9F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FE9CC"/>
      </patternFill>
    </fill>
    <fill>
      <patternFill patternType="solid">
        <fgColor rgb="FFFCE4D6"/>
        <bgColor rgb="FFFFE9CC"/>
      </patternFill>
    </fill>
    <fill>
      <patternFill patternType="solid">
        <fgColor rgb="FFE2EFDA"/>
        <bgColor rgb="FFD9F2D9"/>
      </patternFill>
    </fill>
    <fill>
      <patternFill patternType="solid">
        <fgColor rgb="FFF2D0CE"/>
        <bgColor rgb="FFFCE4D6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FFC000"/>
      </left>
      <right style="thin"/>
      <top style="medium">
        <color rgb="FFFFC000"/>
      </top>
      <bottom style="thin"/>
      <diagonal/>
    </border>
    <border diagonalUp="false" diagonalDown="false">
      <left style="thin"/>
      <right style="thin"/>
      <top style="medium">
        <color rgb="FFFFC000"/>
      </top>
      <bottom style="thin"/>
      <diagonal/>
    </border>
    <border diagonalUp="false" diagonalDown="false">
      <left style="thin"/>
      <right style="medium">
        <color rgb="FFFFC000"/>
      </right>
      <top style="medium">
        <color rgb="FFFFC000"/>
      </top>
      <bottom style="thin"/>
      <diagonal/>
    </border>
    <border diagonalUp="false" diagonalDown="false">
      <left style="medium">
        <color rgb="FFFFC000"/>
      </left>
      <right style="thin"/>
      <top style="thin"/>
      <bottom style="medium">
        <color rgb="FFFFC000"/>
      </bottom>
      <diagonal/>
    </border>
    <border diagonalUp="false" diagonalDown="false">
      <left style="thin"/>
      <right style="thin"/>
      <top style="thin"/>
      <bottom style="medium">
        <color rgb="FFFFC000"/>
      </bottom>
      <diagonal/>
    </border>
    <border diagonalUp="false" diagonalDown="false">
      <left style="thin"/>
      <right style="medium">
        <color rgb="FFFFC000"/>
      </right>
      <top style="thin"/>
      <bottom style="medium">
        <color rgb="FFFFC0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9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9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9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2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3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8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8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8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8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70C0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9F2D9"/>
      <rgbColor rgb="FFFFE9CC"/>
      <rgbColor rgb="FF99CCFF"/>
      <rgbColor rgb="FFF4B183"/>
      <rgbColor rgb="FFCC99FF"/>
      <rgbColor rgb="FFF2D0CE"/>
      <rgbColor rgb="FF2E5B9F"/>
      <rgbColor rgb="FF33CCCC"/>
      <rgbColor rgb="FF99CC00"/>
      <rgbColor rgb="FFFFC000"/>
      <rgbColor rgb="FFFF9900"/>
      <rgbColor rgb="FFC55A11"/>
      <rgbColor rgb="FF666666"/>
      <rgbColor rgb="FF969696"/>
      <rgbColor rgb="FF003366"/>
      <rgbColor rgb="FF339966"/>
      <rgbColor rgb="FF0061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6"/>
    <col collapsed="false" customWidth="true" hidden="false" outlineLevel="0" max="3" min="3" style="1" width="8"/>
    <col collapsed="false" customWidth="true" hidden="false" outlineLevel="0" max="5" min="4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true" outlineLevel="0" collapsed="false">
      <c r="A5" s="5" t="s">
        <v>7</v>
      </c>
      <c r="B5" s="5" t="s">
        <v>8</v>
      </c>
      <c r="C5" s="6" t="s">
        <v>9</v>
      </c>
      <c r="D5" s="7" t="n">
        <v>2.75</v>
      </c>
      <c r="E5" s="8" t="n">
        <f aca="false">D5</f>
        <v>2.75</v>
      </c>
    </row>
    <row r="6" customFormat="false" ht="15" hidden="false" customHeight="true" outlineLevel="0" collapsed="false">
      <c r="A6" s="5" t="s">
        <v>10</v>
      </c>
      <c r="B6" s="5" t="s">
        <v>11</v>
      </c>
      <c r="C6" s="6" t="s">
        <v>9</v>
      </c>
      <c r="D6" s="7" t="n">
        <v>1.50443</v>
      </c>
      <c r="E6" s="8" t="n">
        <f aca="false">D6</f>
        <v>1.50443</v>
      </c>
    </row>
    <row r="7" customFormat="false" ht="15" hidden="false" customHeight="true" outlineLevel="0" collapsed="false">
      <c r="A7" s="5" t="s">
        <v>12</v>
      </c>
      <c r="B7" s="5" t="s">
        <v>13</v>
      </c>
      <c r="C7" s="6" t="s">
        <v>9</v>
      </c>
      <c r="D7" s="7" t="n">
        <v>1.082</v>
      </c>
      <c r="E7" s="8" t="n">
        <f aca="false">D7</f>
        <v>1.082</v>
      </c>
    </row>
    <row r="8" customFormat="false" ht="15" hidden="false" customHeight="true" outlineLevel="0" collapsed="false">
      <c r="A8" s="5" t="s">
        <v>14</v>
      </c>
      <c r="B8" s="5" t="s">
        <v>15</v>
      </c>
      <c r="C8" s="6" t="s">
        <v>9</v>
      </c>
      <c r="D8" s="7" t="n">
        <v>5.151</v>
      </c>
      <c r="E8" s="8" t="n">
        <f aca="false">D8</f>
        <v>5.151</v>
      </c>
    </row>
    <row r="9" customFormat="false" ht="15" hidden="false" customHeight="true" outlineLevel="0" collapsed="false">
      <c r="A9" s="5" t="s">
        <v>16</v>
      </c>
      <c r="B9" s="5" t="s">
        <v>17</v>
      </c>
      <c r="C9" s="6" t="s">
        <v>9</v>
      </c>
      <c r="D9" s="7" t="n">
        <v>3.115</v>
      </c>
      <c r="E9" s="8" t="n">
        <f aca="false">D9</f>
        <v>3.115</v>
      </c>
    </row>
    <row r="10" customFormat="false" ht="15" hidden="false" customHeight="true" outlineLevel="0" collapsed="false">
      <c r="A10" s="5" t="s">
        <v>18</v>
      </c>
      <c r="B10" s="5" t="s">
        <v>19</v>
      </c>
      <c r="C10" s="6" t="s">
        <v>9</v>
      </c>
      <c r="D10" s="7" t="n">
        <v>5.216</v>
      </c>
      <c r="E10" s="8" t="n">
        <f aca="false">D10</f>
        <v>5.216</v>
      </c>
    </row>
    <row r="11" customFormat="false" ht="15" hidden="false" customHeight="true" outlineLevel="0" collapsed="false">
      <c r="A11" s="5" t="s">
        <v>20</v>
      </c>
      <c r="B11" s="5" t="s">
        <v>21</v>
      </c>
      <c r="C11" s="6" t="s">
        <v>9</v>
      </c>
      <c r="D11" s="7" t="n">
        <v>8.008</v>
      </c>
      <c r="E11" s="8" t="n">
        <f aca="false">D11</f>
        <v>8.008</v>
      </c>
    </row>
    <row r="12" customFormat="false" ht="15" hidden="false" customHeight="true" outlineLevel="0" collapsed="false">
      <c r="A12" s="5" t="s">
        <v>22</v>
      </c>
      <c r="B12" s="5" t="s">
        <v>23</v>
      </c>
      <c r="C12" s="6" t="s">
        <v>9</v>
      </c>
      <c r="D12" s="7" t="n">
        <v>9.621</v>
      </c>
      <c r="E12" s="8" t="n">
        <f aca="false">D12</f>
        <v>9.621</v>
      </c>
    </row>
    <row r="13" customFormat="false" ht="15" hidden="false" customHeight="true" outlineLevel="0" collapsed="false">
      <c r="A13" s="5" t="s">
        <v>24</v>
      </c>
      <c r="B13" s="5" t="s">
        <v>25</v>
      </c>
      <c r="C13" s="6" t="s">
        <v>9</v>
      </c>
      <c r="D13" s="7" t="n">
        <v>8.228</v>
      </c>
      <c r="E13" s="8" t="n">
        <f aca="false">D13</f>
        <v>8.228</v>
      </c>
    </row>
    <row r="14" customFormat="false" ht="15" hidden="false" customHeight="true" outlineLevel="0" collapsed="false">
      <c r="A14" s="5" t="s">
        <v>26</v>
      </c>
      <c r="B14" s="5" t="s">
        <v>27</v>
      </c>
      <c r="C14" s="6" t="s">
        <v>9</v>
      </c>
      <c r="D14" s="7" t="n">
        <v>0.67483</v>
      </c>
      <c r="E14" s="8" t="n">
        <f aca="false">D14</f>
        <v>0.67483</v>
      </c>
    </row>
    <row r="15" customFormat="false" ht="15" hidden="false" customHeight="true" outlineLevel="0" collapsed="false">
      <c r="A15" s="5" t="s">
        <v>28</v>
      </c>
      <c r="B15" s="5" t="s">
        <v>29</v>
      </c>
      <c r="C15" s="6" t="s">
        <v>9</v>
      </c>
      <c r="D15" s="7" t="n">
        <v>0.643</v>
      </c>
      <c r="E15" s="8" t="n">
        <f aca="false">D15</f>
        <v>0.643</v>
      </c>
    </row>
    <row r="16" customFormat="false" ht="15" hidden="false" customHeight="true" outlineLevel="0" collapsed="false">
      <c r="A16" s="5" t="s">
        <v>30</v>
      </c>
      <c r="B16" s="5" t="s">
        <v>31</v>
      </c>
      <c r="C16" s="6" t="s">
        <v>32</v>
      </c>
      <c r="D16" s="7" t="n">
        <v>0.03498</v>
      </c>
      <c r="E16" s="8" t="n">
        <f aca="false">D16</f>
        <v>0.03498</v>
      </c>
    </row>
    <row r="17" customFormat="false" ht="15" hidden="false" customHeight="true" outlineLevel="0" collapsed="false">
      <c r="A17" s="5" t="s">
        <v>33</v>
      </c>
      <c r="B17" s="5" t="s">
        <v>34</v>
      </c>
      <c r="C17" s="6" t="s">
        <v>35</v>
      </c>
      <c r="D17" s="7" t="n">
        <v>0.0686</v>
      </c>
      <c r="E17" s="8" t="n">
        <f aca="false">D17</f>
        <v>0.0686</v>
      </c>
    </row>
    <row r="18" customFormat="false" ht="15" hidden="false" customHeight="true" outlineLevel="0" collapsed="false">
      <c r="A18" s="5" t="s">
        <v>36</v>
      </c>
      <c r="B18" s="5" t="s">
        <v>37</v>
      </c>
      <c r="C18" s="6" t="s">
        <v>9</v>
      </c>
      <c r="D18" s="7" t="n">
        <v>8.513</v>
      </c>
      <c r="E18" s="8" t="n">
        <f aca="false">D18</f>
        <v>8.513</v>
      </c>
    </row>
    <row r="19" customFormat="false" ht="15" hidden="false" customHeight="true" outlineLevel="0" collapsed="false">
      <c r="A19" s="5" t="s">
        <v>38</v>
      </c>
      <c r="B19" s="5" t="s">
        <v>39</v>
      </c>
      <c r="C19" s="6" t="s">
        <v>9</v>
      </c>
      <c r="D19" s="7" t="n">
        <v>0.693</v>
      </c>
      <c r="E19" s="8" t="n">
        <f aca="false">D19</f>
        <v>0.693</v>
      </c>
    </row>
    <row r="20" customFormat="false" ht="15" hidden="false" customHeight="true" outlineLevel="0" collapsed="false">
      <c r="A20" s="5" t="s">
        <v>40</v>
      </c>
      <c r="B20" s="5" t="s">
        <v>41</v>
      </c>
      <c r="C20" s="6" t="s">
        <v>32</v>
      </c>
      <c r="D20" s="7" t="n">
        <v>0.04494</v>
      </c>
      <c r="E20" s="8" t="n">
        <f aca="false">D20</f>
        <v>0.04494</v>
      </c>
    </row>
    <row r="21" customFormat="false" ht="15" hidden="false" customHeight="true" outlineLevel="0" collapsed="false">
      <c r="A21" s="5" t="s">
        <v>42</v>
      </c>
      <c r="B21" s="5" t="s">
        <v>43</v>
      </c>
      <c r="C21" s="6" t="s">
        <v>35</v>
      </c>
      <c r="D21" s="7" t="n">
        <v>0.04114</v>
      </c>
      <c r="E21" s="8" t="n">
        <f aca="false">D21</f>
        <v>0.04114</v>
      </c>
    </row>
    <row r="22" customFormat="false" ht="15" hidden="false" customHeight="true" outlineLevel="0" collapsed="false">
      <c r="A22" s="5" t="s">
        <v>44</v>
      </c>
      <c r="B22" s="5" t="s">
        <v>45</v>
      </c>
      <c r="C22" s="6" t="s">
        <v>9</v>
      </c>
      <c r="D22" s="7" t="n">
        <v>2.06</v>
      </c>
      <c r="E22" s="8" t="n">
        <f aca="false">D22</f>
        <v>2.06</v>
      </c>
    </row>
    <row r="23" customFormat="false" ht="15" hidden="false" customHeight="true" outlineLevel="0" collapsed="false">
      <c r="A23" s="5" t="s">
        <v>46</v>
      </c>
      <c r="B23" s="5" t="s">
        <v>47</v>
      </c>
      <c r="C23" s="6" t="s">
        <v>9</v>
      </c>
      <c r="D23" s="7" t="n">
        <v>6.57</v>
      </c>
      <c r="E23" s="8" t="n">
        <f aca="false">D23</f>
        <v>6.57</v>
      </c>
    </row>
    <row r="24" customFormat="false" ht="15" hidden="false" customHeight="true" outlineLevel="0" collapsed="false">
      <c r="A24" s="5" t="s">
        <v>48</v>
      </c>
      <c r="B24" s="5" t="s">
        <v>49</v>
      </c>
      <c r="C24" s="6" t="s">
        <v>35</v>
      </c>
      <c r="D24" s="7" t="n">
        <v>0.01883</v>
      </c>
      <c r="E24" s="8" t="n">
        <f aca="false">D24</f>
        <v>0.01883</v>
      </c>
    </row>
    <row r="25" customFormat="false" ht="15" hidden="false" customHeight="true" outlineLevel="0" collapsed="false">
      <c r="A25" s="5" t="s">
        <v>50</v>
      </c>
      <c r="B25" s="5" t="s">
        <v>51</v>
      </c>
      <c r="C25" s="6" t="s">
        <v>9</v>
      </c>
      <c r="D25" s="7" t="n">
        <v>2.75</v>
      </c>
      <c r="E25" s="8" t="n">
        <f aca="false">D25</f>
        <v>2.75</v>
      </c>
    </row>
    <row r="26" customFormat="false" ht="15" hidden="false" customHeight="true" outlineLevel="0" collapsed="false">
      <c r="A26" s="5" t="s">
        <v>52</v>
      </c>
      <c r="B26" s="5" t="s">
        <v>53</v>
      </c>
      <c r="C26" s="6" t="s">
        <v>35</v>
      </c>
      <c r="D26" s="7" t="n">
        <v>0.0201</v>
      </c>
      <c r="E26" s="8" t="n">
        <f aca="false">D26</f>
        <v>0.0201</v>
      </c>
    </row>
    <row r="27" customFormat="false" ht="15" hidden="false" customHeight="true" outlineLevel="0" collapsed="false">
      <c r="A27" s="5" t="s">
        <v>54</v>
      </c>
      <c r="B27" s="5" t="s">
        <v>55</v>
      </c>
      <c r="C27" s="6" t="s">
        <v>9</v>
      </c>
      <c r="D27" s="7" t="n">
        <v>1.39123</v>
      </c>
      <c r="E27" s="8" t="n">
        <f aca="false">D27</f>
        <v>1.39123</v>
      </c>
    </row>
    <row r="28" customFormat="false" ht="15" hidden="false" customHeight="true" outlineLevel="0" collapsed="false">
      <c r="A28" s="5" t="s">
        <v>56</v>
      </c>
      <c r="B28" s="5" t="s">
        <v>57</v>
      </c>
      <c r="C28" s="6" t="s">
        <v>35</v>
      </c>
      <c r="D28" s="7" t="n">
        <v>0.04896</v>
      </c>
      <c r="E28" s="8" t="n">
        <f aca="false">D28</f>
        <v>0.04896</v>
      </c>
    </row>
    <row r="29" customFormat="false" ht="15" hidden="false" customHeight="true" outlineLevel="0" collapsed="false">
      <c r="A29" s="5" t="s">
        <v>58</v>
      </c>
      <c r="B29" s="5" t="s">
        <v>59</v>
      </c>
      <c r="C29" s="6" t="s">
        <v>9</v>
      </c>
      <c r="D29" s="7" t="n">
        <v>0.805</v>
      </c>
      <c r="E29" s="8" t="n">
        <f aca="false">D29</f>
        <v>0.805</v>
      </c>
    </row>
    <row r="30" customFormat="false" ht="15" hidden="false" customHeight="true" outlineLevel="0" collapsed="false">
      <c r="A30" s="5" t="s">
        <v>60</v>
      </c>
      <c r="B30" s="5" t="s">
        <v>61</v>
      </c>
      <c r="C30" s="6" t="s">
        <v>9</v>
      </c>
      <c r="D30" s="7" t="n">
        <v>0.649</v>
      </c>
      <c r="E30" s="8" t="n">
        <f aca="false">D30</f>
        <v>0.649</v>
      </c>
    </row>
    <row r="31" customFormat="false" ht="15" hidden="false" customHeight="true" outlineLevel="0" collapsed="false">
      <c r="A31" s="5" t="s">
        <v>62</v>
      </c>
      <c r="B31" s="5" t="s">
        <v>63</v>
      </c>
      <c r="C31" s="6" t="s">
        <v>9</v>
      </c>
      <c r="D31" s="7" t="n">
        <v>6.23</v>
      </c>
      <c r="E31" s="8" t="n">
        <f aca="false">D31</f>
        <v>6.23</v>
      </c>
    </row>
    <row r="32" customFormat="false" ht="15" hidden="false" customHeight="true" outlineLevel="0" collapsed="false">
      <c r="A32" s="5" t="s">
        <v>64</v>
      </c>
      <c r="B32" s="5" t="s">
        <v>65</v>
      </c>
      <c r="C32" s="6" t="s">
        <v>35</v>
      </c>
      <c r="D32" s="7" t="n">
        <v>0.0254</v>
      </c>
      <c r="E32" s="8" t="n">
        <f aca="false">D32</f>
        <v>0.0254</v>
      </c>
    </row>
    <row r="33" customFormat="false" ht="15" hidden="false" customHeight="true" outlineLevel="0" collapsed="false">
      <c r="A33" s="5" t="s">
        <v>66</v>
      </c>
      <c r="B33" s="5" t="s">
        <v>67</v>
      </c>
      <c r="C33" s="6" t="s">
        <v>9</v>
      </c>
      <c r="D33" s="7" t="n">
        <v>0.438</v>
      </c>
      <c r="E33" s="8" t="n">
        <f aca="false">D33</f>
        <v>0.438</v>
      </c>
    </row>
    <row r="34" customFormat="false" ht="15" hidden="false" customHeight="true" outlineLevel="0" collapsed="false">
      <c r="A34" s="5" t="s">
        <v>68</v>
      </c>
      <c r="B34" s="5" t="s">
        <v>69</v>
      </c>
      <c r="C34" s="6" t="s">
        <v>9</v>
      </c>
      <c r="D34" s="7" t="n">
        <v>0.61567</v>
      </c>
      <c r="E34" s="8" t="n">
        <f aca="false">D34</f>
        <v>0.61567</v>
      </c>
    </row>
    <row r="35" customFormat="false" ht="15" hidden="false" customHeight="true" outlineLevel="0" collapsed="false">
      <c r="A35" s="5" t="s">
        <v>70</v>
      </c>
      <c r="B35" s="5" t="s">
        <v>71</v>
      </c>
      <c r="C35" s="6" t="s">
        <v>9</v>
      </c>
      <c r="D35" s="7" t="n">
        <v>5.238</v>
      </c>
      <c r="E35" s="8" t="n">
        <f aca="false">D35</f>
        <v>5.238</v>
      </c>
    </row>
    <row r="36" customFormat="false" ht="15" hidden="false" customHeight="true" outlineLevel="0" collapsed="false">
      <c r="A36" s="5" t="s">
        <v>72</v>
      </c>
      <c r="B36" s="5" t="s">
        <v>73</v>
      </c>
      <c r="C36" s="6" t="s">
        <v>9</v>
      </c>
      <c r="D36" s="7" t="n">
        <v>0.045</v>
      </c>
      <c r="E36" s="8" t="n">
        <f aca="false">D36</f>
        <v>0.045</v>
      </c>
    </row>
    <row r="37" customFormat="false" ht="15" hidden="false" customHeight="true" outlineLevel="0" collapsed="false">
      <c r="A37" s="5" t="s">
        <v>74</v>
      </c>
      <c r="B37" s="5" t="s">
        <v>75</v>
      </c>
      <c r="C37" s="6" t="s">
        <v>9</v>
      </c>
      <c r="D37" s="7" t="n">
        <v>0.045</v>
      </c>
      <c r="E37" s="8" t="n">
        <f aca="false">D37</f>
        <v>0.045</v>
      </c>
    </row>
    <row r="38" customFormat="false" ht="15" hidden="false" customHeight="true" outlineLevel="0" collapsed="false">
      <c r="A38" s="5" t="s">
        <v>76</v>
      </c>
      <c r="B38" s="5" t="s">
        <v>77</v>
      </c>
      <c r="C38" s="6" t="s">
        <v>9</v>
      </c>
      <c r="D38" s="7" t="n">
        <v>0.086</v>
      </c>
      <c r="E38" s="8" t="n">
        <f aca="false">D38</f>
        <v>0.086</v>
      </c>
    </row>
    <row r="39" customFormat="false" ht="15" hidden="false" customHeight="true" outlineLevel="0" collapsed="false">
      <c r="A39" s="5" t="s">
        <v>78</v>
      </c>
      <c r="B39" s="5" t="s">
        <v>79</v>
      </c>
      <c r="C39" s="6" t="s">
        <v>9</v>
      </c>
      <c r="D39" s="7" t="n">
        <v>0.427</v>
      </c>
      <c r="E39" s="8" t="n">
        <f aca="false">D39</f>
        <v>0.427</v>
      </c>
    </row>
    <row r="40" customFormat="false" ht="15" hidden="false" customHeight="true" outlineLevel="0" collapsed="false">
      <c r="A40" s="5" t="s">
        <v>80</v>
      </c>
      <c r="B40" s="5" t="s">
        <v>81</v>
      </c>
      <c r="C40" s="6" t="s">
        <v>9</v>
      </c>
      <c r="D40" s="7" t="n">
        <v>0.119</v>
      </c>
      <c r="E40" s="8" t="n">
        <f aca="false">D40</f>
        <v>0.119</v>
      </c>
    </row>
    <row r="41" customFormat="false" ht="15" hidden="false" customHeight="true" outlineLevel="0" collapsed="false">
      <c r="A41" s="5" t="s">
        <v>82</v>
      </c>
      <c r="B41" s="5" t="s">
        <v>83</v>
      </c>
      <c r="C41" s="6" t="s">
        <v>9</v>
      </c>
      <c r="D41" s="7" t="n">
        <v>0.16</v>
      </c>
      <c r="E41" s="8" t="n">
        <f aca="false">D41</f>
        <v>0.16</v>
      </c>
    </row>
    <row r="42" customFormat="false" ht="15" hidden="false" customHeight="true" outlineLevel="0" collapsed="false">
      <c r="A42" s="5" t="s">
        <v>84</v>
      </c>
      <c r="B42" s="5" t="s">
        <v>85</v>
      </c>
      <c r="C42" s="6" t="s">
        <v>9</v>
      </c>
      <c r="D42" s="7" t="n">
        <v>0.209</v>
      </c>
      <c r="E42" s="8" t="n">
        <f aca="false">D42</f>
        <v>0.209</v>
      </c>
    </row>
    <row r="43" customFormat="false" ht="15" hidden="false" customHeight="true" outlineLevel="0" collapsed="false">
      <c r="A43" s="5" t="s">
        <v>86</v>
      </c>
      <c r="B43" s="5" t="s">
        <v>87</v>
      </c>
      <c r="C43" s="6" t="s">
        <v>9</v>
      </c>
      <c r="D43" s="7" t="n">
        <v>0.116</v>
      </c>
      <c r="E43" s="8" t="n">
        <f aca="false">D43</f>
        <v>0.116</v>
      </c>
    </row>
    <row r="44" customFormat="false" ht="15" hidden="false" customHeight="true" outlineLevel="0" collapsed="false">
      <c r="A44" s="5" t="s">
        <v>88</v>
      </c>
      <c r="B44" s="5" t="s">
        <v>89</v>
      </c>
      <c r="C44" s="6" t="s">
        <v>9</v>
      </c>
      <c r="D44" s="7" t="n">
        <v>0.106</v>
      </c>
      <c r="E44" s="8" t="n">
        <f aca="false">D44</f>
        <v>0.106</v>
      </c>
    </row>
    <row r="45" customFormat="false" ht="15" hidden="false" customHeight="true" outlineLevel="0" collapsed="false">
      <c r="A45" s="5" t="s">
        <v>90</v>
      </c>
      <c r="B45" s="5" t="s">
        <v>91</v>
      </c>
      <c r="C45" s="6" t="s">
        <v>9</v>
      </c>
      <c r="D45" s="7" t="n">
        <v>0.045</v>
      </c>
      <c r="E45" s="8" t="n">
        <f aca="false">D45</f>
        <v>0.045</v>
      </c>
    </row>
    <row r="46" customFormat="false" ht="15" hidden="false" customHeight="true" outlineLevel="0" collapsed="false">
      <c r="A46" s="5" t="s">
        <v>92</v>
      </c>
      <c r="B46" s="5" t="s">
        <v>93</v>
      </c>
      <c r="C46" s="6" t="s">
        <v>35</v>
      </c>
      <c r="D46" s="7" t="n">
        <v>0.01244</v>
      </c>
      <c r="E46" s="8" t="n">
        <f aca="false">D46</f>
        <v>0.01244</v>
      </c>
    </row>
    <row r="47" customFormat="false" ht="15" hidden="false" customHeight="true" outlineLevel="0" collapsed="false">
      <c r="A47" s="5" t="s">
        <v>94</v>
      </c>
      <c r="B47" s="5" t="s">
        <v>95</v>
      </c>
      <c r="C47" s="6" t="s">
        <v>35</v>
      </c>
      <c r="D47" s="7" t="n">
        <v>0.0266</v>
      </c>
      <c r="E47" s="8" t="n">
        <f aca="false">D47</f>
        <v>0.0266</v>
      </c>
    </row>
    <row r="48" customFormat="false" ht="15" hidden="false" customHeight="true" outlineLevel="0" collapsed="false">
      <c r="A48" s="5" t="s">
        <v>96</v>
      </c>
      <c r="B48" s="5" t="s">
        <v>97</v>
      </c>
      <c r="C48" s="6" t="s">
        <v>9</v>
      </c>
      <c r="D48" s="7" t="n">
        <v>9.292</v>
      </c>
      <c r="E48" s="8" t="n">
        <f aca="false">D48</f>
        <v>9.292</v>
      </c>
    </row>
    <row r="49" customFormat="false" ht="15" hidden="false" customHeight="true" outlineLevel="0" collapsed="false">
      <c r="A49" s="5" t="s">
        <v>98</v>
      </c>
      <c r="B49" s="5" t="s">
        <v>99</v>
      </c>
      <c r="C49" s="6" t="s">
        <v>9</v>
      </c>
      <c r="D49" s="7" t="n">
        <v>2.4</v>
      </c>
      <c r="E49" s="8" t="n">
        <f aca="false">D49</f>
        <v>2.4</v>
      </c>
    </row>
    <row r="50" customFormat="false" ht="15" hidden="false" customHeight="true" outlineLevel="0" collapsed="false">
      <c r="A50" s="5" t="s">
        <v>100</v>
      </c>
      <c r="B50" s="5" t="s">
        <v>101</v>
      </c>
      <c r="C50" s="6" t="s">
        <v>9</v>
      </c>
      <c r="D50" s="7" t="n">
        <v>6.97</v>
      </c>
      <c r="E50" s="8" t="n">
        <f aca="false">D50</f>
        <v>6.97</v>
      </c>
    </row>
    <row r="51" customFormat="false" ht="15" hidden="false" customHeight="true" outlineLevel="0" collapsed="false">
      <c r="A51" s="5" t="s">
        <v>102</v>
      </c>
      <c r="B51" s="5" t="s">
        <v>103</v>
      </c>
      <c r="C51" s="6" t="s">
        <v>35</v>
      </c>
      <c r="D51" s="7" t="n">
        <v>0.036</v>
      </c>
      <c r="E51" s="8" t="n">
        <f aca="false">D51</f>
        <v>0.036</v>
      </c>
    </row>
    <row r="52" customFormat="false" ht="15" hidden="false" customHeight="true" outlineLevel="0" collapsed="false">
      <c r="A52" s="5" t="s">
        <v>104</v>
      </c>
      <c r="B52" s="5" t="s">
        <v>105</v>
      </c>
      <c r="C52" s="6" t="s">
        <v>9</v>
      </c>
      <c r="D52" s="7" t="n">
        <v>0.182</v>
      </c>
      <c r="E52" s="8" t="n">
        <f aca="false">D52</f>
        <v>0.182</v>
      </c>
    </row>
    <row r="53" customFormat="false" ht="15" hidden="false" customHeight="true" outlineLevel="0" collapsed="false">
      <c r="A53" s="5" t="s">
        <v>106</v>
      </c>
      <c r="B53" s="5" t="s">
        <v>107</v>
      </c>
      <c r="C53" s="6" t="s">
        <v>9</v>
      </c>
      <c r="D53" s="7" t="n">
        <v>0.24</v>
      </c>
      <c r="E53" s="8" t="n">
        <f aca="false">D53</f>
        <v>0.24</v>
      </c>
    </row>
    <row r="54" customFormat="false" ht="15" hidden="false" customHeight="true" outlineLevel="0" collapsed="false">
      <c r="A54" s="5" t="s">
        <v>108</v>
      </c>
      <c r="B54" s="5" t="s">
        <v>109</v>
      </c>
      <c r="C54" s="6" t="s">
        <v>9</v>
      </c>
      <c r="D54" s="7" t="n">
        <v>0.35</v>
      </c>
      <c r="E54" s="8" t="n">
        <f aca="false">D54</f>
        <v>0.35</v>
      </c>
    </row>
    <row r="55" customFormat="false" ht="15" hidden="false" customHeight="true" outlineLevel="0" collapsed="false">
      <c r="A55" s="5" t="s">
        <v>110</v>
      </c>
      <c r="B55" s="5" t="s">
        <v>111</v>
      </c>
      <c r="C55" s="6" t="s">
        <v>9</v>
      </c>
      <c r="D55" s="7" t="n">
        <v>1.28</v>
      </c>
      <c r="E55" s="8" t="n">
        <f aca="false">D55</f>
        <v>1.28</v>
      </c>
    </row>
    <row r="56" customFormat="false" ht="15" hidden="false" customHeight="true" outlineLevel="0" collapsed="false">
      <c r="A56" s="5" t="s">
        <v>112</v>
      </c>
      <c r="B56" s="5" t="s">
        <v>113</v>
      </c>
      <c r="C56" s="6" t="s">
        <v>9</v>
      </c>
      <c r="D56" s="7" t="n">
        <v>12.368</v>
      </c>
      <c r="E56" s="8" t="n">
        <f aca="false">D56</f>
        <v>12.368</v>
      </c>
    </row>
    <row r="57" customFormat="false" ht="15" hidden="false" customHeight="true" outlineLevel="0" collapsed="false">
      <c r="A57" s="5" t="s">
        <v>114</v>
      </c>
      <c r="B57" s="5" t="s">
        <v>115</v>
      </c>
      <c r="C57" s="6" t="s">
        <v>9</v>
      </c>
      <c r="D57" s="7" t="n">
        <v>0.693</v>
      </c>
      <c r="E57" s="8" t="n">
        <f aca="false">D57</f>
        <v>0.693</v>
      </c>
    </row>
    <row r="58" customFormat="false" ht="15" hidden="false" customHeight="true" outlineLevel="0" collapsed="false">
      <c r="A58" s="5" t="s">
        <v>116</v>
      </c>
      <c r="B58" s="5" t="s">
        <v>117</v>
      </c>
      <c r="C58" s="6" t="s">
        <v>9</v>
      </c>
      <c r="D58" s="7" t="n">
        <v>0.693</v>
      </c>
      <c r="E58" s="8" t="n">
        <f aca="false">D58</f>
        <v>0.693</v>
      </c>
    </row>
    <row r="59" customFormat="false" ht="15" hidden="false" customHeight="true" outlineLevel="0" collapsed="false">
      <c r="A59" s="5" t="s">
        <v>118</v>
      </c>
      <c r="B59" s="5" t="s">
        <v>119</v>
      </c>
      <c r="C59" s="6" t="s">
        <v>9</v>
      </c>
      <c r="D59" s="7" t="n">
        <v>0.693</v>
      </c>
      <c r="E59" s="8" t="n">
        <f aca="false">D59</f>
        <v>0.693</v>
      </c>
    </row>
    <row r="60" customFormat="false" ht="15" hidden="false" customHeight="true" outlineLevel="0" collapsed="false">
      <c r="A60" s="5" t="s">
        <v>120</v>
      </c>
      <c r="B60" s="5" t="s">
        <v>121</v>
      </c>
      <c r="C60" s="6" t="s">
        <v>9</v>
      </c>
      <c r="D60" s="7" t="n">
        <v>0.691</v>
      </c>
      <c r="E60" s="8" t="n">
        <f aca="false">D60</f>
        <v>0.691</v>
      </c>
    </row>
    <row r="61" customFormat="false" ht="15" hidden="false" customHeight="true" outlineLevel="0" collapsed="false">
      <c r="A61" s="5" t="s">
        <v>122</v>
      </c>
      <c r="B61" s="5" t="s">
        <v>123</v>
      </c>
      <c r="C61" s="6" t="s">
        <v>9</v>
      </c>
      <c r="D61" s="7" t="n">
        <v>3.64</v>
      </c>
      <c r="E61" s="8" t="n">
        <f aca="false">D61</f>
        <v>3.64</v>
      </c>
    </row>
    <row r="62" customFormat="false" ht="15" hidden="false" customHeight="true" outlineLevel="0" collapsed="false">
      <c r="A62" s="5" t="s">
        <v>124</v>
      </c>
      <c r="B62" s="5" t="s">
        <v>125</v>
      </c>
      <c r="C62" s="6" t="s">
        <v>9</v>
      </c>
      <c r="D62" s="7" t="n">
        <v>2.76925</v>
      </c>
      <c r="E62" s="8" t="n">
        <f aca="false">D62</f>
        <v>2.76925</v>
      </c>
    </row>
    <row r="63" customFormat="false" ht="15" hidden="false" customHeight="true" outlineLevel="0" collapsed="false">
      <c r="A63" s="5" t="s">
        <v>126</v>
      </c>
      <c r="B63" s="5" t="s">
        <v>127</v>
      </c>
      <c r="C63" s="6" t="s">
        <v>9</v>
      </c>
      <c r="D63" s="7" t="n">
        <v>0.27</v>
      </c>
      <c r="E63" s="8" t="n">
        <f aca="false">D63</f>
        <v>0.27</v>
      </c>
    </row>
    <row r="64" customFormat="false" ht="15" hidden="false" customHeight="true" outlineLevel="0" collapsed="false">
      <c r="A64" s="5" t="s">
        <v>128</v>
      </c>
      <c r="B64" s="5" t="s">
        <v>129</v>
      </c>
      <c r="C64" s="6" t="s">
        <v>32</v>
      </c>
      <c r="D64" s="7" t="n">
        <v>0.047</v>
      </c>
      <c r="E64" s="8" t="n">
        <f aca="false">D64</f>
        <v>0.047</v>
      </c>
    </row>
    <row r="65" customFormat="false" ht="15" hidden="false" customHeight="true" outlineLevel="0" collapsed="false">
      <c r="A65" s="5" t="s">
        <v>130</v>
      </c>
      <c r="B65" s="5" t="s">
        <v>131</v>
      </c>
      <c r="C65" s="6" t="s">
        <v>9</v>
      </c>
      <c r="D65" s="7" t="n">
        <v>0.111</v>
      </c>
      <c r="E65" s="8" t="n">
        <f aca="false">D65</f>
        <v>0.111</v>
      </c>
    </row>
    <row r="66" customFormat="false" ht="15" hidden="false" customHeight="true" outlineLevel="0" collapsed="false">
      <c r="A66" s="5" t="s">
        <v>132</v>
      </c>
      <c r="B66" s="5" t="s">
        <v>133</v>
      </c>
      <c r="C66" s="6" t="s">
        <v>9</v>
      </c>
      <c r="D66" s="7" t="n">
        <v>0.111</v>
      </c>
      <c r="E66" s="8" t="n">
        <f aca="false">D66</f>
        <v>0.111</v>
      </c>
    </row>
    <row r="67" customFormat="false" ht="15" hidden="false" customHeight="true" outlineLevel="0" collapsed="false">
      <c r="A67" s="5" t="s">
        <v>134</v>
      </c>
      <c r="B67" s="5" t="s">
        <v>135</v>
      </c>
      <c r="C67" s="6" t="s">
        <v>9</v>
      </c>
      <c r="D67" s="7" t="n">
        <v>0.115</v>
      </c>
      <c r="E67" s="8" t="n">
        <f aca="false">D67</f>
        <v>0.115</v>
      </c>
    </row>
    <row r="68" customFormat="false" ht="15" hidden="false" customHeight="true" outlineLevel="0" collapsed="false">
      <c r="A68" s="5" t="s">
        <v>136</v>
      </c>
      <c r="B68" s="5" t="s">
        <v>137</v>
      </c>
      <c r="C68" s="6" t="s">
        <v>9</v>
      </c>
      <c r="D68" s="7" t="n">
        <v>0.103</v>
      </c>
      <c r="E68" s="8" t="n">
        <f aca="false">D68</f>
        <v>0.103</v>
      </c>
    </row>
    <row r="69" customFormat="false" ht="15" hidden="false" customHeight="true" outlineLevel="0" collapsed="false">
      <c r="A69" s="5" t="s">
        <v>138</v>
      </c>
      <c r="B69" s="5" t="s">
        <v>139</v>
      </c>
      <c r="C69" s="6" t="s">
        <v>9</v>
      </c>
      <c r="D69" s="7" t="n">
        <v>0.111</v>
      </c>
      <c r="E69" s="8" t="n">
        <f aca="false">D69</f>
        <v>0.111</v>
      </c>
    </row>
    <row r="70" customFormat="false" ht="15" hidden="false" customHeight="true" outlineLevel="0" collapsed="false">
      <c r="A70" s="5" t="s">
        <v>140</v>
      </c>
      <c r="B70" s="5" t="s">
        <v>141</v>
      </c>
      <c r="C70" s="6" t="s">
        <v>9</v>
      </c>
      <c r="D70" s="7" t="n">
        <v>1.43</v>
      </c>
      <c r="E70" s="8" t="n">
        <f aca="false">D70</f>
        <v>1.43</v>
      </c>
    </row>
    <row r="71" customFormat="false" ht="15" hidden="false" customHeight="true" outlineLevel="0" collapsed="false">
      <c r="A71" s="5" t="s">
        <v>142</v>
      </c>
      <c r="B71" s="5" t="s">
        <v>143</v>
      </c>
      <c r="C71" s="6" t="s">
        <v>9</v>
      </c>
      <c r="D71" s="7" t="n">
        <v>0.452</v>
      </c>
      <c r="E71" s="8" t="n">
        <f aca="false">D71</f>
        <v>0.452</v>
      </c>
    </row>
    <row r="72" customFormat="false" ht="15" hidden="false" customHeight="true" outlineLevel="0" collapsed="false">
      <c r="A72" s="5" t="s">
        <v>144</v>
      </c>
      <c r="B72" s="5" t="s">
        <v>145</v>
      </c>
      <c r="C72" s="6" t="s">
        <v>9</v>
      </c>
      <c r="D72" s="7" t="n">
        <v>0.45</v>
      </c>
      <c r="E72" s="8" t="n">
        <f aca="false">D72</f>
        <v>0.45</v>
      </c>
    </row>
    <row r="73" customFormat="false" ht="15" hidden="false" customHeight="true" outlineLevel="0" collapsed="false">
      <c r="A73" s="5" t="s">
        <v>146</v>
      </c>
      <c r="B73" s="5" t="s">
        <v>147</v>
      </c>
      <c r="C73" s="6" t="s">
        <v>9</v>
      </c>
      <c r="D73" s="7" t="n">
        <v>1.43</v>
      </c>
      <c r="E73" s="8" t="n">
        <f aca="false">D73</f>
        <v>1.43</v>
      </c>
    </row>
    <row r="74" customFormat="false" ht="15" hidden="false" customHeight="true" outlineLevel="0" collapsed="false">
      <c r="A74" s="5" t="s">
        <v>148</v>
      </c>
      <c r="B74" s="5" t="s">
        <v>149</v>
      </c>
      <c r="C74" s="6" t="s">
        <v>9</v>
      </c>
      <c r="D74" s="7" t="n">
        <v>4.756</v>
      </c>
      <c r="E74" s="8" t="n">
        <f aca="false">D74</f>
        <v>4.756</v>
      </c>
    </row>
    <row r="75" customFormat="false" ht="15" hidden="false" customHeight="true" outlineLevel="0" collapsed="false">
      <c r="A75" s="5" t="s">
        <v>150</v>
      </c>
      <c r="B75" s="5" t="s">
        <v>151</v>
      </c>
      <c r="C75" s="6" t="s">
        <v>9</v>
      </c>
      <c r="D75" s="7" t="n">
        <v>7.5</v>
      </c>
      <c r="E75" s="8" t="n">
        <f aca="false">D75</f>
        <v>7.5</v>
      </c>
    </row>
    <row r="76" customFormat="false" ht="15" hidden="false" customHeight="true" outlineLevel="0" collapsed="false">
      <c r="A76" s="5" t="s">
        <v>152</v>
      </c>
      <c r="B76" s="5" t="s">
        <v>153</v>
      </c>
      <c r="C76" s="6" t="s">
        <v>35</v>
      </c>
      <c r="D76" s="7" t="n">
        <v>0.23833</v>
      </c>
      <c r="E76" s="8" t="n">
        <f aca="false">D76</f>
        <v>0.23833</v>
      </c>
    </row>
    <row r="77" customFormat="false" ht="15" hidden="false" customHeight="true" outlineLevel="0" collapsed="false">
      <c r="A77" s="5" t="s">
        <v>154</v>
      </c>
      <c r="B77" s="5" t="s">
        <v>155</v>
      </c>
      <c r="C77" s="6" t="s">
        <v>35</v>
      </c>
      <c r="D77" s="7" t="n">
        <v>0.04117</v>
      </c>
      <c r="E77" s="8" t="n">
        <f aca="false">D77</f>
        <v>0.04117</v>
      </c>
    </row>
    <row r="78" customFormat="false" ht="15" hidden="false" customHeight="true" outlineLevel="0" collapsed="false">
      <c r="A78" s="5" t="s">
        <v>156</v>
      </c>
      <c r="B78" s="5" t="s">
        <v>157</v>
      </c>
      <c r="C78" s="6" t="s">
        <v>32</v>
      </c>
      <c r="D78" s="7" t="n">
        <v>0.0221</v>
      </c>
      <c r="E78" s="8" t="n">
        <f aca="false">D78</f>
        <v>0.0221</v>
      </c>
    </row>
    <row r="79" customFormat="false" ht="15" hidden="false" customHeight="true" outlineLevel="0" collapsed="false">
      <c r="A79" s="5" t="s">
        <v>158</v>
      </c>
      <c r="B79" s="5" t="s">
        <v>159</v>
      </c>
      <c r="C79" s="6" t="s">
        <v>32</v>
      </c>
      <c r="D79" s="7" t="n">
        <v>0.0098</v>
      </c>
      <c r="E79" s="8" t="n">
        <f aca="false">D79</f>
        <v>0.0098</v>
      </c>
    </row>
    <row r="80" customFormat="false" ht="15" hidden="false" customHeight="true" outlineLevel="0" collapsed="false">
      <c r="A80" s="5" t="s">
        <v>160</v>
      </c>
      <c r="B80" s="5" t="s">
        <v>161</v>
      </c>
      <c r="C80" s="6" t="s">
        <v>35</v>
      </c>
      <c r="D80" s="7" t="n">
        <v>0.01816</v>
      </c>
      <c r="E80" s="8" t="n">
        <f aca="false">D80</f>
        <v>0.01816</v>
      </c>
    </row>
    <row r="81" customFormat="false" ht="15" hidden="false" customHeight="true" outlineLevel="0" collapsed="false">
      <c r="A81" s="5" t="s">
        <v>162</v>
      </c>
      <c r="B81" s="5" t="s">
        <v>163</v>
      </c>
      <c r="C81" s="6" t="s">
        <v>35</v>
      </c>
      <c r="D81" s="7" t="n">
        <v>0.04063</v>
      </c>
      <c r="E81" s="8" t="n">
        <f aca="false">D81</f>
        <v>0.04063</v>
      </c>
    </row>
    <row r="82" customFormat="false" ht="15" hidden="false" customHeight="true" outlineLevel="0" collapsed="false">
      <c r="A82" s="5" t="s">
        <v>164</v>
      </c>
      <c r="B82" s="5" t="s">
        <v>165</v>
      </c>
      <c r="C82" s="6" t="s">
        <v>35</v>
      </c>
      <c r="D82" s="7" t="n">
        <v>0.0503</v>
      </c>
      <c r="E82" s="8" t="n">
        <f aca="false">D82</f>
        <v>0.0503</v>
      </c>
    </row>
    <row r="83" customFormat="false" ht="15" hidden="false" customHeight="true" outlineLevel="0" collapsed="false">
      <c r="A83" s="5" t="s">
        <v>166</v>
      </c>
      <c r="B83" s="5" t="s">
        <v>167</v>
      </c>
      <c r="C83" s="6" t="s">
        <v>35</v>
      </c>
      <c r="D83" s="7" t="n">
        <v>0.01418</v>
      </c>
      <c r="E83" s="8" t="n">
        <f aca="false">D83</f>
        <v>0.01418</v>
      </c>
    </row>
    <row r="84" customFormat="false" ht="15" hidden="false" customHeight="true" outlineLevel="0" collapsed="false">
      <c r="A84" s="5" t="s">
        <v>168</v>
      </c>
      <c r="B84" s="5" t="s">
        <v>169</v>
      </c>
      <c r="C84" s="6" t="s">
        <v>9</v>
      </c>
      <c r="D84" s="7" t="n">
        <v>0.76286</v>
      </c>
      <c r="E84" s="8" t="n">
        <f aca="false">D84</f>
        <v>0.76286</v>
      </c>
    </row>
    <row r="85" customFormat="false" ht="15" hidden="false" customHeight="true" outlineLevel="0" collapsed="false">
      <c r="A85" s="5" t="s">
        <v>170</v>
      </c>
      <c r="B85" s="5" t="s">
        <v>171</v>
      </c>
      <c r="C85" s="6" t="s">
        <v>9</v>
      </c>
      <c r="D85" s="7" t="n">
        <v>11.653</v>
      </c>
      <c r="E85" s="8" t="n">
        <f aca="false">D85</f>
        <v>11.653</v>
      </c>
    </row>
    <row r="86" customFormat="false" ht="15" hidden="false" customHeight="true" outlineLevel="0" collapsed="false">
      <c r="A86" s="5" t="s">
        <v>172</v>
      </c>
      <c r="B86" s="5" t="s">
        <v>173</v>
      </c>
      <c r="C86" s="6" t="s">
        <v>32</v>
      </c>
      <c r="D86" s="7" t="n">
        <v>0.0652</v>
      </c>
      <c r="E86" s="8" t="n">
        <f aca="false">D86</f>
        <v>0.0652</v>
      </c>
    </row>
    <row r="87" customFormat="false" ht="15" hidden="false" customHeight="true" outlineLevel="0" collapsed="false">
      <c r="A87" s="5" t="s">
        <v>174</v>
      </c>
      <c r="B87" s="5" t="s">
        <v>175</v>
      </c>
      <c r="C87" s="6" t="s">
        <v>32</v>
      </c>
      <c r="D87" s="7" t="n">
        <v>0.033</v>
      </c>
      <c r="E87" s="8" t="n">
        <f aca="false">D87</f>
        <v>0.033</v>
      </c>
    </row>
    <row r="88" customFormat="false" ht="15" hidden="false" customHeight="true" outlineLevel="0" collapsed="false">
      <c r="A88" s="5" t="s">
        <v>176</v>
      </c>
      <c r="B88" s="5" t="s">
        <v>177</v>
      </c>
      <c r="C88" s="6" t="s">
        <v>32</v>
      </c>
      <c r="D88" s="7" t="n">
        <v>0.03215</v>
      </c>
      <c r="E88" s="8" t="n">
        <f aca="false">D88</f>
        <v>0.03215</v>
      </c>
    </row>
    <row r="89" customFormat="false" ht="15" hidden="false" customHeight="true" outlineLevel="0" collapsed="false">
      <c r="A89" s="5" t="s">
        <v>178</v>
      </c>
      <c r="B89" s="5" t="s">
        <v>179</v>
      </c>
      <c r="C89" s="6" t="s">
        <v>35</v>
      </c>
      <c r="D89" s="7" t="n">
        <v>0.03666</v>
      </c>
      <c r="E89" s="8" t="n">
        <f aca="false">D89</f>
        <v>0.03666</v>
      </c>
    </row>
    <row r="90" customFormat="false" ht="15" hidden="false" customHeight="true" outlineLevel="0" collapsed="false">
      <c r="A90" s="5" t="s">
        <v>180</v>
      </c>
      <c r="B90" s="5" t="s">
        <v>181</v>
      </c>
      <c r="C90" s="6" t="s">
        <v>9</v>
      </c>
      <c r="D90" s="7" t="n">
        <v>0.303</v>
      </c>
      <c r="E90" s="8" t="n">
        <f aca="false">D90</f>
        <v>0.303</v>
      </c>
    </row>
    <row r="91" customFormat="false" ht="15" hidden="false" customHeight="true" outlineLevel="0" collapsed="false">
      <c r="A91" s="5" t="s">
        <v>182</v>
      </c>
      <c r="B91" s="5" t="s">
        <v>183</v>
      </c>
      <c r="C91" s="6" t="s">
        <v>9</v>
      </c>
      <c r="D91" s="7" t="n">
        <v>0.453</v>
      </c>
      <c r="E91" s="8" t="n">
        <f aca="false">D91</f>
        <v>0.453</v>
      </c>
    </row>
    <row r="92" customFormat="false" ht="15" hidden="false" customHeight="true" outlineLevel="0" collapsed="false">
      <c r="A92" s="5" t="s">
        <v>184</v>
      </c>
      <c r="B92" s="5" t="s">
        <v>185</v>
      </c>
      <c r="C92" s="6" t="s">
        <v>9</v>
      </c>
      <c r="D92" s="7" t="n">
        <v>0.335</v>
      </c>
      <c r="E92" s="8" t="n">
        <f aca="false">D92</f>
        <v>0.335</v>
      </c>
    </row>
    <row r="93" customFormat="false" ht="15" hidden="false" customHeight="true" outlineLevel="0" collapsed="false">
      <c r="A93" s="5" t="s">
        <v>186</v>
      </c>
      <c r="B93" s="5" t="s">
        <v>187</v>
      </c>
      <c r="C93" s="6" t="s">
        <v>9</v>
      </c>
      <c r="D93" s="7" t="n">
        <v>0.335</v>
      </c>
      <c r="E93" s="8" t="n">
        <f aca="false">D93</f>
        <v>0.335</v>
      </c>
    </row>
    <row r="94" customFormat="false" ht="15" hidden="false" customHeight="true" outlineLevel="0" collapsed="false">
      <c r="A94" s="5" t="s">
        <v>188</v>
      </c>
      <c r="B94" s="5" t="s">
        <v>189</v>
      </c>
      <c r="C94" s="6" t="s">
        <v>9</v>
      </c>
      <c r="D94" s="7" t="n">
        <v>0.335</v>
      </c>
      <c r="E94" s="8" t="n">
        <f aca="false">D94</f>
        <v>0.335</v>
      </c>
    </row>
    <row r="95" customFormat="false" ht="15" hidden="false" customHeight="true" outlineLevel="0" collapsed="false">
      <c r="A95" s="5" t="s">
        <v>190</v>
      </c>
      <c r="B95" s="5" t="s">
        <v>191</v>
      </c>
      <c r="C95" s="6" t="s">
        <v>9</v>
      </c>
      <c r="D95" s="7" t="n">
        <v>0.734</v>
      </c>
      <c r="E95" s="8" t="n">
        <f aca="false">D95</f>
        <v>0.734</v>
      </c>
    </row>
    <row r="96" customFormat="false" ht="15" hidden="false" customHeight="true" outlineLevel="0" collapsed="false">
      <c r="A96" s="5" t="s">
        <v>192</v>
      </c>
      <c r="B96" s="5" t="s">
        <v>193</v>
      </c>
      <c r="C96" s="6" t="s">
        <v>9</v>
      </c>
      <c r="D96" s="7" t="n">
        <v>0.487</v>
      </c>
      <c r="E96" s="8" t="n">
        <f aca="false">D96</f>
        <v>0.487</v>
      </c>
    </row>
    <row r="97" customFormat="false" ht="15" hidden="false" customHeight="true" outlineLevel="0" collapsed="false">
      <c r="A97" s="5" t="s">
        <v>194</v>
      </c>
      <c r="B97" s="5" t="s">
        <v>195</v>
      </c>
      <c r="C97" s="6" t="s">
        <v>9</v>
      </c>
      <c r="D97" s="7" t="n">
        <v>0.277</v>
      </c>
      <c r="E97" s="8" t="n">
        <f aca="false">D97</f>
        <v>0.277</v>
      </c>
    </row>
    <row r="98" customFormat="false" ht="15" hidden="false" customHeight="true" outlineLevel="0" collapsed="false">
      <c r="A98" s="5" t="s">
        <v>196</v>
      </c>
      <c r="B98" s="5" t="s">
        <v>197</v>
      </c>
      <c r="C98" s="6" t="s">
        <v>9</v>
      </c>
      <c r="D98" s="7" t="n">
        <v>0.328</v>
      </c>
      <c r="E98" s="8" t="n">
        <f aca="false">D98</f>
        <v>0.328</v>
      </c>
    </row>
    <row r="99" customFormat="false" ht="15" hidden="false" customHeight="true" outlineLevel="0" collapsed="false">
      <c r="A99" s="5" t="s">
        <v>198</v>
      </c>
      <c r="B99" s="5" t="s">
        <v>199</v>
      </c>
      <c r="C99" s="6" t="s">
        <v>9</v>
      </c>
      <c r="D99" s="7" t="n">
        <v>0.424</v>
      </c>
      <c r="E99" s="8" t="n">
        <f aca="false">D99</f>
        <v>0.424</v>
      </c>
    </row>
    <row r="100" customFormat="false" ht="15" hidden="false" customHeight="true" outlineLevel="0" collapsed="false">
      <c r="A100" s="5" t="s">
        <v>200</v>
      </c>
      <c r="B100" s="5" t="s">
        <v>201</v>
      </c>
      <c r="C100" s="6" t="s">
        <v>9</v>
      </c>
      <c r="D100" s="7" t="n">
        <v>0.782</v>
      </c>
      <c r="E100" s="8" t="n">
        <f aca="false">D100</f>
        <v>0.782</v>
      </c>
    </row>
    <row r="101" customFormat="false" ht="15" hidden="false" customHeight="true" outlineLevel="0" collapsed="false">
      <c r="A101" s="5" t="s">
        <v>202</v>
      </c>
      <c r="B101" s="5" t="s">
        <v>203</v>
      </c>
      <c r="C101" s="6" t="s">
        <v>9</v>
      </c>
      <c r="D101" s="7" t="n">
        <v>0.296</v>
      </c>
      <c r="E101" s="8" t="n">
        <f aca="false">D101</f>
        <v>0.296</v>
      </c>
    </row>
    <row r="102" customFormat="false" ht="15" hidden="false" customHeight="true" outlineLevel="0" collapsed="false">
      <c r="A102" s="5" t="s">
        <v>204</v>
      </c>
      <c r="B102" s="5" t="s">
        <v>205</v>
      </c>
      <c r="C102" s="6" t="s">
        <v>9</v>
      </c>
      <c r="D102" s="7" t="n">
        <v>0.176</v>
      </c>
      <c r="E102" s="8" t="n">
        <f aca="false">D102</f>
        <v>0.176</v>
      </c>
    </row>
    <row r="103" customFormat="false" ht="15" hidden="false" customHeight="true" outlineLevel="0" collapsed="false">
      <c r="A103" s="5" t="s">
        <v>206</v>
      </c>
      <c r="B103" s="5" t="s">
        <v>207</v>
      </c>
      <c r="C103" s="6" t="s">
        <v>9</v>
      </c>
      <c r="D103" s="7" t="n">
        <v>0.013</v>
      </c>
      <c r="E103" s="8" t="n">
        <f aca="false">D103</f>
        <v>0.013</v>
      </c>
    </row>
    <row r="104" customFormat="false" ht="15" hidden="false" customHeight="true" outlineLevel="0" collapsed="false">
      <c r="A104" s="5" t="s">
        <v>208</v>
      </c>
      <c r="B104" s="5" t="s">
        <v>209</v>
      </c>
      <c r="C104" s="6" t="s">
        <v>9</v>
      </c>
      <c r="D104" s="7" t="n">
        <v>1.171</v>
      </c>
      <c r="E104" s="8" t="n">
        <f aca="false">D104</f>
        <v>1.171</v>
      </c>
    </row>
    <row r="105" customFormat="false" ht="15" hidden="false" customHeight="true" outlineLevel="0" collapsed="false">
      <c r="A105" s="5" t="s">
        <v>210</v>
      </c>
      <c r="B105" s="5" t="s">
        <v>211</v>
      </c>
      <c r="C105" s="6" t="s">
        <v>9</v>
      </c>
      <c r="D105" s="7" t="n">
        <v>3.71</v>
      </c>
      <c r="E105" s="8" t="n">
        <f aca="false">D105</f>
        <v>3.71</v>
      </c>
    </row>
    <row r="106" customFormat="false" ht="15" hidden="false" customHeight="true" outlineLevel="0" collapsed="false">
      <c r="A106" s="5" t="s">
        <v>212</v>
      </c>
      <c r="B106" s="5" t="s">
        <v>213</v>
      </c>
      <c r="C106" s="6" t="s">
        <v>9</v>
      </c>
      <c r="D106" s="7" t="n">
        <v>3.71</v>
      </c>
      <c r="E106" s="8" t="n">
        <f aca="false">D106</f>
        <v>3.71</v>
      </c>
    </row>
    <row r="107" customFormat="false" ht="15" hidden="false" customHeight="true" outlineLevel="0" collapsed="false">
      <c r="A107" s="5" t="s">
        <v>214</v>
      </c>
      <c r="B107" s="5" t="s">
        <v>215</v>
      </c>
      <c r="C107" s="6" t="s">
        <v>9</v>
      </c>
      <c r="D107" s="7" t="n">
        <v>1.935</v>
      </c>
      <c r="E107" s="8" t="n">
        <f aca="false">D107</f>
        <v>1.935</v>
      </c>
    </row>
    <row r="108" customFormat="false" ht="15" hidden="false" customHeight="true" outlineLevel="0" collapsed="false">
      <c r="A108" s="5" t="s">
        <v>216</v>
      </c>
      <c r="B108" s="5" t="s">
        <v>217</v>
      </c>
      <c r="C108" s="6" t="s">
        <v>32</v>
      </c>
      <c r="D108" s="7" t="n">
        <v>0.08747</v>
      </c>
      <c r="E108" s="8" t="n">
        <f aca="false">D108</f>
        <v>0.08747</v>
      </c>
    </row>
    <row r="109" customFormat="false" ht="15" hidden="false" customHeight="true" outlineLevel="0" collapsed="false">
      <c r="A109" s="5" t="s">
        <v>218</v>
      </c>
      <c r="B109" s="5" t="s">
        <v>219</v>
      </c>
      <c r="C109" s="6" t="s">
        <v>32</v>
      </c>
      <c r="D109" s="7" t="n">
        <v>0.08747</v>
      </c>
      <c r="E109" s="8" t="n">
        <f aca="false">D109</f>
        <v>0.08747</v>
      </c>
    </row>
    <row r="110" customFormat="false" ht="15" hidden="false" customHeight="true" outlineLevel="0" collapsed="false">
      <c r="A110" s="9" t="s">
        <v>220</v>
      </c>
      <c r="B110" s="9" t="s">
        <v>221</v>
      </c>
      <c r="C110" s="10" t="s">
        <v>32</v>
      </c>
      <c r="D110" s="11" t="n">
        <v>0.08747</v>
      </c>
      <c r="E110" s="8" t="n">
        <f aca="false">D110</f>
        <v>0.08747</v>
      </c>
    </row>
    <row r="111" customFormat="false" ht="15" hidden="false" customHeight="true" outlineLevel="0" collapsed="false">
      <c r="A111" s="9" t="s">
        <v>222</v>
      </c>
      <c r="B111" s="9" t="s">
        <v>223</v>
      </c>
      <c r="C111" s="10" t="s">
        <v>32</v>
      </c>
      <c r="D111" s="11" t="n">
        <v>0.08747</v>
      </c>
      <c r="E111" s="8" t="n">
        <f aca="false">D111</f>
        <v>0.08747</v>
      </c>
    </row>
    <row r="112" customFormat="false" ht="15" hidden="false" customHeight="true" outlineLevel="0" collapsed="false">
      <c r="A112" s="9" t="s">
        <v>224</v>
      </c>
      <c r="B112" s="9" t="s">
        <v>225</v>
      </c>
      <c r="C112" s="10" t="s">
        <v>32</v>
      </c>
      <c r="D112" s="11" t="n">
        <v>0.08747</v>
      </c>
      <c r="E112" s="8" t="n">
        <f aca="false">D112</f>
        <v>0.08747</v>
      </c>
    </row>
    <row r="113" customFormat="false" ht="15" hidden="false" customHeight="true" outlineLevel="0" collapsed="false">
      <c r="A113" s="5" t="s">
        <v>226</v>
      </c>
      <c r="B113" s="5" t="s">
        <v>227</v>
      </c>
      <c r="C113" s="6" t="s">
        <v>9</v>
      </c>
      <c r="D113" s="7" t="n">
        <v>1.543</v>
      </c>
      <c r="E113" s="8" t="n">
        <f aca="false">D113</f>
        <v>1.543</v>
      </c>
    </row>
    <row r="114" customFormat="false" ht="15" hidden="false" customHeight="true" outlineLevel="0" collapsed="false">
      <c r="A114" s="5" t="s">
        <v>228</v>
      </c>
      <c r="B114" s="5" t="s">
        <v>229</v>
      </c>
      <c r="C114" s="6" t="s">
        <v>9</v>
      </c>
      <c r="D114" s="7" t="n">
        <v>0.172</v>
      </c>
      <c r="E114" s="8" t="n">
        <f aca="false">D114</f>
        <v>0.172</v>
      </c>
    </row>
    <row r="115" customFormat="false" ht="15" hidden="false" customHeight="true" outlineLevel="0" collapsed="false">
      <c r="A115" s="5" t="s">
        <v>230</v>
      </c>
      <c r="B115" s="5" t="s">
        <v>231</v>
      </c>
      <c r="C115" s="6" t="s">
        <v>9</v>
      </c>
      <c r="D115" s="7" t="n">
        <v>0.446</v>
      </c>
      <c r="E115" s="8" t="n">
        <f aca="false">D115</f>
        <v>0.446</v>
      </c>
    </row>
    <row r="116" customFormat="false" ht="15" hidden="false" customHeight="true" outlineLevel="0" collapsed="false">
      <c r="A116" s="5" t="s">
        <v>232</v>
      </c>
      <c r="B116" s="5" t="s">
        <v>233</v>
      </c>
      <c r="C116" s="6" t="s">
        <v>9</v>
      </c>
      <c r="D116" s="7" t="n">
        <v>9.25</v>
      </c>
      <c r="E116" s="8" t="n">
        <f aca="false">D116</f>
        <v>9.25</v>
      </c>
    </row>
    <row r="117" customFormat="false" ht="15" hidden="false" customHeight="true" outlineLevel="0" collapsed="false">
      <c r="A117" s="5" t="s">
        <v>234</v>
      </c>
      <c r="B117" s="5" t="s">
        <v>235</v>
      </c>
      <c r="C117" s="6" t="s">
        <v>9</v>
      </c>
      <c r="D117" s="7" t="n">
        <v>5.056</v>
      </c>
      <c r="E117" s="8" t="n">
        <f aca="false">D117</f>
        <v>5.056</v>
      </c>
    </row>
    <row r="118" customFormat="false" ht="15" hidden="false" customHeight="true" outlineLevel="0" collapsed="false">
      <c r="A118" s="5" t="s">
        <v>236</v>
      </c>
      <c r="B118" s="5" t="s">
        <v>237</v>
      </c>
      <c r="C118" s="6" t="s">
        <v>9</v>
      </c>
      <c r="D118" s="7" t="n">
        <v>2.93233</v>
      </c>
      <c r="E118" s="8" t="n">
        <v>3.35</v>
      </c>
    </row>
    <row r="119" customFormat="false" ht="15" hidden="false" customHeight="true" outlineLevel="0" collapsed="false">
      <c r="A119" s="5" t="s">
        <v>238</v>
      </c>
      <c r="B119" s="5" t="s">
        <v>239</v>
      </c>
      <c r="C119" s="6" t="s">
        <v>35</v>
      </c>
      <c r="D119" s="7" t="n">
        <v>0.01894</v>
      </c>
      <c r="E119" s="8" t="n">
        <f aca="false">D119</f>
        <v>0.01894</v>
      </c>
    </row>
    <row r="120" customFormat="false" ht="15" hidden="false" customHeight="true" outlineLevel="0" collapsed="false">
      <c r="A120" s="5" t="s">
        <v>240</v>
      </c>
      <c r="B120" s="5" t="s">
        <v>241</v>
      </c>
      <c r="C120" s="6" t="s">
        <v>9</v>
      </c>
      <c r="D120" s="7" t="n">
        <v>4.17</v>
      </c>
      <c r="E120" s="8" t="n">
        <f aca="false">D120</f>
        <v>4.17</v>
      </c>
    </row>
    <row r="121" customFormat="false" ht="15" hidden="false" customHeight="true" outlineLevel="0" collapsed="false">
      <c r="A121" s="5" t="s">
        <v>242</v>
      </c>
      <c r="B121" s="5" t="s">
        <v>243</v>
      </c>
      <c r="C121" s="6" t="s">
        <v>9</v>
      </c>
      <c r="D121" s="7" t="n">
        <v>4.92</v>
      </c>
      <c r="E121" s="8" t="n">
        <f aca="false">D121</f>
        <v>4.92</v>
      </c>
    </row>
    <row r="122" customFormat="false" ht="15" hidden="false" customHeight="true" outlineLevel="0" collapsed="false">
      <c r="A122" s="5" t="s">
        <v>244</v>
      </c>
      <c r="B122" s="5" t="s">
        <v>245</v>
      </c>
      <c r="C122" s="6" t="s">
        <v>9</v>
      </c>
      <c r="D122" s="7" t="n">
        <v>0.105</v>
      </c>
      <c r="E122" s="8" t="n">
        <f aca="false">D122</f>
        <v>0.105</v>
      </c>
    </row>
    <row r="123" customFormat="false" ht="15" hidden="false" customHeight="true" outlineLevel="0" collapsed="false">
      <c r="A123" s="5" t="s">
        <v>246</v>
      </c>
      <c r="B123" s="5" t="s">
        <v>247</v>
      </c>
      <c r="C123" s="6" t="s">
        <v>9</v>
      </c>
      <c r="D123" s="7" t="n">
        <v>0.127</v>
      </c>
      <c r="E123" s="8" t="n">
        <f aca="false">D123</f>
        <v>0.127</v>
      </c>
    </row>
    <row r="124" customFormat="false" ht="15" hidden="false" customHeight="true" outlineLevel="0" collapsed="false">
      <c r="A124" s="5" t="s">
        <v>248</v>
      </c>
      <c r="B124" s="5" t="s">
        <v>249</v>
      </c>
      <c r="C124" s="6" t="s">
        <v>9</v>
      </c>
      <c r="D124" s="7" t="n">
        <v>0.319</v>
      </c>
      <c r="E124" s="8" t="n">
        <f aca="false">D124</f>
        <v>0.319</v>
      </c>
    </row>
    <row r="125" customFormat="false" ht="15" hidden="false" customHeight="true" outlineLevel="0" collapsed="false">
      <c r="A125" s="5" t="s">
        <v>250</v>
      </c>
      <c r="B125" s="5" t="s">
        <v>251</v>
      </c>
      <c r="C125" s="6" t="s">
        <v>9</v>
      </c>
      <c r="D125" s="7" t="n">
        <v>0.529</v>
      </c>
      <c r="E125" s="8" t="n">
        <f aca="false">D125</f>
        <v>0.529</v>
      </c>
    </row>
    <row r="126" customFormat="false" ht="15" hidden="false" customHeight="true" outlineLevel="0" collapsed="false">
      <c r="A126" s="5" t="s">
        <v>252</v>
      </c>
      <c r="B126" s="5" t="s">
        <v>253</v>
      </c>
      <c r="C126" s="6" t="s">
        <v>9</v>
      </c>
      <c r="D126" s="7" t="n">
        <v>0.294</v>
      </c>
      <c r="E126" s="8" t="n">
        <f aca="false">D126</f>
        <v>0.294</v>
      </c>
    </row>
    <row r="127" customFormat="false" ht="15" hidden="false" customHeight="true" outlineLevel="0" collapsed="false">
      <c r="A127" s="5" t="s">
        <v>254</v>
      </c>
      <c r="B127" s="5" t="s">
        <v>255</v>
      </c>
      <c r="C127" s="6" t="s">
        <v>9</v>
      </c>
      <c r="D127" s="7" t="n">
        <v>0.34</v>
      </c>
      <c r="E127" s="8" t="n">
        <f aca="false">D127</f>
        <v>0.34</v>
      </c>
    </row>
    <row r="128" customFormat="false" ht="15" hidden="false" customHeight="true" outlineLevel="0" collapsed="false">
      <c r="A128" s="5" t="s">
        <v>256</v>
      </c>
      <c r="B128" s="5" t="s">
        <v>257</v>
      </c>
      <c r="C128" s="6" t="s">
        <v>9</v>
      </c>
      <c r="D128" s="7" t="n">
        <v>0.939</v>
      </c>
      <c r="E128" s="8" t="n">
        <f aca="false">D128</f>
        <v>0.939</v>
      </c>
    </row>
    <row r="129" customFormat="false" ht="15" hidden="false" customHeight="true" outlineLevel="0" collapsed="false">
      <c r="A129" s="5" t="s">
        <v>258</v>
      </c>
      <c r="B129" s="5" t="s">
        <v>259</v>
      </c>
      <c r="C129" s="6" t="s">
        <v>9</v>
      </c>
      <c r="D129" s="7" t="n">
        <v>6.08</v>
      </c>
      <c r="E129" s="8" t="n">
        <f aca="false">D129</f>
        <v>6.08</v>
      </c>
    </row>
    <row r="130" customFormat="false" ht="15" hidden="false" customHeight="true" outlineLevel="0" collapsed="false">
      <c r="A130" s="5" t="s">
        <v>260</v>
      </c>
      <c r="B130" s="5" t="s">
        <v>261</v>
      </c>
      <c r="C130" s="6" t="s">
        <v>32</v>
      </c>
      <c r="D130" s="7" t="n">
        <v>0.03953</v>
      </c>
      <c r="E130" s="8" t="n">
        <f aca="false">D130</f>
        <v>0.03953</v>
      </c>
    </row>
    <row r="131" customFormat="false" ht="15" hidden="false" customHeight="true" outlineLevel="0" collapsed="false">
      <c r="A131" s="5" t="s">
        <v>262</v>
      </c>
      <c r="B131" s="5" t="s">
        <v>263</v>
      </c>
      <c r="C131" s="6" t="s">
        <v>9</v>
      </c>
      <c r="D131" s="7" t="n">
        <v>1.353</v>
      </c>
      <c r="E131" s="8" t="n">
        <f aca="false">D131</f>
        <v>1.353</v>
      </c>
    </row>
    <row r="132" customFormat="false" ht="15" hidden="false" customHeight="true" outlineLevel="0" collapsed="false">
      <c r="A132" s="5" t="s">
        <v>264</v>
      </c>
      <c r="B132" s="5" t="s">
        <v>265</v>
      </c>
      <c r="C132" s="6" t="s">
        <v>9</v>
      </c>
      <c r="D132" s="7" t="n">
        <v>2.112</v>
      </c>
      <c r="E132" s="8" t="n">
        <f aca="false">D132</f>
        <v>2.112</v>
      </c>
    </row>
    <row r="133" customFormat="false" ht="15" hidden="false" customHeight="true" outlineLevel="0" collapsed="false">
      <c r="A133" s="5" t="s">
        <v>266</v>
      </c>
      <c r="B133" s="5" t="s">
        <v>267</v>
      </c>
      <c r="C133" s="6" t="s">
        <v>9</v>
      </c>
      <c r="D133" s="7" t="n">
        <v>2.272</v>
      </c>
      <c r="E133" s="8" t="n">
        <f aca="false">D133</f>
        <v>2.272</v>
      </c>
    </row>
    <row r="134" customFormat="false" ht="15" hidden="false" customHeight="true" outlineLevel="0" collapsed="false">
      <c r="A134" s="5" t="s">
        <v>268</v>
      </c>
      <c r="B134" s="5" t="s">
        <v>269</v>
      </c>
      <c r="C134" s="6" t="s">
        <v>9</v>
      </c>
      <c r="D134" s="7" t="n">
        <v>1.984</v>
      </c>
      <c r="E134" s="8" t="n">
        <f aca="false">D134</f>
        <v>1.984</v>
      </c>
    </row>
    <row r="135" customFormat="false" ht="15" hidden="false" customHeight="true" outlineLevel="0" collapsed="false">
      <c r="A135" s="5" t="s">
        <v>270</v>
      </c>
      <c r="B135" s="5" t="s">
        <v>271</v>
      </c>
      <c r="C135" s="6" t="s">
        <v>9</v>
      </c>
      <c r="D135" s="7" t="n">
        <v>0.765</v>
      </c>
      <c r="E135" s="8" t="n">
        <f aca="false">D135</f>
        <v>0.765</v>
      </c>
    </row>
    <row r="136" customFormat="false" ht="15" hidden="false" customHeight="true" outlineLevel="0" collapsed="false">
      <c r="A136" s="5" t="s">
        <v>272</v>
      </c>
      <c r="B136" s="5" t="s">
        <v>273</v>
      </c>
      <c r="C136" s="6" t="s">
        <v>35</v>
      </c>
      <c r="D136" s="7" t="n">
        <v>0.02</v>
      </c>
      <c r="E136" s="8" t="n">
        <f aca="false">D136</f>
        <v>0.02</v>
      </c>
    </row>
    <row r="137" customFormat="false" ht="15" hidden="false" customHeight="true" outlineLevel="0" collapsed="false">
      <c r="A137" s="5" t="s">
        <v>274</v>
      </c>
      <c r="B137" s="5" t="s">
        <v>275</v>
      </c>
      <c r="C137" s="6" t="s">
        <v>35</v>
      </c>
      <c r="D137" s="7" t="n">
        <v>0.036</v>
      </c>
      <c r="E137" s="8" t="n">
        <f aca="false">D137</f>
        <v>0.036</v>
      </c>
    </row>
    <row r="138" customFormat="false" ht="15" hidden="false" customHeight="true" outlineLevel="0" collapsed="false">
      <c r="A138" s="5" t="s">
        <v>276</v>
      </c>
      <c r="B138" s="5" t="s">
        <v>277</v>
      </c>
      <c r="C138" s="6" t="s">
        <v>9</v>
      </c>
      <c r="D138" s="7" t="n">
        <v>2.471</v>
      </c>
      <c r="E138" s="8" t="n">
        <f aca="false">D138</f>
        <v>2.471</v>
      </c>
    </row>
    <row r="139" customFormat="false" ht="15" hidden="false" customHeight="true" outlineLevel="0" collapsed="false">
      <c r="A139" s="5" t="s">
        <v>278</v>
      </c>
      <c r="B139" s="5" t="s">
        <v>279</v>
      </c>
      <c r="C139" s="6" t="s">
        <v>9</v>
      </c>
      <c r="D139" s="7" t="n">
        <v>0.198</v>
      </c>
      <c r="E139" s="8" t="n">
        <f aca="false">D139</f>
        <v>0.198</v>
      </c>
    </row>
    <row r="140" customFormat="false" ht="15" hidden="false" customHeight="true" outlineLevel="0" collapsed="false">
      <c r="A140" s="5" t="s">
        <v>280</v>
      </c>
      <c r="B140" s="5" t="s">
        <v>281</v>
      </c>
      <c r="C140" s="6" t="s">
        <v>32</v>
      </c>
      <c r="D140" s="7" t="n">
        <v>0.023</v>
      </c>
      <c r="E140" s="8" t="n">
        <f aca="false">D140</f>
        <v>0.023</v>
      </c>
    </row>
    <row r="141" customFormat="false" ht="15" hidden="false" customHeight="true" outlineLevel="0" collapsed="false">
      <c r="A141" s="5" t="s">
        <v>282</v>
      </c>
      <c r="B141" s="5" t="s">
        <v>283</v>
      </c>
      <c r="C141" s="6" t="s">
        <v>35</v>
      </c>
      <c r="D141" s="7" t="n">
        <v>0.04507</v>
      </c>
      <c r="E141" s="8" t="n">
        <f aca="false">D141</f>
        <v>0.04507</v>
      </c>
    </row>
    <row r="142" customFormat="false" ht="15" hidden="false" customHeight="true" outlineLevel="0" collapsed="false">
      <c r="A142" s="5" t="s">
        <v>284</v>
      </c>
      <c r="B142" s="5" t="s">
        <v>285</v>
      </c>
      <c r="C142" s="6" t="s">
        <v>35</v>
      </c>
      <c r="D142" s="7" t="n">
        <v>0.02613</v>
      </c>
      <c r="E142" s="8" t="n">
        <f aca="false">D142</f>
        <v>0.02613</v>
      </c>
    </row>
    <row r="143" customFormat="false" ht="15" hidden="false" customHeight="true" outlineLevel="0" collapsed="false">
      <c r="A143" s="5" t="s">
        <v>286</v>
      </c>
      <c r="B143" s="5" t="s">
        <v>287</v>
      </c>
      <c r="C143" s="6" t="s">
        <v>32</v>
      </c>
      <c r="D143" s="7" t="n">
        <v>0.02703</v>
      </c>
      <c r="E143" s="8" t="n">
        <f aca="false">D143</f>
        <v>0.02703</v>
      </c>
    </row>
    <row r="144" customFormat="false" ht="15" hidden="false" customHeight="true" outlineLevel="0" collapsed="false">
      <c r="A144" s="5" t="s">
        <v>288</v>
      </c>
      <c r="B144" s="5" t="s">
        <v>289</v>
      </c>
      <c r="C144" s="6" t="s">
        <v>9</v>
      </c>
      <c r="D144" s="7" t="n">
        <v>0.176</v>
      </c>
      <c r="E144" s="8" t="n">
        <f aca="false">D144</f>
        <v>0.176</v>
      </c>
    </row>
    <row r="145" customFormat="false" ht="15" hidden="false" customHeight="true" outlineLevel="0" collapsed="false">
      <c r="A145" s="5" t="s">
        <v>290</v>
      </c>
      <c r="B145" s="5" t="s">
        <v>291</v>
      </c>
      <c r="C145" s="6" t="s">
        <v>9</v>
      </c>
      <c r="D145" s="7" t="n">
        <v>9.025</v>
      </c>
      <c r="E145" s="8" t="n">
        <f aca="false">D145</f>
        <v>9.025</v>
      </c>
    </row>
    <row r="146" customFormat="false" ht="15" hidden="false" customHeight="true" outlineLevel="0" collapsed="false">
      <c r="A146" s="5" t="s">
        <v>292</v>
      </c>
      <c r="B146" s="5" t="s">
        <v>293</v>
      </c>
      <c r="C146" s="6" t="s">
        <v>9</v>
      </c>
      <c r="D146" s="7" t="n">
        <v>7.485</v>
      </c>
      <c r="E146" s="8" t="n">
        <f aca="false">D146</f>
        <v>7.485</v>
      </c>
    </row>
    <row r="147" customFormat="false" ht="15" hidden="false" customHeight="true" outlineLevel="0" collapsed="false">
      <c r="A147" s="5" t="s">
        <v>294</v>
      </c>
      <c r="B147" s="5" t="s">
        <v>295</v>
      </c>
      <c r="C147" s="6" t="s">
        <v>35</v>
      </c>
      <c r="D147" s="7" t="n">
        <v>0.09475</v>
      </c>
      <c r="E147" s="8" t="n">
        <f aca="false">D147</f>
        <v>0.09475</v>
      </c>
    </row>
    <row r="148" customFormat="false" ht="15" hidden="false" customHeight="true" outlineLevel="0" collapsed="false">
      <c r="A148" s="5" t="s">
        <v>296</v>
      </c>
      <c r="B148" s="5" t="s">
        <v>297</v>
      </c>
      <c r="C148" s="6" t="s">
        <v>9</v>
      </c>
      <c r="D148" s="7" t="n">
        <v>7.385</v>
      </c>
      <c r="E148" s="8" t="n">
        <f aca="false">D148</f>
        <v>7.385</v>
      </c>
    </row>
    <row r="149" customFormat="false" ht="15" hidden="false" customHeight="true" outlineLevel="0" collapsed="false">
      <c r="A149" s="5" t="s">
        <v>298</v>
      </c>
      <c r="B149" s="5" t="s">
        <v>299</v>
      </c>
      <c r="C149" s="6" t="s">
        <v>32</v>
      </c>
      <c r="D149" s="7" t="n">
        <v>0.03506</v>
      </c>
      <c r="E149" s="8" t="n">
        <f aca="false">D149</f>
        <v>0.03506</v>
      </c>
    </row>
    <row r="150" customFormat="false" ht="15" hidden="false" customHeight="true" outlineLevel="0" collapsed="false">
      <c r="A150" s="5" t="s">
        <v>300</v>
      </c>
      <c r="B150" s="5" t="s">
        <v>301</v>
      </c>
      <c r="C150" s="6" t="s">
        <v>32</v>
      </c>
      <c r="D150" s="7" t="n">
        <v>0.0169</v>
      </c>
      <c r="E150" s="8" t="n">
        <f aca="false">D150</f>
        <v>0.0169</v>
      </c>
    </row>
    <row r="151" customFormat="false" ht="15" hidden="false" customHeight="true" outlineLevel="0" collapsed="false">
      <c r="A151" s="5" t="s">
        <v>302</v>
      </c>
      <c r="B151" s="5" t="s">
        <v>303</v>
      </c>
      <c r="C151" s="6" t="s">
        <v>9</v>
      </c>
      <c r="D151" s="7" t="n">
        <v>3.457</v>
      </c>
      <c r="E151" s="8" t="n">
        <f aca="false">D151</f>
        <v>3.457</v>
      </c>
    </row>
    <row r="152" customFormat="false" ht="15" hidden="false" customHeight="true" outlineLevel="0" collapsed="false">
      <c r="A152" s="5" t="s">
        <v>304</v>
      </c>
      <c r="B152" s="5" t="s">
        <v>305</v>
      </c>
      <c r="C152" s="6" t="s">
        <v>35</v>
      </c>
      <c r="D152" s="7" t="n">
        <v>0.007</v>
      </c>
      <c r="E152" s="8" t="n">
        <f aca="false">D152</f>
        <v>0.007</v>
      </c>
    </row>
    <row r="153" customFormat="false" ht="15" hidden="false" customHeight="true" outlineLevel="0" collapsed="false">
      <c r="A153" s="5" t="s">
        <v>306</v>
      </c>
      <c r="B153" s="5" t="s">
        <v>307</v>
      </c>
      <c r="C153" s="6" t="s">
        <v>35</v>
      </c>
      <c r="D153" s="7" t="n">
        <v>0.014</v>
      </c>
      <c r="E153" s="8" t="n">
        <f aca="false">D153</f>
        <v>0.014</v>
      </c>
    </row>
    <row r="154" customFormat="false" ht="15" hidden="false" customHeight="true" outlineLevel="0" collapsed="false">
      <c r="A154" s="5" t="s">
        <v>308</v>
      </c>
      <c r="B154" s="5" t="s">
        <v>309</v>
      </c>
      <c r="C154" s="6" t="s">
        <v>35</v>
      </c>
      <c r="D154" s="7" t="n">
        <v>0.034</v>
      </c>
      <c r="E154" s="8" t="n">
        <f aca="false">D154</f>
        <v>0.034</v>
      </c>
    </row>
    <row r="155" customFormat="false" ht="15" hidden="false" customHeight="true" outlineLevel="0" collapsed="false">
      <c r="A155" s="5" t="s">
        <v>310</v>
      </c>
      <c r="B155" s="5" t="s">
        <v>311</v>
      </c>
      <c r="C155" s="6" t="s">
        <v>35</v>
      </c>
      <c r="D155" s="7" t="n">
        <v>0.01554</v>
      </c>
      <c r="E155" s="8" t="n">
        <f aca="false">D155</f>
        <v>0.01554</v>
      </c>
    </row>
    <row r="156" customFormat="false" ht="15" hidden="false" customHeight="true" outlineLevel="0" collapsed="false">
      <c r="A156" s="5"/>
      <c r="B156" s="5"/>
      <c r="C156" s="5"/>
      <c r="D156" s="7"/>
      <c r="E156" s="8"/>
    </row>
    <row r="157" customFormat="false" ht="15" hidden="false" customHeight="true" outlineLevel="0" collapsed="false">
      <c r="A157" s="5"/>
      <c r="B157" s="5"/>
      <c r="C157" s="5"/>
      <c r="D157" s="7"/>
      <c r="E157" s="8"/>
    </row>
    <row r="158" customFormat="false" ht="15" hidden="false" customHeight="true" outlineLevel="0" collapsed="false">
      <c r="A158" s="5"/>
      <c r="B158" s="5"/>
      <c r="C158" s="5"/>
      <c r="D158" s="7"/>
      <c r="E158" s="8"/>
    </row>
    <row r="159" customFormat="false" ht="15" hidden="false" customHeight="true" outlineLevel="0" collapsed="false">
      <c r="A159" s="5"/>
      <c r="B159" s="5"/>
      <c r="C159" s="5"/>
      <c r="D159" s="7"/>
      <c r="E159" s="8"/>
    </row>
    <row r="160" customFormat="false" ht="15" hidden="false" customHeight="true" outlineLevel="0" collapsed="false">
      <c r="A160" s="5"/>
      <c r="B160" s="5"/>
      <c r="C160" s="5"/>
      <c r="D160" s="7"/>
      <c r="E160" s="8"/>
    </row>
    <row r="161" customFormat="false" ht="15" hidden="false" customHeight="true" outlineLevel="0" collapsed="false">
      <c r="A161" s="5"/>
      <c r="B161" s="5"/>
      <c r="C161" s="5"/>
      <c r="D161" s="7"/>
      <c r="E161" s="8"/>
    </row>
    <row r="162" customFormat="false" ht="15" hidden="false" customHeight="true" outlineLevel="0" collapsed="false">
      <c r="A162" s="5"/>
      <c r="B162" s="5"/>
      <c r="C162" s="5"/>
      <c r="D162" s="7"/>
      <c r="E162" s="8"/>
    </row>
    <row r="163" customFormat="false" ht="15" hidden="false" customHeight="true" outlineLevel="0" collapsed="false">
      <c r="A163" s="5"/>
      <c r="B163" s="5"/>
      <c r="C163" s="5"/>
      <c r="D163" s="7"/>
      <c r="E163" s="8"/>
    </row>
    <row r="164" customFormat="false" ht="15" hidden="false" customHeight="true" outlineLevel="0" collapsed="false">
      <c r="A164" s="5"/>
      <c r="B164" s="5"/>
      <c r="C164" s="5"/>
      <c r="D164" s="7"/>
      <c r="E164" s="8"/>
    </row>
    <row r="165" customFormat="false" ht="15" hidden="false" customHeight="true" outlineLevel="0" collapsed="false">
      <c r="A165" s="5"/>
      <c r="B165" s="5"/>
      <c r="C165" s="5"/>
      <c r="D165" s="7"/>
      <c r="E165" s="8"/>
    </row>
    <row r="166" customFormat="false" ht="15" hidden="false" customHeight="true" outlineLevel="0" collapsed="false">
      <c r="A166" s="5"/>
      <c r="B166" s="5"/>
      <c r="C166" s="5"/>
      <c r="D166" s="7"/>
      <c r="E166" s="8"/>
    </row>
    <row r="167" customFormat="false" ht="15" hidden="false" customHeight="true" outlineLevel="0" collapsed="false">
      <c r="A167" s="5"/>
      <c r="B167" s="5"/>
      <c r="C167" s="5"/>
      <c r="D167" s="7"/>
      <c r="E167" s="8"/>
    </row>
    <row r="168" customFormat="false" ht="15" hidden="false" customHeight="true" outlineLevel="0" collapsed="false">
      <c r="A168" s="5"/>
      <c r="B168" s="5"/>
      <c r="C168" s="5"/>
      <c r="D168" s="7"/>
      <c r="E168" s="8"/>
    </row>
    <row r="169" customFormat="false" ht="15" hidden="false" customHeight="true" outlineLevel="0" collapsed="false">
      <c r="A169" s="5"/>
      <c r="B169" s="5"/>
      <c r="C169" s="5"/>
      <c r="D169" s="7"/>
      <c r="E169" s="8"/>
    </row>
    <row r="170" customFormat="false" ht="15" hidden="false" customHeight="true" outlineLevel="0" collapsed="false">
      <c r="A170" s="5"/>
      <c r="B170" s="5"/>
      <c r="C170" s="5"/>
      <c r="D170" s="7"/>
      <c r="E170" s="8"/>
    </row>
    <row r="171" customFormat="false" ht="15" hidden="false" customHeight="true" outlineLevel="0" collapsed="false">
      <c r="A171" s="5"/>
      <c r="B171" s="5"/>
      <c r="C171" s="5"/>
      <c r="D171" s="7"/>
      <c r="E171" s="8"/>
    </row>
    <row r="172" customFormat="false" ht="15" hidden="false" customHeight="true" outlineLevel="0" collapsed="false">
      <c r="A172" s="5"/>
      <c r="B172" s="5"/>
      <c r="C172" s="5"/>
      <c r="D172" s="7"/>
      <c r="E172" s="8"/>
    </row>
    <row r="173" customFormat="false" ht="15" hidden="false" customHeight="true" outlineLevel="0" collapsed="false">
      <c r="A173" s="5"/>
      <c r="B173" s="5"/>
      <c r="C173" s="5"/>
      <c r="D173" s="7"/>
      <c r="E173" s="8"/>
    </row>
    <row r="174" customFormat="false" ht="15" hidden="false" customHeight="true" outlineLevel="0" collapsed="false">
      <c r="A174" s="5"/>
      <c r="B174" s="5"/>
      <c r="C174" s="5"/>
      <c r="D174" s="7"/>
      <c r="E174" s="8"/>
    </row>
    <row r="175" customFormat="false" ht="15" hidden="false" customHeight="true" outlineLevel="0" collapsed="false">
      <c r="A175" s="5"/>
      <c r="B175" s="5"/>
      <c r="C175" s="5"/>
      <c r="D175" s="7"/>
      <c r="E175" s="8"/>
    </row>
    <row r="176" customFormat="false" ht="15" hidden="false" customHeight="true" outlineLevel="0" collapsed="false">
      <c r="A176" s="5"/>
      <c r="B176" s="5"/>
      <c r="C176" s="5"/>
      <c r="D176" s="7"/>
      <c r="E176" s="8"/>
    </row>
    <row r="177" customFormat="false" ht="15" hidden="false" customHeight="true" outlineLevel="0" collapsed="false">
      <c r="A177" s="5"/>
      <c r="B177" s="5"/>
      <c r="C177" s="5"/>
      <c r="D177" s="7"/>
      <c r="E177" s="8"/>
    </row>
    <row r="178" customFormat="false" ht="15" hidden="false" customHeight="true" outlineLevel="0" collapsed="false">
      <c r="A178" s="5"/>
      <c r="B178" s="5"/>
      <c r="C178" s="5"/>
      <c r="D178" s="7"/>
      <c r="E178" s="8"/>
    </row>
    <row r="179" customFormat="false" ht="15" hidden="false" customHeight="true" outlineLevel="0" collapsed="false">
      <c r="A179" s="5"/>
      <c r="B179" s="5"/>
      <c r="C179" s="5"/>
      <c r="D179" s="7"/>
      <c r="E179" s="8"/>
    </row>
    <row r="180" customFormat="false" ht="15" hidden="false" customHeight="true" outlineLevel="0" collapsed="false">
      <c r="A180" s="5"/>
      <c r="B180" s="5"/>
      <c r="C180" s="5"/>
      <c r="D180" s="7"/>
      <c r="E180" s="8"/>
    </row>
    <row r="181" customFormat="false" ht="15" hidden="false" customHeight="true" outlineLevel="0" collapsed="false">
      <c r="A181" s="5"/>
      <c r="B181" s="5"/>
      <c r="C181" s="5"/>
      <c r="D181" s="7"/>
      <c r="E181" s="8"/>
    </row>
    <row r="182" customFormat="false" ht="15" hidden="false" customHeight="true" outlineLevel="0" collapsed="false">
      <c r="A182" s="5"/>
      <c r="B182" s="5"/>
      <c r="C182" s="5"/>
      <c r="D182" s="7"/>
      <c r="E182" s="8"/>
    </row>
    <row r="183" customFormat="false" ht="15" hidden="false" customHeight="true" outlineLevel="0" collapsed="false">
      <c r="A183" s="5"/>
      <c r="B183" s="5"/>
      <c r="C183" s="5"/>
      <c r="D183" s="7"/>
      <c r="E183" s="8"/>
    </row>
    <row r="184" customFormat="false" ht="15" hidden="false" customHeight="true" outlineLevel="0" collapsed="false">
      <c r="A184" s="5"/>
      <c r="B184" s="5"/>
      <c r="C184" s="5"/>
      <c r="D184" s="7"/>
      <c r="E184" s="8"/>
    </row>
    <row r="185" customFormat="false" ht="15" hidden="false" customHeight="true" outlineLevel="0" collapsed="false">
      <c r="A185" s="5"/>
      <c r="B185" s="5"/>
      <c r="C185" s="5"/>
      <c r="D185" s="7"/>
      <c r="E185" s="8"/>
    </row>
    <row r="186" customFormat="false" ht="15" hidden="false" customHeight="true" outlineLevel="0" collapsed="false">
      <c r="A186" s="5"/>
      <c r="B186" s="5"/>
      <c r="C186" s="5"/>
      <c r="D186" s="7"/>
      <c r="E186" s="8"/>
    </row>
    <row r="187" customFormat="false" ht="15" hidden="false" customHeight="true" outlineLevel="0" collapsed="false">
      <c r="A187" s="5"/>
      <c r="B187" s="5"/>
      <c r="C187" s="5"/>
      <c r="D187" s="7"/>
      <c r="E187" s="8"/>
    </row>
    <row r="188" customFormat="false" ht="15" hidden="false" customHeight="true" outlineLevel="0" collapsed="false">
      <c r="A188" s="5"/>
      <c r="B188" s="5"/>
      <c r="C188" s="5"/>
      <c r="D188" s="7"/>
      <c r="E188" s="8"/>
    </row>
    <row r="189" customFormat="false" ht="15" hidden="false" customHeight="true" outlineLevel="0" collapsed="false">
      <c r="A189" s="5"/>
      <c r="B189" s="5"/>
      <c r="C189" s="5"/>
      <c r="D189" s="7"/>
      <c r="E189" s="8"/>
    </row>
    <row r="190" customFormat="false" ht="15" hidden="false" customHeight="true" outlineLevel="0" collapsed="false">
      <c r="A190" s="5"/>
      <c r="B190" s="5"/>
      <c r="C190" s="5"/>
      <c r="D190" s="7"/>
      <c r="E190" s="8"/>
    </row>
    <row r="191" customFormat="false" ht="15" hidden="false" customHeight="true" outlineLevel="0" collapsed="false">
      <c r="A191" s="5"/>
      <c r="B191" s="5"/>
      <c r="C191" s="5"/>
      <c r="D191" s="7"/>
      <c r="E191" s="8"/>
    </row>
    <row r="192" customFormat="false" ht="15" hidden="false" customHeight="true" outlineLevel="0" collapsed="false">
      <c r="A192" s="5"/>
      <c r="B192" s="5"/>
      <c r="C192" s="5"/>
      <c r="D192" s="7"/>
      <c r="E192" s="8"/>
    </row>
    <row r="193" customFormat="false" ht="15" hidden="false" customHeight="true" outlineLevel="0" collapsed="false">
      <c r="A193" s="5"/>
      <c r="B193" s="5"/>
      <c r="C193" s="5"/>
      <c r="D193" s="7"/>
      <c r="E193" s="8"/>
    </row>
    <row r="194" customFormat="false" ht="15" hidden="false" customHeight="true" outlineLevel="0" collapsed="false">
      <c r="A194" s="5"/>
      <c r="B194" s="5"/>
      <c r="C194" s="5"/>
      <c r="D194" s="7"/>
      <c r="E194" s="8"/>
    </row>
    <row r="195" customFormat="false" ht="15" hidden="false" customHeight="true" outlineLevel="0" collapsed="false">
      <c r="A195" s="5"/>
      <c r="B195" s="5"/>
      <c r="C195" s="5"/>
      <c r="D195" s="7"/>
      <c r="E195" s="8"/>
    </row>
    <row r="196" customFormat="false" ht="15" hidden="false" customHeight="true" outlineLevel="0" collapsed="false">
      <c r="A196" s="5"/>
      <c r="B196" s="5"/>
      <c r="C196" s="5"/>
      <c r="D196" s="7"/>
      <c r="E196" s="8"/>
    </row>
    <row r="197" customFormat="false" ht="15" hidden="false" customHeight="true" outlineLevel="0" collapsed="false">
      <c r="A197" s="5"/>
      <c r="B197" s="5"/>
      <c r="C197" s="5"/>
      <c r="D197" s="7"/>
      <c r="E197" s="8"/>
    </row>
    <row r="198" customFormat="false" ht="15" hidden="false" customHeight="true" outlineLevel="0" collapsed="false">
      <c r="A198" s="5"/>
      <c r="B198" s="5"/>
      <c r="C198" s="5"/>
      <c r="D198" s="7"/>
      <c r="E198" s="8"/>
    </row>
    <row r="199" customFormat="false" ht="15" hidden="false" customHeight="true" outlineLevel="0" collapsed="false">
      <c r="A199" s="5"/>
      <c r="B199" s="5"/>
      <c r="C199" s="5"/>
      <c r="D199" s="7"/>
      <c r="E199" s="8"/>
    </row>
    <row r="200" customFormat="false" ht="15" hidden="false" customHeight="true" outlineLevel="0" collapsed="false">
      <c r="A200" s="5"/>
      <c r="B200" s="5"/>
      <c r="C200" s="5"/>
      <c r="D200" s="7"/>
      <c r="E200" s="8"/>
    </row>
    <row r="201" customFormat="false" ht="15" hidden="false" customHeight="true" outlineLevel="0" collapsed="false">
      <c r="A201" s="5"/>
      <c r="B201" s="5"/>
      <c r="C201" s="5"/>
      <c r="D201" s="7"/>
      <c r="E201" s="8"/>
    </row>
    <row r="202" customFormat="false" ht="15" hidden="false" customHeight="true" outlineLevel="0" collapsed="false">
      <c r="A202" s="5"/>
      <c r="B202" s="5"/>
      <c r="C202" s="5"/>
      <c r="D202" s="7"/>
      <c r="E202" s="8"/>
    </row>
    <row r="203" customFormat="false" ht="15" hidden="false" customHeight="true" outlineLevel="0" collapsed="false">
      <c r="A203" s="5"/>
      <c r="B203" s="5"/>
      <c r="C203" s="5"/>
      <c r="D203" s="7"/>
      <c r="E203" s="8"/>
    </row>
    <row r="204" customFormat="false" ht="15" hidden="false" customHeight="true" outlineLevel="0" collapsed="false">
      <c r="A204" s="5"/>
      <c r="B204" s="5"/>
      <c r="C204" s="5"/>
      <c r="D204" s="7"/>
      <c r="E204" s="8"/>
    </row>
    <row r="205" customFormat="false" ht="15" hidden="false" customHeight="true" outlineLevel="0" collapsed="false">
      <c r="A205" s="5"/>
      <c r="B205" s="5"/>
      <c r="C205" s="5"/>
      <c r="D205" s="7"/>
      <c r="E205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2"/>
    <col collapsed="false" customWidth="true" hidden="false" outlineLevel="0" max="3" min="3" style="1" width="8"/>
    <col collapsed="false" customWidth="true" hidden="false" outlineLevel="0" max="4" min="4" style="1" width="7"/>
    <col collapsed="false" customWidth="true" hidden="false" outlineLevel="0" max="8" min="5" style="1" width="10"/>
  </cols>
  <sheetData>
    <row r="1" customFormat="false" ht="17.25" hidden="false" customHeight="true" outlineLevel="0" collapsed="false">
      <c r="A1" s="2" t="s">
        <v>312</v>
      </c>
    </row>
    <row r="2" customFormat="false" ht="15" hidden="false" customHeight="true" outlineLevel="0" collapsed="false">
      <c r="A2" s="3" t="s">
        <v>313</v>
      </c>
    </row>
    <row r="4" customFormat="false" ht="15" hidden="false" customHeight="true" outlineLevel="0" collapsed="false">
      <c r="A4" s="12" t="s">
        <v>314</v>
      </c>
      <c r="B4" s="13"/>
      <c r="C4" s="13"/>
      <c r="D4" s="13"/>
      <c r="E4" s="13"/>
      <c r="F4" s="14" t="s">
        <v>315</v>
      </c>
      <c r="G4" s="13"/>
      <c r="H4" s="15"/>
    </row>
    <row r="5" customFormat="false" ht="15" hidden="false" customHeight="true" outlineLevel="0" collapsed="false">
      <c r="A5" s="16" t="s">
        <v>316</v>
      </c>
      <c r="B5" s="16" t="s">
        <v>317</v>
      </c>
      <c r="C5" s="16" t="s">
        <v>318</v>
      </c>
      <c r="D5" s="16" t="s">
        <v>4</v>
      </c>
      <c r="E5" s="16" t="s">
        <v>319</v>
      </c>
      <c r="F5" s="16" t="s">
        <v>320</v>
      </c>
      <c r="G5" s="16" t="s">
        <v>321</v>
      </c>
      <c r="H5" s="16" t="s">
        <v>322</v>
      </c>
    </row>
    <row r="6" customFormat="false" ht="15" hidden="false" customHeight="true" outlineLevel="0" collapsed="false">
      <c r="A6" s="17" t="s">
        <v>98</v>
      </c>
      <c r="B6" s="18" t="str">
        <f aca="false">IFERROR(VLOOKUP(A6,NOMENCLATOR!$A:$E,2,0),"")</f>
        <v>CHIFLA CARTOF 3.5inch 53G x 72</v>
      </c>
      <c r="C6" s="19" t="n">
        <v>1</v>
      </c>
      <c r="D6" s="20" t="str">
        <f aca="false">IFERROR(VLOOKUP(A6,NOMENCLATOR!$A:$E,3,0),"")</f>
        <v>EA</v>
      </c>
      <c r="E6" s="21" t="n">
        <f aca="false">IFERROR(VLOOKUP(A6,NOMENCLATOR!$A:$E,4,0),"")</f>
        <v>2.4</v>
      </c>
      <c r="F6" s="21" t="n">
        <f aca="false">IF(OR(C6="",E6=""),"",C6*E6)</f>
        <v>2.4</v>
      </c>
      <c r="G6" s="22" t="n">
        <f aca="false">IFERROR(VLOOKUP(A6,NOMENCLATOR!$A:$E,5,0),"")</f>
        <v>2.4</v>
      </c>
      <c r="H6" s="22" t="n">
        <f aca="false">IF(OR(C6="",G6=""),"",C6*G6)</f>
        <v>2.4</v>
      </c>
    </row>
    <row r="7" customFormat="false" ht="15" hidden="false" customHeight="true" outlineLevel="0" collapsed="false">
      <c r="A7" s="17" t="s">
        <v>236</v>
      </c>
      <c r="B7" s="18" t="str">
        <f aca="false">IFERROR(VLOOKUP(A7,NOMENCLATOR!$A:$E,2,0),"")</f>
        <v>PREP - smashed koliber 60G</v>
      </c>
      <c r="C7" s="19" t="n">
        <v>1</v>
      </c>
      <c r="D7" s="20" t="str">
        <f aca="false">IFERROR(VLOOKUP(A7,NOMENCLATOR!$A:$E,3,0),"")</f>
        <v>EA</v>
      </c>
      <c r="E7" s="21" t="n">
        <f aca="false">IFERROR(VLOOKUP(A7,NOMENCLATOR!$A:$E,4,0),"")</f>
        <v>2.93233</v>
      </c>
      <c r="F7" s="21" t="n">
        <f aca="false">IF(OR(C7="",E7=""),"",C7*E7)</f>
        <v>2.93233</v>
      </c>
      <c r="G7" s="22" t="n">
        <f aca="false">IFERROR(VLOOKUP(A7,NOMENCLATOR!$A:$E,5,0),"")</f>
        <v>3.35</v>
      </c>
      <c r="H7" s="22" t="n">
        <f aca="false">IF(OR(C7="",G7=""),"",C7*G7)</f>
        <v>3.35</v>
      </c>
    </row>
    <row r="8" customFormat="false" ht="15" hidden="false" customHeight="true" outlineLevel="0" collapsed="false">
      <c r="A8" s="17" t="s">
        <v>138</v>
      </c>
      <c r="B8" s="18" t="str">
        <f aca="false">IFERROR(VLOOKUP(A8,NOMENCLATOR!$A:$E,2,0),"")</f>
        <v>Hartie Little Hamburgers</v>
      </c>
      <c r="C8" s="19" t="n">
        <v>1</v>
      </c>
      <c r="D8" s="20" t="str">
        <f aca="false">IFERROR(VLOOKUP(A8,NOMENCLATOR!$A:$E,3,0),"")</f>
        <v>EA</v>
      </c>
      <c r="E8" s="21" t="n">
        <f aca="false">IFERROR(VLOOKUP(A8,NOMENCLATOR!$A:$E,4,0),"")</f>
        <v>0.111</v>
      </c>
      <c r="F8" s="21" t="n">
        <f aca="false">IF(OR(C8="",E8=""),"",C8*E8)</f>
        <v>0.111</v>
      </c>
      <c r="G8" s="22" t="n">
        <f aca="false">IFERROR(VLOOKUP(A8,NOMENCLATOR!$A:$E,5,0),"")</f>
        <v>0.111</v>
      </c>
      <c r="H8" s="22" t="n">
        <f aca="false">IF(OR(C8="",G8=""),"",C8*G8)</f>
        <v>0.111</v>
      </c>
    </row>
    <row r="9" customFormat="false" ht="15" hidden="false" customHeight="true" outlineLevel="0" collapsed="false">
      <c r="A9" s="17" t="s">
        <v>156</v>
      </c>
      <c r="B9" s="18" t="str">
        <f aca="false">IFERROR(VLOOKUP(A9,NOMENCLATOR!$A:$E,2,0),"")</f>
        <v>Ketchup Jerrycan Heinz 10.2L</v>
      </c>
      <c r="C9" s="19" t="n">
        <v>10</v>
      </c>
      <c r="D9" s="20" t="str">
        <f aca="false">IFERROR(VLOOKUP(A9,NOMENCLATOR!$A:$E,3,0),"")</f>
        <v>ML</v>
      </c>
      <c r="E9" s="21" t="n">
        <f aca="false">IFERROR(VLOOKUP(A9,NOMENCLATOR!$A:$E,4,0),"")</f>
        <v>0.0221</v>
      </c>
      <c r="F9" s="21" t="n">
        <f aca="false">IF(OR(C9="",E9=""),"",C9*E9)</f>
        <v>0.221</v>
      </c>
      <c r="G9" s="22" t="n">
        <f aca="false">IFERROR(VLOOKUP(A9,NOMENCLATOR!$A:$E,5,0),"")</f>
        <v>0.0221</v>
      </c>
      <c r="H9" s="22" t="n">
        <f aca="false">IF(OR(C9="",G9=""),"",C9*G9)</f>
        <v>0.221</v>
      </c>
    </row>
    <row r="10" customFormat="false" ht="15" hidden="false" customHeight="true" outlineLevel="0" collapsed="false">
      <c r="A10" s="17" t="s">
        <v>174</v>
      </c>
      <c r="B10" s="18" t="str">
        <f aca="false">IFERROR(VLOOKUP(A10,NOMENCLATOR!$A:$E,2,0),"")</f>
        <v>Mustar Heinz 875ml</v>
      </c>
      <c r="C10" s="19" t="n">
        <v>0.7</v>
      </c>
      <c r="D10" s="20" t="str">
        <f aca="false">IFERROR(VLOOKUP(A10,NOMENCLATOR!$A:$E,3,0),"")</f>
        <v>ML</v>
      </c>
      <c r="E10" s="21" t="n">
        <f aca="false">IFERROR(VLOOKUP(A10,NOMENCLATOR!$A:$E,4,0),"")</f>
        <v>0.033</v>
      </c>
      <c r="F10" s="21" t="n">
        <f aca="false">IF(OR(C10="",E10=""),"",C10*E10)</f>
        <v>0.0231</v>
      </c>
      <c r="G10" s="22" t="n">
        <f aca="false">IFERROR(VLOOKUP(A10,NOMENCLATOR!$A:$E,5,0),"")</f>
        <v>0.033</v>
      </c>
      <c r="H10" s="22" t="n">
        <f aca="false">IF(OR(C10="",G10=""),"",C10*G10)</f>
        <v>0.0231</v>
      </c>
    </row>
    <row r="11" customFormat="false" ht="15" hidden="false" customHeight="true" outlineLevel="0" collapsed="false">
      <c r="A11" s="17" t="s">
        <v>310</v>
      </c>
      <c r="B11" s="18" t="str">
        <f aca="false">IFERROR(VLOOKUP(A11,NOMENCLATOR!$A:$E,2,0),"")</f>
        <v>Y-Castraveti felii in saramura</v>
      </c>
      <c r="C11" s="19" t="n">
        <v>2.8</v>
      </c>
      <c r="D11" s="20" t="str">
        <f aca="false">IFERROR(VLOOKUP(A11,NOMENCLATOR!$A:$E,3,0),"")</f>
        <v>GM</v>
      </c>
      <c r="E11" s="21" t="n">
        <f aca="false">IFERROR(VLOOKUP(A11,NOMENCLATOR!$A:$E,4,0),"")</f>
        <v>0.01554</v>
      </c>
      <c r="F11" s="21" t="n">
        <f aca="false">IF(OR(C11="",E11=""),"",C11*E11)</f>
        <v>0.043512</v>
      </c>
      <c r="G11" s="22" t="n">
        <f aca="false">IFERROR(VLOOKUP(A11,NOMENCLATOR!$A:$E,5,0),"")</f>
        <v>0.01554</v>
      </c>
      <c r="H11" s="22" t="n">
        <f aca="false">IF(OR(C11="",G11=""),"",C11*G11)</f>
        <v>0.043512</v>
      </c>
    </row>
    <row r="12" customFormat="false" ht="15" hidden="false" customHeight="true" outlineLevel="0" collapsed="false">
      <c r="A12" s="17" t="s">
        <v>304</v>
      </c>
      <c r="B12" s="18" t="str">
        <f aca="false">IFERROR(VLOOKUP(A12,NOMENCLATOR!$A:$E,2,0),"")</f>
        <v>Y - Ceapa Cuburi</v>
      </c>
      <c r="C12" s="19" t="n">
        <v>5</v>
      </c>
      <c r="D12" s="20" t="str">
        <f aca="false">IFERROR(VLOOKUP(A12,NOMENCLATOR!$A:$E,3,0),"")</f>
        <v>GM</v>
      </c>
      <c r="E12" s="21" t="n">
        <f aca="false">IFERROR(VLOOKUP(A12,NOMENCLATOR!$A:$E,4,0),"")</f>
        <v>0.007</v>
      </c>
      <c r="F12" s="21" t="n">
        <f aca="false">IF(OR(C12="",E12=""),"",C12*E12)</f>
        <v>0.035</v>
      </c>
      <c r="G12" s="22" t="n">
        <f aca="false">IFERROR(VLOOKUP(A12,NOMENCLATOR!$A:$E,5,0),"")</f>
        <v>0.007</v>
      </c>
      <c r="H12" s="22" t="n">
        <f aca="false">IF(OR(C12="",G12=""),"",C12*G12)</f>
        <v>0.035</v>
      </c>
    </row>
    <row r="13" customFormat="false" ht="15" hidden="false" customHeight="true" outlineLevel="0" collapsed="false">
      <c r="A13" s="23" t="str">
        <f aca="false">IF(A4="","",A4)</f>
        <v>Single HAMBURGER</v>
      </c>
      <c r="B13" s="24"/>
      <c r="C13" s="24"/>
      <c r="D13" s="24"/>
      <c r="E13" s="24"/>
      <c r="F13" s="25" t="n">
        <f aca="false">IF(A4="","",SUM(F6:F12))</f>
        <v>5.765942</v>
      </c>
      <c r="G13" s="24"/>
      <c r="H13" s="26" t="n">
        <f aca="false">IF(A4="","",SUM(H6:H12))</f>
        <v>6.183612</v>
      </c>
    </row>
    <row r="15" customFormat="false" ht="15" hidden="false" customHeight="true" outlineLevel="0" collapsed="false">
      <c r="A15" s="12" t="s">
        <v>323</v>
      </c>
      <c r="B15" s="13"/>
      <c r="C15" s="13"/>
      <c r="D15" s="13"/>
      <c r="E15" s="13"/>
      <c r="F15" s="14" t="s">
        <v>315</v>
      </c>
      <c r="G15" s="13"/>
      <c r="H15" s="15"/>
    </row>
    <row r="16" customFormat="false" ht="15" hidden="false" customHeight="true" outlineLevel="0" collapsed="false">
      <c r="A16" s="16" t="s">
        <v>316</v>
      </c>
      <c r="B16" s="16" t="s">
        <v>317</v>
      </c>
      <c r="C16" s="16" t="s">
        <v>318</v>
      </c>
      <c r="D16" s="16" t="s">
        <v>4</v>
      </c>
      <c r="E16" s="16" t="s">
        <v>319</v>
      </c>
      <c r="F16" s="16" t="s">
        <v>320</v>
      </c>
      <c r="G16" s="16" t="s">
        <v>321</v>
      </c>
      <c r="H16" s="16" t="s">
        <v>322</v>
      </c>
    </row>
    <row r="17" customFormat="false" ht="15" hidden="false" customHeight="true" outlineLevel="0" collapsed="false">
      <c r="A17" s="17" t="s">
        <v>98</v>
      </c>
      <c r="B17" s="18" t="str">
        <f aca="false">IFERROR(VLOOKUP(A17,NOMENCLATOR!$A:$E,2,0),"")</f>
        <v>CHIFLA CARTOF 3.5inch 53G x 72</v>
      </c>
      <c r="C17" s="19" t="n">
        <v>1</v>
      </c>
      <c r="D17" s="20" t="str">
        <f aca="false">IFERROR(VLOOKUP(A17,NOMENCLATOR!$A:$E,3,0),"")</f>
        <v>EA</v>
      </c>
      <c r="E17" s="21" t="n">
        <f aca="false">IFERROR(VLOOKUP(A17,NOMENCLATOR!$A:$E,4,0),"")</f>
        <v>2.4</v>
      </c>
      <c r="F17" s="21" t="n">
        <f aca="false">IF(OR(C17="",E17=""),"",C17*E17)</f>
        <v>2.4</v>
      </c>
      <c r="G17" s="22" t="n">
        <f aca="false">IFERROR(VLOOKUP(A17,NOMENCLATOR!$A:$E,5,0),"")</f>
        <v>2.4</v>
      </c>
      <c r="H17" s="22" t="n">
        <f aca="false">IF(OR(C17="",G17=""),"",C17*G17)</f>
        <v>2.4</v>
      </c>
    </row>
    <row r="18" customFormat="false" ht="15" hidden="false" customHeight="true" outlineLevel="0" collapsed="false">
      <c r="A18" s="17" t="s">
        <v>236</v>
      </c>
      <c r="B18" s="18" t="str">
        <f aca="false">IFERROR(VLOOKUP(A18,NOMENCLATOR!$A:$E,2,0),"")</f>
        <v>PREP - smashed koliber 60G</v>
      </c>
      <c r="C18" s="19" t="n">
        <v>1</v>
      </c>
      <c r="D18" s="20" t="str">
        <f aca="false">IFERROR(VLOOKUP(A18,NOMENCLATOR!$A:$E,3,0),"")</f>
        <v>EA</v>
      </c>
      <c r="E18" s="21" t="n">
        <f aca="false">IFERROR(VLOOKUP(A18,NOMENCLATOR!$A:$E,4,0),"")</f>
        <v>2.93233</v>
      </c>
      <c r="F18" s="21" t="n">
        <f aca="false">IF(OR(C18="",E18=""),"",C18*E18)</f>
        <v>2.93233</v>
      </c>
      <c r="G18" s="22" t="n">
        <f aca="false">IFERROR(VLOOKUP(A18,NOMENCLATOR!$A:$E,5,0),"")</f>
        <v>3.35</v>
      </c>
      <c r="H18" s="22" t="n">
        <f aca="false">IF(OR(C18="",G18=""),"",C18*G18)</f>
        <v>3.35</v>
      </c>
    </row>
    <row r="19" customFormat="false" ht="15" hidden="false" customHeight="true" outlineLevel="0" collapsed="false">
      <c r="A19" s="17" t="s">
        <v>138</v>
      </c>
      <c r="B19" s="18" t="str">
        <f aca="false">IFERROR(VLOOKUP(A19,NOMENCLATOR!$A:$E,2,0),"")</f>
        <v>Hartie Little Hamburgers</v>
      </c>
      <c r="C19" s="19" t="n">
        <v>1</v>
      </c>
      <c r="D19" s="20" t="str">
        <f aca="false">IFERROR(VLOOKUP(A19,NOMENCLATOR!$A:$E,3,0),"")</f>
        <v>EA</v>
      </c>
      <c r="E19" s="21" t="n">
        <f aca="false">IFERROR(VLOOKUP(A19,NOMENCLATOR!$A:$E,4,0),"")</f>
        <v>0.111</v>
      </c>
      <c r="F19" s="21" t="n">
        <f aca="false">IF(OR(C19="",E19=""),"",C19*E19)</f>
        <v>0.111</v>
      </c>
      <c r="G19" s="22" t="n">
        <f aca="false">IFERROR(VLOOKUP(A19,NOMENCLATOR!$A:$E,5,0),"")</f>
        <v>0.111</v>
      </c>
      <c r="H19" s="22" t="n">
        <f aca="false">IF(OR(C19="",G19=""),"",C19*G19)</f>
        <v>0.111</v>
      </c>
    </row>
    <row r="20" customFormat="false" ht="15" hidden="false" customHeight="true" outlineLevel="0" collapsed="false">
      <c r="A20" s="17" t="s">
        <v>156</v>
      </c>
      <c r="B20" s="18" t="str">
        <f aca="false">IFERROR(VLOOKUP(A20,NOMENCLATOR!$A:$E,2,0),"")</f>
        <v>Ketchup Jerrycan Heinz 10.2L</v>
      </c>
      <c r="C20" s="19" t="n">
        <v>10</v>
      </c>
      <c r="D20" s="20" t="str">
        <f aca="false">IFERROR(VLOOKUP(A20,NOMENCLATOR!$A:$E,3,0),"")</f>
        <v>ML</v>
      </c>
      <c r="E20" s="21" t="n">
        <f aca="false">IFERROR(VLOOKUP(A20,NOMENCLATOR!$A:$E,4,0),"")</f>
        <v>0.0221</v>
      </c>
      <c r="F20" s="21" t="n">
        <f aca="false">IF(OR(C20="",E20=""),"",C20*E20)</f>
        <v>0.221</v>
      </c>
      <c r="G20" s="22" t="n">
        <f aca="false">IFERROR(VLOOKUP(A20,NOMENCLATOR!$A:$E,5,0),"")</f>
        <v>0.0221</v>
      </c>
      <c r="H20" s="22" t="n">
        <f aca="false">IF(OR(C20="",G20=""),"",C20*G20)</f>
        <v>0.221</v>
      </c>
    </row>
    <row r="21" customFormat="false" ht="15" hidden="false" customHeight="true" outlineLevel="0" collapsed="false">
      <c r="A21" s="17" t="s">
        <v>174</v>
      </c>
      <c r="B21" s="18" t="str">
        <f aca="false">IFERROR(VLOOKUP(A21,NOMENCLATOR!$A:$E,2,0),"")</f>
        <v>Mustar Heinz 875ml</v>
      </c>
      <c r="C21" s="19" t="n">
        <v>0.7</v>
      </c>
      <c r="D21" s="20" t="str">
        <f aca="false">IFERROR(VLOOKUP(A21,NOMENCLATOR!$A:$E,3,0),"")</f>
        <v>ML</v>
      </c>
      <c r="E21" s="21" t="n">
        <f aca="false">IFERROR(VLOOKUP(A21,NOMENCLATOR!$A:$E,4,0),"")</f>
        <v>0.033</v>
      </c>
      <c r="F21" s="21" t="n">
        <f aca="false">IF(OR(C21="",E21=""),"",C21*E21)</f>
        <v>0.0231</v>
      </c>
      <c r="G21" s="22" t="n">
        <f aca="false">IFERROR(VLOOKUP(A21,NOMENCLATOR!$A:$E,5,0),"")</f>
        <v>0.033</v>
      </c>
      <c r="H21" s="22" t="n">
        <f aca="false">IF(OR(C21="",G21=""),"",C21*G21)</f>
        <v>0.0231</v>
      </c>
    </row>
    <row r="22" customFormat="false" ht="15" hidden="false" customHeight="true" outlineLevel="0" collapsed="false">
      <c r="A22" s="17" t="s">
        <v>310</v>
      </c>
      <c r="B22" s="18" t="str">
        <f aca="false">IFERROR(VLOOKUP(A22,NOMENCLATOR!$A:$E,2,0),"")</f>
        <v>Y-Castraveti felii in saramura</v>
      </c>
      <c r="C22" s="19" t="n">
        <v>2.8</v>
      </c>
      <c r="D22" s="20" t="str">
        <f aca="false">IFERROR(VLOOKUP(A22,NOMENCLATOR!$A:$E,3,0),"")</f>
        <v>GM</v>
      </c>
      <c r="E22" s="21" t="n">
        <f aca="false">IFERROR(VLOOKUP(A22,NOMENCLATOR!$A:$E,4,0),"")</f>
        <v>0.01554</v>
      </c>
      <c r="F22" s="21" t="n">
        <f aca="false">IF(OR(C22="",E22=""),"",C22*E22)</f>
        <v>0.043512</v>
      </c>
      <c r="G22" s="22" t="n">
        <f aca="false">IFERROR(VLOOKUP(A22,NOMENCLATOR!$A:$E,5,0),"")</f>
        <v>0.01554</v>
      </c>
      <c r="H22" s="22" t="n">
        <f aca="false">IF(OR(C22="",G22=""),"",C22*G22)</f>
        <v>0.043512</v>
      </c>
    </row>
    <row r="23" customFormat="false" ht="15" hidden="false" customHeight="true" outlineLevel="0" collapsed="false">
      <c r="A23" s="17" t="s">
        <v>304</v>
      </c>
      <c r="B23" s="18" t="str">
        <f aca="false">IFERROR(VLOOKUP(A23,NOMENCLATOR!$A:$E,2,0),"")</f>
        <v>Y - Ceapa Cuburi</v>
      </c>
      <c r="C23" s="19" t="n">
        <v>5</v>
      </c>
      <c r="D23" s="20" t="str">
        <f aca="false">IFERROR(VLOOKUP(A23,NOMENCLATOR!$A:$E,3,0),"")</f>
        <v>GM</v>
      </c>
      <c r="E23" s="21" t="n">
        <f aca="false">IFERROR(VLOOKUP(A23,NOMENCLATOR!$A:$E,4,0),"")</f>
        <v>0.007</v>
      </c>
      <c r="F23" s="21" t="n">
        <f aca="false">IF(OR(C23="",E23=""),"",C23*E23)</f>
        <v>0.035</v>
      </c>
      <c r="G23" s="22" t="n">
        <f aca="false">IFERROR(VLOOKUP(A23,NOMENCLATOR!$A:$E,5,0),"")</f>
        <v>0.007</v>
      </c>
      <c r="H23" s="22" t="n">
        <f aca="false">IF(OR(C23="",G23=""),"",C23*G23)</f>
        <v>0.035</v>
      </c>
    </row>
    <row r="24" customFormat="false" ht="15" hidden="false" customHeight="true" outlineLevel="0" collapsed="false">
      <c r="A24" s="23" t="str">
        <f aca="false">IF(A15="","",A15)</f>
        <v>Single HAMBURGER D</v>
      </c>
      <c r="B24" s="24"/>
      <c r="C24" s="24"/>
      <c r="D24" s="24"/>
      <c r="E24" s="24"/>
      <c r="F24" s="25" t="n">
        <f aca="false">IF(A15="","",SUM(F17:F23))</f>
        <v>5.765942</v>
      </c>
      <c r="G24" s="24"/>
      <c r="H24" s="26" t="n">
        <f aca="false">IF(A15="","",SUM(H17:H23))</f>
        <v>6.183612</v>
      </c>
    </row>
    <row r="26" customFormat="false" ht="15" hidden="false" customHeight="true" outlineLevel="0" collapsed="false">
      <c r="A26" s="12" t="s">
        <v>324</v>
      </c>
      <c r="B26" s="13"/>
      <c r="C26" s="13"/>
      <c r="D26" s="13"/>
      <c r="E26" s="13"/>
      <c r="F26" s="14" t="s">
        <v>315</v>
      </c>
      <c r="G26" s="13"/>
      <c r="H26" s="15"/>
    </row>
    <row r="27" customFormat="false" ht="15" hidden="false" customHeight="true" outlineLevel="0" collapsed="false">
      <c r="A27" s="16" t="s">
        <v>316</v>
      </c>
      <c r="B27" s="16" t="s">
        <v>317</v>
      </c>
      <c r="C27" s="16" t="s">
        <v>318</v>
      </c>
      <c r="D27" s="16" t="s">
        <v>4</v>
      </c>
      <c r="E27" s="16" t="s">
        <v>319</v>
      </c>
      <c r="F27" s="16" t="s">
        <v>320</v>
      </c>
      <c r="G27" s="16" t="s">
        <v>321</v>
      </c>
      <c r="H27" s="16" t="s">
        <v>322</v>
      </c>
    </row>
    <row r="28" customFormat="false" ht="15" hidden="false" customHeight="true" outlineLevel="0" collapsed="false">
      <c r="A28" s="17" t="s">
        <v>98</v>
      </c>
      <c r="B28" s="18" t="str">
        <f aca="false">IFERROR(VLOOKUP(A28,NOMENCLATOR!$A:$E,2,0),"")</f>
        <v>CHIFLA CARTOF 3.5inch 53G x 72</v>
      </c>
      <c r="C28" s="19" t="n">
        <v>1</v>
      </c>
      <c r="D28" s="20" t="str">
        <f aca="false">IFERROR(VLOOKUP(A28,NOMENCLATOR!$A:$E,3,0),"")</f>
        <v>EA</v>
      </c>
      <c r="E28" s="21" t="n">
        <f aca="false">IFERROR(VLOOKUP(A28,NOMENCLATOR!$A:$E,4,0),"")</f>
        <v>2.4</v>
      </c>
      <c r="F28" s="21" t="n">
        <f aca="false">IF(OR(C28="",E28=""),"",C28*E28)</f>
        <v>2.4</v>
      </c>
      <c r="G28" s="22" t="n">
        <f aca="false">IFERROR(VLOOKUP(A28,NOMENCLATOR!$A:$E,5,0),"")</f>
        <v>2.4</v>
      </c>
      <c r="H28" s="22" t="n">
        <f aca="false">IF(OR(C28="",G28=""),"",C28*G28)</f>
        <v>2.4</v>
      </c>
    </row>
    <row r="29" customFormat="false" ht="15" hidden="false" customHeight="true" outlineLevel="0" collapsed="false">
      <c r="A29" s="17" t="s">
        <v>236</v>
      </c>
      <c r="B29" s="18" t="str">
        <f aca="false">IFERROR(VLOOKUP(A29,NOMENCLATOR!$A:$E,2,0),"")</f>
        <v>PREP - smashed koliber 60G</v>
      </c>
      <c r="C29" s="19" t="n">
        <v>2</v>
      </c>
      <c r="D29" s="20" t="str">
        <f aca="false">IFERROR(VLOOKUP(A29,NOMENCLATOR!$A:$E,3,0),"")</f>
        <v>EA</v>
      </c>
      <c r="E29" s="21" t="n">
        <f aca="false">IFERROR(VLOOKUP(A29,NOMENCLATOR!$A:$E,4,0),"")</f>
        <v>2.93233</v>
      </c>
      <c r="F29" s="21" t="n">
        <f aca="false">IF(OR(C29="",E29=""),"",C29*E29)</f>
        <v>5.86466</v>
      </c>
      <c r="G29" s="22" t="n">
        <f aca="false">IFERROR(VLOOKUP(A29,NOMENCLATOR!$A:$E,5,0),"")</f>
        <v>3.35</v>
      </c>
      <c r="H29" s="22" t="n">
        <f aca="false">IF(OR(C29="",G29=""),"",C29*G29)</f>
        <v>6.7</v>
      </c>
    </row>
    <row r="30" customFormat="false" ht="15" hidden="false" customHeight="true" outlineLevel="0" collapsed="false">
      <c r="A30" s="17" t="s">
        <v>132</v>
      </c>
      <c r="B30" s="18" t="str">
        <f aca="false">IFERROR(VLOOKUP(A30,NOMENCLATOR!$A:$E,2,0),"")</f>
        <v>HARTIE BURGER Doubles 12x12 AA13</v>
      </c>
      <c r="C30" s="19" t="n">
        <v>1</v>
      </c>
      <c r="D30" s="20" t="str">
        <f aca="false">IFERROR(VLOOKUP(A30,NOMENCLATOR!$A:$E,3,0),"")</f>
        <v>EA</v>
      </c>
      <c r="E30" s="21" t="n">
        <f aca="false">IFERROR(VLOOKUP(A30,NOMENCLATOR!$A:$E,4,0),"")</f>
        <v>0.111</v>
      </c>
      <c r="F30" s="21" t="n">
        <f aca="false">IF(OR(C30="",E30=""),"",C30*E30)</f>
        <v>0.111</v>
      </c>
      <c r="G30" s="22" t="n">
        <f aca="false">IFERROR(VLOOKUP(A30,NOMENCLATOR!$A:$E,5,0),"")</f>
        <v>0.111</v>
      </c>
      <c r="H30" s="22" t="n">
        <f aca="false">IF(OR(C30="",G30=""),"",C30*G30)</f>
        <v>0.111</v>
      </c>
    </row>
    <row r="31" customFormat="false" ht="15" hidden="false" customHeight="true" outlineLevel="0" collapsed="false">
      <c r="A31" s="17" t="s">
        <v>156</v>
      </c>
      <c r="B31" s="18" t="str">
        <f aca="false">IFERROR(VLOOKUP(A31,NOMENCLATOR!$A:$E,2,0),"")</f>
        <v>Ketchup Jerrycan Heinz 10.2L</v>
      </c>
      <c r="C31" s="19" t="n">
        <v>10</v>
      </c>
      <c r="D31" s="20" t="str">
        <f aca="false">IFERROR(VLOOKUP(A31,NOMENCLATOR!$A:$E,3,0),"")</f>
        <v>ML</v>
      </c>
      <c r="E31" s="21" t="n">
        <f aca="false">IFERROR(VLOOKUP(A31,NOMENCLATOR!$A:$E,4,0),"")</f>
        <v>0.0221</v>
      </c>
      <c r="F31" s="21" t="n">
        <f aca="false">IF(OR(C31="",E31=""),"",C31*E31)</f>
        <v>0.221</v>
      </c>
      <c r="G31" s="22" t="n">
        <f aca="false">IFERROR(VLOOKUP(A31,NOMENCLATOR!$A:$E,5,0),"")</f>
        <v>0.0221</v>
      </c>
      <c r="H31" s="22" t="n">
        <f aca="false">IF(OR(C31="",G31=""),"",C31*G31)</f>
        <v>0.221</v>
      </c>
    </row>
    <row r="32" customFormat="false" ht="15" hidden="false" customHeight="true" outlineLevel="0" collapsed="false">
      <c r="A32" s="17" t="s">
        <v>174</v>
      </c>
      <c r="B32" s="18" t="str">
        <f aca="false">IFERROR(VLOOKUP(A32,NOMENCLATOR!$A:$E,2,0),"")</f>
        <v>Mustar Heinz 875ml</v>
      </c>
      <c r="C32" s="19" t="n">
        <v>1.4</v>
      </c>
      <c r="D32" s="20" t="str">
        <f aca="false">IFERROR(VLOOKUP(A32,NOMENCLATOR!$A:$E,3,0),"")</f>
        <v>ML</v>
      </c>
      <c r="E32" s="21" t="n">
        <f aca="false">IFERROR(VLOOKUP(A32,NOMENCLATOR!$A:$E,4,0),"")</f>
        <v>0.033</v>
      </c>
      <c r="F32" s="21" t="n">
        <f aca="false">IF(OR(C32="",E32=""),"",C32*E32)</f>
        <v>0.0462</v>
      </c>
      <c r="G32" s="22" t="n">
        <f aca="false">IFERROR(VLOOKUP(A32,NOMENCLATOR!$A:$E,5,0),"")</f>
        <v>0.033</v>
      </c>
      <c r="H32" s="22" t="n">
        <f aca="false">IF(OR(C32="",G32=""),"",C32*G32)</f>
        <v>0.0462</v>
      </c>
    </row>
    <row r="33" customFormat="false" ht="15" hidden="false" customHeight="true" outlineLevel="0" collapsed="false">
      <c r="A33" s="17" t="s">
        <v>304</v>
      </c>
      <c r="B33" s="18" t="str">
        <f aca="false">IFERROR(VLOOKUP(A33,NOMENCLATOR!$A:$E,2,0),"")</f>
        <v>Y - Ceapa Cuburi</v>
      </c>
      <c r="C33" s="19" t="n">
        <v>10</v>
      </c>
      <c r="D33" s="20" t="str">
        <f aca="false">IFERROR(VLOOKUP(A33,NOMENCLATOR!$A:$E,3,0),"")</f>
        <v>GM</v>
      </c>
      <c r="E33" s="21" t="n">
        <f aca="false">IFERROR(VLOOKUP(A33,NOMENCLATOR!$A:$E,4,0),"")</f>
        <v>0.007</v>
      </c>
      <c r="F33" s="21" t="n">
        <f aca="false">IF(OR(C33="",E33=""),"",C33*E33)</f>
        <v>0.07</v>
      </c>
      <c r="G33" s="22" t="n">
        <f aca="false">IFERROR(VLOOKUP(A33,NOMENCLATOR!$A:$E,5,0),"")</f>
        <v>0.007</v>
      </c>
      <c r="H33" s="22" t="n">
        <f aca="false">IF(OR(C33="",G33=""),"",C33*G33)</f>
        <v>0.07</v>
      </c>
    </row>
    <row r="34" customFormat="false" ht="15" hidden="false" customHeight="true" outlineLevel="0" collapsed="false">
      <c r="A34" s="17" t="s">
        <v>310</v>
      </c>
      <c r="B34" s="18" t="str">
        <f aca="false">IFERROR(VLOOKUP(A34,NOMENCLATOR!$A:$E,2,0),"")</f>
        <v>Y-Castraveti felii in saramura</v>
      </c>
      <c r="C34" s="19" t="n">
        <v>5.6</v>
      </c>
      <c r="D34" s="20" t="str">
        <f aca="false">IFERROR(VLOOKUP(A34,NOMENCLATOR!$A:$E,3,0),"")</f>
        <v>GM</v>
      </c>
      <c r="E34" s="21" t="n">
        <f aca="false">IFERROR(VLOOKUP(A34,NOMENCLATOR!$A:$E,4,0),"")</f>
        <v>0.01554</v>
      </c>
      <c r="F34" s="21" t="n">
        <f aca="false">IF(OR(C34="",E34=""),"",C34*E34)</f>
        <v>0.087024</v>
      </c>
      <c r="G34" s="22" t="n">
        <f aca="false">IFERROR(VLOOKUP(A34,NOMENCLATOR!$A:$E,5,0),"")</f>
        <v>0.01554</v>
      </c>
      <c r="H34" s="22" t="n">
        <f aca="false">IF(OR(C34="",G34=""),"",C34*G34)</f>
        <v>0.087024</v>
      </c>
    </row>
    <row r="35" customFormat="false" ht="15" hidden="false" customHeight="true" outlineLevel="0" collapsed="false">
      <c r="A35" s="23" t="str">
        <f aca="false">IF(A26="","",A26)</f>
        <v>DUBLU HAMBURGER new</v>
      </c>
      <c r="B35" s="24"/>
      <c r="C35" s="24"/>
      <c r="D35" s="24"/>
      <c r="E35" s="24"/>
      <c r="F35" s="25" t="n">
        <f aca="false">IF(A26="","",SUM(F28:F34))</f>
        <v>8.799884</v>
      </c>
      <c r="G35" s="24"/>
      <c r="H35" s="26" t="n">
        <f aca="false">IF(A26="","",SUM(H28:H34))</f>
        <v>9.635224</v>
      </c>
    </row>
    <row r="37" customFormat="false" ht="15" hidden="false" customHeight="true" outlineLevel="0" collapsed="false">
      <c r="A37" s="12" t="s">
        <v>325</v>
      </c>
      <c r="B37" s="13"/>
      <c r="C37" s="13"/>
      <c r="D37" s="13"/>
      <c r="E37" s="13"/>
      <c r="F37" s="14" t="s">
        <v>315</v>
      </c>
      <c r="G37" s="13"/>
      <c r="H37" s="15"/>
    </row>
    <row r="38" customFormat="false" ht="15" hidden="false" customHeight="true" outlineLevel="0" collapsed="false">
      <c r="A38" s="16" t="s">
        <v>316</v>
      </c>
      <c r="B38" s="16" t="s">
        <v>317</v>
      </c>
      <c r="C38" s="16" t="s">
        <v>318</v>
      </c>
      <c r="D38" s="16" t="s">
        <v>4</v>
      </c>
      <c r="E38" s="16" t="s">
        <v>319</v>
      </c>
      <c r="F38" s="16" t="s">
        <v>320</v>
      </c>
      <c r="G38" s="16" t="s">
        <v>321</v>
      </c>
      <c r="H38" s="16" t="s">
        <v>322</v>
      </c>
    </row>
    <row r="39" customFormat="false" ht="15" hidden="false" customHeight="true" outlineLevel="0" collapsed="false">
      <c r="A39" s="17" t="s">
        <v>98</v>
      </c>
      <c r="B39" s="18" t="str">
        <f aca="false">IFERROR(VLOOKUP(A39,NOMENCLATOR!$A:$E,2,0),"")</f>
        <v>CHIFLA CARTOF 3.5inch 53G x 72</v>
      </c>
      <c r="C39" s="19" t="n">
        <v>1</v>
      </c>
      <c r="D39" s="20" t="str">
        <f aca="false">IFERROR(VLOOKUP(A39,NOMENCLATOR!$A:$E,3,0),"")</f>
        <v>EA</v>
      </c>
      <c r="E39" s="21" t="n">
        <f aca="false">IFERROR(VLOOKUP(A39,NOMENCLATOR!$A:$E,4,0),"")</f>
        <v>2.4</v>
      </c>
      <c r="F39" s="21" t="n">
        <f aca="false">IF(OR(C39="",E39=""),"",C39*E39)</f>
        <v>2.4</v>
      </c>
      <c r="G39" s="22" t="n">
        <f aca="false">IFERROR(VLOOKUP(A39,NOMENCLATOR!$A:$E,5,0),"")</f>
        <v>2.4</v>
      </c>
      <c r="H39" s="22" t="n">
        <f aca="false">IF(OR(C39="",G39=""),"",C39*G39)</f>
        <v>2.4</v>
      </c>
    </row>
    <row r="40" customFormat="false" ht="15" hidden="false" customHeight="true" outlineLevel="0" collapsed="false">
      <c r="A40" s="17" t="s">
        <v>236</v>
      </c>
      <c r="B40" s="18" t="str">
        <f aca="false">IFERROR(VLOOKUP(A40,NOMENCLATOR!$A:$E,2,0),"")</f>
        <v>PREP - smashed koliber 60G</v>
      </c>
      <c r="C40" s="19" t="n">
        <v>2</v>
      </c>
      <c r="D40" s="20" t="str">
        <f aca="false">IFERROR(VLOOKUP(A40,NOMENCLATOR!$A:$E,3,0),"")</f>
        <v>EA</v>
      </c>
      <c r="E40" s="21" t="n">
        <f aca="false">IFERROR(VLOOKUP(A40,NOMENCLATOR!$A:$E,4,0),"")</f>
        <v>2.93233</v>
      </c>
      <c r="F40" s="21" t="n">
        <f aca="false">IF(OR(C40="",E40=""),"",C40*E40)</f>
        <v>5.86466</v>
      </c>
      <c r="G40" s="22" t="n">
        <f aca="false">IFERROR(VLOOKUP(A40,NOMENCLATOR!$A:$E,5,0),"")</f>
        <v>3.35</v>
      </c>
      <c r="H40" s="22" t="n">
        <f aca="false">IF(OR(C40="",G40=""),"",C40*G40)</f>
        <v>6.7</v>
      </c>
    </row>
    <row r="41" customFormat="false" ht="15" hidden="false" customHeight="true" outlineLevel="0" collapsed="false">
      <c r="A41" s="17" t="s">
        <v>132</v>
      </c>
      <c r="B41" s="18" t="str">
        <f aca="false">IFERROR(VLOOKUP(A41,NOMENCLATOR!$A:$E,2,0),"")</f>
        <v>HARTIE BURGER Doubles 12x12 AA13</v>
      </c>
      <c r="C41" s="19" t="n">
        <v>1</v>
      </c>
      <c r="D41" s="20" t="str">
        <f aca="false">IFERROR(VLOOKUP(A41,NOMENCLATOR!$A:$E,3,0),"")</f>
        <v>EA</v>
      </c>
      <c r="E41" s="21" t="n">
        <f aca="false">IFERROR(VLOOKUP(A41,NOMENCLATOR!$A:$E,4,0),"")</f>
        <v>0.111</v>
      </c>
      <c r="F41" s="21" t="n">
        <f aca="false">IF(OR(C41="",E41=""),"",C41*E41)</f>
        <v>0.111</v>
      </c>
      <c r="G41" s="22" t="n">
        <f aca="false">IFERROR(VLOOKUP(A41,NOMENCLATOR!$A:$E,5,0),"")</f>
        <v>0.111</v>
      </c>
      <c r="H41" s="22" t="n">
        <f aca="false">IF(OR(C41="",G41=""),"",C41*G41)</f>
        <v>0.111</v>
      </c>
    </row>
    <row r="42" customFormat="false" ht="15" hidden="false" customHeight="true" outlineLevel="0" collapsed="false">
      <c r="A42" s="17" t="s">
        <v>156</v>
      </c>
      <c r="B42" s="18" t="str">
        <f aca="false">IFERROR(VLOOKUP(A42,NOMENCLATOR!$A:$E,2,0),"")</f>
        <v>Ketchup Jerrycan Heinz 10.2L</v>
      </c>
      <c r="C42" s="19" t="n">
        <v>10</v>
      </c>
      <c r="D42" s="20" t="str">
        <f aca="false">IFERROR(VLOOKUP(A42,NOMENCLATOR!$A:$E,3,0),"")</f>
        <v>ML</v>
      </c>
      <c r="E42" s="21" t="n">
        <f aca="false">IFERROR(VLOOKUP(A42,NOMENCLATOR!$A:$E,4,0),"")</f>
        <v>0.0221</v>
      </c>
      <c r="F42" s="21" t="n">
        <f aca="false">IF(OR(C42="",E42=""),"",C42*E42)</f>
        <v>0.221</v>
      </c>
      <c r="G42" s="22" t="n">
        <f aca="false">IFERROR(VLOOKUP(A42,NOMENCLATOR!$A:$E,5,0),"")</f>
        <v>0.0221</v>
      </c>
      <c r="H42" s="22" t="n">
        <f aca="false">IF(OR(C42="",G42=""),"",C42*G42)</f>
        <v>0.221</v>
      </c>
    </row>
    <row r="43" customFormat="false" ht="15" hidden="false" customHeight="true" outlineLevel="0" collapsed="false">
      <c r="A43" s="17" t="s">
        <v>174</v>
      </c>
      <c r="B43" s="18" t="str">
        <f aca="false">IFERROR(VLOOKUP(A43,NOMENCLATOR!$A:$E,2,0),"")</f>
        <v>Mustar Heinz 875ml</v>
      </c>
      <c r="C43" s="19" t="n">
        <v>1.4</v>
      </c>
      <c r="D43" s="20" t="str">
        <f aca="false">IFERROR(VLOOKUP(A43,NOMENCLATOR!$A:$E,3,0),"")</f>
        <v>ML</v>
      </c>
      <c r="E43" s="21" t="n">
        <f aca="false">IFERROR(VLOOKUP(A43,NOMENCLATOR!$A:$E,4,0),"")</f>
        <v>0.033</v>
      </c>
      <c r="F43" s="21" t="n">
        <f aca="false">IF(OR(C43="",E43=""),"",C43*E43)</f>
        <v>0.0462</v>
      </c>
      <c r="G43" s="22" t="n">
        <f aca="false">IFERROR(VLOOKUP(A43,NOMENCLATOR!$A:$E,5,0),"")</f>
        <v>0.033</v>
      </c>
      <c r="H43" s="22" t="n">
        <f aca="false">IF(OR(C43="",G43=""),"",C43*G43)</f>
        <v>0.0462</v>
      </c>
    </row>
    <row r="44" customFormat="false" ht="15" hidden="false" customHeight="true" outlineLevel="0" collapsed="false">
      <c r="A44" s="17" t="s">
        <v>304</v>
      </c>
      <c r="B44" s="18" t="str">
        <f aca="false">IFERROR(VLOOKUP(A44,NOMENCLATOR!$A:$E,2,0),"")</f>
        <v>Y - Ceapa Cuburi</v>
      </c>
      <c r="C44" s="19" t="n">
        <v>10</v>
      </c>
      <c r="D44" s="20" t="str">
        <f aca="false">IFERROR(VLOOKUP(A44,NOMENCLATOR!$A:$E,3,0),"")</f>
        <v>GM</v>
      </c>
      <c r="E44" s="21" t="n">
        <f aca="false">IFERROR(VLOOKUP(A44,NOMENCLATOR!$A:$E,4,0),"")</f>
        <v>0.007</v>
      </c>
      <c r="F44" s="21" t="n">
        <f aca="false">IF(OR(C44="",E44=""),"",C44*E44)</f>
        <v>0.07</v>
      </c>
      <c r="G44" s="22" t="n">
        <f aca="false">IFERROR(VLOOKUP(A44,NOMENCLATOR!$A:$E,5,0),"")</f>
        <v>0.007</v>
      </c>
      <c r="H44" s="22" t="n">
        <f aca="false">IF(OR(C44="",G44=""),"",C44*G44)</f>
        <v>0.07</v>
      </c>
    </row>
    <row r="45" customFormat="false" ht="15" hidden="false" customHeight="true" outlineLevel="0" collapsed="false">
      <c r="A45" s="17" t="s">
        <v>310</v>
      </c>
      <c r="B45" s="18" t="str">
        <f aca="false">IFERROR(VLOOKUP(A45,NOMENCLATOR!$A:$E,2,0),"")</f>
        <v>Y-Castraveti felii in saramura</v>
      </c>
      <c r="C45" s="19" t="n">
        <v>5.6</v>
      </c>
      <c r="D45" s="20" t="str">
        <f aca="false">IFERROR(VLOOKUP(A45,NOMENCLATOR!$A:$E,3,0),"")</f>
        <v>GM</v>
      </c>
      <c r="E45" s="21" t="n">
        <f aca="false">IFERROR(VLOOKUP(A45,NOMENCLATOR!$A:$E,4,0),"")</f>
        <v>0.01554</v>
      </c>
      <c r="F45" s="21" t="n">
        <f aca="false">IF(OR(C45="",E45=""),"",C45*E45)</f>
        <v>0.087024</v>
      </c>
      <c r="G45" s="22" t="n">
        <f aca="false">IFERROR(VLOOKUP(A45,NOMENCLATOR!$A:$E,5,0),"")</f>
        <v>0.01554</v>
      </c>
      <c r="H45" s="22" t="n">
        <f aca="false">IF(OR(C45="",G45=""),"",C45*G45)</f>
        <v>0.087024</v>
      </c>
    </row>
    <row r="46" customFormat="false" ht="15" hidden="false" customHeight="true" outlineLevel="0" collapsed="false">
      <c r="A46" s="23" t="str">
        <f aca="false">IF(A37="","",A37)</f>
        <v>DUBLU HAMBURGER new D</v>
      </c>
      <c r="B46" s="24"/>
      <c r="C46" s="24"/>
      <c r="D46" s="24"/>
      <c r="E46" s="24"/>
      <c r="F46" s="25" t="n">
        <f aca="false">IF(A37="","",SUM(F39:F45))</f>
        <v>8.799884</v>
      </c>
      <c r="G46" s="24"/>
      <c r="H46" s="26" t="n">
        <f aca="false">IF(A37="","",SUM(H39:H45))</f>
        <v>9.635224</v>
      </c>
    </row>
    <row r="48" customFormat="false" ht="15" hidden="false" customHeight="true" outlineLevel="0" collapsed="false">
      <c r="A48" s="12" t="s">
        <v>326</v>
      </c>
      <c r="B48" s="13"/>
      <c r="C48" s="13"/>
      <c r="D48" s="13"/>
      <c r="E48" s="13"/>
      <c r="F48" s="14" t="s">
        <v>315</v>
      </c>
      <c r="G48" s="13"/>
      <c r="H48" s="15"/>
    </row>
    <row r="49" customFormat="false" ht="15" hidden="false" customHeight="true" outlineLevel="0" collapsed="false">
      <c r="A49" s="16" t="s">
        <v>316</v>
      </c>
      <c r="B49" s="16" t="s">
        <v>317</v>
      </c>
      <c r="C49" s="16" t="s">
        <v>318</v>
      </c>
      <c r="D49" s="16" t="s">
        <v>4</v>
      </c>
      <c r="E49" s="16" t="s">
        <v>319</v>
      </c>
      <c r="F49" s="16" t="s">
        <v>320</v>
      </c>
      <c r="G49" s="16" t="s">
        <v>321</v>
      </c>
      <c r="H49" s="16" t="s">
        <v>322</v>
      </c>
    </row>
    <row r="50" customFormat="false" ht="15" hidden="false" customHeight="true" outlineLevel="0" collapsed="false">
      <c r="A50" s="17" t="s">
        <v>98</v>
      </c>
      <c r="B50" s="18" t="str">
        <f aca="false">IFERROR(VLOOKUP(A50,NOMENCLATOR!$A:$E,2,0),"")</f>
        <v>CHIFLA CARTOF 3.5inch 53G x 72</v>
      </c>
      <c r="C50" s="19" t="n">
        <v>1</v>
      </c>
      <c r="D50" s="20" t="str">
        <f aca="false">IFERROR(VLOOKUP(A50,NOMENCLATOR!$A:$E,3,0),"")</f>
        <v>EA</v>
      </c>
      <c r="E50" s="21" t="n">
        <f aca="false">IFERROR(VLOOKUP(A50,NOMENCLATOR!$A:$E,4,0),"")</f>
        <v>2.4</v>
      </c>
      <c r="F50" s="21" t="n">
        <f aca="false">IF(OR(C50="",E50=""),"",C50*E50)</f>
        <v>2.4</v>
      </c>
      <c r="G50" s="22" t="n">
        <f aca="false">IFERROR(VLOOKUP(A50,NOMENCLATOR!$A:$E,5,0),"")</f>
        <v>2.4</v>
      </c>
      <c r="H50" s="22" t="n">
        <f aca="false">IF(OR(C50="",G50=""),"",C50*G50)</f>
        <v>2.4</v>
      </c>
    </row>
    <row r="51" customFormat="false" ht="15" hidden="false" customHeight="true" outlineLevel="0" collapsed="false">
      <c r="A51" s="17" t="s">
        <v>236</v>
      </c>
      <c r="B51" s="18" t="str">
        <f aca="false">IFERROR(VLOOKUP(A51,NOMENCLATOR!$A:$E,2,0),"")</f>
        <v>PREP - smashed koliber 60G</v>
      </c>
      <c r="C51" s="19" t="n">
        <v>1</v>
      </c>
      <c r="D51" s="20" t="str">
        <f aca="false">IFERROR(VLOOKUP(A51,NOMENCLATOR!$A:$E,3,0),"")</f>
        <v>EA</v>
      </c>
      <c r="E51" s="21" t="n">
        <f aca="false">IFERROR(VLOOKUP(A51,NOMENCLATOR!$A:$E,4,0),"")</f>
        <v>2.93233</v>
      </c>
      <c r="F51" s="21" t="n">
        <f aca="false">IF(OR(C51="",E51=""),"",C51*E51)</f>
        <v>2.93233</v>
      </c>
      <c r="G51" s="22" t="n">
        <f aca="false">IFERROR(VLOOKUP(A51,NOMENCLATOR!$A:$E,5,0),"")</f>
        <v>3.35</v>
      </c>
      <c r="H51" s="22" t="n">
        <f aca="false">IF(OR(C51="",G51=""),"",C51*G51)</f>
        <v>3.35</v>
      </c>
    </row>
    <row r="52" customFormat="false" ht="15" hidden="false" customHeight="true" outlineLevel="0" collapsed="false">
      <c r="A52" s="17" t="s">
        <v>68</v>
      </c>
      <c r="B52" s="18" t="str">
        <f aca="false">IFERROR(VLOOKUP(A52,NOMENCLATOR!$A:$E,2,0),"")</f>
        <v>Branza cheddar felii 2026</v>
      </c>
      <c r="C52" s="19" t="n">
        <v>1</v>
      </c>
      <c r="D52" s="20" t="str">
        <f aca="false">IFERROR(VLOOKUP(A52,NOMENCLATOR!$A:$E,3,0),"")</f>
        <v>EA</v>
      </c>
      <c r="E52" s="21" t="n">
        <f aca="false">IFERROR(VLOOKUP(A52,NOMENCLATOR!$A:$E,4,0),"")</f>
        <v>0.61567</v>
      </c>
      <c r="F52" s="21" t="n">
        <f aca="false">IF(OR(C52="",E52=""),"",C52*E52)</f>
        <v>0.61567</v>
      </c>
      <c r="G52" s="22" t="n">
        <f aca="false">IFERROR(VLOOKUP(A52,NOMENCLATOR!$A:$E,5,0),"")</f>
        <v>0.61567</v>
      </c>
      <c r="H52" s="22" t="n">
        <f aca="false">IF(OR(C52="",G52=""),"",C52*G52)</f>
        <v>0.61567</v>
      </c>
    </row>
    <row r="53" customFormat="false" ht="15" hidden="false" customHeight="true" outlineLevel="0" collapsed="false">
      <c r="A53" s="17" t="s">
        <v>138</v>
      </c>
      <c r="B53" s="18" t="str">
        <f aca="false">IFERROR(VLOOKUP(A53,NOMENCLATOR!$A:$E,2,0),"")</f>
        <v>Hartie Little Hamburgers</v>
      </c>
      <c r="C53" s="19" t="n">
        <v>1</v>
      </c>
      <c r="D53" s="20" t="str">
        <f aca="false">IFERROR(VLOOKUP(A53,NOMENCLATOR!$A:$E,3,0),"")</f>
        <v>EA</v>
      </c>
      <c r="E53" s="21" t="n">
        <f aca="false">IFERROR(VLOOKUP(A53,NOMENCLATOR!$A:$E,4,0),"")</f>
        <v>0.111</v>
      </c>
      <c r="F53" s="21" t="n">
        <f aca="false">IF(OR(C53="",E53=""),"",C53*E53)</f>
        <v>0.111</v>
      </c>
      <c r="G53" s="22" t="n">
        <f aca="false">IFERROR(VLOOKUP(A53,NOMENCLATOR!$A:$E,5,0),"")</f>
        <v>0.111</v>
      </c>
      <c r="H53" s="22" t="n">
        <f aca="false">IF(OR(C53="",G53=""),"",C53*G53)</f>
        <v>0.111</v>
      </c>
    </row>
    <row r="54" customFormat="false" ht="15" hidden="false" customHeight="true" outlineLevel="0" collapsed="false">
      <c r="A54" s="17" t="s">
        <v>156</v>
      </c>
      <c r="B54" s="18" t="str">
        <f aca="false">IFERROR(VLOOKUP(A54,NOMENCLATOR!$A:$E,2,0),"")</f>
        <v>Ketchup Jerrycan Heinz 10.2L</v>
      </c>
      <c r="C54" s="19" t="n">
        <v>10</v>
      </c>
      <c r="D54" s="20" t="str">
        <f aca="false">IFERROR(VLOOKUP(A54,NOMENCLATOR!$A:$E,3,0),"")</f>
        <v>ML</v>
      </c>
      <c r="E54" s="21" t="n">
        <f aca="false">IFERROR(VLOOKUP(A54,NOMENCLATOR!$A:$E,4,0),"")</f>
        <v>0.0221</v>
      </c>
      <c r="F54" s="21" t="n">
        <f aca="false">IF(OR(C54="",E54=""),"",C54*E54)</f>
        <v>0.221</v>
      </c>
      <c r="G54" s="22" t="n">
        <f aca="false">IFERROR(VLOOKUP(A54,NOMENCLATOR!$A:$E,5,0),"")</f>
        <v>0.0221</v>
      </c>
      <c r="H54" s="22" t="n">
        <f aca="false">IF(OR(C54="",G54=""),"",C54*G54)</f>
        <v>0.221</v>
      </c>
    </row>
    <row r="55" customFormat="false" ht="15" hidden="false" customHeight="true" outlineLevel="0" collapsed="false">
      <c r="A55" s="17" t="s">
        <v>174</v>
      </c>
      <c r="B55" s="18" t="str">
        <f aca="false">IFERROR(VLOOKUP(A55,NOMENCLATOR!$A:$E,2,0),"")</f>
        <v>Mustar Heinz 875ml</v>
      </c>
      <c r="C55" s="19" t="n">
        <v>0.7</v>
      </c>
      <c r="D55" s="20" t="str">
        <f aca="false">IFERROR(VLOOKUP(A55,NOMENCLATOR!$A:$E,3,0),"")</f>
        <v>ML</v>
      </c>
      <c r="E55" s="21" t="n">
        <f aca="false">IFERROR(VLOOKUP(A55,NOMENCLATOR!$A:$E,4,0),"")</f>
        <v>0.033</v>
      </c>
      <c r="F55" s="21" t="n">
        <f aca="false">IF(OR(C55="",E55=""),"",C55*E55)</f>
        <v>0.0231</v>
      </c>
      <c r="G55" s="22" t="n">
        <f aca="false">IFERROR(VLOOKUP(A55,NOMENCLATOR!$A:$E,5,0),"")</f>
        <v>0.033</v>
      </c>
      <c r="H55" s="22" t="n">
        <f aca="false">IF(OR(C55="",G55=""),"",C55*G55)</f>
        <v>0.0231</v>
      </c>
    </row>
    <row r="56" customFormat="false" ht="15" hidden="false" customHeight="true" outlineLevel="0" collapsed="false">
      <c r="A56" s="17" t="s">
        <v>304</v>
      </c>
      <c r="B56" s="18" t="str">
        <f aca="false">IFERROR(VLOOKUP(A56,NOMENCLATOR!$A:$E,2,0),"")</f>
        <v>Y - Ceapa Cuburi</v>
      </c>
      <c r="C56" s="19" t="n">
        <v>5</v>
      </c>
      <c r="D56" s="20" t="str">
        <f aca="false">IFERROR(VLOOKUP(A56,NOMENCLATOR!$A:$E,3,0),"")</f>
        <v>GM</v>
      </c>
      <c r="E56" s="21" t="n">
        <f aca="false">IFERROR(VLOOKUP(A56,NOMENCLATOR!$A:$E,4,0),"")</f>
        <v>0.007</v>
      </c>
      <c r="F56" s="21" t="n">
        <f aca="false">IF(OR(C56="",E56=""),"",C56*E56)</f>
        <v>0.035</v>
      </c>
      <c r="G56" s="22" t="n">
        <f aca="false">IFERROR(VLOOKUP(A56,NOMENCLATOR!$A:$E,5,0),"")</f>
        <v>0.007</v>
      </c>
      <c r="H56" s="22" t="n">
        <f aca="false">IF(OR(C56="",G56=""),"",C56*G56)</f>
        <v>0.035</v>
      </c>
    </row>
    <row r="57" customFormat="false" ht="15" hidden="false" customHeight="true" outlineLevel="0" collapsed="false">
      <c r="A57" s="17" t="s">
        <v>310</v>
      </c>
      <c r="B57" s="18" t="str">
        <f aca="false">IFERROR(VLOOKUP(A57,NOMENCLATOR!$A:$E,2,0),"")</f>
        <v>Y-Castraveti felii in saramura</v>
      </c>
      <c r="C57" s="19" t="n">
        <v>2.8</v>
      </c>
      <c r="D57" s="20" t="str">
        <f aca="false">IFERROR(VLOOKUP(A57,NOMENCLATOR!$A:$E,3,0),"")</f>
        <v>GM</v>
      </c>
      <c r="E57" s="21" t="n">
        <f aca="false">IFERROR(VLOOKUP(A57,NOMENCLATOR!$A:$E,4,0),"")</f>
        <v>0.01554</v>
      </c>
      <c r="F57" s="21" t="n">
        <f aca="false">IF(OR(C57="",E57=""),"",C57*E57)</f>
        <v>0.043512</v>
      </c>
      <c r="G57" s="22" t="n">
        <f aca="false">IFERROR(VLOOKUP(A57,NOMENCLATOR!$A:$E,5,0),"")</f>
        <v>0.01554</v>
      </c>
      <c r="H57" s="22" t="n">
        <f aca="false">IF(OR(C57="",G57=""),"",C57*G57)</f>
        <v>0.043512</v>
      </c>
    </row>
    <row r="58" customFormat="false" ht="15" hidden="false" customHeight="true" outlineLevel="0" collapsed="false">
      <c r="A58" s="23" t="str">
        <f aca="false">IF(A48="","",A48)</f>
        <v>CHEESEBURGER new</v>
      </c>
      <c r="B58" s="24"/>
      <c r="C58" s="24"/>
      <c r="D58" s="24"/>
      <c r="E58" s="24"/>
      <c r="F58" s="25" t="n">
        <f aca="false">IF(A48="","",SUM(F50:F57))</f>
        <v>6.381612</v>
      </c>
      <c r="G58" s="24"/>
      <c r="H58" s="26" t="n">
        <f aca="false">IF(A48="","",SUM(H50:H57))</f>
        <v>6.799282</v>
      </c>
    </row>
    <row r="60" customFormat="false" ht="15" hidden="false" customHeight="true" outlineLevel="0" collapsed="false">
      <c r="A60" s="12" t="s">
        <v>327</v>
      </c>
      <c r="B60" s="13"/>
      <c r="C60" s="13"/>
      <c r="D60" s="13"/>
      <c r="E60" s="13"/>
      <c r="F60" s="14" t="s">
        <v>315</v>
      </c>
      <c r="G60" s="13"/>
      <c r="H60" s="15"/>
    </row>
    <row r="61" customFormat="false" ht="15" hidden="false" customHeight="true" outlineLevel="0" collapsed="false">
      <c r="A61" s="16" t="s">
        <v>316</v>
      </c>
      <c r="B61" s="16" t="s">
        <v>317</v>
      </c>
      <c r="C61" s="16" t="s">
        <v>318</v>
      </c>
      <c r="D61" s="16" t="s">
        <v>4</v>
      </c>
      <c r="E61" s="16" t="s">
        <v>319</v>
      </c>
      <c r="F61" s="16" t="s">
        <v>320</v>
      </c>
      <c r="G61" s="16" t="s">
        <v>321</v>
      </c>
      <c r="H61" s="16" t="s">
        <v>322</v>
      </c>
    </row>
    <row r="62" customFormat="false" ht="15" hidden="false" customHeight="true" outlineLevel="0" collapsed="false">
      <c r="A62" s="17" t="s">
        <v>98</v>
      </c>
      <c r="B62" s="18" t="str">
        <f aca="false">IFERROR(VLOOKUP(A62,NOMENCLATOR!$A:$E,2,0),"")</f>
        <v>CHIFLA CARTOF 3.5inch 53G x 72</v>
      </c>
      <c r="C62" s="19" t="n">
        <v>1</v>
      </c>
      <c r="D62" s="20" t="str">
        <f aca="false">IFERROR(VLOOKUP(A62,NOMENCLATOR!$A:$E,3,0),"")</f>
        <v>EA</v>
      </c>
      <c r="E62" s="21" t="n">
        <f aca="false">IFERROR(VLOOKUP(A62,NOMENCLATOR!$A:$E,4,0),"")</f>
        <v>2.4</v>
      </c>
      <c r="F62" s="21" t="n">
        <f aca="false">IF(OR(C62="",E62=""),"",C62*E62)</f>
        <v>2.4</v>
      </c>
      <c r="G62" s="22" t="n">
        <f aca="false">IFERROR(VLOOKUP(A62,NOMENCLATOR!$A:$E,5,0),"")</f>
        <v>2.4</v>
      </c>
      <c r="H62" s="22" t="n">
        <f aca="false">IF(OR(C62="",G62=""),"",C62*G62)</f>
        <v>2.4</v>
      </c>
    </row>
    <row r="63" customFormat="false" ht="15" hidden="false" customHeight="true" outlineLevel="0" collapsed="false">
      <c r="A63" s="17" t="s">
        <v>236</v>
      </c>
      <c r="B63" s="18" t="str">
        <f aca="false">IFERROR(VLOOKUP(A63,NOMENCLATOR!$A:$E,2,0),"")</f>
        <v>PREP - smashed koliber 60G</v>
      </c>
      <c r="C63" s="19" t="n">
        <v>1</v>
      </c>
      <c r="D63" s="20" t="str">
        <f aca="false">IFERROR(VLOOKUP(A63,NOMENCLATOR!$A:$E,3,0),"")</f>
        <v>EA</v>
      </c>
      <c r="E63" s="21" t="n">
        <f aca="false">IFERROR(VLOOKUP(A63,NOMENCLATOR!$A:$E,4,0),"")</f>
        <v>2.93233</v>
      </c>
      <c r="F63" s="21" t="n">
        <f aca="false">IF(OR(C63="",E63=""),"",C63*E63)</f>
        <v>2.93233</v>
      </c>
      <c r="G63" s="22" t="n">
        <f aca="false">IFERROR(VLOOKUP(A63,NOMENCLATOR!$A:$E,5,0),"")</f>
        <v>3.35</v>
      </c>
      <c r="H63" s="22" t="n">
        <f aca="false">IF(OR(C63="",G63=""),"",C63*G63)</f>
        <v>3.35</v>
      </c>
    </row>
    <row r="64" customFormat="false" ht="15" hidden="false" customHeight="true" outlineLevel="0" collapsed="false">
      <c r="A64" s="17" t="s">
        <v>68</v>
      </c>
      <c r="B64" s="18" t="str">
        <f aca="false">IFERROR(VLOOKUP(A64,NOMENCLATOR!$A:$E,2,0),"")</f>
        <v>Branza cheddar felii 2026</v>
      </c>
      <c r="C64" s="19" t="n">
        <v>1</v>
      </c>
      <c r="D64" s="20" t="str">
        <f aca="false">IFERROR(VLOOKUP(A64,NOMENCLATOR!$A:$E,3,0),"")</f>
        <v>EA</v>
      </c>
      <c r="E64" s="21" t="n">
        <f aca="false">IFERROR(VLOOKUP(A64,NOMENCLATOR!$A:$E,4,0),"")</f>
        <v>0.61567</v>
      </c>
      <c r="F64" s="21" t="n">
        <f aca="false">IF(OR(C64="",E64=""),"",C64*E64)</f>
        <v>0.61567</v>
      </c>
      <c r="G64" s="22" t="n">
        <f aca="false">IFERROR(VLOOKUP(A64,NOMENCLATOR!$A:$E,5,0),"")</f>
        <v>0.61567</v>
      </c>
      <c r="H64" s="22" t="n">
        <f aca="false">IF(OR(C64="",G64=""),"",C64*G64)</f>
        <v>0.61567</v>
      </c>
    </row>
    <row r="65" customFormat="false" ht="15" hidden="false" customHeight="true" outlineLevel="0" collapsed="false">
      <c r="A65" s="17" t="s">
        <v>138</v>
      </c>
      <c r="B65" s="18" t="str">
        <f aca="false">IFERROR(VLOOKUP(A65,NOMENCLATOR!$A:$E,2,0),"")</f>
        <v>Hartie Little Hamburgers</v>
      </c>
      <c r="C65" s="19" t="n">
        <v>1</v>
      </c>
      <c r="D65" s="20" t="str">
        <f aca="false">IFERROR(VLOOKUP(A65,NOMENCLATOR!$A:$E,3,0),"")</f>
        <v>EA</v>
      </c>
      <c r="E65" s="21" t="n">
        <f aca="false">IFERROR(VLOOKUP(A65,NOMENCLATOR!$A:$E,4,0),"")</f>
        <v>0.111</v>
      </c>
      <c r="F65" s="21" t="n">
        <f aca="false">IF(OR(C65="",E65=""),"",C65*E65)</f>
        <v>0.111</v>
      </c>
      <c r="G65" s="22" t="n">
        <f aca="false">IFERROR(VLOOKUP(A65,NOMENCLATOR!$A:$E,5,0),"")</f>
        <v>0.111</v>
      </c>
      <c r="H65" s="22" t="n">
        <f aca="false">IF(OR(C65="",G65=""),"",C65*G65)</f>
        <v>0.111</v>
      </c>
    </row>
    <row r="66" customFormat="false" ht="15" hidden="false" customHeight="true" outlineLevel="0" collapsed="false">
      <c r="A66" s="17" t="s">
        <v>156</v>
      </c>
      <c r="B66" s="18" t="str">
        <f aca="false">IFERROR(VLOOKUP(A66,NOMENCLATOR!$A:$E,2,0),"")</f>
        <v>Ketchup Jerrycan Heinz 10.2L</v>
      </c>
      <c r="C66" s="19" t="n">
        <v>10</v>
      </c>
      <c r="D66" s="20" t="str">
        <f aca="false">IFERROR(VLOOKUP(A66,NOMENCLATOR!$A:$E,3,0),"")</f>
        <v>ML</v>
      </c>
      <c r="E66" s="21" t="n">
        <f aca="false">IFERROR(VLOOKUP(A66,NOMENCLATOR!$A:$E,4,0),"")</f>
        <v>0.0221</v>
      </c>
      <c r="F66" s="21" t="n">
        <f aca="false">IF(OR(C66="",E66=""),"",C66*E66)</f>
        <v>0.221</v>
      </c>
      <c r="G66" s="22" t="n">
        <f aca="false">IFERROR(VLOOKUP(A66,NOMENCLATOR!$A:$E,5,0),"")</f>
        <v>0.0221</v>
      </c>
      <c r="H66" s="22" t="n">
        <f aca="false">IF(OR(C66="",G66=""),"",C66*G66)</f>
        <v>0.221</v>
      </c>
    </row>
    <row r="67" customFormat="false" ht="15" hidden="false" customHeight="true" outlineLevel="0" collapsed="false">
      <c r="A67" s="17" t="s">
        <v>174</v>
      </c>
      <c r="B67" s="18" t="str">
        <f aca="false">IFERROR(VLOOKUP(A67,NOMENCLATOR!$A:$E,2,0),"")</f>
        <v>Mustar Heinz 875ml</v>
      </c>
      <c r="C67" s="19" t="n">
        <v>0.7</v>
      </c>
      <c r="D67" s="20" t="str">
        <f aca="false">IFERROR(VLOOKUP(A67,NOMENCLATOR!$A:$E,3,0),"")</f>
        <v>ML</v>
      </c>
      <c r="E67" s="21" t="n">
        <f aca="false">IFERROR(VLOOKUP(A67,NOMENCLATOR!$A:$E,4,0),"")</f>
        <v>0.033</v>
      </c>
      <c r="F67" s="21" t="n">
        <f aca="false">IF(OR(C67="",E67=""),"",C67*E67)</f>
        <v>0.0231</v>
      </c>
      <c r="G67" s="22" t="n">
        <f aca="false">IFERROR(VLOOKUP(A67,NOMENCLATOR!$A:$E,5,0),"")</f>
        <v>0.033</v>
      </c>
      <c r="H67" s="22" t="n">
        <f aca="false">IF(OR(C67="",G67=""),"",C67*G67)</f>
        <v>0.0231</v>
      </c>
    </row>
    <row r="68" customFormat="false" ht="15" hidden="false" customHeight="true" outlineLevel="0" collapsed="false">
      <c r="A68" s="17" t="s">
        <v>304</v>
      </c>
      <c r="B68" s="18" t="str">
        <f aca="false">IFERROR(VLOOKUP(A68,NOMENCLATOR!$A:$E,2,0),"")</f>
        <v>Y - Ceapa Cuburi</v>
      </c>
      <c r="C68" s="19" t="n">
        <v>5</v>
      </c>
      <c r="D68" s="20" t="str">
        <f aca="false">IFERROR(VLOOKUP(A68,NOMENCLATOR!$A:$E,3,0),"")</f>
        <v>GM</v>
      </c>
      <c r="E68" s="21" t="n">
        <f aca="false">IFERROR(VLOOKUP(A68,NOMENCLATOR!$A:$E,4,0),"")</f>
        <v>0.007</v>
      </c>
      <c r="F68" s="21" t="n">
        <f aca="false">IF(OR(C68="",E68=""),"",C68*E68)</f>
        <v>0.035</v>
      </c>
      <c r="G68" s="22" t="n">
        <f aca="false">IFERROR(VLOOKUP(A68,NOMENCLATOR!$A:$E,5,0),"")</f>
        <v>0.007</v>
      </c>
      <c r="H68" s="22" t="n">
        <f aca="false">IF(OR(C68="",G68=""),"",C68*G68)</f>
        <v>0.035</v>
      </c>
    </row>
    <row r="69" customFormat="false" ht="15" hidden="false" customHeight="true" outlineLevel="0" collapsed="false">
      <c r="A69" s="17" t="s">
        <v>310</v>
      </c>
      <c r="B69" s="18" t="str">
        <f aca="false">IFERROR(VLOOKUP(A69,NOMENCLATOR!$A:$E,2,0),"")</f>
        <v>Y-Castraveti felii in saramura</v>
      </c>
      <c r="C69" s="19" t="n">
        <v>2.8</v>
      </c>
      <c r="D69" s="20" t="str">
        <f aca="false">IFERROR(VLOOKUP(A69,NOMENCLATOR!$A:$E,3,0),"")</f>
        <v>GM</v>
      </c>
      <c r="E69" s="21" t="n">
        <f aca="false">IFERROR(VLOOKUP(A69,NOMENCLATOR!$A:$E,4,0),"")</f>
        <v>0.01554</v>
      </c>
      <c r="F69" s="21" t="n">
        <f aca="false">IF(OR(C69="",E69=""),"",C69*E69)</f>
        <v>0.043512</v>
      </c>
      <c r="G69" s="22" t="n">
        <f aca="false">IFERROR(VLOOKUP(A69,NOMENCLATOR!$A:$E,5,0),"")</f>
        <v>0.01554</v>
      </c>
      <c r="H69" s="22" t="n">
        <f aca="false">IF(OR(C69="",G69=""),"",C69*G69)</f>
        <v>0.043512</v>
      </c>
    </row>
    <row r="70" customFormat="false" ht="15" hidden="false" customHeight="true" outlineLevel="0" collapsed="false">
      <c r="A70" s="23" t="str">
        <f aca="false">IF(A60="","",A60)</f>
        <v>CHEESEBURGER new D</v>
      </c>
      <c r="B70" s="24"/>
      <c r="C70" s="24"/>
      <c r="D70" s="24"/>
      <c r="E70" s="24"/>
      <c r="F70" s="25" t="n">
        <f aca="false">IF(A60="","",SUM(F62:F69))</f>
        <v>6.381612</v>
      </c>
      <c r="G70" s="24"/>
      <c r="H70" s="26" t="n">
        <f aca="false">IF(A60="","",SUM(H62:H69))</f>
        <v>6.799282</v>
      </c>
    </row>
    <row r="72" customFormat="false" ht="15" hidden="false" customHeight="true" outlineLevel="0" collapsed="false">
      <c r="A72" s="12" t="s">
        <v>328</v>
      </c>
      <c r="B72" s="13"/>
      <c r="C72" s="13"/>
      <c r="D72" s="13"/>
      <c r="E72" s="13"/>
      <c r="F72" s="14" t="s">
        <v>315</v>
      </c>
      <c r="G72" s="13"/>
      <c r="H72" s="15"/>
    </row>
    <row r="73" customFormat="false" ht="15" hidden="false" customHeight="true" outlineLevel="0" collapsed="false">
      <c r="A73" s="16" t="s">
        <v>316</v>
      </c>
      <c r="B73" s="16" t="s">
        <v>317</v>
      </c>
      <c r="C73" s="16" t="s">
        <v>318</v>
      </c>
      <c r="D73" s="16" t="s">
        <v>4</v>
      </c>
      <c r="E73" s="16" t="s">
        <v>319</v>
      </c>
      <c r="F73" s="16" t="s">
        <v>320</v>
      </c>
      <c r="G73" s="16" t="s">
        <v>321</v>
      </c>
      <c r="H73" s="16" t="s">
        <v>322</v>
      </c>
    </row>
    <row r="74" customFormat="false" ht="15" hidden="false" customHeight="true" outlineLevel="0" collapsed="false">
      <c r="A74" s="17" t="s">
        <v>98</v>
      </c>
      <c r="B74" s="18" t="str">
        <f aca="false">IFERROR(VLOOKUP(A74,NOMENCLATOR!$A:$E,2,0),"")</f>
        <v>CHIFLA CARTOF 3.5inch 53G x 72</v>
      </c>
      <c r="C74" s="19" t="n">
        <v>1</v>
      </c>
      <c r="D74" s="20" t="str">
        <f aca="false">IFERROR(VLOOKUP(A74,NOMENCLATOR!$A:$E,3,0),"")</f>
        <v>EA</v>
      </c>
      <c r="E74" s="21" t="n">
        <f aca="false">IFERROR(VLOOKUP(A74,NOMENCLATOR!$A:$E,4,0),"")</f>
        <v>2.4</v>
      </c>
      <c r="F74" s="21" t="n">
        <f aca="false">IF(OR(C74="",E74=""),"",C74*E74)</f>
        <v>2.4</v>
      </c>
      <c r="G74" s="22" t="n">
        <f aca="false">IFERROR(VLOOKUP(A74,NOMENCLATOR!$A:$E,5,0),"")</f>
        <v>2.4</v>
      </c>
      <c r="H74" s="22" t="n">
        <f aca="false">IF(OR(C74="",G74=""),"",C74*G74)</f>
        <v>2.4</v>
      </c>
    </row>
    <row r="75" customFormat="false" ht="15" hidden="false" customHeight="true" outlineLevel="0" collapsed="false">
      <c r="A75" s="17" t="s">
        <v>236</v>
      </c>
      <c r="B75" s="18" t="str">
        <f aca="false">IFERROR(VLOOKUP(A75,NOMENCLATOR!$A:$E,2,0),"")</f>
        <v>PREP - smashed koliber 60G</v>
      </c>
      <c r="C75" s="19" t="n">
        <v>2</v>
      </c>
      <c r="D75" s="20" t="str">
        <f aca="false">IFERROR(VLOOKUP(A75,NOMENCLATOR!$A:$E,3,0),"")</f>
        <v>EA</v>
      </c>
      <c r="E75" s="21" t="n">
        <f aca="false">IFERROR(VLOOKUP(A75,NOMENCLATOR!$A:$E,4,0),"")</f>
        <v>2.93233</v>
      </c>
      <c r="F75" s="21" t="n">
        <f aca="false">IF(OR(C75="",E75=""),"",C75*E75)</f>
        <v>5.86466</v>
      </c>
      <c r="G75" s="22" t="n">
        <f aca="false">IFERROR(VLOOKUP(A75,NOMENCLATOR!$A:$E,5,0),"")</f>
        <v>3.35</v>
      </c>
      <c r="H75" s="22" t="n">
        <f aca="false">IF(OR(C75="",G75=""),"",C75*G75)</f>
        <v>6.7</v>
      </c>
    </row>
    <row r="76" customFormat="false" ht="15" hidden="false" customHeight="true" outlineLevel="0" collapsed="false">
      <c r="A76" s="17" t="s">
        <v>68</v>
      </c>
      <c r="B76" s="18" t="str">
        <f aca="false">IFERROR(VLOOKUP(A76,NOMENCLATOR!$A:$E,2,0),"")</f>
        <v>Branza cheddar felii 2026</v>
      </c>
      <c r="C76" s="19" t="n">
        <v>2</v>
      </c>
      <c r="D76" s="20" t="str">
        <f aca="false">IFERROR(VLOOKUP(A76,NOMENCLATOR!$A:$E,3,0),"")</f>
        <v>EA</v>
      </c>
      <c r="E76" s="21" t="n">
        <f aca="false">IFERROR(VLOOKUP(A76,NOMENCLATOR!$A:$E,4,0),"")</f>
        <v>0.61567</v>
      </c>
      <c r="F76" s="21" t="n">
        <f aca="false">IF(OR(C76="",E76=""),"",C76*E76)</f>
        <v>1.23134</v>
      </c>
      <c r="G76" s="22" t="n">
        <f aca="false">IFERROR(VLOOKUP(A76,NOMENCLATOR!$A:$E,5,0),"")</f>
        <v>0.61567</v>
      </c>
      <c r="H76" s="22" t="n">
        <f aca="false">IF(OR(C76="",G76=""),"",C76*G76)</f>
        <v>1.23134</v>
      </c>
    </row>
    <row r="77" customFormat="false" ht="15" hidden="false" customHeight="true" outlineLevel="0" collapsed="false">
      <c r="A77" s="17" t="s">
        <v>132</v>
      </c>
      <c r="B77" s="18" t="str">
        <f aca="false">IFERROR(VLOOKUP(A77,NOMENCLATOR!$A:$E,2,0),"")</f>
        <v>HARTIE BURGER Doubles 12x12 AA13</v>
      </c>
      <c r="C77" s="19" t="n">
        <v>1</v>
      </c>
      <c r="D77" s="20" t="str">
        <f aca="false">IFERROR(VLOOKUP(A77,NOMENCLATOR!$A:$E,3,0),"")</f>
        <v>EA</v>
      </c>
      <c r="E77" s="21" t="n">
        <f aca="false">IFERROR(VLOOKUP(A77,NOMENCLATOR!$A:$E,4,0),"")</f>
        <v>0.111</v>
      </c>
      <c r="F77" s="21" t="n">
        <f aca="false">IF(OR(C77="",E77=""),"",C77*E77)</f>
        <v>0.111</v>
      </c>
      <c r="G77" s="22" t="n">
        <f aca="false">IFERROR(VLOOKUP(A77,NOMENCLATOR!$A:$E,5,0),"")</f>
        <v>0.111</v>
      </c>
      <c r="H77" s="22" t="n">
        <f aca="false">IF(OR(C77="",G77=""),"",C77*G77)</f>
        <v>0.111</v>
      </c>
    </row>
    <row r="78" customFormat="false" ht="15" hidden="false" customHeight="true" outlineLevel="0" collapsed="false">
      <c r="A78" s="17" t="s">
        <v>156</v>
      </c>
      <c r="B78" s="18" t="str">
        <f aca="false">IFERROR(VLOOKUP(A78,NOMENCLATOR!$A:$E,2,0),"")</f>
        <v>Ketchup Jerrycan Heinz 10.2L</v>
      </c>
      <c r="C78" s="19" t="n">
        <v>10</v>
      </c>
      <c r="D78" s="20" t="str">
        <f aca="false">IFERROR(VLOOKUP(A78,NOMENCLATOR!$A:$E,3,0),"")</f>
        <v>ML</v>
      </c>
      <c r="E78" s="21" t="n">
        <f aca="false">IFERROR(VLOOKUP(A78,NOMENCLATOR!$A:$E,4,0),"")</f>
        <v>0.0221</v>
      </c>
      <c r="F78" s="21" t="n">
        <f aca="false">IF(OR(C78="",E78=""),"",C78*E78)</f>
        <v>0.221</v>
      </c>
      <c r="G78" s="22" t="n">
        <f aca="false">IFERROR(VLOOKUP(A78,NOMENCLATOR!$A:$E,5,0),"")</f>
        <v>0.0221</v>
      </c>
      <c r="H78" s="22" t="n">
        <f aca="false">IF(OR(C78="",G78=""),"",C78*G78)</f>
        <v>0.221</v>
      </c>
    </row>
    <row r="79" customFormat="false" ht="15" hidden="false" customHeight="true" outlineLevel="0" collapsed="false">
      <c r="A79" s="17" t="s">
        <v>174</v>
      </c>
      <c r="B79" s="18" t="str">
        <f aca="false">IFERROR(VLOOKUP(A79,NOMENCLATOR!$A:$E,2,0),"")</f>
        <v>Mustar Heinz 875ml</v>
      </c>
      <c r="C79" s="19" t="n">
        <v>1.4</v>
      </c>
      <c r="D79" s="20" t="str">
        <f aca="false">IFERROR(VLOOKUP(A79,NOMENCLATOR!$A:$E,3,0),"")</f>
        <v>ML</v>
      </c>
      <c r="E79" s="21" t="n">
        <f aca="false">IFERROR(VLOOKUP(A79,NOMENCLATOR!$A:$E,4,0),"")</f>
        <v>0.033</v>
      </c>
      <c r="F79" s="21" t="n">
        <f aca="false">IF(OR(C79="",E79=""),"",C79*E79)</f>
        <v>0.0462</v>
      </c>
      <c r="G79" s="22" t="n">
        <f aca="false">IFERROR(VLOOKUP(A79,NOMENCLATOR!$A:$E,5,0),"")</f>
        <v>0.033</v>
      </c>
      <c r="H79" s="22" t="n">
        <f aca="false">IF(OR(C79="",G79=""),"",C79*G79)</f>
        <v>0.0462</v>
      </c>
    </row>
    <row r="80" customFormat="false" ht="15" hidden="false" customHeight="true" outlineLevel="0" collapsed="false">
      <c r="A80" s="17" t="s">
        <v>304</v>
      </c>
      <c r="B80" s="18" t="str">
        <f aca="false">IFERROR(VLOOKUP(A80,NOMENCLATOR!$A:$E,2,0),"")</f>
        <v>Y - Ceapa Cuburi</v>
      </c>
      <c r="C80" s="19" t="n">
        <v>10</v>
      </c>
      <c r="D80" s="20" t="str">
        <f aca="false">IFERROR(VLOOKUP(A80,NOMENCLATOR!$A:$E,3,0),"")</f>
        <v>GM</v>
      </c>
      <c r="E80" s="21" t="n">
        <f aca="false">IFERROR(VLOOKUP(A80,NOMENCLATOR!$A:$E,4,0),"")</f>
        <v>0.007</v>
      </c>
      <c r="F80" s="21" t="n">
        <f aca="false">IF(OR(C80="",E80=""),"",C80*E80)</f>
        <v>0.07</v>
      </c>
      <c r="G80" s="22" t="n">
        <f aca="false">IFERROR(VLOOKUP(A80,NOMENCLATOR!$A:$E,5,0),"")</f>
        <v>0.007</v>
      </c>
      <c r="H80" s="22" t="n">
        <f aca="false">IF(OR(C80="",G80=""),"",C80*G80)</f>
        <v>0.07</v>
      </c>
    </row>
    <row r="81" customFormat="false" ht="15" hidden="false" customHeight="true" outlineLevel="0" collapsed="false">
      <c r="A81" s="17" t="s">
        <v>310</v>
      </c>
      <c r="B81" s="18" t="str">
        <f aca="false">IFERROR(VLOOKUP(A81,NOMENCLATOR!$A:$E,2,0),"")</f>
        <v>Y-Castraveti felii in saramura</v>
      </c>
      <c r="C81" s="19" t="n">
        <v>5.6</v>
      </c>
      <c r="D81" s="20" t="str">
        <f aca="false">IFERROR(VLOOKUP(A81,NOMENCLATOR!$A:$E,3,0),"")</f>
        <v>GM</v>
      </c>
      <c r="E81" s="21" t="n">
        <f aca="false">IFERROR(VLOOKUP(A81,NOMENCLATOR!$A:$E,4,0),"")</f>
        <v>0.01554</v>
      </c>
      <c r="F81" s="21" t="n">
        <f aca="false">IF(OR(C81="",E81=""),"",C81*E81)</f>
        <v>0.087024</v>
      </c>
      <c r="G81" s="22" t="n">
        <f aca="false">IFERROR(VLOOKUP(A81,NOMENCLATOR!$A:$E,5,0),"")</f>
        <v>0.01554</v>
      </c>
      <c r="H81" s="22" t="n">
        <f aca="false">IF(OR(C81="",G81=""),"",C81*G81)</f>
        <v>0.087024</v>
      </c>
    </row>
    <row r="82" customFormat="false" ht="15" hidden="false" customHeight="true" outlineLevel="0" collapsed="false">
      <c r="A82" s="23" t="str">
        <f aca="false">IF(A72="","",A72)</f>
        <v>DUBLU CHEESEBURGER new</v>
      </c>
      <c r="B82" s="24"/>
      <c r="C82" s="24"/>
      <c r="D82" s="24"/>
      <c r="E82" s="24"/>
      <c r="F82" s="25" t="n">
        <f aca="false">IF(A72="","",SUM(F74:F81))</f>
        <v>10.031224</v>
      </c>
      <c r="G82" s="24"/>
      <c r="H82" s="26" t="n">
        <f aca="false">IF(A72="","",SUM(H74:H81))</f>
        <v>10.866564</v>
      </c>
    </row>
    <row r="84" customFormat="false" ht="15" hidden="false" customHeight="true" outlineLevel="0" collapsed="false">
      <c r="A84" s="12" t="s">
        <v>329</v>
      </c>
      <c r="B84" s="13"/>
      <c r="C84" s="13"/>
      <c r="D84" s="13"/>
      <c r="E84" s="13"/>
      <c r="F84" s="14" t="s">
        <v>315</v>
      </c>
      <c r="G84" s="13"/>
      <c r="H84" s="15"/>
    </row>
    <row r="85" customFormat="false" ht="15" hidden="false" customHeight="true" outlineLevel="0" collapsed="false">
      <c r="A85" s="16" t="s">
        <v>316</v>
      </c>
      <c r="B85" s="16" t="s">
        <v>317</v>
      </c>
      <c r="C85" s="16" t="s">
        <v>318</v>
      </c>
      <c r="D85" s="16" t="s">
        <v>4</v>
      </c>
      <c r="E85" s="16" t="s">
        <v>319</v>
      </c>
      <c r="F85" s="16" t="s">
        <v>320</v>
      </c>
      <c r="G85" s="16" t="s">
        <v>321</v>
      </c>
      <c r="H85" s="16" t="s">
        <v>322</v>
      </c>
    </row>
    <row r="86" customFormat="false" ht="15" hidden="false" customHeight="true" outlineLevel="0" collapsed="false">
      <c r="A86" s="17" t="s">
        <v>98</v>
      </c>
      <c r="B86" s="18" t="str">
        <f aca="false">IFERROR(VLOOKUP(A86,NOMENCLATOR!$A:$E,2,0),"")</f>
        <v>CHIFLA CARTOF 3.5inch 53G x 72</v>
      </c>
      <c r="C86" s="19" t="n">
        <v>1</v>
      </c>
      <c r="D86" s="20" t="str">
        <f aca="false">IFERROR(VLOOKUP(A86,NOMENCLATOR!$A:$E,3,0),"")</f>
        <v>EA</v>
      </c>
      <c r="E86" s="21" t="n">
        <f aca="false">IFERROR(VLOOKUP(A86,NOMENCLATOR!$A:$E,4,0),"")</f>
        <v>2.4</v>
      </c>
      <c r="F86" s="21" t="n">
        <f aca="false">IF(OR(C86="",E86=""),"",C86*E86)</f>
        <v>2.4</v>
      </c>
      <c r="G86" s="22" t="n">
        <f aca="false">IFERROR(VLOOKUP(A86,NOMENCLATOR!$A:$E,5,0),"")</f>
        <v>2.4</v>
      </c>
      <c r="H86" s="22" t="n">
        <f aca="false">IF(OR(C86="",G86=""),"",C86*G86)</f>
        <v>2.4</v>
      </c>
    </row>
    <row r="87" customFormat="false" ht="15" hidden="false" customHeight="true" outlineLevel="0" collapsed="false">
      <c r="A87" s="17" t="s">
        <v>236</v>
      </c>
      <c r="B87" s="18" t="str">
        <f aca="false">IFERROR(VLOOKUP(A87,NOMENCLATOR!$A:$E,2,0),"")</f>
        <v>PREP - smashed koliber 60G</v>
      </c>
      <c r="C87" s="19" t="n">
        <v>2</v>
      </c>
      <c r="D87" s="20" t="str">
        <f aca="false">IFERROR(VLOOKUP(A87,NOMENCLATOR!$A:$E,3,0),"")</f>
        <v>EA</v>
      </c>
      <c r="E87" s="21" t="n">
        <f aca="false">IFERROR(VLOOKUP(A87,NOMENCLATOR!$A:$E,4,0),"")</f>
        <v>2.93233</v>
      </c>
      <c r="F87" s="21" t="n">
        <f aca="false">IF(OR(C87="",E87=""),"",C87*E87)</f>
        <v>5.86466</v>
      </c>
      <c r="G87" s="22" t="n">
        <f aca="false">IFERROR(VLOOKUP(A87,NOMENCLATOR!$A:$E,5,0),"")</f>
        <v>3.35</v>
      </c>
      <c r="H87" s="22" t="n">
        <f aca="false">IF(OR(C87="",G87=""),"",C87*G87)</f>
        <v>6.7</v>
      </c>
    </row>
    <row r="88" customFormat="false" ht="15" hidden="false" customHeight="true" outlineLevel="0" collapsed="false">
      <c r="A88" s="17" t="s">
        <v>68</v>
      </c>
      <c r="B88" s="18" t="str">
        <f aca="false">IFERROR(VLOOKUP(A88,NOMENCLATOR!$A:$E,2,0),"")</f>
        <v>Branza cheddar felii 2026</v>
      </c>
      <c r="C88" s="19" t="n">
        <v>2</v>
      </c>
      <c r="D88" s="20" t="str">
        <f aca="false">IFERROR(VLOOKUP(A88,NOMENCLATOR!$A:$E,3,0),"")</f>
        <v>EA</v>
      </c>
      <c r="E88" s="21" t="n">
        <f aca="false">IFERROR(VLOOKUP(A88,NOMENCLATOR!$A:$E,4,0),"")</f>
        <v>0.61567</v>
      </c>
      <c r="F88" s="21" t="n">
        <f aca="false">IF(OR(C88="",E88=""),"",C88*E88)</f>
        <v>1.23134</v>
      </c>
      <c r="G88" s="22" t="n">
        <f aca="false">IFERROR(VLOOKUP(A88,NOMENCLATOR!$A:$E,5,0),"")</f>
        <v>0.61567</v>
      </c>
      <c r="H88" s="22" t="n">
        <f aca="false">IF(OR(C88="",G88=""),"",C88*G88)</f>
        <v>1.23134</v>
      </c>
    </row>
    <row r="89" customFormat="false" ht="15" hidden="false" customHeight="true" outlineLevel="0" collapsed="false">
      <c r="A89" s="17" t="s">
        <v>132</v>
      </c>
      <c r="B89" s="18" t="str">
        <f aca="false">IFERROR(VLOOKUP(A89,NOMENCLATOR!$A:$E,2,0),"")</f>
        <v>HARTIE BURGER Doubles 12x12 AA13</v>
      </c>
      <c r="C89" s="19" t="n">
        <v>1</v>
      </c>
      <c r="D89" s="20" t="str">
        <f aca="false">IFERROR(VLOOKUP(A89,NOMENCLATOR!$A:$E,3,0),"")</f>
        <v>EA</v>
      </c>
      <c r="E89" s="21" t="n">
        <f aca="false">IFERROR(VLOOKUP(A89,NOMENCLATOR!$A:$E,4,0),"")</f>
        <v>0.111</v>
      </c>
      <c r="F89" s="21" t="n">
        <f aca="false">IF(OR(C89="",E89=""),"",C89*E89)</f>
        <v>0.111</v>
      </c>
      <c r="G89" s="22" t="n">
        <f aca="false">IFERROR(VLOOKUP(A89,NOMENCLATOR!$A:$E,5,0),"")</f>
        <v>0.111</v>
      </c>
      <c r="H89" s="22" t="n">
        <f aca="false">IF(OR(C89="",G89=""),"",C89*G89)</f>
        <v>0.111</v>
      </c>
    </row>
    <row r="90" customFormat="false" ht="15" hidden="false" customHeight="true" outlineLevel="0" collapsed="false">
      <c r="A90" s="17" t="s">
        <v>156</v>
      </c>
      <c r="B90" s="18" t="str">
        <f aca="false">IFERROR(VLOOKUP(A90,NOMENCLATOR!$A:$E,2,0),"")</f>
        <v>Ketchup Jerrycan Heinz 10.2L</v>
      </c>
      <c r="C90" s="19" t="n">
        <v>10</v>
      </c>
      <c r="D90" s="20" t="str">
        <f aca="false">IFERROR(VLOOKUP(A90,NOMENCLATOR!$A:$E,3,0),"")</f>
        <v>ML</v>
      </c>
      <c r="E90" s="21" t="n">
        <f aca="false">IFERROR(VLOOKUP(A90,NOMENCLATOR!$A:$E,4,0),"")</f>
        <v>0.0221</v>
      </c>
      <c r="F90" s="21" t="n">
        <f aca="false">IF(OR(C90="",E90=""),"",C90*E90)</f>
        <v>0.221</v>
      </c>
      <c r="G90" s="22" t="n">
        <f aca="false">IFERROR(VLOOKUP(A90,NOMENCLATOR!$A:$E,5,0),"")</f>
        <v>0.0221</v>
      </c>
      <c r="H90" s="22" t="n">
        <f aca="false">IF(OR(C90="",G90=""),"",C90*G90)</f>
        <v>0.221</v>
      </c>
    </row>
    <row r="91" customFormat="false" ht="15" hidden="false" customHeight="true" outlineLevel="0" collapsed="false">
      <c r="A91" s="17" t="s">
        <v>174</v>
      </c>
      <c r="B91" s="18" t="str">
        <f aca="false">IFERROR(VLOOKUP(A91,NOMENCLATOR!$A:$E,2,0),"")</f>
        <v>Mustar Heinz 875ml</v>
      </c>
      <c r="C91" s="19" t="n">
        <v>1.4</v>
      </c>
      <c r="D91" s="20" t="str">
        <f aca="false">IFERROR(VLOOKUP(A91,NOMENCLATOR!$A:$E,3,0),"")</f>
        <v>ML</v>
      </c>
      <c r="E91" s="21" t="n">
        <f aca="false">IFERROR(VLOOKUP(A91,NOMENCLATOR!$A:$E,4,0),"")</f>
        <v>0.033</v>
      </c>
      <c r="F91" s="21" t="n">
        <f aca="false">IF(OR(C91="",E91=""),"",C91*E91)</f>
        <v>0.0462</v>
      </c>
      <c r="G91" s="22" t="n">
        <f aca="false">IFERROR(VLOOKUP(A91,NOMENCLATOR!$A:$E,5,0),"")</f>
        <v>0.033</v>
      </c>
      <c r="H91" s="22" t="n">
        <f aca="false">IF(OR(C91="",G91=""),"",C91*G91)</f>
        <v>0.0462</v>
      </c>
    </row>
    <row r="92" customFormat="false" ht="15" hidden="false" customHeight="true" outlineLevel="0" collapsed="false">
      <c r="A92" s="17" t="s">
        <v>304</v>
      </c>
      <c r="B92" s="18" t="str">
        <f aca="false">IFERROR(VLOOKUP(A92,NOMENCLATOR!$A:$E,2,0),"")</f>
        <v>Y - Ceapa Cuburi</v>
      </c>
      <c r="C92" s="19" t="n">
        <v>10</v>
      </c>
      <c r="D92" s="20" t="str">
        <f aca="false">IFERROR(VLOOKUP(A92,NOMENCLATOR!$A:$E,3,0),"")</f>
        <v>GM</v>
      </c>
      <c r="E92" s="21" t="n">
        <f aca="false">IFERROR(VLOOKUP(A92,NOMENCLATOR!$A:$E,4,0),"")</f>
        <v>0.007</v>
      </c>
      <c r="F92" s="21" t="n">
        <f aca="false">IF(OR(C92="",E92=""),"",C92*E92)</f>
        <v>0.07</v>
      </c>
      <c r="G92" s="22" t="n">
        <f aca="false">IFERROR(VLOOKUP(A92,NOMENCLATOR!$A:$E,5,0),"")</f>
        <v>0.007</v>
      </c>
      <c r="H92" s="22" t="n">
        <f aca="false">IF(OR(C92="",G92=""),"",C92*G92)</f>
        <v>0.07</v>
      </c>
    </row>
    <row r="93" customFormat="false" ht="15" hidden="false" customHeight="true" outlineLevel="0" collapsed="false">
      <c r="A93" s="17" t="s">
        <v>310</v>
      </c>
      <c r="B93" s="18" t="str">
        <f aca="false">IFERROR(VLOOKUP(A93,NOMENCLATOR!$A:$E,2,0),"")</f>
        <v>Y-Castraveti felii in saramura</v>
      </c>
      <c r="C93" s="19" t="n">
        <v>5.6</v>
      </c>
      <c r="D93" s="20" t="str">
        <f aca="false">IFERROR(VLOOKUP(A93,NOMENCLATOR!$A:$E,3,0),"")</f>
        <v>GM</v>
      </c>
      <c r="E93" s="21" t="n">
        <f aca="false">IFERROR(VLOOKUP(A93,NOMENCLATOR!$A:$E,4,0),"")</f>
        <v>0.01554</v>
      </c>
      <c r="F93" s="21" t="n">
        <f aca="false">IF(OR(C93="",E93=""),"",C93*E93)</f>
        <v>0.087024</v>
      </c>
      <c r="G93" s="22" t="n">
        <f aca="false">IFERROR(VLOOKUP(A93,NOMENCLATOR!$A:$E,5,0),"")</f>
        <v>0.01554</v>
      </c>
      <c r="H93" s="22" t="n">
        <f aca="false">IF(OR(C93="",G93=""),"",C93*G93)</f>
        <v>0.087024</v>
      </c>
    </row>
    <row r="94" customFormat="false" ht="15" hidden="false" customHeight="true" outlineLevel="0" collapsed="false">
      <c r="A94" s="23" t="str">
        <f aca="false">IF(A84="","",A84)</f>
        <v>DUBLU CHEESEBURGER new D</v>
      </c>
      <c r="B94" s="24"/>
      <c r="C94" s="24"/>
      <c r="D94" s="24"/>
      <c r="E94" s="24"/>
      <c r="F94" s="25" t="n">
        <f aca="false">IF(A84="","",SUM(F86:F93))</f>
        <v>10.031224</v>
      </c>
      <c r="G94" s="24"/>
      <c r="H94" s="26" t="n">
        <f aca="false">IF(A84="","",SUM(H86:H93))</f>
        <v>10.866564</v>
      </c>
    </row>
    <row r="96" customFormat="false" ht="15" hidden="false" customHeight="true" outlineLevel="0" collapsed="false">
      <c r="A96" s="12" t="s">
        <v>330</v>
      </c>
      <c r="B96" s="13"/>
      <c r="C96" s="13"/>
      <c r="D96" s="13"/>
      <c r="E96" s="13"/>
      <c r="F96" s="14" t="s">
        <v>315</v>
      </c>
      <c r="G96" s="13"/>
      <c r="H96" s="15"/>
    </row>
    <row r="97" customFormat="false" ht="15" hidden="false" customHeight="true" outlineLevel="0" collapsed="false">
      <c r="A97" s="16" t="s">
        <v>316</v>
      </c>
      <c r="B97" s="16" t="s">
        <v>317</v>
      </c>
      <c r="C97" s="16" t="s">
        <v>318</v>
      </c>
      <c r="D97" s="16" t="s">
        <v>4</v>
      </c>
      <c r="E97" s="16" t="s">
        <v>319</v>
      </c>
      <c r="F97" s="16" t="s">
        <v>320</v>
      </c>
      <c r="G97" s="16" t="s">
        <v>321</v>
      </c>
      <c r="H97" s="16" t="s">
        <v>322</v>
      </c>
    </row>
    <row r="98" customFormat="false" ht="15" hidden="false" customHeight="true" outlineLevel="0" collapsed="false">
      <c r="A98" s="17" t="s">
        <v>98</v>
      </c>
      <c r="B98" s="18" t="str">
        <f aca="false">IFERROR(VLOOKUP(A98,NOMENCLATOR!$A:$E,2,0),"")</f>
        <v>CHIFLA CARTOF 3.5inch 53G x 72</v>
      </c>
      <c r="C98" s="19" t="n">
        <v>1</v>
      </c>
      <c r="D98" s="20" t="str">
        <f aca="false">IFERROR(VLOOKUP(A98,NOMENCLATOR!$A:$E,3,0),"")</f>
        <v>EA</v>
      </c>
      <c r="E98" s="21" t="n">
        <f aca="false">IFERROR(VLOOKUP(A98,NOMENCLATOR!$A:$E,4,0),"")</f>
        <v>2.4</v>
      </c>
      <c r="F98" s="21" t="n">
        <f aca="false">IF(OR(C98="",E98=""),"",C98*E98)</f>
        <v>2.4</v>
      </c>
      <c r="G98" s="22" t="n">
        <f aca="false">IFERROR(VLOOKUP(A98,NOMENCLATOR!$A:$E,5,0),"")</f>
        <v>2.4</v>
      </c>
      <c r="H98" s="22" t="n">
        <f aca="false">IF(OR(C98="",G98=""),"",C98*G98)</f>
        <v>2.4</v>
      </c>
    </row>
    <row r="99" customFormat="false" ht="15" hidden="false" customHeight="true" outlineLevel="0" collapsed="false">
      <c r="A99" s="17" t="s">
        <v>236</v>
      </c>
      <c r="B99" s="18" t="str">
        <f aca="false">IFERROR(VLOOKUP(A99,NOMENCLATOR!$A:$E,2,0),"")</f>
        <v>PREP - smashed koliber 60G</v>
      </c>
      <c r="C99" s="19" t="n">
        <v>1</v>
      </c>
      <c r="D99" s="20" t="str">
        <f aca="false">IFERROR(VLOOKUP(A99,NOMENCLATOR!$A:$E,3,0),"")</f>
        <v>EA</v>
      </c>
      <c r="E99" s="21" t="n">
        <f aca="false">IFERROR(VLOOKUP(A99,NOMENCLATOR!$A:$E,4,0),"")</f>
        <v>2.93233</v>
      </c>
      <c r="F99" s="21" t="n">
        <f aca="false">IF(OR(C99="",E99=""),"",C99*E99)</f>
        <v>2.93233</v>
      </c>
      <c r="G99" s="22" t="n">
        <f aca="false">IFERROR(VLOOKUP(A99,NOMENCLATOR!$A:$E,5,0),"")</f>
        <v>3.35</v>
      </c>
      <c r="H99" s="22" t="n">
        <f aca="false">IF(OR(C99="",G99=""),"",C99*G99)</f>
        <v>3.35</v>
      </c>
    </row>
    <row r="100" customFormat="false" ht="15" hidden="false" customHeight="true" outlineLevel="0" collapsed="false">
      <c r="A100" s="17" t="s">
        <v>68</v>
      </c>
      <c r="B100" s="18" t="str">
        <f aca="false">IFERROR(VLOOKUP(A100,NOMENCLATOR!$A:$E,2,0),"")</f>
        <v>Branza cheddar felii 2026</v>
      </c>
      <c r="C100" s="19" t="n">
        <v>1</v>
      </c>
      <c r="D100" s="20" t="str">
        <f aca="false">IFERROR(VLOOKUP(A100,NOMENCLATOR!$A:$E,3,0),"")</f>
        <v>EA</v>
      </c>
      <c r="E100" s="21" t="n">
        <f aca="false">IFERROR(VLOOKUP(A100,NOMENCLATOR!$A:$E,4,0),"")</f>
        <v>0.61567</v>
      </c>
      <c r="F100" s="21" t="n">
        <f aca="false">IF(OR(C100="",E100=""),"",C100*E100)</f>
        <v>0.61567</v>
      </c>
      <c r="G100" s="22" t="n">
        <f aca="false">IFERROR(VLOOKUP(A100,NOMENCLATOR!$A:$E,5,0),"")</f>
        <v>0.61567</v>
      </c>
      <c r="H100" s="22" t="n">
        <f aca="false">IF(OR(C100="",G100=""),"",C100*G100)</f>
        <v>0.61567</v>
      </c>
    </row>
    <row r="101" customFormat="false" ht="15" hidden="false" customHeight="true" outlineLevel="0" collapsed="false">
      <c r="A101" s="17" t="s">
        <v>130</v>
      </c>
      <c r="B101" s="18" t="str">
        <f aca="false">IFERROR(VLOOKUP(A101,NOMENCLATOR!$A:$E,2,0),"")</f>
        <v>HARTIE AMERICAN CHEESBURGER 12X12 AA14</v>
      </c>
      <c r="C101" s="19" t="n">
        <v>1</v>
      </c>
      <c r="D101" s="20" t="str">
        <f aca="false">IFERROR(VLOOKUP(A101,NOMENCLATOR!$A:$E,3,0),"")</f>
        <v>EA</v>
      </c>
      <c r="E101" s="21" t="n">
        <f aca="false">IFERROR(VLOOKUP(A101,NOMENCLATOR!$A:$E,4,0),"")</f>
        <v>0.111</v>
      </c>
      <c r="F101" s="21" t="n">
        <f aca="false">IF(OR(C101="",E101=""),"",C101*E101)</f>
        <v>0.111</v>
      </c>
      <c r="G101" s="22" t="n">
        <f aca="false">IFERROR(VLOOKUP(A101,NOMENCLATOR!$A:$E,5,0),"")</f>
        <v>0.111</v>
      </c>
      <c r="H101" s="22" t="n">
        <f aca="false">IF(OR(C101="",G101=""),"",C101*G101)</f>
        <v>0.111</v>
      </c>
    </row>
    <row r="102" customFormat="false" ht="15" hidden="false" customHeight="true" outlineLevel="0" collapsed="false">
      <c r="A102" s="23" t="str">
        <f aca="false">IF(A96="","",A96)</f>
        <v>AMERICAN CHEESEBURGER new</v>
      </c>
      <c r="B102" s="24"/>
      <c r="C102" s="24"/>
      <c r="D102" s="24"/>
      <c r="E102" s="24"/>
      <c r="F102" s="25" t="n">
        <f aca="false">IF(A96="","",SUM(F98:F101))</f>
        <v>6.059</v>
      </c>
      <c r="G102" s="24"/>
      <c r="H102" s="26" t="n">
        <f aca="false">IF(A96="","",SUM(H98:H101))</f>
        <v>6.47667</v>
      </c>
    </row>
    <row r="104" customFormat="false" ht="15" hidden="false" customHeight="true" outlineLevel="0" collapsed="false">
      <c r="A104" s="12" t="s">
        <v>331</v>
      </c>
      <c r="B104" s="13"/>
      <c r="C104" s="13"/>
      <c r="D104" s="13"/>
      <c r="E104" s="13"/>
      <c r="F104" s="14" t="s">
        <v>315</v>
      </c>
      <c r="G104" s="13"/>
      <c r="H104" s="15"/>
    </row>
    <row r="105" customFormat="false" ht="15" hidden="false" customHeight="true" outlineLevel="0" collapsed="false">
      <c r="A105" s="16" t="s">
        <v>316</v>
      </c>
      <c r="B105" s="16" t="s">
        <v>317</v>
      </c>
      <c r="C105" s="16" t="s">
        <v>318</v>
      </c>
      <c r="D105" s="16" t="s">
        <v>4</v>
      </c>
      <c r="E105" s="16" t="s">
        <v>319</v>
      </c>
      <c r="F105" s="16" t="s">
        <v>320</v>
      </c>
      <c r="G105" s="16" t="s">
        <v>321</v>
      </c>
      <c r="H105" s="16" t="s">
        <v>322</v>
      </c>
    </row>
    <row r="106" customFormat="false" ht="15" hidden="false" customHeight="true" outlineLevel="0" collapsed="false">
      <c r="A106" s="17" t="s">
        <v>98</v>
      </c>
      <c r="B106" s="18" t="str">
        <f aca="false">IFERROR(VLOOKUP(A106,NOMENCLATOR!$A:$E,2,0),"")</f>
        <v>CHIFLA CARTOF 3.5inch 53G x 72</v>
      </c>
      <c r="C106" s="19" t="n">
        <v>1</v>
      </c>
      <c r="D106" s="20" t="str">
        <f aca="false">IFERROR(VLOOKUP(A106,NOMENCLATOR!$A:$E,3,0),"")</f>
        <v>EA</v>
      </c>
      <c r="E106" s="21" t="n">
        <f aca="false">IFERROR(VLOOKUP(A106,NOMENCLATOR!$A:$E,4,0),"")</f>
        <v>2.4</v>
      </c>
      <c r="F106" s="21" t="n">
        <f aca="false">IF(OR(C106="",E106=""),"",C106*E106)</f>
        <v>2.4</v>
      </c>
      <c r="G106" s="22" t="n">
        <f aca="false">IFERROR(VLOOKUP(A106,NOMENCLATOR!$A:$E,5,0),"")</f>
        <v>2.4</v>
      </c>
      <c r="H106" s="22" t="n">
        <f aca="false">IF(OR(C106="",G106=""),"",C106*G106)</f>
        <v>2.4</v>
      </c>
    </row>
    <row r="107" customFormat="false" ht="15" hidden="false" customHeight="true" outlineLevel="0" collapsed="false">
      <c r="A107" s="17" t="s">
        <v>236</v>
      </c>
      <c r="B107" s="18" t="str">
        <f aca="false">IFERROR(VLOOKUP(A107,NOMENCLATOR!$A:$E,2,0),"")</f>
        <v>PREP - smashed koliber 60G</v>
      </c>
      <c r="C107" s="19" t="n">
        <v>1</v>
      </c>
      <c r="D107" s="20" t="str">
        <f aca="false">IFERROR(VLOOKUP(A107,NOMENCLATOR!$A:$E,3,0),"")</f>
        <v>EA</v>
      </c>
      <c r="E107" s="21" t="n">
        <f aca="false">IFERROR(VLOOKUP(A107,NOMENCLATOR!$A:$E,4,0),"")</f>
        <v>2.93233</v>
      </c>
      <c r="F107" s="21" t="n">
        <f aca="false">IF(OR(C107="",E107=""),"",C107*E107)</f>
        <v>2.93233</v>
      </c>
      <c r="G107" s="22" t="n">
        <f aca="false">IFERROR(VLOOKUP(A107,NOMENCLATOR!$A:$E,5,0),"")</f>
        <v>3.35</v>
      </c>
      <c r="H107" s="22" t="n">
        <f aca="false">IF(OR(C107="",G107=""),"",C107*G107)</f>
        <v>3.35</v>
      </c>
    </row>
    <row r="108" customFormat="false" ht="15" hidden="false" customHeight="true" outlineLevel="0" collapsed="false">
      <c r="A108" s="17" t="s">
        <v>68</v>
      </c>
      <c r="B108" s="18" t="str">
        <f aca="false">IFERROR(VLOOKUP(A108,NOMENCLATOR!$A:$E,2,0),"")</f>
        <v>Branza cheddar felii 2026</v>
      </c>
      <c r="C108" s="19" t="n">
        <v>1</v>
      </c>
      <c r="D108" s="20" t="str">
        <f aca="false">IFERROR(VLOOKUP(A108,NOMENCLATOR!$A:$E,3,0),"")</f>
        <v>EA</v>
      </c>
      <c r="E108" s="21" t="n">
        <f aca="false">IFERROR(VLOOKUP(A108,NOMENCLATOR!$A:$E,4,0),"")</f>
        <v>0.61567</v>
      </c>
      <c r="F108" s="21" t="n">
        <f aca="false">IF(OR(C108="",E108=""),"",C108*E108)</f>
        <v>0.61567</v>
      </c>
      <c r="G108" s="22" t="n">
        <f aca="false">IFERROR(VLOOKUP(A108,NOMENCLATOR!$A:$E,5,0),"")</f>
        <v>0.61567</v>
      </c>
      <c r="H108" s="22" t="n">
        <f aca="false">IF(OR(C108="",G108=""),"",C108*G108)</f>
        <v>0.61567</v>
      </c>
    </row>
    <row r="109" customFormat="false" ht="15" hidden="false" customHeight="true" outlineLevel="0" collapsed="false">
      <c r="A109" s="17" t="s">
        <v>130</v>
      </c>
      <c r="B109" s="18" t="str">
        <f aca="false">IFERROR(VLOOKUP(A109,NOMENCLATOR!$A:$E,2,0),"")</f>
        <v>HARTIE AMERICAN CHEESBURGER 12X12 AA14</v>
      </c>
      <c r="C109" s="19" t="n">
        <v>1</v>
      </c>
      <c r="D109" s="20" t="str">
        <f aca="false">IFERROR(VLOOKUP(A109,NOMENCLATOR!$A:$E,3,0),"")</f>
        <v>EA</v>
      </c>
      <c r="E109" s="21" t="n">
        <f aca="false">IFERROR(VLOOKUP(A109,NOMENCLATOR!$A:$E,4,0),"")</f>
        <v>0.111</v>
      </c>
      <c r="F109" s="21" t="n">
        <f aca="false">IF(OR(C109="",E109=""),"",C109*E109)</f>
        <v>0.111</v>
      </c>
      <c r="G109" s="22" t="n">
        <f aca="false">IFERROR(VLOOKUP(A109,NOMENCLATOR!$A:$E,5,0),"")</f>
        <v>0.111</v>
      </c>
      <c r="H109" s="22" t="n">
        <f aca="false">IF(OR(C109="",G109=""),"",C109*G109)</f>
        <v>0.111</v>
      </c>
    </row>
    <row r="110" customFormat="false" ht="15" hidden="false" customHeight="true" outlineLevel="0" collapsed="false">
      <c r="A110" s="23" t="str">
        <f aca="false">IF(A104="","",A104)</f>
        <v>AMERICAN CHEESEBURGER new D</v>
      </c>
      <c r="B110" s="24"/>
      <c r="C110" s="24"/>
      <c r="D110" s="24"/>
      <c r="E110" s="24"/>
      <c r="F110" s="25" t="n">
        <f aca="false">IF(A104="","",SUM(F106:F109))</f>
        <v>6.059</v>
      </c>
      <c r="G110" s="24"/>
      <c r="H110" s="26" t="n">
        <f aca="false">IF(A104="","",SUM(H106:H109))</f>
        <v>6.47667</v>
      </c>
    </row>
    <row r="112" customFormat="false" ht="15" hidden="false" customHeight="true" outlineLevel="0" collapsed="false">
      <c r="A112" s="12" t="s">
        <v>332</v>
      </c>
      <c r="B112" s="13"/>
      <c r="C112" s="13"/>
      <c r="D112" s="13"/>
      <c r="E112" s="13"/>
      <c r="F112" s="14" t="s">
        <v>315</v>
      </c>
      <c r="G112" s="13"/>
      <c r="H112" s="15"/>
    </row>
    <row r="113" customFormat="false" ht="15" hidden="false" customHeight="true" outlineLevel="0" collapsed="false">
      <c r="A113" s="16" t="s">
        <v>316</v>
      </c>
      <c r="B113" s="16" t="s">
        <v>317</v>
      </c>
      <c r="C113" s="16" t="s">
        <v>318</v>
      </c>
      <c r="D113" s="16" t="s">
        <v>4</v>
      </c>
      <c r="E113" s="16" t="s">
        <v>319</v>
      </c>
      <c r="F113" s="16" t="s">
        <v>320</v>
      </c>
      <c r="G113" s="16" t="s">
        <v>321</v>
      </c>
      <c r="H113" s="16" t="s">
        <v>322</v>
      </c>
    </row>
    <row r="114" customFormat="false" ht="15" hidden="false" customHeight="true" outlineLevel="0" collapsed="false">
      <c r="A114" s="17" t="s">
        <v>98</v>
      </c>
      <c r="B114" s="18" t="str">
        <f aca="false">IFERROR(VLOOKUP(A114,NOMENCLATOR!$A:$E,2,0),"")</f>
        <v>CHIFLA CARTOF 3.5inch 53G x 72</v>
      </c>
      <c r="C114" s="19" t="n">
        <v>1</v>
      </c>
      <c r="D114" s="20" t="str">
        <f aca="false">IFERROR(VLOOKUP(A114,NOMENCLATOR!$A:$E,3,0),"")</f>
        <v>EA</v>
      </c>
      <c r="E114" s="21" t="n">
        <f aca="false">IFERROR(VLOOKUP(A114,NOMENCLATOR!$A:$E,4,0),"")</f>
        <v>2.4</v>
      </c>
      <c r="F114" s="21" t="n">
        <f aca="false">IF(OR(C114="",E114=""),"",C114*E114)</f>
        <v>2.4</v>
      </c>
      <c r="G114" s="22" t="n">
        <f aca="false">IFERROR(VLOOKUP(A114,NOMENCLATOR!$A:$E,5,0),"")</f>
        <v>2.4</v>
      </c>
      <c r="H114" s="22" t="n">
        <f aca="false">IF(OR(C114="",G114=""),"",C114*G114)</f>
        <v>2.4</v>
      </c>
    </row>
    <row r="115" customFormat="false" ht="15" hidden="false" customHeight="true" outlineLevel="0" collapsed="false">
      <c r="A115" s="17" t="s">
        <v>236</v>
      </c>
      <c r="B115" s="18" t="str">
        <f aca="false">IFERROR(VLOOKUP(A115,NOMENCLATOR!$A:$E,2,0),"")</f>
        <v>PREP - smashed koliber 60G</v>
      </c>
      <c r="C115" s="19" t="n">
        <v>2</v>
      </c>
      <c r="D115" s="20" t="str">
        <f aca="false">IFERROR(VLOOKUP(A115,NOMENCLATOR!$A:$E,3,0),"")</f>
        <v>EA</v>
      </c>
      <c r="E115" s="21" t="n">
        <f aca="false">IFERROR(VLOOKUP(A115,NOMENCLATOR!$A:$E,4,0),"")</f>
        <v>2.93233</v>
      </c>
      <c r="F115" s="21" t="n">
        <f aca="false">IF(OR(C115="",E115=""),"",C115*E115)</f>
        <v>5.86466</v>
      </c>
      <c r="G115" s="22" t="n">
        <f aca="false">IFERROR(VLOOKUP(A115,NOMENCLATOR!$A:$E,5,0),"")</f>
        <v>3.35</v>
      </c>
      <c r="H115" s="22" t="n">
        <f aca="false">IF(OR(C115="",G115=""),"",C115*G115)</f>
        <v>6.7</v>
      </c>
    </row>
    <row r="116" customFormat="false" ht="15" hidden="false" customHeight="true" outlineLevel="0" collapsed="false">
      <c r="A116" s="17" t="s">
        <v>68</v>
      </c>
      <c r="B116" s="18" t="str">
        <f aca="false">IFERROR(VLOOKUP(A116,NOMENCLATOR!$A:$E,2,0),"")</f>
        <v>Branza cheddar felii 2026</v>
      </c>
      <c r="C116" s="19" t="n">
        <v>2</v>
      </c>
      <c r="D116" s="20" t="str">
        <f aca="false">IFERROR(VLOOKUP(A116,NOMENCLATOR!$A:$E,3,0),"")</f>
        <v>EA</v>
      </c>
      <c r="E116" s="21" t="n">
        <f aca="false">IFERROR(VLOOKUP(A116,NOMENCLATOR!$A:$E,4,0),"")</f>
        <v>0.61567</v>
      </c>
      <c r="F116" s="21" t="n">
        <f aca="false">IF(OR(C116="",E116=""),"",C116*E116)</f>
        <v>1.23134</v>
      </c>
      <c r="G116" s="22" t="n">
        <f aca="false">IFERROR(VLOOKUP(A116,NOMENCLATOR!$A:$E,5,0),"")</f>
        <v>0.61567</v>
      </c>
      <c r="H116" s="22" t="n">
        <f aca="false">IF(OR(C116="",G116=""),"",C116*G116)</f>
        <v>1.23134</v>
      </c>
    </row>
    <row r="117" customFormat="false" ht="15" hidden="false" customHeight="true" outlineLevel="0" collapsed="false">
      <c r="A117" s="17" t="s">
        <v>132</v>
      </c>
      <c r="B117" s="18" t="str">
        <f aca="false">IFERROR(VLOOKUP(A117,NOMENCLATOR!$A:$E,2,0),"")</f>
        <v>HARTIE BURGER Doubles 12x12 AA13</v>
      </c>
      <c r="C117" s="19" t="n">
        <v>1</v>
      </c>
      <c r="D117" s="20" t="str">
        <f aca="false">IFERROR(VLOOKUP(A117,NOMENCLATOR!$A:$E,3,0),"")</f>
        <v>EA</v>
      </c>
      <c r="E117" s="21" t="n">
        <f aca="false">IFERROR(VLOOKUP(A117,NOMENCLATOR!$A:$E,4,0),"")</f>
        <v>0.111</v>
      </c>
      <c r="F117" s="21" t="n">
        <f aca="false">IF(OR(C117="",E117=""),"",C117*E117)</f>
        <v>0.111</v>
      </c>
      <c r="G117" s="22" t="n">
        <f aca="false">IFERROR(VLOOKUP(A117,NOMENCLATOR!$A:$E,5,0),"")</f>
        <v>0.111</v>
      </c>
      <c r="H117" s="22" t="n">
        <f aca="false">IF(OR(C117="",G117=""),"",C117*G117)</f>
        <v>0.111</v>
      </c>
    </row>
    <row r="118" customFormat="false" ht="15" hidden="false" customHeight="true" outlineLevel="0" collapsed="false">
      <c r="A118" s="23" t="str">
        <f aca="false">IF(A112="","",A112)</f>
        <v>AMERICAN DUBLU CHEESEBURGER new</v>
      </c>
      <c r="B118" s="24"/>
      <c r="C118" s="24"/>
      <c r="D118" s="24"/>
      <c r="E118" s="24"/>
      <c r="F118" s="25" t="n">
        <f aca="false">IF(A112="","",SUM(F114:F117))</f>
        <v>9.607</v>
      </c>
      <c r="G118" s="24"/>
      <c r="H118" s="26" t="n">
        <f aca="false">IF(A112="","",SUM(H114:H117))</f>
        <v>10.44234</v>
      </c>
    </row>
    <row r="120" customFormat="false" ht="15" hidden="false" customHeight="true" outlineLevel="0" collapsed="false">
      <c r="A120" s="12" t="s">
        <v>333</v>
      </c>
      <c r="B120" s="13"/>
      <c r="C120" s="13"/>
      <c r="D120" s="13"/>
      <c r="E120" s="13"/>
      <c r="F120" s="14" t="s">
        <v>315</v>
      </c>
      <c r="G120" s="13"/>
      <c r="H120" s="15"/>
    </row>
    <row r="121" customFormat="false" ht="15" hidden="false" customHeight="true" outlineLevel="0" collapsed="false">
      <c r="A121" s="16" t="s">
        <v>316</v>
      </c>
      <c r="B121" s="16" t="s">
        <v>317</v>
      </c>
      <c r="C121" s="16" t="s">
        <v>318</v>
      </c>
      <c r="D121" s="16" t="s">
        <v>4</v>
      </c>
      <c r="E121" s="16" t="s">
        <v>319</v>
      </c>
      <c r="F121" s="16" t="s">
        <v>320</v>
      </c>
      <c r="G121" s="16" t="s">
        <v>321</v>
      </c>
      <c r="H121" s="16" t="s">
        <v>322</v>
      </c>
    </row>
    <row r="122" customFormat="false" ht="15" hidden="false" customHeight="true" outlineLevel="0" collapsed="false">
      <c r="A122" s="17" t="s">
        <v>98</v>
      </c>
      <c r="B122" s="18" t="str">
        <f aca="false">IFERROR(VLOOKUP(A122,NOMENCLATOR!$A:$E,2,0),"")</f>
        <v>CHIFLA CARTOF 3.5inch 53G x 72</v>
      </c>
      <c r="C122" s="19" t="n">
        <v>1</v>
      </c>
      <c r="D122" s="20" t="str">
        <f aca="false">IFERROR(VLOOKUP(A122,NOMENCLATOR!$A:$E,3,0),"")</f>
        <v>EA</v>
      </c>
      <c r="E122" s="21" t="n">
        <f aca="false">IFERROR(VLOOKUP(A122,NOMENCLATOR!$A:$E,4,0),"")</f>
        <v>2.4</v>
      </c>
      <c r="F122" s="21" t="n">
        <f aca="false">IF(OR(C122="",E122=""),"",C122*E122)</f>
        <v>2.4</v>
      </c>
      <c r="G122" s="22" t="n">
        <f aca="false">IFERROR(VLOOKUP(A122,NOMENCLATOR!$A:$E,5,0),"")</f>
        <v>2.4</v>
      </c>
      <c r="H122" s="22" t="n">
        <f aca="false">IF(OR(C122="",G122=""),"",C122*G122)</f>
        <v>2.4</v>
      </c>
    </row>
    <row r="123" customFormat="false" ht="15" hidden="false" customHeight="true" outlineLevel="0" collapsed="false">
      <c r="A123" s="17" t="s">
        <v>236</v>
      </c>
      <c r="B123" s="18" t="str">
        <f aca="false">IFERROR(VLOOKUP(A123,NOMENCLATOR!$A:$E,2,0),"")</f>
        <v>PREP - smashed koliber 60G</v>
      </c>
      <c r="C123" s="19" t="n">
        <v>2</v>
      </c>
      <c r="D123" s="20" t="str">
        <f aca="false">IFERROR(VLOOKUP(A123,NOMENCLATOR!$A:$E,3,0),"")</f>
        <v>EA</v>
      </c>
      <c r="E123" s="21" t="n">
        <f aca="false">IFERROR(VLOOKUP(A123,NOMENCLATOR!$A:$E,4,0),"")</f>
        <v>2.93233</v>
      </c>
      <c r="F123" s="21" t="n">
        <f aca="false">IF(OR(C123="",E123=""),"",C123*E123)</f>
        <v>5.86466</v>
      </c>
      <c r="G123" s="22" t="n">
        <f aca="false">IFERROR(VLOOKUP(A123,NOMENCLATOR!$A:$E,5,0),"")</f>
        <v>3.35</v>
      </c>
      <c r="H123" s="22" t="n">
        <f aca="false">IF(OR(C123="",G123=""),"",C123*G123)</f>
        <v>6.7</v>
      </c>
    </row>
    <row r="124" customFormat="false" ht="15" hidden="false" customHeight="true" outlineLevel="0" collapsed="false">
      <c r="A124" s="17" t="s">
        <v>68</v>
      </c>
      <c r="B124" s="18" t="str">
        <f aca="false">IFERROR(VLOOKUP(A124,NOMENCLATOR!$A:$E,2,0),"")</f>
        <v>Branza cheddar felii 2026</v>
      </c>
      <c r="C124" s="19" t="n">
        <v>2</v>
      </c>
      <c r="D124" s="20" t="str">
        <f aca="false">IFERROR(VLOOKUP(A124,NOMENCLATOR!$A:$E,3,0),"")</f>
        <v>EA</v>
      </c>
      <c r="E124" s="21" t="n">
        <f aca="false">IFERROR(VLOOKUP(A124,NOMENCLATOR!$A:$E,4,0),"")</f>
        <v>0.61567</v>
      </c>
      <c r="F124" s="21" t="n">
        <f aca="false">IF(OR(C124="",E124=""),"",C124*E124)</f>
        <v>1.23134</v>
      </c>
      <c r="G124" s="22" t="n">
        <f aca="false">IFERROR(VLOOKUP(A124,NOMENCLATOR!$A:$E,5,0),"")</f>
        <v>0.61567</v>
      </c>
      <c r="H124" s="22" t="n">
        <f aca="false">IF(OR(C124="",G124=""),"",C124*G124)</f>
        <v>1.23134</v>
      </c>
    </row>
    <row r="125" customFormat="false" ht="15" hidden="false" customHeight="true" outlineLevel="0" collapsed="false">
      <c r="A125" s="17" t="s">
        <v>132</v>
      </c>
      <c r="B125" s="18" t="str">
        <f aca="false">IFERROR(VLOOKUP(A125,NOMENCLATOR!$A:$E,2,0),"")</f>
        <v>HARTIE BURGER Doubles 12x12 AA13</v>
      </c>
      <c r="C125" s="19" t="n">
        <v>1</v>
      </c>
      <c r="D125" s="20" t="str">
        <f aca="false">IFERROR(VLOOKUP(A125,NOMENCLATOR!$A:$E,3,0),"")</f>
        <v>EA</v>
      </c>
      <c r="E125" s="21" t="n">
        <f aca="false">IFERROR(VLOOKUP(A125,NOMENCLATOR!$A:$E,4,0),"")</f>
        <v>0.111</v>
      </c>
      <c r="F125" s="21" t="n">
        <f aca="false">IF(OR(C125="",E125=""),"",C125*E125)</f>
        <v>0.111</v>
      </c>
      <c r="G125" s="22" t="n">
        <f aca="false">IFERROR(VLOOKUP(A125,NOMENCLATOR!$A:$E,5,0),"")</f>
        <v>0.111</v>
      </c>
      <c r="H125" s="22" t="n">
        <f aca="false">IF(OR(C125="",G125=""),"",C125*G125)</f>
        <v>0.111</v>
      </c>
    </row>
    <row r="126" customFormat="false" ht="15" hidden="false" customHeight="true" outlineLevel="0" collapsed="false">
      <c r="A126" s="23" t="str">
        <f aca="false">IF(A120="","",A120)</f>
        <v>AMERICAN DUBLU CHEESEBURGER new D</v>
      </c>
      <c r="B126" s="24"/>
      <c r="C126" s="24"/>
      <c r="D126" s="24"/>
      <c r="E126" s="24"/>
      <c r="F126" s="25" t="n">
        <f aca="false">IF(A120="","",SUM(F122:F125))</f>
        <v>9.607</v>
      </c>
      <c r="G126" s="24"/>
      <c r="H126" s="26" t="n">
        <f aca="false">IF(A120="","",SUM(H122:H125))</f>
        <v>10.44234</v>
      </c>
    </row>
    <row r="128" customFormat="false" ht="15" hidden="false" customHeight="true" outlineLevel="0" collapsed="false">
      <c r="A128" s="12" t="s">
        <v>334</v>
      </c>
      <c r="B128" s="13"/>
      <c r="C128" s="13"/>
      <c r="D128" s="13"/>
      <c r="E128" s="13"/>
      <c r="F128" s="14" t="s">
        <v>315</v>
      </c>
      <c r="G128" s="13"/>
      <c r="H128" s="15"/>
    </row>
    <row r="129" customFormat="false" ht="15" hidden="false" customHeight="true" outlineLevel="0" collapsed="false">
      <c r="A129" s="16" t="s">
        <v>316</v>
      </c>
      <c r="B129" s="16" t="s">
        <v>317</v>
      </c>
      <c r="C129" s="16" t="s">
        <v>318</v>
      </c>
      <c r="D129" s="16" t="s">
        <v>4</v>
      </c>
      <c r="E129" s="16" t="s">
        <v>319</v>
      </c>
      <c r="F129" s="16" t="s">
        <v>320</v>
      </c>
      <c r="G129" s="16" t="s">
        <v>321</v>
      </c>
      <c r="H129" s="16" t="s">
        <v>322</v>
      </c>
    </row>
    <row r="130" customFormat="false" ht="15" hidden="false" customHeight="true" outlineLevel="0" collapsed="false">
      <c r="A130" s="17" t="s">
        <v>98</v>
      </c>
      <c r="B130" s="18" t="str">
        <f aca="false">IFERROR(VLOOKUP(A130,NOMENCLATOR!$A:$E,2,0),"")</f>
        <v>CHIFLA CARTOF 3.5inch 53G x 72</v>
      </c>
      <c r="C130" s="19" t="n">
        <v>1</v>
      </c>
      <c r="D130" s="20" t="str">
        <f aca="false">IFERROR(VLOOKUP(A130,NOMENCLATOR!$A:$E,3,0),"")</f>
        <v>EA</v>
      </c>
      <c r="E130" s="21" t="n">
        <f aca="false">IFERROR(VLOOKUP(A130,NOMENCLATOR!$A:$E,4,0),"")</f>
        <v>2.4</v>
      </c>
      <c r="F130" s="21" t="n">
        <f aca="false">IF(OR(C130="",E130=""),"",C130*E130)</f>
        <v>2.4</v>
      </c>
      <c r="G130" s="22" t="n">
        <f aca="false">IFERROR(VLOOKUP(A130,NOMENCLATOR!$A:$E,5,0),"")</f>
        <v>2.4</v>
      </c>
      <c r="H130" s="22" t="n">
        <f aca="false">IF(OR(C130="",G130=""),"",C130*G130)</f>
        <v>2.4</v>
      </c>
    </row>
    <row r="131" customFormat="false" ht="15" hidden="false" customHeight="true" outlineLevel="0" collapsed="false">
      <c r="A131" s="17" t="s">
        <v>236</v>
      </c>
      <c r="B131" s="18" t="str">
        <f aca="false">IFERROR(VLOOKUP(A131,NOMENCLATOR!$A:$E,2,0),"")</f>
        <v>PREP - smashed koliber 60G</v>
      </c>
      <c r="C131" s="19" t="n">
        <v>3</v>
      </c>
      <c r="D131" s="20" t="str">
        <f aca="false">IFERROR(VLOOKUP(A131,NOMENCLATOR!$A:$E,3,0),"")</f>
        <v>EA</v>
      </c>
      <c r="E131" s="21" t="n">
        <f aca="false">IFERROR(VLOOKUP(A131,NOMENCLATOR!$A:$E,4,0),"")</f>
        <v>2.93233</v>
      </c>
      <c r="F131" s="21" t="n">
        <f aca="false">IF(OR(C131="",E131=""),"",C131*E131)</f>
        <v>8.79699</v>
      </c>
      <c r="G131" s="22" t="n">
        <f aca="false">IFERROR(VLOOKUP(A131,NOMENCLATOR!$A:$E,5,0),"")</f>
        <v>3.35</v>
      </c>
      <c r="H131" s="22" t="n">
        <f aca="false">IF(OR(C131="",G131=""),"",C131*G131)</f>
        <v>10.05</v>
      </c>
    </row>
    <row r="132" customFormat="false" ht="15" hidden="false" customHeight="true" outlineLevel="0" collapsed="false">
      <c r="A132" s="17" t="s">
        <v>68</v>
      </c>
      <c r="B132" s="18" t="str">
        <f aca="false">IFERROR(VLOOKUP(A132,NOMENCLATOR!$A:$E,2,0),"")</f>
        <v>Branza cheddar felii 2026</v>
      </c>
      <c r="C132" s="19" t="n">
        <v>3</v>
      </c>
      <c r="D132" s="20" t="str">
        <f aca="false">IFERROR(VLOOKUP(A132,NOMENCLATOR!$A:$E,3,0),"")</f>
        <v>EA</v>
      </c>
      <c r="E132" s="21" t="n">
        <f aca="false">IFERROR(VLOOKUP(A132,NOMENCLATOR!$A:$E,4,0),"")</f>
        <v>0.61567</v>
      </c>
      <c r="F132" s="21" t="n">
        <f aca="false">IF(OR(C132="",E132=""),"",C132*E132)</f>
        <v>1.84701</v>
      </c>
      <c r="G132" s="22" t="n">
        <f aca="false">IFERROR(VLOOKUP(A132,NOMENCLATOR!$A:$E,5,0),"")</f>
        <v>0.61567</v>
      </c>
      <c r="H132" s="22" t="n">
        <f aca="false">IF(OR(C132="",G132=""),"",C132*G132)</f>
        <v>1.84701</v>
      </c>
    </row>
    <row r="133" customFormat="false" ht="15" hidden="false" customHeight="true" outlineLevel="0" collapsed="false">
      <c r="A133" s="17" t="s">
        <v>132</v>
      </c>
      <c r="B133" s="18" t="str">
        <f aca="false">IFERROR(VLOOKUP(A133,NOMENCLATOR!$A:$E,2,0),"")</f>
        <v>HARTIE BURGER Doubles 12x12 AA13</v>
      </c>
      <c r="C133" s="19" t="n">
        <v>1</v>
      </c>
      <c r="D133" s="20" t="str">
        <f aca="false">IFERROR(VLOOKUP(A133,NOMENCLATOR!$A:$E,3,0),"")</f>
        <v>EA</v>
      </c>
      <c r="E133" s="21" t="n">
        <f aca="false">IFERROR(VLOOKUP(A133,NOMENCLATOR!$A:$E,4,0),"")</f>
        <v>0.111</v>
      </c>
      <c r="F133" s="21" t="n">
        <f aca="false">IF(OR(C133="",E133=""),"",C133*E133)</f>
        <v>0.111</v>
      </c>
      <c r="G133" s="22" t="n">
        <f aca="false">IFERROR(VLOOKUP(A133,NOMENCLATOR!$A:$E,5,0),"")</f>
        <v>0.111</v>
      </c>
      <c r="H133" s="22" t="n">
        <f aca="false">IF(OR(C133="",G133=""),"",C133*G133)</f>
        <v>0.111</v>
      </c>
    </row>
    <row r="134" customFormat="false" ht="15" hidden="false" customHeight="true" outlineLevel="0" collapsed="false">
      <c r="A134" s="23" t="str">
        <f aca="false">IF(A128="","",A128)</f>
        <v>AMERICAN TRIPLU CHEESEBURGER new</v>
      </c>
      <c r="B134" s="24"/>
      <c r="C134" s="24"/>
      <c r="D134" s="24"/>
      <c r="E134" s="24"/>
      <c r="F134" s="25" t="n">
        <f aca="false">IF(A128="","",SUM(F130:F133))</f>
        <v>13.155</v>
      </c>
      <c r="G134" s="24"/>
      <c r="H134" s="26" t="n">
        <f aca="false">IF(A128="","",SUM(H130:H133))</f>
        <v>14.40801</v>
      </c>
    </row>
    <row r="136" customFormat="false" ht="15" hidden="false" customHeight="true" outlineLevel="0" collapsed="false">
      <c r="A136" s="12" t="s">
        <v>335</v>
      </c>
      <c r="B136" s="13"/>
      <c r="C136" s="13"/>
      <c r="D136" s="13"/>
      <c r="E136" s="13"/>
      <c r="F136" s="14" t="s">
        <v>315</v>
      </c>
      <c r="G136" s="13"/>
      <c r="H136" s="15"/>
    </row>
    <row r="137" customFormat="false" ht="15" hidden="false" customHeight="true" outlineLevel="0" collapsed="false">
      <c r="A137" s="16" t="s">
        <v>316</v>
      </c>
      <c r="B137" s="16" t="s">
        <v>317</v>
      </c>
      <c r="C137" s="16" t="s">
        <v>318</v>
      </c>
      <c r="D137" s="16" t="s">
        <v>4</v>
      </c>
      <c r="E137" s="16" t="s">
        <v>319</v>
      </c>
      <c r="F137" s="16" t="s">
        <v>320</v>
      </c>
      <c r="G137" s="16" t="s">
        <v>321</v>
      </c>
      <c r="H137" s="16" t="s">
        <v>322</v>
      </c>
    </row>
    <row r="138" customFormat="false" ht="15" hidden="false" customHeight="true" outlineLevel="0" collapsed="false">
      <c r="A138" s="17" t="s">
        <v>98</v>
      </c>
      <c r="B138" s="18" t="str">
        <f aca="false">IFERROR(VLOOKUP(A138,NOMENCLATOR!$A:$E,2,0),"")</f>
        <v>CHIFLA CARTOF 3.5inch 53G x 72</v>
      </c>
      <c r="C138" s="19" t="n">
        <v>1</v>
      </c>
      <c r="D138" s="20" t="str">
        <f aca="false">IFERROR(VLOOKUP(A138,NOMENCLATOR!$A:$E,3,0),"")</f>
        <v>EA</v>
      </c>
      <c r="E138" s="21" t="n">
        <f aca="false">IFERROR(VLOOKUP(A138,NOMENCLATOR!$A:$E,4,0),"")</f>
        <v>2.4</v>
      </c>
      <c r="F138" s="21" t="n">
        <f aca="false">IF(OR(C138="",E138=""),"",C138*E138)</f>
        <v>2.4</v>
      </c>
      <c r="G138" s="22" t="n">
        <f aca="false">IFERROR(VLOOKUP(A138,NOMENCLATOR!$A:$E,5,0),"")</f>
        <v>2.4</v>
      </c>
      <c r="H138" s="22" t="n">
        <f aca="false">IF(OR(C138="",G138=""),"",C138*G138)</f>
        <v>2.4</v>
      </c>
    </row>
    <row r="139" customFormat="false" ht="15" hidden="false" customHeight="true" outlineLevel="0" collapsed="false">
      <c r="A139" s="17" t="s">
        <v>236</v>
      </c>
      <c r="B139" s="18" t="str">
        <f aca="false">IFERROR(VLOOKUP(A139,NOMENCLATOR!$A:$E,2,0),"")</f>
        <v>PREP - smashed koliber 60G</v>
      </c>
      <c r="C139" s="19" t="n">
        <v>3</v>
      </c>
      <c r="D139" s="20" t="str">
        <f aca="false">IFERROR(VLOOKUP(A139,NOMENCLATOR!$A:$E,3,0),"")</f>
        <v>EA</v>
      </c>
      <c r="E139" s="21" t="n">
        <f aca="false">IFERROR(VLOOKUP(A139,NOMENCLATOR!$A:$E,4,0),"")</f>
        <v>2.93233</v>
      </c>
      <c r="F139" s="21" t="n">
        <f aca="false">IF(OR(C139="",E139=""),"",C139*E139)</f>
        <v>8.79699</v>
      </c>
      <c r="G139" s="22" t="n">
        <f aca="false">IFERROR(VLOOKUP(A139,NOMENCLATOR!$A:$E,5,0),"")</f>
        <v>3.35</v>
      </c>
      <c r="H139" s="22" t="n">
        <f aca="false">IF(OR(C139="",G139=""),"",C139*G139)</f>
        <v>10.05</v>
      </c>
    </row>
    <row r="140" customFormat="false" ht="15" hidden="false" customHeight="true" outlineLevel="0" collapsed="false">
      <c r="A140" s="17" t="s">
        <v>68</v>
      </c>
      <c r="B140" s="18" t="str">
        <f aca="false">IFERROR(VLOOKUP(A140,NOMENCLATOR!$A:$E,2,0),"")</f>
        <v>Branza cheddar felii 2026</v>
      </c>
      <c r="C140" s="19" t="n">
        <v>3</v>
      </c>
      <c r="D140" s="20" t="str">
        <f aca="false">IFERROR(VLOOKUP(A140,NOMENCLATOR!$A:$E,3,0),"")</f>
        <v>EA</v>
      </c>
      <c r="E140" s="21" t="n">
        <f aca="false">IFERROR(VLOOKUP(A140,NOMENCLATOR!$A:$E,4,0),"")</f>
        <v>0.61567</v>
      </c>
      <c r="F140" s="21" t="n">
        <f aca="false">IF(OR(C140="",E140=""),"",C140*E140)</f>
        <v>1.84701</v>
      </c>
      <c r="G140" s="22" t="n">
        <f aca="false">IFERROR(VLOOKUP(A140,NOMENCLATOR!$A:$E,5,0),"")</f>
        <v>0.61567</v>
      </c>
      <c r="H140" s="22" t="n">
        <f aca="false">IF(OR(C140="",G140=""),"",C140*G140)</f>
        <v>1.84701</v>
      </c>
    </row>
    <row r="141" customFormat="false" ht="15" hidden="false" customHeight="true" outlineLevel="0" collapsed="false">
      <c r="A141" s="17" t="s">
        <v>132</v>
      </c>
      <c r="B141" s="18" t="str">
        <f aca="false">IFERROR(VLOOKUP(A141,NOMENCLATOR!$A:$E,2,0),"")</f>
        <v>HARTIE BURGER Doubles 12x12 AA13</v>
      </c>
      <c r="C141" s="19" t="n">
        <v>1</v>
      </c>
      <c r="D141" s="20" t="str">
        <f aca="false">IFERROR(VLOOKUP(A141,NOMENCLATOR!$A:$E,3,0),"")</f>
        <v>EA</v>
      </c>
      <c r="E141" s="21" t="n">
        <f aca="false">IFERROR(VLOOKUP(A141,NOMENCLATOR!$A:$E,4,0),"")</f>
        <v>0.111</v>
      </c>
      <c r="F141" s="21" t="n">
        <f aca="false">IF(OR(C141="",E141=""),"",C141*E141)</f>
        <v>0.111</v>
      </c>
      <c r="G141" s="22" t="n">
        <f aca="false">IFERROR(VLOOKUP(A141,NOMENCLATOR!$A:$E,5,0),"")</f>
        <v>0.111</v>
      </c>
      <c r="H141" s="22" t="n">
        <f aca="false">IF(OR(C141="",G141=""),"",C141*G141)</f>
        <v>0.111</v>
      </c>
    </row>
    <row r="142" customFormat="false" ht="15" hidden="false" customHeight="true" outlineLevel="0" collapsed="false">
      <c r="A142" s="23" t="str">
        <f aca="false">IF(A136="","",A136)</f>
        <v>AMERICAN TRIPLU CHEESEBURGER new D</v>
      </c>
      <c r="B142" s="24"/>
      <c r="C142" s="24"/>
      <c r="D142" s="24"/>
      <c r="E142" s="24"/>
      <c r="F142" s="25" t="n">
        <f aca="false">IF(A136="","",SUM(F138:F141))</f>
        <v>13.155</v>
      </c>
      <c r="G142" s="24"/>
      <c r="H142" s="26" t="n">
        <f aca="false">IF(A136="","",SUM(H138:H141))</f>
        <v>14.40801</v>
      </c>
    </row>
    <row r="144" customFormat="false" ht="15" hidden="false" customHeight="true" outlineLevel="0" collapsed="false">
      <c r="A144" s="12" t="s">
        <v>336</v>
      </c>
      <c r="B144" s="13"/>
      <c r="C144" s="13"/>
      <c r="D144" s="13"/>
      <c r="E144" s="13"/>
      <c r="F144" s="14" t="s">
        <v>315</v>
      </c>
      <c r="G144" s="13"/>
      <c r="H144" s="15"/>
    </row>
    <row r="145" customFormat="false" ht="15" hidden="false" customHeight="true" outlineLevel="0" collapsed="false">
      <c r="A145" s="16" t="s">
        <v>316</v>
      </c>
      <c r="B145" s="16" t="s">
        <v>317</v>
      </c>
      <c r="C145" s="16" t="s">
        <v>318</v>
      </c>
      <c r="D145" s="16" t="s">
        <v>4</v>
      </c>
      <c r="E145" s="16" t="s">
        <v>319</v>
      </c>
      <c r="F145" s="16" t="s">
        <v>320</v>
      </c>
      <c r="G145" s="16" t="s">
        <v>321</v>
      </c>
      <c r="H145" s="16" t="s">
        <v>322</v>
      </c>
    </row>
    <row r="146" customFormat="false" ht="15" hidden="false" customHeight="true" outlineLevel="0" collapsed="false">
      <c r="A146" s="17" t="s">
        <v>98</v>
      </c>
      <c r="B146" s="18" t="str">
        <f aca="false">IFERROR(VLOOKUP(A146,NOMENCLATOR!$A:$E,2,0),"")</f>
        <v>CHIFLA CARTOF 3.5inch 53G x 72</v>
      </c>
      <c r="C146" s="19" t="n">
        <v>1</v>
      </c>
      <c r="D146" s="20" t="str">
        <f aca="false">IFERROR(VLOOKUP(A146,NOMENCLATOR!$A:$E,3,0),"")</f>
        <v>EA</v>
      </c>
      <c r="E146" s="21" t="n">
        <f aca="false">IFERROR(VLOOKUP(A146,NOMENCLATOR!$A:$E,4,0),"")</f>
        <v>2.4</v>
      </c>
      <c r="F146" s="21" t="n">
        <f aca="false">IF(OR(C146="",E146=""),"",C146*E146)</f>
        <v>2.4</v>
      </c>
      <c r="G146" s="22" t="n">
        <f aca="false">IFERROR(VLOOKUP(A146,NOMENCLATOR!$A:$E,5,0),"")</f>
        <v>2.4</v>
      </c>
      <c r="H146" s="22" t="n">
        <f aca="false">IF(OR(C146="",G146=""),"",C146*G146)</f>
        <v>2.4</v>
      </c>
    </row>
    <row r="147" customFormat="false" ht="15" hidden="false" customHeight="true" outlineLevel="0" collapsed="false">
      <c r="A147" s="17" t="s">
        <v>236</v>
      </c>
      <c r="B147" s="18" t="str">
        <f aca="false">IFERROR(VLOOKUP(A147,NOMENCLATOR!$A:$E,2,0),"")</f>
        <v>PREP - smashed koliber 60G</v>
      </c>
      <c r="C147" s="19" t="n">
        <v>1</v>
      </c>
      <c r="D147" s="20" t="str">
        <f aca="false">IFERROR(VLOOKUP(A147,NOMENCLATOR!$A:$E,3,0),"")</f>
        <v>EA</v>
      </c>
      <c r="E147" s="21" t="n">
        <f aca="false">IFERROR(VLOOKUP(A147,NOMENCLATOR!$A:$E,4,0),"")</f>
        <v>2.93233</v>
      </c>
      <c r="F147" s="21" t="n">
        <f aca="false">IF(OR(C147="",E147=""),"",C147*E147)</f>
        <v>2.93233</v>
      </c>
      <c r="G147" s="22" t="n">
        <f aca="false">IFERROR(VLOOKUP(A147,NOMENCLATOR!$A:$E,5,0),"")</f>
        <v>3.35</v>
      </c>
      <c r="H147" s="22" t="n">
        <f aca="false">IF(OR(C147="",G147=""),"",C147*G147)</f>
        <v>3.35</v>
      </c>
    </row>
    <row r="148" customFormat="false" ht="15" hidden="false" customHeight="true" outlineLevel="0" collapsed="false">
      <c r="A148" s="17" t="s">
        <v>68</v>
      </c>
      <c r="B148" s="18" t="str">
        <f aca="false">IFERROR(VLOOKUP(A148,NOMENCLATOR!$A:$E,2,0),"")</f>
        <v>Branza cheddar felii 2026</v>
      </c>
      <c r="C148" s="19" t="n">
        <v>1</v>
      </c>
      <c r="D148" s="20" t="str">
        <f aca="false">IFERROR(VLOOKUP(A148,NOMENCLATOR!$A:$E,3,0),"")</f>
        <v>EA</v>
      </c>
      <c r="E148" s="21" t="n">
        <f aca="false">IFERROR(VLOOKUP(A148,NOMENCLATOR!$A:$E,4,0),"")</f>
        <v>0.61567</v>
      </c>
      <c r="F148" s="21" t="n">
        <f aca="false">IF(OR(C148="",E148=""),"",C148*E148)</f>
        <v>0.61567</v>
      </c>
      <c r="G148" s="22" t="n">
        <f aca="false">IFERROR(VLOOKUP(A148,NOMENCLATOR!$A:$E,5,0),"")</f>
        <v>0.61567</v>
      </c>
      <c r="H148" s="22" t="n">
        <f aca="false">IF(OR(C148="",G148=""),"",C148*G148)</f>
        <v>0.61567</v>
      </c>
    </row>
    <row r="149" customFormat="false" ht="15" hidden="false" customHeight="true" outlineLevel="0" collapsed="false">
      <c r="A149" s="17" t="s">
        <v>304</v>
      </c>
      <c r="B149" s="18" t="str">
        <f aca="false">IFERROR(VLOOKUP(A149,NOMENCLATOR!$A:$E,2,0),"")</f>
        <v>Y - Ceapa Cuburi</v>
      </c>
      <c r="C149" s="19" t="n">
        <v>20</v>
      </c>
      <c r="D149" s="20" t="str">
        <f aca="false">IFERROR(VLOOKUP(A149,NOMENCLATOR!$A:$E,3,0),"")</f>
        <v>GM</v>
      </c>
      <c r="E149" s="21" t="n">
        <f aca="false">IFERROR(VLOOKUP(A149,NOMENCLATOR!$A:$E,4,0),"")</f>
        <v>0.007</v>
      </c>
      <c r="F149" s="21" t="n">
        <f aca="false">IF(OR(C149="",E149=""),"",C149*E149)</f>
        <v>0.14</v>
      </c>
      <c r="G149" s="22" t="n">
        <f aca="false">IFERROR(VLOOKUP(A149,NOMENCLATOR!$A:$E,5,0),"")</f>
        <v>0.007</v>
      </c>
      <c r="H149" s="22" t="n">
        <f aca="false">IF(OR(C149="",G149=""),"",C149*G149)</f>
        <v>0.14</v>
      </c>
    </row>
    <row r="150" customFormat="false" ht="15" hidden="false" customHeight="true" outlineLevel="0" collapsed="false">
      <c r="A150" s="17" t="s">
        <v>310</v>
      </c>
      <c r="B150" s="18" t="str">
        <f aca="false">IFERROR(VLOOKUP(A150,NOMENCLATOR!$A:$E,2,0),"")</f>
        <v>Y-Castraveti felii in saramura</v>
      </c>
      <c r="C150" s="19" t="n">
        <v>11.2</v>
      </c>
      <c r="D150" s="20" t="str">
        <f aca="false">IFERROR(VLOOKUP(A150,NOMENCLATOR!$A:$E,3,0),"")</f>
        <v>GM</v>
      </c>
      <c r="E150" s="21" t="n">
        <f aca="false">IFERROR(VLOOKUP(A150,NOMENCLATOR!$A:$E,4,0),"")</f>
        <v>0.01554</v>
      </c>
      <c r="F150" s="21" t="n">
        <f aca="false">IF(OR(C150="",E150=""),"",C150*E150)</f>
        <v>0.174048</v>
      </c>
      <c r="G150" s="22" t="n">
        <f aca="false">IFERROR(VLOOKUP(A150,NOMENCLATOR!$A:$E,5,0),"")</f>
        <v>0.01554</v>
      </c>
      <c r="H150" s="22" t="n">
        <f aca="false">IF(OR(C150="",G150=""),"",C150*G150)</f>
        <v>0.174048</v>
      </c>
    </row>
    <row r="151" customFormat="false" ht="15" hidden="false" customHeight="true" outlineLevel="0" collapsed="false">
      <c r="A151" s="17" t="s">
        <v>38</v>
      </c>
      <c r="B151" s="18" t="str">
        <f aca="false">IFERROR(VLOOKUP(A151,NOMENCLATOR!$A:$E,2,0),"")</f>
        <v>2025 - PATRATA FRY IMPERFECT</v>
      </c>
      <c r="C151" s="19" t="n">
        <v>1</v>
      </c>
      <c r="D151" s="20" t="str">
        <f aca="false">IFERROR(VLOOKUP(A151,NOMENCLATOR!$A:$E,3,0),"")</f>
        <v>EA</v>
      </c>
      <c r="E151" s="21" t="n">
        <f aca="false">IFERROR(VLOOKUP(A151,NOMENCLATOR!$A:$E,4,0),"")</f>
        <v>0.693</v>
      </c>
      <c r="F151" s="21" t="n">
        <f aca="false">IF(OR(C151="",E151=""),"",C151*E151)</f>
        <v>0.693</v>
      </c>
      <c r="G151" s="22" t="n">
        <f aca="false">IFERROR(VLOOKUP(A151,NOMENCLATOR!$A:$E,5,0),"")</f>
        <v>0.693</v>
      </c>
      <c r="H151" s="22" t="n">
        <f aca="false">IF(OR(C151="",G151=""),"",C151*G151)</f>
        <v>0.693</v>
      </c>
    </row>
    <row r="152" customFormat="false" ht="15" hidden="false" customHeight="true" outlineLevel="0" collapsed="false">
      <c r="A152" s="17" t="s">
        <v>244</v>
      </c>
      <c r="B152" s="18" t="str">
        <f aca="false">IFERROR(VLOOKUP(A152,NOMENCLATOR!$A:$E,2,0),"")</f>
        <v>PUNGA 11x5x12.5 BURGER MIC</v>
      </c>
      <c r="C152" s="19" t="n">
        <v>1</v>
      </c>
      <c r="D152" s="20" t="str">
        <f aca="false">IFERROR(VLOOKUP(A152,NOMENCLATOR!$A:$E,3,0),"")</f>
        <v>EA</v>
      </c>
      <c r="E152" s="21" t="n">
        <f aca="false">IFERROR(VLOOKUP(A152,NOMENCLATOR!$A:$E,4,0),"")</f>
        <v>0.105</v>
      </c>
      <c r="F152" s="21" t="n">
        <f aca="false">IF(OR(C152="",E152=""),"",C152*E152)</f>
        <v>0.105</v>
      </c>
      <c r="G152" s="22" t="n">
        <f aca="false">IFERROR(VLOOKUP(A152,NOMENCLATOR!$A:$E,5,0),"")</f>
        <v>0.105</v>
      </c>
      <c r="H152" s="22" t="n">
        <f aca="false">IF(OR(C152="",G152=""),"",C152*G152)</f>
        <v>0.105</v>
      </c>
    </row>
    <row r="153" customFormat="false" ht="15" hidden="false" customHeight="true" outlineLevel="0" collapsed="false">
      <c r="A153" s="17" t="s">
        <v>286</v>
      </c>
      <c r="B153" s="18" t="str">
        <f aca="false">IFERROR(VLOOKUP(A153,NOMENCLATOR!$A:$E,2,0),"")</f>
        <v>Sos Real Burger</v>
      </c>
      <c r="C153" s="19" t="n">
        <v>20</v>
      </c>
      <c r="D153" s="20" t="str">
        <f aca="false">IFERROR(VLOOKUP(A153,NOMENCLATOR!$A:$E,3,0),"")</f>
        <v>ML</v>
      </c>
      <c r="E153" s="21" t="n">
        <f aca="false">IFERROR(VLOOKUP(A153,NOMENCLATOR!$A:$E,4,0),"")</f>
        <v>0.02703</v>
      </c>
      <c r="F153" s="21" t="n">
        <f aca="false">IF(OR(C153="",E153=""),"",C153*E153)</f>
        <v>0.5406</v>
      </c>
      <c r="G153" s="22" t="n">
        <f aca="false">IFERROR(VLOOKUP(A153,NOMENCLATOR!$A:$E,5,0),"")</f>
        <v>0.02703</v>
      </c>
      <c r="H153" s="22" t="n">
        <f aca="false">IF(OR(C153="",G153=""),"",C153*G153)</f>
        <v>0.5406</v>
      </c>
    </row>
    <row r="154" customFormat="false" ht="15" hidden="false" customHeight="true" outlineLevel="0" collapsed="false">
      <c r="A154" s="23" t="str">
        <f aca="false">IF(A144="","",A144)</f>
        <v>SMASHED BURGER new</v>
      </c>
      <c r="B154" s="24"/>
      <c r="C154" s="24"/>
      <c r="D154" s="24"/>
      <c r="E154" s="24"/>
      <c r="F154" s="25" t="n">
        <f aca="false">IF(A144="","",SUM(F146:F153))</f>
        <v>7.600648</v>
      </c>
      <c r="G154" s="24"/>
      <c r="H154" s="26" t="n">
        <f aca="false">IF(A144="","",SUM(H146:H153))</f>
        <v>8.018318</v>
      </c>
    </row>
    <row r="156" customFormat="false" ht="15" hidden="false" customHeight="true" outlineLevel="0" collapsed="false">
      <c r="A156" s="12" t="s">
        <v>337</v>
      </c>
      <c r="B156" s="13"/>
      <c r="C156" s="13"/>
      <c r="D156" s="13"/>
      <c r="E156" s="13"/>
      <c r="F156" s="14" t="s">
        <v>315</v>
      </c>
      <c r="G156" s="13"/>
      <c r="H156" s="15"/>
    </row>
    <row r="157" customFormat="false" ht="15" hidden="false" customHeight="true" outlineLevel="0" collapsed="false">
      <c r="A157" s="16" t="s">
        <v>316</v>
      </c>
      <c r="B157" s="16" t="s">
        <v>317</v>
      </c>
      <c r="C157" s="16" t="s">
        <v>318</v>
      </c>
      <c r="D157" s="16" t="s">
        <v>4</v>
      </c>
      <c r="E157" s="16" t="s">
        <v>319</v>
      </c>
      <c r="F157" s="16" t="s">
        <v>320</v>
      </c>
      <c r="G157" s="16" t="s">
        <v>321</v>
      </c>
      <c r="H157" s="16" t="s">
        <v>322</v>
      </c>
    </row>
    <row r="158" customFormat="false" ht="15" hidden="false" customHeight="true" outlineLevel="0" collapsed="false">
      <c r="A158" s="17" t="s">
        <v>98</v>
      </c>
      <c r="B158" s="18" t="str">
        <f aca="false">IFERROR(VLOOKUP(A158,NOMENCLATOR!$A:$E,2,0),"")</f>
        <v>CHIFLA CARTOF 3.5inch 53G x 72</v>
      </c>
      <c r="C158" s="19" t="n">
        <v>1</v>
      </c>
      <c r="D158" s="20" t="str">
        <f aca="false">IFERROR(VLOOKUP(A158,NOMENCLATOR!$A:$E,3,0),"")</f>
        <v>EA</v>
      </c>
      <c r="E158" s="21" t="n">
        <f aca="false">IFERROR(VLOOKUP(A158,NOMENCLATOR!$A:$E,4,0),"")</f>
        <v>2.4</v>
      </c>
      <c r="F158" s="21" t="n">
        <f aca="false">IF(OR(C158="",E158=""),"",C158*E158)</f>
        <v>2.4</v>
      </c>
      <c r="G158" s="22" t="n">
        <f aca="false">IFERROR(VLOOKUP(A158,NOMENCLATOR!$A:$E,5,0),"")</f>
        <v>2.4</v>
      </c>
      <c r="H158" s="22" t="n">
        <f aca="false">IF(OR(C158="",G158=""),"",C158*G158)</f>
        <v>2.4</v>
      </c>
    </row>
    <row r="159" customFormat="false" ht="15" hidden="false" customHeight="true" outlineLevel="0" collapsed="false">
      <c r="A159" s="17" t="s">
        <v>236</v>
      </c>
      <c r="B159" s="18" t="str">
        <f aca="false">IFERROR(VLOOKUP(A159,NOMENCLATOR!$A:$E,2,0),"")</f>
        <v>PREP - smashed koliber 60G</v>
      </c>
      <c r="C159" s="19" t="n">
        <v>1</v>
      </c>
      <c r="D159" s="20" t="str">
        <f aca="false">IFERROR(VLOOKUP(A159,NOMENCLATOR!$A:$E,3,0),"")</f>
        <v>EA</v>
      </c>
      <c r="E159" s="21" t="n">
        <f aca="false">IFERROR(VLOOKUP(A159,NOMENCLATOR!$A:$E,4,0),"")</f>
        <v>2.93233</v>
      </c>
      <c r="F159" s="21" t="n">
        <f aca="false">IF(OR(C159="",E159=""),"",C159*E159)</f>
        <v>2.93233</v>
      </c>
      <c r="G159" s="22" t="n">
        <f aca="false">IFERROR(VLOOKUP(A159,NOMENCLATOR!$A:$E,5,0),"")</f>
        <v>3.35</v>
      </c>
      <c r="H159" s="22" t="n">
        <f aca="false">IF(OR(C159="",G159=""),"",C159*G159)</f>
        <v>3.35</v>
      </c>
    </row>
    <row r="160" customFormat="false" ht="15" hidden="false" customHeight="true" outlineLevel="0" collapsed="false">
      <c r="A160" s="17" t="s">
        <v>68</v>
      </c>
      <c r="B160" s="18" t="str">
        <f aca="false">IFERROR(VLOOKUP(A160,NOMENCLATOR!$A:$E,2,0),"")</f>
        <v>Branza cheddar felii 2026</v>
      </c>
      <c r="C160" s="19" t="n">
        <v>1</v>
      </c>
      <c r="D160" s="20" t="str">
        <f aca="false">IFERROR(VLOOKUP(A160,NOMENCLATOR!$A:$E,3,0),"")</f>
        <v>EA</v>
      </c>
      <c r="E160" s="21" t="n">
        <f aca="false">IFERROR(VLOOKUP(A160,NOMENCLATOR!$A:$E,4,0),"")</f>
        <v>0.61567</v>
      </c>
      <c r="F160" s="21" t="n">
        <f aca="false">IF(OR(C160="",E160=""),"",C160*E160)</f>
        <v>0.61567</v>
      </c>
      <c r="G160" s="22" t="n">
        <f aca="false">IFERROR(VLOOKUP(A160,NOMENCLATOR!$A:$E,5,0),"")</f>
        <v>0.61567</v>
      </c>
      <c r="H160" s="22" t="n">
        <f aca="false">IF(OR(C160="",G160=""),"",C160*G160)</f>
        <v>0.61567</v>
      </c>
    </row>
    <row r="161" customFormat="false" ht="15" hidden="false" customHeight="true" outlineLevel="0" collapsed="false">
      <c r="A161" s="17" t="s">
        <v>304</v>
      </c>
      <c r="B161" s="18" t="str">
        <f aca="false">IFERROR(VLOOKUP(A161,NOMENCLATOR!$A:$E,2,0),"")</f>
        <v>Y - Ceapa Cuburi</v>
      </c>
      <c r="C161" s="19" t="n">
        <v>20</v>
      </c>
      <c r="D161" s="20" t="str">
        <f aca="false">IFERROR(VLOOKUP(A161,NOMENCLATOR!$A:$E,3,0),"")</f>
        <v>GM</v>
      </c>
      <c r="E161" s="21" t="n">
        <f aca="false">IFERROR(VLOOKUP(A161,NOMENCLATOR!$A:$E,4,0),"")</f>
        <v>0.007</v>
      </c>
      <c r="F161" s="21" t="n">
        <f aca="false">IF(OR(C161="",E161=""),"",C161*E161)</f>
        <v>0.14</v>
      </c>
      <c r="G161" s="22" t="n">
        <f aca="false">IFERROR(VLOOKUP(A161,NOMENCLATOR!$A:$E,5,0),"")</f>
        <v>0.007</v>
      </c>
      <c r="H161" s="22" t="n">
        <f aca="false">IF(OR(C161="",G161=""),"",C161*G161)</f>
        <v>0.14</v>
      </c>
    </row>
    <row r="162" customFormat="false" ht="15" hidden="false" customHeight="true" outlineLevel="0" collapsed="false">
      <c r="A162" s="17" t="s">
        <v>310</v>
      </c>
      <c r="B162" s="18" t="str">
        <f aca="false">IFERROR(VLOOKUP(A162,NOMENCLATOR!$A:$E,2,0),"")</f>
        <v>Y-Castraveti felii in saramura</v>
      </c>
      <c r="C162" s="19" t="n">
        <v>11.2</v>
      </c>
      <c r="D162" s="20" t="str">
        <f aca="false">IFERROR(VLOOKUP(A162,NOMENCLATOR!$A:$E,3,0),"")</f>
        <v>GM</v>
      </c>
      <c r="E162" s="21" t="n">
        <f aca="false">IFERROR(VLOOKUP(A162,NOMENCLATOR!$A:$E,4,0),"")</f>
        <v>0.01554</v>
      </c>
      <c r="F162" s="21" t="n">
        <f aca="false">IF(OR(C162="",E162=""),"",C162*E162)</f>
        <v>0.174048</v>
      </c>
      <c r="G162" s="22" t="n">
        <f aca="false">IFERROR(VLOOKUP(A162,NOMENCLATOR!$A:$E,5,0),"")</f>
        <v>0.01554</v>
      </c>
      <c r="H162" s="22" t="n">
        <f aca="false">IF(OR(C162="",G162=""),"",C162*G162)</f>
        <v>0.174048</v>
      </c>
    </row>
    <row r="163" customFormat="false" ht="15" hidden="false" customHeight="true" outlineLevel="0" collapsed="false">
      <c r="A163" s="17" t="s">
        <v>38</v>
      </c>
      <c r="B163" s="18" t="str">
        <f aca="false">IFERROR(VLOOKUP(A163,NOMENCLATOR!$A:$E,2,0),"")</f>
        <v>2025 - PATRATA FRY IMPERFECT</v>
      </c>
      <c r="C163" s="19" t="n">
        <v>1</v>
      </c>
      <c r="D163" s="20" t="str">
        <f aca="false">IFERROR(VLOOKUP(A163,NOMENCLATOR!$A:$E,3,0),"")</f>
        <v>EA</v>
      </c>
      <c r="E163" s="21" t="n">
        <f aca="false">IFERROR(VLOOKUP(A163,NOMENCLATOR!$A:$E,4,0),"")</f>
        <v>0.693</v>
      </c>
      <c r="F163" s="21" t="n">
        <f aca="false">IF(OR(C163="",E163=""),"",C163*E163)</f>
        <v>0.693</v>
      </c>
      <c r="G163" s="22" t="n">
        <f aca="false">IFERROR(VLOOKUP(A163,NOMENCLATOR!$A:$E,5,0),"")</f>
        <v>0.693</v>
      </c>
      <c r="H163" s="22" t="n">
        <f aca="false">IF(OR(C163="",G163=""),"",C163*G163)</f>
        <v>0.693</v>
      </c>
    </row>
    <row r="164" customFormat="false" ht="15" hidden="false" customHeight="true" outlineLevel="0" collapsed="false">
      <c r="A164" s="17" t="s">
        <v>244</v>
      </c>
      <c r="B164" s="18" t="str">
        <f aca="false">IFERROR(VLOOKUP(A164,NOMENCLATOR!$A:$E,2,0),"")</f>
        <v>PUNGA 11x5x12.5 BURGER MIC</v>
      </c>
      <c r="C164" s="19" t="n">
        <v>1</v>
      </c>
      <c r="D164" s="20" t="str">
        <f aca="false">IFERROR(VLOOKUP(A164,NOMENCLATOR!$A:$E,3,0),"")</f>
        <v>EA</v>
      </c>
      <c r="E164" s="21" t="n">
        <f aca="false">IFERROR(VLOOKUP(A164,NOMENCLATOR!$A:$E,4,0),"")</f>
        <v>0.105</v>
      </c>
      <c r="F164" s="21" t="n">
        <f aca="false">IF(OR(C164="",E164=""),"",C164*E164)</f>
        <v>0.105</v>
      </c>
      <c r="G164" s="22" t="n">
        <f aca="false">IFERROR(VLOOKUP(A164,NOMENCLATOR!$A:$E,5,0),"")</f>
        <v>0.105</v>
      </c>
      <c r="H164" s="22" t="n">
        <f aca="false">IF(OR(C164="",G164=""),"",C164*G164)</f>
        <v>0.105</v>
      </c>
    </row>
    <row r="165" customFormat="false" ht="15" hidden="false" customHeight="true" outlineLevel="0" collapsed="false">
      <c r="A165" s="17" t="s">
        <v>286</v>
      </c>
      <c r="B165" s="18" t="str">
        <f aca="false">IFERROR(VLOOKUP(A165,NOMENCLATOR!$A:$E,2,0),"")</f>
        <v>Sos Real Burger</v>
      </c>
      <c r="C165" s="19" t="n">
        <v>20</v>
      </c>
      <c r="D165" s="20" t="str">
        <f aca="false">IFERROR(VLOOKUP(A165,NOMENCLATOR!$A:$E,3,0),"")</f>
        <v>ML</v>
      </c>
      <c r="E165" s="21" t="n">
        <f aca="false">IFERROR(VLOOKUP(A165,NOMENCLATOR!$A:$E,4,0),"")</f>
        <v>0.02703</v>
      </c>
      <c r="F165" s="21" t="n">
        <f aca="false">IF(OR(C165="",E165=""),"",C165*E165)</f>
        <v>0.5406</v>
      </c>
      <c r="G165" s="22" t="n">
        <f aca="false">IFERROR(VLOOKUP(A165,NOMENCLATOR!$A:$E,5,0),"")</f>
        <v>0.02703</v>
      </c>
      <c r="H165" s="22" t="n">
        <f aca="false">IF(OR(C165="",G165=""),"",C165*G165)</f>
        <v>0.5406</v>
      </c>
    </row>
    <row r="166" customFormat="false" ht="15" hidden="false" customHeight="true" outlineLevel="0" collapsed="false">
      <c r="A166" s="23" t="str">
        <f aca="false">IF(A156="","",A156)</f>
        <v>SMASHED BURGER new D</v>
      </c>
      <c r="B166" s="24"/>
      <c r="C166" s="24"/>
      <c r="D166" s="24"/>
      <c r="E166" s="24"/>
      <c r="F166" s="25" t="n">
        <f aca="false">IF(A156="","",SUM(F158:F165))</f>
        <v>7.600648</v>
      </c>
      <c r="G166" s="24"/>
      <c r="H166" s="26" t="n">
        <f aca="false">IF(A156="","",SUM(H158:H165))</f>
        <v>8.018318</v>
      </c>
    </row>
    <row r="168" customFormat="false" ht="15" hidden="false" customHeight="true" outlineLevel="0" collapsed="false">
      <c r="A168" s="12" t="s">
        <v>338</v>
      </c>
      <c r="B168" s="13"/>
      <c r="C168" s="13"/>
      <c r="D168" s="13"/>
      <c r="E168" s="13"/>
      <c r="F168" s="14" t="s">
        <v>315</v>
      </c>
      <c r="G168" s="13"/>
      <c r="H168" s="15"/>
    </row>
    <row r="169" customFormat="false" ht="15" hidden="false" customHeight="true" outlineLevel="0" collapsed="false">
      <c r="A169" s="16" t="s">
        <v>316</v>
      </c>
      <c r="B169" s="16" t="s">
        <v>317</v>
      </c>
      <c r="C169" s="16" t="s">
        <v>318</v>
      </c>
      <c r="D169" s="16" t="s">
        <v>4</v>
      </c>
      <c r="E169" s="16" t="s">
        <v>319</v>
      </c>
      <c r="F169" s="16" t="s">
        <v>320</v>
      </c>
      <c r="G169" s="16" t="s">
        <v>321</v>
      </c>
      <c r="H169" s="16" t="s">
        <v>322</v>
      </c>
    </row>
    <row r="170" customFormat="false" ht="15" hidden="false" customHeight="true" outlineLevel="0" collapsed="false">
      <c r="A170" s="17" t="s">
        <v>98</v>
      </c>
      <c r="B170" s="18" t="str">
        <f aca="false">IFERROR(VLOOKUP(A170,NOMENCLATOR!$A:$E,2,0),"")</f>
        <v>CHIFLA CARTOF 3.5inch 53G x 72</v>
      </c>
      <c r="C170" s="19" t="n">
        <v>1</v>
      </c>
      <c r="D170" s="20" t="str">
        <f aca="false">IFERROR(VLOOKUP(A170,NOMENCLATOR!$A:$E,3,0),"")</f>
        <v>EA</v>
      </c>
      <c r="E170" s="21" t="n">
        <f aca="false">IFERROR(VLOOKUP(A170,NOMENCLATOR!$A:$E,4,0),"")</f>
        <v>2.4</v>
      </c>
      <c r="F170" s="21" t="n">
        <f aca="false">IF(OR(C170="",E170=""),"",C170*E170)</f>
        <v>2.4</v>
      </c>
      <c r="G170" s="22" t="n">
        <f aca="false">IFERROR(VLOOKUP(A170,NOMENCLATOR!$A:$E,5,0),"")</f>
        <v>2.4</v>
      </c>
      <c r="H170" s="22" t="n">
        <f aca="false">IF(OR(C170="",G170=""),"",C170*G170)</f>
        <v>2.4</v>
      </c>
    </row>
    <row r="171" customFormat="false" ht="15" hidden="false" customHeight="true" outlineLevel="0" collapsed="false">
      <c r="A171" s="17" t="s">
        <v>236</v>
      </c>
      <c r="B171" s="18" t="str">
        <f aca="false">IFERROR(VLOOKUP(A171,NOMENCLATOR!$A:$E,2,0),"")</f>
        <v>PREP - smashed koliber 60G</v>
      </c>
      <c r="C171" s="19" t="n">
        <v>2</v>
      </c>
      <c r="D171" s="20" t="str">
        <f aca="false">IFERROR(VLOOKUP(A171,NOMENCLATOR!$A:$E,3,0),"")</f>
        <v>EA</v>
      </c>
      <c r="E171" s="21" t="n">
        <f aca="false">IFERROR(VLOOKUP(A171,NOMENCLATOR!$A:$E,4,0),"")</f>
        <v>2.93233</v>
      </c>
      <c r="F171" s="21" t="n">
        <f aca="false">IF(OR(C171="",E171=""),"",C171*E171)</f>
        <v>5.86466</v>
      </c>
      <c r="G171" s="22" t="n">
        <f aca="false">IFERROR(VLOOKUP(A171,NOMENCLATOR!$A:$E,5,0),"")</f>
        <v>3.35</v>
      </c>
      <c r="H171" s="22" t="n">
        <f aca="false">IF(OR(C171="",G171=""),"",C171*G171)</f>
        <v>6.7</v>
      </c>
    </row>
    <row r="172" customFormat="false" ht="15" hidden="false" customHeight="true" outlineLevel="0" collapsed="false">
      <c r="A172" s="17" t="s">
        <v>68</v>
      </c>
      <c r="B172" s="18" t="str">
        <f aca="false">IFERROR(VLOOKUP(A172,NOMENCLATOR!$A:$E,2,0),"")</f>
        <v>Branza cheddar felii 2026</v>
      </c>
      <c r="C172" s="19" t="n">
        <v>2</v>
      </c>
      <c r="D172" s="20" t="str">
        <f aca="false">IFERROR(VLOOKUP(A172,NOMENCLATOR!$A:$E,3,0),"")</f>
        <v>EA</v>
      </c>
      <c r="E172" s="21" t="n">
        <f aca="false">IFERROR(VLOOKUP(A172,NOMENCLATOR!$A:$E,4,0),"")</f>
        <v>0.61567</v>
      </c>
      <c r="F172" s="21" t="n">
        <f aca="false">IF(OR(C172="",E172=""),"",C172*E172)</f>
        <v>1.23134</v>
      </c>
      <c r="G172" s="22" t="n">
        <f aca="false">IFERROR(VLOOKUP(A172,NOMENCLATOR!$A:$E,5,0),"")</f>
        <v>0.61567</v>
      </c>
      <c r="H172" s="22" t="n">
        <f aca="false">IF(OR(C172="",G172=""),"",C172*G172)</f>
        <v>1.23134</v>
      </c>
    </row>
    <row r="173" customFormat="false" ht="15" hidden="false" customHeight="true" outlineLevel="0" collapsed="false">
      <c r="A173" s="17" t="s">
        <v>304</v>
      </c>
      <c r="B173" s="18" t="str">
        <f aca="false">IFERROR(VLOOKUP(A173,NOMENCLATOR!$A:$E,2,0),"")</f>
        <v>Y - Ceapa Cuburi</v>
      </c>
      <c r="C173" s="19" t="n">
        <v>20</v>
      </c>
      <c r="D173" s="20" t="str">
        <f aca="false">IFERROR(VLOOKUP(A173,NOMENCLATOR!$A:$E,3,0),"")</f>
        <v>GM</v>
      </c>
      <c r="E173" s="21" t="n">
        <f aca="false">IFERROR(VLOOKUP(A173,NOMENCLATOR!$A:$E,4,0),"")</f>
        <v>0.007</v>
      </c>
      <c r="F173" s="21" t="n">
        <f aca="false">IF(OR(C173="",E173=""),"",C173*E173)</f>
        <v>0.14</v>
      </c>
      <c r="G173" s="22" t="n">
        <f aca="false">IFERROR(VLOOKUP(A173,NOMENCLATOR!$A:$E,5,0),"")</f>
        <v>0.007</v>
      </c>
      <c r="H173" s="22" t="n">
        <f aca="false">IF(OR(C173="",G173=""),"",C173*G173)</f>
        <v>0.14</v>
      </c>
    </row>
    <row r="174" customFormat="false" ht="15" hidden="false" customHeight="true" outlineLevel="0" collapsed="false">
      <c r="A174" s="17" t="s">
        <v>310</v>
      </c>
      <c r="B174" s="18" t="str">
        <f aca="false">IFERROR(VLOOKUP(A174,NOMENCLATOR!$A:$E,2,0),"")</f>
        <v>Y-Castraveti felii in saramura</v>
      </c>
      <c r="C174" s="19" t="n">
        <v>11.2</v>
      </c>
      <c r="D174" s="20" t="str">
        <f aca="false">IFERROR(VLOOKUP(A174,NOMENCLATOR!$A:$E,3,0),"")</f>
        <v>GM</v>
      </c>
      <c r="E174" s="21" t="n">
        <f aca="false">IFERROR(VLOOKUP(A174,NOMENCLATOR!$A:$E,4,0),"")</f>
        <v>0.01554</v>
      </c>
      <c r="F174" s="21" t="n">
        <f aca="false">IF(OR(C174="",E174=""),"",C174*E174)</f>
        <v>0.174048</v>
      </c>
      <c r="G174" s="22" t="n">
        <f aca="false">IFERROR(VLOOKUP(A174,NOMENCLATOR!$A:$E,5,0),"")</f>
        <v>0.01554</v>
      </c>
      <c r="H174" s="22" t="n">
        <f aca="false">IF(OR(C174="",G174=""),"",C174*G174)</f>
        <v>0.174048</v>
      </c>
    </row>
    <row r="175" customFormat="false" ht="15" hidden="false" customHeight="true" outlineLevel="0" collapsed="false">
      <c r="A175" s="17" t="s">
        <v>38</v>
      </c>
      <c r="B175" s="18" t="str">
        <f aca="false">IFERROR(VLOOKUP(A175,NOMENCLATOR!$A:$E,2,0),"")</f>
        <v>2025 - PATRATA FRY IMPERFECT</v>
      </c>
      <c r="C175" s="19" t="n">
        <v>1</v>
      </c>
      <c r="D175" s="20" t="str">
        <f aca="false">IFERROR(VLOOKUP(A175,NOMENCLATOR!$A:$E,3,0),"")</f>
        <v>EA</v>
      </c>
      <c r="E175" s="21" t="n">
        <f aca="false">IFERROR(VLOOKUP(A175,NOMENCLATOR!$A:$E,4,0),"")</f>
        <v>0.693</v>
      </c>
      <c r="F175" s="21" t="n">
        <f aca="false">IF(OR(C175="",E175=""),"",C175*E175)</f>
        <v>0.693</v>
      </c>
      <c r="G175" s="22" t="n">
        <f aca="false">IFERROR(VLOOKUP(A175,NOMENCLATOR!$A:$E,5,0),"")</f>
        <v>0.693</v>
      </c>
      <c r="H175" s="22" t="n">
        <f aca="false">IF(OR(C175="",G175=""),"",C175*G175)</f>
        <v>0.693</v>
      </c>
    </row>
    <row r="176" customFormat="false" ht="15" hidden="false" customHeight="true" outlineLevel="0" collapsed="false">
      <c r="A176" s="17" t="s">
        <v>244</v>
      </c>
      <c r="B176" s="18" t="str">
        <f aca="false">IFERROR(VLOOKUP(A176,NOMENCLATOR!$A:$E,2,0),"")</f>
        <v>PUNGA 11x5x12.5 BURGER MIC</v>
      </c>
      <c r="C176" s="19" t="n">
        <v>1</v>
      </c>
      <c r="D176" s="20" t="str">
        <f aca="false">IFERROR(VLOOKUP(A176,NOMENCLATOR!$A:$E,3,0),"")</f>
        <v>EA</v>
      </c>
      <c r="E176" s="21" t="n">
        <f aca="false">IFERROR(VLOOKUP(A176,NOMENCLATOR!$A:$E,4,0),"")</f>
        <v>0.105</v>
      </c>
      <c r="F176" s="21" t="n">
        <f aca="false">IF(OR(C176="",E176=""),"",C176*E176)</f>
        <v>0.105</v>
      </c>
      <c r="G176" s="22" t="n">
        <f aca="false">IFERROR(VLOOKUP(A176,NOMENCLATOR!$A:$E,5,0),"")</f>
        <v>0.105</v>
      </c>
      <c r="H176" s="22" t="n">
        <f aca="false">IF(OR(C176="",G176=""),"",C176*G176)</f>
        <v>0.105</v>
      </c>
    </row>
    <row r="177" customFormat="false" ht="15" hidden="false" customHeight="true" outlineLevel="0" collapsed="false">
      <c r="A177" s="17" t="s">
        <v>286</v>
      </c>
      <c r="B177" s="18" t="str">
        <f aca="false">IFERROR(VLOOKUP(A177,NOMENCLATOR!$A:$E,2,0),"")</f>
        <v>Sos Real Burger</v>
      </c>
      <c r="C177" s="19" t="n">
        <v>30</v>
      </c>
      <c r="D177" s="20" t="str">
        <f aca="false">IFERROR(VLOOKUP(A177,NOMENCLATOR!$A:$E,3,0),"")</f>
        <v>ML</v>
      </c>
      <c r="E177" s="21" t="n">
        <f aca="false">IFERROR(VLOOKUP(A177,NOMENCLATOR!$A:$E,4,0),"")</f>
        <v>0.02703</v>
      </c>
      <c r="F177" s="21" t="n">
        <f aca="false">IF(OR(C177="",E177=""),"",C177*E177)</f>
        <v>0.8109</v>
      </c>
      <c r="G177" s="22" t="n">
        <f aca="false">IFERROR(VLOOKUP(A177,NOMENCLATOR!$A:$E,5,0),"")</f>
        <v>0.02703</v>
      </c>
      <c r="H177" s="22" t="n">
        <f aca="false">IF(OR(C177="",G177=""),"",C177*G177)</f>
        <v>0.8109</v>
      </c>
    </row>
    <row r="178" customFormat="false" ht="15" hidden="false" customHeight="true" outlineLevel="0" collapsed="false">
      <c r="A178" s="23" t="str">
        <f aca="false">IF(A168="","",A168)</f>
        <v>DUBLU SMASHED BURGER new</v>
      </c>
      <c r="B178" s="24"/>
      <c r="C178" s="24"/>
      <c r="D178" s="24"/>
      <c r="E178" s="24"/>
      <c r="F178" s="25" t="n">
        <f aca="false">IF(A168="","",SUM(F170:F177))</f>
        <v>11.418948</v>
      </c>
      <c r="G178" s="24"/>
      <c r="H178" s="26" t="n">
        <f aca="false">IF(A168="","",SUM(H170:H177))</f>
        <v>12.254288</v>
      </c>
    </row>
    <row r="180" customFormat="false" ht="15" hidden="false" customHeight="true" outlineLevel="0" collapsed="false">
      <c r="A180" s="12" t="s">
        <v>339</v>
      </c>
      <c r="B180" s="13"/>
      <c r="C180" s="13"/>
      <c r="D180" s="13"/>
      <c r="E180" s="13"/>
      <c r="F180" s="14" t="s">
        <v>315</v>
      </c>
      <c r="G180" s="13"/>
      <c r="H180" s="15"/>
    </row>
    <row r="181" customFormat="false" ht="15" hidden="false" customHeight="true" outlineLevel="0" collapsed="false">
      <c r="A181" s="16" t="s">
        <v>316</v>
      </c>
      <c r="B181" s="16" t="s">
        <v>317</v>
      </c>
      <c r="C181" s="16" t="s">
        <v>318</v>
      </c>
      <c r="D181" s="16" t="s">
        <v>4</v>
      </c>
      <c r="E181" s="16" t="s">
        <v>319</v>
      </c>
      <c r="F181" s="16" t="s">
        <v>320</v>
      </c>
      <c r="G181" s="16" t="s">
        <v>321</v>
      </c>
      <c r="H181" s="16" t="s">
        <v>322</v>
      </c>
    </row>
    <row r="182" customFormat="false" ht="15" hidden="false" customHeight="true" outlineLevel="0" collapsed="false">
      <c r="A182" s="17" t="s">
        <v>98</v>
      </c>
      <c r="B182" s="18" t="str">
        <f aca="false">IFERROR(VLOOKUP(A182,NOMENCLATOR!$A:$E,2,0),"")</f>
        <v>CHIFLA CARTOF 3.5inch 53G x 72</v>
      </c>
      <c r="C182" s="19" t="n">
        <v>1</v>
      </c>
      <c r="D182" s="20" t="str">
        <f aca="false">IFERROR(VLOOKUP(A182,NOMENCLATOR!$A:$E,3,0),"")</f>
        <v>EA</v>
      </c>
      <c r="E182" s="21" t="n">
        <f aca="false">IFERROR(VLOOKUP(A182,NOMENCLATOR!$A:$E,4,0),"")</f>
        <v>2.4</v>
      </c>
      <c r="F182" s="21" t="n">
        <f aca="false">IF(OR(C182="",E182=""),"",C182*E182)</f>
        <v>2.4</v>
      </c>
      <c r="G182" s="22" t="n">
        <f aca="false">IFERROR(VLOOKUP(A182,NOMENCLATOR!$A:$E,5,0),"")</f>
        <v>2.4</v>
      </c>
      <c r="H182" s="22" t="n">
        <f aca="false">IF(OR(C182="",G182=""),"",C182*G182)</f>
        <v>2.4</v>
      </c>
    </row>
    <row r="183" customFormat="false" ht="15" hidden="false" customHeight="true" outlineLevel="0" collapsed="false">
      <c r="A183" s="17" t="s">
        <v>236</v>
      </c>
      <c r="B183" s="18" t="str">
        <f aca="false">IFERROR(VLOOKUP(A183,NOMENCLATOR!$A:$E,2,0),"")</f>
        <v>PREP - smashed koliber 60G</v>
      </c>
      <c r="C183" s="19" t="n">
        <v>2</v>
      </c>
      <c r="D183" s="20" t="str">
        <f aca="false">IFERROR(VLOOKUP(A183,NOMENCLATOR!$A:$E,3,0),"")</f>
        <v>EA</v>
      </c>
      <c r="E183" s="21" t="n">
        <f aca="false">IFERROR(VLOOKUP(A183,NOMENCLATOR!$A:$E,4,0),"")</f>
        <v>2.93233</v>
      </c>
      <c r="F183" s="21" t="n">
        <f aca="false">IF(OR(C183="",E183=""),"",C183*E183)</f>
        <v>5.86466</v>
      </c>
      <c r="G183" s="22" t="n">
        <f aca="false">IFERROR(VLOOKUP(A183,NOMENCLATOR!$A:$E,5,0),"")</f>
        <v>3.35</v>
      </c>
      <c r="H183" s="22" t="n">
        <f aca="false">IF(OR(C183="",G183=""),"",C183*G183)</f>
        <v>6.7</v>
      </c>
    </row>
    <row r="184" customFormat="false" ht="15" hidden="false" customHeight="true" outlineLevel="0" collapsed="false">
      <c r="A184" s="17" t="s">
        <v>68</v>
      </c>
      <c r="B184" s="18" t="str">
        <f aca="false">IFERROR(VLOOKUP(A184,NOMENCLATOR!$A:$E,2,0),"")</f>
        <v>Branza cheddar felii 2026</v>
      </c>
      <c r="C184" s="19" t="n">
        <v>2</v>
      </c>
      <c r="D184" s="20" t="str">
        <f aca="false">IFERROR(VLOOKUP(A184,NOMENCLATOR!$A:$E,3,0),"")</f>
        <v>EA</v>
      </c>
      <c r="E184" s="21" t="n">
        <f aca="false">IFERROR(VLOOKUP(A184,NOMENCLATOR!$A:$E,4,0),"")</f>
        <v>0.61567</v>
      </c>
      <c r="F184" s="21" t="n">
        <f aca="false">IF(OR(C184="",E184=""),"",C184*E184)</f>
        <v>1.23134</v>
      </c>
      <c r="G184" s="22" t="n">
        <f aca="false">IFERROR(VLOOKUP(A184,NOMENCLATOR!$A:$E,5,0),"")</f>
        <v>0.61567</v>
      </c>
      <c r="H184" s="22" t="n">
        <f aca="false">IF(OR(C184="",G184=""),"",C184*G184)</f>
        <v>1.23134</v>
      </c>
    </row>
    <row r="185" customFormat="false" ht="15" hidden="false" customHeight="true" outlineLevel="0" collapsed="false">
      <c r="A185" s="17" t="s">
        <v>304</v>
      </c>
      <c r="B185" s="18" t="str">
        <f aca="false">IFERROR(VLOOKUP(A185,NOMENCLATOR!$A:$E,2,0),"")</f>
        <v>Y - Ceapa Cuburi</v>
      </c>
      <c r="C185" s="19" t="n">
        <v>20</v>
      </c>
      <c r="D185" s="20" t="str">
        <f aca="false">IFERROR(VLOOKUP(A185,NOMENCLATOR!$A:$E,3,0),"")</f>
        <v>GM</v>
      </c>
      <c r="E185" s="21" t="n">
        <f aca="false">IFERROR(VLOOKUP(A185,NOMENCLATOR!$A:$E,4,0),"")</f>
        <v>0.007</v>
      </c>
      <c r="F185" s="21" t="n">
        <f aca="false">IF(OR(C185="",E185=""),"",C185*E185)</f>
        <v>0.14</v>
      </c>
      <c r="G185" s="22" t="n">
        <f aca="false">IFERROR(VLOOKUP(A185,NOMENCLATOR!$A:$E,5,0),"")</f>
        <v>0.007</v>
      </c>
      <c r="H185" s="22" t="n">
        <f aca="false">IF(OR(C185="",G185=""),"",C185*G185)</f>
        <v>0.14</v>
      </c>
    </row>
    <row r="186" customFormat="false" ht="15" hidden="false" customHeight="true" outlineLevel="0" collapsed="false">
      <c r="A186" s="17" t="s">
        <v>310</v>
      </c>
      <c r="B186" s="18" t="str">
        <f aca="false">IFERROR(VLOOKUP(A186,NOMENCLATOR!$A:$E,2,0),"")</f>
        <v>Y-Castraveti felii in saramura</v>
      </c>
      <c r="C186" s="19" t="n">
        <v>11.2</v>
      </c>
      <c r="D186" s="20" t="str">
        <f aca="false">IFERROR(VLOOKUP(A186,NOMENCLATOR!$A:$E,3,0),"")</f>
        <v>GM</v>
      </c>
      <c r="E186" s="21" t="n">
        <f aca="false">IFERROR(VLOOKUP(A186,NOMENCLATOR!$A:$E,4,0),"")</f>
        <v>0.01554</v>
      </c>
      <c r="F186" s="21" t="n">
        <f aca="false">IF(OR(C186="",E186=""),"",C186*E186)</f>
        <v>0.174048</v>
      </c>
      <c r="G186" s="22" t="n">
        <f aca="false">IFERROR(VLOOKUP(A186,NOMENCLATOR!$A:$E,5,0),"")</f>
        <v>0.01554</v>
      </c>
      <c r="H186" s="22" t="n">
        <f aca="false">IF(OR(C186="",G186=""),"",C186*G186)</f>
        <v>0.174048</v>
      </c>
    </row>
    <row r="187" customFormat="false" ht="15" hidden="false" customHeight="true" outlineLevel="0" collapsed="false">
      <c r="A187" s="17" t="s">
        <v>38</v>
      </c>
      <c r="B187" s="18" t="str">
        <f aca="false">IFERROR(VLOOKUP(A187,NOMENCLATOR!$A:$E,2,0),"")</f>
        <v>2025 - PATRATA FRY IMPERFECT</v>
      </c>
      <c r="C187" s="19" t="n">
        <v>1</v>
      </c>
      <c r="D187" s="20" t="str">
        <f aca="false">IFERROR(VLOOKUP(A187,NOMENCLATOR!$A:$E,3,0),"")</f>
        <v>EA</v>
      </c>
      <c r="E187" s="21" t="n">
        <f aca="false">IFERROR(VLOOKUP(A187,NOMENCLATOR!$A:$E,4,0),"")</f>
        <v>0.693</v>
      </c>
      <c r="F187" s="21" t="n">
        <f aca="false">IF(OR(C187="",E187=""),"",C187*E187)</f>
        <v>0.693</v>
      </c>
      <c r="G187" s="22" t="n">
        <f aca="false">IFERROR(VLOOKUP(A187,NOMENCLATOR!$A:$E,5,0),"")</f>
        <v>0.693</v>
      </c>
      <c r="H187" s="22" t="n">
        <f aca="false">IF(OR(C187="",G187=""),"",C187*G187)</f>
        <v>0.693</v>
      </c>
    </row>
    <row r="188" customFormat="false" ht="15" hidden="false" customHeight="true" outlineLevel="0" collapsed="false">
      <c r="A188" s="17" t="s">
        <v>244</v>
      </c>
      <c r="B188" s="18" t="str">
        <f aca="false">IFERROR(VLOOKUP(A188,NOMENCLATOR!$A:$E,2,0),"")</f>
        <v>PUNGA 11x5x12.5 BURGER MIC</v>
      </c>
      <c r="C188" s="19" t="n">
        <v>1</v>
      </c>
      <c r="D188" s="20" t="str">
        <f aca="false">IFERROR(VLOOKUP(A188,NOMENCLATOR!$A:$E,3,0),"")</f>
        <v>EA</v>
      </c>
      <c r="E188" s="21" t="n">
        <f aca="false">IFERROR(VLOOKUP(A188,NOMENCLATOR!$A:$E,4,0),"")</f>
        <v>0.105</v>
      </c>
      <c r="F188" s="21" t="n">
        <f aca="false">IF(OR(C188="",E188=""),"",C188*E188)</f>
        <v>0.105</v>
      </c>
      <c r="G188" s="22" t="n">
        <f aca="false">IFERROR(VLOOKUP(A188,NOMENCLATOR!$A:$E,5,0),"")</f>
        <v>0.105</v>
      </c>
      <c r="H188" s="22" t="n">
        <f aca="false">IF(OR(C188="",G188=""),"",C188*G188)</f>
        <v>0.105</v>
      </c>
    </row>
    <row r="189" customFormat="false" ht="15" hidden="false" customHeight="true" outlineLevel="0" collapsed="false">
      <c r="A189" s="17" t="s">
        <v>286</v>
      </c>
      <c r="B189" s="18" t="str">
        <f aca="false">IFERROR(VLOOKUP(A189,NOMENCLATOR!$A:$E,2,0),"")</f>
        <v>Sos Real Burger</v>
      </c>
      <c r="C189" s="19" t="n">
        <v>30</v>
      </c>
      <c r="D189" s="20" t="str">
        <f aca="false">IFERROR(VLOOKUP(A189,NOMENCLATOR!$A:$E,3,0),"")</f>
        <v>ML</v>
      </c>
      <c r="E189" s="21" t="n">
        <f aca="false">IFERROR(VLOOKUP(A189,NOMENCLATOR!$A:$E,4,0),"")</f>
        <v>0.02703</v>
      </c>
      <c r="F189" s="21" t="n">
        <f aca="false">IF(OR(C189="",E189=""),"",C189*E189)</f>
        <v>0.8109</v>
      </c>
      <c r="G189" s="22" t="n">
        <f aca="false">IFERROR(VLOOKUP(A189,NOMENCLATOR!$A:$E,5,0),"")</f>
        <v>0.02703</v>
      </c>
      <c r="H189" s="22" t="n">
        <f aca="false">IF(OR(C189="",G189=""),"",C189*G189)</f>
        <v>0.8109</v>
      </c>
    </row>
    <row r="190" customFormat="false" ht="15" hidden="false" customHeight="true" outlineLevel="0" collapsed="false">
      <c r="A190" s="23" t="str">
        <f aca="false">IF(A180="","",A180)</f>
        <v>DUBLU SMASHED BURGER new D</v>
      </c>
      <c r="B190" s="24"/>
      <c r="C190" s="24"/>
      <c r="D190" s="24"/>
      <c r="E190" s="24"/>
      <c r="F190" s="25" t="n">
        <f aca="false">IF(A180="","",SUM(F182:F189))</f>
        <v>11.418948</v>
      </c>
      <c r="G190" s="24"/>
      <c r="H190" s="26" t="n">
        <f aca="false">IF(A180="","",SUM(H182:H189))</f>
        <v>12.254288</v>
      </c>
    </row>
    <row r="192" customFormat="false" ht="15" hidden="false" customHeight="true" outlineLevel="0" collapsed="false">
      <c r="A192" s="12" t="s">
        <v>340</v>
      </c>
      <c r="B192" s="13"/>
      <c r="C192" s="13"/>
      <c r="D192" s="13"/>
      <c r="E192" s="13"/>
      <c r="F192" s="14" t="s">
        <v>315</v>
      </c>
      <c r="G192" s="13"/>
      <c r="H192" s="15"/>
    </row>
    <row r="193" customFormat="false" ht="15" hidden="false" customHeight="true" outlineLevel="0" collapsed="false">
      <c r="A193" s="16" t="s">
        <v>316</v>
      </c>
      <c r="B193" s="16" t="s">
        <v>317</v>
      </c>
      <c r="C193" s="16" t="s">
        <v>318</v>
      </c>
      <c r="D193" s="16" t="s">
        <v>4</v>
      </c>
      <c r="E193" s="16" t="s">
        <v>319</v>
      </c>
      <c r="F193" s="16" t="s">
        <v>320</v>
      </c>
      <c r="G193" s="16" t="s">
        <v>321</v>
      </c>
      <c r="H193" s="16" t="s">
        <v>322</v>
      </c>
    </row>
    <row r="194" customFormat="false" ht="15" hidden="false" customHeight="true" outlineLevel="0" collapsed="false">
      <c r="A194" s="17" t="s">
        <v>98</v>
      </c>
      <c r="B194" s="18" t="str">
        <f aca="false">IFERROR(VLOOKUP(A194,NOMENCLATOR!$A:$E,2,0),"")</f>
        <v>CHIFLA CARTOF 3.5inch 53G x 72</v>
      </c>
      <c r="C194" s="19" t="n">
        <v>1</v>
      </c>
      <c r="D194" s="20" t="str">
        <f aca="false">IFERROR(VLOOKUP(A194,NOMENCLATOR!$A:$E,3,0),"")</f>
        <v>EA</v>
      </c>
      <c r="E194" s="21" t="n">
        <f aca="false">IFERROR(VLOOKUP(A194,NOMENCLATOR!$A:$E,4,0),"")</f>
        <v>2.4</v>
      </c>
      <c r="F194" s="21" t="n">
        <f aca="false">IF(OR(C194="",E194=""),"",C194*E194)</f>
        <v>2.4</v>
      </c>
      <c r="G194" s="22" t="n">
        <f aca="false">IFERROR(VLOOKUP(A194,NOMENCLATOR!$A:$E,5,0),"")</f>
        <v>2.4</v>
      </c>
      <c r="H194" s="22" t="n">
        <f aca="false">IF(OR(C194="",G194=""),"",C194*G194)</f>
        <v>2.4</v>
      </c>
    </row>
    <row r="195" customFormat="false" ht="15" hidden="false" customHeight="true" outlineLevel="0" collapsed="false">
      <c r="A195" s="17" t="s">
        <v>236</v>
      </c>
      <c r="B195" s="18" t="str">
        <f aca="false">IFERROR(VLOOKUP(A195,NOMENCLATOR!$A:$E,2,0),"")</f>
        <v>PREP - smashed koliber 60G</v>
      </c>
      <c r="C195" s="19" t="n">
        <v>1</v>
      </c>
      <c r="D195" s="20" t="str">
        <f aca="false">IFERROR(VLOOKUP(A195,NOMENCLATOR!$A:$E,3,0),"")</f>
        <v>EA</v>
      </c>
      <c r="E195" s="21" t="n">
        <f aca="false">IFERROR(VLOOKUP(A195,NOMENCLATOR!$A:$E,4,0),"")</f>
        <v>2.93233</v>
      </c>
      <c r="F195" s="21" t="n">
        <f aca="false">IF(OR(C195="",E195=""),"",C195*E195)</f>
        <v>2.93233</v>
      </c>
      <c r="G195" s="22" t="n">
        <f aca="false">IFERROR(VLOOKUP(A195,NOMENCLATOR!$A:$E,5,0),"")</f>
        <v>3.35</v>
      </c>
      <c r="H195" s="22" t="n">
        <f aca="false">IF(OR(C195="",G195=""),"",C195*G195)</f>
        <v>3.35</v>
      </c>
    </row>
    <row r="196" customFormat="false" ht="15" hidden="false" customHeight="true" outlineLevel="0" collapsed="false">
      <c r="A196" s="17" t="s">
        <v>114</v>
      </c>
      <c r="B196" s="18" t="str">
        <f aca="false">IFERROR(VLOOKUP(A196,NOMENCLATOR!$A:$E,2,0),"")</f>
        <v>CUTIE MICA BLACK TRUFFLE BRG 2025 - PATRATA FRY</v>
      </c>
      <c r="C196" s="19" t="n">
        <v>1</v>
      </c>
      <c r="D196" s="20" t="str">
        <f aca="false">IFERROR(VLOOKUP(A196,NOMENCLATOR!$A:$E,3,0),"")</f>
        <v>EA</v>
      </c>
      <c r="E196" s="21" t="n">
        <f aca="false">IFERROR(VLOOKUP(A196,NOMENCLATOR!$A:$E,4,0),"")</f>
        <v>0.693</v>
      </c>
      <c r="F196" s="21" t="n">
        <f aca="false">IF(OR(C196="",E196=""),"",C196*E196)</f>
        <v>0.693</v>
      </c>
      <c r="G196" s="22" t="n">
        <f aca="false">IFERROR(VLOOKUP(A196,NOMENCLATOR!$A:$E,5,0),"")</f>
        <v>0.693</v>
      </c>
      <c r="H196" s="22" t="n">
        <f aca="false">IF(OR(C196="",G196=""),"",C196*G196)</f>
        <v>0.693</v>
      </c>
    </row>
    <row r="197" customFormat="false" ht="15" hidden="false" customHeight="true" outlineLevel="0" collapsed="false">
      <c r="A197" s="17" t="s">
        <v>244</v>
      </c>
      <c r="B197" s="18" t="str">
        <f aca="false">IFERROR(VLOOKUP(A197,NOMENCLATOR!$A:$E,2,0),"")</f>
        <v>PUNGA 11x5x12.5 BURGER MIC</v>
      </c>
      <c r="C197" s="19" t="n">
        <v>1</v>
      </c>
      <c r="D197" s="20" t="str">
        <f aca="false">IFERROR(VLOOKUP(A197,NOMENCLATOR!$A:$E,3,0),"")</f>
        <v>EA</v>
      </c>
      <c r="E197" s="21" t="n">
        <f aca="false">IFERROR(VLOOKUP(A197,NOMENCLATOR!$A:$E,4,0),"")</f>
        <v>0.105</v>
      </c>
      <c r="F197" s="21" t="n">
        <f aca="false">IF(OR(C197="",E197=""),"",C197*E197)</f>
        <v>0.105</v>
      </c>
      <c r="G197" s="22" t="n">
        <f aca="false">IFERROR(VLOOKUP(A197,NOMENCLATOR!$A:$E,5,0),"")</f>
        <v>0.105</v>
      </c>
      <c r="H197" s="22" t="n">
        <f aca="false">IF(OR(C197="",G197=""),"",C197*G197)</f>
        <v>0.105</v>
      </c>
    </row>
    <row r="198" customFormat="false" ht="15" hidden="false" customHeight="true" outlineLevel="0" collapsed="false">
      <c r="A198" s="17" t="s">
        <v>298</v>
      </c>
      <c r="B198" s="18" t="str">
        <f aca="false">IFERROR(VLOOKUP(A198,NOMENCLATOR!$A:$E,2,0),"")</f>
        <v>Truffle Mayonaise 10L</v>
      </c>
      <c r="C198" s="19" t="n">
        <v>30</v>
      </c>
      <c r="D198" s="20" t="str">
        <f aca="false">IFERROR(VLOOKUP(A198,NOMENCLATOR!$A:$E,3,0),"")</f>
        <v>ML</v>
      </c>
      <c r="E198" s="21" t="n">
        <f aca="false">IFERROR(VLOOKUP(A198,NOMENCLATOR!$A:$E,4,0),"")</f>
        <v>0.03506</v>
      </c>
      <c r="F198" s="21" t="n">
        <f aca="false">IF(OR(C198="",E198=""),"",C198*E198)</f>
        <v>1.0518</v>
      </c>
      <c r="G198" s="22" t="n">
        <f aca="false">IFERROR(VLOOKUP(A198,NOMENCLATOR!$A:$E,5,0),"")</f>
        <v>0.03506</v>
      </c>
      <c r="H198" s="22" t="n">
        <f aca="false">IF(OR(C198="",G198=""),"",C198*G198)</f>
        <v>1.0518</v>
      </c>
    </row>
    <row r="199" customFormat="false" ht="15" hidden="false" customHeight="true" outlineLevel="0" collapsed="false">
      <c r="A199" s="17" t="s">
        <v>94</v>
      </c>
      <c r="B199" s="18" t="str">
        <f aca="false">IFERROR(VLOOKUP(A199,NOMENCLATOR!$A:$E,2,0),"")</f>
        <v>Ceapa prajita</v>
      </c>
      <c r="C199" s="19" t="n">
        <v>15</v>
      </c>
      <c r="D199" s="20" t="str">
        <f aca="false">IFERROR(VLOOKUP(A199,NOMENCLATOR!$A:$E,3,0),"")</f>
        <v>GM</v>
      </c>
      <c r="E199" s="21" t="n">
        <f aca="false">IFERROR(VLOOKUP(A199,NOMENCLATOR!$A:$E,4,0),"")</f>
        <v>0.0266</v>
      </c>
      <c r="F199" s="21" t="n">
        <f aca="false">IF(OR(C199="",E199=""),"",C199*E199)</f>
        <v>0.399</v>
      </c>
      <c r="G199" s="22" t="n">
        <f aca="false">IFERROR(VLOOKUP(A199,NOMENCLATOR!$A:$E,5,0),"")</f>
        <v>0.0266</v>
      </c>
      <c r="H199" s="22" t="n">
        <f aca="false">IF(OR(C199="",G199=""),"",C199*G199)</f>
        <v>0.399</v>
      </c>
    </row>
    <row r="200" customFormat="false" ht="15" hidden="false" customHeight="true" outlineLevel="0" collapsed="false">
      <c r="A200" s="17" t="s">
        <v>68</v>
      </c>
      <c r="B200" s="18" t="str">
        <f aca="false">IFERROR(VLOOKUP(A200,NOMENCLATOR!$A:$E,2,0),"")</f>
        <v>Branza cheddar felii 2026</v>
      </c>
      <c r="C200" s="19" t="n">
        <v>1</v>
      </c>
      <c r="D200" s="20" t="str">
        <f aca="false">IFERROR(VLOOKUP(A200,NOMENCLATOR!$A:$E,3,0),"")</f>
        <v>EA</v>
      </c>
      <c r="E200" s="21" t="n">
        <f aca="false">IFERROR(VLOOKUP(A200,NOMENCLATOR!$A:$E,4,0),"")</f>
        <v>0.61567</v>
      </c>
      <c r="F200" s="21" t="n">
        <f aca="false">IF(OR(C200="",E200=""),"",C200*E200)</f>
        <v>0.61567</v>
      </c>
      <c r="G200" s="22" t="n">
        <f aca="false">IFERROR(VLOOKUP(A200,NOMENCLATOR!$A:$E,5,0),"")</f>
        <v>0.61567</v>
      </c>
      <c r="H200" s="22" t="n">
        <f aca="false">IF(OR(C200="",G200=""),"",C200*G200)</f>
        <v>0.61567</v>
      </c>
    </row>
    <row r="201" customFormat="false" ht="15" hidden="false" customHeight="true" outlineLevel="0" collapsed="false">
      <c r="A201" s="23" t="str">
        <f aca="false">IF(A192="","",A192)</f>
        <v>BLACK TRUFFLE SMASHED new</v>
      </c>
      <c r="B201" s="24"/>
      <c r="C201" s="24"/>
      <c r="D201" s="24"/>
      <c r="E201" s="24"/>
      <c r="F201" s="25" t="n">
        <f aca="false">IF(A192="","",SUM(F194:F200))</f>
        <v>8.1968</v>
      </c>
      <c r="G201" s="24"/>
      <c r="H201" s="26" t="n">
        <f aca="false">IF(A192="","",SUM(H194:H200))</f>
        <v>8.61447</v>
      </c>
    </row>
    <row r="203" customFormat="false" ht="15" hidden="false" customHeight="true" outlineLevel="0" collapsed="false">
      <c r="A203" s="12" t="s">
        <v>341</v>
      </c>
      <c r="B203" s="13"/>
      <c r="C203" s="13"/>
      <c r="D203" s="13"/>
      <c r="E203" s="13"/>
      <c r="F203" s="14" t="s">
        <v>315</v>
      </c>
      <c r="G203" s="13"/>
      <c r="H203" s="15"/>
    </row>
    <row r="204" customFormat="false" ht="15" hidden="false" customHeight="true" outlineLevel="0" collapsed="false">
      <c r="A204" s="16" t="s">
        <v>316</v>
      </c>
      <c r="B204" s="16" t="s">
        <v>317</v>
      </c>
      <c r="C204" s="16" t="s">
        <v>318</v>
      </c>
      <c r="D204" s="16" t="s">
        <v>4</v>
      </c>
      <c r="E204" s="16" t="s">
        <v>319</v>
      </c>
      <c r="F204" s="16" t="s">
        <v>320</v>
      </c>
      <c r="G204" s="16" t="s">
        <v>321</v>
      </c>
      <c r="H204" s="16" t="s">
        <v>322</v>
      </c>
    </row>
    <row r="205" customFormat="false" ht="15" hidden="false" customHeight="true" outlineLevel="0" collapsed="false">
      <c r="A205" s="17" t="s">
        <v>98</v>
      </c>
      <c r="B205" s="18" t="str">
        <f aca="false">IFERROR(VLOOKUP(A205,NOMENCLATOR!$A:$E,2,0),"")</f>
        <v>CHIFLA CARTOF 3.5inch 53G x 72</v>
      </c>
      <c r="C205" s="19" t="n">
        <v>1</v>
      </c>
      <c r="D205" s="20" t="str">
        <f aca="false">IFERROR(VLOOKUP(A205,NOMENCLATOR!$A:$E,3,0),"")</f>
        <v>EA</v>
      </c>
      <c r="E205" s="21" t="n">
        <f aca="false">IFERROR(VLOOKUP(A205,NOMENCLATOR!$A:$E,4,0),"")</f>
        <v>2.4</v>
      </c>
      <c r="F205" s="21" t="n">
        <f aca="false">IF(OR(C205="",E205=""),"",C205*E205)</f>
        <v>2.4</v>
      </c>
      <c r="G205" s="22" t="n">
        <f aca="false">IFERROR(VLOOKUP(A205,NOMENCLATOR!$A:$E,5,0),"")</f>
        <v>2.4</v>
      </c>
      <c r="H205" s="22" t="n">
        <f aca="false">IF(OR(C205="",G205=""),"",C205*G205)</f>
        <v>2.4</v>
      </c>
    </row>
    <row r="206" customFormat="false" ht="15" hidden="false" customHeight="true" outlineLevel="0" collapsed="false">
      <c r="A206" s="17" t="s">
        <v>236</v>
      </c>
      <c r="B206" s="18" t="str">
        <f aca="false">IFERROR(VLOOKUP(A206,NOMENCLATOR!$A:$E,2,0),"")</f>
        <v>PREP - smashed koliber 60G</v>
      </c>
      <c r="C206" s="19" t="n">
        <v>1</v>
      </c>
      <c r="D206" s="20" t="str">
        <f aca="false">IFERROR(VLOOKUP(A206,NOMENCLATOR!$A:$E,3,0),"")</f>
        <v>EA</v>
      </c>
      <c r="E206" s="21" t="n">
        <f aca="false">IFERROR(VLOOKUP(A206,NOMENCLATOR!$A:$E,4,0),"")</f>
        <v>2.93233</v>
      </c>
      <c r="F206" s="21" t="n">
        <f aca="false">IF(OR(C206="",E206=""),"",C206*E206)</f>
        <v>2.93233</v>
      </c>
      <c r="G206" s="22" t="n">
        <f aca="false">IFERROR(VLOOKUP(A206,NOMENCLATOR!$A:$E,5,0),"")</f>
        <v>3.35</v>
      </c>
      <c r="H206" s="22" t="n">
        <f aca="false">IF(OR(C206="",G206=""),"",C206*G206)</f>
        <v>3.35</v>
      </c>
    </row>
    <row r="207" customFormat="false" ht="15" hidden="false" customHeight="true" outlineLevel="0" collapsed="false">
      <c r="A207" s="17" t="s">
        <v>114</v>
      </c>
      <c r="B207" s="18" t="str">
        <f aca="false">IFERROR(VLOOKUP(A207,NOMENCLATOR!$A:$E,2,0),"")</f>
        <v>CUTIE MICA BLACK TRUFFLE BRG 2025 - PATRATA FRY</v>
      </c>
      <c r="C207" s="19" t="n">
        <v>1</v>
      </c>
      <c r="D207" s="20" t="str">
        <f aca="false">IFERROR(VLOOKUP(A207,NOMENCLATOR!$A:$E,3,0),"")</f>
        <v>EA</v>
      </c>
      <c r="E207" s="21" t="n">
        <f aca="false">IFERROR(VLOOKUP(A207,NOMENCLATOR!$A:$E,4,0),"")</f>
        <v>0.693</v>
      </c>
      <c r="F207" s="21" t="n">
        <f aca="false">IF(OR(C207="",E207=""),"",C207*E207)</f>
        <v>0.693</v>
      </c>
      <c r="G207" s="22" t="n">
        <f aca="false">IFERROR(VLOOKUP(A207,NOMENCLATOR!$A:$E,5,0),"")</f>
        <v>0.693</v>
      </c>
      <c r="H207" s="22" t="n">
        <f aca="false">IF(OR(C207="",G207=""),"",C207*G207)</f>
        <v>0.693</v>
      </c>
    </row>
    <row r="208" customFormat="false" ht="15" hidden="false" customHeight="true" outlineLevel="0" collapsed="false">
      <c r="A208" s="17" t="s">
        <v>244</v>
      </c>
      <c r="B208" s="18" t="str">
        <f aca="false">IFERROR(VLOOKUP(A208,NOMENCLATOR!$A:$E,2,0),"")</f>
        <v>PUNGA 11x5x12.5 BURGER MIC</v>
      </c>
      <c r="C208" s="19" t="n">
        <v>1</v>
      </c>
      <c r="D208" s="20" t="str">
        <f aca="false">IFERROR(VLOOKUP(A208,NOMENCLATOR!$A:$E,3,0),"")</f>
        <v>EA</v>
      </c>
      <c r="E208" s="21" t="n">
        <f aca="false">IFERROR(VLOOKUP(A208,NOMENCLATOR!$A:$E,4,0),"")</f>
        <v>0.105</v>
      </c>
      <c r="F208" s="21" t="n">
        <f aca="false">IF(OR(C208="",E208=""),"",C208*E208)</f>
        <v>0.105</v>
      </c>
      <c r="G208" s="22" t="n">
        <f aca="false">IFERROR(VLOOKUP(A208,NOMENCLATOR!$A:$E,5,0),"")</f>
        <v>0.105</v>
      </c>
      <c r="H208" s="22" t="n">
        <f aca="false">IF(OR(C208="",G208=""),"",C208*G208)</f>
        <v>0.105</v>
      </c>
    </row>
    <row r="209" customFormat="false" ht="15" hidden="false" customHeight="true" outlineLevel="0" collapsed="false">
      <c r="A209" s="17" t="s">
        <v>298</v>
      </c>
      <c r="B209" s="18" t="str">
        <f aca="false">IFERROR(VLOOKUP(A209,NOMENCLATOR!$A:$E,2,0),"")</f>
        <v>Truffle Mayonaise 10L</v>
      </c>
      <c r="C209" s="19" t="n">
        <v>30</v>
      </c>
      <c r="D209" s="20" t="str">
        <f aca="false">IFERROR(VLOOKUP(A209,NOMENCLATOR!$A:$E,3,0),"")</f>
        <v>ML</v>
      </c>
      <c r="E209" s="21" t="n">
        <f aca="false">IFERROR(VLOOKUP(A209,NOMENCLATOR!$A:$E,4,0),"")</f>
        <v>0.03506</v>
      </c>
      <c r="F209" s="21" t="n">
        <f aca="false">IF(OR(C209="",E209=""),"",C209*E209)</f>
        <v>1.0518</v>
      </c>
      <c r="G209" s="22" t="n">
        <f aca="false">IFERROR(VLOOKUP(A209,NOMENCLATOR!$A:$E,5,0),"")</f>
        <v>0.03506</v>
      </c>
      <c r="H209" s="22" t="n">
        <f aca="false">IF(OR(C209="",G209=""),"",C209*G209)</f>
        <v>1.0518</v>
      </c>
    </row>
    <row r="210" customFormat="false" ht="15" hidden="false" customHeight="true" outlineLevel="0" collapsed="false">
      <c r="A210" s="17" t="s">
        <v>94</v>
      </c>
      <c r="B210" s="18" t="str">
        <f aca="false">IFERROR(VLOOKUP(A210,NOMENCLATOR!$A:$E,2,0),"")</f>
        <v>Ceapa prajita</v>
      </c>
      <c r="C210" s="19" t="n">
        <v>15</v>
      </c>
      <c r="D210" s="20" t="str">
        <f aca="false">IFERROR(VLOOKUP(A210,NOMENCLATOR!$A:$E,3,0),"")</f>
        <v>GM</v>
      </c>
      <c r="E210" s="21" t="n">
        <f aca="false">IFERROR(VLOOKUP(A210,NOMENCLATOR!$A:$E,4,0),"")</f>
        <v>0.0266</v>
      </c>
      <c r="F210" s="21" t="n">
        <f aca="false">IF(OR(C210="",E210=""),"",C210*E210)</f>
        <v>0.399</v>
      </c>
      <c r="G210" s="22" t="n">
        <f aca="false">IFERROR(VLOOKUP(A210,NOMENCLATOR!$A:$E,5,0),"")</f>
        <v>0.0266</v>
      </c>
      <c r="H210" s="22" t="n">
        <f aca="false">IF(OR(C210="",G210=""),"",C210*G210)</f>
        <v>0.399</v>
      </c>
    </row>
    <row r="211" customFormat="false" ht="15" hidden="false" customHeight="true" outlineLevel="0" collapsed="false">
      <c r="A211" s="17" t="s">
        <v>68</v>
      </c>
      <c r="B211" s="18" t="str">
        <f aca="false">IFERROR(VLOOKUP(A211,NOMENCLATOR!$A:$E,2,0),"")</f>
        <v>Branza cheddar felii 2026</v>
      </c>
      <c r="C211" s="19" t="n">
        <v>1</v>
      </c>
      <c r="D211" s="20" t="str">
        <f aca="false">IFERROR(VLOOKUP(A211,NOMENCLATOR!$A:$E,3,0),"")</f>
        <v>EA</v>
      </c>
      <c r="E211" s="21" t="n">
        <f aca="false">IFERROR(VLOOKUP(A211,NOMENCLATOR!$A:$E,4,0),"")</f>
        <v>0.61567</v>
      </c>
      <c r="F211" s="21" t="n">
        <f aca="false">IF(OR(C211="",E211=""),"",C211*E211)</f>
        <v>0.61567</v>
      </c>
      <c r="G211" s="22" t="n">
        <f aca="false">IFERROR(VLOOKUP(A211,NOMENCLATOR!$A:$E,5,0),"")</f>
        <v>0.61567</v>
      </c>
      <c r="H211" s="22" t="n">
        <f aca="false">IF(OR(C211="",G211=""),"",C211*G211)</f>
        <v>0.61567</v>
      </c>
    </row>
    <row r="212" customFormat="false" ht="15" hidden="false" customHeight="true" outlineLevel="0" collapsed="false">
      <c r="A212" s="23" t="str">
        <f aca="false">IF(A203="","",A203)</f>
        <v>BLACK TRUFFLE SMASHED new D</v>
      </c>
      <c r="B212" s="24"/>
      <c r="C212" s="24"/>
      <c r="D212" s="24"/>
      <c r="E212" s="24"/>
      <c r="F212" s="25" t="n">
        <f aca="false">IF(A203="","",SUM(F205:F211))</f>
        <v>8.1968</v>
      </c>
      <c r="G212" s="24"/>
      <c r="H212" s="26" t="n">
        <f aca="false">IF(A203="","",SUM(H205:H211))</f>
        <v>8.61447</v>
      </c>
    </row>
    <row r="214" customFormat="false" ht="15" hidden="false" customHeight="true" outlineLevel="0" collapsed="false">
      <c r="A214" s="12" t="s">
        <v>342</v>
      </c>
      <c r="B214" s="13"/>
      <c r="C214" s="13"/>
      <c r="D214" s="13"/>
      <c r="E214" s="13"/>
      <c r="F214" s="14" t="s">
        <v>315</v>
      </c>
      <c r="G214" s="13"/>
      <c r="H214" s="15"/>
    </row>
    <row r="215" customFormat="false" ht="15" hidden="false" customHeight="true" outlineLevel="0" collapsed="false">
      <c r="A215" s="16" t="s">
        <v>316</v>
      </c>
      <c r="B215" s="16" t="s">
        <v>317</v>
      </c>
      <c r="C215" s="16" t="s">
        <v>318</v>
      </c>
      <c r="D215" s="16" t="s">
        <v>4</v>
      </c>
      <c r="E215" s="16" t="s">
        <v>319</v>
      </c>
      <c r="F215" s="16" t="s">
        <v>320</v>
      </c>
      <c r="G215" s="16" t="s">
        <v>321</v>
      </c>
      <c r="H215" s="16" t="s">
        <v>322</v>
      </c>
    </row>
    <row r="216" customFormat="false" ht="15" hidden="false" customHeight="true" outlineLevel="0" collapsed="false">
      <c r="A216" s="17" t="s">
        <v>98</v>
      </c>
      <c r="B216" s="18" t="str">
        <f aca="false">IFERROR(VLOOKUP(A216,NOMENCLATOR!$A:$E,2,0),"")</f>
        <v>CHIFLA CARTOF 3.5inch 53G x 72</v>
      </c>
      <c r="C216" s="19" t="n">
        <v>1</v>
      </c>
      <c r="D216" s="20" t="str">
        <f aca="false">IFERROR(VLOOKUP(A216,NOMENCLATOR!$A:$E,3,0),"")</f>
        <v>EA</v>
      </c>
      <c r="E216" s="21" t="n">
        <f aca="false">IFERROR(VLOOKUP(A216,NOMENCLATOR!$A:$E,4,0),"")</f>
        <v>2.4</v>
      </c>
      <c r="F216" s="21" t="n">
        <f aca="false">IF(OR(C216="",E216=""),"",C216*E216)</f>
        <v>2.4</v>
      </c>
      <c r="G216" s="22" t="n">
        <f aca="false">IFERROR(VLOOKUP(A216,NOMENCLATOR!$A:$E,5,0),"")</f>
        <v>2.4</v>
      </c>
      <c r="H216" s="22" t="n">
        <f aca="false">IF(OR(C216="",G216=""),"",C216*G216)</f>
        <v>2.4</v>
      </c>
    </row>
    <row r="217" customFormat="false" ht="15" hidden="false" customHeight="true" outlineLevel="0" collapsed="false">
      <c r="A217" s="17" t="s">
        <v>236</v>
      </c>
      <c r="B217" s="18" t="str">
        <f aca="false">IFERROR(VLOOKUP(A217,NOMENCLATOR!$A:$E,2,0),"")</f>
        <v>PREP - smashed koliber 60G</v>
      </c>
      <c r="C217" s="19" t="n">
        <v>2</v>
      </c>
      <c r="D217" s="20" t="str">
        <f aca="false">IFERROR(VLOOKUP(A217,NOMENCLATOR!$A:$E,3,0),"")</f>
        <v>EA</v>
      </c>
      <c r="E217" s="21" t="n">
        <f aca="false">IFERROR(VLOOKUP(A217,NOMENCLATOR!$A:$E,4,0),"")</f>
        <v>2.93233</v>
      </c>
      <c r="F217" s="21" t="n">
        <f aca="false">IF(OR(C217="",E217=""),"",C217*E217)</f>
        <v>5.86466</v>
      </c>
      <c r="G217" s="22" t="n">
        <f aca="false">IFERROR(VLOOKUP(A217,NOMENCLATOR!$A:$E,5,0),"")</f>
        <v>3.35</v>
      </c>
      <c r="H217" s="22" t="n">
        <f aca="false">IF(OR(C217="",G217=""),"",C217*G217)</f>
        <v>6.7</v>
      </c>
    </row>
    <row r="218" customFormat="false" ht="15" hidden="false" customHeight="true" outlineLevel="0" collapsed="false">
      <c r="A218" s="17" t="s">
        <v>114</v>
      </c>
      <c r="B218" s="18" t="str">
        <f aca="false">IFERROR(VLOOKUP(A218,NOMENCLATOR!$A:$E,2,0),"")</f>
        <v>CUTIE MICA BLACK TRUFFLE BRG 2025 - PATRATA FRY</v>
      </c>
      <c r="C218" s="19" t="n">
        <v>1</v>
      </c>
      <c r="D218" s="20" t="str">
        <f aca="false">IFERROR(VLOOKUP(A218,NOMENCLATOR!$A:$E,3,0),"")</f>
        <v>EA</v>
      </c>
      <c r="E218" s="21" t="n">
        <f aca="false">IFERROR(VLOOKUP(A218,NOMENCLATOR!$A:$E,4,0),"")</f>
        <v>0.693</v>
      </c>
      <c r="F218" s="21" t="n">
        <f aca="false">IF(OR(C218="",E218=""),"",C218*E218)</f>
        <v>0.693</v>
      </c>
      <c r="G218" s="22" t="n">
        <f aca="false">IFERROR(VLOOKUP(A218,NOMENCLATOR!$A:$E,5,0),"")</f>
        <v>0.693</v>
      </c>
      <c r="H218" s="22" t="n">
        <f aca="false">IF(OR(C218="",G218=""),"",C218*G218)</f>
        <v>0.693</v>
      </c>
    </row>
    <row r="219" customFormat="false" ht="15" hidden="false" customHeight="true" outlineLevel="0" collapsed="false">
      <c r="A219" s="17" t="s">
        <v>244</v>
      </c>
      <c r="B219" s="18" t="str">
        <f aca="false">IFERROR(VLOOKUP(A219,NOMENCLATOR!$A:$E,2,0),"")</f>
        <v>PUNGA 11x5x12.5 BURGER MIC</v>
      </c>
      <c r="C219" s="19" t="n">
        <v>1</v>
      </c>
      <c r="D219" s="20" t="str">
        <f aca="false">IFERROR(VLOOKUP(A219,NOMENCLATOR!$A:$E,3,0),"")</f>
        <v>EA</v>
      </c>
      <c r="E219" s="21" t="n">
        <f aca="false">IFERROR(VLOOKUP(A219,NOMENCLATOR!$A:$E,4,0),"")</f>
        <v>0.105</v>
      </c>
      <c r="F219" s="21" t="n">
        <f aca="false">IF(OR(C219="",E219=""),"",C219*E219)</f>
        <v>0.105</v>
      </c>
      <c r="G219" s="22" t="n">
        <f aca="false">IFERROR(VLOOKUP(A219,NOMENCLATOR!$A:$E,5,0),"")</f>
        <v>0.105</v>
      </c>
      <c r="H219" s="22" t="n">
        <f aca="false">IF(OR(C219="",G219=""),"",C219*G219)</f>
        <v>0.105</v>
      </c>
    </row>
    <row r="220" customFormat="false" ht="15" hidden="false" customHeight="true" outlineLevel="0" collapsed="false">
      <c r="A220" s="17" t="s">
        <v>298</v>
      </c>
      <c r="B220" s="18" t="str">
        <f aca="false">IFERROR(VLOOKUP(A220,NOMENCLATOR!$A:$E,2,0),"")</f>
        <v>Truffle Mayonaise 10L</v>
      </c>
      <c r="C220" s="19" t="n">
        <v>40</v>
      </c>
      <c r="D220" s="20" t="str">
        <f aca="false">IFERROR(VLOOKUP(A220,NOMENCLATOR!$A:$E,3,0),"")</f>
        <v>ML</v>
      </c>
      <c r="E220" s="21" t="n">
        <f aca="false">IFERROR(VLOOKUP(A220,NOMENCLATOR!$A:$E,4,0),"")</f>
        <v>0.03506</v>
      </c>
      <c r="F220" s="21" t="n">
        <f aca="false">IF(OR(C220="",E220=""),"",C220*E220)</f>
        <v>1.4024</v>
      </c>
      <c r="G220" s="22" t="n">
        <f aca="false">IFERROR(VLOOKUP(A220,NOMENCLATOR!$A:$E,5,0),"")</f>
        <v>0.03506</v>
      </c>
      <c r="H220" s="22" t="n">
        <f aca="false">IF(OR(C220="",G220=""),"",C220*G220)</f>
        <v>1.4024</v>
      </c>
    </row>
    <row r="221" customFormat="false" ht="15" hidden="false" customHeight="true" outlineLevel="0" collapsed="false">
      <c r="A221" s="17" t="s">
        <v>94</v>
      </c>
      <c r="B221" s="18" t="str">
        <f aca="false">IFERROR(VLOOKUP(A221,NOMENCLATOR!$A:$E,2,0),"")</f>
        <v>Ceapa prajita</v>
      </c>
      <c r="C221" s="19" t="n">
        <v>15</v>
      </c>
      <c r="D221" s="20" t="str">
        <f aca="false">IFERROR(VLOOKUP(A221,NOMENCLATOR!$A:$E,3,0),"")</f>
        <v>GM</v>
      </c>
      <c r="E221" s="21" t="n">
        <f aca="false">IFERROR(VLOOKUP(A221,NOMENCLATOR!$A:$E,4,0),"")</f>
        <v>0.0266</v>
      </c>
      <c r="F221" s="21" t="n">
        <f aca="false">IF(OR(C221="",E221=""),"",C221*E221)</f>
        <v>0.399</v>
      </c>
      <c r="G221" s="22" t="n">
        <f aca="false">IFERROR(VLOOKUP(A221,NOMENCLATOR!$A:$E,5,0),"")</f>
        <v>0.0266</v>
      </c>
      <c r="H221" s="22" t="n">
        <f aca="false">IF(OR(C221="",G221=""),"",C221*G221)</f>
        <v>0.399</v>
      </c>
    </row>
    <row r="222" customFormat="false" ht="15" hidden="false" customHeight="true" outlineLevel="0" collapsed="false">
      <c r="A222" s="17" t="s">
        <v>68</v>
      </c>
      <c r="B222" s="18" t="str">
        <f aca="false">IFERROR(VLOOKUP(A222,NOMENCLATOR!$A:$E,2,0),"")</f>
        <v>Branza cheddar felii 2026</v>
      </c>
      <c r="C222" s="19" t="n">
        <v>2</v>
      </c>
      <c r="D222" s="20" t="str">
        <f aca="false">IFERROR(VLOOKUP(A222,NOMENCLATOR!$A:$E,3,0),"")</f>
        <v>EA</v>
      </c>
      <c r="E222" s="21" t="n">
        <f aca="false">IFERROR(VLOOKUP(A222,NOMENCLATOR!$A:$E,4,0),"")</f>
        <v>0.61567</v>
      </c>
      <c r="F222" s="21" t="n">
        <f aca="false">IF(OR(C222="",E222=""),"",C222*E222)</f>
        <v>1.23134</v>
      </c>
      <c r="G222" s="22" t="n">
        <f aca="false">IFERROR(VLOOKUP(A222,NOMENCLATOR!$A:$E,5,0),"")</f>
        <v>0.61567</v>
      </c>
      <c r="H222" s="22" t="n">
        <f aca="false">IF(OR(C222="",G222=""),"",C222*G222)</f>
        <v>1.23134</v>
      </c>
    </row>
    <row r="223" customFormat="false" ht="15" hidden="false" customHeight="true" outlineLevel="0" collapsed="false">
      <c r="A223" s="23" t="str">
        <f aca="false">IF(A214="","",A214)</f>
        <v>DUBLU BLACK TRUFFLE SMASHED new</v>
      </c>
      <c r="B223" s="24"/>
      <c r="C223" s="24"/>
      <c r="D223" s="24"/>
      <c r="E223" s="24"/>
      <c r="F223" s="25" t="n">
        <f aca="false">IF(A214="","",SUM(F216:F222))</f>
        <v>12.0954</v>
      </c>
      <c r="G223" s="24"/>
      <c r="H223" s="26" t="n">
        <f aca="false">IF(A214="","",SUM(H216:H222))</f>
        <v>12.93074</v>
      </c>
    </row>
    <row r="225" customFormat="false" ht="15" hidden="false" customHeight="true" outlineLevel="0" collapsed="false">
      <c r="A225" s="12" t="s">
        <v>343</v>
      </c>
      <c r="B225" s="13"/>
      <c r="C225" s="13"/>
      <c r="D225" s="13"/>
      <c r="E225" s="13"/>
      <c r="F225" s="14" t="s">
        <v>315</v>
      </c>
      <c r="G225" s="13"/>
      <c r="H225" s="15"/>
    </row>
    <row r="226" customFormat="false" ht="15" hidden="false" customHeight="true" outlineLevel="0" collapsed="false">
      <c r="A226" s="16" t="s">
        <v>316</v>
      </c>
      <c r="B226" s="16" t="s">
        <v>317</v>
      </c>
      <c r="C226" s="16" t="s">
        <v>318</v>
      </c>
      <c r="D226" s="16" t="s">
        <v>4</v>
      </c>
      <c r="E226" s="16" t="s">
        <v>319</v>
      </c>
      <c r="F226" s="16" t="s">
        <v>320</v>
      </c>
      <c r="G226" s="16" t="s">
        <v>321</v>
      </c>
      <c r="H226" s="16" t="s">
        <v>322</v>
      </c>
    </row>
    <row r="227" customFormat="false" ht="15" hidden="false" customHeight="true" outlineLevel="0" collapsed="false">
      <c r="A227" s="17" t="s">
        <v>98</v>
      </c>
      <c r="B227" s="18" t="str">
        <f aca="false">IFERROR(VLOOKUP(A227,NOMENCLATOR!$A:$E,2,0),"")</f>
        <v>CHIFLA CARTOF 3.5inch 53G x 72</v>
      </c>
      <c r="C227" s="19" t="n">
        <v>1</v>
      </c>
      <c r="D227" s="20" t="str">
        <f aca="false">IFERROR(VLOOKUP(A227,NOMENCLATOR!$A:$E,3,0),"")</f>
        <v>EA</v>
      </c>
      <c r="E227" s="21" t="n">
        <f aca="false">IFERROR(VLOOKUP(A227,NOMENCLATOR!$A:$E,4,0),"")</f>
        <v>2.4</v>
      </c>
      <c r="F227" s="21" t="n">
        <f aca="false">IF(OR(C227="",E227=""),"",C227*E227)</f>
        <v>2.4</v>
      </c>
      <c r="G227" s="22" t="n">
        <f aca="false">IFERROR(VLOOKUP(A227,NOMENCLATOR!$A:$E,5,0),"")</f>
        <v>2.4</v>
      </c>
      <c r="H227" s="22" t="n">
        <f aca="false">IF(OR(C227="",G227=""),"",C227*G227)</f>
        <v>2.4</v>
      </c>
    </row>
    <row r="228" customFormat="false" ht="15" hidden="false" customHeight="true" outlineLevel="0" collapsed="false">
      <c r="A228" s="17" t="s">
        <v>236</v>
      </c>
      <c r="B228" s="18" t="str">
        <f aca="false">IFERROR(VLOOKUP(A228,NOMENCLATOR!$A:$E,2,0),"")</f>
        <v>PREP - smashed koliber 60G</v>
      </c>
      <c r="C228" s="19" t="n">
        <v>2</v>
      </c>
      <c r="D228" s="20" t="str">
        <f aca="false">IFERROR(VLOOKUP(A228,NOMENCLATOR!$A:$E,3,0),"")</f>
        <v>EA</v>
      </c>
      <c r="E228" s="21" t="n">
        <f aca="false">IFERROR(VLOOKUP(A228,NOMENCLATOR!$A:$E,4,0),"")</f>
        <v>2.93233</v>
      </c>
      <c r="F228" s="21" t="n">
        <f aca="false">IF(OR(C228="",E228=""),"",C228*E228)</f>
        <v>5.86466</v>
      </c>
      <c r="G228" s="22" t="n">
        <f aca="false">IFERROR(VLOOKUP(A228,NOMENCLATOR!$A:$E,5,0),"")</f>
        <v>3.35</v>
      </c>
      <c r="H228" s="22" t="n">
        <f aca="false">IF(OR(C228="",G228=""),"",C228*G228)</f>
        <v>6.7</v>
      </c>
    </row>
    <row r="229" customFormat="false" ht="15" hidden="false" customHeight="true" outlineLevel="0" collapsed="false">
      <c r="A229" s="17" t="s">
        <v>114</v>
      </c>
      <c r="B229" s="18" t="str">
        <f aca="false">IFERROR(VLOOKUP(A229,NOMENCLATOR!$A:$E,2,0),"")</f>
        <v>CUTIE MICA BLACK TRUFFLE BRG 2025 - PATRATA FRY</v>
      </c>
      <c r="C229" s="19" t="n">
        <v>1</v>
      </c>
      <c r="D229" s="20" t="str">
        <f aca="false">IFERROR(VLOOKUP(A229,NOMENCLATOR!$A:$E,3,0),"")</f>
        <v>EA</v>
      </c>
      <c r="E229" s="21" t="n">
        <f aca="false">IFERROR(VLOOKUP(A229,NOMENCLATOR!$A:$E,4,0),"")</f>
        <v>0.693</v>
      </c>
      <c r="F229" s="21" t="n">
        <f aca="false">IF(OR(C229="",E229=""),"",C229*E229)</f>
        <v>0.693</v>
      </c>
      <c r="G229" s="22" t="n">
        <f aca="false">IFERROR(VLOOKUP(A229,NOMENCLATOR!$A:$E,5,0),"")</f>
        <v>0.693</v>
      </c>
      <c r="H229" s="22" t="n">
        <f aca="false">IF(OR(C229="",G229=""),"",C229*G229)</f>
        <v>0.693</v>
      </c>
    </row>
    <row r="230" customFormat="false" ht="15" hidden="false" customHeight="true" outlineLevel="0" collapsed="false">
      <c r="A230" s="17" t="s">
        <v>244</v>
      </c>
      <c r="B230" s="18" t="str">
        <f aca="false">IFERROR(VLOOKUP(A230,NOMENCLATOR!$A:$E,2,0),"")</f>
        <v>PUNGA 11x5x12.5 BURGER MIC</v>
      </c>
      <c r="C230" s="19" t="n">
        <v>1</v>
      </c>
      <c r="D230" s="20" t="str">
        <f aca="false">IFERROR(VLOOKUP(A230,NOMENCLATOR!$A:$E,3,0),"")</f>
        <v>EA</v>
      </c>
      <c r="E230" s="21" t="n">
        <f aca="false">IFERROR(VLOOKUP(A230,NOMENCLATOR!$A:$E,4,0),"")</f>
        <v>0.105</v>
      </c>
      <c r="F230" s="21" t="n">
        <f aca="false">IF(OR(C230="",E230=""),"",C230*E230)</f>
        <v>0.105</v>
      </c>
      <c r="G230" s="22" t="n">
        <f aca="false">IFERROR(VLOOKUP(A230,NOMENCLATOR!$A:$E,5,0),"")</f>
        <v>0.105</v>
      </c>
      <c r="H230" s="22" t="n">
        <f aca="false">IF(OR(C230="",G230=""),"",C230*G230)</f>
        <v>0.105</v>
      </c>
    </row>
    <row r="231" customFormat="false" ht="15" hidden="false" customHeight="true" outlineLevel="0" collapsed="false">
      <c r="A231" s="17" t="s">
        <v>298</v>
      </c>
      <c r="B231" s="18" t="str">
        <f aca="false">IFERROR(VLOOKUP(A231,NOMENCLATOR!$A:$E,2,0),"")</f>
        <v>Truffle Mayonaise 10L</v>
      </c>
      <c r="C231" s="19" t="n">
        <v>40</v>
      </c>
      <c r="D231" s="20" t="str">
        <f aca="false">IFERROR(VLOOKUP(A231,NOMENCLATOR!$A:$E,3,0),"")</f>
        <v>ML</v>
      </c>
      <c r="E231" s="21" t="n">
        <f aca="false">IFERROR(VLOOKUP(A231,NOMENCLATOR!$A:$E,4,0),"")</f>
        <v>0.03506</v>
      </c>
      <c r="F231" s="21" t="n">
        <f aca="false">IF(OR(C231="",E231=""),"",C231*E231)</f>
        <v>1.4024</v>
      </c>
      <c r="G231" s="22" t="n">
        <f aca="false">IFERROR(VLOOKUP(A231,NOMENCLATOR!$A:$E,5,0),"")</f>
        <v>0.03506</v>
      </c>
      <c r="H231" s="22" t="n">
        <f aca="false">IF(OR(C231="",G231=""),"",C231*G231)</f>
        <v>1.4024</v>
      </c>
    </row>
    <row r="232" customFormat="false" ht="15" hidden="false" customHeight="true" outlineLevel="0" collapsed="false">
      <c r="A232" s="17" t="s">
        <v>94</v>
      </c>
      <c r="B232" s="18" t="str">
        <f aca="false">IFERROR(VLOOKUP(A232,NOMENCLATOR!$A:$E,2,0),"")</f>
        <v>Ceapa prajita</v>
      </c>
      <c r="C232" s="19" t="n">
        <v>15</v>
      </c>
      <c r="D232" s="20" t="str">
        <f aca="false">IFERROR(VLOOKUP(A232,NOMENCLATOR!$A:$E,3,0),"")</f>
        <v>GM</v>
      </c>
      <c r="E232" s="21" t="n">
        <f aca="false">IFERROR(VLOOKUP(A232,NOMENCLATOR!$A:$E,4,0),"")</f>
        <v>0.0266</v>
      </c>
      <c r="F232" s="21" t="n">
        <f aca="false">IF(OR(C232="",E232=""),"",C232*E232)</f>
        <v>0.399</v>
      </c>
      <c r="G232" s="22" t="n">
        <f aca="false">IFERROR(VLOOKUP(A232,NOMENCLATOR!$A:$E,5,0),"")</f>
        <v>0.0266</v>
      </c>
      <c r="H232" s="22" t="n">
        <f aca="false">IF(OR(C232="",G232=""),"",C232*G232)</f>
        <v>0.399</v>
      </c>
    </row>
    <row r="233" customFormat="false" ht="15" hidden="false" customHeight="true" outlineLevel="0" collapsed="false">
      <c r="A233" s="17" t="s">
        <v>68</v>
      </c>
      <c r="B233" s="18" t="str">
        <f aca="false">IFERROR(VLOOKUP(A233,NOMENCLATOR!$A:$E,2,0),"")</f>
        <v>Branza cheddar felii 2026</v>
      </c>
      <c r="C233" s="19" t="n">
        <v>2</v>
      </c>
      <c r="D233" s="20" t="str">
        <f aca="false">IFERROR(VLOOKUP(A233,NOMENCLATOR!$A:$E,3,0),"")</f>
        <v>EA</v>
      </c>
      <c r="E233" s="21" t="n">
        <f aca="false">IFERROR(VLOOKUP(A233,NOMENCLATOR!$A:$E,4,0),"")</f>
        <v>0.61567</v>
      </c>
      <c r="F233" s="21" t="n">
        <f aca="false">IF(OR(C233="",E233=""),"",C233*E233)</f>
        <v>1.23134</v>
      </c>
      <c r="G233" s="22" t="n">
        <f aca="false">IFERROR(VLOOKUP(A233,NOMENCLATOR!$A:$E,5,0),"")</f>
        <v>0.61567</v>
      </c>
      <c r="H233" s="22" t="n">
        <f aca="false">IF(OR(C233="",G233=""),"",C233*G233)</f>
        <v>1.23134</v>
      </c>
    </row>
    <row r="234" customFormat="false" ht="15" hidden="false" customHeight="true" outlineLevel="0" collapsed="false">
      <c r="A234" s="23" t="str">
        <f aca="false">IF(A225="","",A225)</f>
        <v>DUBLU BLACK TRUFFLE SMASHED new D</v>
      </c>
      <c r="B234" s="24"/>
      <c r="C234" s="24"/>
      <c r="D234" s="24"/>
      <c r="E234" s="24"/>
      <c r="F234" s="25" t="n">
        <f aca="false">IF(A225="","",SUM(F227:F233))</f>
        <v>12.0954</v>
      </c>
      <c r="G234" s="24"/>
      <c r="H234" s="26" t="n">
        <f aca="false">IF(A225="","",SUM(H227:H233))</f>
        <v>12.93074</v>
      </c>
    </row>
    <row r="236" customFormat="false" ht="15" hidden="false" customHeight="true" outlineLevel="0" collapsed="false">
      <c r="A236" s="12" t="s">
        <v>344</v>
      </c>
      <c r="B236" s="13"/>
      <c r="C236" s="13"/>
      <c r="D236" s="13"/>
      <c r="E236" s="13"/>
      <c r="F236" s="14" t="s">
        <v>315</v>
      </c>
      <c r="G236" s="13"/>
      <c r="H236" s="15"/>
    </row>
    <row r="237" customFormat="false" ht="15" hidden="false" customHeight="true" outlineLevel="0" collapsed="false">
      <c r="A237" s="16" t="s">
        <v>316</v>
      </c>
      <c r="B237" s="16" t="s">
        <v>317</v>
      </c>
      <c r="C237" s="16" t="s">
        <v>318</v>
      </c>
      <c r="D237" s="16" t="s">
        <v>4</v>
      </c>
      <c r="E237" s="16" t="s">
        <v>319</v>
      </c>
      <c r="F237" s="16" t="s">
        <v>320</v>
      </c>
      <c r="G237" s="16" t="s">
        <v>321</v>
      </c>
      <c r="H237" s="16" t="s">
        <v>322</v>
      </c>
    </row>
    <row r="238" customFormat="false" ht="15" hidden="false" customHeight="true" outlineLevel="0" collapsed="false">
      <c r="A238" s="17" t="s">
        <v>98</v>
      </c>
      <c r="B238" s="18" t="str">
        <f aca="false">IFERROR(VLOOKUP(A238,NOMENCLATOR!$A:$E,2,0),"")</f>
        <v>CHIFLA CARTOF 3.5inch 53G x 72</v>
      </c>
      <c r="C238" s="19" t="n">
        <v>1</v>
      </c>
      <c r="D238" s="20" t="str">
        <f aca="false">IFERROR(VLOOKUP(A238,NOMENCLATOR!$A:$E,3,0),"")</f>
        <v>EA</v>
      </c>
      <c r="E238" s="21" t="n">
        <f aca="false">IFERROR(VLOOKUP(A238,NOMENCLATOR!$A:$E,4,0),"")</f>
        <v>2.4</v>
      </c>
      <c r="F238" s="21" t="n">
        <f aca="false">IF(OR(C238="",E238=""),"",C238*E238)</f>
        <v>2.4</v>
      </c>
      <c r="G238" s="22" t="n">
        <f aca="false">IFERROR(VLOOKUP(A238,NOMENCLATOR!$A:$E,5,0),"")</f>
        <v>2.4</v>
      </c>
      <c r="H238" s="22" t="n">
        <f aca="false">IF(OR(C238="",G238=""),"",C238*G238)</f>
        <v>2.4</v>
      </c>
    </row>
    <row r="239" customFormat="false" ht="15" hidden="false" customHeight="true" outlineLevel="0" collapsed="false">
      <c r="A239" s="17" t="s">
        <v>260</v>
      </c>
      <c r="B239" s="18" t="str">
        <f aca="false">IFERROR(VLOOKUP(A239,NOMENCLATOR!$A:$E,2,0),"")</f>
        <v>Redpeppajam Sauce</v>
      </c>
      <c r="C239" s="19" t="n">
        <v>20</v>
      </c>
      <c r="D239" s="20" t="str">
        <f aca="false">IFERROR(VLOOKUP(A239,NOMENCLATOR!$A:$E,3,0),"")</f>
        <v>ML</v>
      </c>
      <c r="E239" s="21" t="n">
        <f aca="false">IFERROR(VLOOKUP(A239,NOMENCLATOR!$A:$E,4,0),"")</f>
        <v>0.03953</v>
      </c>
      <c r="F239" s="21" t="n">
        <f aca="false">IF(OR(C239="",E239=""),"",C239*E239)</f>
        <v>0.7906</v>
      </c>
      <c r="G239" s="22" t="n">
        <f aca="false">IFERROR(VLOOKUP(A239,NOMENCLATOR!$A:$E,5,0),"")</f>
        <v>0.03953</v>
      </c>
      <c r="H239" s="22" t="n">
        <f aca="false">IF(OR(C239="",G239=""),"",C239*G239)</f>
        <v>0.7906</v>
      </c>
    </row>
    <row r="240" customFormat="false" ht="15" hidden="false" customHeight="true" outlineLevel="0" collapsed="false">
      <c r="A240" s="17" t="s">
        <v>94</v>
      </c>
      <c r="B240" s="18" t="str">
        <f aca="false">IFERROR(VLOOKUP(A240,NOMENCLATOR!$A:$E,2,0),"")</f>
        <v>Ceapa prajita</v>
      </c>
      <c r="C240" s="19" t="n">
        <v>7.5</v>
      </c>
      <c r="D240" s="20" t="str">
        <f aca="false">IFERROR(VLOOKUP(A240,NOMENCLATOR!$A:$E,3,0),"")</f>
        <v>GM</v>
      </c>
      <c r="E240" s="21" t="n">
        <f aca="false">IFERROR(VLOOKUP(A240,NOMENCLATOR!$A:$E,4,0),"")</f>
        <v>0.0266</v>
      </c>
      <c r="F240" s="21" t="n">
        <f aca="false">IF(OR(C240="",E240=""),"",C240*E240)</f>
        <v>0.1995</v>
      </c>
      <c r="G240" s="22" t="n">
        <f aca="false">IFERROR(VLOOKUP(A240,NOMENCLATOR!$A:$E,5,0),"")</f>
        <v>0.0266</v>
      </c>
      <c r="H240" s="22" t="n">
        <f aca="false">IF(OR(C240="",G240=""),"",C240*G240)</f>
        <v>0.1995</v>
      </c>
    </row>
    <row r="241" customFormat="false" ht="15" hidden="false" customHeight="true" outlineLevel="0" collapsed="false">
      <c r="A241" s="17" t="s">
        <v>52</v>
      </c>
      <c r="B241" s="18" t="str">
        <f aca="false">IFERROR(VLOOKUP(A241,NOMENCLATOR!$A:$E,2,0),"")</f>
        <v>Ardei Rosii Capia 2.5kg</v>
      </c>
      <c r="C241" s="19" t="n">
        <v>15</v>
      </c>
      <c r="D241" s="20" t="str">
        <f aca="false">IFERROR(VLOOKUP(A241,NOMENCLATOR!$A:$E,3,0),"")</f>
        <v>GM</v>
      </c>
      <c r="E241" s="21" t="n">
        <f aca="false">IFERROR(VLOOKUP(A241,NOMENCLATOR!$A:$E,4,0),"")</f>
        <v>0.0201</v>
      </c>
      <c r="F241" s="21" t="n">
        <f aca="false">IF(OR(C241="",E241=""),"",C241*E241)</f>
        <v>0.3015</v>
      </c>
      <c r="G241" s="22" t="n">
        <f aca="false">IFERROR(VLOOKUP(A241,NOMENCLATOR!$A:$E,5,0),"")</f>
        <v>0.0201</v>
      </c>
      <c r="H241" s="22" t="n">
        <f aca="false">IF(OR(C241="",G241=""),"",C241*G241)</f>
        <v>0.3015</v>
      </c>
    </row>
    <row r="242" customFormat="false" ht="15" hidden="false" customHeight="true" outlineLevel="0" collapsed="false">
      <c r="A242" s="17" t="s">
        <v>68</v>
      </c>
      <c r="B242" s="18" t="str">
        <f aca="false">IFERROR(VLOOKUP(A242,NOMENCLATOR!$A:$E,2,0),"")</f>
        <v>Branza cheddar felii 2026</v>
      </c>
      <c r="C242" s="19" t="n">
        <v>1</v>
      </c>
      <c r="D242" s="20" t="str">
        <f aca="false">IFERROR(VLOOKUP(A242,NOMENCLATOR!$A:$E,3,0),"")</f>
        <v>EA</v>
      </c>
      <c r="E242" s="21" t="n">
        <f aca="false">IFERROR(VLOOKUP(A242,NOMENCLATOR!$A:$E,4,0),"")</f>
        <v>0.61567</v>
      </c>
      <c r="F242" s="21" t="n">
        <f aca="false">IF(OR(C242="",E242=""),"",C242*E242)</f>
        <v>0.61567</v>
      </c>
      <c r="G242" s="22" t="n">
        <f aca="false">IFERROR(VLOOKUP(A242,NOMENCLATOR!$A:$E,5,0),"")</f>
        <v>0.61567</v>
      </c>
      <c r="H242" s="22" t="n">
        <f aca="false">IF(OR(C242="",G242=""),"",C242*G242)</f>
        <v>0.61567</v>
      </c>
    </row>
    <row r="243" customFormat="false" ht="15" hidden="false" customHeight="true" outlineLevel="0" collapsed="false">
      <c r="A243" s="17" t="s">
        <v>236</v>
      </c>
      <c r="B243" s="18" t="str">
        <f aca="false">IFERROR(VLOOKUP(A243,NOMENCLATOR!$A:$E,2,0),"")</f>
        <v>PREP - smashed koliber 60G</v>
      </c>
      <c r="C243" s="19" t="n">
        <v>1</v>
      </c>
      <c r="D243" s="20" t="str">
        <f aca="false">IFERROR(VLOOKUP(A243,NOMENCLATOR!$A:$E,3,0),"")</f>
        <v>EA</v>
      </c>
      <c r="E243" s="21" t="n">
        <f aca="false">IFERROR(VLOOKUP(A243,NOMENCLATOR!$A:$E,4,0),"")</f>
        <v>2.93233</v>
      </c>
      <c r="F243" s="21" t="n">
        <f aca="false">IF(OR(C243="",E243=""),"",C243*E243)</f>
        <v>2.93233</v>
      </c>
      <c r="G243" s="22" t="n">
        <f aca="false">IFERROR(VLOOKUP(A243,NOMENCLATOR!$A:$E,5,0),"")</f>
        <v>3.35</v>
      </c>
      <c r="H243" s="22" t="n">
        <f aca="false">IF(OR(C243="",G243=""),"",C243*G243)</f>
        <v>3.35</v>
      </c>
    </row>
    <row r="244" customFormat="false" ht="15" hidden="false" customHeight="true" outlineLevel="0" collapsed="false">
      <c r="A244" s="17" t="s">
        <v>56</v>
      </c>
      <c r="B244" s="18" t="str">
        <f aca="false">IFERROR(VLOOKUP(A244,NOMENCLATOR!$A:$E,2,0),"")</f>
        <v>Bacon (raw)</v>
      </c>
      <c r="C244" s="19" t="n">
        <v>28</v>
      </c>
      <c r="D244" s="20" t="str">
        <f aca="false">IFERROR(VLOOKUP(A244,NOMENCLATOR!$A:$E,3,0),"")</f>
        <v>GM</v>
      </c>
      <c r="E244" s="21" t="n">
        <f aca="false">IFERROR(VLOOKUP(A244,NOMENCLATOR!$A:$E,4,0),"")</f>
        <v>0.04896</v>
      </c>
      <c r="F244" s="21" t="n">
        <f aca="false">IF(OR(C244="",E244=""),"",C244*E244)</f>
        <v>1.37088</v>
      </c>
      <c r="G244" s="22" t="n">
        <f aca="false">IFERROR(VLOOKUP(A244,NOMENCLATOR!$A:$E,5,0),"")</f>
        <v>0.04896</v>
      </c>
      <c r="H244" s="22" t="n">
        <f aca="false">IF(OR(C244="",G244=""),"",C244*G244)</f>
        <v>1.37088</v>
      </c>
    </row>
    <row r="245" customFormat="false" ht="15" hidden="false" customHeight="true" outlineLevel="0" collapsed="false">
      <c r="A245" s="17" t="s">
        <v>244</v>
      </c>
      <c r="B245" s="18" t="str">
        <f aca="false">IFERROR(VLOOKUP(A245,NOMENCLATOR!$A:$E,2,0),"")</f>
        <v>PUNGA 11x5x12.5 BURGER MIC</v>
      </c>
      <c r="C245" s="19" t="n">
        <v>1</v>
      </c>
      <c r="D245" s="20" t="str">
        <f aca="false">IFERROR(VLOOKUP(A245,NOMENCLATOR!$A:$E,3,0),"")</f>
        <v>EA</v>
      </c>
      <c r="E245" s="21" t="n">
        <f aca="false">IFERROR(VLOOKUP(A245,NOMENCLATOR!$A:$E,4,0),"")</f>
        <v>0.105</v>
      </c>
      <c r="F245" s="21" t="n">
        <f aca="false">IF(OR(C245="",E245=""),"",C245*E245)</f>
        <v>0.105</v>
      </c>
      <c r="G245" s="22" t="n">
        <f aca="false">IFERROR(VLOOKUP(A245,NOMENCLATOR!$A:$E,5,0),"")</f>
        <v>0.105</v>
      </c>
      <c r="H245" s="22" t="n">
        <f aca="false">IF(OR(C245="",G245=""),"",C245*G245)</f>
        <v>0.105</v>
      </c>
    </row>
    <row r="246" customFormat="false" ht="15" hidden="false" customHeight="true" outlineLevel="0" collapsed="false">
      <c r="A246" s="17" t="s">
        <v>118</v>
      </c>
      <c r="B246" s="18" t="str">
        <f aca="false">IFERROR(VLOOKUP(A246,NOMENCLATOR!$A:$E,2,0),"")</f>
        <v>CUTIE MICA RED PEPPER SMASHED BURGER Fry</v>
      </c>
      <c r="C246" s="19" t="n">
        <v>1</v>
      </c>
      <c r="D246" s="20" t="str">
        <f aca="false">IFERROR(VLOOKUP(A246,NOMENCLATOR!$A:$E,3,0),"")</f>
        <v>EA</v>
      </c>
      <c r="E246" s="21" t="n">
        <f aca="false">IFERROR(VLOOKUP(A246,NOMENCLATOR!$A:$E,4,0),"")</f>
        <v>0.693</v>
      </c>
      <c r="F246" s="21" t="n">
        <f aca="false">IF(OR(C246="",E246=""),"",C246*E246)</f>
        <v>0.693</v>
      </c>
      <c r="G246" s="22" t="n">
        <f aca="false">IFERROR(VLOOKUP(A246,NOMENCLATOR!$A:$E,5,0),"")</f>
        <v>0.693</v>
      </c>
      <c r="H246" s="22" t="n">
        <f aca="false">IF(OR(C246="",G246=""),"",C246*G246)</f>
        <v>0.693</v>
      </c>
    </row>
    <row r="247" customFormat="false" ht="15" hidden="false" customHeight="true" outlineLevel="0" collapsed="false">
      <c r="A247" s="23" t="str">
        <f aca="false">IF(A236="","",A236)</f>
        <v>RED PEPPER SMASHED new</v>
      </c>
      <c r="B247" s="24"/>
      <c r="C247" s="24"/>
      <c r="D247" s="24"/>
      <c r="E247" s="24"/>
      <c r="F247" s="25" t="n">
        <f aca="false">IF(A236="","",SUM(F238:F246))</f>
        <v>9.40848</v>
      </c>
      <c r="G247" s="24"/>
      <c r="H247" s="26" t="n">
        <f aca="false">IF(A236="","",SUM(H238:H246))</f>
        <v>9.82615</v>
      </c>
    </row>
    <row r="249" customFormat="false" ht="15" hidden="false" customHeight="true" outlineLevel="0" collapsed="false">
      <c r="A249" s="12" t="s">
        <v>345</v>
      </c>
      <c r="B249" s="13"/>
      <c r="C249" s="13"/>
      <c r="D249" s="13"/>
      <c r="E249" s="13"/>
      <c r="F249" s="14" t="s">
        <v>315</v>
      </c>
      <c r="G249" s="13"/>
      <c r="H249" s="15"/>
    </row>
    <row r="250" customFormat="false" ht="15" hidden="false" customHeight="true" outlineLevel="0" collapsed="false">
      <c r="A250" s="16" t="s">
        <v>316</v>
      </c>
      <c r="B250" s="16" t="s">
        <v>317</v>
      </c>
      <c r="C250" s="16" t="s">
        <v>318</v>
      </c>
      <c r="D250" s="16" t="s">
        <v>4</v>
      </c>
      <c r="E250" s="16" t="s">
        <v>319</v>
      </c>
      <c r="F250" s="16" t="s">
        <v>320</v>
      </c>
      <c r="G250" s="16" t="s">
        <v>321</v>
      </c>
      <c r="H250" s="16" t="s">
        <v>322</v>
      </c>
    </row>
    <row r="251" customFormat="false" ht="15" hidden="false" customHeight="true" outlineLevel="0" collapsed="false">
      <c r="A251" s="17" t="s">
        <v>98</v>
      </c>
      <c r="B251" s="18" t="str">
        <f aca="false">IFERROR(VLOOKUP(A251,NOMENCLATOR!$A:$E,2,0),"")</f>
        <v>CHIFLA CARTOF 3.5inch 53G x 72</v>
      </c>
      <c r="C251" s="19" t="n">
        <v>1</v>
      </c>
      <c r="D251" s="20" t="str">
        <f aca="false">IFERROR(VLOOKUP(A251,NOMENCLATOR!$A:$E,3,0),"")</f>
        <v>EA</v>
      </c>
      <c r="E251" s="21" t="n">
        <f aca="false">IFERROR(VLOOKUP(A251,NOMENCLATOR!$A:$E,4,0),"")</f>
        <v>2.4</v>
      </c>
      <c r="F251" s="21" t="n">
        <f aca="false">IF(OR(C251="",E251=""),"",C251*E251)</f>
        <v>2.4</v>
      </c>
      <c r="G251" s="22" t="n">
        <f aca="false">IFERROR(VLOOKUP(A251,NOMENCLATOR!$A:$E,5,0),"")</f>
        <v>2.4</v>
      </c>
      <c r="H251" s="22" t="n">
        <f aca="false">IF(OR(C251="",G251=""),"",C251*G251)</f>
        <v>2.4</v>
      </c>
    </row>
    <row r="252" customFormat="false" ht="15" hidden="false" customHeight="true" outlineLevel="0" collapsed="false">
      <c r="A252" s="17" t="s">
        <v>260</v>
      </c>
      <c r="B252" s="18" t="str">
        <f aca="false">IFERROR(VLOOKUP(A252,NOMENCLATOR!$A:$E,2,0),"")</f>
        <v>Redpeppajam Sauce</v>
      </c>
      <c r="C252" s="19" t="n">
        <v>20</v>
      </c>
      <c r="D252" s="20" t="str">
        <f aca="false">IFERROR(VLOOKUP(A252,NOMENCLATOR!$A:$E,3,0),"")</f>
        <v>ML</v>
      </c>
      <c r="E252" s="21" t="n">
        <f aca="false">IFERROR(VLOOKUP(A252,NOMENCLATOR!$A:$E,4,0),"")</f>
        <v>0.03953</v>
      </c>
      <c r="F252" s="21" t="n">
        <f aca="false">IF(OR(C252="",E252=""),"",C252*E252)</f>
        <v>0.7906</v>
      </c>
      <c r="G252" s="22" t="n">
        <f aca="false">IFERROR(VLOOKUP(A252,NOMENCLATOR!$A:$E,5,0),"")</f>
        <v>0.03953</v>
      </c>
      <c r="H252" s="22" t="n">
        <f aca="false">IF(OR(C252="",G252=""),"",C252*G252)</f>
        <v>0.7906</v>
      </c>
    </row>
    <row r="253" customFormat="false" ht="15" hidden="false" customHeight="true" outlineLevel="0" collapsed="false">
      <c r="A253" s="17" t="s">
        <v>94</v>
      </c>
      <c r="B253" s="18" t="str">
        <f aca="false">IFERROR(VLOOKUP(A253,NOMENCLATOR!$A:$E,2,0),"")</f>
        <v>Ceapa prajita</v>
      </c>
      <c r="C253" s="19" t="n">
        <v>7.5</v>
      </c>
      <c r="D253" s="20" t="str">
        <f aca="false">IFERROR(VLOOKUP(A253,NOMENCLATOR!$A:$E,3,0),"")</f>
        <v>GM</v>
      </c>
      <c r="E253" s="21" t="n">
        <f aca="false">IFERROR(VLOOKUP(A253,NOMENCLATOR!$A:$E,4,0),"")</f>
        <v>0.0266</v>
      </c>
      <c r="F253" s="21" t="n">
        <f aca="false">IF(OR(C253="",E253=""),"",C253*E253)</f>
        <v>0.1995</v>
      </c>
      <c r="G253" s="22" t="n">
        <f aca="false">IFERROR(VLOOKUP(A253,NOMENCLATOR!$A:$E,5,0),"")</f>
        <v>0.0266</v>
      </c>
      <c r="H253" s="22" t="n">
        <f aca="false">IF(OR(C253="",G253=""),"",C253*G253)</f>
        <v>0.1995</v>
      </c>
    </row>
    <row r="254" customFormat="false" ht="15" hidden="false" customHeight="true" outlineLevel="0" collapsed="false">
      <c r="A254" s="17" t="s">
        <v>52</v>
      </c>
      <c r="B254" s="18" t="str">
        <f aca="false">IFERROR(VLOOKUP(A254,NOMENCLATOR!$A:$E,2,0),"")</f>
        <v>Ardei Rosii Capia 2.5kg</v>
      </c>
      <c r="C254" s="19" t="n">
        <v>15</v>
      </c>
      <c r="D254" s="20" t="str">
        <f aca="false">IFERROR(VLOOKUP(A254,NOMENCLATOR!$A:$E,3,0),"")</f>
        <v>GM</v>
      </c>
      <c r="E254" s="21" t="n">
        <f aca="false">IFERROR(VLOOKUP(A254,NOMENCLATOR!$A:$E,4,0),"")</f>
        <v>0.0201</v>
      </c>
      <c r="F254" s="21" t="n">
        <f aca="false">IF(OR(C254="",E254=""),"",C254*E254)</f>
        <v>0.3015</v>
      </c>
      <c r="G254" s="22" t="n">
        <f aca="false">IFERROR(VLOOKUP(A254,NOMENCLATOR!$A:$E,5,0),"")</f>
        <v>0.0201</v>
      </c>
      <c r="H254" s="22" t="n">
        <f aca="false">IF(OR(C254="",G254=""),"",C254*G254)</f>
        <v>0.3015</v>
      </c>
    </row>
    <row r="255" customFormat="false" ht="15" hidden="false" customHeight="true" outlineLevel="0" collapsed="false">
      <c r="A255" s="17" t="s">
        <v>68</v>
      </c>
      <c r="B255" s="18" t="str">
        <f aca="false">IFERROR(VLOOKUP(A255,NOMENCLATOR!$A:$E,2,0),"")</f>
        <v>Branza cheddar felii 2026</v>
      </c>
      <c r="C255" s="19" t="n">
        <v>1</v>
      </c>
      <c r="D255" s="20" t="str">
        <f aca="false">IFERROR(VLOOKUP(A255,NOMENCLATOR!$A:$E,3,0),"")</f>
        <v>EA</v>
      </c>
      <c r="E255" s="21" t="n">
        <f aca="false">IFERROR(VLOOKUP(A255,NOMENCLATOR!$A:$E,4,0),"")</f>
        <v>0.61567</v>
      </c>
      <c r="F255" s="21" t="n">
        <f aca="false">IF(OR(C255="",E255=""),"",C255*E255)</f>
        <v>0.61567</v>
      </c>
      <c r="G255" s="22" t="n">
        <f aca="false">IFERROR(VLOOKUP(A255,NOMENCLATOR!$A:$E,5,0),"")</f>
        <v>0.61567</v>
      </c>
      <c r="H255" s="22" t="n">
        <f aca="false">IF(OR(C255="",G255=""),"",C255*G255)</f>
        <v>0.61567</v>
      </c>
    </row>
    <row r="256" customFormat="false" ht="15" hidden="false" customHeight="true" outlineLevel="0" collapsed="false">
      <c r="A256" s="17" t="s">
        <v>236</v>
      </c>
      <c r="B256" s="18" t="str">
        <f aca="false">IFERROR(VLOOKUP(A256,NOMENCLATOR!$A:$E,2,0),"")</f>
        <v>PREP - smashed koliber 60G</v>
      </c>
      <c r="C256" s="19" t="n">
        <v>1</v>
      </c>
      <c r="D256" s="20" t="str">
        <f aca="false">IFERROR(VLOOKUP(A256,NOMENCLATOR!$A:$E,3,0),"")</f>
        <v>EA</v>
      </c>
      <c r="E256" s="21" t="n">
        <f aca="false">IFERROR(VLOOKUP(A256,NOMENCLATOR!$A:$E,4,0),"")</f>
        <v>2.93233</v>
      </c>
      <c r="F256" s="21" t="n">
        <f aca="false">IF(OR(C256="",E256=""),"",C256*E256)</f>
        <v>2.93233</v>
      </c>
      <c r="G256" s="22" t="n">
        <f aca="false">IFERROR(VLOOKUP(A256,NOMENCLATOR!$A:$E,5,0),"")</f>
        <v>3.35</v>
      </c>
      <c r="H256" s="22" t="n">
        <f aca="false">IF(OR(C256="",G256=""),"",C256*G256)</f>
        <v>3.35</v>
      </c>
    </row>
    <row r="257" customFormat="false" ht="15" hidden="false" customHeight="true" outlineLevel="0" collapsed="false">
      <c r="A257" s="17" t="s">
        <v>56</v>
      </c>
      <c r="B257" s="18" t="str">
        <f aca="false">IFERROR(VLOOKUP(A257,NOMENCLATOR!$A:$E,2,0),"")</f>
        <v>Bacon (raw)</v>
      </c>
      <c r="C257" s="19" t="n">
        <v>28</v>
      </c>
      <c r="D257" s="20" t="str">
        <f aca="false">IFERROR(VLOOKUP(A257,NOMENCLATOR!$A:$E,3,0),"")</f>
        <v>GM</v>
      </c>
      <c r="E257" s="21" t="n">
        <f aca="false">IFERROR(VLOOKUP(A257,NOMENCLATOR!$A:$E,4,0),"")</f>
        <v>0.04896</v>
      </c>
      <c r="F257" s="21" t="n">
        <f aca="false">IF(OR(C257="",E257=""),"",C257*E257)</f>
        <v>1.37088</v>
      </c>
      <c r="G257" s="22" t="n">
        <f aca="false">IFERROR(VLOOKUP(A257,NOMENCLATOR!$A:$E,5,0),"")</f>
        <v>0.04896</v>
      </c>
      <c r="H257" s="22" t="n">
        <f aca="false">IF(OR(C257="",G257=""),"",C257*G257)</f>
        <v>1.37088</v>
      </c>
    </row>
    <row r="258" customFormat="false" ht="15" hidden="false" customHeight="true" outlineLevel="0" collapsed="false">
      <c r="A258" s="17" t="s">
        <v>244</v>
      </c>
      <c r="B258" s="18" t="str">
        <f aca="false">IFERROR(VLOOKUP(A258,NOMENCLATOR!$A:$E,2,0),"")</f>
        <v>PUNGA 11x5x12.5 BURGER MIC</v>
      </c>
      <c r="C258" s="19" t="n">
        <v>1</v>
      </c>
      <c r="D258" s="20" t="str">
        <f aca="false">IFERROR(VLOOKUP(A258,NOMENCLATOR!$A:$E,3,0),"")</f>
        <v>EA</v>
      </c>
      <c r="E258" s="21" t="n">
        <f aca="false">IFERROR(VLOOKUP(A258,NOMENCLATOR!$A:$E,4,0),"")</f>
        <v>0.105</v>
      </c>
      <c r="F258" s="21" t="n">
        <f aca="false">IF(OR(C258="",E258=""),"",C258*E258)</f>
        <v>0.105</v>
      </c>
      <c r="G258" s="22" t="n">
        <f aca="false">IFERROR(VLOOKUP(A258,NOMENCLATOR!$A:$E,5,0),"")</f>
        <v>0.105</v>
      </c>
      <c r="H258" s="22" t="n">
        <f aca="false">IF(OR(C258="",G258=""),"",C258*G258)</f>
        <v>0.105</v>
      </c>
    </row>
    <row r="259" customFormat="false" ht="15" hidden="false" customHeight="true" outlineLevel="0" collapsed="false">
      <c r="A259" s="17" t="s">
        <v>118</v>
      </c>
      <c r="B259" s="18" t="str">
        <f aca="false">IFERROR(VLOOKUP(A259,NOMENCLATOR!$A:$E,2,0),"")</f>
        <v>CUTIE MICA RED PEPPER SMASHED BURGER Fry</v>
      </c>
      <c r="C259" s="19" t="n">
        <v>1</v>
      </c>
      <c r="D259" s="20" t="str">
        <f aca="false">IFERROR(VLOOKUP(A259,NOMENCLATOR!$A:$E,3,0),"")</f>
        <v>EA</v>
      </c>
      <c r="E259" s="21" t="n">
        <f aca="false">IFERROR(VLOOKUP(A259,NOMENCLATOR!$A:$E,4,0),"")</f>
        <v>0.693</v>
      </c>
      <c r="F259" s="21" t="n">
        <f aca="false">IF(OR(C259="",E259=""),"",C259*E259)</f>
        <v>0.693</v>
      </c>
      <c r="G259" s="22" t="n">
        <f aca="false">IFERROR(VLOOKUP(A259,NOMENCLATOR!$A:$E,5,0),"")</f>
        <v>0.693</v>
      </c>
      <c r="H259" s="22" t="n">
        <f aca="false">IF(OR(C259="",G259=""),"",C259*G259)</f>
        <v>0.693</v>
      </c>
    </row>
    <row r="260" customFormat="false" ht="15" hidden="false" customHeight="true" outlineLevel="0" collapsed="false">
      <c r="A260" s="23" t="str">
        <f aca="false">IF(A249="","",A249)</f>
        <v>RED PEPPER SMASHED new D</v>
      </c>
      <c r="B260" s="24"/>
      <c r="C260" s="24"/>
      <c r="D260" s="24"/>
      <c r="E260" s="24"/>
      <c r="F260" s="25" t="n">
        <f aca="false">IF(A249="","",SUM(F251:F259))</f>
        <v>9.40848</v>
      </c>
      <c r="G260" s="24"/>
      <c r="H260" s="26" t="n">
        <f aca="false">IF(A249="","",SUM(H251:H259))</f>
        <v>9.82615</v>
      </c>
    </row>
    <row r="262" customFormat="false" ht="15" hidden="false" customHeight="true" outlineLevel="0" collapsed="false">
      <c r="A262" s="12" t="s">
        <v>346</v>
      </c>
      <c r="B262" s="13"/>
      <c r="C262" s="13"/>
      <c r="D262" s="13"/>
      <c r="E262" s="13"/>
      <c r="F262" s="14" t="s">
        <v>315</v>
      </c>
      <c r="G262" s="13"/>
      <c r="H262" s="15"/>
    </row>
    <row r="263" customFormat="false" ht="15" hidden="false" customHeight="true" outlineLevel="0" collapsed="false">
      <c r="A263" s="16" t="s">
        <v>316</v>
      </c>
      <c r="B263" s="16" t="s">
        <v>317</v>
      </c>
      <c r="C263" s="16" t="s">
        <v>318</v>
      </c>
      <c r="D263" s="16" t="s">
        <v>4</v>
      </c>
      <c r="E263" s="16" t="s">
        <v>319</v>
      </c>
      <c r="F263" s="16" t="s">
        <v>320</v>
      </c>
      <c r="G263" s="16" t="s">
        <v>321</v>
      </c>
      <c r="H263" s="16" t="s">
        <v>322</v>
      </c>
    </row>
    <row r="264" customFormat="false" ht="15" hidden="false" customHeight="true" outlineLevel="0" collapsed="false">
      <c r="A264" s="17" t="s">
        <v>98</v>
      </c>
      <c r="B264" s="18" t="str">
        <f aca="false">IFERROR(VLOOKUP(A264,NOMENCLATOR!$A:$E,2,0),"")</f>
        <v>CHIFLA CARTOF 3.5inch 53G x 72</v>
      </c>
      <c r="C264" s="19" t="n">
        <v>1</v>
      </c>
      <c r="D264" s="20" t="str">
        <f aca="false">IFERROR(VLOOKUP(A264,NOMENCLATOR!$A:$E,3,0),"")</f>
        <v>EA</v>
      </c>
      <c r="E264" s="21" t="n">
        <f aca="false">IFERROR(VLOOKUP(A264,NOMENCLATOR!$A:$E,4,0),"")</f>
        <v>2.4</v>
      </c>
      <c r="F264" s="21" t="n">
        <f aca="false">IF(OR(C264="",E264=""),"",C264*E264)</f>
        <v>2.4</v>
      </c>
      <c r="G264" s="22" t="n">
        <f aca="false">IFERROR(VLOOKUP(A264,NOMENCLATOR!$A:$E,5,0),"")</f>
        <v>2.4</v>
      </c>
      <c r="H264" s="22" t="n">
        <f aca="false">IF(OR(C264="",G264=""),"",C264*G264)</f>
        <v>2.4</v>
      </c>
    </row>
    <row r="265" customFormat="false" ht="15" hidden="false" customHeight="true" outlineLevel="0" collapsed="false">
      <c r="A265" s="17" t="s">
        <v>260</v>
      </c>
      <c r="B265" s="18" t="str">
        <f aca="false">IFERROR(VLOOKUP(A265,NOMENCLATOR!$A:$E,2,0),"")</f>
        <v>Redpeppajam Sauce</v>
      </c>
      <c r="C265" s="19" t="n">
        <v>30</v>
      </c>
      <c r="D265" s="20" t="str">
        <f aca="false">IFERROR(VLOOKUP(A265,NOMENCLATOR!$A:$E,3,0),"")</f>
        <v>ML</v>
      </c>
      <c r="E265" s="21" t="n">
        <f aca="false">IFERROR(VLOOKUP(A265,NOMENCLATOR!$A:$E,4,0),"")</f>
        <v>0.03953</v>
      </c>
      <c r="F265" s="21" t="n">
        <f aca="false">IF(OR(C265="",E265=""),"",C265*E265)</f>
        <v>1.1859</v>
      </c>
      <c r="G265" s="22" t="n">
        <f aca="false">IFERROR(VLOOKUP(A265,NOMENCLATOR!$A:$E,5,0),"")</f>
        <v>0.03953</v>
      </c>
      <c r="H265" s="22" t="n">
        <f aca="false">IF(OR(C265="",G265=""),"",C265*G265)</f>
        <v>1.1859</v>
      </c>
    </row>
    <row r="266" customFormat="false" ht="15" hidden="false" customHeight="true" outlineLevel="0" collapsed="false">
      <c r="A266" s="17" t="s">
        <v>94</v>
      </c>
      <c r="B266" s="18" t="str">
        <f aca="false">IFERROR(VLOOKUP(A266,NOMENCLATOR!$A:$E,2,0),"")</f>
        <v>Ceapa prajita</v>
      </c>
      <c r="C266" s="19" t="n">
        <v>15</v>
      </c>
      <c r="D266" s="20" t="str">
        <f aca="false">IFERROR(VLOOKUP(A266,NOMENCLATOR!$A:$E,3,0),"")</f>
        <v>GM</v>
      </c>
      <c r="E266" s="21" t="n">
        <f aca="false">IFERROR(VLOOKUP(A266,NOMENCLATOR!$A:$E,4,0),"")</f>
        <v>0.0266</v>
      </c>
      <c r="F266" s="21" t="n">
        <f aca="false">IF(OR(C266="",E266=""),"",C266*E266)</f>
        <v>0.399</v>
      </c>
      <c r="G266" s="22" t="n">
        <f aca="false">IFERROR(VLOOKUP(A266,NOMENCLATOR!$A:$E,5,0),"")</f>
        <v>0.0266</v>
      </c>
      <c r="H266" s="22" t="n">
        <f aca="false">IF(OR(C266="",G266=""),"",C266*G266)</f>
        <v>0.399</v>
      </c>
    </row>
    <row r="267" customFormat="false" ht="15" hidden="false" customHeight="true" outlineLevel="0" collapsed="false">
      <c r="A267" s="17" t="s">
        <v>52</v>
      </c>
      <c r="B267" s="18" t="str">
        <f aca="false">IFERROR(VLOOKUP(A267,NOMENCLATOR!$A:$E,2,0),"")</f>
        <v>Ardei Rosii Capia 2.5kg</v>
      </c>
      <c r="C267" s="19" t="n">
        <v>15</v>
      </c>
      <c r="D267" s="20" t="str">
        <f aca="false">IFERROR(VLOOKUP(A267,NOMENCLATOR!$A:$E,3,0),"")</f>
        <v>GM</v>
      </c>
      <c r="E267" s="21" t="n">
        <f aca="false">IFERROR(VLOOKUP(A267,NOMENCLATOR!$A:$E,4,0),"")</f>
        <v>0.0201</v>
      </c>
      <c r="F267" s="21" t="n">
        <f aca="false">IF(OR(C267="",E267=""),"",C267*E267)</f>
        <v>0.3015</v>
      </c>
      <c r="G267" s="22" t="n">
        <f aca="false">IFERROR(VLOOKUP(A267,NOMENCLATOR!$A:$E,5,0),"")</f>
        <v>0.0201</v>
      </c>
      <c r="H267" s="22" t="n">
        <f aca="false">IF(OR(C267="",G267=""),"",C267*G267)</f>
        <v>0.3015</v>
      </c>
    </row>
    <row r="268" customFormat="false" ht="15" hidden="false" customHeight="true" outlineLevel="0" collapsed="false">
      <c r="A268" s="17" t="s">
        <v>68</v>
      </c>
      <c r="B268" s="18" t="str">
        <f aca="false">IFERROR(VLOOKUP(A268,NOMENCLATOR!$A:$E,2,0),"")</f>
        <v>Branza cheddar felii 2026</v>
      </c>
      <c r="C268" s="19" t="n">
        <v>2</v>
      </c>
      <c r="D268" s="20" t="str">
        <f aca="false">IFERROR(VLOOKUP(A268,NOMENCLATOR!$A:$E,3,0),"")</f>
        <v>EA</v>
      </c>
      <c r="E268" s="21" t="n">
        <f aca="false">IFERROR(VLOOKUP(A268,NOMENCLATOR!$A:$E,4,0),"")</f>
        <v>0.61567</v>
      </c>
      <c r="F268" s="21" t="n">
        <f aca="false">IF(OR(C268="",E268=""),"",C268*E268)</f>
        <v>1.23134</v>
      </c>
      <c r="G268" s="22" t="n">
        <f aca="false">IFERROR(VLOOKUP(A268,NOMENCLATOR!$A:$E,5,0),"")</f>
        <v>0.61567</v>
      </c>
      <c r="H268" s="22" t="n">
        <f aca="false">IF(OR(C268="",G268=""),"",C268*G268)</f>
        <v>1.23134</v>
      </c>
    </row>
    <row r="269" customFormat="false" ht="15" hidden="false" customHeight="true" outlineLevel="0" collapsed="false">
      <c r="A269" s="17" t="s">
        <v>236</v>
      </c>
      <c r="B269" s="18" t="str">
        <f aca="false">IFERROR(VLOOKUP(A269,NOMENCLATOR!$A:$E,2,0),"")</f>
        <v>PREP - smashed koliber 60G</v>
      </c>
      <c r="C269" s="19" t="n">
        <v>2</v>
      </c>
      <c r="D269" s="20" t="str">
        <f aca="false">IFERROR(VLOOKUP(A269,NOMENCLATOR!$A:$E,3,0),"")</f>
        <v>EA</v>
      </c>
      <c r="E269" s="21" t="n">
        <f aca="false">IFERROR(VLOOKUP(A269,NOMENCLATOR!$A:$E,4,0),"")</f>
        <v>2.93233</v>
      </c>
      <c r="F269" s="21" t="n">
        <f aca="false">IF(OR(C269="",E269=""),"",C269*E269)</f>
        <v>5.86466</v>
      </c>
      <c r="G269" s="22" t="n">
        <f aca="false">IFERROR(VLOOKUP(A269,NOMENCLATOR!$A:$E,5,0),"")</f>
        <v>3.35</v>
      </c>
      <c r="H269" s="22" t="n">
        <f aca="false">IF(OR(C269="",G269=""),"",C269*G269)</f>
        <v>6.7</v>
      </c>
    </row>
    <row r="270" customFormat="false" ht="15" hidden="false" customHeight="true" outlineLevel="0" collapsed="false">
      <c r="A270" s="17" t="s">
        <v>56</v>
      </c>
      <c r="B270" s="18" t="str">
        <f aca="false">IFERROR(VLOOKUP(A270,NOMENCLATOR!$A:$E,2,0),"")</f>
        <v>Bacon (raw)</v>
      </c>
      <c r="C270" s="19" t="n">
        <v>28</v>
      </c>
      <c r="D270" s="20" t="str">
        <f aca="false">IFERROR(VLOOKUP(A270,NOMENCLATOR!$A:$E,3,0),"")</f>
        <v>GM</v>
      </c>
      <c r="E270" s="21" t="n">
        <f aca="false">IFERROR(VLOOKUP(A270,NOMENCLATOR!$A:$E,4,0),"")</f>
        <v>0.04896</v>
      </c>
      <c r="F270" s="21" t="n">
        <f aca="false">IF(OR(C270="",E270=""),"",C270*E270)</f>
        <v>1.37088</v>
      </c>
      <c r="G270" s="22" t="n">
        <f aca="false">IFERROR(VLOOKUP(A270,NOMENCLATOR!$A:$E,5,0),"")</f>
        <v>0.04896</v>
      </c>
      <c r="H270" s="22" t="n">
        <f aca="false">IF(OR(C270="",G270=""),"",C270*G270)</f>
        <v>1.37088</v>
      </c>
    </row>
    <row r="271" customFormat="false" ht="15" hidden="false" customHeight="true" outlineLevel="0" collapsed="false">
      <c r="A271" s="17" t="s">
        <v>244</v>
      </c>
      <c r="B271" s="18" t="str">
        <f aca="false">IFERROR(VLOOKUP(A271,NOMENCLATOR!$A:$E,2,0),"")</f>
        <v>PUNGA 11x5x12.5 BURGER MIC</v>
      </c>
      <c r="C271" s="19" t="n">
        <v>1</v>
      </c>
      <c r="D271" s="20" t="str">
        <f aca="false">IFERROR(VLOOKUP(A271,NOMENCLATOR!$A:$E,3,0),"")</f>
        <v>EA</v>
      </c>
      <c r="E271" s="21" t="n">
        <f aca="false">IFERROR(VLOOKUP(A271,NOMENCLATOR!$A:$E,4,0),"")</f>
        <v>0.105</v>
      </c>
      <c r="F271" s="21" t="n">
        <f aca="false">IF(OR(C271="",E271=""),"",C271*E271)</f>
        <v>0.105</v>
      </c>
      <c r="G271" s="22" t="n">
        <f aca="false">IFERROR(VLOOKUP(A271,NOMENCLATOR!$A:$E,5,0),"")</f>
        <v>0.105</v>
      </c>
      <c r="H271" s="22" t="n">
        <f aca="false">IF(OR(C271="",G271=""),"",C271*G271)</f>
        <v>0.105</v>
      </c>
    </row>
    <row r="272" customFormat="false" ht="15" hidden="false" customHeight="true" outlineLevel="0" collapsed="false">
      <c r="A272" s="17" t="s">
        <v>118</v>
      </c>
      <c r="B272" s="18" t="str">
        <f aca="false">IFERROR(VLOOKUP(A272,NOMENCLATOR!$A:$E,2,0),"")</f>
        <v>CUTIE MICA RED PEPPER SMASHED BURGER Fry</v>
      </c>
      <c r="C272" s="19" t="n">
        <v>1</v>
      </c>
      <c r="D272" s="20" t="str">
        <f aca="false">IFERROR(VLOOKUP(A272,NOMENCLATOR!$A:$E,3,0),"")</f>
        <v>EA</v>
      </c>
      <c r="E272" s="21" t="n">
        <f aca="false">IFERROR(VLOOKUP(A272,NOMENCLATOR!$A:$E,4,0),"")</f>
        <v>0.693</v>
      </c>
      <c r="F272" s="21" t="n">
        <f aca="false">IF(OR(C272="",E272=""),"",C272*E272)</f>
        <v>0.693</v>
      </c>
      <c r="G272" s="22" t="n">
        <f aca="false">IFERROR(VLOOKUP(A272,NOMENCLATOR!$A:$E,5,0),"")</f>
        <v>0.693</v>
      </c>
      <c r="H272" s="22" t="n">
        <f aca="false">IF(OR(C272="",G272=""),"",C272*G272)</f>
        <v>0.693</v>
      </c>
    </row>
    <row r="273" customFormat="false" ht="15" hidden="false" customHeight="true" outlineLevel="0" collapsed="false">
      <c r="A273" s="23" t="str">
        <f aca="false">IF(A262="","",A262)</f>
        <v>DUBLU RED PEPPER SMASHED new</v>
      </c>
      <c r="B273" s="24"/>
      <c r="C273" s="24"/>
      <c r="D273" s="24"/>
      <c r="E273" s="24"/>
      <c r="F273" s="25" t="n">
        <f aca="false">IF(A262="","",SUM(F264:F272))</f>
        <v>13.55128</v>
      </c>
      <c r="G273" s="24"/>
      <c r="H273" s="26" t="n">
        <f aca="false">IF(A262="","",SUM(H264:H272))</f>
        <v>14.38662</v>
      </c>
    </row>
    <row r="275" customFormat="false" ht="15" hidden="false" customHeight="true" outlineLevel="0" collapsed="false">
      <c r="A275" s="12" t="s">
        <v>347</v>
      </c>
      <c r="B275" s="13"/>
      <c r="C275" s="13"/>
      <c r="D275" s="13"/>
      <c r="E275" s="13"/>
      <c r="F275" s="14" t="s">
        <v>315</v>
      </c>
      <c r="G275" s="13"/>
      <c r="H275" s="15"/>
    </row>
    <row r="276" customFormat="false" ht="15" hidden="false" customHeight="true" outlineLevel="0" collapsed="false">
      <c r="A276" s="16" t="s">
        <v>316</v>
      </c>
      <c r="B276" s="16" t="s">
        <v>317</v>
      </c>
      <c r="C276" s="16" t="s">
        <v>318</v>
      </c>
      <c r="D276" s="16" t="s">
        <v>4</v>
      </c>
      <c r="E276" s="16" t="s">
        <v>319</v>
      </c>
      <c r="F276" s="16" t="s">
        <v>320</v>
      </c>
      <c r="G276" s="16" t="s">
        <v>321</v>
      </c>
      <c r="H276" s="16" t="s">
        <v>322</v>
      </c>
    </row>
    <row r="277" customFormat="false" ht="15" hidden="false" customHeight="true" outlineLevel="0" collapsed="false">
      <c r="A277" s="17" t="s">
        <v>98</v>
      </c>
      <c r="B277" s="18" t="str">
        <f aca="false">IFERROR(VLOOKUP(A277,NOMENCLATOR!$A:$E,2,0),"")</f>
        <v>CHIFLA CARTOF 3.5inch 53G x 72</v>
      </c>
      <c r="C277" s="19" t="n">
        <v>1</v>
      </c>
      <c r="D277" s="20" t="str">
        <f aca="false">IFERROR(VLOOKUP(A277,NOMENCLATOR!$A:$E,3,0),"")</f>
        <v>EA</v>
      </c>
      <c r="E277" s="21" t="n">
        <f aca="false">IFERROR(VLOOKUP(A277,NOMENCLATOR!$A:$E,4,0),"")</f>
        <v>2.4</v>
      </c>
      <c r="F277" s="21" t="n">
        <f aca="false">IF(OR(C277="",E277=""),"",C277*E277)</f>
        <v>2.4</v>
      </c>
      <c r="G277" s="22" t="n">
        <f aca="false">IFERROR(VLOOKUP(A277,NOMENCLATOR!$A:$E,5,0),"")</f>
        <v>2.4</v>
      </c>
      <c r="H277" s="22" t="n">
        <f aca="false">IF(OR(C277="",G277=""),"",C277*G277)</f>
        <v>2.4</v>
      </c>
    </row>
    <row r="278" customFormat="false" ht="15" hidden="false" customHeight="true" outlineLevel="0" collapsed="false">
      <c r="A278" s="17" t="s">
        <v>260</v>
      </c>
      <c r="B278" s="18" t="str">
        <f aca="false">IFERROR(VLOOKUP(A278,NOMENCLATOR!$A:$E,2,0),"")</f>
        <v>Redpeppajam Sauce</v>
      </c>
      <c r="C278" s="19" t="n">
        <v>30</v>
      </c>
      <c r="D278" s="20" t="str">
        <f aca="false">IFERROR(VLOOKUP(A278,NOMENCLATOR!$A:$E,3,0),"")</f>
        <v>ML</v>
      </c>
      <c r="E278" s="21" t="n">
        <f aca="false">IFERROR(VLOOKUP(A278,NOMENCLATOR!$A:$E,4,0),"")</f>
        <v>0.03953</v>
      </c>
      <c r="F278" s="21" t="n">
        <f aca="false">IF(OR(C278="",E278=""),"",C278*E278)</f>
        <v>1.1859</v>
      </c>
      <c r="G278" s="22" t="n">
        <f aca="false">IFERROR(VLOOKUP(A278,NOMENCLATOR!$A:$E,5,0),"")</f>
        <v>0.03953</v>
      </c>
      <c r="H278" s="22" t="n">
        <f aca="false">IF(OR(C278="",G278=""),"",C278*G278)</f>
        <v>1.1859</v>
      </c>
    </row>
    <row r="279" customFormat="false" ht="15" hidden="false" customHeight="true" outlineLevel="0" collapsed="false">
      <c r="A279" s="17" t="s">
        <v>94</v>
      </c>
      <c r="B279" s="18" t="str">
        <f aca="false">IFERROR(VLOOKUP(A279,NOMENCLATOR!$A:$E,2,0),"")</f>
        <v>Ceapa prajita</v>
      </c>
      <c r="C279" s="19" t="n">
        <v>15</v>
      </c>
      <c r="D279" s="20" t="str">
        <f aca="false">IFERROR(VLOOKUP(A279,NOMENCLATOR!$A:$E,3,0),"")</f>
        <v>GM</v>
      </c>
      <c r="E279" s="21" t="n">
        <f aca="false">IFERROR(VLOOKUP(A279,NOMENCLATOR!$A:$E,4,0),"")</f>
        <v>0.0266</v>
      </c>
      <c r="F279" s="21" t="n">
        <f aca="false">IF(OR(C279="",E279=""),"",C279*E279)</f>
        <v>0.399</v>
      </c>
      <c r="G279" s="22" t="n">
        <f aca="false">IFERROR(VLOOKUP(A279,NOMENCLATOR!$A:$E,5,0),"")</f>
        <v>0.0266</v>
      </c>
      <c r="H279" s="22" t="n">
        <f aca="false">IF(OR(C279="",G279=""),"",C279*G279)</f>
        <v>0.399</v>
      </c>
    </row>
    <row r="280" customFormat="false" ht="15" hidden="false" customHeight="true" outlineLevel="0" collapsed="false">
      <c r="A280" s="17" t="s">
        <v>52</v>
      </c>
      <c r="B280" s="18" t="str">
        <f aca="false">IFERROR(VLOOKUP(A280,NOMENCLATOR!$A:$E,2,0),"")</f>
        <v>Ardei Rosii Capia 2.5kg</v>
      </c>
      <c r="C280" s="19" t="n">
        <v>15</v>
      </c>
      <c r="D280" s="20" t="str">
        <f aca="false">IFERROR(VLOOKUP(A280,NOMENCLATOR!$A:$E,3,0),"")</f>
        <v>GM</v>
      </c>
      <c r="E280" s="21" t="n">
        <f aca="false">IFERROR(VLOOKUP(A280,NOMENCLATOR!$A:$E,4,0),"")</f>
        <v>0.0201</v>
      </c>
      <c r="F280" s="21" t="n">
        <f aca="false">IF(OR(C280="",E280=""),"",C280*E280)</f>
        <v>0.3015</v>
      </c>
      <c r="G280" s="22" t="n">
        <f aca="false">IFERROR(VLOOKUP(A280,NOMENCLATOR!$A:$E,5,0),"")</f>
        <v>0.0201</v>
      </c>
      <c r="H280" s="22" t="n">
        <f aca="false">IF(OR(C280="",G280=""),"",C280*G280)</f>
        <v>0.3015</v>
      </c>
    </row>
    <row r="281" customFormat="false" ht="15" hidden="false" customHeight="true" outlineLevel="0" collapsed="false">
      <c r="A281" s="17" t="s">
        <v>68</v>
      </c>
      <c r="B281" s="18" t="str">
        <f aca="false">IFERROR(VLOOKUP(A281,NOMENCLATOR!$A:$E,2,0),"")</f>
        <v>Branza cheddar felii 2026</v>
      </c>
      <c r="C281" s="19" t="n">
        <v>2</v>
      </c>
      <c r="D281" s="20" t="str">
        <f aca="false">IFERROR(VLOOKUP(A281,NOMENCLATOR!$A:$E,3,0),"")</f>
        <v>EA</v>
      </c>
      <c r="E281" s="21" t="n">
        <f aca="false">IFERROR(VLOOKUP(A281,NOMENCLATOR!$A:$E,4,0),"")</f>
        <v>0.61567</v>
      </c>
      <c r="F281" s="21" t="n">
        <f aca="false">IF(OR(C281="",E281=""),"",C281*E281)</f>
        <v>1.23134</v>
      </c>
      <c r="G281" s="22" t="n">
        <f aca="false">IFERROR(VLOOKUP(A281,NOMENCLATOR!$A:$E,5,0),"")</f>
        <v>0.61567</v>
      </c>
      <c r="H281" s="22" t="n">
        <f aca="false">IF(OR(C281="",G281=""),"",C281*G281)</f>
        <v>1.23134</v>
      </c>
    </row>
    <row r="282" customFormat="false" ht="15" hidden="false" customHeight="true" outlineLevel="0" collapsed="false">
      <c r="A282" s="17" t="s">
        <v>236</v>
      </c>
      <c r="B282" s="18" t="str">
        <f aca="false">IFERROR(VLOOKUP(A282,NOMENCLATOR!$A:$E,2,0),"")</f>
        <v>PREP - smashed koliber 60G</v>
      </c>
      <c r="C282" s="19" t="n">
        <v>2</v>
      </c>
      <c r="D282" s="20" t="str">
        <f aca="false">IFERROR(VLOOKUP(A282,NOMENCLATOR!$A:$E,3,0),"")</f>
        <v>EA</v>
      </c>
      <c r="E282" s="21" t="n">
        <f aca="false">IFERROR(VLOOKUP(A282,NOMENCLATOR!$A:$E,4,0),"")</f>
        <v>2.93233</v>
      </c>
      <c r="F282" s="21" t="n">
        <f aca="false">IF(OR(C282="",E282=""),"",C282*E282)</f>
        <v>5.86466</v>
      </c>
      <c r="G282" s="22" t="n">
        <f aca="false">IFERROR(VLOOKUP(A282,NOMENCLATOR!$A:$E,5,0),"")</f>
        <v>3.35</v>
      </c>
      <c r="H282" s="22" t="n">
        <f aca="false">IF(OR(C282="",G282=""),"",C282*G282)</f>
        <v>6.7</v>
      </c>
    </row>
    <row r="283" customFormat="false" ht="15" hidden="false" customHeight="true" outlineLevel="0" collapsed="false">
      <c r="A283" s="17" t="s">
        <v>56</v>
      </c>
      <c r="B283" s="18" t="str">
        <f aca="false">IFERROR(VLOOKUP(A283,NOMENCLATOR!$A:$E,2,0),"")</f>
        <v>Bacon (raw)</v>
      </c>
      <c r="C283" s="19" t="n">
        <v>28</v>
      </c>
      <c r="D283" s="20" t="str">
        <f aca="false">IFERROR(VLOOKUP(A283,NOMENCLATOR!$A:$E,3,0),"")</f>
        <v>GM</v>
      </c>
      <c r="E283" s="21" t="n">
        <f aca="false">IFERROR(VLOOKUP(A283,NOMENCLATOR!$A:$E,4,0),"")</f>
        <v>0.04896</v>
      </c>
      <c r="F283" s="21" t="n">
        <f aca="false">IF(OR(C283="",E283=""),"",C283*E283)</f>
        <v>1.37088</v>
      </c>
      <c r="G283" s="22" t="n">
        <f aca="false">IFERROR(VLOOKUP(A283,NOMENCLATOR!$A:$E,5,0),"")</f>
        <v>0.04896</v>
      </c>
      <c r="H283" s="22" t="n">
        <f aca="false">IF(OR(C283="",G283=""),"",C283*G283)</f>
        <v>1.37088</v>
      </c>
    </row>
    <row r="284" customFormat="false" ht="15" hidden="false" customHeight="true" outlineLevel="0" collapsed="false">
      <c r="A284" s="17" t="s">
        <v>244</v>
      </c>
      <c r="B284" s="18" t="str">
        <f aca="false">IFERROR(VLOOKUP(A284,NOMENCLATOR!$A:$E,2,0),"")</f>
        <v>PUNGA 11x5x12.5 BURGER MIC</v>
      </c>
      <c r="C284" s="19" t="n">
        <v>1</v>
      </c>
      <c r="D284" s="20" t="str">
        <f aca="false">IFERROR(VLOOKUP(A284,NOMENCLATOR!$A:$E,3,0),"")</f>
        <v>EA</v>
      </c>
      <c r="E284" s="21" t="n">
        <f aca="false">IFERROR(VLOOKUP(A284,NOMENCLATOR!$A:$E,4,0),"")</f>
        <v>0.105</v>
      </c>
      <c r="F284" s="21" t="n">
        <f aca="false">IF(OR(C284="",E284=""),"",C284*E284)</f>
        <v>0.105</v>
      </c>
      <c r="G284" s="22" t="n">
        <f aca="false">IFERROR(VLOOKUP(A284,NOMENCLATOR!$A:$E,5,0),"")</f>
        <v>0.105</v>
      </c>
      <c r="H284" s="22" t="n">
        <f aca="false">IF(OR(C284="",G284=""),"",C284*G284)</f>
        <v>0.105</v>
      </c>
    </row>
    <row r="285" customFormat="false" ht="15" hidden="false" customHeight="true" outlineLevel="0" collapsed="false">
      <c r="A285" s="17" t="s">
        <v>118</v>
      </c>
      <c r="B285" s="18" t="str">
        <f aca="false">IFERROR(VLOOKUP(A285,NOMENCLATOR!$A:$E,2,0),"")</f>
        <v>CUTIE MICA RED PEPPER SMASHED BURGER Fry</v>
      </c>
      <c r="C285" s="19" t="n">
        <v>1</v>
      </c>
      <c r="D285" s="20" t="str">
        <f aca="false">IFERROR(VLOOKUP(A285,NOMENCLATOR!$A:$E,3,0),"")</f>
        <v>EA</v>
      </c>
      <c r="E285" s="21" t="n">
        <f aca="false">IFERROR(VLOOKUP(A285,NOMENCLATOR!$A:$E,4,0),"")</f>
        <v>0.693</v>
      </c>
      <c r="F285" s="21" t="n">
        <f aca="false">IF(OR(C285="",E285=""),"",C285*E285)</f>
        <v>0.693</v>
      </c>
      <c r="G285" s="22" t="n">
        <f aca="false">IFERROR(VLOOKUP(A285,NOMENCLATOR!$A:$E,5,0),"")</f>
        <v>0.693</v>
      </c>
      <c r="H285" s="22" t="n">
        <f aca="false">IF(OR(C285="",G285=""),"",C285*G285)</f>
        <v>0.693</v>
      </c>
    </row>
    <row r="286" customFormat="false" ht="15" hidden="false" customHeight="true" outlineLevel="0" collapsed="false">
      <c r="A286" s="23" t="str">
        <f aca="false">IF(A275="","",A275)</f>
        <v>DUBLU RED PEPPER SMASHED new D</v>
      </c>
      <c r="B286" s="24"/>
      <c r="C286" s="24"/>
      <c r="D286" s="24"/>
      <c r="E286" s="24"/>
      <c r="F286" s="25" t="n">
        <f aca="false">IF(A275="","",SUM(F277:F285))</f>
        <v>13.55128</v>
      </c>
      <c r="G286" s="24"/>
      <c r="H286" s="26" t="n">
        <f aca="false">IF(A275="","",SUM(H277:H285))</f>
        <v>14.38662</v>
      </c>
    </row>
    <row r="288" customFormat="false" ht="15" hidden="false" customHeight="true" outlineLevel="0" collapsed="false">
      <c r="A288" s="12" t="s">
        <v>348</v>
      </c>
      <c r="B288" s="13"/>
      <c r="C288" s="13"/>
      <c r="D288" s="13"/>
      <c r="E288" s="13"/>
      <c r="F288" s="14" t="s">
        <v>315</v>
      </c>
      <c r="G288" s="13"/>
      <c r="H288" s="15"/>
    </row>
    <row r="289" customFormat="false" ht="15" hidden="false" customHeight="true" outlineLevel="0" collapsed="false">
      <c r="A289" s="16" t="s">
        <v>316</v>
      </c>
      <c r="B289" s="16" t="s">
        <v>317</v>
      </c>
      <c r="C289" s="16" t="s">
        <v>318</v>
      </c>
      <c r="D289" s="16" t="s">
        <v>4</v>
      </c>
      <c r="E289" s="16" t="s">
        <v>319</v>
      </c>
      <c r="F289" s="16" t="s">
        <v>320</v>
      </c>
      <c r="G289" s="16" t="s">
        <v>321</v>
      </c>
      <c r="H289" s="16" t="s">
        <v>322</v>
      </c>
    </row>
    <row r="290" customFormat="false" ht="15" hidden="false" customHeight="true" outlineLevel="0" collapsed="false">
      <c r="A290" s="17" t="s">
        <v>150</v>
      </c>
      <c r="B290" s="18" t="str">
        <f aca="false">IFERROR(VLOOKUP(A290,NOMENCLATOR!$A:$E,2,0),"")</f>
        <v>Iceberg Cal.1  400/500gr</v>
      </c>
      <c r="C290" s="19" t="n">
        <v>0.33</v>
      </c>
      <c r="D290" s="20" t="str">
        <f aca="false">IFERROR(VLOOKUP(A290,NOMENCLATOR!$A:$E,3,0),"")</f>
        <v>EA</v>
      </c>
      <c r="E290" s="21" t="n">
        <f aca="false">IFERROR(VLOOKUP(A290,NOMENCLATOR!$A:$E,4,0),"")</f>
        <v>7.5</v>
      </c>
      <c r="F290" s="21" t="n">
        <f aca="false">IF(OR(C290="",E290=""),"",C290*E290)</f>
        <v>2.475</v>
      </c>
      <c r="G290" s="22" t="n">
        <f aca="false">IFERROR(VLOOKUP(A290,NOMENCLATOR!$A:$E,5,0),"")</f>
        <v>7.5</v>
      </c>
      <c r="H290" s="22" t="n">
        <f aca="false">IF(OR(C290="",G290=""),"",C290*G290)</f>
        <v>2.475</v>
      </c>
    </row>
    <row r="291" customFormat="false" ht="15" hidden="false" customHeight="true" outlineLevel="0" collapsed="false">
      <c r="A291" s="17" t="s">
        <v>236</v>
      </c>
      <c r="B291" s="18" t="str">
        <f aca="false">IFERROR(VLOOKUP(A291,NOMENCLATOR!$A:$E,2,0),"")</f>
        <v>PREP - smashed koliber 60G</v>
      </c>
      <c r="C291" s="19" t="n">
        <v>3</v>
      </c>
      <c r="D291" s="20" t="str">
        <f aca="false">IFERROR(VLOOKUP(A291,NOMENCLATOR!$A:$E,3,0),"")</f>
        <v>EA</v>
      </c>
      <c r="E291" s="21" t="n">
        <f aca="false">IFERROR(VLOOKUP(A291,NOMENCLATOR!$A:$E,4,0),"")</f>
        <v>2.93233</v>
      </c>
      <c r="F291" s="21" t="n">
        <f aca="false">IF(OR(C291="",E291=""),"",C291*E291)</f>
        <v>8.79699</v>
      </c>
      <c r="G291" s="22" t="n">
        <f aca="false">IFERROR(VLOOKUP(A291,NOMENCLATOR!$A:$E,5,0),"")</f>
        <v>3.35</v>
      </c>
      <c r="H291" s="22" t="n">
        <f aca="false">IF(OR(C291="",G291=""),"",C291*G291)</f>
        <v>10.05</v>
      </c>
    </row>
    <row r="292" customFormat="false" ht="15" hidden="false" customHeight="true" outlineLevel="0" collapsed="false">
      <c r="A292" s="17" t="s">
        <v>68</v>
      </c>
      <c r="B292" s="18" t="str">
        <f aca="false">IFERROR(VLOOKUP(A292,NOMENCLATOR!$A:$E,2,0),"")</f>
        <v>Branza cheddar felii 2026</v>
      </c>
      <c r="C292" s="19" t="n">
        <v>3</v>
      </c>
      <c r="D292" s="20" t="str">
        <f aca="false">IFERROR(VLOOKUP(A292,NOMENCLATOR!$A:$E,3,0),"")</f>
        <v>EA</v>
      </c>
      <c r="E292" s="21" t="n">
        <f aca="false">IFERROR(VLOOKUP(A292,NOMENCLATOR!$A:$E,4,0),"")</f>
        <v>0.61567</v>
      </c>
      <c r="F292" s="21" t="n">
        <f aca="false">IF(OR(C292="",E292=""),"",C292*E292)</f>
        <v>1.84701</v>
      </c>
      <c r="G292" s="22" t="n">
        <f aca="false">IFERROR(VLOOKUP(A292,NOMENCLATOR!$A:$E,5,0),"")</f>
        <v>0.61567</v>
      </c>
      <c r="H292" s="22" t="n">
        <f aca="false">IF(OR(C292="",G292=""),"",C292*G292)</f>
        <v>1.84701</v>
      </c>
    </row>
    <row r="293" customFormat="false" ht="15" hidden="false" customHeight="true" outlineLevel="0" collapsed="false">
      <c r="A293" s="17" t="s">
        <v>130</v>
      </c>
      <c r="B293" s="18" t="str">
        <f aca="false">IFERROR(VLOOKUP(A293,NOMENCLATOR!$A:$E,2,0),"")</f>
        <v>HARTIE AMERICAN CHEESBURGER 12X12 AA14</v>
      </c>
      <c r="C293" s="19" t="n">
        <v>1</v>
      </c>
      <c r="D293" s="20" t="str">
        <f aca="false">IFERROR(VLOOKUP(A293,NOMENCLATOR!$A:$E,3,0),"")</f>
        <v>EA</v>
      </c>
      <c r="E293" s="21" t="n">
        <f aca="false">IFERROR(VLOOKUP(A293,NOMENCLATOR!$A:$E,4,0),"")</f>
        <v>0.111</v>
      </c>
      <c r="F293" s="21" t="n">
        <f aca="false">IF(OR(C293="",E293=""),"",C293*E293)</f>
        <v>0.111</v>
      </c>
      <c r="G293" s="22" t="n">
        <f aca="false">IFERROR(VLOOKUP(A293,NOMENCLATOR!$A:$E,5,0),"")</f>
        <v>0.111</v>
      </c>
      <c r="H293" s="22" t="n">
        <f aca="false">IF(OR(C293="",G293=""),"",C293*G293)</f>
        <v>0.111</v>
      </c>
    </row>
    <row r="294" customFormat="false" ht="15" hidden="false" customHeight="true" outlineLevel="0" collapsed="false">
      <c r="A294" s="23" t="str">
        <f aca="false">IF(A288="","",A288)</f>
        <v>AMERICAN TRIPLU CHEESEBURGER LETTUCE WRAP</v>
      </c>
      <c r="B294" s="24"/>
      <c r="C294" s="24"/>
      <c r="D294" s="24"/>
      <c r="E294" s="24"/>
      <c r="F294" s="25" t="n">
        <f aca="false">IF(A288="","",SUM(F290:F293))</f>
        <v>13.23</v>
      </c>
      <c r="G294" s="24"/>
      <c r="H294" s="26" t="n">
        <f aca="false">IF(A288="","",SUM(H290:H293))</f>
        <v>14.48301</v>
      </c>
    </row>
    <row r="296" customFormat="false" ht="15" hidden="false" customHeight="true" outlineLevel="0" collapsed="false">
      <c r="A296" s="12" t="s">
        <v>349</v>
      </c>
      <c r="B296" s="13"/>
      <c r="C296" s="13"/>
      <c r="D296" s="13"/>
      <c r="E296" s="13"/>
      <c r="F296" s="14" t="s">
        <v>315</v>
      </c>
      <c r="G296" s="13"/>
      <c r="H296" s="15"/>
    </row>
    <row r="297" customFormat="false" ht="15" hidden="false" customHeight="true" outlineLevel="0" collapsed="false">
      <c r="A297" s="16" t="s">
        <v>316</v>
      </c>
      <c r="B297" s="16" t="s">
        <v>317</v>
      </c>
      <c r="C297" s="16" t="s">
        <v>318</v>
      </c>
      <c r="D297" s="16" t="s">
        <v>4</v>
      </c>
      <c r="E297" s="16" t="s">
        <v>319</v>
      </c>
      <c r="F297" s="16" t="s">
        <v>320</v>
      </c>
      <c r="G297" s="16" t="s">
        <v>321</v>
      </c>
      <c r="H297" s="16" t="s">
        <v>322</v>
      </c>
    </row>
    <row r="298" customFormat="false" ht="15" hidden="false" customHeight="true" outlineLevel="0" collapsed="false">
      <c r="A298" s="17" t="s">
        <v>150</v>
      </c>
      <c r="B298" s="18" t="str">
        <f aca="false">IFERROR(VLOOKUP(A298,NOMENCLATOR!$A:$E,2,0),"")</f>
        <v>Iceberg Cal.1  400/500gr</v>
      </c>
      <c r="C298" s="19" t="n">
        <v>0.33</v>
      </c>
      <c r="D298" s="20" t="str">
        <f aca="false">IFERROR(VLOOKUP(A298,NOMENCLATOR!$A:$E,3,0),"")</f>
        <v>EA</v>
      </c>
      <c r="E298" s="21" t="n">
        <f aca="false">IFERROR(VLOOKUP(A298,NOMENCLATOR!$A:$E,4,0),"")</f>
        <v>7.5</v>
      </c>
      <c r="F298" s="21" t="n">
        <f aca="false">IF(OR(C298="",E298=""),"",C298*E298)</f>
        <v>2.475</v>
      </c>
      <c r="G298" s="22" t="n">
        <f aca="false">IFERROR(VLOOKUP(A298,NOMENCLATOR!$A:$E,5,0),"")</f>
        <v>7.5</v>
      </c>
      <c r="H298" s="22" t="n">
        <f aca="false">IF(OR(C298="",G298=""),"",C298*G298)</f>
        <v>2.475</v>
      </c>
    </row>
    <row r="299" customFormat="false" ht="15" hidden="false" customHeight="true" outlineLevel="0" collapsed="false">
      <c r="A299" s="17" t="s">
        <v>236</v>
      </c>
      <c r="B299" s="18" t="str">
        <f aca="false">IFERROR(VLOOKUP(A299,NOMENCLATOR!$A:$E,2,0),"")</f>
        <v>PREP - smashed koliber 60G</v>
      </c>
      <c r="C299" s="19" t="n">
        <v>3</v>
      </c>
      <c r="D299" s="20" t="str">
        <f aca="false">IFERROR(VLOOKUP(A299,NOMENCLATOR!$A:$E,3,0),"")</f>
        <v>EA</v>
      </c>
      <c r="E299" s="21" t="n">
        <f aca="false">IFERROR(VLOOKUP(A299,NOMENCLATOR!$A:$E,4,0),"")</f>
        <v>2.93233</v>
      </c>
      <c r="F299" s="21" t="n">
        <f aca="false">IF(OR(C299="",E299=""),"",C299*E299)</f>
        <v>8.79699</v>
      </c>
      <c r="G299" s="22" t="n">
        <f aca="false">IFERROR(VLOOKUP(A299,NOMENCLATOR!$A:$E,5,0),"")</f>
        <v>3.35</v>
      </c>
      <c r="H299" s="22" t="n">
        <f aca="false">IF(OR(C299="",G299=""),"",C299*G299)</f>
        <v>10.05</v>
      </c>
    </row>
    <row r="300" customFormat="false" ht="15" hidden="false" customHeight="true" outlineLevel="0" collapsed="false">
      <c r="A300" s="17" t="s">
        <v>68</v>
      </c>
      <c r="B300" s="18" t="str">
        <f aca="false">IFERROR(VLOOKUP(A300,NOMENCLATOR!$A:$E,2,0),"")</f>
        <v>Branza cheddar felii 2026</v>
      </c>
      <c r="C300" s="19" t="n">
        <v>3</v>
      </c>
      <c r="D300" s="20" t="str">
        <f aca="false">IFERROR(VLOOKUP(A300,NOMENCLATOR!$A:$E,3,0),"")</f>
        <v>EA</v>
      </c>
      <c r="E300" s="21" t="n">
        <f aca="false">IFERROR(VLOOKUP(A300,NOMENCLATOR!$A:$E,4,0),"")</f>
        <v>0.61567</v>
      </c>
      <c r="F300" s="21" t="n">
        <f aca="false">IF(OR(C300="",E300=""),"",C300*E300)</f>
        <v>1.84701</v>
      </c>
      <c r="G300" s="22" t="n">
        <f aca="false">IFERROR(VLOOKUP(A300,NOMENCLATOR!$A:$E,5,0),"")</f>
        <v>0.61567</v>
      </c>
      <c r="H300" s="22" t="n">
        <f aca="false">IF(OR(C300="",G300=""),"",C300*G300)</f>
        <v>1.84701</v>
      </c>
    </row>
    <row r="301" customFormat="false" ht="15" hidden="false" customHeight="true" outlineLevel="0" collapsed="false">
      <c r="A301" s="17" t="s">
        <v>130</v>
      </c>
      <c r="B301" s="18" t="str">
        <f aca="false">IFERROR(VLOOKUP(A301,NOMENCLATOR!$A:$E,2,0),"")</f>
        <v>HARTIE AMERICAN CHEESBURGER 12X12 AA14</v>
      </c>
      <c r="C301" s="19" t="n">
        <v>1</v>
      </c>
      <c r="D301" s="20" t="str">
        <f aca="false">IFERROR(VLOOKUP(A301,NOMENCLATOR!$A:$E,3,0),"")</f>
        <v>EA</v>
      </c>
      <c r="E301" s="21" t="n">
        <f aca="false">IFERROR(VLOOKUP(A301,NOMENCLATOR!$A:$E,4,0),"")</f>
        <v>0.111</v>
      </c>
      <c r="F301" s="21" t="n">
        <f aca="false">IF(OR(C301="",E301=""),"",C301*E301)</f>
        <v>0.111</v>
      </c>
      <c r="G301" s="22" t="n">
        <f aca="false">IFERROR(VLOOKUP(A301,NOMENCLATOR!$A:$E,5,0),"")</f>
        <v>0.111</v>
      </c>
      <c r="H301" s="22" t="n">
        <f aca="false">IF(OR(C301="",G301=""),"",C301*G301)</f>
        <v>0.111</v>
      </c>
    </row>
    <row r="302" customFormat="false" ht="15" hidden="false" customHeight="true" outlineLevel="0" collapsed="false">
      <c r="A302" s="23" t="str">
        <f aca="false">IF(A296="","",A296)</f>
        <v>AMERICAN TRIPLU CHEESEBURGER LETTUCE WRAP D</v>
      </c>
      <c r="B302" s="24"/>
      <c r="C302" s="24"/>
      <c r="D302" s="24"/>
      <c r="E302" s="24"/>
      <c r="F302" s="25" t="n">
        <f aca="false">IF(A296="","",SUM(F298:F301))</f>
        <v>13.23</v>
      </c>
      <c r="G302" s="24"/>
      <c r="H302" s="26" t="n">
        <f aca="false">IF(A296="","",SUM(H298:H301))</f>
        <v>14.48301</v>
      </c>
    </row>
    <row r="304" customFormat="false" ht="15" hidden="false" customHeight="true" outlineLevel="0" collapsed="false">
      <c r="A304" s="12" t="s">
        <v>350</v>
      </c>
      <c r="B304" s="13"/>
      <c r="C304" s="13"/>
      <c r="D304" s="13"/>
      <c r="E304" s="13"/>
      <c r="F304" s="14" t="s">
        <v>351</v>
      </c>
      <c r="G304" s="13"/>
      <c r="H304" s="15"/>
    </row>
    <row r="305" customFormat="false" ht="15" hidden="false" customHeight="true" outlineLevel="0" collapsed="false">
      <c r="A305" s="16" t="s">
        <v>316</v>
      </c>
      <c r="B305" s="16" t="s">
        <v>317</v>
      </c>
      <c r="C305" s="16" t="s">
        <v>318</v>
      </c>
      <c r="D305" s="16" t="s">
        <v>4</v>
      </c>
      <c r="E305" s="16" t="s">
        <v>319</v>
      </c>
      <c r="F305" s="16" t="s">
        <v>320</v>
      </c>
      <c r="G305" s="16" t="s">
        <v>321</v>
      </c>
      <c r="H305" s="16" t="s">
        <v>322</v>
      </c>
    </row>
    <row r="306" customFormat="false" ht="15" hidden="false" customHeight="true" outlineLevel="0" collapsed="false">
      <c r="A306" s="17" t="s">
        <v>98</v>
      </c>
      <c r="B306" s="18" t="str">
        <f aca="false">IFERROR(VLOOKUP(A306,NOMENCLATOR!$A:$E,2,0),"")</f>
        <v>CHIFLA CARTOF 3.5inch 53G x 72</v>
      </c>
      <c r="C306" s="19" t="n">
        <v>1</v>
      </c>
      <c r="D306" s="20" t="str">
        <f aca="false">IFERROR(VLOOKUP(A306,NOMENCLATOR!$A:$E,3,0),"")</f>
        <v>EA</v>
      </c>
      <c r="E306" s="21" t="n">
        <f aca="false">IFERROR(VLOOKUP(A306,NOMENCLATOR!$A:$E,4,0),"")</f>
        <v>2.4</v>
      </c>
      <c r="F306" s="21" t="n">
        <f aca="false">IF(OR(C306="",E306=""),"",C306*E306)</f>
        <v>2.4</v>
      </c>
      <c r="G306" s="22" t="n">
        <f aca="false">IFERROR(VLOOKUP(A306,NOMENCLATOR!$A:$E,5,0),"")</f>
        <v>2.4</v>
      </c>
      <c r="H306" s="22" t="n">
        <f aca="false">IF(OR(C306="",G306=""),"",C306*G306)</f>
        <v>2.4</v>
      </c>
    </row>
    <row r="307" customFormat="false" ht="15" hidden="false" customHeight="true" outlineLevel="0" collapsed="false">
      <c r="A307" s="17" t="s">
        <v>208</v>
      </c>
      <c r="B307" s="18" t="str">
        <f aca="false">IFERROR(VLOOKUP(A307,NOMENCLATOR!$A:$E,2,0),"")</f>
        <v>Patties pui 50gr Transavia</v>
      </c>
      <c r="C307" s="19" t="n">
        <v>1</v>
      </c>
      <c r="D307" s="20" t="str">
        <f aca="false">IFERROR(VLOOKUP(A307,NOMENCLATOR!$A:$E,3,0),"")</f>
        <v>EA</v>
      </c>
      <c r="E307" s="21" t="n">
        <f aca="false">IFERROR(VLOOKUP(A307,NOMENCLATOR!$A:$E,4,0),"")</f>
        <v>1.171</v>
      </c>
      <c r="F307" s="21" t="n">
        <f aca="false">IF(OR(C307="",E307=""),"",C307*E307)</f>
        <v>1.171</v>
      </c>
      <c r="G307" s="22" t="n">
        <f aca="false">IFERROR(VLOOKUP(A307,NOMENCLATOR!$A:$E,5,0),"")</f>
        <v>1.171</v>
      </c>
      <c r="H307" s="22" t="n">
        <f aca="false">IF(OR(C307="",G307=""),"",C307*G307)</f>
        <v>1.171</v>
      </c>
    </row>
    <row r="308" customFormat="false" ht="15" hidden="false" customHeight="true" outlineLevel="0" collapsed="false">
      <c r="A308" s="17" t="s">
        <v>138</v>
      </c>
      <c r="B308" s="18" t="str">
        <f aca="false">IFERROR(VLOOKUP(A308,NOMENCLATOR!$A:$E,2,0),"")</f>
        <v>Hartie Little Hamburgers</v>
      </c>
      <c r="C308" s="19" t="n">
        <v>1</v>
      </c>
      <c r="D308" s="20" t="str">
        <f aca="false">IFERROR(VLOOKUP(A308,NOMENCLATOR!$A:$E,3,0),"")</f>
        <v>EA</v>
      </c>
      <c r="E308" s="21" t="n">
        <f aca="false">IFERROR(VLOOKUP(A308,NOMENCLATOR!$A:$E,4,0),"")</f>
        <v>0.111</v>
      </c>
      <c r="F308" s="21" t="n">
        <f aca="false">IF(OR(C308="",E308=""),"",C308*E308)</f>
        <v>0.111</v>
      </c>
      <c r="G308" s="22" t="n">
        <f aca="false">IFERROR(VLOOKUP(A308,NOMENCLATOR!$A:$E,5,0),"")</f>
        <v>0.111</v>
      </c>
      <c r="H308" s="22" t="n">
        <f aca="false">IF(OR(C308="",G308=""),"",C308*G308)</f>
        <v>0.111</v>
      </c>
    </row>
    <row r="309" customFormat="false" ht="15" hidden="false" customHeight="true" outlineLevel="0" collapsed="false">
      <c r="A309" s="17" t="s">
        <v>300</v>
      </c>
      <c r="B309" s="18" t="str">
        <f aca="false">IFERROR(VLOOKUP(A309,NOMENCLATOR!$A:$E,2,0),"")</f>
        <v>Ulei de alune</v>
      </c>
      <c r="C309" s="19" t="n">
        <v>20</v>
      </c>
      <c r="D309" s="20" t="str">
        <f aca="false">IFERROR(VLOOKUP(A309,NOMENCLATOR!$A:$E,3,0),"")</f>
        <v>ML</v>
      </c>
      <c r="E309" s="21" t="n">
        <f aca="false">IFERROR(VLOOKUP(A309,NOMENCLATOR!$A:$E,4,0),"")</f>
        <v>0.0169</v>
      </c>
      <c r="F309" s="21" t="n">
        <f aca="false">IF(OR(C309="",E309=""),"",C309*E309)</f>
        <v>0.338</v>
      </c>
      <c r="G309" s="22" t="n">
        <f aca="false">IFERROR(VLOOKUP(A309,NOMENCLATOR!$A:$E,5,0),"")</f>
        <v>0.0169</v>
      </c>
      <c r="H309" s="22" t="n">
        <f aca="false">IF(OR(C309="",G309=""),"",C309*G309)</f>
        <v>0.338</v>
      </c>
    </row>
    <row r="310" customFormat="false" ht="15" hidden="false" customHeight="true" outlineLevel="0" collapsed="false">
      <c r="A310" s="17" t="s">
        <v>310</v>
      </c>
      <c r="B310" s="18" t="str">
        <f aca="false">IFERROR(VLOOKUP(A310,NOMENCLATOR!$A:$E,2,0),"")</f>
        <v>Y-Castraveti felii in saramura</v>
      </c>
      <c r="C310" s="19" t="n">
        <v>5.6</v>
      </c>
      <c r="D310" s="20" t="str">
        <f aca="false">IFERROR(VLOOKUP(A310,NOMENCLATOR!$A:$E,3,0),"")</f>
        <v>GM</v>
      </c>
      <c r="E310" s="21" t="n">
        <f aca="false">IFERROR(VLOOKUP(A310,NOMENCLATOR!$A:$E,4,0),"")</f>
        <v>0.01554</v>
      </c>
      <c r="F310" s="21" t="n">
        <f aca="false">IF(OR(C310="",E310=""),"",C310*E310)</f>
        <v>0.087024</v>
      </c>
      <c r="G310" s="22" t="n">
        <f aca="false">IFERROR(VLOOKUP(A310,NOMENCLATOR!$A:$E,5,0),"")</f>
        <v>0.01554</v>
      </c>
      <c r="H310" s="22" t="n">
        <f aca="false">IF(OR(C310="",G310=""),"",C310*G310)</f>
        <v>0.087024</v>
      </c>
    </row>
    <row r="311" customFormat="false" ht="15" hidden="false" customHeight="true" outlineLevel="0" collapsed="false">
      <c r="A311" s="17" t="s">
        <v>280</v>
      </c>
      <c r="B311" s="18" t="str">
        <f aca="false">IFERROR(VLOOKUP(A311,NOMENCLATOR!$A:$E,2,0),"")</f>
        <v>Sos Brender Mayo BIB</v>
      </c>
      <c r="C311" s="19" t="n">
        <v>10</v>
      </c>
      <c r="D311" s="20" t="str">
        <f aca="false">IFERROR(VLOOKUP(A311,NOMENCLATOR!$A:$E,3,0),"")</f>
        <v>ML</v>
      </c>
      <c r="E311" s="21" t="n">
        <f aca="false">IFERROR(VLOOKUP(A311,NOMENCLATOR!$A:$E,4,0),"")</f>
        <v>0.023</v>
      </c>
      <c r="F311" s="21" t="n">
        <f aca="false">IF(OR(C311="",E311=""),"",C311*E311)</f>
        <v>0.23</v>
      </c>
      <c r="G311" s="22" t="n">
        <f aca="false">IFERROR(VLOOKUP(A311,NOMENCLATOR!$A:$E,5,0),"")</f>
        <v>0.023</v>
      </c>
      <c r="H311" s="22" t="n">
        <f aca="false">IF(OR(C311="",G311=""),"",C311*G311)</f>
        <v>0.23</v>
      </c>
    </row>
    <row r="312" customFormat="false" ht="15" hidden="false" customHeight="true" outlineLevel="0" collapsed="false">
      <c r="A312" s="23" t="str">
        <f aca="false">IF(A304="","",A304)</f>
        <v>PUI BURGER new</v>
      </c>
      <c r="B312" s="24"/>
      <c r="C312" s="24"/>
      <c r="D312" s="24"/>
      <c r="E312" s="24"/>
      <c r="F312" s="25" t="n">
        <f aca="false">IF(A304="","",SUM(F306:F311))</f>
        <v>4.337024</v>
      </c>
      <c r="G312" s="24"/>
      <c r="H312" s="26" t="n">
        <f aca="false">IF(A304="","",SUM(H306:H311))</f>
        <v>4.337024</v>
      </c>
    </row>
    <row r="314" customFormat="false" ht="15" hidden="false" customHeight="true" outlineLevel="0" collapsed="false">
      <c r="A314" s="12" t="s">
        <v>352</v>
      </c>
      <c r="B314" s="13"/>
      <c r="C314" s="13"/>
      <c r="D314" s="13"/>
      <c r="E314" s="13"/>
      <c r="F314" s="14" t="s">
        <v>351</v>
      </c>
      <c r="G314" s="13"/>
      <c r="H314" s="15"/>
    </row>
    <row r="315" customFormat="false" ht="15" hidden="false" customHeight="true" outlineLevel="0" collapsed="false">
      <c r="A315" s="16" t="s">
        <v>316</v>
      </c>
      <c r="B315" s="16" t="s">
        <v>317</v>
      </c>
      <c r="C315" s="16" t="s">
        <v>318</v>
      </c>
      <c r="D315" s="16" t="s">
        <v>4</v>
      </c>
      <c r="E315" s="16" t="s">
        <v>319</v>
      </c>
      <c r="F315" s="16" t="s">
        <v>320</v>
      </c>
      <c r="G315" s="16" t="s">
        <v>321</v>
      </c>
      <c r="H315" s="16" t="s">
        <v>322</v>
      </c>
    </row>
    <row r="316" customFormat="false" ht="15" hidden="false" customHeight="true" outlineLevel="0" collapsed="false">
      <c r="A316" s="17" t="s">
        <v>98</v>
      </c>
      <c r="B316" s="18" t="str">
        <f aca="false">IFERROR(VLOOKUP(A316,NOMENCLATOR!$A:$E,2,0),"")</f>
        <v>CHIFLA CARTOF 3.5inch 53G x 72</v>
      </c>
      <c r="C316" s="19" t="n">
        <v>1</v>
      </c>
      <c r="D316" s="20" t="str">
        <f aca="false">IFERROR(VLOOKUP(A316,NOMENCLATOR!$A:$E,3,0),"")</f>
        <v>EA</v>
      </c>
      <c r="E316" s="21" t="n">
        <f aca="false">IFERROR(VLOOKUP(A316,NOMENCLATOR!$A:$E,4,0),"")</f>
        <v>2.4</v>
      </c>
      <c r="F316" s="21" t="n">
        <f aca="false">IF(OR(C316="",E316=""),"",C316*E316)</f>
        <v>2.4</v>
      </c>
      <c r="G316" s="22" t="n">
        <f aca="false">IFERROR(VLOOKUP(A316,NOMENCLATOR!$A:$E,5,0),"")</f>
        <v>2.4</v>
      </c>
      <c r="H316" s="22" t="n">
        <f aca="false">IF(OR(C316="",G316=""),"",C316*G316)</f>
        <v>2.4</v>
      </c>
    </row>
    <row r="317" customFormat="false" ht="15" hidden="false" customHeight="true" outlineLevel="0" collapsed="false">
      <c r="A317" s="17" t="s">
        <v>208</v>
      </c>
      <c r="B317" s="18" t="str">
        <f aca="false">IFERROR(VLOOKUP(A317,NOMENCLATOR!$A:$E,2,0),"")</f>
        <v>Patties pui 50gr Transavia</v>
      </c>
      <c r="C317" s="19" t="n">
        <v>1</v>
      </c>
      <c r="D317" s="20" t="str">
        <f aca="false">IFERROR(VLOOKUP(A317,NOMENCLATOR!$A:$E,3,0),"")</f>
        <v>EA</v>
      </c>
      <c r="E317" s="21" t="n">
        <f aca="false">IFERROR(VLOOKUP(A317,NOMENCLATOR!$A:$E,4,0),"")</f>
        <v>1.171</v>
      </c>
      <c r="F317" s="21" t="n">
        <f aca="false">IF(OR(C317="",E317=""),"",C317*E317)</f>
        <v>1.171</v>
      </c>
      <c r="G317" s="22" t="n">
        <f aca="false">IFERROR(VLOOKUP(A317,NOMENCLATOR!$A:$E,5,0),"")</f>
        <v>1.171</v>
      </c>
      <c r="H317" s="22" t="n">
        <f aca="false">IF(OR(C317="",G317=""),"",C317*G317)</f>
        <v>1.171</v>
      </c>
    </row>
    <row r="318" customFormat="false" ht="15" hidden="false" customHeight="true" outlineLevel="0" collapsed="false">
      <c r="A318" s="17" t="s">
        <v>138</v>
      </c>
      <c r="B318" s="18" t="str">
        <f aca="false">IFERROR(VLOOKUP(A318,NOMENCLATOR!$A:$E,2,0),"")</f>
        <v>Hartie Little Hamburgers</v>
      </c>
      <c r="C318" s="19" t="n">
        <v>1</v>
      </c>
      <c r="D318" s="20" t="str">
        <f aca="false">IFERROR(VLOOKUP(A318,NOMENCLATOR!$A:$E,3,0),"")</f>
        <v>EA</v>
      </c>
      <c r="E318" s="21" t="n">
        <f aca="false">IFERROR(VLOOKUP(A318,NOMENCLATOR!$A:$E,4,0),"")</f>
        <v>0.111</v>
      </c>
      <c r="F318" s="21" t="n">
        <f aca="false">IF(OR(C318="",E318=""),"",C318*E318)</f>
        <v>0.111</v>
      </c>
      <c r="G318" s="22" t="n">
        <f aca="false">IFERROR(VLOOKUP(A318,NOMENCLATOR!$A:$E,5,0),"")</f>
        <v>0.111</v>
      </c>
      <c r="H318" s="22" t="n">
        <f aca="false">IF(OR(C318="",G318=""),"",C318*G318)</f>
        <v>0.111</v>
      </c>
    </row>
    <row r="319" customFormat="false" ht="15" hidden="false" customHeight="true" outlineLevel="0" collapsed="false">
      <c r="A319" s="17" t="s">
        <v>300</v>
      </c>
      <c r="B319" s="18" t="str">
        <f aca="false">IFERROR(VLOOKUP(A319,NOMENCLATOR!$A:$E,2,0),"")</f>
        <v>Ulei de alune</v>
      </c>
      <c r="C319" s="19" t="n">
        <v>20</v>
      </c>
      <c r="D319" s="20" t="str">
        <f aca="false">IFERROR(VLOOKUP(A319,NOMENCLATOR!$A:$E,3,0),"")</f>
        <v>ML</v>
      </c>
      <c r="E319" s="21" t="n">
        <f aca="false">IFERROR(VLOOKUP(A319,NOMENCLATOR!$A:$E,4,0),"")</f>
        <v>0.0169</v>
      </c>
      <c r="F319" s="21" t="n">
        <f aca="false">IF(OR(C319="",E319=""),"",C319*E319)</f>
        <v>0.338</v>
      </c>
      <c r="G319" s="22" t="n">
        <f aca="false">IFERROR(VLOOKUP(A319,NOMENCLATOR!$A:$E,5,0),"")</f>
        <v>0.0169</v>
      </c>
      <c r="H319" s="22" t="n">
        <f aca="false">IF(OR(C319="",G319=""),"",C319*G319)</f>
        <v>0.338</v>
      </c>
    </row>
    <row r="320" customFormat="false" ht="15" hidden="false" customHeight="true" outlineLevel="0" collapsed="false">
      <c r="A320" s="17" t="s">
        <v>310</v>
      </c>
      <c r="B320" s="18" t="str">
        <f aca="false">IFERROR(VLOOKUP(A320,NOMENCLATOR!$A:$E,2,0),"")</f>
        <v>Y-Castraveti felii in saramura</v>
      </c>
      <c r="C320" s="19" t="n">
        <v>5.6</v>
      </c>
      <c r="D320" s="20" t="str">
        <f aca="false">IFERROR(VLOOKUP(A320,NOMENCLATOR!$A:$E,3,0),"")</f>
        <v>GM</v>
      </c>
      <c r="E320" s="21" t="n">
        <f aca="false">IFERROR(VLOOKUP(A320,NOMENCLATOR!$A:$E,4,0),"")</f>
        <v>0.01554</v>
      </c>
      <c r="F320" s="21" t="n">
        <f aca="false">IF(OR(C320="",E320=""),"",C320*E320)</f>
        <v>0.087024</v>
      </c>
      <c r="G320" s="22" t="n">
        <f aca="false">IFERROR(VLOOKUP(A320,NOMENCLATOR!$A:$E,5,0),"")</f>
        <v>0.01554</v>
      </c>
      <c r="H320" s="22" t="n">
        <f aca="false">IF(OR(C320="",G320=""),"",C320*G320)</f>
        <v>0.087024</v>
      </c>
    </row>
    <row r="321" customFormat="false" ht="15" hidden="false" customHeight="true" outlineLevel="0" collapsed="false">
      <c r="A321" s="17" t="s">
        <v>280</v>
      </c>
      <c r="B321" s="18" t="str">
        <f aca="false">IFERROR(VLOOKUP(A321,NOMENCLATOR!$A:$E,2,0),"")</f>
        <v>Sos Brender Mayo BIB</v>
      </c>
      <c r="C321" s="19" t="n">
        <v>10</v>
      </c>
      <c r="D321" s="20" t="str">
        <f aca="false">IFERROR(VLOOKUP(A321,NOMENCLATOR!$A:$E,3,0),"")</f>
        <v>ML</v>
      </c>
      <c r="E321" s="21" t="n">
        <f aca="false">IFERROR(VLOOKUP(A321,NOMENCLATOR!$A:$E,4,0),"")</f>
        <v>0.023</v>
      </c>
      <c r="F321" s="21" t="n">
        <f aca="false">IF(OR(C321="",E321=""),"",C321*E321)</f>
        <v>0.23</v>
      </c>
      <c r="G321" s="22" t="n">
        <f aca="false">IFERROR(VLOOKUP(A321,NOMENCLATOR!$A:$E,5,0),"")</f>
        <v>0.023</v>
      </c>
      <c r="H321" s="22" t="n">
        <f aca="false">IF(OR(C321="",G321=""),"",C321*G321)</f>
        <v>0.23</v>
      </c>
    </row>
    <row r="322" customFormat="false" ht="15" hidden="false" customHeight="true" outlineLevel="0" collapsed="false">
      <c r="A322" s="23" t="str">
        <f aca="false">IF(A314="","",A314)</f>
        <v>PUI BURGER new D</v>
      </c>
      <c r="B322" s="24"/>
      <c r="C322" s="24"/>
      <c r="D322" s="24"/>
      <c r="E322" s="24"/>
      <c r="F322" s="25" t="n">
        <f aca="false">IF(A314="","",SUM(F316:F321))</f>
        <v>4.337024</v>
      </c>
      <c r="G322" s="24"/>
      <c r="H322" s="26" t="n">
        <f aca="false">IF(A314="","",SUM(H316:H321))</f>
        <v>4.337024</v>
      </c>
    </row>
    <row r="324" customFormat="false" ht="15" hidden="false" customHeight="true" outlineLevel="0" collapsed="false">
      <c r="A324" s="12" t="s">
        <v>353</v>
      </c>
      <c r="B324" s="13"/>
      <c r="C324" s="13"/>
      <c r="D324" s="13"/>
      <c r="E324" s="13"/>
      <c r="F324" s="14" t="s">
        <v>351</v>
      </c>
      <c r="G324" s="13"/>
      <c r="H324" s="15"/>
    </row>
    <row r="325" customFormat="false" ht="15" hidden="false" customHeight="true" outlineLevel="0" collapsed="false">
      <c r="A325" s="16" t="s">
        <v>316</v>
      </c>
      <c r="B325" s="16" t="s">
        <v>317</v>
      </c>
      <c r="C325" s="16" t="s">
        <v>318</v>
      </c>
      <c r="D325" s="16" t="s">
        <v>4</v>
      </c>
      <c r="E325" s="16" t="s">
        <v>319</v>
      </c>
      <c r="F325" s="16" t="s">
        <v>320</v>
      </c>
      <c r="G325" s="16" t="s">
        <v>321</v>
      </c>
      <c r="H325" s="16" t="s">
        <v>322</v>
      </c>
    </row>
    <row r="326" customFormat="false" ht="15" hidden="false" customHeight="true" outlineLevel="0" collapsed="false">
      <c r="A326" s="17" t="s">
        <v>98</v>
      </c>
      <c r="B326" s="18" t="str">
        <f aca="false">IFERROR(VLOOKUP(A326,NOMENCLATOR!$A:$E,2,0),"")</f>
        <v>CHIFLA CARTOF 3.5inch 53G x 72</v>
      </c>
      <c r="C326" s="19" t="n">
        <v>1</v>
      </c>
      <c r="D326" s="20" t="str">
        <f aca="false">IFERROR(VLOOKUP(A326,NOMENCLATOR!$A:$E,3,0),"")</f>
        <v>EA</v>
      </c>
      <c r="E326" s="21" t="n">
        <f aca="false">IFERROR(VLOOKUP(A326,NOMENCLATOR!$A:$E,4,0),"")</f>
        <v>2.4</v>
      </c>
      <c r="F326" s="21" t="n">
        <f aca="false">IF(OR(C326="",E326=""),"",C326*E326)</f>
        <v>2.4</v>
      </c>
      <c r="G326" s="22" t="n">
        <f aca="false">IFERROR(VLOOKUP(A326,NOMENCLATOR!$A:$E,5,0),"")</f>
        <v>2.4</v>
      </c>
      <c r="H326" s="22" t="n">
        <f aca="false">IF(OR(C326="",G326=""),"",C326*G326)</f>
        <v>2.4</v>
      </c>
    </row>
    <row r="327" customFormat="false" ht="15" hidden="false" customHeight="true" outlineLevel="0" collapsed="false">
      <c r="A327" s="17" t="s">
        <v>208</v>
      </c>
      <c r="B327" s="18" t="str">
        <f aca="false">IFERROR(VLOOKUP(A327,NOMENCLATOR!$A:$E,2,0),"")</f>
        <v>Patties pui 50gr Transavia</v>
      </c>
      <c r="C327" s="19" t="n">
        <v>2</v>
      </c>
      <c r="D327" s="20" t="str">
        <f aca="false">IFERROR(VLOOKUP(A327,NOMENCLATOR!$A:$E,3,0),"")</f>
        <v>EA</v>
      </c>
      <c r="E327" s="21" t="n">
        <f aca="false">IFERROR(VLOOKUP(A327,NOMENCLATOR!$A:$E,4,0),"")</f>
        <v>1.171</v>
      </c>
      <c r="F327" s="21" t="n">
        <f aca="false">IF(OR(C327="",E327=""),"",C327*E327)</f>
        <v>2.342</v>
      </c>
      <c r="G327" s="22" t="n">
        <f aca="false">IFERROR(VLOOKUP(A327,NOMENCLATOR!$A:$E,5,0),"")</f>
        <v>1.171</v>
      </c>
      <c r="H327" s="22" t="n">
        <f aca="false">IF(OR(C327="",G327=""),"",C327*G327)</f>
        <v>2.342</v>
      </c>
    </row>
    <row r="328" customFormat="false" ht="15" hidden="false" customHeight="true" outlineLevel="0" collapsed="false">
      <c r="A328" s="17" t="s">
        <v>136</v>
      </c>
      <c r="B328" s="18" t="str">
        <f aca="false">IFERROR(VLOOKUP(A328,NOMENCLATOR!$A:$E,2,0),"")</f>
        <v>Hartie Kraft Pui</v>
      </c>
      <c r="C328" s="19" t="n">
        <v>1</v>
      </c>
      <c r="D328" s="20" t="str">
        <f aca="false">IFERROR(VLOOKUP(A328,NOMENCLATOR!$A:$E,3,0),"")</f>
        <v>EA</v>
      </c>
      <c r="E328" s="21" t="n">
        <f aca="false">IFERROR(VLOOKUP(A328,NOMENCLATOR!$A:$E,4,0),"")</f>
        <v>0.103</v>
      </c>
      <c r="F328" s="21" t="n">
        <f aca="false">IF(OR(C328="",E328=""),"",C328*E328)</f>
        <v>0.103</v>
      </c>
      <c r="G328" s="22" t="n">
        <f aca="false">IFERROR(VLOOKUP(A328,NOMENCLATOR!$A:$E,5,0),"")</f>
        <v>0.103</v>
      </c>
      <c r="H328" s="22" t="n">
        <f aca="false">IF(OR(C328="",G328=""),"",C328*G328)</f>
        <v>0.103</v>
      </c>
    </row>
    <row r="329" customFormat="false" ht="15" hidden="false" customHeight="true" outlineLevel="0" collapsed="false">
      <c r="A329" s="17" t="s">
        <v>300</v>
      </c>
      <c r="B329" s="18" t="str">
        <f aca="false">IFERROR(VLOOKUP(A329,NOMENCLATOR!$A:$E,2,0),"")</f>
        <v>Ulei de alune</v>
      </c>
      <c r="C329" s="19" t="n">
        <v>40</v>
      </c>
      <c r="D329" s="20" t="str">
        <f aca="false">IFERROR(VLOOKUP(A329,NOMENCLATOR!$A:$E,3,0),"")</f>
        <v>ML</v>
      </c>
      <c r="E329" s="21" t="n">
        <f aca="false">IFERROR(VLOOKUP(A329,NOMENCLATOR!$A:$E,4,0),"")</f>
        <v>0.0169</v>
      </c>
      <c r="F329" s="21" t="n">
        <f aca="false">IF(OR(C329="",E329=""),"",C329*E329)</f>
        <v>0.676</v>
      </c>
      <c r="G329" s="22" t="n">
        <f aca="false">IFERROR(VLOOKUP(A329,NOMENCLATOR!$A:$E,5,0),"")</f>
        <v>0.0169</v>
      </c>
      <c r="H329" s="22" t="n">
        <f aca="false">IF(OR(C329="",G329=""),"",C329*G329)</f>
        <v>0.676</v>
      </c>
    </row>
    <row r="330" customFormat="false" ht="15" hidden="false" customHeight="true" outlineLevel="0" collapsed="false">
      <c r="A330" s="17" t="s">
        <v>280</v>
      </c>
      <c r="B330" s="18" t="str">
        <f aca="false">IFERROR(VLOOKUP(A330,NOMENCLATOR!$A:$E,2,0),"")</f>
        <v>Sos Brender Mayo BIB</v>
      </c>
      <c r="C330" s="19" t="n">
        <v>20</v>
      </c>
      <c r="D330" s="20" t="str">
        <f aca="false">IFERROR(VLOOKUP(A330,NOMENCLATOR!$A:$E,3,0),"")</f>
        <v>ML</v>
      </c>
      <c r="E330" s="21" t="n">
        <f aca="false">IFERROR(VLOOKUP(A330,NOMENCLATOR!$A:$E,4,0),"")</f>
        <v>0.023</v>
      </c>
      <c r="F330" s="21" t="n">
        <f aca="false">IF(OR(C330="",E330=""),"",C330*E330)</f>
        <v>0.46</v>
      </c>
      <c r="G330" s="22" t="n">
        <f aca="false">IFERROR(VLOOKUP(A330,NOMENCLATOR!$A:$E,5,0),"")</f>
        <v>0.023</v>
      </c>
      <c r="H330" s="22" t="n">
        <f aca="false">IF(OR(C330="",G330=""),"",C330*G330)</f>
        <v>0.46</v>
      </c>
    </row>
    <row r="331" customFormat="false" ht="15" hidden="false" customHeight="true" outlineLevel="0" collapsed="false">
      <c r="A331" s="17" t="s">
        <v>272</v>
      </c>
      <c r="B331" s="18" t="str">
        <f aca="false">IFERROR(VLOOKUP(A331,NOMENCLATOR!$A:$E,2,0),"")</f>
        <v>Salata Eisberg</v>
      </c>
      <c r="C331" s="19" t="n">
        <v>15</v>
      </c>
      <c r="D331" s="20" t="str">
        <f aca="false">IFERROR(VLOOKUP(A331,NOMENCLATOR!$A:$E,3,0),"")</f>
        <v>GM</v>
      </c>
      <c r="E331" s="21" t="n">
        <f aca="false">IFERROR(VLOOKUP(A331,NOMENCLATOR!$A:$E,4,0),"")</f>
        <v>0.02</v>
      </c>
      <c r="F331" s="21" t="n">
        <f aca="false">IF(OR(C331="",E331=""),"",C331*E331)</f>
        <v>0.3</v>
      </c>
      <c r="G331" s="22" t="n">
        <f aca="false">IFERROR(VLOOKUP(A331,NOMENCLATOR!$A:$E,5,0),"")</f>
        <v>0.02</v>
      </c>
      <c r="H331" s="22" t="n">
        <f aca="false">IF(OR(C331="",G331=""),"",C331*G331)</f>
        <v>0.3</v>
      </c>
    </row>
    <row r="332" customFormat="false" ht="15" hidden="false" customHeight="true" outlineLevel="0" collapsed="false">
      <c r="A332" s="17" t="s">
        <v>310</v>
      </c>
      <c r="B332" s="18" t="str">
        <f aca="false">IFERROR(VLOOKUP(A332,NOMENCLATOR!$A:$E,2,0),"")</f>
        <v>Y-Castraveti felii in saramura</v>
      </c>
      <c r="C332" s="19" t="n">
        <v>5.6</v>
      </c>
      <c r="D332" s="20" t="str">
        <f aca="false">IFERROR(VLOOKUP(A332,NOMENCLATOR!$A:$E,3,0),"")</f>
        <v>GM</v>
      </c>
      <c r="E332" s="21" t="n">
        <f aca="false">IFERROR(VLOOKUP(A332,NOMENCLATOR!$A:$E,4,0),"")</f>
        <v>0.01554</v>
      </c>
      <c r="F332" s="21" t="n">
        <f aca="false">IF(OR(C332="",E332=""),"",C332*E332)</f>
        <v>0.087024</v>
      </c>
      <c r="G332" s="22" t="n">
        <f aca="false">IFERROR(VLOOKUP(A332,NOMENCLATOR!$A:$E,5,0),"")</f>
        <v>0.01554</v>
      </c>
      <c r="H332" s="22" t="n">
        <f aca="false">IF(OR(C332="",G332=""),"",C332*G332)</f>
        <v>0.087024</v>
      </c>
    </row>
    <row r="333" customFormat="false" ht="15" hidden="false" customHeight="true" outlineLevel="0" collapsed="false">
      <c r="A333" s="23" t="str">
        <f aca="false">IF(A324="","",A324)</f>
        <v>DUBLU PUI BURGER new</v>
      </c>
      <c r="B333" s="24"/>
      <c r="C333" s="24"/>
      <c r="D333" s="24"/>
      <c r="E333" s="24"/>
      <c r="F333" s="25" t="n">
        <f aca="false">IF(A324="","",SUM(F326:F332))</f>
        <v>6.368024</v>
      </c>
      <c r="G333" s="24"/>
      <c r="H333" s="26" t="n">
        <f aca="false">IF(A324="","",SUM(H326:H332))</f>
        <v>6.368024</v>
      </c>
    </row>
    <row r="335" customFormat="false" ht="15" hidden="false" customHeight="true" outlineLevel="0" collapsed="false">
      <c r="A335" s="12" t="s">
        <v>354</v>
      </c>
      <c r="B335" s="13"/>
      <c r="C335" s="13"/>
      <c r="D335" s="13"/>
      <c r="E335" s="13"/>
      <c r="F335" s="14" t="s">
        <v>351</v>
      </c>
      <c r="G335" s="13"/>
      <c r="H335" s="15"/>
    </row>
    <row r="336" customFormat="false" ht="15" hidden="false" customHeight="true" outlineLevel="0" collapsed="false">
      <c r="A336" s="16" t="s">
        <v>316</v>
      </c>
      <c r="B336" s="16" t="s">
        <v>317</v>
      </c>
      <c r="C336" s="16" t="s">
        <v>318</v>
      </c>
      <c r="D336" s="16" t="s">
        <v>4</v>
      </c>
      <c r="E336" s="16" t="s">
        <v>319</v>
      </c>
      <c r="F336" s="16" t="s">
        <v>320</v>
      </c>
      <c r="G336" s="16" t="s">
        <v>321</v>
      </c>
      <c r="H336" s="16" t="s">
        <v>322</v>
      </c>
    </row>
    <row r="337" customFormat="false" ht="15" hidden="false" customHeight="true" outlineLevel="0" collapsed="false">
      <c r="A337" s="17" t="s">
        <v>98</v>
      </c>
      <c r="B337" s="18" t="str">
        <f aca="false">IFERROR(VLOOKUP(A337,NOMENCLATOR!$A:$E,2,0),"")</f>
        <v>CHIFLA CARTOF 3.5inch 53G x 72</v>
      </c>
      <c r="C337" s="19" t="n">
        <v>1</v>
      </c>
      <c r="D337" s="20" t="str">
        <f aca="false">IFERROR(VLOOKUP(A337,NOMENCLATOR!$A:$E,3,0),"")</f>
        <v>EA</v>
      </c>
      <c r="E337" s="21" t="n">
        <f aca="false">IFERROR(VLOOKUP(A337,NOMENCLATOR!$A:$E,4,0),"")</f>
        <v>2.4</v>
      </c>
      <c r="F337" s="21" t="n">
        <f aca="false">IF(OR(C337="",E337=""),"",C337*E337)</f>
        <v>2.4</v>
      </c>
      <c r="G337" s="22" t="n">
        <f aca="false">IFERROR(VLOOKUP(A337,NOMENCLATOR!$A:$E,5,0),"")</f>
        <v>2.4</v>
      </c>
      <c r="H337" s="22" t="n">
        <f aca="false">IF(OR(C337="",G337=""),"",C337*G337)</f>
        <v>2.4</v>
      </c>
    </row>
    <row r="338" customFormat="false" ht="15" hidden="false" customHeight="true" outlineLevel="0" collapsed="false">
      <c r="A338" s="17" t="s">
        <v>208</v>
      </c>
      <c r="B338" s="18" t="str">
        <f aca="false">IFERROR(VLOOKUP(A338,NOMENCLATOR!$A:$E,2,0),"")</f>
        <v>Patties pui 50gr Transavia</v>
      </c>
      <c r="C338" s="19" t="n">
        <v>2</v>
      </c>
      <c r="D338" s="20" t="str">
        <f aca="false">IFERROR(VLOOKUP(A338,NOMENCLATOR!$A:$E,3,0),"")</f>
        <v>EA</v>
      </c>
      <c r="E338" s="21" t="n">
        <f aca="false">IFERROR(VLOOKUP(A338,NOMENCLATOR!$A:$E,4,0),"")</f>
        <v>1.171</v>
      </c>
      <c r="F338" s="21" t="n">
        <f aca="false">IF(OR(C338="",E338=""),"",C338*E338)</f>
        <v>2.342</v>
      </c>
      <c r="G338" s="22" t="n">
        <f aca="false">IFERROR(VLOOKUP(A338,NOMENCLATOR!$A:$E,5,0),"")</f>
        <v>1.171</v>
      </c>
      <c r="H338" s="22" t="n">
        <f aca="false">IF(OR(C338="",G338=""),"",C338*G338)</f>
        <v>2.342</v>
      </c>
    </row>
    <row r="339" customFormat="false" ht="15" hidden="false" customHeight="true" outlineLevel="0" collapsed="false">
      <c r="A339" s="17" t="s">
        <v>136</v>
      </c>
      <c r="B339" s="18" t="str">
        <f aca="false">IFERROR(VLOOKUP(A339,NOMENCLATOR!$A:$E,2,0),"")</f>
        <v>Hartie Kraft Pui</v>
      </c>
      <c r="C339" s="19" t="n">
        <v>1</v>
      </c>
      <c r="D339" s="20" t="str">
        <f aca="false">IFERROR(VLOOKUP(A339,NOMENCLATOR!$A:$E,3,0),"")</f>
        <v>EA</v>
      </c>
      <c r="E339" s="21" t="n">
        <f aca="false">IFERROR(VLOOKUP(A339,NOMENCLATOR!$A:$E,4,0),"")</f>
        <v>0.103</v>
      </c>
      <c r="F339" s="21" t="n">
        <f aca="false">IF(OR(C339="",E339=""),"",C339*E339)</f>
        <v>0.103</v>
      </c>
      <c r="G339" s="22" t="n">
        <f aca="false">IFERROR(VLOOKUP(A339,NOMENCLATOR!$A:$E,5,0),"")</f>
        <v>0.103</v>
      </c>
      <c r="H339" s="22" t="n">
        <f aca="false">IF(OR(C339="",G339=""),"",C339*G339)</f>
        <v>0.103</v>
      </c>
    </row>
    <row r="340" customFormat="false" ht="15" hidden="false" customHeight="true" outlineLevel="0" collapsed="false">
      <c r="A340" s="17" t="s">
        <v>300</v>
      </c>
      <c r="B340" s="18" t="str">
        <f aca="false">IFERROR(VLOOKUP(A340,NOMENCLATOR!$A:$E,2,0),"")</f>
        <v>Ulei de alune</v>
      </c>
      <c r="C340" s="19" t="n">
        <v>40</v>
      </c>
      <c r="D340" s="20" t="str">
        <f aca="false">IFERROR(VLOOKUP(A340,NOMENCLATOR!$A:$E,3,0),"")</f>
        <v>ML</v>
      </c>
      <c r="E340" s="21" t="n">
        <f aca="false">IFERROR(VLOOKUP(A340,NOMENCLATOR!$A:$E,4,0),"")</f>
        <v>0.0169</v>
      </c>
      <c r="F340" s="21" t="n">
        <f aca="false">IF(OR(C340="",E340=""),"",C340*E340)</f>
        <v>0.676</v>
      </c>
      <c r="G340" s="22" t="n">
        <f aca="false">IFERROR(VLOOKUP(A340,NOMENCLATOR!$A:$E,5,0),"")</f>
        <v>0.0169</v>
      </c>
      <c r="H340" s="22" t="n">
        <f aca="false">IF(OR(C340="",G340=""),"",C340*G340)</f>
        <v>0.676</v>
      </c>
    </row>
    <row r="341" customFormat="false" ht="15" hidden="false" customHeight="true" outlineLevel="0" collapsed="false">
      <c r="A341" s="17" t="s">
        <v>280</v>
      </c>
      <c r="B341" s="18" t="str">
        <f aca="false">IFERROR(VLOOKUP(A341,NOMENCLATOR!$A:$E,2,0),"")</f>
        <v>Sos Brender Mayo BIB</v>
      </c>
      <c r="C341" s="19" t="n">
        <v>20</v>
      </c>
      <c r="D341" s="20" t="str">
        <f aca="false">IFERROR(VLOOKUP(A341,NOMENCLATOR!$A:$E,3,0),"")</f>
        <v>ML</v>
      </c>
      <c r="E341" s="21" t="n">
        <f aca="false">IFERROR(VLOOKUP(A341,NOMENCLATOR!$A:$E,4,0),"")</f>
        <v>0.023</v>
      </c>
      <c r="F341" s="21" t="n">
        <f aca="false">IF(OR(C341="",E341=""),"",C341*E341)</f>
        <v>0.46</v>
      </c>
      <c r="G341" s="22" t="n">
        <f aca="false">IFERROR(VLOOKUP(A341,NOMENCLATOR!$A:$E,5,0),"")</f>
        <v>0.023</v>
      </c>
      <c r="H341" s="22" t="n">
        <f aca="false">IF(OR(C341="",G341=""),"",C341*G341)</f>
        <v>0.46</v>
      </c>
    </row>
    <row r="342" customFormat="false" ht="15" hidden="false" customHeight="true" outlineLevel="0" collapsed="false">
      <c r="A342" s="17" t="s">
        <v>272</v>
      </c>
      <c r="B342" s="18" t="str">
        <f aca="false">IFERROR(VLOOKUP(A342,NOMENCLATOR!$A:$E,2,0),"")</f>
        <v>Salata Eisberg</v>
      </c>
      <c r="C342" s="19" t="n">
        <v>15</v>
      </c>
      <c r="D342" s="20" t="str">
        <f aca="false">IFERROR(VLOOKUP(A342,NOMENCLATOR!$A:$E,3,0),"")</f>
        <v>GM</v>
      </c>
      <c r="E342" s="21" t="n">
        <f aca="false">IFERROR(VLOOKUP(A342,NOMENCLATOR!$A:$E,4,0),"")</f>
        <v>0.02</v>
      </c>
      <c r="F342" s="21" t="n">
        <f aca="false">IF(OR(C342="",E342=""),"",C342*E342)</f>
        <v>0.3</v>
      </c>
      <c r="G342" s="22" t="n">
        <f aca="false">IFERROR(VLOOKUP(A342,NOMENCLATOR!$A:$E,5,0),"")</f>
        <v>0.02</v>
      </c>
      <c r="H342" s="22" t="n">
        <f aca="false">IF(OR(C342="",G342=""),"",C342*G342)</f>
        <v>0.3</v>
      </c>
    </row>
    <row r="343" customFormat="false" ht="15" hidden="false" customHeight="true" outlineLevel="0" collapsed="false">
      <c r="A343" s="17" t="s">
        <v>310</v>
      </c>
      <c r="B343" s="18" t="str">
        <f aca="false">IFERROR(VLOOKUP(A343,NOMENCLATOR!$A:$E,2,0),"")</f>
        <v>Y-Castraveti felii in saramura</v>
      </c>
      <c r="C343" s="19" t="n">
        <v>5.6</v>
      </c>
      <c r="D343" s="20" t="str">
        <f aca="false">IFERROR(VLOOKUP(A343,NOMENCLATOR!$A:$E,3,0),"")</f>
        <v>GM</v>
      </c>
      <c r="E343" s="21" t="n">
        <f aca="false">IFERROR(VLOOKUP(A343,NOMENCLATOR!$A:$E,4,0),"")</f>
        <v>0.01554</v>
      </c>
      <c r="F343" s="21" t="n">
        <f aca="false">IF(OR(C343="",E343=""),"",C343*E343)</f>
        <v>0.087024</v>
      </c>
      <c r="G343" s="22" t="n">
        <f aca="false">IFERROR(VLOOKUP(A343,NOMENCLATOR!$A:$E,5,0),"")</f>
        <v>0.01554</v>
      </c>
      <c r="H343" s="22" t="n">
        <f aca="false">IF(OR(C343="",G343=""),"",C343*G343)</f>
        <v>0.087024</v>
      </c>
    </row>
    <row r="344" customFormat="false" ht="15" hidden="false" customHeight="true" outlineLevel="0" collapsed="false">
      <c r="A344" s="23" t="str">
        <f aca="false">IF(A335="","",A335)</f>
        <v>DUBLU PUI BURGER new D</v>
      </c>
      <c r="B344" s="24"/>
      <c r="C344" s="24"/>
      <c r="D344" s="24"/>
      <c r="E344" s="24"/>
      <c r="F344" s="25" t="n">
        <f aca="false">IF(A335="","",SUM(F337:F343))</f>
        <v>6.368024</v>
      </c>
      <c r="G344" s="24"/>
      <c r="H344" s="26" t="n">
        <f aca="false">IF(A335="","",SUM(H337:H343))</f>
        <v>6.368024</v>
      </c>
    </row>
    <row r="346" customFormat="false" ht="15" hidden="false" customHeight="true" outlineLevel="0" collapsed="false">
      <c r="A346" s="12" t="s">
        <v>355</v>
      </c>
      <c r="B346" s="13"/>
      <c r="C346" s="13"/>
      <c r="D346" s="13"/>
      <c r="E346" s="13"/>
      <c r="F346" s="14" t="s">
        <v>351</v>
      </c>
      <c r="G346" s="13"/>
      <c r="H346" s="15"/>
    </row>
    <row r="347" customFormat="false" ht="15" hidden="false" customHeight="true" outlineLevel="0" collapsed="false">
      <c r="A347" s="16" t="s">
        <v>316</v>
      </c>
      <c r="B347" s="16" t="s">
        <v>317</v>
      </c>
      <c r="C347" s="16" t="s">
        <v>318</v>
      </c>
      <c r="D347" s="16" t="s">
        <v>4</v>
      </c>
      <c r="E347" s="16" t="s">
        <v>319</v>
      </c>
      <c r="F347" s="16" t="s">
        <v>320</v>
      </c>
      <c r="G347" s="16" t="s">
        <v>321</v>
      </c>
      <c r="H347" s="16" t="s">
        <v>322</v>
      </c>
    </row>
    <row r="348" customFormat="false" ht="15" hidden="false" customHeight="true" outlineLevel="0" collapsed="false">
      <c r="A348" s="17" t="s">
        <v>98</v>
      </c>
      <c r="B348" s="18" t="str">
        <f aca="false">IFERROR(VLOOKUP(A348,NOMENCLATOR!$A:$E,2,0),"")</f>
        <v>CHIFLA CARTOF 3.5inch 53G x 72</v>
      </c>
      <c r="C348" s="19" t="n">
        <v>1</v>
      </c>
      <c r="D348" s="20" t="str">
        <f aca="false">IFERROR(VLOOKUP(A348,NOMENCLATOR!$A:$E,3,0),"")</f>
        <v>EA</v>
      </c>
      <c r="E348" s="21" t="n">
        <f aca="false">IFERROR(VLOOKUP(A348,NOMENCLATOR!$A:$E,4,0),"")</f>
        <v>2.4</v>
      </c>
      <c r="F348" s="21" t="n">
        <f aca="false">IF(OR(C348="",E348=""),"",C348*E348)</f>
        <v>2.4</v>
      </c>
      <c r="G348" s="22" t="n">
        <f aca="false">IFERROR(VLOOKUP(A348,NOMENCLATOR!$A:$E,5,0),"")</f>
        <v>2.4</v>
      </c>
      <c r="H348" s="22" t="n">
        <f aca="false">IF(OR(C348="",G348=""),"",C348*G348)</f>
        <v>2.4</v>
      </c>
    </row>
    <row r="349" customFormat="false" ht="15" hidden="false" customHeight="true" outlineLevel="0" collapsed="false">
      <c r="A349" s="17" t="s">
        <v>148</v>
      </c>
      <c r="B349" s="18" t="str">
        <f aca="false">IFERROR(VLOOKUP(A349,NOMENCLATOR!$A:$E,2,0),"")</f>
        <v>Homestyle CKN Patty</v>
      </c>
      <c r="C349" s="19" t="n">
        <v>1</v>
      </c>
      <c r="D349" s="20" t="str">
        <f aca="false">IFERROR(VLOOKUP(A349,NOMENCLATOR!$A:$E,3,0),"")</f>
        <v>EA</v>
      </c>
      <c r="E349" s="21" t="n">
        <f aca="false">IFERROR(VLOOKUP(A349,NOMENCLATOR!$A:$E,4,0),"")</f>
        <v>4.756</v>
      </c>
      <c r="F349" s="21" t="n">
        <f aca="false">IF(OR(C349="",E349=""),"",C349*E349)</f>
        <v>4.756</v>
      </c>
      <c r="G349" s="22" t="n">
        <f aca="false">IFERROR(VLOOKUP(A349,NOMENCLATOR!$A:$E,5,0),"")</f>
        <v>4.756</v>
      </c>
      <c r="H349" s="22" t="n">
        <f aca="false">IF(OR(C349="",G349=""),"",C349*G349)</f>
        <v>4.756</v>
      </c>
    </row>
    <row r="350" customFormat="false" ht="15" hidden="false" customHeight="true" outlineLevel="0" collapsed="false">
      <c r="A350" s="17" t="s">
        <v>300</v>
      </c>
      <c r="B350" s="18" t="str">
        <f aca="false">IFERROR(VLOOKUP(A350,NOMENCLATOR!$A:$E,2,0),"")</f>
        <v>Ulei de alune</v>
      </c>
      <c r="C350" s="19" t="n">
        <v>20</v>
      </c>
      <c r="D350" s="20" t="str">
        <f aca="false">IFERROR(VLOOKUP(A350,NOMENCLATOR!$A:$E,3,0),"")</f>
        <v>ML</v>
      </c>
      <c r="E350" s="21" t="n">
        <f aca="false">IFERROR(VLOOKUP(A350,NOMENCLATOR!$A:$E,4,0),"")</f>
        <v>0.0169</v>
      </c>
      <c r="F350" s="21" t="n">
        <f aca="false">IF(OR(C350="",E350=""),"",C350*E350)</f>
        <v>0.338</v>
      </c>
      <c r="G350" s="22" t="n">
        <f aca="false">IFERROR(VLOOKUP(A350,NOMENCLATOR!$A:$E,5,0),"")</f>
        <v>0.0169</v>
      </c>
      <c r="H350" s="22" t="n">
        <f aca="false">IF(OR(C350="",G350=""),"",C350*G350)</f>
        <v>0.338</v>
      </c>
    </row>
    <row r="351" customFormat="false" ht="15" hidden="false" customHeight="true" outlineLevel="0" collapsed="false">
      <c r="A351" s="17" t="s">
        <v>128</v>
      </c>
      <c r="B351" s="18" t="str">
        <f aca="false">IFERROR(VLOOKUP(A351,NOMENCLATOR!$A:$E,2,0),"")</f>
        <v>Green Pesto Mayo</v>
      </c>
      <c r="C351" s="19" t="n">
        <v>40</v>
      </c>
      <c r="D351" s="20" t="str">
        <f aca="false">IFERROR(VLOOKUP(A351,NOMENCLATOR!$A:$E,3,0),"")</f>
        <v>ML</v>
      </c>
      <c r="E351" s="21" t="n">
        <f aca="false">IFERROR(VLOOKUP(A351,NOMENCLATOR!$A:$E,4,0),"")</f>
        <v>0.047</v>
      </c>
      <c r="F351" s="21" t="n">
        <f aca="false">IF(OR(C351="",E351=""),"",C351*E351)</f>
        <v>1.88</v>
      </c>
      <c r="G351" s="22" t="n">
        <f aca="false">IFERROR(VLOOKUP(A351,NOMENCLATOR!$A:$E,5,0),"")</f>
        <v>0.047</v>
      </c>
      <c r="H351" s="22" t="n">
        <f aca="false">IF(OR(C351="",G351=""),"",C351*G351)</f>
        <v>1.88</v>
      </c>
    </row>
    <row r="352" customFormat="false" ht="15" hidden="false" customHeight="true" outlineLevel="0" collapsed="false">
      <c r="A352" s="17" t="s">
        <v>274</v>
      </c>
      <c r="B352" s="18" t="str">
        <f aca="false">IFERROR(VLOOKUP(A352,NOMENCLATOR!$A:$E,2,0),"")</f>
        <v>SALATA LOLLO BIONDA S 500g</v>
      </c>
      <c r="C352" s="19" t="n">
        <v>20</v>
      </c>
      <c r="D352" s="20" t="str">
        <f aca="false">IFERROR(VLOOKUP(A352,NOMENCLATOR!$A:$E,3,0),"")</f>
        <v>GM</v>
      </c>
      <c r="E352" s="21" t="n">
        <f aca="false">IFERROR(VLOOKUP(A352,NOMENCLATOR!$A:$E,4,0),"")</f>
        <v>0.036</v>
      </c>
      <c r="F352" s="21" t="n">
        <f aca="false">IF(OR(C352="",E352=""),"",C352*E352)</f>
        <v>0.72</v>
      </c>
      <c r="G352" s="22" t="n">
        <f aca="false">IFERROR(VLOOKUP(A352,NOMENCLATOR!$A:$E,5,0),"")</f>
        <v>0.036</v>
      </c>
      <c r="H352" s="22" t="n">
        <f aca="false">IF(OR(C352="",G352=""),"",C352*G352)</f>
        <v>0.72</v>
      </c>
    </row>
    <row r="353" customFormat="false" ht="15" hidden="false" customHeight="true" outlineLevel="0" collapsed="false">
      <c r="A353" s="17" t="s">
        <v>310</v>
      </c>
      <c r="B353" s="18" t="str">
        <f aca="false">IFERROR(VLOOKUP(A353,NOMENCLATOR!$A:$E,2,0),"")</f>
        <v>Y-Castraveti felii in saramura</v>
      </c>
      <c r="C353" s="19" t="n">
        <v>11.2</v>
      </c>
      <c r="D353" s="20" t="str">
        <f aca="false">IFERROR(VLOOKUP(A353,NOMENCLATOR!$A:$E,3,0),"")</f>
        <v>GM</v>
      </c>
      <c r="E353" s="21" t="n">
        <f aca="false">IFERROR(VLOOKUP(A353,NOMENCLATOR!$A:$E,4,0),"")</f>
        <v>0.01554</v>
      </c>
      <c r="F353" s="21" t="n">
        <f aca="false">IF(OR(C353="",E353=""),"",C353*E353)</f>
        <v>0.174048</v>
      </c>
      <c r="G353" s="22" t="n">
        <f aca="false">IFERROR(VLOOKUP(A353,NOMENCLATOR!$A:$E,5,0),"")</f>
        <v>0.01554</v>
      </c>
      <c r="H353" s="22" t="n">
        <f aca="false">IF(OR(C353="",G353=""),"",C353*G353)</f>
        <v>0.174048</v>
      </c>
    </row>
    <row r="354" customFormat="false" ht="15" hidden="false" customHeight="true" outlineLevel="0" collapsed="false">
      <c r="A354" s="17" t="s">
        <v>116</v>
      </c>
      <c r="B354" s="18" t="str">
        <f aca="false">IFERROR(VLOOKUP(A354,NOMENCLATOR!$A:$E,2,0),"")</f>
        <v>CUTIE MICA HOMESTYLE BRG.2024</v>
      </c>
      <c r="C354" s="19" t="n">
        <v>1</v>
      </c>
      <c r="D354" s="20" t="str">
        <f aca="false">IFERROR(VLOOKUP(A354,NOMENCLATOR!$A:$E,3,0),"")</f>
        <v>EA</v>
      </c>
      <c r="E354" s="21" t="n">
        <f aca="false">IFERROR(VLOOKUP(A354,NOMENCLATOR!$A:$E,4,0),"")</f>
        <v>0.693</v>
      </c>
      <c r="F354" s="21" t="n">
        <f aca="false">IF(OR(C354="",E354=""),"",C354*E354)</f>
        <v>0.693</v>
      </c>
      <c r="G354" s="22" t="n">
        <f aca="false">IFERROR(VLOOKUP(A354,NOMENCLATOR!$A:$E,5,0),"")</f>
        <v>0.693</v>
      </c>
      <c r="H354" s="22" t="n">
        <f aca="false">IF(OR(C354="",G354=""),"",C354*G354)</f>
        <v>0.693</v>
      </c>
    </row>
    <row r="355" customFormat="false" ht="15" hidden="false" customHeight="true" outlineLevel="0" collapsed="false">
      <c r="A355" s="23" t="str">
        <f aca="false">IF(A346="","",A346)</f>
        <v>HOMESTYLE CHICKEN PESTO new</v>
      </c>
      <c r="B355" s="24"/>
      <c r="C355" s="24"/>
      <c r="D355" s="24"/>
      <c r="E355" s="24"/>
      <c r="F355" s="25" t="n">
        <f aca="false">IF(A346="","",SUM(F348:F354))</f>
        <v>10.961048</v>
      </c>
      <c r="G355" s="24"/>
      <c r="H355" s="26" t="n">
        <f aca="false">IF(A346="","",SUM(H348:H354))</f>
        <v>10.961048</v>
      </c>
    </row>
    <row r="357" customFormat="false" ht="15" hidden="false" customHeight="true" outlineLevel="0" collapsed="false">
      <c r="A357" s="12" t="s">
        <v>356</v>
      </c>
      <c r="B357" s="13"/>
      <c r="C357" s="13"/>
      <c r="D357" s="13"/>
      <c r="E357" s="13"/>
      <c r="F357" s="14" t="s">
        <v>351</v>
      </c>
      <c r="G357" s="13"/>
      <c r="H357" s="15"/>
    </row>
    <row r="358" customFormat="false" ht="15" hidden="false" customHeight="true" outlineLevel="0" collapsed="false">
      <c r="A358" s="16" t="s">
        <v>316</v>
      </c>
      <c r="B358" s="16" t="s">
        <v>317</v>
      </c>
      <c r="C358" s="16" t="s">
        <v>318</v>
      </c>
      <c r="D358" s="16" t="s">
        <v>4</v>
      </c>
      <c r="E358" s="16" t="s">
        <v>319</v>
      </c>
      <c r="F358" s="16" t="s">
        <v>320</v>
      </c>
      <c r="G358" s="16" t="s">
        <v>321</v>
      </c>
      <c r="H358" s="16" t="s">
        <v>322</v>
      </c>
    </row>
    <row r="359" customFormat="false" ht="15" hidden="false" customHeight="true" outlineLevel="0" collapsed="false">
      <c r="A359" s="17" t="s">
        <v>98</v>
      </c>
      <c r="B359" s="18" t="str">
        <f aca="false">IFERROR(VLOOKUP(A359,NOMENCLATOR!$A:$E,2,0),"")</f>
        <v>CHIFLA CARTOF 3.5inch 53G x 72</v>
      </c>
      <c r="C359" s="19" t="n">
        <v>1</v>
      </c>
      <c r="D359" s="20" t="str">
        <f aca="false">IFERROR(VLOOKUP(A359,NOMENCLATOR!$A:$E,3,0),"")</f>
        <v>EA</v>
      </c>
      <c r="E359" s="21" t="n">
        <f aca="false">IFERROR(VLOOKUP(A359,NOMENCLATOR!$A:$E,4,0),"")</f>
        <v>2.4</v>
      </c>
      <c r="F359" s="21" t="n">
        <f aca="false">IF(OR(C359="",E359=""),"",C359*E359)</f>
        <v>2.4</v>
      </c>
      <c r="G359" s="22" t="n">
        <f aca="false">IFERROR(VLOOKUP(A359,NOMENCLATOR!$A:$E,5,0),"")</f>
        <v>2.4</v>
      </c>
      <c r="H359" s="22" t="n">
        <f aca="false">IF(OR(C359="",G359=""),"",C359*G359)</f>
        <v>2.4</v>
      </c>
    </row>
    <row r="360" customFormat="false" ht="15" hidden="false" customHeight="true" outlineLevel="0" collapsed="false">
      <c r="A360" s="17" t="s">
        <v>148</v>
      </c>
      <c r="B360" s="18" t="str">
        <f aca="false">IFERROR(VLOOKUP(A360,NOMENCLATOR!$A:$E,2,0),"")</f>
        <v>Homestyle CKN Patty</v>
      </c>
      <c r="C360" s="19" t="n">
        <v>1</v>
      </c>
      <c r="D360" s="20" t="str">
        <f aca="false">IFERROR(VLOOKUP(A360,NOMENCLATOR!$A:$E,3,0),"")</f>
        <v>EA</v>
      </c>
      <c r="E360" s="21" t="n">
        <f aca="false">IFERROR(VLOOKUP(A360,NOMENCLATOR!$A:$E,4,0),"")</f>
        <v>4.756</v>
      </c>
      <c r="F360" s="21" t="n">
        <f aca="false">IF(OR(C360="",E360=""),"",C360*E360)</f>
        <v>4.756</v>
      </c>
      <c r="G360" s="22" t="n">
        <f aca="false">IFERROR(VLOOKUP(A360,NOMENCLATOR!$A:$E,5,0),"")</f>
        <v>4.756</v>
      </c>
      <c r="H360" s="22" t="n">
        <f aca="false">IF(OR(C360="",G360=""),"",C360*G360)</f>
        <v>4.756</v>
      </c>
    </row>
    <row r="361" customFormat="false" ht="15" hidden="false" customHeight="true" outlineLevel="0" collapsed="false">
      <c r="A361" s="17" t="s">
        <v>300</v>
      </c>
      <c r="B361" s="18" t="str">
        <f aca="false">IFERROR(VLOOKUP(A361,NOMENCLATOR!$A:$E,2,0),"")</f>
        <v>Ulei de alune</v>
      </c>
      <c r="C361" s="19" t="n">
        <v>20</v>
      </c>
      <c r="D361" s="20" t="str">
        <f aca="false">IFERROR(VLOOKUP(A361,NOMENCLATOR!$A:$E,3,0),"")</f>
        <v>ML</v>
      </c>
      <c r="E361" s="21" t="n">
        <f aca="false">IFERROR(VLOOKUP(A361,NOMENCLATOR!$A:$E,4,0),"")</f>
        <v>0.0169</v>
      </c>
      <c r="F361" s="21" t="n">
        <f aca="false">IF(OR(C361="",E361=""),"",C361*E361)</f>
        <v>0.338</v>
      </c>
      <c r="G361" s="22" t="n">
        <f aca="false">IFERROR(VLOOKUP(A361,NOMENCLATOR!$A:$E,5,0),"")</f>
        <v>0.0169</v>
      </c>
      <c r="H361" s="22" t="n">
        <f aca="false">IF(OR(C361="",G361=""),"",C361*G361)</f>
        <v>0.338</v>
      </c>
    </row>
    <row r="362" customFormat="false" ht="15" hidden="false" customHeight="true" outlineLevel="0" collapsed="false">
      <c r="A362" s="17" t="s">
        <v>128</v>
      </c>
      <c r="B362" s="18" t="str">
        <f aca="false">IFERROR(VLOOKUP(A362,NOMENCLATOR!$A:$E,2,0),"")</f>
        <v>Green Pesto Mayo</v>
      </c>
      <c r="C362" s="19" t="n">
        <v>40</v>
      </c>
      <c r="D362" s="20" t="str">
        <f aca="false">IFERROR(VLOOKUP(A362,NOMENCLATOR!$A:$E,3,0),"")</f>
        <v>ML</v>
      </c>
      <c r="E362" s="21" t="n">
        <f aca="false">IFERROR(VLOOKUP(A362,NOMENCLATOR!$A:$E,4,0),"")</f>
        <v>0.047</v>
      </c>
      <c r="F362" s="21" t="n">
        <f aca="false">IF(OR(C362="",E362=""),"",C362*E362)</f>
        <v>1.88</v>
      </c>
      <c r="G362" s="22" t="n">
        <f aca="false">IFERROR(VLOOKUP(A362,NOMENCLATOR!$A:$E,5,0),"")</f>
        <v>0.047</v>
      </c>
      <c r="H362" s="22" t="n">
        <f aca="false">IF(OR(C362="",G362=""),"",C362*G362)</f>
        <v>1.88</v>
      </c>
    </row>
    <row r="363" customFormat="false" ht="15" hidden="false" customHeight="true" outlineLevel="0" collapsed="false">
      <c r="A363" s="17" t="s">
        <v>274</v>
      </c>
      <c r="B363" s="18" t="str">
        <f aca="false">IFERROR(VLOOKUP(A363,NOMENCLATOR!$A:$E,2,0),"")</f>
        <v>SALATA LOLLO BIONDA S 500g</v>
      </c>
      <c r="C363" s="19" t="n">
        <v>20</v>
      </c>
      <c r="D363" s="20" t="str">
        <f aca="false">IFERROR(VLOOKUP(A363,NOMENCLATOR!$A:$E,3,0),"")</f>
        <v>GM</v>
      </c>
      <c r="E363" s="21" t="n">
        <f aca="false">IFERROR(VLOOKUP(A363,NOMENCLATOR!$A:$E,4,0),"")</f>
        <v>0.036</v>
      </c>
      <c r="F363" s="21" t="n">
        <f aca="false">IF(OR(C363="",E363=""),"",C363*E363)</f>
        <v>0.72</v>
      </c>
      <c r="G363" s="22" t="n">
        <f aca="false">IFERROR(VLOOKUP(A363,NOMENCLATOR!$A:$E,5,0),"")</f>
        <v>0.036</v>
      </c>
      <c r="H363" s="22" t="n">
        <f aca="false">IF(OR(C363="",G363=""),"",C363*G363)</f>
        <v>0.72</v>
      </c>
    </row>
    <row r="364" customFormat="false" ht="15" hidden="false" customHeight="true" outlineLevel="0" collapsed="false">
      <c r="A364" s="17" t="s">
        <v>310</v>
      </c>
      <c r="B364" s="18" t="str">
        <f aca="false">IFERROR(VLOOKUP(A364,NOMENCLATOR!$A:$E,2,0),"")</f>
        <v>Y-Castraveti felii in saramura</v>
      </c>
      <c r="C364" s="19" t="n">
        <v>11.2</v>
      </c>
      <c r="D364" s="20" t="str">
        <f aca="false">IFERROR(VLOOKUP(A364,NOMENCLATOR!$A:$E,3,0),"")</f>
        <v>GM</v>
      </c>
      <c r="E364" s="21" t="n">
        <f aca="false">IFERROR(VLOOKUP(A364,NOMENCLATOR!$A:$E,4,0),"")</f>
        <v>0.01554</v>
      </c>
      <c r="F364" s="21" t="n">
        <f aca="false">IF(OR(C364="",E364=""),"",C364*E364)</f>
        <v>0.174048</v>
      </c>
      <c r="G364" s="22" t="n">
        <f aca="false">IFERROR(VLOOKUP(A364,NOMENCLATOR!$A:$E,5,0),"")</f>
        <v>0.01554</v>
      </c>
      <c r="H364" s="22" t="n">
        <f aca="false">IF(OR(C364="",G364=""),"",C364*G364)</f>
        <v>0.174048</v>
      </c>
    </row>
    <row r="365" customFormat="false" ht="15" hidden="false" customHeight="true" outlineLevel="0" collapsed="false">
      <c r="A365" s="17" t="s">
        <v>116</v>
      </c>
      <c r="B365" s="18" t="str">
        <f aca="false">IFERROR(VLOOKUP(A365,NOMENCLATOR!$A:$E,2,0),"")</f>
        <v>CUTIE MICA HOMESTYLE BRG.2024</v>
      </c>
      <c r="C365" s="19" t="n">
        <v>1</v>
      </c>
      <c r="D365" s="20" t="str">
        <f aca="false">IFERROR(VLOOKUP(A365,NOMENCLATOR!$A:$E,3,0),"")</f>
        <v>EA</v>
      </c>
      <c r="E365" s="21" t="n">
        <f aca="false">IFERROR(VLOOKUP(A365,NOMENCLATOR!$A:$E,4,0),"")</f>
        <v>0.693</v>
      </c>
      <c r="F365" s="21" t="n">
        <f aca="false">IF(OR(C365="",E365=""),"",C365*E365)</f>
        <v>0.693</v>
      </c>
      <c r="G365" s="22" t="n">
        <f aca="false">IFERROR(VLOOKUP(A365,NOMENCLATOR!$A:$E,5,0),"")</f>
        <v>0.693</v>
      </c>
      <c r="H365" s="22" t="n">
        <f aca="false">IF(OR(C365="",G365=""),"",C365*G365)</f>
        <v>0.693</v>
      </c>
    </row>
    <row r="366" customFormat="false" ht="15" hidden="false" customHeight="true" outlineLevel="0" collapsed="false">
      <c r="A366" s="23" t="str">
        <f aca="false">IF(A357="","",A357)</f>
        <v>HOMESTYLE CHICKEN PESTO new D</v>
      </c>
      <c r="B366" s="24"/>
      <c r="C366" s="24"/>
      <c r="D366" s="24"/>
      <c r="E366" s="24"/>
      <c r="F366" s="25" t="n">
        <f aca="false">IF(A357="","",SUM(F359:F365))</f>
        <v>10.961048</v>
      </c>
      <c r="G366" s="24"/>
      <c r="H366" s="26" t="n">
        <f aca="false">IF(A357="","",SUM(H359:H365))</f>
        <v>10.961048</v>
      </c>
    </row>
    <row r="368" customFormat="false" ht="15" hidden="false" customHeight="true" outlineLevel="0" collapsed="false">
      <c r="A368" s="12" t="s">
        <v>357</v>
      </c>
      <c r="B368" s="13"/>
      <c r="C368" s="13"/>
      <c r="D368" s="13"/>
      <c r="E368" s="13"/>
      <c r="F368" s="14" t="s">
        <v>351</v>
      </c>
      <c r="G368" s="13"/>
      <c r="H368" s="15"/>
    </row>
    <row r="369" customFormat="false" ht="15" hidden="false" customHeight="true" outlineLevel="0" collapsed="false">
      <c r="A369" s="16" t="s">
        <v>316</v>
      </c>
      <c r="B369" s="16" t="s">
        <v>317</v>
      </c>
      <c r="C369" s="16" t="s">
        <v>318</v>
      </c>
      <c r="D369" s="16" t="s">
        <v>4</v>
      </c>
      <c r="E369" s="16" t="s">
        <v>319</v>
      </c>
      <c r="F369" s="16" t="s">
        <v>320</v>
      </c>
      <c r="G369" s="16" t="s">
        <v>321</v>
      </c>
      <c r="H369" s="16" t="s">
        <v>322</v>
      </c>
    </row>
    <row r="370" customFormat="false" ht="15" hidden="false" customHeight="true" outlineLevel="0" collapsed="false">
      <c r="A370" s="17" t="s">
        <v>98</v>
      </c>
      <c r="B370" s="18" t="str">
        <f aca="false">IFERROR(VLOOKUP(A370,NOMENCLATOR!$A:$E,2,0),"")</f>
        <v>CHIFLA CARTOF 3.5inch 53G x 72</v>
      </c>
      <c r="C370" s="19" t="n">
        <v>1</v>
      </c>
      <c r="D370" s="20" t="str">
        <f aca="false">IFERROR(VLOOKUP(A370,NOMENCLATOR!$A:$E,3,0),"")</f>
        <v>EA</v>
      </c>
      <c r="E370" s="21" t="n">
        <f aca="false">IFERROR(VLOOKUP(A370,NOMENCLATOR!$A:$E,4,0),"")</f>
        <v>2.4</v>
      </c>
      <c r="F370" s="21" t="n">
        <f aca="false">IF(OR(C370="",E370=""),"",C370*E370)</f>
        <v>2.4</v>
      </c>
      <c r="G370" s="22" t="n">
        <f aca="false">IFERROR(VLOOKUP(A370,NOMENCLATOR!$A:$E,5,0),"")</f>
        <v>2.4</v>
      </c>
      <c r="H370" s="22" t="n">
        <f aca="false">IF(OR(C370="",G370=""),"",C370*G370)</f>
        <v>2.4</v>
      </c>
    </row>
    <row r="371" customFormat="false" ht="15" hidden="false" customHeight="true" outlineLevel="0" collapsed="false">
      <c r="A371" s="17" t="s">
        <v>148</v>
      </c>
      <c r="B371" s="18" t="str">
        <f aca="false">IFERROR(VLOOKUP(A371,NOMENCLATOR!$A:$E,2,0),"")</f>
        <v>Homestyle CKN Patty</v>
      </c>
      <c r="C371" s="19" t="n">
        <v>1</v>
      </c>
      <c r="D371" s="20" t="str">
        <f aca="false">IFERROR(VLOOKUP(A371,NOMENCLATOR!$A:$E,3,0),"")</f>
        <v>EA</v>
      </c>
      <c r="E371" s="21" t="n">
        <f aca="false">IFERROR(VLOOKUP(A371,NOMENCLATOR!$A:$E,4,0),"")</f>
        <v>4.756</v>
      </c>
      <c r="F371" s="21" t="n">
        <f aca="false">IF(OR(C371="",E371=""),"",C371*E371)</f>
        <v>4.756</v>
      </c>
      <c r="G371" s="22" t="n">
        <f aca="false">IFERROR(VLOOKUP(A371,NOMENCLATOR!$A:$E,5,0),"")</f>
        <v>4.756</v>
      </c>
      <c r="H371" s="22" t="n">
        <f aca="false">IF(OR(C371="",G371=""),"",C371*G371)</f>
        <v>4.756</v>
      </c>
    </row>
    <row r="372" customFormat="false" ht="15" hidden="false" customHeight="true" outlineLevel="0" collapsed="false">
      <c r="A372" s="17" t="s">
        <v>300</v>
      </c>
      <c r="B372" s="18" t="str">
        <f aca="false">IFERROR(VLOOKUP(A372,NOMENCLATOR!$A:$E,2,0),"")</f>
        <v>Ulei de alune</v>
      </c>
      <c r="C372" s="19" t="n">
        <v>20</v>
      </c>
      <c r="D372" s="20" t="str">
        <f aca="false">IFERROR(VLOOKUP(A372,NOMENCLATOR!$A:$E,3,0),"")</f>
        <v>ML</v>
      </c>
      <c r="E372" s="21" t="n">
        <f aca="false">IFERROR(VLOOKUP(A372,NOMENCLATOR!$A:$E,4,0),"")</f>
        <v>0.0169</v>
      </c>
      <c r="F372" s="21" t="n">
        <f aca="false">IF(OR(C372="",E372=""),"",C372*E372)</f>
        <v>0.338</v>
      </c>
      <c r="G372" s="22" t="n">
        <f aca="false">IFERROR(VLOOKUP(A372,NOMENCLATOR!$A:$E,5,0),"")</f>
        <v>0.0169</v>
      </c>
      <c r="H372" s="22" t="n">
        <f aca="false">IF(OR(C372="",G372=""),"",C372*G372)</f>
        <v>0.338</v>
      </c>
    </row>
    <row r="373" customFormat="false" ht="15" hidden="false" customHeight="true" outlineLevel="0" collapsed="false">
      <c r="A373" s="17" t="s">
        <v>162</v>
      </c>
      <c r="B373" s="18" t="str">
        <f aca="false">IFERROR(VLOOKUP(A373,NOMENCLATOR!$A:$E,2,0),"")</f>
        <v>Lemon Pepper  Mayo</v>
      </c>
      <c r="C373" s="19" t="n">
        <v>40</v>
      </c>
      <c r="D373" s="20" t="str">
        <f aca="false">IFERROR(VLOOKUP(A373,NOMENCLATOR!$A:$E,3,0),"")</f>
        <v>GM</v>
      </c>
      <c r="E373" s="21" t="n">
        <f aca="false">IFERROR(VLOOKUP(A373,NOMENCLATOR!$A:$E,4,0),"")</f>
        <v>0.04063</v>
      </c>
      <c r="F373" s="21" t="n">
        <f aca="false">IF(OR(C373="",E373=""),"",C373*E373)</f>
        <v>1.6252</v>
      </c>
      <c r="G373" s="22" t="n">
        <f aca="false">IFERROR(VLOOKUP(A373,NOMENCLATOR!$A:$E,5,0),"")</f>
        <v>0.04063</v>
      </c>
      <c r="H373" s="22" t="n">
        <f aca="false">IF(OR(C373="",G373=""),"",C373*G373)</f>
        <v>1.6252</v>
      </c>
    </row>
    <row r="374" customFormat="false" ht="15" hidden="false" customHeight="true" outlineLevel="0" collapsed="false">
      <c r="A374" s="17" t="s">
        <v>274</v>
      </c>
      <c r="B374" s="18" t="str">
        <f aca="false">IFERROR(VLOOKUP(A374,NOMENCLATOR!$A:$E,2,0),"")</f>
        <v>SALATA LOLLO BIONDA S 500g</v>
      </c>
      <c r="C374" s="19" t="n">
        <v>20</v>
      </c>
      <c r="D374" s="20" t="str">
        <f aca="false">IFERROR(VLOOKUP(A374,NOMENCLATOR!$A:$E,3,0),"")</f>
        <v>GM</v>
      </c>
      <c r="E374" s="21" t="n">
        <f aca="false">IFERROR(VLOOKUP(A374,NOMENCLATOR!$A:$E,4,0),"")</f>
        <v>0.036</v>
      </c>
      <c r="F374" s="21" t="n">
        <f aca="false">IF(OR(C374="",E374=""),"",C374*E374)</f>
        <v>0.72</v>
      </c>
      <c r="G374" s="22" t="n">
        <f aca="false">IFERROR(VLOOKUP(A374,NOMENCLATOR!$A:$E,5,0),"")</f>
        <v>0.036</v>
      </c>
      <c r="H374" s="22" t="n">
        <f aca="false">IF(OR(C374="",G374=""),"",C374*G374)</f>
        <v>0.72</v>
      </c>
    </row>
    <row r="375" customFormat="false" ht="15" hidden="false" customHeight="true" outlineLevel="0" collapsed="false">
      <c r="A375" s="17" t="s">
        <v>310</v>
      </c>
      <c r="B375" s="18" t="str">
        <f aca="false">IFERROR(VLOOKUP(A375,NOMENCLATOR!$A:$E,2,0),"")</f>
        <v>Y-Castraveti felii in saramura</v>
      </c>
      <c r="C375" s="19" t="n">
        <v>11.2</v>
      </c>
      <c r="D375" s="20" t="str">
        <f aca="false">IFERROR(VLOOKUP(A375,NOMENCLATOR!$A:$E,3,0),"")</f>
        <v>GM</v>
      </c>
      <c r="E375" s="21" t="n">
        <f aca="false">IFERROR(VLOOKUP(A375,NOMENCLATOR!$A:$E,4,0),"")</f>
        <v>0.01554</v>
      </c>
      <c r="F375" s="21" t="n">
        <f aca="false">IF(OR(C375="",E375=""),"",C375*E375)</f>
        <v>0.174048</v>
      </c>
      <c r="G375" s="22" t="n">
        <f aca="false">IFERROR(VLOOKUP(A375,NOMENCLATOR!$A:$E,5,0),"")</f>
        <v>0.01554</v>
      </c>
      <c r="H375" s="22" t="n">
        <f aca="false">IF(OR(C375="",G375=""),"",C375*G375)</f>
        <v>0.174048</v>
      </c>
    </row>
    <row r="376" customFormat="false" ht="15" hidden="false" customHeight="true" outlineLevel="0" collapsed="false">
      <c r="A376" s="17" t="s">
        <v>116</v>
      </c>
      <c r="B376" s="18" t="str">
        <f aca="false">IFERROR(VLOOKUP(A376,NOMENCLATOR!$A:$E,2,0),"")</f>
        <v>CUTIE MICA HOMESTYLE BRG.2024</v>
      </c>
      <c r="C376" s="19" t="n">
        <v>1</v>
      </c>
      <c r="D376" s="20" t="str">
        <f aca="false">IFERROR(VLOOKUP(A376,NOMENCLATOR!$A:$E,3,0),"")</f>
        <v>EA</v>
      </c>
      <c r="E376" s="21" t="n">
        <f aca="false">IFERROR(VLOOKUP(A376,NOMENCLATOR!$A:$E,4,0),"")</f>
        <v>0.693</v>
      </c>
      <c r="F376" s="21" t="n">
        <f aca="false">IF(OR(C376="",E376=""),"",C376*E376)</f>
        <v>0.693</v>
      </c>
      <c r="G376" s="22" t="n">
        <f aca="false">IFERROR(VLOOKUP(A376,NOMENCLATOR!$A:$E,5,0),"")</f>
        <v>0.693</v>
      </c>
      <c r="H376" s="22" t="n">
        <f aca="false">IF(OR(C376="",G376=""),"",C376*G376)</f>
        <v>0.693</v>
      </c>
    </row>
    <row r="377" customFormat="false" ht="15" hidden="false" customHeight="true" outlineLevel="0" collapsed="false">
      <c r="A377" s="17" t="s">
        <v>244</v>
      </c>
      <c r="B377" s="18" t="str">
        <f aca="false">IFERROR(VLOOKUP(A377,NOMENCLATOR!$A:$E,2,0),"")</f>
        <v>PUNGA 11x5x12.5 BURGER MIC</v>
      </c>
      <c r="C377" s="19" t="n">
        <v>1</v>
      </c>
      <c r="D377" s="20" t="str">
        <f aca="false">IFERROR(VLOOKUP(A377,NOMENCLATOR!$A:$E,3,0),"")</f>
        <v>EA</v>
      </c>
      <c r="E377" s="21" t="n">
        <f aca="false">IFERROR(VLOOKUP(A377,NOMENCLATOR!$A:$E,4,0),"")</f>
        <v>0.105</v>
      </c>
      <c r="F377" s="21" t="n">
        <f aca="false">IF(OR(C377="",E377=""),"",C377*E377)</f>
        <v>0.105</v>
      </c>
      <c r="G377" s="22" t="n">
        <f aca="false">IFERROR(VLOOKUP(A377,NOMENCLATOR!$A:$E,5,0),"")</f>
        <v>0.105</v>
      </c>
      <c r="H377" s="22" t="n">
        <f aca="false">IF(OR(C377="",G377=""),"",C377*G377)</f>
        <v>0.105</v>
      </c>
    </row>
    <row r="378" customFormat="false" ht="15" hidden="false" customHeight="true" outlineLevel="0" collapsed="false">
      <c r="A378" s="23" t="str">
        <f aca="false">IF(A368="","",A368)</f>
        <v>HOMESTYLE CHICKEN LEMON new</v>
      </c>
      <c r="B378" s="24"/>
      <c r="C378" s="24"/>
      <c r="D378" s="24"/>
      <c r="E378" s="24"/>
      <c r="F378" s="25" t="n">
        <f aca="false">IF(A368="","",SUM(F370:F377))</f>
        <v>10.811248</v>
      </c>
      <c r="G378" s="24"/>
      <c r="H378" s="26" t="n">
        <f aca="false">IF(A368="","",SUM(H370:H377))</f>
        <v>10.811248</v>
      </c>
    </row>
    <row r="380" customFormat="false" ht="15" hidden="false" customHeight="true" outlineLevel="0" collapsed="false">
      <c r="A380" s="12" t="s">
        <v>358</v>
      </c>
      <c r="B380" s="13"/>
      <c r="C380" s="13"/>
      <c r="D380" s="13"/>
      <c r="E380" s="13"/>
      <c r="F380" s="14" t="s">
        <v>351</v>
      </c>
      <c r="G380" s="13"/>
      <c r="H380" s="15"/>
    </row>
    <row r="381" customFormat="false" ht="15" hidden="false" customHeight="true" outlineLevel="0" collapsed="false">
      <c r="A381" s="16" t="s">
        <v>316</v>
      </c>
      <c r="B381" s="16" t="s">
        <v>317</v>
      </c>
      <c r="C381" s="16" t="s">
        <v>318</v>
      </c>
      <c r="D381" s="16" t="s">
        <v>4</v>
      </c>
      <c r="E381" s="16" t="s">
        <v>319</v>
      </c>
      <c r="F381" s="16" t="s">
        <v>320</v>
      </c>
      <c r="G381" s="16" t="s">
        <v>321</v>
      </c>
      <c r="H381" s="16" t="s">
        <v>322</v>
      </c>
    </row>
    <row r="382" customFormat="false" ht="15" hidden="false" customHeight="true" outlineLevel="0" collapsed="false">
      <c r="A382" s="17" t="s">
        <v>98</v>
      </c>
      <c r="B382" s="18" t="str">
        <f aca="false">IFERROR(VLOOKUP(A382,NOMENCLATOR!$A:$E,2,0),"")</f>
        <v>CHIFLA CARTOF 3.5inch 53G x 72</v>
      </c>
      <c r="C382" s="19" t="n">
        <v>1</v>
      </c>
      <c r="D382" s="20" t="str">
        <f aca="false">IFERROR(VLOOKUP(A382,NOMENCLATOR!$A:$E,3,0),"")</f>
        <v>EA</v>
      </c>
      <c r="E382" s="21" t="n">
        <f aca="false">IFERROR(VLOOKUP(A382,NOMENCLATOR!$A:$E,4,0),"")</f>
        <v>2.4</v>
      </c>
      <c r="F382" s="21" t="n">
        <f aca="false">IF(OR(C382="",E382=""),"",C382*E382)</f>
        <v>2.4</v>
      </c>
      <c r="G382" s="22" t="n">
        <f aca="false">IFERROR(VLOOKUP(A382,NOMENCLATOR!$A:$E,5,0),"")</f>
        <v>2.4</v>
      </c>
      <c r="H382" s="22" t="n">
        <f aca="false">IF(OR(C382="",G382=""),"",C382*G382)</f>
        <v>2.4</v>
      </c>
    </row>
    <row r="383" customFormat="false" ht="15" hidden="false" customHeight="true" outlineLevel="0" collapsed="false">
      <c r="A383" s="17" t="s">
        <v>148</v>
      </c>
      <c r="B383" s="18" t="str">
        <f aca="false">IFERROR(VLOOKUP(A383,NOMENCLATOR!$A:$E,2,0),"")</f>
        <v>Homestyle CKN Patty</v>
      </c>
      <c r="C383" s="19" t="n">
        <v>1</v>
      </c>
      <c r="D383" s="20" t="str">
        <f aca="false">IFERROR(VLOOKUP(A383,NOMENCLATOR!$A:$E,3,0),"")</f>
        <v>EA</v>
      </c>
      <c r="E383" s="21" t="n">
        <f aca="false">IFERROR(VLOOKUP(A383,NOMENCLATOR!$A:$E,4,0),"")</f>
        <v>4.756</v>
      </c>
      <c r="F383" s="21" t="n">
        <f aca="false">IF(OR(C383="",E383=""),"",C383*E383)</f>
        <v>4.756</v>
      </c>
      <c r="G383" s="22" t="n">
        <f aca="false">IFERROR(VLOOKUP(A383,NOMENCLATOR!$A:$E,5,0),"")</f>
        <v>4.756</v>
      </c>
      <c r="H383" s="22" t="n">
        <f aca="false">IF(OR(C383="",G383=""),"",C383*G383)</f>
        <v>4.756</v>
      </c>
    </row>
    <row r="384" customFormat="false" ht="15" hidden="false" customHeight="true" outlineLevel="0" collapsed="false">
      <c r="A384" s="17" t="s">
        <v>300</v>
      </c>
      <c r="B384" s="18" t="str">
        <f aca="false">IFERROR(VLOOKUP(A384,NOMENCLATOR!$A:$E,2,0),"")</f>
        <v>Ulei de alune</v>
      </c>
      <c r="C384" s="19" t="n">
        <v>20</v>
      </c>
      <c r="D384" s="20" t="str">
        <f aca="false">IFERROR(VLOOKUP(A384,NOMENCLATOR!$A:$E,3,0),"")</f>
        <v>ML</v>
      </c>
      <c r="E384" s="21" t="n">
        <f aca="false">IFERROR(VLOOKUP(A384,NOMENCLATOR!$A:$E,4,0),"")</f>
        <v>0.0169</v>
      </c>
      <c r="F384" s="21" t="n">
        <f aca="false">IF(OR(C384="",E384=""),"",C384*E384)</f>
        <v>0.338</v>
      </c>
      <c r="G384" s="22" t="n">
        <f aca="false">IFERROR(VLOOKUP(A384,NOMENCLATOR!$A:$E,5,0),"")</f>
        <v>0.0169</v>
      </c>
      <c r="H384" s="22" t="n">
        <f aca="false">IF(OR(C384="",G384=""),"",C384*G384)</f>
        <v>0.338</v>
      </c>
    </row>
    <row r="385" customFormat="false" ht="15" hidden="false" customHeight="true" outlineLevel="0" collapsed="false">
      <c r="A385" s="17" t="s">
        <v>162</v>
      </c>
      <c r="B385" s="18" t="str">
        <f aca="false">IFERROR(VLOOKUP(A385,NOMENCLATOR!$A:$E,2,0),"")</f>
        <v>Lemon Pepper  Mayo</v>
      </c>
      <c r="C385" s="19" t="n">
        <v>40</v>
      </c>
      <c r="D385" s="20" t="str">
        <f aca="false">IFERROR(VLOOKUP(A385,NOMENCLATOR!$A:$E,3,0),"")</f>
        <v>GM</v>
      </c>
      <c r="E385" s="21" t="n">
        <f aca="false">IFERROR(VLOOKUP(A385,NOMENCLATOR!$A:$E,4,0),"")</f>
        <v>0.04063</v>
      </c>
      <c r="F385" s="21" t="n">
        <f aca="false">IF(OR(C385="",E385=""),"",C385*E385)</f>
        <v>1.6252</v>
      </c>
      <c r="G385" s="22" t="n">
        <f aca="false">IFERROR(VLOOKUP(A385,NOMENCLATOR!$A:$E,5,0),"")</f>
        <v>0.04063</v>
      </c>
      <c r="H385" s="22" t="n">
        <f aca="false">IF(OR(C385="",G385=""),"",C385*G385)</f>
        <v>1.6252</v>
      </c>
    </row>
    <row r="386" customFormat="false" ht="15" hidden="false" customHeight="true" outlineLevel="0" collapsed="false">
      <c r="A386" s="17" t="s">
        <v>274</v>
      </c>
      <c r="B386" s="18" t="str">
        <f aca="false">IFERROR(VLOOKUP(A386,NOMENCLATOR!$A:$E,2,0),"")</f>
        <v>SALATA LOLLO BIONDA S 500g</v>
      </c>
      <c r="C386" s="19" t="n">
        <v>20</v>
      </c>
      <c r="D386" s="20" t="str">
        <f aca="false">IFERROR(VLOOKUP(A386,NOMENCLATOR!$A:$E,3,0),"")</f>
        <v>GM</v>
      </c>
      <c r="E386" s="21" t="n">
        <f aca="false">IFERROR(VLOOKUP(A386,NOMENCLATOR!$A:$E,4,0),"")</f>
        <v>0.036</v>
      </c>
      <c r="F386" s="21" t="n">
        <f aca="false">IF(OR(C386="",E386=""),"",C386*E386)</f>
        <v>0.72</v>
      </c>
      <c r="G386" s="22" t="n">
        <f aca="false">IFERROR(VLOOKUP(A386,NOMENCLATOR!$A:$E,5,0),"")</f>
        <v>0.036</v>
      </c>
      <c r="H386" s="22" t="n">
        <f aca="false">IF(OR(C386="",G386=""),"",C386*G386)</f>
        <v>0.72</v>
      </c>
    </row>
    <row r="387" customFormat="false" ht="15" hidden="false" customHeight="true" outlineLevel="0" collapsed="false">
      <c r="A387" s="17" t="s">
        <v>310</v>
      </c>
      <c r="B387" s="18" t="str">
        <f aca="false">IFERROR(VLOOKUP(A387,NOMENCLATOR!$A:$E,2,0),"")</f>
        <v>Y-Castraveti felii in saramura</v>
      </c>
      <c r="C387" s="19" t="n">
        <v>11.2</v>
      </c>
      <c r="D387" s="20" t="str">
        <f aca="false">IFERROR(VLOOKUP(A387,NOMENCLATOR!$A:$E,3,0),"")</f>
        <v>GM</v>
      </c>
      <c r="E387" s="21" t="n">
        <f aca="false">IFERROR(VLOOKUP(A387,NOMENCLATOR!$A:$E,4,0),"")</f>
        <v>0.01554</v>
      </c>
      <c r="F387" s="21" t="n">
        <f aca="false">IF(OR(C387="",E387=""),"",C387*E387)</f>
        <v>0.174048</v>
      </c>
      <c r="G387" s="22" t="n">
        <f aca="false">IFERROR(VLOOKUP(A387,NOMENCLATOR!$A:$E,5,0),"")</f>
        <v>0.01554</v>
      </c>
      <c r="H387" s="22" t="n">
        <f aca="false">IF(OR(C387="",G387=""),"",C387*G387)</f>
        <v>0.174048</v>
      </c>
    </row>
    <row r="388" customFormat="false" ht="15" hidden="false" customHeight="true" outlineLevel="0" collapsed="false">
      <c r="A388" s="17" t="s">
        <v>116</v>
      </c>
      <c r="B388" s="18" t="str">
        <f aca="false">IFERROR(VLOOKUP(A388,NOMENCLATOR!$A:$E,2,0),"")</f>
        <v>CUTIE MICA HOMESTYLE BRG.2024</v>
      </c>
      <c r="C388" s="19" t="n">
        <v>1</v>
      </c>
      <c r="D388" s="20" t="str">
        <f aca="false">IFERROR(VLOOKUP(A388,NOMENCLATOR!$A:$E,3,0),"")</f>
        <v>EA</v>
      </c>
      <c r="E388" s="21" t="n">
        <f aca="false">IFERROR(VLOOKUP(A388,NOMENCLATOR!$A:$E,4,0),"")</f>
        <v>0.693</v>
      </c>
      <c r="F388" s="21" t="n">
        <f aca="false">IF(OR(C388="",E388=""),"",C388*E388)</f>
        <v>0.693</v>
      </c>
      <c r="G388" s="22" t="n">
        <f aca="false">IFERROR(VLOOKUP(A388,NOMENCLATOR!$A:$E,5,0),"")</f>
        <v>0.693</v>
      </c>
      <c r="H388" s="22" t="n">
        <f aca="false">IF(OR(C388="",G388=""),"",C388*G388)</f>
        <v>0.693</v>
      </c>
    </row>
    <row r="389" customFormat="false" ht="15" hidden="false" customHeight="true" outlineLevel="0" collapsed="false">
      <c r="A389" s="17" t="s">
        <v>244</v>
      </c>
      <c r="B389" s="18" t="str">
        <f aca="false">IFERROR(VLOOKUP(A389,NOMENCLATOR!$A:$E,2,0),"")</f>
        <v>PUNGA 11x5x12.5 BURGER MIC</v>
      </c>
      <c r="C389" s="19" t="n">
        <v>1</v>
      </c>
      <c r="D389" s="20" t="str">
        <f aca="false">IFERROR(VLOOKUP(A389,NOMENCLATOR!$A:$E,3,0),"")</f>
        <v>EA</v>
      </c>
      <c r="E389" s="21" t="n">
        <f aca="false">IFERROR(VLOOKUP(A389,NOMENCLATOR!$A:$E,4,0),"")</f>
        <v>0.105</v>
      </c>
      <c r="F389" s="21" t="n">
        <f aca="false">IF(OR(C389="",E389=""),"",C389*E389)</f>
        <v>0.105</v>
      </c>
      <c r="G389" s="22" t="n">
        <f aca="false">IFERROR(VLOOKUP(A389,NOMENCLATOR!$A:$E,5,0),"")</f>
        <v>0.105</v>
      </c>
      <c r="H389" s="22" t="n">
        <f aca="false">IF(OR(C389="",G389=""),"",C389*G389)</f>
        <v>0.105</v>
      </c>
    </row>
    <row r="390" customFormat="false" ht="15" hidden="false" customHeight="true" outlineLevel="0" collapsed="false">
      <c r="A390" s="23" t="str">
        <f aca="false">IF(A380="","",A380)</f>
        <v>HOMESTYLE CHICKEN LEMON new D</v>
      </c>
      <c r="B390" s="24"/>
      <c r="C390" s="24"/>
      <c r="D390" s="24"/>
      <c r="E390" s="24"/>
      <c r="F390" s="25" t="n">
        <f aca="false">IF(A380="","",SUM(F382:F389))</f>
        <v>10.811248</v>
      </c>
      <c r="G390" s="24"/>
      <c r="H390" s="26" t="n">
        <f aca="false">IF(A380="","",SUM(H382:H389))</f>
        <v>10.811248</v>
      </c>
    </row>
    <row r="392" customFormat="false" ht="15" hidden="false" customHeight="true" outlineLevel="0" collapsed="false">
      <c r="A392" s="12" t="s">
        <v>359</v>
      </c>
      <c r="B392" s="13"/>
      <c r="C392" s="13"/>
      <c r="D392" s="13"/>
      <c r="E392" s="13"/>
      <c r="F392" s="14" t="s">
        <v>351</v>
      </c>
      <c r="G392" s="13"/>
      <c r="H392" s="15"/>
    </row>
    <row r="393" customFormat="false" ht="15" hidden="false" customHeight="true" outlineLevel="0" collapsed="false">
      <c r="A393" s="16" t="s">
        <v>316</v>
      </c>
      <c r="B393" s="16" t="s">
        <v>317</v>
      </c>
      <c r="C393" s="16" t="s">
        <v>318</v>
      </c>
      <c r="D393" s="16" t="s">
        <v>4</v>
      </c>
      <c r="E393" s="16" t="s">
        <v>319</v>
      </c>
      <c r="F393" s="16" t="s">
        <v>320</v>
      </c>
      <c r="G393" s="16" t="s">
        <v>321</v>
      </c>
      <c r="H393" s="16" t="s">
        <v>322</v>
      </c>
    </row>
    <row r="394" customFormat="false" ht="15" hidden="false" customHeight="true" outlineLevel="0" collapsed="false">
      <c r="A394" s="17" t="s">
        <v>98</v>
      </c>
      <c r="B394" s="18" t="str">
        <f aca="false">IFERROR(VLOOKUP(A394,NOMENCLATOR!$A:$E,2,0),"")</f>
        <v>CHIFLA CARTOF 3.5inch 53G x 72</v>
      </c>
      <c r="C394" s="19" t="n">
        <v>1</v>
      </c>
      <c r="D394" s="20" t="str">
        <f aca="false">IFERROR(VLOOKUP(A394,NOMENCLATOR!$A:$E,3,0),"")</f>
        <v>EA</v>
      </c>
      <c r="E394" s="21" t="n">
        <f aca="false">IFERROR(VLOOKUP(A394,NOMENCLATOR!$A:$E,4,0),"")</f>
        <v>2.4</v>
      </c>
      <c r="F394" s="21" t="n">
        <f aca="false">IF(OR(C394="",E394=""),"",C394*E394)</f>
        <v>2.4</v>
      </c>
      <c r="G394" s="22" t="n">
        <f aca="false">IFERROR(VLOOKUP(A394,NOMENCLATOR!$A:$E,5,0),"")</f>
        <v>2.4</v>
      </c>
      <c r="H394" s="22" t="n">
        <f aca="false">IF(OR(C394="",G394=""),"",C394*G394)</f>
        <v>2.4</v>
      </c>
    </row>
    <row r="395" customFormat="false" ht="15" hidden="false" customHeight="true" outlineLevel="0" collapsed="false">
      <c r="A395" s="17" t="s">
        <v>148</v>
      </c>
      <c r="B395" s="18" t="str">
        <f aca="false">IFERROR(VLOOKUP(A395,NOMENCLATOR!$A:$E,2,0),"")</f>
        <v>Homestyle CKN Patty</v>
      </c>
      <c r="C395" s="19" t="n">
        <v>1</v>
      </c>
      <c r="D395" s="20" t="str">
        <f aca="false">IFERROR(VLOOKUP(A395,NOMENCLATOR!$A:$E,3,0),"")</f>
        <v>EA</v>
      </c>
      <c r="E395" s="21" t="n">
        <f aca="false">IFERROR(VLOOKUP(A395,NOMENCLATOR!$A:$E,4,0),"")</f>
        <v>4.756</v>
      </c>
      <c r="F395" s="21" t="n">
        <f aca="false">IF(OR(C395="",E395=""),"",C395*E395)</f>
        <v>4.756</v>
      </c>
      <c r="G395" s="22" t="n">
        <f aca="false">IFERROR(VLOOKUP(A395,NOMENCLATOR!$A:$E,5,0),"")</f>
        <v>4.756</v>
      </c>
      <c r="H395" s="22" t="n">
        <f aca="false">IF(OR(C395="",G395=""),"",C395*G395)</f>
        <v>4.756</v>
      </c>
    </row>
    <row r="396" customFormat="false" ht="15" hidden="false" customHeight="true" outlineLevel="0" collapsed="false">
      <c r="A396" s="17" t="s">
        <v>300</v>
      </c>
      <c r="B396" s="18" t="str">
        <f aca="false">IFERROR(VLOOKUP(A396,NOMENCLATOR!$A:$E,2,0),"")</f>
        <v>Ulei de alune</v>
      </c>
      <c r="C396" s="19" t="n">
        <v>20</v>
      </c>
      <c r="D396" s="20" t="str">
        <f aca="false">IFERROR(VLOOKUP(A396,NOMENCLATOR!$A:$E,3,0),"")</f>
        <v>ML</v>
      </c>
      <c r="E396" s="21" t="n">
        <f aca="false">IFERROR(VLOOKUP(A396,NOMENCLATOR!$A:$E,4,0),"")</f>
        <v>0.0169</v>
      </c>
      <c r="F396" s="21" t="n">
        <f aca="false">IF(OR(C396="",E396=""),"",C396*E396)</f>
        <v>0.338</v>
      </c>
      <c r="G396" s="22" t="n">
        <f aca="false">IFERROR(VLOOKUP(A396,NOMENCLATOR!$A:$E,5,0),"")</f>
        <v>0.0169</v>
      </c>
      <c r="H396" s="22" t="n">
        <f aca="false">IF(OR(C396="",G396=""),"",C396*G396)</f>
        <v>0.338</v>
      </c>
    </row>
    <row r="397" customFormat="false" ht="15" hidden="false" customHeight="true" outlineLevel="0" collapsed="false">
      <c r="A397" s="17" t="s">
        <v>238</v>
      </c>
      <c r="B397" s="18" t="str">
        <f aca="false">IFERROR(VLOOKUP(A397,NOMENCLATOR!$A:$E,2,0),"")</f>
        <v>Prep Salata Coleslaw</v>
      </c>
      <c r="C397" s="19" t="n">
        <v>50</v>
      </c>
      <c r="D397" s="20" t="str">
        <f aca="false">IFERROR(VLOOKUP(A397,NOMENCLATOR!$A:$E,3,0),"")</f>
        <v>GM</v>
      </c>
      <c r="E397" s="21" t="n">
        <f aca="false">IFERROR(VLOOKUP(A397,NOMENCLATOR!$A:$E,4,0),"")</f>
        <v>0.01894</v>
      </c>
      <c r="F397" s="21" t="n">
        <f aca="false">IF(OR(C397="",E397=""),"",C397*E397)</f>
        <v>0.947</v>
      </c>
      <c r="G397" s="22" t="n">
        <f aca="false">IFERROR(VLOOKUP(A397,NOMENCLATOR!$A:$E,5,0),"")</f>
        <v>0.01894</v>
      </c>
      <c r="H397" s="22" t="n">
        <f aca="false">IF(OR(C397="",G397=""),"",C397*G397)</f>
        <v>0.947</v>
      </c>
    </row>
    <row r="398" customFormat="false" ht="15" hidden="false" customHeight="true" outlineLevel="0" collapsed="false">
      <c r="A398" s="17" t="s">
        <v>284</v>
      </c>
      <c r="B398" s="18" t="str">
        <f aca="false">IFERROR(VLOOKUP(A398,NOMENCLATOR!$A:$E,2,0),"")</f>
        <v>Sos FryRanch</v>
      </c>
      <c r="C398" s="19" t="n">
        <v>30</v>
      </c>
      <c r="D398" s="20" t="str">
        <f aca="false">IFERROR(VLOOKUP(A398,NOMENCLATOR!$A:$E,3,0),"")</f>
        <v>GM</v>
      </c>
      <c r="E398" s="21" t="n">
        <f aca="false">IFERROR(VLOOKUP(A398,NOMENCLATOR!$A:$E,4,0),"")</f>
        <v>0.02613</v>
      </c>
      <c r="F398" s="21" t="n">
        <f aca="false">IF(OR(C398="",E398=""),"",C398*E398)</f>
        <v>0.7839</v>
      </c>
      <c r="G398" s="22" t="n">
        <f aca="false">IFERROR(VLOOKUP(A398,NOMENCLATOR!$A:$E,5,0),"")</f>
        <v>0.02613</v>
      </c>
      <c r="H398" s="22" t="n">
        <f aca="false">IF(OR(C398="",G398=""),"",C398*G398)</f>
        <v>0.7839</v>
      </c>
    </row>
    <row r="399" customFormat="false" ht="15" hidden="false" customHeight="true" outlineLevel="0" collapsed="false">
      <c r="A399" s="17" t="s">
        <v>310</v>
      </c>
      <c r="B399" s="18" t="str">
        <f aca="false">IFERROR(VLOOKUP(A399,NOMENCLATOR!$A:$E,2,0),"")</f>
        <v>Y-Castraveti felii in saramura</v>
      </c>
      <c r="C399" s="19" t="n">
        <v>11.2</v>
      </c>
      <c r="D399" s="20" t="str">
        <f aca="false">IFERROR(VLOOKUP(A399,NOMENCLATOR!$A:$E,3,0),"")</f>
        <v>GM</v>
      </c>
      <c r="E399" s="21" t="n">
        <f aca="false">IFERROR(VLOOKUP(A399,NOMENCLATOR!$A:$E,4,0),"")</f>
        <v>0.01554</v>
      </c>
      <c r="F399" s="21" t="n">
        <f aca="false">IF(OR(C399="",E399=""),"",C399*E399)</f>
        <v>0.174048</v>
      </c>
      <c r="G399" s="22" t="n">
        <f aca="false">IFERROR(VLOOKUP(A399,NOMENCLATOR!$A:$E,5,0),"")</f>
        <v>0.01554</v>
      </c>
      <c r="H399" s="22" t="n">
        <f aca="false">IF(OR(C399="",G399=""),"",C399*G399)</f>
        <v>0.174048</v>
      </c>
    </row>
    <row r="400" customFormat="false" ht="15" hidden="false" customHeight="true" outlineLevel="0" collapsed="false">
      <c r="A400" s="17" t="s">
        <v>116</v>
      </c>
      <c r="B400" s="18" t="str">
        <f aca="false">IFERROR(VLOOKUP(A400,NOMENCLATOR!$A:$E,2,0),"")</f>
        <v>CUTIE MICA HOMESTYLE BRG.2024</v>
      </c>
      <c r="C400" s="19" t="n">
        <v>1</v>
      </c>
      <c r="D400" s="20" t="str">
        <f aca="false">IFERROR(VLOOKUP(A400,NOMENCLATOR!$A:$E,3,0),"")</f>
        <v>EA</v>
      </c>
      <c r="E400" s="21" t="n">
        <f aca="false">IFERROR(VLOOKUP(A400,NOMENCLATOR!$A:$E,4,0),"")</f>
        <v>0.693</v>
      </c>
      <c r="F400" s="21" t="n">
        <f aca="false">IF(OR(C400="",E400=""),"",C400*E400)</f>
        <v>0.693</v>
      </c>
      <c r="G400" s="22" t="n">
        <f aca="false">IFERROR(VLOOKUP(A400,NOMENCLATOR!$A:$E,5,0),"")</f>
        <v>0.693</v>
      </c>
      <c r="H400" s="22" t="n">
        <f aca="false">IF(OR(C400="",G400=""),"",C400*G400)</f>
        <v>0.693</v>
      </c>
    </row>
    <row r="401" customFormat="false" ht="15" hidden="false" customHeight="true" outlineLevel="0" collapsed="false">
      <c r="A401" s="17" t="s">
        <v>244</v>
      </c>
      <c r="B401" s="18" t="str">
        <f aca="false">IFERROR(VLOOKUP(A401,NOMENCLATOR!$A:$E,2,0),"")</f>
        <v>PUNGA 11x5x12.5 BURGER MIC</v>
      </c>
      <c r="C401" s="19" t="n">
        <v>1</v>
      </c>
      <c r="D401" s="20" t="str">
        <f aca="false">IFERROR(VLOOKUP(A401,NOMENCLATOR!$A:$E,3,0),"")</f>
        <v>EA</v>
      </c>
      <c r="E401" s="21" t="n">
        <f aca="false">IFERROR(VLOOKUP(A401,NOMENCLATOR!$A:$E,4,0),"")</f>
        <v>0.105</v>
      </c>
      <c r="F401" s="21" t="n">
        <f aca="false">IF(OR(C401="",E401=""),"",C401*E401)</f>
        <v>0.105</v>
      </c>
      <c r="G401" s="22" t="n">
        <f aca="false">IFERROR(VLOOKUP(A401,NOMENCLATOR!$A:$E,5,0),"")</f>
        <v>0.105</v>
      </c>
      <c r="H401" s="22" t="n">
        <f aca="false">IF(OR(C401="",G401=""),"",C401*G401)</f>
        <v>0.105</v>
      </c>
    </row>
    <row r="402" customFormat="false" ht="15" hidden="false" customHeight="true" outlineLevel="0" collapsed="false">
      <c r="A402" s="23" t="str">
        <f aca="false">IF(A392="","",A392)</f>
        <v>HOMESTYLE CHICKEN RANCH new</v>
      </c>
      <c r="B402" s="24"/>
      <c r="C402" s="24"/>
      <c r="D402" s="24"/>
      <c r="E402" s="24"/>
      <c r="F402" s="25" t="n">
        <f aca="false">IF(A392="","",SUM(F394:F401))</f>
        <v>10.196948</v>
      </c>
      <c r="G402" s="24"/>
      <c r="H402" s="26" t="n">
        <f aca="false">IF(A392="","",SUM(H394:H401))</f>
        <v>10.196948</v>
      </c>
    </row>
    <row r="404" customFormat="false" ht="15" hidden="false" customHeight="true" outlineLevel="0" collapsed="false">
      <c r="A404" s="12" t="s">
        <v>360</v>
      </c>
      <c r="B404" s="13"/>
      <c r="C404" s="13"/>
      <c r="D404" s="13"/>
      <c r="E404" s="13"/>
      <c r="F404" s="14" t="s">
        <v>351</v>
      </c>
      <c r="G404" s="13"/>
      <c r="H404" s="15"/>
    </row>
    <row r="405" customFormat="false" ht="15" hidden="false" customHeight="true" outlineLevel="0" collapsed="false">
      <c r="A405" s="16" t="s">
        <v>316</v>
      </c>
      <c r="B405" s="16" t="s">
        <v>317</v>
      </c>
      <c r="C405" s="16" t="s">
        <v>318</v>
      </c>
      <c r="D405" s="16" t="s">
        <v>4</v>
      </c>
      <c r="E405" s="16" t="s">
        <v>319</v>
      </c>
      <c r="F405" s="16" t="s">
        <v>320</v>
      </c>
      <c r="G405" s="16" t="s">
        <v>321</v>
      </c>
      <c r="H405" s="16" t="s">
        <v>322</v>
      </c>
    </row>
    <row r="406" customFormat="false" ht="15" hidden="false" customHeight="true" outlineLevel="0" collapsed="false">
      <c r="A406" s="17" t="s">
        <v>98</v>
      </c>
      <c r="B406" s="18" t="str">
        <f aca="false">IFERROR(VLOOKUP(A406,NOMENCLATOR!$A:$E,2,0),"")</f>
        <v>CHIFLA CARTOF 3.5inch 53G x 72</v>
      </c>
      <c r="C406" s="19" t="n">
        <v>1</v>
      </c>
      <c r="D406" s="20" t="str">
        <f aca="false">IFERROR(VLOOKUP(A406,NOMENCLATOR!$A:$E,3,0),"")</f>
        <v>EA</v>
      </c>
      <c r="E406" s="21" t="n">
        <f aca="false">IFERROR(VLOOKUP(A406,NOMENCLATOR!$A:$E,4,0),"")</f>
        <v>2.4</v>
      </c>
      <c r="F406" s="21" t="n">
        <f aca="false">IF(OR(C406="",E406=""),"",C406*E406)</f>
        <v>2.4</v>
      </c>
      <c r="G406" s="22" t="n">
        <f aca="false">IFERROR(VLOOKUP(A406,NOMENCLATOR!$A:$E,5,0),"")</f>
        <v>2.4</v>
      </c>
      <c r="H406" s="22" t="n">
        <f aca="false">IF(OR(C406="",G406=""),"",C406*G406)</f>
        <v>2.4</v>
      </c>
    </row>
    <row r="407" customFormat="false" ht="15" hidden="false" customHeight="true" outlineLevel="0" collapsed="false">
      <c r="A407" s="17" t="s">
        <v>148</v>
      </c>
      <c r="B407" s="18" t="str">
        <f aca="false">IFERROR(VLOOKUP(A407,NOMENCLATOR!$A:$E,2,0),"")</f>
        <v>Homestyle CKN Patty</v>
      </c>
      <c r="C407" s="19" t="n">
        <v>1</v>
      </c>
      <c r="D407" s="20" t="str">
        <f aca="false">IFERROR(VLOOKUP(A407,NOMENCLATOR!$A:$E,3,0),"")</f>
        <v>EA</v>
      </c>
      <c r="E407" s="21" t="n">
        <f aca="false">IFERROR(VLOOKUP(A407,NOMENCLATOR!$A:$E,4,0),"")</f>
        <v>4.756</v>
      </c>
      <c r="F407" s="21" t="n">
        <f aca="false">IF(OR(C407="",E407=""),"",C407*E407)</f>
        <v>4.756</v>
      </c>
      <c r="G407" s="22" t="n">
        <f aca="false">IFERROR(VLOOKUP(A407,NOMENCLATOR!$A:$E,5,0),"")</f>
        <v>4.756</v>
      </c>
      <c r="H407" s="22" t="n">
        <f aca="false">IF(OR(C407="",G407=""),"",C407*G407)</f>
        <v>4.756</v>
      </c>
    </row>
    <row r="408" customFormat="false" ht="15" hidden="false" customHeight="true" outlineLevel="0" collapsed="false">
      <c r="A408" s="17" t="s">
        <v>300</v>
      </c>
      <c r="B408" s="18" t="str">
        <f aca="false">IFERROR(VLOOKUP(A408,NOMENCLATOR!$A:$E,2,0),"")</f>
        <v>Ulei de alune</v>
      </c>
      <c r="C408" s="19" t="n">
        <v>20</v>
      </c>
      <c r="D408" s="20" t="str">
        <f aca="false">IFERROR(VLOOKUP(A408,NOMENCLATOR!$A:$E,3,0),"")</f>
        <v>ML</v>
      </c>
      <c r="E408" s="21" t="n">
        <f aca="false">IFERROR(VLOOKUP(A408,NOMENCLATOR!$A:$E,4,0),"")</f>
        <v>0.0169</v>
      </c>
      <c r="F408" s="21" t="n">
        <f aca="false">IF(OR(C408="",E408=""),"",C408*E408)</f>
        <v>0.338</v>
      </c>
      <c r="G408" s="22" t="n">
        <f aca="false">IFERROR(VLOOKUP(A408,NOMENCLATOR!$A:$E,5,0),"")</f>
        <v>0.0169</v>
      </c>
      <c r="H408" s="22" t="n">
        <f aca="false">IF(OR(C408="",G408=""),"",C408*G408)</f>
        <v>0.338</v>
      </c>
    </row>
    <row r="409" customFormat="false" ht="15" hidden="false" customHeight="true" outlineLevel="0" collapsed="false">
      <c r="A409" s="17" t="s">
        <v>238</v>
      </c>
      <c r="B409" s="18" t="str">
        <f aca="false">IFERROR(VLOOKUP(A409,NOMENCLATOR!$A:$E,2,0),"")</f>
        <v>Prep Salata Coleslaw</v>
      </c>
      <c r="C409" s="19" t="n">
        <v>50</v>
      </c>
      <c r="D409" s="20" t="str">
        <f aca="false">IFERROR(VLOOKUP(A409,NOMENCLATOR!$A:$E,3,0),"")</f>
        <v>GM</v>
      </c>
      <c r="E409" s="21" t="n">
        <f aca="false">IFERROR(VLOOKUP(A409,NOMENCLATOR!$A:$E,4,0),"")</f>
        <v>0.01894</v>
      </c>
      <c r="F409" s="21" t="n">
        <f aca="false">IF(OR(C409="",E409=""),"",C409*E409)</f>
        <v>0.947</v>
      </c>
      <c r="G409" s="22" t="n">
        <f aca="false">IFERROR(VLOOKUP(A409,NOMENCLATOR!$A:$E,5,0),"")</f>
        <v>0.01894</v>
      </c>
      <c r="H409" s="22" t="n">
        <f aca="false">IF(OR(C409="",G409=""),"",C409*G409)</f>
        <v>0.947</v>
      </c>
    </row>
    <row r="410" customFormat="false" ht="15" hidden="false" customHeight="true" outlineLevel="0" collapsed="false">
      <c r="A410" s="17" t="s">
        <v>284</v>
      </c>
      <c r="B410" s="18" t="str">
        <f aca="false">IFERROR(VLOOKUP(A410,NOMENCLATOR!$A:$E,2,0),"")</f>
        <v>Sos FryRanch</v>
      </c>
      <c r="C410" s="19" t="n">
        <v>30</v>
      </c>
      <c r="D410" s="20" t="str">
        <f aca="false">IFERROR(VLOOKUP(A410,NOMENCLATOR!$A:$E,3,0),"")</f>
        <v>GM</v>
      </c>
      <c r="E410" s="21" t="n">
        <f aca="false">IFERROR(VLOOKUP(A410,NOMENCLATOR!$A:$E,4,0),"")</f>
        <v>0.02613</v>
      </c>
      <c r="F410" s="21" t="n">
        <f aca="false">IF(OR(C410="",E410=""),"",C410*E410)</f>
        <v>0.7839</v>
      </c>
      <c r="G410" s="22" t="n">
        <f aca="false">IFERROR(VLOOKUP(A410,NOMENCLATOR!$A:$E,5,0),"")</f>
        <v>0.02613</v>
      </c>
      <c r="H410" s="22" t="n">
        <f aca="false">IF(OR(C410="",G410=""),"",C410*G410)</f>
        <v>0.7839</v>
      </c>
    </row>
    <row r="411" customFormat="false" ht="15" hidden="false" customHeight="true" outlineLevel="0" collapsed="false">
      <c r="A411" s="17" t="s">
        <v>310</v>
      </c>
      <c r="B411" s="18" t="str">
        <f aca="false">IFERROR(VLOOKUP(A411,NOMENCLATOR!$A:$E,2,0),"")</f>
        <v>Y-Castraveti felii in saramura</v>
      </c>
      <c r="C411" s="19" t="n">
        <v>11.2</v>
      </c>
      <c r="D411" s="20" t="str">
        <f aca="false">IFERROR(VLOOKUP(A411,NOMENCLATOR!$A:$E,3,0),"")</f>
        <v>GM</v>
      </c>
      <c r="E411" s="21" t="n">
        <f aca="false">IFERROR(VLOOKUP(A411,NOMENCLATOR!$A:$E,4,0),"")</f>
        <v>0.01554</v>
      </c>
      <c r="F411" s="21" t="n">
        <f aca="false">IF(OR(C411="",E411=""),"",C411*E411)</f>
        <v>0.174048</v>
      </c>
      <c r="G411" s="22" t="n">
        <f aca="false">IFERROR(VLOOKUP(A411,NOMENCLATOR!$A:$E,5,0),"")</f>
        <v>0.01554</v>
      </c>
      <c r="H411" s="22" t="n">
        <f aca="false">IF(OR(C411="",G411=""),"",C411*G411)</f>
        <v>0.174048</v>
      </c>
    </row>
    <row r="412" customFormat="false" ht="15" hidden="false" customHeight="true" outlineLevel="0" collapsed="false">
      <c r="A412" s="17" t="s">
        <v>116</v>
      </c>
      <c r="B412" s="18" t="str">
        <f aca="false">IFERROR(VLOOKUP(A412,NOMENCLATOR!$A:$E,2,0),"")</f>
        <v>CUTIE MICA HOMESTYLE BRG.2024</v>
      </c>
      <c r="C412" s="19" t="n">
        <v>1</v>
      </c>
      <c r="D412" s="20" t="str">
        <f aca="false">IFERROR(VLOOKUP(A412,NOMENCLATOR!$A:$E,3,0),"")</f>
        <v>EA</v>
      </c>
      <c r="E412" s="21" t="n">
        <f aca="false">IFERROR(VLOOKUP(A412,NOMENCLATOR!$A:$E,4,0),"")</f>
        <v>0.693</v>
      </c>
      <c r="F412" s="21" t="n">
        <f aca="false">IF(OR(C412="",E412=""),"",C412*E412)</f>
        <v>0.693</v>
      </c>
      <c r="G412" s="22" t="n">
        <f aca="false">IFERROR(VLOOKUP(A412,NOMENCLATOR!$A:$E,5,0),"")</f>
        <v>0.693</v>
      </c>
      <c r="H412" s="22" t="n">
        <f aca="false">IF(OR(C412="",G412=""),"",C412*G412)</f>
        <v>0.693</v>
      </c>
    </row>
    <row r="413" customFormat="false" ht="15" hidden="false" customHeight="true" outlineLevel="0" collapsed="false">
      <c r="A413" s="17" t="s">
        <v>244</v>
      </c>
      <c r="B413" s="18" t="str">
        <f aca="false">IFERROR(VLOOKUP(A413,NOMENCLATOR!$A:$E,2,0),"")</f>
        <v>PUNGA 11x5x12.5 BURGER MIC</v>
      </c>
      <c r="C413" s="19" t="n">
        <v>1</v>
      </c>
      <c r="D413" s="20" t="str">
        <f aca="false">IFERROR(VLOOKUP(A413,NOMENCLATOR!$A:$E,3,0),"")</f>
        <v>EA</v>
      </c>
      <c r="E413" s="21" t="n">
        <f aca="false">IFERROR(VLOOKUP(A413,NOMENCLATOR!$A:$E,4,0),"")</f>
        <v>0.105</v>
      </c>
      <c r="F413" s="21" t="n">
        <f aca="false">IF(OR(C413="",E413=""),"",C413*E413)</f>
        <v>0.105</v>
      </c>
      <c r="G413" s="22" t="n">
        <f aca="false">IFERROR(VLOOKUP(A413,NOMENCLATOR!$A:$E,5,0),"")</f>
        <v>0.105</v>
      </c>
      <c r="H413" s="22" t="n">
        <f aca="false">IF(OR(C413="",G413=""),"",C413*G413)</f>
        <v>0.105</v>
      </c>
    </row>
    <row r="414" customFormat="false" ht="15" hidden="false" customHeight="true" outlineLevel="0" collapsed="false">
      <c r="A414" s="23" t="str">
        <f aca="false">IF(A404="","",A404)</f>
        <v>HOMESTYLE CHICKEN RANCH new D</v>
      </c>
      <c r="B414" s="24"/>
      <c r="C414" s="24"/>
      <c r="D414" s="24"/>
      <c r="E414" s="24"/>
      <c r="F414" s="25" t="n">
        <f aca="false">IF(A404="","",SUM(F406:F413))</f>
        <v>10.196948</v>
      </c>
      <c r="G414" s="24"/>
      <c r="H414" s="26" t="n">
        <f aca="false">IF(A404="","",SUM(H406:H413))</f>
        <v>10.196948</v>
      </c>
    </row>
    <row r="416" customFormat="false" ht="15" hidden="false" customHeight="true" outlineLevel="0" collapsed="false">
      <c r="A416" s="12" t="s">
        <v>361</v>
      </c>
      <c r="B416" s="13"/>
      <c r="C416" s="13"/>
      <c r="D416" s="13"/>
      <c r="E416" s="13"/>
      <c r="F416" s="14" t="s">
        <v>351</v>
      </c>
      <c r="G416" s="13"/>
      <c r="H416" s="15"/>
    </row>
    <row r="417" customFormat="false" ht="15" hidden="false" customHeight="true" outlineLevel="0" collapsed="false">
      <c r="A417" s="16" t="s">
        <v>316</v>
      </c>
      <c r="B417" s="16" t="s">
        <v>317</v>
      </c>
      <c r="C417" s="16" t="s">
        <v>318</v>
      </c>
      <c r="D417" s="16" t="s">
        <v>4</v>
      </c>
      <c r="E417" s="16" t="s">
        <v>319</v>
      </c>
      <c r="F417" s="16" t="s">
        <v>320</v>
      </c>
      <c r="G417" s="16" t="s">
        <v>321</v>
      </c>
      <c r="H417" s="16" t="s">
        <v>322</v>
      </c>
    </row>
    <row r="418" customFormat="false" ht="15" hidden="false" customHeight="true" outlineLevel="0" collapsed="false">
      <c r="A418" s="17" t="s">
        <v>98</v>
      </c>
      <c r="B418" s="18" t="str">
        <f aca="false">IFERROR(VLOOKUP(A418,NOMENCLATOR!$A:$E,2,0),"")</f>
        <v>CHIFLA CARTOF 3.5inch 53G x 72</v>
      </c>
      <c r="C418" s="19" t="n">
        <v>1</v>
      </c>
      <c r="D418" s="20" t="str">
        <f aca="false">IFERROR(VLOOKUP(A418,NOMENCLATOR!$A:$E,3,0),"")</f>
        <v>EA</v>
      </c>
      <c r="E418" s="21" t="n">
        <f aca="false">IFERROR(VLOOKUP(A418,NOMENCLATOR!$A:$E,4,0),"")</f>
        <v>2.4</v>
      </c>
      <c r="F418" s="21" t="n">
        <f aca="false">IF(OR(C418="",E418=""),"",C418*E418)</f>
        <v>2.4</v>
      </c>
      <c r="G418" s="22" t="n">
        <f aca="false">IFERROR(VLOOKUP(A418,NOMENCLATOR!$A:$E,5,0),"")</f>
        <v>2.4</v>
      </c>
      <c r="H418" s="22" t="n">
        <f aca="false">IF(OR(C418="",G418=""),"",C418*G418)</f>
        <v>2.4</v>
      </c>
    </row>
    <row r="419" customFormat="false" ht="15" hidden="false" customHeight="true" outlineLevel="0" collapsed="false">
      <c r="A419" s="17" t="s">
        <v>208</v>
      </c>
      <c r="B419" s="18" t="str">
        <f aca="false">IFERROR(VLOOKUP(A419,NOMENCLATOR!$A:$E,2,0),"")</f>
        <v>Patties pui 50gr Transavia</v>
      </c>
      <c r="C419" s="19" t="n">
        <v>1</v>
      </c>
      <c r="D419" s="20" t="str">
        <f aca="false">IFERROR(VLOOKUP(A419,NOMENCLATOR!$A:$E,3,0),"")</f>
        <v>EA</v>
      </c>
      <c r="E419" s="21" t="n">
        <f aca="false">IFERROR(VLOOKUP(A419,NOMENCLATOR!$A:$E,4,0),"")</f>
        <v>1.171</v>
      </c>
      <c r="F419" s="21" t="n">
        <f aca="false">IF(OR(C419="",E419=""),"",C419*E419)</f>
        <v>1.171</v>
      </c>
      <c r="G419" s="22" t="n">
        <f aca="false">IFERROR(VLOOKUP(A419,NOMENCLATOR!$A:$E,5,0),"")</f>
        <v>1.171</v>
      </c>
      <c r="H419" s="22" t="n">
        <f aca="false">IF(OR(C419="",G419=""),"",C419*G419)</f>
        <v>1.171</v>
      </c>
    </row>
    <row r="420" customFormat="false" ht="15" hidden="false" customHeight="true" outlineLevel="0" collapsed="false">
      <c r="A420" s="17" t="s">
        <v>300</v>
      </c>
      <c r="B420" s="18" t="str">
        <f aca="false">IFERROR(VLOOKUP(A420,NOMENCLATOR!$A:$E,2,0),"")</f>
        <v>Ulei de alune</v>
      </c>
      <c r="C420" s="19" t="n">
        <v>20</v>
      </c>
      <c r="D420" s="20" t="str">
        <f aca="false">IFERROR(VLOOKUP(A420,NOMENCLATOR!$A:$E,3,0),"")</f>
        <v>ML</v>
      </c>
      <c r="E420" s="21" t="n">
        <f aca="false">IFERROR(VLOOKUP(A420,NOMENCLATOR!$A:$E,4,0),"")</f>
        <v>0.0169</v>
      </c>
      <c r="F420" s="21" t="n">
        <f aca="false">IF(OR(C420="",E420=""),"",C420*E420)</f>
        <v>0.338</v>
      </c>
      <c r="G420" s="22" t="n">
        <f aca="false">IFERROR(VLOOKUP(A420,NOMENCLATOR!$A:$E,5,0),"")</f>
        <v>0.0169</v>
      </c>
      <c r="H420" s="22" t="n">
        <f aca="false">IF(OR(C420="",G420=""),"",C420*G420)</f>
        <v>0.338</v>
      </c>
    </row>
    <row r="421" customFormat="false" ht="15" hidden="false" customHeight="true" outlineLevel="0" collapsed="false">
      <c r="A421" s="17" t="s">
        <v>298</v>
      </c>
      <c r="B421" s="18" t="str">
        <f aca="false">IFERROR(VLOOKUP(A421,NOMENCLATOR!$A:$E,2,0),"")</f>
        <v>Truffle Mayonaise 10L</v>
      </c>
      <c r="C421" s="19" t="n">
        <v>20</v>
      </c>
      <c r="D421" s="20" t="str">
        <f aca="false">IFERROR(VLOOKUP(A421,NOMENCLATOR!$A:$E,3,0),"")</f>
        <v>ML</v>
      </c>
      <c r="E421" s="21" t="n">
        <f aca="false">IFERROR(VLOOKUP(A421,NOMENCLATOR!$A:$E,4,0),"")</f>
        <v>0.03506</v>
      </c>
      <c r="F421" s="21" t="n">
        <f aca="false">IF(OR(C421="",E421=""),"",C421*E421)</f>
        <v>0.7012</v>
      </c>
      <c r="G421" s="22" t="n">
        <f aca="false">IFERROR(VLOOKUP(A421,NOMENCLATOR!$A:$E,5,0),"")</f>
        <v>0.03506</v>
      </c>
      <c r="H421" s="22" t="n">
        <f aca="false">IF(OR(C421="",G421=""),"",C421*G421)</f>
        <v>0.7012</v>
      </c>
    </row>
    <row r="422" customFormat="false" ht="15" hidden="false" customHeight="true" outlineLevel="0" collapsed="false">
      <c r="A422" s="17" t="s">
        <v>94</v>
      </c>
      <c r="B422" s="18" t="str">
        <f aca="false">IFERROR(VLOOKUP(A422,NOMENCLATOR!$A:$E,2,0),"")</f>
        <v>Ceapa prajita</v>
      </c>
      <c r="C422" s="19" t="n">
        <v>7.5</v>
      </c>
      <c r="D422" s="20" t="str">
        <f aca="false">IFERROR(VLOOKUP(A422,NOMENCLATOR!$A:$E,3,0),"")</f>
        <v>GM</v>
      </c>
      <c r="E422" s="21" t="n">
        <f aca="false">IFERROR(VLOOKUP(A422,NOMENCLATOR!$A:$E,4,0),"")</f>
        <v>0.0266</v>
      </c>
      <c r="F422" s="21" t="n">
        <f aca="false">IF(OR(C422="",E422=""),"",C422*E422)</f>
        <v>0.1995</v>
      </c>
      <c r="G422" s="22" t="n">
        <f aca="false">IFERROR(VLOOKUP(A422,NOMENCLATOR!$A:$E,5,0),"")</f>
        <v>0.0266</v>
      </c>
      <c r="H422" s="22" t="n">
        <f aca="false">IF(OR(C422="",G422=""),"",C422*G422)</f>
        <v>0.1995</v>
      </c>
    </row>
    <row r="423" customFormat="false" ht="15" hidden="false" customHeight="true" outlineLevel="0" collapsed="false">
      <c r="A423" s="17" t="s">
        <v>68</v>
      </c>
      <c r="B423" s="18" t="str">
        <f aca="false">IFERROR(VLOOKUP(A423,NOMENCLATOR!$A:$E,2,0),"")</f>
        <v>Branza cheddar felii 2026</v>
      </c>
      <c r="C423" s="19" t="n">
        <v>1</v>
      </c>
      <c r="D423" s="20" t="str">
        <f aca="false">IFERROR(VLOOKUP(A423,NOMENCLATOR!$A:$E,3,0),"")</f>
        <v>EA</v>
      </c>
      <c r="E423" s="21" t="n">
        <f aca="false">IFERROR(VLOOKUP(A423,NOMENCLATOR!$A:$E,4,0),"")</f>
        <v>0.61567</v>
      </c>
      <c r="F423" s="21" t="n">
        <f aca="false">IF(OR(C423="",E423=""),"",C423*E423)</f>
        <v>0.61567</v>
      </c>
      <c r="G423" s="22" t="n">
        <f aca="false">IFERROR(VLOOKUP(A423,NOMENCLATOR!$A:$E,5,0),"")</f>
        <v>0.61567</v>
      </c>
      <c r="H423" s="22" t="n">
        <f aca="false">IF(OR(C423="",G423=""),"",C423*G423)</f>
        <v>0.61567</v>
      </c>
    </row>
    <row r="424" customFormat="false" ht="15" hidden="false" customHeight="true" outlineLevel="0" collapsed="false">
      <c r="A424" s="17" t="s">
        <v>310</v>
      </c>
      <c r="B424" s="18" t="str">
        <f aca="false">IFERROR(VLOOKUP(A424,NOMENCLATOR!$A:$E,2,0),"")</f>
        <v>Y-Castraveti felii in saramura</v>
      </c>
      <c r="C424" s="19" t="n">
        <v>5.6</v>
      </c>
      <c r="D424" s="20" t="str">
        <f aca="false">IFERROR(VLOOKUP(A424,NOMENCLATOR!$A:$E,3,0),"")</f>
        <v>GM</v>
      </c>
      <c r="E424" s="21" t="n">
        <f aca="false">IFERROR(VLOOKUP(A424,NOMENCLATOR!$A:$E,4,0),"")</f>
        <v>0.01554</v>
      </c>
      <c r="F424" s="21" t="n">
        <f aca="false">IF(OR(C424="",E424=""),"",C424*E424)</f>
        <v>0.087024</v>
      </c>
      <c r="G424" s="22" t="n">
        <f aca="false">IFERROR(VLOOKUP(A424,NOMENCLATOR!$A:$E,5,0),"")</f>
        <v>0.01554</v>
      </c>
      <c r="H424" s="22" t="n">
        <f aca="false">IF(OR(C424="",G424=""),"",C424*G424)</f>
        <v>0.087024</v>
      </c>
    </row>
    <row r="425" customFormat="false" ht="15" hidden="false" customHeight="true" outlineLevel="0" collapsed="false">
      <c r="A425" s="17" t="s">
        <v>136</v>
      </c>
      <c r="B425" s="18" t="str">
        <f aca="false">IFERROR(VLOOKUP(A425,NOMENCLATOR!$A:$E,2,0),"")</f>
        <v>Hartie Kraft Pui</v>
      </c>
      <c r="C425" s="19" t="n">
        <v>1</v>
      </c>
      <c r="D425" s="20" t="str">
        <f aca="false">IFERROR(VLOOKUP(A425,NOMENCLATOR!$A:$E,3,0),"")</f>
        <v>EA</v>
      </c>
      <c r="E425" s="21" t="n">
        <f aca="false">IFERROR(VLOOKUP(A425,NOMENCLATOR!$A:$E,4,0),"")</f>
        <v>0.103</v>
      </c>
      <c r="F425" s="21" t="n">
        <f aca="false">IF(OR(C425="",E425=""),"",C425*E425)</f>
        <v>0.103</v>
      </c>
      <c r="G425" s="22" t="n">
        <f aca="false">IFERROR(VLOOKUP(A425,NOMENCLATOR!$A:$E,5,0),"")</f>
        <v>0.103</v>
      </c>
      <c r="H425" s="22" t="n">
        <f aca="false">IF(OR(C425="",G425=""),"",C425*G425)</f>
        <v>0.103</v>
      </c>
    </row>
    <row r="426" customFormat="false" ht="15" hidden="false" customHeight="true" outlineLevel="0" collapsed="false">
      <c r="A426" s="23" t="str">
        <f aca="false">IF(A416="","",A416)</f>
        <v>CHICKEN TRUFFLE new</v>
      </c>
      <c r="B426" s="24"/>
      <c r="C426" s="24"/>
      <c r="D426" s="24"/>
      <c r="E426" s="24"/>
      <c r="F426" s="25" t="n">
        <f aca="false">IF(A416="","",SUM(F418:F425))</f>
        <v>5.615394</v>
      </c>
      <c r="G426" s="24"/>
      <c r="H426" s="26" t="n">
        <f aca="false">IF(A416="","",SUM(H418:H425))</f>
        <v>5.615394</v>
      </c>
    </row>
    <row r="428" customFormat="false" ht="15" hidden="false" customHeight="true" outlineLevel="0" collapsed="false">
      <c r="A428" s="12" t="s">
        <v>362</v>
      </c>
      <c r="B428" s="13"/>
      <c r="C428" s="13"/>
      <c r="D428" s="13"/>
      <c r="E428" s="13"/>
      <c r="F428" s="14" t="s">
        <v>351</v>
      </c>
      <c r="G428" s="13"/>
      <c r="H428" s="15"/>
    </row>
    <row r="429" customFormat="false" ht="15" hidden="false" customHeight="true" outlineLevel="0" collapsed="false">
      <c r="A429" s="16" t="s">
        <v>316</v>
      </c>
      <c r="B429" s="16" t="s">
        <v>317</v>
      </c>
      <c r="C429" s="16" t="s">
        <v>318</v>
      </c>
      <c r="D429" s="16" t="s">
        <v>4</v>
      </c>
      <c r="E429" s="16" t="s">
        <v>319</v>
      </c>
      <c r="F429" s="16" t="s">
        <v>320</v>
      </c>
      <c r="G429" s="16" t="s">
        <v>321</v>
      </c>
      <c r="H429" s="16" t="s">
        <v>322</v>
      </c>
    </row>
    <row r="430" customFormat="false" ht="15" hidden="false" customHeight="true" outlineLevel="0" collapsed="false">
      <c r="A430" s="17" t="s">
        <v>98</v>
      </c>
      <c r="B430" s="18" t="str">
        <f aca="false">IFERROR(VLOOKUP(A430,NOMENCLATOR!$A:$E,2,0),"")</f>
        <v>CHIFLA CARTOF 3.5inch 53G x 72</v>
      </c>
      <c r="C430" s="19" t="n">
        <v>1</v>
      </c>
      <c r="D430" s="20" t="str">
        <f aca="false">IFERROR(VLOOKUP(A430,NOMENCLATOR!$A:$E,3,0),"")</f>
        <v>EA</v>
      </c>
      <c r="E430" s="21" t="n">
        <f aca="false">IFERROR(VLOOKUP(A430,NOMENCLATOR!$A:$E,4,0),"")</f>
        <v>2.4</v>
      </c>
      <c r="F430" s="21" t="n">
        <f aca="false">IF(OR(C430="",E430=""),"",C430*E430)</f>
        <v>2.4</v>
      </c>
      <c r="G430" s="22" t="n">
        <f aca="false">IFERROR(VLOOKUP(A430,NOMENCLATOR!$A:$E,5,0),"")</f>
        <v>2.4</v>
      </c>
      <c r="H430" s="22" t="n">
        <f aca="false">IF(OR(C430="",G430=""),"",C430*G430)</f>
        <v>2.4</v>
      </c>
    </row>
    <row r="431" customFormat="false" ht="15" hidden="false" customHeight="true" outlineLevel="0" collapsed="false">
      <c r="A431" s="17" t="s">
        <v>208</v>
      </c>
      <c r="B431" s="18" t="str">
        <f aca="false">IFERROR(VLOOKUP(A431,NOMENCLATOR!$A:$E,2,0),"")</f>
        <v>Patties pui 50gr Transavia</v>
      </c>
      <c r="C431" s="19" t="n">
        <v>1</v>
      </c>
      <c r="D431" s="20" t="str">
        <f aca="false">IFERROR(VLOOKUP(A431,NOMENCLATOR!$A:$E,3,0),"")</f>
        <v>EA</v>
      </c>
      <c r="E431" s="21" t="n">
        <f aca="false">IFERROR(VLOOKUP(A431,NOMENCLATOR!$A:$E,4,0),"")</f>
        <v>1.171</v>
      </c>
      <c r="F431" s="21" t="n">
        <f aca="false">IF(OR(C431="",E431=""),"",C431*E431)</f>
        <v>1.171</v>
      </c>
      <c r="G431" s="22" t="n">
        <f aca="false">IFERROR(VLOOKUP(A431,NOMENCLATOR!$A:$E,5,0),"")</f>
        <v>1.171</v>
      </c>
      <c r="H431" s="22" t="n">
        <f aca="false">IF(OR(C431="",G431=""),"",C431*G431)</f>
        <v>1.171</v>
      </c>
    </row>
    <row r="432" customFormat="false" ht="15" hidden="false" customHeight="true" outlineLevel="0" collapsed="false">
      <c r="A432" s="17" t="s">
        <v>300</v>
      </c>
      <c r="B432" s="18" t="str">
        <f aca="false">IFERROR(VLOOKUP(A432,NOMENCLATOR!$A:$E,2,0),"")</f>
        <v>Ulei de alune</v>
      </c>
      <c r="C432" s="19" t="n">
        <v>20</v>
      </c>
      <c r="D432" s="20" t="str">
        <f aca="false">IFERROR(VLOOKUP(A432,NOMENCLATOR!$A:$E,3,0),"")</f>
        <v>ML</v>
      </c>
      <c r="E432" s="21" t="n">
        <f aca="false">IFERROR(VLOOKUP(A432,NOMENCLATOR!$A:$E,4,0),"")</f>
        <v>0.0169</v>
      </c>
      <c r="F432" s="21" t="n">
        <f aca="false">IF(OR(C432="",E432=""),"",C432*E432)</f>
        <v>0.338</v>
      </c>
      <c r="G432" s="22" t="n">
        <f aca="false">IFERROR(VLOOKUP(A432,NOMENCLATOR!$A:$E,5,0),"")</f>
        <v>0.0169</v>
      </c>
      <c r="H432" s="22" t="n">
        <f aca="false">IF(OR(C432="",G432=""),"",C432*G432)</f>
        <v>0.338</v>
      </c>
    </row>
    <row r="433" customFormat="false" ht="15" hidden="false" customHeight="true" outlineLevel="0" collapsed="false">
      <c r="A433" s="17" t="s">
        <v>298</v>
      </c>
      <c r="B433" s="18" t="str">
        <f aca="false">IFERROR(VLOOKUP(A433,NOMENCLATOR!$A:$E,2,0),"")</f>
        <v>Truffle Mayonaise 10L</v>
      </c>
      <c r="C433" s="19" t="n">
        <v>20</v>
      </c>
      <c r="D433" s="20" t="str">
        <f aca="false">IFERROR(VLOOKUP(A433,NOMENCLATOR!$A:$E,3,0),"")</f>
        <v>ML</v>
      </c>
      <c r="E433" s="21" t="n">
        <f aca="false">IFERROR(VLOOKUP(A433,NOMENCLATOR!$A:$E,4,0),"")</f>
        <v>0.03506</v>
      </c>
      <c r="F433" s="21" t="n">
        <f aca="false">IF(OR(C433="",E433=""),"",C433*E433)</f>
        <v>0.7012</v>
      </c>
      <c r="G433" s="22" t="n">
        <f aca="false">IFERROR(VLOOKUP(A433,NOMENCLATOR!$A:$E,5,0),"")</f>
        <v>0.03506</v>
      </c>
      <c r="H433" s="22" t="n">
        <f aca="false">IF(OR(C433="",G433=""),"",C433*G433)</f>
        <v>0.7012</v>
      </c>
    </row>
    <row r="434" customFormat="false" ht="15" hidden="false" customHeight="true" outlineLevel="0" collapsed="false">
      <c r="A434" s="17" t="s">
        <v>94</v>
      </c>
      <c r="B434" s="18" t="str">
        <f aca="false">IFERROR(VLOOKUP(A434,NOMENCLATOR!$A:$E,2,0),"")</f>
        <v>Ceapa prajita</v>
      </c>
      <c r="C434" s="19" t="n">
        <v>7.5</v>
      </c>
      <c r="D434" s="20" t="str">
        <f aca="false">IFERROR(VLOOKUP(A434,NOMENCLATOR!$A:$E,3,0),"")</f>
        <v>GM</v>
      </c>
      <c r="E434" s="21" t="n">
        <f aca="false">IFERROR(VLOOKUP(A434,NOMENCLATOR!$A:$E,4,0),"")</f>
        <v>0.0266</v>
      </c>
      <c r="F434" s="21" t="n">
        <f aca="false">IF(OR(C434="",E434=""),"",C434*E434)</f>
        <v>0.1995</v>
      </c>
      <c r="G434" s="22" t="n">
        <f aca="false">IFERROR(VLOOKUP(A434,NOMENCLATOR!$A:$E,5,0),"")</f>
        <v>0.0266</v>
      </c>
      <c r="H434" s="22" t="n">
        <f aca="false">IF(OR(C434="",G434=""),"",C434*G434)</f>
        <v>0.1995</v>
      </c>
    </row>
    <row r="435" customFormat="false" ht="15" hidden="false" customHeight="true" outlineLevel="0" collapsed="false">
      <c r="A435" s="17" t="s">
        <v>68</v>
      </c>
      <c r="B435" s="18" t="str">
        <f aca="false">IFERROR(VLOOKUP(A435,NOMENCLATOR!$A:$E,2,0),"")</f>
        <v>Branza cheddar felii 2026</v>
      </c>
      <c r="C435" s="19" t="n">
        <v>1</v>
      </c>
      <c r="D435" s="20" t="str">
        <f aca="false">IFERROR(VLOOKUP(A435,NOMENCLATOR!$A:$E,3,0),"")</f>
        <v>EA</v>
      </c>
      <c r="E435" s="21" t="n">
        <f aca="false">IFERROR(VLOOKUP(A435,NOMENCLATOR!$A:$E,4,0),"")</f>
        <v>0.61567</v>
      </c>
      <c r="F435" s="21" t="n">
        <f aca="false">IF(OR(C435="",E435=""),"",C435*E435)</f>
        <v>0.61567</v>
      </c>
      <c r="G435" s="22" t="n">
        <f aca="false">IFERROR(VLOOKUP(A435,NOMENCLATOR!$A:$E,5,0),"")</f>
        <v>0.61567</v>
      </c>
      <c r="H435" s="22" t="n">
        <f aca="false">IF(OR(C435="",G435=""),"",C435*G435)</f>
        <v>0.61567</v>
      </c>
    </row>
    <row r="436" customFormat="false" ht="15" hidden="false" customHeight="true" outlineLevel="0" collapsed="false">
      <c r="A436" s="17" t="s">
        <v>310</v>
      </c>
      <c r="B436" s="18" t="str">
        <f aca="false">IFERROR(VLOOKUP(A436,NOMENCLATOR!$A:$E,2,0),"")</f>
        <v>Y-Castraveti felii in saramura</v>
      </c>
      <c r="C436" s="19" t="n">
        <v>5.6</v>
      </c>
      <c r="D436" s="20" t="str">
        <f aca="false">IFERROR(VLOOKUP(A436,NOMENCLATOR!$A:$E,3,0),"")</f>
        <v>GM</v>
      </c>
      <c r="E436" s="21" t="n">
        <f aca="false">IFERROR(VLOOKUP(A436,NOMENCLATOR!$A:$E,4,0),"")</f>
        <v>0.01554</v>
      </c>
      <c r="F436" s="21" t="n">
        <f aca="false">IF(OR(C436="",E436=""),"",C436*E436)</f>
        <v>0.087024</v>
      </c>
      <c r="G436" s="22" t="n">
        <f aca="false">IFERROR(VLOOKUP(A436,NOMENCLATOR!$A:$E,5,0),"")</f>
        <v>0.01554</v>
      </c>
      <c r="H436" s="22" t="n">
        <f aca="false">IF(OR(C436="",G436=""),"",C436*G436)</f>
        <v>0.087024</v>
      </c>
    </row>
    <row r="437" customFormat="false" ht="15" hidden="false" customHeight="true" outlineLevel="0" collapsed="false">
      <c r="A437" s="17" t="s">
        <v>136</v>
      </c>
      <c r="B437" s="18" t="str">
        <f aca="false">IFERROR(VLOOKUP(A437,NOMENCLATOR!$A:$E,2,0),"")</f>
        <v>Hartie Kraft Pui</v>
      </c>
      <c r="C437" s="19" t="n">
        <v>1</v>
      </c>
      <c r="D437" s="20" t="str">
        <f aca="false">IFERROR(VLOOKUP(A437,NOMENCLATOR!$A:$E,3,0),"")</f>
        <v>EA</v>
      </c>
      <c r="E437" s="21" t="n">
        <f aca="false">IFERROR(VLOOKUP(A437,NOMENCLATOR!$A:$E,4,0),"")</f>
        <v>0.103</v>
      </c>
      <c r="F437" s="21" t="n">
        <f aca="false">IF(OR(C437="",E437=""),"",C437*E437)</f>
        <v>0.103</v>
      </c>
      <c r="G437" s="22" t="n">
        <f aca="false">IFERROR(VLOOKUP(A437,NOMENCLATOR!$A:$E,5,0),"")</f>
        <v>0.103</v>
      </c>
      <c r="H437" s="22" t="n">
        <f aca="false">IF(OR(C437="",G437=""),"",C437*G437)</f>
        <v>0.103</v>
      </c>
    </row>
    <row r="438" customFormat="false" ht="15" hidden="false" customHeight="true" outlineLevel="0" collapsed="false">
      <c r="A438" s="23" t="str">
        <f aca="false">IF(A428="","",A428)</f>
        <v>CHICKEN TRUFFLE new D</v>
      </c>
      <c r="B438" s="24"/>
      <c r="C438" s="24"/>
      <c r="D438" s="24"/>
      <c r="E438" s="24"/>
      <c r="F438" s="25" t="n">
        <f aca="false">IF(A428="","",SUM(F430:F437))</f>
        <v>5.615394</v>
      </c>
      <c r="G438" s="24"/>
      <c r="H438" s="26" t="n">
        <f aca="false">IF(A428="","",SUM(H430:H437))</f>
        <v>5.615394</v>
      </c>
    </row>
    <row r="440" customFormat="false" ht="15" hidden="false" customHeight="true" outlineLevel="0" collapsed="false">
      <c r="A440" s="12" t="s">
        <v>363</v>
      </c>
      <c r="B440" s="13"/>
      <c r="C440" s="13"/>
      <c r="D440" s="13"/>
      <c r="E440" s="13"/>
      <c r="F440" s="14" t="s">
        <v>351</v>
      </c>
      <c r="G440" s="13"/>
      <c r="H440" s="15"/>
    </row>
    <row r="441" customFormat="false" ht="15" hidden="false" customHeight="true" outlineLevel="0" collapsed="false">
      <c r="A441" s="16" t="s">
        <v>316</v>
      </c>
      <c r="B441" s="16" t="s">
        <v>317</v>
      </c>
      <c r="C441" s="16" t="s">
        <v>318</v>
      </c>
      <c r="D441" s="16" t="s">
        <v>4</v>
      </c>
      <c r="E441" s="16" t="s">
        <v>319</v>
      </c>
      <c r="F441" s="16" t="s">
        <v>320</v>
      </c>
      <c r="G441" s="16" t="s">
        <v>321</v>
      </c>
      <c r="H441" s="16" t="s">
        <v>322</v>
      </c>
    </row>
    <row r="442" customFormat="false" ht="15" hidden="false" customHeight="true" outlineLevel="0" collapsed="false">
      <c r="A442" s="17" t="s">
        <v>98</v>
      </c>
      <c r="B442" s="18" t="str">
        <f aca="false">IFERROR(VLOOKUP(A442,NOMENCLATOR!$A:$E,2,0),"")</f>
        <v>CHIFLA CARTOF 3.5inch 53G x 72</v>
      </c>
      <c r="C442" s="19" t="n">
        <v>1</v>
      </c>
      <c r="D442" s="20" t="str">
        <f aca="false">IFERROR(VLOOKUP(A442,NOMENCLATOR!$A:$E,3,0),"")</f>
        <v>EA</v>
      </c>
      <c r="E442" s="21" t="n">
        <f aca="false">IFERROR(VLOOKUP(A442,NOMENCLATOR!$A:$E,4,0),"")</f>
        <v>2.4</v>
      </c>
      <c r="F442" s="21" t="n">
        <f aca="false">IF(OR(C442="",E442=""),"",C442*E442)</f>
        <v>2.4</v>
      </c>
      <c r="G442" s="22" t="n">
        <f aca="false">IFERROR(VLOOKUP(A442,NOMENCLATOR!$A:$E,5,0),"")</f>
        <v>2.4</v>
      </c>
      <c r="H442" s="22" t="n">
        <f aca="false">IF(OR(C442="",G442=""),"",C442*G442)</f>
        <v>2.4</v>
      </c>
    </row>
    <row r="443" customFormat="false" ht="15" hidden="false" customHeight="true" outlineLevel="0" collapsed="false">
      <c r="A443" s="17" t="s">
        <v>208</v>
      </c>
      <c r="B443" s="18" t="str">
        <f aca="false">IFERROR(VLOOKUP(A443,NOMENCLATOR!$A:$E,2,0),"")</f>
        <v>Patties pui 50gr Transavia</v>
      </c>
      <c r="C443" s="19" t="n">
        <v>2</v>
      </c>
      <c r="D443" s="20" t="str">
        <f aca="false">IFERROR(VLOOKUP(A443,NOMENCLATOR!$A:$E,3,0),"")</f>
        <v>EA</v>
      </c>
      <c r="E443" s="21" t="n">
        <f aca="false">IFERROR(VLOOKUP(A443,NOMENCLATOR!$A:$E,4,0),"")</f>
        <v>1.171</v>
      </c>
      <c r="F443" s="21" t="n">
        <f aca="false">IF(OR(C443="",E443=""),"",C443*E443)</f>
        <v>2.342</v>
      </c>
      <c r="G443" s="22" t="n">
        <f aca="false">IFERROR(VLOOKUP(A443,NOMENCLATOR!$A:$E,5,0),"")</f>
        <v>1.171</v>
      </c>
      <c r="H443" s="22" t="n">
        <f aca="false">IF(OR(C443="",G443=""),"",C443*G443)</f>
        <v>2.342</v>
      </c>
    </row>
    <row r="444" customFormat="false" ht="15" hidden="false" customHeight="true" outlineLevel="0" collapsed="false">
      <c r="A444" s="17" t="s">
        <v>300</v>
      </c>
      <c r="B444" s="18" t="str">
        <f aca="false">IFERROR(VLOOKUP(A444,NOMENCLATOR!$A:$E,2,0),"")</f>
        <v>Ulei de alune</v>
      </c>
      <c r="C444" s="19" t="n">
        <v>40</v>
      </c>
      <c r="D444" s="20" t="str">
        <f aca="false">IFERROR(VLOOKUP(A444,NOMENCLATOR!$A:$E,3,0),"")</f>
        <v>ML</v>
      </c>
      <c r="E444" s="21" t="n">
        <f aca="false">IFERROR(VLOOKUP(A444,NOMENCLATOR!$A:$E,4,0),"")</f>
        <v>0.0169</v>
      </c>
      <c r="F444" s="21" t="n">
        <f aca="false">IF(OR(C444="",E444=""),"",C444*E444)</f>
        <v>0.676</v>
      </c>
      <c r="G444" s="22" t="n">
        <f aca="false">IFERROR(VLOOKUP(A444,NOMENCLATOR!$A:$E,5,0),"")</f>
        <v>0.0169</v>
      </c>
      <c r="H444" s="22" t="n">
        <f aca="false">IF(OR(C444="",G444=""),"",C444*G444)</f>
        <v>0.676</v>
      </c>
    </row>
    <row r="445" customFormat="false" ht="15" hidden="false" customHeight="true" outlineLevel="0" collapsed="false">
      <c r="A445" s="17" t="s">
        <v>298</v>
      </c>
      <c r="B445" s="18" t="str">
        <f aca="false">IFERROR(VLOOKUP(A445,NOMENCLATOR!$A:$E,2,0),"")</f>
        <v>Truffle Mayonaise 10L</v>
      </c>
      <c r="C445" s="19" t="n">
        <v>30</v>
      </c>
      <c r="D445" s="20" t="str">
        <f aca="false">IFERROR(VLOOKUP(A445,NOMENCLATOR!$A:$E,3,0),"")</f>
        <v>ML</v>
      </c>
      <c r="E445" s="21" t="n">
        <f aca="false">IFERROR(VLOOKUP(A445,NOMENCLATOR!$A:$E,4,0),"")</f>
        <v>0.03506</v>
      </c>
      <c r="F445" s="21" t="n">
        <f aca="false">IF(OR(C445="",E445=""),"",C445*E445)</f>
        <v>1.0518</v>
      </c>
      <c r="G445" s="22" t="n">
        <f aca="false">IFERROR(VLOOKUP(A445,NOMENCLATOR!$A:$E,5,0),"")</f>
        <v>0.03506</v>
      </c>
      <c r="H445" s="22" t="n">
        <f aca="false">IF(OR(C445="",G445=""),"",C445*G445)</f>
        <v>1.0518</v>
      </c>
    </row>
    <row r="446" customFormat="false" ht="15" hidden="false" customHeight="true" outlineLevel="0" collapsed="false">
      <c r="A446" s="17" t="s">
        <v>94</v>
      </c>
      <c r="B446" s="18" t="str">
        <f aca="false">IFERROR(VLOOKUP(A446,NOMENCLATOR!$A:$E,2,0),"")</f>
        <v>Ceapa prajita</v>
      </c>
      <c r="C446" s="19" t="n">
        <v>15</v>
      </c>
      <c r="D446" s="20" t="str">
        <f aca="false">IFERROR(VLOOKUP(A446,NOMENCLATOR!$A:$E,3,0),"")</f>
        <v>GM</v>
      </c>
      <c r="E446" s="21" t="n">
        <f aca="false">IFERROR(VLOOKUP(A446,NOMENCLATOR!$A:$E,4,0),"")</f>
        <v>0.0266</v>
      </c>
      <c r="F446" s="21" t="n">
        <f aca="false">IF(OR(C446="",E446=""),"",C446*E446)</f>
        <v>0.399</v>
      </c>
      <c r="G446" s="22" t="n">
        <f aca="false">IFERROR(VLOOKUP(A446,NOMENCLATOR!$A:$E,5,0),"")</f>
        <v>0.0266</v>
      </c>
      <c r="H446" s="22" t="n">
        <f aca="false">IF(OR(C446="",G446=""),"",C446*G446)</f>
        <v>0.399</v>
      </c>
    </row>
    <row r="447" customFormat="false" ht="15" hidden="false" customHeight="true" outlineLevel="0" collapsed="false">
      <c r="A447" s="17" t="s">
        <v>68</v>
      </c>
      <c r="B447" s="18" t="str">
        <f aca="false">IFERROR(VLOOKUP(A447,NOMENCLATOR!$A:$E,2,0),"")</f>
        <v>Branza cheddar felii 2026</v>
      </c>
      <c r="C447" s="19" t="n">
        <v>1</v>
      </c>
      <c r="D447" s="20" t="str">
        <f aca="false">IFERROR(VLOOKUP(A447,NOMENCLATOR!$A:$E,3,0),"")</f>
        <v>EA</v>
      </c>
      <c r="E447" s="21" t="n">
        <f aca="false">IFERROR(VLOOKUP(A447,NOMENCLATOR!$A:$E,4,0),"")</f>
        <v>0.61567</v>
      </c>
      <c r="F447" s="21" t="n">
        <f aca="false">IF(OR(C447="",E447=""),"",C447*E447)</f>
        <v>0.61567</v>
      </c>
      <c r="G447" s="22" t="n">
        <f aca="false">IFERROR(VLOOKUP(A447,NOMENCLATOR!$A:$E,5,0),"")</f>
        <v>0.61567</v>
      </c>
      <c r="H447" s="22" t="n">
        <f aca="false">IF(OR(C447="",G447=""),"",C447*G447)</f>
        <v>0.61567</v>
      </c>
    </row>
    <row r="448" customFormat="false" ht="15" hidden="false" customHeight="true" outlineLevel="0" collapsed="false">
      <c r="A448" s="17" t="s">
        <v>310</v>
      </c>
      <c r="B448" s="18" t="str">
        <f aca="false">IFERROR(VLOOKUP(A448,NOMENCLATOR!$A:$E,2,0),"")</f>
        <v>Y-Castraveti felii in saramura</v>
      </c>
      <c r="C448" s="19" t="n">
        <v>11.2</v>
      </c>
      <c r="D448" s="20" t="str">
        <f aca="false">IFERROR(VLOOKUP(A448,NOMENCLATOR!$A:$E,3,0),"")</f>
        <v>GM</v>
      </c>
      <c r="E448" s="21" t="n">
        <f aca="false">IFERROR(VLOOKUP(A448,NOMENCLATOR!$A:$E,4,0),"")</f>
        <v>0.01554</v>
      </c>
      <c r="F448" s="21" t="n">
        <f aca="false">IF(OR(C448="",E448=""),"",C448*E448)</f>
        <v>0.174048</v>
      </c>
      <c r="G448" s="22" t="n">
        <f aca="false">IFERROR(VLOOKUP(A448,NOMENCLATOR!$A:$E,5,0),"")</f>
        <v>0.01554</v>
      </c>
      <c r="H448" s="22" t="n">
        <f aca="false">IF(OR(C448="",G448=""),"",C448*G448)</f>
        <v>0.174048</v>
      </c>
    </row>
    <row r="449" customFormat="false" ht="15" hidden="false" customHeight="true" outlineLevel="0" collapsed="false">
      <c r="A449" s="17" t="s">
        <v>136</v>
      </c>
      <c r="B449" s="18" t="str">
        <f aca="false">IFERROR(VLOOKUP(A449,NOMENCLATOR!$A:$E,2,0),"")</f>
        <v>Hartie Kraft Pui</v>
      </c>
      <c r="C449" s="19" t="n">
        <v>1</v>
      </c>
      <c r="D449" s="20" t="str">
        <f aca="false">IFERROR(VLOOKUP(A449,NOMENCLATOR!$A:$E,3,0),"")</f>
        <v>EA</v>
      </c>
      <c r="E449" s="21" t="n">
        <f aca="false">IFERROR(VLOOKUP(A449,NOMENCLATOR!$A:$E,4,0),"")</f>
        <v>0.103</v>
      </c>
      <c r="F449" s="21" t="n">
        <f aca="false">IF(OR(C449="",E449=""),"",C449*E449)</f>
        <v>0.103</v>
      </c>
      <c r="G449" s="22" t="n">
        <f aca="false">IFERROR(VLOOKUP(A449,NOMENCLATOR!$A:$E,5,0),"")</f>
        <v>0.103</v>
      </c>
      <c r="H449" s="22" t="n">
        <f aca="false">IF(OR(C449="",G449=""),"",C449*G449)</f>
        <v>0.103</v>
      </c>
    </row>
    <row r="450" customFormat="false" ht="15" hidden="false" customHeight="true" outlineLevel="0" collapsed="false">
      <c r="A450" s="23" t="str">
        <f aca="false">IF(A440="","",A440)</f>
        <v>DUBLU CHICKEN TRUFFLE new</v>
      </c>
      <c r="B450" s="24"/>
      <c r="C450" s="24"/>
      <c r="D450" s="24"/>
      <c r="E450" s="24"/>
      <c r="F450" s="25" t="n">
        <f aca="false">IF(A440="","",SUM(F442:F449))</f>
        <v>7.761518</v>
      </c>
      <c r="G450" s="24"/>
      <c r="H450" s="26" t="n">
        <f aca="false">IF(A440="","",SUM(H442:H449))</f>
        <v>7.761518</v>
      </c>
    </row>
    <row r="452" customFormat="false" ht="15" hidden="false" customHeight="true" outlineLevel="0" collapsed="false">
      <c r="A452" s="12" t="s">
        <v>364</v>
      </c>
      <c r="B452" s="13"/>
      <c r="C452" s="13"/>
      <c r="D452" s="13"/>
      <c r="E452" s="13"/>
      <c r="F452" s="14" t="s">
        <v>351</v>
      </c>
      <c r="G452" s="13"/>
      <c r="H452" s="15"/>
    </row>
    <row r="453" customFormat="false" ht="15" hidden="false" customHeight="true" outlineLevel="0" collapsed="false">
      <c r="A453" s="16" t="s">
        <v>316</v>
      </c>
      <c r="B453" s="16" t="s">
        <v>317</v>
      </c>
      <c r="C453" s="16" t="s">
        <v>318</v>
      </c>
      <c r="D453" s="16" t="s">
        <v>4</v>
      </c>
      <c r="E453" s="16" t="s">
        <v>319</v>
      </c>
      <c r="F453" s="16" t="s">
        <v>320</v>
      </c>
      <c r="G453" s="16" t="s">
        <v>321</v>
      </c>
      <c r="H453" s="16" t="s">
        <v>322</v>
      </c>
    </row>
    <row r="454" customFormat="false" ht="15" hidden="false" customHeight="true" outlineLevel="0" collapsed="false">
      <c r="A454" s="17" t="s">
        <v>98</v>
      </c>
      <c r="B454" s="18" t="str">
        <f aca="false">IFERROR(VLOOKUP(A454,NOMENCLATOR!$A:$E,2,0),"")</f>
        <v>CHIFLA CARTOF 3.5inch 53G x 72</v>
      </c>
      <c r="C454" s="19" t="n">
        <v>1</v>
      </c>
      <c r="D454" s="20" t="str">
        <f aca="false">IFERROR(VLOOKUP(A454,NOMENCLATOR!$A:$E,3,0),"")</f>
        <v>EA</v>
      </c>
      <c r="E454" s="21" t="n">
        <f aca="false">IFERROR(VLOOKUP(A454,NOMENCLATOR!$A:$E,4,0),"")</f>
        <v>2.4</v>
      </c>
      <c r="F454" s="21" t="n">
        <f aca="false">IF(OR(C454="",E454=""),"",C454*E454)</f>
        <v>2.4</v>
      </c>
      <c r="G454" s="22" t="n">
        <f aca="false">IFERROR(VLOOKUP(A454,NOMENCLATOR!$A:$E,5,0),"")</f>
        <v>2.4</v>
      </c>
      <c r="H454" s="22" t="n">
        <f aca="false">IF(OR(C454="",G454=""),"",C454*G454)</f>
        <v>2.4</v>
      </c>
    </row>
    <row r="455" customFormat="false" ht="15" hidden="false" customHeight="true" outlineLevel="0" collapsed="false">
      <c r="A455" s="17" t="s">
        <v>208</v>
      </c>
      <c r="B455" s="18" t="str">
        <f aca="false">IFERROR(VLOOKUP(A455,NOMENCLATOR!$A:$E,2,0),"")</f>
        <v>Patties pui 50gr Transavia</v>
      </c>
      <c r="C455" s="19" t="n">
        <v>2</v>
      </c>
      <c r="D455" s="20" t="str">
        <f aca="false">IFERROR(VLOOKUP(A455,NOMENCLATOR!$A:$E,3,0),"")</f>
        <v>EA</v>
      </c>
      <c r="E455" s="21" t="n">
        <f aca="false">IFERROR(VLOOKUP(A455,NOMENCLATOR!$A:$E,4,0),"")</f>
        <v>1.171</v>
      </c>
      <c r="F455" s="21" t="n">
        <f aca="false">IF(OR(C455="",E455=""),"",C455*E455)</f>
        <v>2.342</v>
      </c>
      <c r="G455" s="22" t="n">
        <f aca="false">IFERROR(VLOOKUP(A455,NOMENCLATOR!$A:$E,5,0),"")</f>
        <v>1.171</v>
      </c>
      <c r="H455" s="22" t="n">
        <f aca="false">IF(OR(C455="",G455=""),"",C455*G455)</f>
        <v>2.342</v>
      </c>
    </row>
    <row r="456" customFormat="false" ht="15" hidden="false" customHeight="true" outlineLevel="0" collapsed="false">
      <c r="A456" s="17" t="s">
        <v>300</v>
      </c>
      <c r="B456" s="18" t="str">
        <f aca="false">IFERROR(VLOOKUP(A456,NOMENCLATOR!$A:$E,2,0),"")</f>
        <v>Ulei de alune</v>
      </c>
      <c r="C456" s="19" t="n">
        <v>40</v>
      </c>
      <c r="D456" s="20" t="str">
        <f aca="false">IFERROR(VLOOKUP(A456,NOMENCLATOR!$A:$E,3,0),"")</f>
        <v>ML</v>
      </c>
      <c r="E456" s="21" t="n">
        <f aca="false">IFERROR(VLOOKUP(A456,NOMENCLATOR!$A:$E,4,0),"")</f>
        <v>0.0169</v>
      </c>
      <c r="F456" s="21" t="n">
        <f aca="false">IF(OR(C456="",E456=""),"",C456*E456)</f>
        <v>0.676</v>
      </c>
      <c r="G456" s="22" t="n">
        <f aca="false">IFERROR(VLOOKUP(A456,NOMENCLATOR!$A:$E,5,0),"")</f>
        <v>0.0169</v>
      </c>
      <c r="H456" s="22" t="n">
        <f aca="false">IF(OR(C456="",G456=""),"",C456*G456)</f>
        <v>0.676</v>
      </c>
    </row>
    <row r="457" customFormat="false" ht="15" hidden="false" customHeight="true" outlineLevel="0" collapsed="false">
      <c r="A457" s="17" t="s">
        <v>298</v>
      </c>
      <c r="B457" s="18" t="str">
        <f aca="false">IFERROR(VLOOKUP(A457,NOMENCLATOR!$A:$E,2,0),"")</f>
        <v>Truffle Mayonaise 10L</v>
      </c>
      <c r="C457" s="19" t="n">
        <v>30</v>
      </c>
      <c r="D457" s="20" t="str">
        <f aca="false">IFERROR(VLOOKUP(A457,NOMENCLATOR!$A:$E,3,0),"")</f>
        <v>ML</v>
      </c>
      <c r="E457" s="21" t="n">
        <f aca="false">IFERROR(VLOOKUP(A457,NOMENCLATOR!$A:$E,4,0),"")</f>
        <v>0.03506</v>
      </c>
      <c r="F457" s="21" t="n">
        <f aca="false">IF(OR(C457="",E457=""),"",C457*E457)</f>
        <v>1.0518</v>
      </c>
      <c r="G457" s="22" t="n">
        <f aca="false">IFERROR(VLOOKUP(A457,NOMENCLATOR!$A:$E,5,0),"")</f>
        <v>0.03506</v>
      </c>
      <c r="H457" s="22" t="n">
        <f aca="false">IF(OR(C457="",G457=""),"",C457*G457)</f>
        <v>1.0518</v>
      </c>
    </row>
    <row r="458" customFormat="false" ht="15" hidden="false" customHeight="true" outlineLevel="0" collapsed="false">
      <c r="A458" s="17" t="s">
        <v>94</v>
      </c>
      <c r="B458" s="18" t="str">
        <f aca="false">IFERROR(VLOOKUP(A458,NOMENCLATOR!$A:$E,2,0),"")</f>
        <v>Ceapa prajita</v>
      </c>
      <c r="C458" s="19" t="n">
        <v>15</v>
      </c>
      <c r="D458" s="20" t="str">
        <f aca="false">IFERROR(VLOOKUP(A458,NOMENCLATOR!$A:$E,3,0),"")</f>
        <v>GM</v>
      </c>
      <c r="E458" s="21" t="n">
        <f aca="false">IFERROR(VLOOKUP(A458,NOMENCLATOR!$A:$E,4,0),"")</f>
        <v>0.0266</v>
      </c>
      <c r="F458" s="21" t="n">
        <f aca="false">IF(OR(C458="",E458=""),"",C458*E458)</f>
        <v>0.399</v>
      </c>
      <c r="G458" s="22" t="n">
        <f aca="false">IFERROR(VLOOKUP(A458,NOMENCLATOR!$A:$E,5,0),"")</f>
        <v>0.0266</v>
      </c>
      <c r="H458" s="22" t="n">
        <f aca="false">IF(OR(C458="",G458=""),"",C458*G458)</f>
        <v>0.399</v>
      </c>
    </row>
    <row r="459" customFormat="false" ht="15" hidden="false" customHeight="true" outlineLevel="0" collapsed="false">
      <c r="A459" s="17" t="s">
        <v>68</v>
      </c>
      <c r="B459" s="18" t="str">
        <f aca="false">IFERROR(VLOOKUP(A459,NOMENCLATOR!$A:$E,2,0),"")</f>
        <v>Branza cheddar felii 2026</v>
      </c>
      <c r="C459" s="19" t="n">
        <v>1</v>
      </c>
      <c r="D459" s="20" t="str">
        <f aca="false">IFERROR(VLOOKUP(A459,NOMENCLATOR!$A:$E,3,0),"")</f>
        <v>EA</v>
      </c>
      <c r="E459" s="21" t="n">
        <f aca="false">IFERROR(VLOOKUP(A459,NOMENCLATOR!$A:$E,4,0),"")</f>
        <v>0.61567</v>
      </c>
      <c r="F459" s="21" t="n">
        <f aca="false">IF(OR(C459="",E459=""),"",C459*E459)</f>
        <v>0.61567</v>
      </c>
      <c r="G459" s="22" t="n">
        <f aca="false">IFERROR(VLOOKUP(A459,NOMENCLATOR!$A:$E,5,0),"")</f>
        <v>0.61567</v>
      </c>
      <c r="H459" s="22" t="n">
        <f aca="false">IF(OR(C459="",G459=""),"",C459*G459)</f>
        <v>0.61567</v>
      </c>
    </row>
    <row r="460" customFormat="false" ht="15" hidden="false" customHeight="true" outlineLevel="0" collapsed="false">
      <c r="A460" s="17" t="s">
        <v>310</v>
      </c>
      <c r="B460" s="18" t="str">
        <f aca="false">IFERROR(VLOOKUP(A460,NOMENCLATOR!$A:$E,2,0),"")</f>
        <v>Y-Castraveti felii in saramura</v>
      </c>
      <c r="C460" s="19" t="n">
        <v>11.2</v>
      </c>
      <c r="D460" s="20" t="str">
        <f aca="false">IFERROR(VLOOKUP(A460,NOMENCLATOR!$A:$E,3,0),"")</f>
        <v>GM</v>
      </c>
      <c r="E460" s="21" t="n">
        <f aca="false">IFERROR(VLOOKUP(A460,NOMENCLATOR!$A:$E,4,0),"")</f>
        <v>0.01554</v>
      </c>
      <c r="F460" s="21" t="n">
        <f aca="false">IF(OR(C460="",E460=""),"",C460*E460)</f>
        <v>0.174048</v>
      </c>
      <c r="G460" s="22" t="n">
        <f aca="false">IFERROR(VLOOKUP(A460,NOMENCLATOR!$A:$E,5,0),"")</f>
        <v>0.01554</v>
      </c>
      <c r="H460" s="22" t="n">
        <f aca="false">IF(OR(C460="",G460=""),"",C460*G460)</f>
        <v>0.174048</v>
      </c>
    </row>
    <row r="461" customFormat="false" ht="15" hidden="false" customHeight="true" outlineLevel="0" collapsed="false">
      <c r="A461" s="17" t="s">
        <v>136</v>
      </c>
      <c r="B461" s="18" t="str">
        <f aca="false">IFERROR(VLOOKUP(A461,NOMENCLATOR!$A:$E,2,0),"")</f>
        <v>Hartie Kraft Pui</v>
      </c>
      <c r="C461" s="19" t="n">
        <v>1</v>
      </c>
      <c r="D461" s="20" t="str">
        <f aca="false">IFERROR(VLOOKUP(A461,NOMENCLATOR!$A:$E,3,0),"")</f>
        <v>EA</v>
      </c>
      <c r="E461" s="21" t="n">
        <f aca="false">IFERROR(VLOOKUP(A461,NOMENCLATOR!$A:$E,4,0),"")</f>
        <v>0.103</v>
      </c>
      <c r="F461" s="21" t="n">
        <f aca="false">IF(OR(C461="",E461=""),"",C461*E461)</f>
        <v>0.103</v>
      </c>
      <c r="G461" s="22" t="n">
        <f aca="false">IFERROR(VLOOKUP(A461,NOMENCLATOR!$A:$E,5,0),"")</f>
        <v>0.103</v>
      </c>
      <c r="H461" s="22" t="n">
        <f aca="false">IF(OR(C461="",G461=""),"",C461*G461)</f>
        <v>0.103</v>
      </c>
    </row>
    <row r="462" customFormat="false" ht="15" hidden="false" customHeight="true" outlineLevel="0" collapsed="false">
      <c r="A462" s="23" t="str">
        <f aca="false">IF(A452="","",A452)</f>
        <v>DUBLU CHICKEN TRUFFLE new D</v>
      </c>
      <c r="B462" s="24"/>
      <c r="C462" s="24"/>
      <c r="D462" s="24"/>
      <c r="E462" s="24"/>
      <c r="F462" s="25" t="n">
        <f aca="false">IF(A452="","",SUM(F454:F461))</f>
        <v>7.761518</v>
      </c>
      <c r="G462" s="24"/>
      <c r="H462" s="26" t="n">
        <f aca="false">IF(A452="","",SUM(H454:H461))</f>
        <v>7.761518</v>
      </c>
    </row>
    <row r="464" customFormat="false" ht="15" hidden="false" customHeight="true" outlineLevel="0" collapsed="false">
      <c r="A464" s="12" t="s">
        <v>365</v>
      </c>
      <c r="B464" s="13"/>
      <c r="C464" s="13"/>
      <c r="D464" s="13"/>
      <c r="E464" s="13"/>
      <c r="F464" s="14" t="s">
        <v>351</v>
      </c>
      <c r="G464" s="13"/>
      <c r="H464" s="15"/>
    </row>
    <row r="465" customFormat="false" ht="15" hidden="false" customHeight="true" outlineLevel="0" collapsed="false">
      <c r="A465" s="16" t="s">
        <v>316</v>
      </c>
      <c r="B465" s="16" t="s">
        <v>317</v>
      </c>
      <c r="C465" s="16" t="s">
        <v>318</v>
      </c>
      <c r="D465" s="16" t="s">
        <v>4</v>
      </c>
      <c r="E465" s="16" t="s">
        <v>319</v>
      </c>
      <c r="F465" s="16" t="s">
        <v>320</v>
      </c>
      <c r="G465" s="16" t="s">
        <v>321</v>
      </c>
      <c r="H465" s="16" t="s">
        <v>322</v>
      </c>
    </row>
    <row r="466" customFormat="false" ht="15" hidden="false" customHeight="true" outlineLevel="0" collapsed="false">
      <c r="A466" s="17" t="s">
        <v>208</v>
      </c>
      <c r="B466" s="18" t="str">
        <f aca="false">IFERROR(VLOOKUP(A466,NOMENCLATOR!$A:$E,2,0),"")</f>
        <v>Patties pui 50gr Transavia</v>
      </c>
      <c r="C466" s="19" t="n">
        <v>1</v>
      </c>
      <c r="D466" s="20" t="str">
        <f aca="false">IFERROR(VLOOKUP(A466,NOMENCLATOR!$A:$E,3,0),"")</f>
        <v>EA</v>
      </c>
      <c r="E466" s="21" t="n">
        <f aca="false">IFERROR(VLOOKUP(A466,NOMENCLATOR!$A:$E,4,0),"")</f>
        <v>1.171</v>
      </c>
      <c r="F466" s="21" t="n">
        <f aca="false">IF(OR(C466="",E466=""),"",C466*E466)</f>
        <v>1.171</v>
      </c>
      <c r="G466" s="22" t="n">
        <f aca="false">IFERROR(VLOOKUP(A466,NOMENCLATOR!$A:$E,5,0),"")</f>
        <v>1.171</v>
      </c>
      <c r="H466" s="22" t="n">
        <f aca="false">IF(OR(C466="",G466=""),"",C466*G466)</f>
        <v>1.171</v>
      </c>
    </row>
    <row r="467" customFormat="false" ht="15" hidden="false" customHeight="true" outlineLevel="0" collapsed="false">
      <c r="A467" s="17" t="s">
        <v>98</v>
      </c>
      <c r="B467" s="18" t="str">
        <f aca="false">IFERROR(VLOOKUP(A467,NOMENCLATOR!$A:$E,2,0),"")</f>
        <v>CHIFLA CARTOF 3.5inch 53G x 72</v>
      </c>
      <c r="C467" s="19" t="n">
        <v>1</v>
      </c>
      <c r="D467" s="20" t="str">
        <f aca="false">IFERROR(VLOOKUP(A467,NOMENCLATOR!$A:$E,3,0),"")</f>
        <v>EA</v>
      </c>
      <c r="E467" s="21" t="n">
        <f aca="false">IFERROR(VLOOKUP(A467,NOMENCLATOR!$A:$E,4,0),"")</f>
        <v>2.4</v>
      </c>
      <c r="F467" s="21" t="n">
        <f aca="false">IF(OR(C467="",E467=""),"",C467*E467)</f>
        <v>2.4</v>
      </c>
      <c r="G467" s="22" t="n">
        <f aca="false">IFERROR(VLOOKUP(A467,NOMENCLATOR!$A:$E,5,0),"")</f>
        <v>2.4</v>
      </c>
      <c r="H467" s="22" t="n">
        <f aca="false">IF(OR(C467="",G467=""),"",C467*G467)</f>
        <v>2.4</v>
      </c>
    </row>
    <row r="468" customFormat="false" ht="15" hidden="false" customHeight="true" outlineLevel="0" collapsed="false">
      <c r="A468" s="17" t="s">
        <v>238</v>
      </c>
      <c r="B468" s="18" t="str">
        <f aca="false">IFERROR(VLOOKUP(A468,NOMENCLATOR!$A:$E,2,0),"")</f>
        <v>Prep Salata Coleslaw</v>
      </c>
      <c r="C468" s="19" t="n">
        <v>50</v>
      </c>
      <c r="D468" s="20" t="str">
        <f aca="false">IFERROR(VLOOKUP(A468,NOMENCLATOR!$A:$E,3,0),"")</f>
        <v>GM</v>
      </c>
      <c r="E468" s="21" t="n">
        <f aca="false">IFERROR(VLOOKUP(A468,NOMENCLATOR!$A:$E,4,0),"")</f>
        <v>0.01894</v>
      </c>
      <c r="F468" s="21" t="n">
        <f aca="false">IF(OR(C468="",E468=""),"",C468*E468)</f>
        <v>0.947</v>
      </c>
      <c r="G468" s="22" t="n">
        <f aca="false">IFERROR(VLOOKUP(A468,NOMENCLATOR!$A:$E,5,0),"")</f>
        <v>0.01894</v>
      </c>
      <c r="H468" s="22" t="n">
        <f aca="false">IF(OR(C468="",G468=""),"",C468*G468)</f>
        <v>0.947</v>
      </c>
    </row>
    <row r="469" customFormat="false" ht="15" hidden="false" customHeight="true" outlineLevel="0" collapsed="false">
      <c r="A469" s="17" t="s">
        <v>284</v>
      </c>
      <c r="B469" s="18" t="str">
        <f aca="false">IFERROR(VLOOKUP(A469,NOMENCLATOR!$A:$E,2,0),"")</f>
        <v>Sos FryRanch</v>
      </c>
      <c r="C469" s="19" t="n">
        <v>10</v>
      </c>
      <c r="D469" s="20" t="str">
        <f aca="false">IFERROR(VLOOKUP(A469,NOMENCLATOR!$A:$E,3,0),"")</f>
        <v>GM</v>
      </c>
      <c r="E469" s="21" t="n">
        <f aca="false">IFERROR(VLOOKUP(A469,NOMENCLATOR!$A:$E,4,0),"")</f>
        <v>0.02613</v>
      </c>
      <c r="F469" s="21" t="n">
        <f aca="false">IF(OR(C469="",E469=""),"",C469*E469)</f>
        <v>0.2613</v>
      </c>
      <c r="G469" s="22" t="n">
        <f aca="false">IFERROR(VLOOKUP(A469,NOMENCLATOR!$A:$E,5,0),"")</f>
        <v>0.02613</v>
      </c>
      <c r="H469" s="22" t="n">
        <f aca="false">IF(OR(C469="",G469=""),"",C469*G469)</f>
        <v>0.2613</v>
      </c>
    </row>
    <row r="470" customFormat="false" ht="15" hidden="false" customHeight="true" outlineLevel="0" collapsed="false">
      <c r="A470" s="17" t="s">
        <v>310</v>
      </c>
      <c r="B470" s="18" t="str">
        <f aca="false">IFERROR(VLOOKUP(A470,NOMENCLATOR!$A:$E,2,0),"")</f>
        <v>Y-Castraveti felii in saramura</v>
      </c>
      <c r="C470" s="19" t="n">
        <v>5.6</v>
      </c>
      <c r="D470" s="20" t="str">
        <f aca="false">IFERROR(VLOOKUP(A470,NOMENCLATOR!$A:$E,3,0),"")</f>
        <v>GM</v>
      </c>
      <c r="E470" s="21" t="n">
        <f aca="false">IFERROR(VLOOKUP(A470,NOMENCLATOR!$A:$E,4,0),"")</f>
        <v>0.01554</v>
      </c>
      <c r="F470" s="21" t="n">
        <f aca="false">IF(OR(C470="",E470=""),"",C470*E470)</f>
        <v>0.087024</v>
      </c>
      <c r="G470" s="22" t="n">
        <f aca="false">IFERROR(VLOOKUP(A470,NOMENCLATOR!$A:$E,5,0),"")</f>
        <v>0.01554</v>
      </c>
      <c r="H470" s="22" t="n">
        <f aca="false">IF(OR(C470="",G470=""),"",C470*G470)</f>
        <v>0.087024</v>
      </c>
    </row>
    <row r="471" customFormat="false" ht="15" hidden="false" customHeight="true" outlineLevel="0" collapsed="false">
      <c r="A471" s="17" t="s">
        <v>134</v>
      </c>
      <c r="B471" s="18" t="str">
        <f aca="false">IFERROR(VLOOKUP(A471,NOMENCLATOR!$A:$E,2,0),"")</f>
        <v>Hartie Burger Fryday</v>
      </c>
      <c r="C471" s="19" t="n">
        <v>1</v>
      </c>
      <c r="D471" s="20" t="str">
        <f aca="false">IFERROR(VLOOKUP(A471,NOMENCLATOR!$A:$E,3,0),"")</f>
        <v>EA</v>
      </c>
      <c r="E471" s="21" t="n">
        <f aca="false">IFERROR(VLOOKUP(A471,NOMENCLATOR!$A:$E,4,0),"")</f>
        <v>0.115</v>
      </c>
      <c r="F471" s="21" t="n">
        <f aca="false">IF(OR(C471="",E471=""),"",C471*E471)</f>
        <v>0.115</v>
      </c>
      <c r="G471" s="22" t="n">
        <f aca="false">IFERROR(VLOOKUP(A471,NOMENCLATOR!$A:$E,5,0),"")</f>
        <v>0.115</v>
      </c>
      <c r="H471" s="22" t="n">
        <f aca="false">IF(OR(C471="",G471=""),"",C471*G471)</f>
        <v>0.115</v>
      </c>
    </row>
    <row r="472" customFormat="false" ht="15" hidden="false" customHeight="true" outlineLevel="0" collapsed="false">
      <c r="A472" s="23" t="str">
        <f aca="false">IF(A464="","",A464)</f>
        <v>Chicken FryRanch XRemus</v>
      </c>
      <c r="B472" s="24"/>
      <c r="C472" s="24"/>
      <c r="D472" s="24"/>
      <c r="E472" s="24"/>
      <c r="F472" s="25" t="n">
        <f aca="false">IF(A464="","",SUM(F466:F471))</f>
        <v>4.981324</v>
      </c>
      <c r="G472" s="24"/>
      <c r="H472" s="26" t="n">
        <f aca="false">IF(A464="","",SUM(H466:H471))</f>
        <v>4.981324</v>
      </c>
    </row>
    <row r="474" customFormat="false" ht="15" hidden="false" customHeight="true" outlineLevel="0" collapsed="false">
      <c r="A474" s="12" t="s">
        <v>366</v>
      </c>
      <c r="B474" s="13"/>
      <c r="C474" s="13"/>
      <c r="D474" s="13"/>
      <c r="E474" s="13"/>
      <c r="F474" s="14" t="s">
        <v>351</v>
      </c>
      <c r="G474" s="13"/>
      <c r="H474" s="15"/>
    </row>
    <row r="475" customFormat="false" ht="15" hidden="false" customHeight="true" outlineLevel="0" collapsed="false">
      <c r="A475" s="16" t="s">
        <v>316</v>
      </c>
      <c r="B475" s="16" t="s">
        <v>317</v>
      </c>
      <c r="C475" s="16" t="s">
        <v>318</v>
      </c>
      <c r="D475" s="16" t="s">
        <v>4</v>
      </c>
      <c r="E475" s="16" t="s">
        <v>319</v>
      </c>
      <c r="F475" s="16" t="s">
        <v>320</v>
      </c>
      <c r="G475" s="16" t="s">
        <v>321</v>
      </c>
      <c r="H475" s="16" t="s">
        <v>322</v>
      </c>
    </row>
    <row r="476" customFormat="false" ht="15" hidden="false" customHeight="true" outlineLevel="0" collapsed="false">
      <c r="A476" s="17" t="s">
        <v>150</v>
      </c>
      <c r="B476" s="18" t="str">
        <f aca="false">IFERROR(VLOOKUP(A476,NOMENCLATOR!$A:$E,2,0),"")</f>
        <v>Iceberg Cal.1  400/500gr</v>
      </c>
      <c r="C476" s="19" t="n">
        <v>0.33</v>
      </c>
      <c r="D476" s="20" t="str">
        <f aca="false">IFERROR(VLOOKUP(A476,NOMENCLATOR!$A:$E,3,0),"")</f>
        <v>EA</v>
      </c>
      <c r="E476" s="21" t="n">
        <f aca="false">IFERROR(VLOOKUP(A476,NOMENCLATOR!$A:$E,4,0),"")</f>
        <v>7.5</v>
      </c>
      <c r="F476" s="21" t="n">
        <f aca="false">IF(OR(C476="",E476=""),"",C476*E476)</f>
        <v>2.475</v>
      </c>
      <c r="G476" s="22" t="n">
        <f aca="false">IFERROR(VLOOKUP(A476,NOMENCLATOR!$A:$E,5,0),"")</f>
        <v>7.5</v>
      </c>
      <c r="H476" s="22" t="n">
        <f aca="false">IF(OR(C476="",G476=""),"",C476*G476)</f>
        <v>2.475</v>
      </c>
    </row>
    <row r="477" customFormat="false" ht="15" hidden="false" customHeight="true" outlineLevel="0" collapsed="false">
      <c r="A477" s="17" t="s">
        <v>148</v>
      </c>
      <c r="B477" s="18" t="str">
        <f aca="false">IFERROR(VLOOKUP(A477,NOMENCLATOR!$A:$E,2,0),"")</f>
        <v>Homestyle CKN Patty</v>
      </c>
      <c r="C477" s="19" t="n">
        <v>1</v>
      </c>
      <c r="D477" s="20" t="str">
        <f aca="false">IFERROR(VLOOKUP(A477,NOMENCLATOR!$A:$E,3,0),"")</f>
        <v>EA</v>
      </c>
      <c r="E477" s="21" t="n">
        <f aca="false">IFERROR(VLOOKUP(A477,NOMENCLATOR!$A:$E,4,0),"")</f>
        <v>4.756</v>
      </c>
      <c r="F477" s="21" t="n">
        <f aca="false">IF(OR(C477="",E477=""),"",C477*E477)</f>
        <v>4.756</v>
      </c>
      <c r="G477" s="22" t="n">
        <f aca="false">IFERROR(VLOOKUP(A477,NOMENCLATOR!$A:$E,5,0),"")</f>
        <v>4.756</v>
      </c>
      <c r="H477" s="22" t="n">
        <f aca="false">IF(OR(C477="",G477=""),"",C477*G477)</f>
        <v>4.756</v>
      </c>
    </row>
    <row r="478" customFormat="false" ht="15" hidden="false" customHeight="true" outlineLevel="0" collapsed="false">
      <c r="A478" s="17" t="s">
        <v>300</v>
      </c>
      <c r="B478" s="18" t="str">
        <f aca="false">IFERROR(VLOOKUP(A478,NOMENCLATOR!$A:$E,2,0),"")</f>
        <v>Ulei de alune</v>
      </c>
      <c r="C478" s="19" t="n">
        <v>20</v>
      </c>
      <c r="D478" s="20" t="str">
        <f aca="false">IFERROR(VLOOKUP(A478,NOMENCLATOR!$A:$E,3,0),"")</f>
        <v>ML</v>
      </c>
      <c r="E478" s="21" t="n">
        <f aca="false">IFERROR(VLOOKUP(A478,NOMENCLATOR!$A:$E,4,0),"")</f>
        <v>0.0169</v>
      </c>
      <c r="F478" s="21" t="n">
        <f aca="false">IF(OR(C478="",E478=""),"",C478*E478)</f>
        <v>0.338</v>
      </c>
      <c r="G478" s="22" t="n">
        <f aca="false">IFERROR(VLOOKUP(A478,NOMENCLATOR!$A:$E,5,0),"")</f>
        <v>0.0169</v>
      </c>
      <c r="H478" s="22" t="n">
        <f aca="false">IF(OR(C478="",G478=""),"",C478*G478)</f>
        <v>0.338</v>
      </c>
    </row>
    <row r="479" customFormat="false" ht="15" hidden="false" customHeight="true" outlineLevel="0" collapsed="false">
      <c r="A479" s="17" t="s">
        <v>238</v>
      </c>
      <c r="B479" s="18" t="str">
        <f aca="false">IFERROR(VLOOKUP(A479,NOMENCLATOR!$A:$E,2,0),"")</f>
        <v>Prep Salata Coleslaw</v>
      </c>
      <c r="C479" s="19" t="n">
        <v>50</v>
      </c>
      <c r="D479" s="20" t="str">
        <f aca="false">IFERROR(VLOOKUP(A479,NOMENCLATOR!$A:$E,3,0),"")</f>
        <v>GM</v>
      </c>
      <c r="E479" s="21" t="n">
        <f aca="false">IFERROR(VLOOKUP(A479,NOMENCLATOR!$A:$E,4,0),"")</f>
        <v>0.01894</v>
      </c>
      <c r="F479" s="21" t="n">
        <f aca="false">IF(OR(C479="",E479=""),"",C479*E479)</f>
        <v>0.947</v>
      </c>
      <c r="G479" s="22" t="n">
        <f aca="false">IFERROR(VLOOKUP(A479,NOMENCLATOR!$A:$E,5,0),"")</f>
        <v>0.01894</v>
      </c>
      <c r="H479" s="22" t="n">
        <f aca="false">IF(OR(C479="",G479=""),"",C479*G479)</f>
        <v>0.947</v>
      </c>
    </row>
    <row r="480" customFormat="false" ht="15" hidden="false" customHeight="true" outlineLevel="0" collapsed="false">
      <c r="A480" s="17" t="s">
        <v>284</v>
      </c>
      <c r="B480" s="18" t="str">
        <f aca="false">IFERROR(VLOOKUP(A480,NOMENCLATOR!$A:$E,2,0),"")</f>
        <v>Sos FryRanch</v>
      </c>
      <c r="C480" s="19" t="n">
        <v>30</v>
      </c>
      <c r="D480" s="20" t="str">
        <f aca="false">IFERROR(VLOOKUP(A480,NOMENCLATOR!$A:$E,3,0),"")</f>
        <v>GM</v>
      </c>
      <c r="E480" s="21" t="n">
        <f aca="false">IFERROR(VLOOKUP(A480,NOMENCLATOR!$A:$E,4,0),"")</f>
        <v>0.02613</v>
      </c>
      <c r="F480" s="21" t="n">
        <f aca="false">IF(OR(C480="",E480=""),"",C480*E480)</f>
        <v>0.7839</v>
      </c>
      <c r="G480" s="22" t="n">
        <f aca="false">IFERROR(VLOOKUP(A480,NOMENCLATOR!$A:$E,5,0),"")</f>
        <v>0.02613</v>
      </c>
      <c r="H480" s="22" t="n">
        <f aca="false">IF(OR(C480="",G480=""),"",C480*G480)</f>
        <v>0.7839</v>
      </c>
    </row>
    <row r="481" customFormat="false" ht="15" hidden="false" customHeight="true" outlineLevel="0" collapsed="false">
      <c r="A481" s="17" t="s">
        <v>310</v>
      </c>
      <c r="B481" s="18" t="str">
        <f aca="false">IFERROR(VLOOKUP(A481,NOMENCLATOR!$A:$E,2,0),"")</f>
        <v>Y-Castraveti felii in saramura</v>
      </c>
      <c r="C481" s="19" t="n">
        <v>11.2</v>
      </c>
      <c r="D481" s="20" t="str">
        <f aca="false">IFERROR(VLOOKUP(A481,NOMENCLATOR!$A:$E,3,0),"")</f>
        <v>GM</v>
      </c>
      <c r="E481" s="21" t="n">
        <f aca="false">IFERROR(VLOOKUP(A481,NOMENCLATOR!$A:$E,4,0),"")</f>
        <v>0.01554</v>
      </c>
      <c r="F481" s="21" t="n">
        <f aca="false">IF(OR(C481="",E481=""),"",C481*E481)</f>
        <v>0.174048</v>
      </c>
      <c r="G481" s="22" t="n">
        <f aca="false">IFERROR(VLOOKUP(A481,NOMENCLATOR!$A:$E,5,0),"")</f>
        <v>0.01554</v>
      </c>
      <c r="H481" s="22" t="n">
        <f aca="false">IF(OR(C481="",G481=""),"",C481*G481)</f>
        <v>0.174048</v>
      </c>
    </row>
    <row r="482" customFormat="false" ht="15" hidden="false" customHeight="true" outlineLevel="0" collapsed="false">
      <c r="A482" s="17" t="s">
        <v>116</v>
      </c>
      <c r="B482" s="18" t="str">
        <f aca="false">IFERROR(VLOOKUP(A482,NOMENCLATOR!$A:$E,2,0),"")</f>
        <v>CUTIE MICA HOMESTYLE BRG.2024</v>
      </c>
      <c r="C482" s="19" t="n">
        <v>1</v>
      </c>
      <c r="D482" s="20" t="str">
        <f aca="false">IFERROR(VLOOKUP(A482,NOMENCLATOR!$A:$E,3,0),"")</f>
        <v>EA</v>
      </c>
      <c r="E482" s="21" t="n">
        <f aca="false">IFERROR(VLOOKUP(A482,NOMENCLATOR!$A:$E,4,0),"")</f>
        <v>0.693</v>
      </c>
      <c r="F482" s="21" t="n">
        <f aca="false">IF(OR(C482="",E482=""),"",C482*E482)</f>
        <v>0.693</v>
      </c>
      <c r="G482" s="22" t="n">
        <f aca="false">IFERROR(VLOOKUP(A482,NOMENCLATOR!$A:$E,5,0),"")</f>
        <v>0.693</v>
      </c>
      <c r="H482" s="22" t="n">
        <f aca="false">IF(OR(C482="",G482=""),"",C482*G482)</f>
        <v>0.693</v>
      </c>
    </row>
    <row r="483" customFormat="false" ht="15" hidden="false" customHeight="true" outlineLevel="0" collapsed="false">
      <c r="A483" s="17" t="s">
        <v>244</v>
      </c>
      <c r="B483" s="18" t="str">
        <f aca="false">IFERROR(VLOOKUP(A483,NOMENCLATOR!$A:$E,2,0),"")</f>
        <v>PUNGA 11x5x12.5 BURGER MIC</v>
      </c>
      <c r="C483" s="19" t="n">
        <v>1</v>
      </c>
      <c r="D483" s="20" t="str">
        <f aca="false">IFERROR(VLOOKUP(A483,NOMENCLATOR!$A:$E,3,0),"")</f>
        <v>EA</v>
      </c>
      <c r="E483" s="21" t="n">
        <f aca="false">IFERROR(VLOOKUP(A483,NOMENCLATOR!$A:$E,4,0),"")</f>
        <v>0.105</v>
      </c>
      <c r="F483" s="21" t="n">
        <f aca="false">IF(OR(C483="",E483=""),"",C483*E483)</f>
        <v>0.105</v>
      </c>
      <c r="G483" s="22" t="n">
        <f aca="false">IFERROR(VLOOKUP(A483,NOMENCLATOR!$A:$E,5,0),"")</f>
        <v>0.105</v>
      </c>
      <c r="H483" s="22" t="n">
        <f aca="false">IF(OR(C483="",G483=""),"",C483*G483)</f>
        <v>0.105</v>
      </c>
    </row>
    <row r="484" customFormat="false" ht="15" hidden="false" customHeight="true" outlineLevel="0" collapsed="false">
      <c r="A484" s="23" t="str">
        <f aca="false">IF(A474="","",A474)</f>
        <v>HOMESTYLE CHICKEN FRYRANCH LETTUCE WRAP</v>
      </c>
      <c r="B484" s="24"/>
      <c r="C484" s="24"/>
      <c r="D484" s="24"/>
      <c r="E484" s="24"/>
      <c r="F484" s="25" t="n">
        <f aca="false">IF(A474="","",SUM(F476:F483))</f>
        <v>10.271948</v>
      </c>
      <c r="G484" s="24"/>
      <c r="H484" s="26" t="n">
        <f aca="false">IF(A474="","",SUM(H476:H483))</f>
        <v>10.271948</v>
      </c>
    </row>
    <row r="486" customFormat="false" ht="15" hidden="false" customHeight="true" outlineLevel="0" collapsed="false">
      <c r="A486" s="12" t="s">
        <v>367</v>
      </c>
      <c r="B486" s="13"/>
      <c r="C486" s="13"/>
      <c r="D486" s="13"/>
      <c r="E486" s="13"/>
      <c r="F486" s="14" t="s">
        <v>351</v>
      </c>
      <c r="G486" s="13"/>
      <c r="H486" s="15"/>
    </row>
    <row r="487" customFormat="false" ht="15" hidden="false" customHeight="true" outlineLevel="0" collapsed="false">
      <c r="A487" s="16" t="s">
        <v>316</v>
      </c>
      <c r="B487" s="16" t="s">
        <v>317</v>
      </c>
      <c r="C487" s="16" t="s">
        <v>318</v>
      </c>
      <c r="D487" s="16" t="s">
        <v>4</v>
      </c>
      <c r="E487" s="16" t="s">
        <v>319</v>
      </c>
      <c r="F487" s="16" t="s">
        <v>320</v>
      </c>
      <c r="G487" s="16" t="s">
        <v>321</v>
      </c>
      <c r="H487" s="16" t="s">
        <v>322</v>
      </c>
    </row>
    <row r="488" customFormat="false" ht="15" hidden="false" customHeight="true" outlineLevel="0" collapsed="false">
      <c r="A488" s="17" t="s">
        <v>150</v>
      </c>
      <c r="B488" s="18" t="str">
        <f aca="false">IFERROR(VLOOKUP(A488,NOMENCLATOR!$A:$E,2,0),"")</f>
        <v>Iceberg Cal.1  400/500gr</v>
      </c>
      <c r="C488" s="19" t="n">
        <v>0.33</v>
      </c>
      <c r="D488" s="20" t="str">
        <f aca="false">IFERROR(VLOOKUP(A488,NOMENCLATOR!$A:$E,3,0),"")</f>
        <v>EA</v>
      </c>
      <c r="E488" s="21" t="n">
        <f aca="false">IFERROR(VLOOKUP(A488,NOMENCLATOR!$A:$E,4,0),"")</f>
        <v>7.5</v>
      </c>
      <c r="F488" s="21" t="n">
        <f aca="false">IF(OR(C488="",E488=""),"",C488*E488)</f>
        <v>2.475</v>
      </c>
      <c r="G488" s="22" t="n">
        <f aca="false">IFERROR(VLOOKUP(A488,NOMENCLATOR!$A:$E,5,0),"")</f>
        <v>7.5</v>
      </c>
      <c r="H488" s="22" t="n">
        <f aca="false">IF(OR(C488="",G488=""),"",C488*G488)</f>
        <v>2.475</v>
      </c>
    </row>
    <row r="489" customFormat="false" ht="15" hidden="false" customHeight="true" outlineLevel="0" collapsed="false">
      <c r="A489" s="17" t="s">
        <v>148</v>
      </c>
      <c r="B489" s="18" t="str">
        <f aca="false">IFERROR(VLOOKUP(A489,NOMENCLATOR!$A:$E,2,0),"")</f>
        <v>Homestyle CKN Patty</v>
      </c>
      <c r="C489" s="19" t="n">
        <v>1</v>
      </c>
      <c r="D489" s="20" t="str">
        <f aca="false">IFERROR(VLOOKUP(A489,NOMENCLATOR!$A:$E,3,0),"")</f>
        <v>EA</v>
      </c>
      <c r="E489" s="21" t="n">
        <f aca="false">IFERROR(VLOOKUP(A489,NOMENCLATOR!$A:$E,4,0),"")</f>
        <v>4.756</v>
      </c>
      <c r="F489" s="21" t="n">
        <f aca="false">IF(OR(C489="",E489=""),"",C489*E489)</f>
        <v>4.756</v>
      </c>
      <c r="G489" s="22" t="n">
        <f aca="false">IFERROR(VLOOKUP(A489,NOMENCLATOR!$A:$E,5,0),"")</f>
        <v>4.756</v>
      </c>
      <c r="H489" s="22" t="n">
        <f aca="false">IF(OR(C489="",G489=""),"",C489*G489)</f>
        <v>4.756</v>
      </c>
    </row>
    <row r="490" customFormat="false" ht="15" hidden="false" customHeight="true" outlineLevel="0" collapsed="false">
      <c r="A490" s="17" t="s">
        <v>300</v>
      </c>
      <c r="B490" s="18" t="str">
        <f aca="false">IFERROR(VLOOKUP(A490,NOMENCLATOR!$A:$E,2,0),"")</f>
        <v>Ulei de alune</v>
      </c>
      <c r="C490" s="19" t="n">
        <v>20</v>
      </c>
      <c r="D490" s="20" t="str">
        <f aca="false">IFERROR(VLOOKUP(A490,NOMENCLATOR!$A:$E,3,0),"")</f>
        <v>ML</v>
      </c>
      <c r="E490" s="21" t="n">
        <f aca="false">IFERROR(VLOOKUP(A490,NOMENCLATOR!$A:$E,4,0),"")</f>
        <v>0.0169</v>
      </c>
      <c r="F490" s="21" t="n">
        <f aca="false">IF(OR(C490="",E490=""),"",C490*E490)</f>
        <v>0.338</v>
      </c>
      <c r="G490" s="22" t="n">
        <f aca="false">IFERROR(VLOOKUP(A490,NOMENCLATOR!$A:$E,5,0),"")</f>
        <v>0.0169</v>
      </c>
      <c r="H490" s="22" t="n">
        <f aca="false">IF(OR(C490="",G490=""),"",C490*G490)</f>
        <v>0.338</v>
      </c>
    </row>
    <row r="491" customFormat="false" ht="15" hidden="false" customHeight="true" outlineLevel="0" collapsed="false">
      <c r="A491" s="17" t="s">
        <v>238</v>
      </c>
      <c r="B491" s="18" t="str">
        <f aca="false">IFERROR(VLOOKUP(A491,NOMENCLATOR!$A:$E,2,0),"")</f>
        <v>Prep Salata Coleslaw</v>
      </c>
      <c r="C491" s="19" t="n">
        <v>50</v>
      </c>
      <c r="D491" s="20" t="str">
        <f aca="false">IFERROR(VLOOKUP(A491,NOMENCLATOR!$A:$E,3,0),"")</f>
        <v>GM</v>
      </c>
      <c r="E491" s="21" t="n">
        <f aca="false">IFERROR(VLOOKUP(A491,NOMENCLATOR!$A:$E,4,0),"")</f>
        <v>0.01894</v>
      </c>
      <c r="F491" s="21" t="n">
        <f aca="false">IF(OR(C491="",E491=""),"",C491*E491)</f>
        <v>0.947</v>
      </c>
      <c r="G491" s="22" t="n">
        <f aca="false">IFERROR(VLOOKUP(A491,NOMENCLATOR!$A:$E,5,0),"")</f>
        <v>0.01894</v>
      </c>
      <c r="H491" s="22" t="n">
        <f aca="false">IF(OR(C491="",G491=""),"",C491*G491)</f>
        <v>0.947</v>
      </c>
    </row>
    <row r="492" customFormat="false" ht="15" hidden="false" customHeight="true" outlineLevel="0" collapsed="false">
      <c r="A492" s="17" t="s">
        <v>284</v>
      </c>
      <c r="B492" s="18" t="str">
        <f aca="false">IFERROR(VLOOKUP(A492,NOMENCLATOR!$A:$E,2,0),"")</f>
        <v>Sos FryRanch</v>
      </c>
      <c r="C492" s="19" t="n">
        <v>30</v>
      </c>
      <c r="D492" s="20" t="str">
        <f aca="false">IFERROR(VLOOKUP(A492,NOMENCLATOR!$A:$E,3,0),"")</f>
        <v>GM</v>
      </c>
      <c r="E492" s="21" t="n">
        <f aca="false">IFERROR(VLOOKUP(A492,NOMENCLATOR!$A:$E,4,0),"")</f>
        <v>0.02613</v>
      </c>
      <c r="F492" s="21" t="n">
        <f aca="false">IF(OR(C492="",E492=""),"",C492*E492)</f>
        <v>0.7839</v>
      </c>
      <c r="G492" s="22" t="n">
        <f aca="false">IFERROR(VLOOKUP(A492,NOMENCLATOR!$A:$E,5,0),"")</f>
        <v>0.02613</v>
      </c>
      <c r="H492" s="22" t="n">
        <f aca="false">IF(OR(C492="",G492=""),"",C492*G492)</f>
        <v>0.7839</v>
      </c>
    </row>
    <row r="493" customFormat="false" ht="15" hidden="false" customHeight="true" outlineLevel="0" collapsed="false">
      <c r="A493" s="17" t="s">
        <v>310</v>
      </c>
      <c r="B493" s="18" t="str">
        <f aca="false">IFERROR(VLOOKUP(A493,NOMENCLATOR!$A:$E,2,0),"")</f>
        <v>Y-Castraveti felii in saramura</v>
      </c>
      <c r="C493" s="19" t="n">
        <v>11.2</v>
      </c>
      <c r="D493" s="20" t="str">
        <f aca="false">IFERROR(VLOOKUP(A493,NOMENCLATOR!$A:$E,3,0),"")</f>
        <v>GM</v>
      </c>
      <c r="E493" s="21" t="n">
        <f aca="false">IFERROR(VLOOKUP(A493,NOMENCLATOR!$A:$E,4,0),"")</f>
        <v>0.01554</v>
      </c>
      <c r="F493" s="21" t="n">
        <f aca="false">IF(OR(C493="",E493=""),"",C493*E493)</f>
        <v>0.174048</v>
      </c>
      <c r="G493" s="22" t="n">
        <f aca="false">IFERROR(VLOOKUP(A493,NOMENCLATOR!$A:$E,5,0),"")</f>
        <v>0.01554</v>
      </c>
      <c r="H493" s="22" t="n">
        <f aca="false">IF(OR(C493="",G493=""),"",C493*G493)</f>
        <v>0.174048</v>
      </c>
    </row>
    <row r="494" customFormat="false" ht="15" hidden="false" customHeight="true" outlineLevel="0" collapsed="false">
      <c r="A494" s="17" t="s">
        <v>116</v>
      </c>
      <c r="B494" s="18" t="str">
        <f aca="false">IFERROR(VLOOKUP(A494,NOMENCLATOR!$A:$E,2,0),"")</f>
        <v>CUTIE MICA HOMESTYLE BRG.2024</v>
      </c>
      <c r="C494" s="19" t="n">
        <v>1</v>
      </c>
      <c r="D494" s="20" t="str">
        <f aca="false">IFERROR(VLOOKUP(A494,NOMENCLATOR!$A:$E,3,0),"")</f>
        <v>EA</v>
      </c>
      <c r="E494" s="21" t="n">
        <f aca="false">IFERROR(VLOOKUP(A494,NOMENCLATOR!$A:$E,4,0),"")</f>
        <v>0.693</v>
      </c>
      <c r="F494" s="21" t="n">
        <f aca="false">IF(OR(C494="",E494=""),"",C494*E494)</f>
        <v>0.693</v>
      </c>
      <c r="G494" s="22" t="n">
        <f aca="false">IFERROR(VLOOKUP(A494,NOMENCLATOR!$A:$E,5,0),"")</f>
        <v>0.693</v>
      </c>
      <c r="H494" s="22" t="n">
        <f aca="false">IF(OR(C494="",G494=""),"",C494*G494)</f>
        <v>0.693</v>
      </c>
    </row>
    <row r="495" customFormat="false" ht="15" hidden="false" customHeight="true" outlineLevel="0" collapsed="false">
      <c r="A495" s="17" t="s">
        <v>244</v>
      </c>
      <c r="B495" s="18" t="str">
        <f aca="false">IFERROR(VLOOKUP(A495,NOMENCLATOR!$A:$E,2,0),"")</f>
        <v>PUNGA 11x5x12.5 BURGER MIC</v>
      </c>
      <c r="C495" s="19" t="n">
        <v>1</v>
      </c>
      <c r="D495" s="20" t="str">
        <f aca="false">IFERROR(VLOOKUP(A495,NOMENCLATOR!$A:$E,3,0),"")</f>
        <v>EA</v>
      </c>
      <c r="E495" s="21" t="n">
        <f aca="false">IFERROR(VLOOKUP(A495,NOMENCLATOR!$A:$E,4,0),"")</f>
        <v>0.105</v>
      </c>
      <c r="F495" s="21" t="n">
        <f aca="false">IF(OR(C495="",E495=""),"",C495*E495)</f>
        <v>0.105</v>
      </c>
      <c r="G495" s="22" t="n">
        <f aca="false">IFERROR(VLOOKUP(A495,NOMENCLATOR!$A:$E,5,0),"")</f>
        <v>0.105</v>
      </c>
      <c r="H495" s="22" t="n">
        <f aca="false">IF(OR(C495="",G495=""),"",C495*G495)</f>
        <v>0.105</v>
      </c>
    </row>
    <row r="496" customFormat="false" ht="15" hidden="false" customHeight="true" outlineLevel="0" collapsed="false">
      <c r="A496" s="23" t="str">
        <f aca="false">IF(A486="","",A486)</f>
        <v>HOMESTYLE CHICKEN FRYRANCH LETTUCE WRAP D</v>
      </c>
      <c r="B496" s="24"/>
      <c r="C496" s="24"/>
      <c r="D496" s="24"/>
      <c r="E496" s="24"/>
      <c r="F496" s="25" t="n">
        <f aca="false">IF(A486="","",SUM(F488:F495))</f>
        <v>10.271948</v>
      </c>
      <c r="G496" s="24"/>
      <c r="H496" s="26" t="n">
        <f aca="false">IF(A486="","",SUM(H488:H495))</f>
        <v>10.271948</v>
      </c>
    </row>
    <row r="498" customFormat="false" ht="15" hidden="false" customHeight="true" outlineLevel="0" collapsed="false">
      <c r="A498" s="12" t="s">
        <v>368</v>
      </c>
      <c r="B498" s="13"/>
      <c r="C498" s="13"/>
      <c r="D498" s="13"/>
      <c r="E498" s="13"/>
      <c r="F498" s="14" t="s">
        <v>351</v>
      </c>
      <c r="G498" s="13"/>
      <c r="H498" s="15"/>
    </row>
    <row r="499" customFormat="false" ht="15" hidden="false" customHeight="true" outlineLevel="0" collapsed="false">
      <c r="A499" s="16" t="s">
        <v>316</v>
      </c>
      <c r="B499" s="16" t="s">
        <v>317</v>
      </c>
      <c r="C499" s="16" t="s">
        <v>318</v>
      </c>
      <c r="D499" s="16" t="s">
        <v>4</v>
      </c>
      <c r="E499" s="16" t="s">
        <v>319</v>
      </c>
      <c r="F499" s="16" t="s">
        <v>320</v>
      </c>
      <c r="G499" s="16" t="s">
        <v>321</v>
      </c>
      <c r="H499" s="16" t="s">
        <v>322</v>
      </c>
    </row>
    <row r="500" customFormat="false" ht="15" hidden="false" customHeight="true" outlineLevel="0" collapsed="false">
      <c r="A500" s="17" t="s">
        <v>150</v>
      </c>
      <c r="B500" s="18" t="str">
        <f aca="false">IFERROR(VLOOKUP(A500,NOMENCLATOR!$A:$E,2,0),"")</f>
        <v>Iceberg Cal.1  400/500gr</v>
      </c>
      <c r="C500" s="19" t="n">
        <v>0.33</v>
      </c>
      <c r="D500" s="20" t="str">
        <f aca="false">IFERROR(VLOOKUP(A500,NOMENCLATOR!$A:$E,3,0),"")</f>
        <v>EA</v>
      </c>
      <c r="E500" s="21" t="n">
        <f aca="false">IFERROR(VLOOKUP(A500,NOMENCLATOR!$A:$E,4,0),"")</f>
        <v>7.5</v>
      </c>
      <c r="F500" s="21" t="n">
        <f aca="false">IF(OR(C500="",E500=""),"",C500*E500)</f>
        <v>2.475</v>
      </c>
      <c r="G500" s="22" t="n">
        <f aca="false">IFERROR(VLOOKUP(A500,NOMENCLATOR!$A:$E,5,0),"")</f>
        <v>7.5</v>
      </c>
      <c r="H500" s="22" t="n">
        <f aca="false">IF(OR(C500="",G500=""),"",C500*G500)</f>
        <v>2.475</v>
      </c>
    </row>
    <row r="501" customFormat="false" ht="15" hidden="false" customHeight="true" outlineLevel="0" collapsed="false">
      <c r="A501" s="17" t="s">
        <v>148</v>
      </c>
      <c r="B501" s="18" t="str">
        <f aca="false">IFERROR(VLOOKUP(A501,NOMENCLATOR!$A:$E,2,0),"")</f>
        <v>Homestyle CKN Patty</v>
      </c>
      <c r="C501" s="19" t="n">
        <v>1</v>
      </c>
      <c r="D501" s="20" t="str">
        <f aca="false">IFERROR(VLOOKUP(A501,NOMENCLATOR!$A:$E,3,0),"")</f>
        <v>EA</v>
      </c>
      <c r="E501" s="21" t="n">
        <f aca="false">IFERROR(VLOOKUP(A501,NOMENCLATOR!$A:$E,4,0),"")</f>
        <v>4.756</v>
      </c>
      <c r="F501" s="21" t="n">
        <f aca="false">IF(OR(C501="",E501=""),"",C501*E501)</f>
        <v>4.756</v>
      </c>
      <c r="G501" s="22" t="n">
        <f aca="false">IFERROR(VLOOKUP(A501,NOMENCLATOR!$A:$E,5,0),"")</f>
        <v>4.756</v>
      </c>
      <c r="H501" s="22" t="n">
        <f aca="false">IF(OR(C501="",G501=""),"",C501*G501)</f>
        <v>4.756</v>
      </c>
    </row>
    <row r="502" customFormat="false" ht="15" hidden="false" customHeight="true" outlineLevel="0" collapsed="false">
      <c r="A502" s="17" t="s">
        <v>300</v>
      </c>
      <c r="B502" s="18" t="str">
        <f aca="false">IFERROR(VLOOKUP(A502,NOMENCLATOR!$A:$E,2,0),"")</f>
        <v>Ulei de alune</v>
      </c>
      <c r="C502" s="19" t="n">
        <v>20</v>
      </c>
      <c r="D502" s="20" t="str">
        <f aca="false">IFERROR(VLOOKUP(A502,NOMENCLATOR!$A:$E,3,0),"")</f>
        <v>ML</v>
      </c>
      <c r="E502" s="21" t="n">
        <f aca="false">IFERROR(VLOOKUP(A502,NOMENCLATOR!$A:$E,4,0),"")</f>
        <v>0.0169</v>
      </c>
      <c r="F502" s="21" t="n">
        <f aca="false">IF(OR(C502="",E502=""),"",C502*E502)</f>
        <v>0.338</v>
      </c>
      <c r="G502" s="22" t="n">
        <f aca="false">IFERROR(VLOOKUP(A502,NOMENCLATOR!$A:$E,5,0),"")</f>
        <v>0.0169</v>
      </c>
      <c r="H502" s="22" t="n">
        <f aca="false">IF(OR(C502="",G502=""),"",C502*G502)</f>
        <v>0.338</v>
      </c>
    </row>
    <row r="503" customFormat="false" ht="15" hidden="false" customHeight="true" outlineLevel="0" collapsed="false">
      <c r="A503" s="17" t="s">
        <v>162</v>
      </c>
      <c r="B503" s="18" t="str">
        <f aca="false">IFERROR(VLOOKUP(A503,NOMENCLATOR!$A:$E,2,0),"")</f>
        <v>Lemon Pepper  Mayo</v>
      </c>
      <c r="C503" s="19" t="n">
        <v>40</v>
      </c>
      <c r="D503" s="20" t="str">
        <f aca="false">IFERROR(VLOOKUP(A503,NOMENCLATOR!$A:$E,3,0),"")</f>
        <v>GM</v>
      </c>
      <c r="E503" s="21" t="n">
        <f aca="false">IFERROR(VLOOKUP(A503,NOMENCLATOR!$A:$E,4,0),"")</f>
        <v>0.04063</v>
      </c>
      <c r="F503" s="21" t="n">
        <f aca="false">IF(OR(C503="",E503=""),"",C503*E503)</f>
        <v>1.6252</v>
      </c>
      <c r="G503" s="22" t="n">
        <f aca="false">IFERROR(VLOOKUP(A503,NOMENCLATOR!$A:$E,5,0),"")</f>
        <v>0.04063</v>
      </c>
      <c r="H503" s="22" t="n">
        <f aca="false">IF(OR(C503="",G503=""),"",C503*G503)</f>
        <v>1.6252</v>
      </c>
    </row>
    <row r="504" customFormat="false" ht="15" hidden="false" customHeight="true" outlineLevel="0" collapsed="false">
      <c r="A504" s="17" t="s">
        <v>274</v>
      </c>
      <c r="B504" s="18" t="str">
        <f aca="false">IFERROR(VLOOKUP(A504,NOMENCLATOR!$A:$E,2,0),"")</f>
        <v>SALATA LOLLO BIONDA S 500g</v>
      </c>
      <c r="C504" s="19" t="n">
        <v>20</v>
      </c>
      <c r="D504" s="20" t="str">
        <f aca="false">IFERROR(VLOOKUP(A504,NOMENCLATOR!$A:$E,3,0),"")</f>
        <v>GM</v>
      </c>
      <c r="E504" s="21" t="n">
        <f aca="false">IFERROR(VLOOKUP(A504,NOMENCLATOR!$A:$E,4,0),"")</f>
        <v>0.036</v>
      </c>
      <c r="F504" s="21" t="n">
        <f aca="false">IF(OR(C504="",E504=""),"",C504*E504)</f>
        <v>0.72</v>
      </c>
      <c r="G504" s="22" t="n">
        <f aca="false">IFERROR(VLOOKUP(A504,NOMENCLATOR!$A:$E,5,0),"")</f>
        <v>0.036</v>
      </c>
      <c r="H504" s="22" t="n">
        <f aca="false">IF(OR(C504="",G504=""),"",C504*G504)</f>
        <v>0.72</v>
      </c>
    </row>
    <row r="505" customFormat="false" ht="15" hidden="false" customHeight="true" outlineLevel="0" collapsed="false">
      <c r="A505" s="17" t="s">
        <v>310</v>
      </c>
      <c r="B505" s="18" t="str">
        <f aca="false">IFERROR(VLOOKUP(A505,NOMENCLATOR!$A:$E,2,0),"")</f>
        <v>Y-Castraveti felii in saramura</v>
      </c>
      <c r="C505" s="19" t="n">
        <v>11.2</v>
      </c>
      <c r="D505" s="20" t="str">
        <f aca="false">IFERROR(VLOOKUP(A505,NOMENCLATOR!$A:$E,3,0),"")</f>
        <v>GM</v>
      </c>
      <c r="E505" s="21" t="n">
        <f aca="false">IFERROR(VLOOKUP(A505,NOMENCLATOR!$A:$E,4,0),"")</f>
        <v>0.01554</v>
      </c>
      <c r="F505" s="21" t="n">
        <f aca="false">IF(OR(C505="",E505=""),"",C505*E505)</f>
        <v>0.174048</v>
      </c>
      <c r="G505" s="22" t="n">
        <f aca="false">IFERROR(VLOOKUP(A505,NOMENCLATOR!$A:$E,5,0),"")</f>
        <v>0.01554</v>
      </c>
      <c r="H505" s="22" t="n">
        <f aca="false">IF(OR(C505="",G505=""),"",C505*G505)</f>
        <v>0.174048</v>
      </c>
    </row>
    <row r="506" customFormat="false" ht="15" hidden="false" customHeight="true" outlineLevel="0" collapsed="false">
      <c r="A506" s="17" t="s">
        <v>116</v>
      </c>
      <c r="B506" s="18" t="str">
        <f aca="false">IFERROR(VLOOKUP(A506,NOMENCLATOR!$A:$E,2,0),"")</f>
        <v>CUTIE MICA HOMESTYLE BRG.2024</v>
      </c>
      <c r="C506" s="19" t="n">
        <v>1</v>
      </c>
      <c r="D506" s="20" t="str">
        <f aca="false">IFERROR(VLOOKUP(A506,NOMENCLATOR!$A:$E,3,0),"")</f>
        <v>EA</v>
      </c>
      <c r="E506" s="21" t="n">
        <f aca="false">IFERROR(VLOOKUP(A506,NOMENCLATOR!$A:$E,4,0),"")</f>
        <v>0.693</v>
      </c>
      <c r="F506" s="21" t="n">
        <f aca="false">IF(OR(C506="",E506=""),"",C506*E506)</f>
        <v>0.693</v>
      </c>
      <c r="G506" s="22" t="n">
        <f aca="false">IFERROR(VLOOKUP(A506,NOMENCLATOR!$A:$E,5,0),"")</f>
        <v>0.693</v>
      </c>
      <c r="H506" s="22" t="n">
        <f aca="false">IF(OR(C506="",G506=""),"",C506*G506)</f>
        <v>0.693</v>
      </c>
    </row>
    <row r="507" customFormat="false" ht="15" hidden="false" customHeight="true" outlineLevel="0" collapsed="false">
      <c r="A507" s="17" t="s">
        <v>244</v>
      </c>
      <c r="B507" s="18" t="str">
        <f aca="false">IFERROR(VLOOKUP(A507,NOMENCLATOR!$A:$E,2,0),"")</f>
        <v>PUNGA 11x5x12.5 BURGER MIC</v>
      </c>
      <c r="C507" s="19" t="n">
        <v>1</v>
      </c>
      <c r="D507" s="20" t="str">
        <f aca="false">IFERROR(VLOOKUP(A507,NOMENCLATOR!$A:$E,3,0),"")</f>
        <v>EA</v>
      </c>
      <c r="E507" s="21" t="n">
        <f aca="false">IFERROR(VLOOKUP(A507,NOMENCLATOR!$A:$E,4,0),"")</f>
        <v>0.105</v>
      </c>
      <c r="F507" s="21" t="n">
        <f aca="false">IF(OR(C507="",E507=""),"",C507*E507)</f>
        <v>0.105</v>
      </c>
      <c r="G507" s="22" t="n">
        <f aca="false">IFERROR(VLOOKUP(A507,NOMENCLATOR!$A:$E,5,0),"")</f>
        <v>0.105</v>
      </c>
      <c r="H507" s="22" t="n">
        <f aca="false">IF(OR(C507="",G507=""),"",C507*G507)</f>
        <v>0.105</v>
      </c>
    </row>
    <row r="508" customFormat="false" ht="15" hidden="false" customHeight="true" outlineLevel="0" collapsed="false">
      <c r="A508" s="23" t="str">
        <f aca="false">IF(A498="","",A498)</f>
        <v>HOMESTYLE CHICKEN LEMON LETTUCE WRAP D</v>
      </c>
      <c r="B508" s="24"/>
      <c r="C508" s="24"/>
      <c r="D508" s="24"/>
      <c r="E508" s="24"/>
      <c r="F508" s="25" t="n">
        <f aca="false">IF(A498="","",SUM(F500:F507))</f>
        <v>10.886248</v>
      </c>
      <c r="G508" s="24"/>
      <c r="H508" s="26" t="n">
        <f aca="false">IF(A498="","",SUM(H500:H507))</f>
        <v>10.886248</v>
      </c>
    </row>
    <row r="510" customFormat="false" ht="15" hidden="false" customHeight="true" outlineLevel="0" collapsed="false">
      <c r="A510" s="12" t="s">
        <v>369</v>
      </c>
      <c r="B510" s="13"/>
      <c r="C510" s="13"/>
      <c r="D510" s="13"/>
      <c r="E510" s="13"/>
      <c r="F510" s="14" t="s">
        <v>351</v>
      </c>
      <c r="G510" s="13"/>
      <c r="H510" s="15"/>
    </row>
    <row r="511" customFormat="false" ht="15" hidden="false" customHeight="true" outlineLevel="0" collapsed="false">
      <c r="A511" s="16" t="s">
        <v>316</v>
      </c>
      <c r="B511" s="16" t="s">
        <v>317</v>
      </c>
      <c r="C511" s="16" t="s">
        <v>318</v>
      </c>
      <c r="D511" s="16" t="s">
        <v>4</v>
      </c>
      <c r="E511" s="16" t="s">
        <v>319</v>
      </c>
      <c r="F511" s="16" t="s">
        <v>320</v>
      </c>
      <c r="G511" s="16" t="s">
        <v>321</v>
      </c>
      <c r="H511" s="16" t="s">
        <v>322</v>
      </c>
    </row>
    <row r="512" customFormat="false" ht="15" hidden="false" customHeight="true" outlineLevel="0" collapsed="false">
      <c r="A512" s="17" t="s">
        <v>98</v>
      </c>
      <c r="B512" s="18" t="str">
        <f aca="false">IFERROR(VLOOKUP(A512,NOMENCLATOR!$A:$E,2,0),"")</f>
        <v>CHIFLA CARTOF 3.5inch 53G x 72</v>
      </c>
      <c r="C512" s="19" t="n">
        <v>1</v>
      </c>
      <c r="D512" s="20" t="str">
        <f aca="false">IFERROR(VLOOKUP(A512,NOMENCLATOR!$A:$E,3,0),"")</f>
        <v>EA</v>
      </c>
      <c r="E512" s="21" t="n">
        <f aca="false">IFERROR(VLOOKUP(A512,NOMENCLATOR!$A:$E,4,0),"")</f>
        <v>2.4</v>
      </c>
      <c r="F512" s="21" t="n">
        <f aca="false">IF(OR(C512="",E512=""),"",C512*E512)</f>
        <v>2.4</v>
      </c>
      <c r="G512" s="22" t="n">
        <f aca="false">IFERROR(VLOOKUP(A512,NOMENCLATOR!$A:$E,5,0),"")</f>
        <v>2.4</v>
      </c>
      <c r="H512" s="22" t="n">
        <f aca="false">IF(OR(C512="",G512=""),"",C512*G512)</f>
        <v>2.4</v>
      </c>
    </row>
    <row r="513" customFormat="false" ht="15" hidden="false" customHeight="true" outlineLevel="0" collapsed="false">
      <c r="A513" s="17" t="s">
        <v>208</v>
      </c>
      <c r="B513" s="18" t="str">
        <f aca="false">IFERROR(VLOOKUP(A513,NOMENCLATOR!$A:$E,2,0),"")</f>
        <v>Patties pui 50gr Transavia</v>
      </c>
      <c r="C513" s="19" t="n">
        <v>3</v>
      </c>
      <c r="D513" s="20" t="str">
        <f aca="false">IFERROR(VLOOKUP(A513,NOMENCLATOR!$A:$E,3,0),"")</f>
        <v>EA</v>
      </c>
      <c r="E513" s="21" t="n">
        <f aca="false">IFERROR(VLOOKUP(A513,NOMENCLATOR!$A:$E,4,0),"")</f>
        <v>1.171</v>
      </c>
      <c r="F513" s="21" t="n">
        <f aca="false">IF(OR(C513="",E513=""),"",C513*E513)</f>
        <v>3.513</v>
      </c>
      <c r="G513" s="22" t="n">
        <f aca="false">IFERROR(VLOOKUP(A513,NOMENCLATOR!$A:$E,5,0),"")</f>
        <v>1.171</v>
      </c>
      <c r="H513" s="22" t="n">
        <f aca="false">IF(OR(C513="",G513=""),"",C513*G513)</f>
        <v>3.513</v>
      </c>
    </row>
    <row r="514" customFormat="false" ht="15" hidden="false" customHeight="true" outlineLevel="0" collapsed="false">
      <c r="A514" s="17" t="s">
        <v>136</v>
      </c>
      <c r="B514" s="18" t="str">
        <f aca="false">IFERROR(VLOOKUP(A514,NOMENCLATOR!$A:$E,2,0),"")</f>
        <v>Hartie Kraft Pui</v>
      </c>
      <c r="C514" s="19" t="n">
        <v>1</v>
      </c>
      <c r="D514" s="20" t="str">
        <f aca="false">IFERROR(VLOOKUP(A514,NOMENCLATOR!$A:$E,3,0),"")</f>
        <v>EA</v>
      </c>
      <c r="E514" s="21" t="n">
        <f aca="false">IFERROR(VLOOKUP(A514,NOMENCLATOR!$A:$E,4,0),"")</f>
        <v>0.103</v>
      </c>
      <c r="F514" s="21" t="n">
        <f aca="false">IF(OR(C514="",E514=""),"",C514*E514)</f>
        <v>0.103</v>
      </c>
      <c r="G514" s="22" t="n">
        <f aca="false">IFERROR(VLOOKUP(A514,NOMENCLATOR!$A:$E,5,0),"")</f>
        <v>0.103</v>
      </c>
      <c r="H514" s="22" t="n">
        <f aca="false">IF(OR(C514="",G514=""),"",C514*G514)</f>
        <v>0.103</v>
      </c>
    </row>
    <row r="515" customFormat="false" ht="15" hidden="false" customHeight="true" outlineLevel="0" collapsed="false">
      <c r="A515" s="17" t="s">
        <v>300</v>
      </c>
      <c r="B515" s="18" t="str">
        <f aca="false">IFERROR(VLOOKUP(A515,NOMENCLATOR!$A:$E,2,0),"")</f>
        <v>Ulei de alune</v>
      </c>
      <c r="C515" s="19" t="n">
        <v>60</v>
      </c>
      <c r="D515" s="20" t="str">
        <f aca="false">IFERROR(VLOOKUP(A515,NOMENCLATOR!$A:$E,3,0),"")</f>
        <v>ML</v>
      </c>
      <c r="E515" s="21" t="n">
        <f aca="false">IFERROR(VLOOKUP(A515,NOMENCLATOR!$A:$E,4,0),"")</f>
        <v>0.0169</v>
      </c>
      <c r="F515" s="21" t="n">
        <f aca="false">IF(OR(C515="",E515=""),"",C515*E515)</f>
        <v>1.014</v>
      </c>
      <c r="G515" s="22" t="n">
        <f aca="false">IFERROR(VLOOKUP(A515,NOMENCLATOR!$A:$E,5,0),"")</f>
        <v>0.0169</v>
      </c>
      <c r="H515" s="22" t="n">
        <f aca="false">IF(OR(C515="",G515=""),"",C515*G515)</f>
        <v>1.014</v>
      </c>
    </row>
    <row r="516" customFormat="false" ht="15" hidden="false" customHeight="true" outlineLevel="0" collapsed="false">
      <c r="A516" s="17" t="s">
        <v>280</v>
      </c>
      <c r="B516" s="18" t="str">
        <f aca="false">IFERROR(VLOOKUP(A516,NOMENCLATOR!$A:$E,2,0),"")</f>
        <v>Sos Brender Mayo BIB</v>
      </c>
      <c r="C516" s="19" t="n">
        <v>20</v>
      </c>
      <c r="D516" s="20" t="str">
        <f aca="false">IFERROR(VLOOKUP(A516,NOMENCLATOR!$A:$E,3,0),"")</f>
        <v>ML</v>
      </c>
      <c r="E516" s="21" t="n">
        <f aca="false">IFERROR(VLOOKUP(A516,NOMENCLATOR!$A:$E,4,0),"")</f>
        <v>0.023</v>
      </c>
      <c r="F516" s="21" t="n">
        <f aca="false">IF(OR(C516="",E516=""),"",C516*E516)</f>
        <v>0.46</v>
      </c>
      <c r="G516" s="22" t="n">
        <f aca="false">IFERROR(VLOOKUP(A516,NOMENCLATOR!$A:$E,5,0),"")</f>
        <v>0.023</v>
      </c>
      <c r="H516" s="22" t="n">
        <f aca="false">IF(OR(C516="",G516=""),"",C516*G516)</f>
        <v>0.46</v>
      </c>
    </row>
    <row r="517" customFormat="false" ht="15" hidden="false" customHeight="true" outlineLevel="0" collapsed="false">
      <c r="A517" s="17" t="s">
        <v>272</v>
      </c>
      <c r="B517" s="18" t="str">
        <f aca="false">IFERROR(VLOOKUP(A517,NOMENCLATOR!$A:$E,2,0),"")</f>
        <v>Salata Eisberg</v>
      </c>
      <c r="C517" s="19" t="n">
        <v>15</v>
      </c>
      <c r="D517" s="20" t="str">
        <f aca="false">IFERROR(VLOOKUP(A517,NOMENCLATOR!$A:$E,3,0),"")</f>
        <v>GM</v>
      </c>
      <c r="E517" s="21" t="n">
        <f aca="false">IFERROR(VLOOKUP(A517,NOMENCLATOR!$A:$E,4,0),"")</f>
        <v>0.02</v>
      </c>
      <c r="F517" s="21" t="n">
        <f aca="false">IF(OR(C517="",E517=""),"",C517*E517)</f>
        <v>0.3</v>
      </c>
      <c r="G517" s="22" t="n">
        <f aca="false">IFERROR(VLOOKUP(A517,NOMENCLATOR!$A:$E,5,0),"")</f>
        <v>0.02</v>
      </c>
      <c r="H517" s="22" t="n">
        <f aca="false">IF(OR(C517="",G517=""),"",C517*G517)</f>
        <v>0.3</v>
      </c>
    </row>
    <row r="518" customFormat="false" ht="15" hidden="false" customHeight="true" outlineLevel="0" collapsed="false">
      <c r="A518" s="17" t="s">
        <v>310</v>
      </c>
      <c r="B518" s="18" t="str">
        <f aca="false">IFERROR(VLOOKUP(A518,NOMENCLATOR!$A:$E,2,0),"")</f>
        <v>Y-Castraveti felii in saramura</v>
      </c>
      <c r="C518" s="19" t="n">
        <v>5.6</v>
      </c>
      <c r="D518" s="20" t="str">
        <f aca="false">IFERROR(VLOOKUP(A518,NOMENCLATOR!$A:$E,3,0),"")</f>
        <v>GM</v>
      </c>
      <c r="E518" s="21" t="n">
        <f aca="false">IFERROR(VLOOKUP(A518,NOMENCLATOR!$A:$E,4,0),"")</f>
        <v>0.01554</v>
      </c>
      <c r="F518" s="21" t="n">
        <f aca="false">IF(OR(C518="",E518=""),"",C518*E518)</f>
        <v>0.087024</v>
      </c>
      <c r="G518" s="22" t="n">
        <f aca="false">IFERROR(VLOOKUP(A518,NOMENCLATOR!$A:$E,5,0),"")</f>
        <v>0.01554</v>
      </c>
      <c r="H518" s="22" t="n">
        <f aca="false">IF(OR(C518="",G518=""),"",C518*G518)</f>
        <v>0.087024</v>
      </c>
    </row>
    <row r="519" customFormat="false" ht="15" hidden="false" customHeight="true" outlineLevel="0" collapsed="false">
      <c r="A519" s="23" t="str">
        <f aca="false">IF(A510="","",A510)</f>
        <v>TRIPLU PUI BURGER new</v>
      </c>
      <c r="B519" s="24"/>
      <c r="C519" s="24"/>
      <c r="D519" s="24"/>
      <c r="E519" s="24"/>
      <c r="F519" s="25" t="n">
        <f aca="false">IF(A510="","",SUM(F512:F518))</f>
        <v>7.877024</v>
      </c>
      <c r="G519" s="24"/>
      <c r="H519" s="26" t="n">
        <f aca="false">IF(A510="","",SUM(H512:H518))</f>
        <v>7.877024</v>
      </c>
    </row>
    <row r="521" customFormat="false" ht="15" hidden="false" customHeight="true" outlineLevel="0" collapsed="false">
      <c r="A521" s="12" t="s">
        <v>370</v>
      </c>
      <c r="B521" s="13"/>
      <c r="C521" s="13"/>
      <c r="D521" s="13"/>
      <c r="E521" s="13"/>
      <c r="F521" s="14" t="s">
        <v>351</v>
      </c>
      <c r="G521" s="13"/>
      <c r="H521" s="15"/>
    </row>
    <row r="522" customFormat="false" ht="15" hidden="false" customHeight="true" outlineLevel="0" collapsed="false">
      <c r="A522" s="16" t="s">
        <v>316</v>
      </c>
      <c r="B522" s="16" t="s">
        <v>317</v>
      </c>
      <c r="C522" s="16" t="s">
        <v>318</v>
      </c>
      <c r="D522" s="16" t="s">
        <v>4</v>
      </c>
      <c r="E522" s="16" t="s">
        <v>319</v>
      </c>
      <c r="F522" s="16" t="s">
        <v>320</v>
      </c>
      <c r="G522" s="16" t="s">
        <v>321</v>
      </c>
      <c r="H522" s="16" t="s">
        <v>322</v>
      </c>
    </row>
    <row r="523" customFormat="false" ht="15" hidden="false" customHeight="true" outlineLevel="0" collapsed="false">
      <c r="A523" s="17" t="s">
        <v>98</v>
      </c>
      <c r="B523" s="18" t="str">
        <f aca="false">IFERROR(VLOOKUP(A523,NOMENCLATOR!$A:$E,2,0),"")</f>
        <v>CHIFLA CARTOF 3.5inch 53G x 72</v>
      </c>
      <c r="C523" s="19" t="n">
        <v>1</v>
      </c>
      <c r="D523" s="20" t="str">
        <f aca="false">IFERROR(VLOOKUP(A523,NOMENCLATOR!$A:$E,3,0),"")</f>
        <v>EA</v>
      </c>
      <c r="E523" s="21" t="n">
        <f aca="false">IFERROR(VLOOKUP(A523,NOMENCLATOR!$A:$E,4,0),"")</f>
        <v>2.4</v>
      </c>
      <c r="F523" s="21" t="n">
        <f aca="false">IF(OR(C523="",E523=""),"",C523*E523)</f>
        <v>2.4</v>
      </c>
      <c r="G523" s="22" t="n">
        <f aca="false">IFERROR(VLOOKUP(A523,NOMENCLATOR!$A:$E,5,0),"")</f>
        <v>2.4</v>
      </c>
      <c r="H523" s="22" t="n">
        <f aca="false">IF(OR(C523="",G523=""),"",C523*G523)</f>
        <v>2.4</v>
      </c>
    </row>
    <row r="524" customFormat="false" ht="15" hidden="false" customHeight="true" outlineLevel="0" collapsed="false">
      <c r="A524" s="17" t="s">
        <v>208</v>
      </c>
      <c r="B524" s="18" t="str">
        <f aca="false">IFERROR(VLOOKUP(A524,NOMENCLATOR!$A:$E,2,0),"")</f>
        <v>Patties pui 50gr Transavia</v>
      </c>
      <c r="C524" s="19" t="n">
        <v>3</v>
      </c>
      <c r="D524" s="20" t="str">
        <f aca="false">IFERROR(VLOOKUP(A524,NOMENCLATOR!$A:$E,3,0),"")</f>
        <v>EA</v>
      </c>
      <c r="E524" s="21" t="n">
        <f aca="false">IFERROR(VLOOKUP(A524,NOMENCLATOR!$A:$E,4,0),"")</f>
        <v>1.171</v>
      </c>
      <c r="F524" s="21" t="n">
        <f aca="false">IF(OR(C524="",E524=""),"",C524*E524)</f>
        <v>3.513</v>
      </c>
      <c r="G524" s="22" t="n">
        <f aca="false">IFERROR(VLOOKUP(A524,NOMENCLATOR!$A:$E,5,0),"")</f>
        <v>1.171</v>
      </c>
      <c r="H524" s="22" t="n">
        <f aca="false">IF(OR(C524="",G524=""),"",C524*G524)</f>
        <v>3.513</v>
      </c>
    </row>
    <row r="525" customFormat="false" ht="15" hidden="false" customHeight="true" outlineLevel="0" collapsed="false">
      <c r="A525" s="17" t="s">
        <v>300</v>
      </c>
      <c r="B525" s="18" t="str">
        <f aca="false">IFERROR(VLOOKUP(A525,NOMENCLATOR!$A:$E,2,0),"")</f>
        <v>Ulei de alune</v>
      </c>
      <c r="C525" s="19" t="n">
        <v>60</v>
      </c>
      <c r="D525" s="20" t="str">
        <f aca="false">IFERROR(VLOOKUP(A525,NOMENCLATOR!$A:$E,3,0),"")</f>
        <v>ML</v>
      </c>
      <c r="E525" s="21" t="n">
        <f aca="false">IFERROR(VLOOKUP(A525,NOMENCLATOR!$A:$E,4,0),"")</f>
        <v>0.0169</v>
      </c>
      <c r="F525" s="21" t="n">
        <f aca="false">IF(OR(C525="",E525=""),"",C525*E525)</f>
        <v>1.014</v>
      </c>
      <c r="G525" s="22" t="n">
        <f aca="false">IFERROR(VLOOKUP(A525,NOMENCLATOR!$A:$E,5,0),"")</f>
        <v>0.0169</v>
      </c>
      <c r="H525" s="22" t="n">
        <f aca="false">IF(OR(C525="",G525=""),"",C525*G525)</f>
        <v>1.014</v>
      </c>
    </row>
    <row r="526" customFormat="false" ht="15" hidden="false" customHeight="true" outlineLevel="0" collapsed="false">
      <c r="A526" s="17" t="s">
        <v>298</v>
      </c>
      <c r="B526" s="18" t="str">
        <f aca="false">IFERROR(VLOOKUP(A526,NOMENCLATOR!$A:$E,2,0),"")</f>
        <v>Truffle Mayonaise 10L</v>
      </c>
      <c r="C526" s="19" t="n">
        <v>30</v>
      </c>
      <c r="D526" s="20" t="str">
        <f aca="false">IFERROR(VLOOKUP(A526,NOMENCLATOR!$A:$E,3,0),"")</f>
        <v>ML</v>
      </c>
      <c r="E526" s="21" t="n">
        <f aca="false">IFERROR(VLOOKUP(A526,NOMENCLATOR!$A:$E,4,0),"")</f>
        <v>0.03506</v>
      </c>
      <c r="F526" s="21" t="n">
        <f aca="false">IF(OR(C526="",E526=""),"",C526*E526)</f>
        <v>1.0518</v>
      </c>
      <c r="G526" s="22" t="n">
        <f aca="false">IFERROR(VLOOKUP(A526,NOMENCLATOR!$A:$E,5,0),"")</f>
        <v>0.03506</v>
      </c>
      <c r="H526" s="22" t="n">
        <f aca="false">IF(OR(C526="",G526=""),"",C526*G526)</f>
        <v>1.0518</v>
      </c>
    </row>
    <row r="527" customFormat="false" ht="15" hidden="false" customHeight="true" outlineLevel="0" collapsed="false">
      <c r="A527" s="17" t="s">
        <v>94</v>
      </c>
      <c r="B527" s="18" t="str">
        <f aca="false">IFERROR(VLOOKUP(A527,NOMENCLATOR!$A:$E,2,0),"")</f>
        <v>Ceapa prajita</v>
      </c>
      <c r="C527" s="19" t="n">
        <v>15</v>
      </c>
      <c r="D527" s="20" t="str">
        <f aca="false">IFERROR(VLOOKUP(A527,NOMENCLATOR!$A:$E,3,0),"")</f>
        <v>GM</v>
      </c>
      <c r="E527" s="21" t="n">
        <f aca="false">IFERROR(VLOOKUP(A527,NOMENCLATOR!$A:$E,4,0),"")</f>
        <v>0.0266</v>
      </c>
      <c r="F527" s="21" t="n">
        <f aca="false">IF(OR(C527="",E527=""),"",C527*E527)</f>
        <v>0.399</v>
      </c>
      <c r="G527" s="22" t="n">
        <f aca="false">IFERROR(VLOOKUP(A527,NOMENCLATOR!$A:$E,5,0),"")</f>
        <v>0.0266</v>
      </c>
      <c r="H527" s="22" t="n">
        <f aca="false">IF(OR(C527="",G527=""),"",C527*G527)</f>
        <v>0.399</v>
      </c>
    </row>
    <row r="528" customFormat="false" ht="15" hidden="false" customHeight="true" outlineLevel="0" collapsed="false">
      <c r="A528" s="17" t="s">
        <v>68</v>
      </c>
      <c r="B528" s="18" t="str">
        <f aca="false">IFERROR(VLOOKUP(A528,NOMENCLATOR!$A:$E,2,0),"")</f>
        <v>Branza cheddar felii 2026</v>
      </c>
      <c r="C528" s="19" t="n">
        <v>2</v>
      </c>
      <c r="D528" s="20" t="str">
        <f aca="false">IFERROR(VLOOKUP(A528,NOMENCLATOR!$A:$E,3,0),"")</f>
        <v>EA</v>
      </c>
      <c r="E528" s="21" t="n">
        <f aca="false">IFERROR(VLOOKUP(A528,NOMENCLATOR!$A:$E,4,0),"")</f>
        <v>0.61567</v>
      </c>
      <c r="F528" s="21" t="n">
        <f aca="false">IF(OR(C528="",E528=""),"",C528*E528)</f>
        <v>1.23134</v>
      </c>
      <c r="G528" s="22" t="n">
        <f aca="false">IFERROR(VLOOKUP(A528,NOMENCLATOR!$A:$E,5,0),"")</f>
        <v>0.61567</v>
      </c>
      <c r="H528" s="22" t="n">
        <f aca="false">IF(OR(C528="",G528=""),"",C528*G528)</f>
        <v>1.23134</v>
      </c>
    </row>
    <row r="529" customFormat="false" ht="15" hidden="false" customHeight="true" outlineLevel="0" collapsed="false">
      <c r="A529" s="17" t="s">
        <v>310</v>
      </c>
      <c r="B529" s="18" t="str">
        <f aca="false">IFERROR(VLOOKUP(A529,NOMENCLATOR!$A:$E,2,0),"")</f>
        <v>Y-Castraveti felii in saramura</v>
      </c>
      <c r="C529" s="19" t="n">
        <v>11.2</v>
      </c>
      <c r="D529" s="20" t="str">
        <f aca="false">IFERROR(VLOOKUP(A529,NOMENCLATOR!$A:$E,3,0),"")</f>
        <v>GM</v>
      </c>
      <c r="E529" s="21" t="n">
        <f aca="false">IFERROR(VLOOKUP(A529,NOMENCLATOR!$A:$E,4,0),"")</f>
        <v>0.01554</v>
      </c>
      <c r="F529" s="21" t="n">
        <f aca="false">IF(OR(C529="",E529=""),"",C529*E529)</f>
        <v>0.174048</v>
      </c>
      <c r="G529" s="22" t="n">
        <f aca="false">IFERROR(VLOOKUP(A529,NOMENCLATOR!$A:$E,5,0),"")</f>
        <v>0.01554</v>
      </c>
      <c r="H529" s="22" t="n">
        <f aca="false">IF(OR(C529="",G529=""),"",C529*G529)</f>
        <v>0.174048</v>
      </c>
    </row>
    <row r="530" customFormat="false" ht="15" hidden="false" customHeight="true" outlineLevel="0" collapsed="false">
      <c r="A530" s="17" t="s">
        <v>136</v>
      </c>
      <c r="B530" s="18" t="str">
        <f aca="false">IFERROR(VLOOKUP(A530,NOMENCLATOR!$A:$E,2,0),"")</f>
        <v>Hartie Kraft Pui</v>
      </c>
      <c r="C530" s="19" t="n">
        <v>1</v>
      </c>
      <c r="D530" s="20" t="str">
        <f aca="false">IFERROR(VLOOKUP(A530,NOMENCLATOR!$A:$E,3,0),"")</f>
        <v>EA</v>
      </c>
      <c r="E530" s="21" t="n">
        <f aca="false">IFERROR(VLOOKUP(A530,NOMENCLATOR!$A:$E,4,0),"")</f>
        <v>0.103</v>
      </c>
      <c r="F530" s="21" t="n">
        <f aca="false">IF(OR(C530="",E530=""),"",C530*E530)</f>
        <v>0.103</v>
      </c>
      <c r="G530" s="22" t="n">
        <f aca="false">IFERROR(VLOOKUP(A530,NOMENCLATOR!$A:$E,5,0),"")</f>
        <v>0.103</v>
      </c>
      <c r="H530" s="22" t="n">
        <f aca="false">IF(OR(C530="",G530=""),"",C530*G530)</f>
        <v>0.103</v>
      </c>
    </row>
    <row r="531" customFormat="false" ht="15" hidden="false" customHeight="true" outlineLevel="0" collapsed="false">
      <c r="A531" s="23" t="str">
        <f aca="false">IF(A521="","",A521)</f>
        <v>TRIPLU CHICKEN TRUFFLE new D</v>
      </c>
      <c r="B531" s="24"/>
      <c r="C531" s="24"/>
      <c r="D531" s="24"/>
      <c r="E531" s="24"/>
      <c r="F531" s="25" t="n">
        <f aca="false">IF(A521="","",SUM(F523:F530))</f>
        <v>9.886188</v>
      </c>
      <c r="G531" s="24"/>
      <c r="H531" s="26" t="n">
        <f aca="false">IF(A521="","",SUM(H523:H530))</f>
        <v>9.886188</v>
      </c>
    </row>
    <row r="533" customFormat="false" ht="15" hidden="false" customHeight="true" outlineLevel="0" collapsed="false">
      <c r="A533" s="12" t="s">
        <v>371</v>
      </c>
      <c r="B533" s="13"/>
      <c r="C533" s="13"/>
      <c r="D533" s="13"/>
      <c r="E533" s="13"/>
      <c r="F533" s="14" t="s">
        <v>372</v>
      </c>
      <c r="G533" s="13"/>
      <c r="H533" s="15"/>
    </row>
    <row r="534" customFormat="false" ht="15" hidden="false" customHeight="true" outlineLevel="0" collapsed="false">
      <c r="A534" s="16" t="s">
        <v>316</v>
      </c>
      <c r="B534" s="16" t="s">
        <v>317</v>
      </c>
      <c r="C534" s="16" t="s">
        <v>318</v>
      </c>
      <c r="D534" s="16" t="s">
        <v>4</v>
      </c>
      <c r="E534" s="16" t="s">
        <v>319</v>
      </c>
      <c r="F534" s="16" t="s">
        <v>320</v>
      </c>
      <c r="G534" s="16" t="s">
        <v>321</v>
      </c>
      <c r="H534" s="16" t="s">
        <v>322</v>
      </c>
    </row>
    <row r="535" customFormat="false" ht="15" hidden="false" customHeight="true" outlineLevel="0" collapsed="false">
      <c r="A535" s="17" t="s">
        <v>98</v>
      </c>
      <c r="B535" s="18" t="str">
        <f aca="false">IFERROR(VLOOKUP(A535,NOMENCLATOR!$A:$E,2,0),"")</f>
        <v>CHIFLA CARTOF 3.5inch 53G x 72</v>
      </c>
      <c r="C535" s="19" t="n">
        <v>1</v>
      </c>
      <c r="D535" s="20" t="str">
        <f aca="false">IFERROR(VLOOKUP(A535,NOMENCLATOR!$A:$E,3,0),"")</f>
        <v>EA</v>
      </c>
      <c r="E535" s="21" t="n">
        <f aca="false">IFERROR(VLOOKUP(A535,NOMENCLATOR!$A:$E,4,0),"")</f>
        <v>2.4</v>
      </c>
      <c r="F535" s="21" t="n">
        <f aca="false">IF(OR(C535="",E535=""),"",C535*E535)</f>
        <v>2.4</v>
      </c>
      <c r="G535" s="22" t="n">
        <f aca="false">IFERROR(VLOOKUP(A535,NOMENCLATOR!$A:$E,5,0),"")</f>
        <v>2.4</v>
      </c>
      <c r="H535" s="22" t="n">
        <f aca="false">IF(OR(C535="",G535=""),"",C535*G535)</f>
        <v>2.4</v>
      </c>
    </row>
    <row r="536" customFormat="false" ht="15" hidden="false" customHeight="true" outlineLevel="0" collapsed="false">
      <c r="A536" s="17" t="s">
        <v>102</v>
      </c>
      <c r="B536" s="18" t="str">
        <f aca="false">IFERROR(VLOOKUP(A536,NOMENCLATOR!$A:$E,2,0),"")</f>
        <v>Creme castraveti 200 gr</v>
      </c>
      <c r="C536" s="19" t="n">
        <v>50</v>
      </c>
      <c r="D536" s="20" t="str">
        <f aca="false">IFERROR(VLOOKUP(A536,NOMENCLATOR!$A:$E,3,0),"")</f>
        <v>GM</v>
      </c>
      <c r="E536" s="21" t="n">
        <f aca="false">IFERROR(VLOOKUP(A536,NOMENCLATOR!$A:$E,4,0),"")</f>
        <v>0.036</v>
      </c>
      <c r="F536" s="21" t="n">
        <f aca="false">IF(OR(C536="",E536=""),"",C536*E536)</f>
        <v>1.8</v>
      </c>
      <c r="G536" s="22" t="n">
        <f aca="false">IFERROR(VLOOKUP(A536,NOMENCLATOR!$A:$E,5,0),"")</f>
        <v>0.036</v>
      </c>
      <c r="H536" s="22" t="n">
        <f aca="false">IF(OR(C536="",G536=""),"",C536*G536)</f>
        <v>1.8</v>
      </c>
    </row>
    <row r="537" customFormat="false" ht="15" hidden="false" customHeight="true" outlineLevel="0" collapsed="false">
      <c r="A537" s="17" t="s">
        <v>208</v>
      </c>
      <c r="B537" s="18" t="str">
        <f aca="false">IFERROR(VLOOKUP(A537,NOMENCLATOR!$A:$E,2,0),"")</f>
        <v>Patties pui 50gr Transavia</v>
      </c>
      <c r="C537" s="19" t="n">
        <v>1</v>
      </c>
      <c r="D537" s="20" t="str">
        <f aca="false">IFERROR(VLOOKUP(A537,NOMENCLATOR!$A:$E,3,0),"")</f>
        <v>EA</v>
      </c>
      <c r="E537" s="21" t="n">
        <f aca="false">IFERROR(VLOOKUP(A537,NOMENCLATOR!$A:$E,4,0),"")</f>
        <v>1.171</v>
      </c>
      <c r="F537" s="21" t="n">
        <f aca="false">IF(OR(C537="",E537=""),"",C537*E537)</f>
        <v>1.171</v>
      </c>
      <c r="G537" s="22" t="n">
        <f aca="false">IFERROR(VLOOKUP(A537,NOMENCLATOR!$A:$E,5,0),"")</f>
        <v>1.171</v>
      </c>
      <c r="H537" s="22" t="n">
        <f aca="false">IF(OR(C537="",G537=""),"",C537*G537)</f>
        <v>1.171</v>
      </c>
    </row>
    <row r="538" customFormat="false" ht="15" hidden="false" customHeight="true" outlineLevel="0" collapsed="false">
      <c r="A538" s="17" t="s">
        <v>300</v>
      </c>
      <c r="B538" s="18" t="str">
        <f aca="false">IFERROR(VLOOKUP(A538,NOMENCLATOR!$A:$E,2,0),"")</f>
        <v>Ulei de alune</v>
      </c>
      <c r="C538" s="19" t="n">
        <v>20</v>
      </c>
      <c r="D538" s="20" t="str">
        <f aca="false">IFERROR(VLOOKUP(A538,NOMENCLATOR!$A:$E,3,0),"")</f>
        <v>ML</v>
      </c>
      <c r="E538" s="21" t="n">
        <f aca="false">IFERROR(VLOOKUP(A538,NOMENCLATOR!$A:$E,4,0),"")</f>
        <v>0.0169</v>
      </c>
      <c r="F538" s="21" t="n">
        <f aca="false">IF(OR(C538="",E538=""),"",C538*E538)</f>
        <v>0.338</v>
      </c>
      <c r="G538" s="22" t="n">
        <f aca="false">IFERROR(VLOOKUP(A538,NOMENCLATOR!$A:$E,5,0),"")</f>
        <v>0.0169</v>
      </c>
      <c r="H538" s="22" t="n">
        <f aca="false">IF(OR(C538="",G538=""),"",C538*G538)</f>
        <v>0.338</v>
      </c>
    </row>
    <row r="539" customFormat="false" ht="15" hidden="false" customHeight="true" outlineLevel="0" collapsed="false">
      <c r="A539" s="17" t="s">
        <v>52</v>
      </c>
      <c r="B539" s="18" t="str">
        <f aca="false">IFERROR(VLOOKUP(A539,NOMENCLATOR!$A:$E,2,0),"")</f>
        <v>Ardei Rosii Capia 2.5kg</v>
      </c>
      <c r="C539" s="19" t="n">
        <v>20</v>
      </c>
      <c r="D539" s="20" t="str">
        <f aca="false">IFERROR(VLOOKUP(A539,NOMENCLATOR!$A:$E,3,0),"")</f>
        <v>GM</v>
      </c>
      <c r="E539" s="21" t="n">
        <f aca="false">IFERROR(VLOOKUP(A539,NOMENCLATOR!$A:$E,4,0),"")</f>
        <v>0.0201</v>
      </c>
      <c r="F539" s="21" t="n">
        <f aca="false">IF(OR(C539="",E539=""),"",C539*E539)</f>
        <v>0.402</v>
      </c>
      <c r="G539" s="22" t="n">
        <f aca="false">IFERROR(VLOOKUP(A539,NOMENCLATOR!$A:$E,5,0),"")</f>
        <v>0.0201</v>
      </c>
      <c r="H539" s="22" t="n">
        <f aca="false">IF(OR(C539="",G539=""),"",C539*G539)</f>
        <v>0.402</v>
      </c>
    </row>
    <row r="540" customFormat="false" ht="15" hidden="false" customHeight="true" outlineLevel="0" collapsed="false">
      <c r="A540" s="17" t="s">
        <v>274</v>
      </c>
      <c r="B540" s="18" t="str">
        <f aca="false">IFERROR(VLOOKUP(A540,NOMENCLATOR!$A:$E,2,0),"")</f>
        <v>SALATA LOLLO BIONDA S 500g</v>
      </c>
      <c r="C540" s="19" t="n">
        <v>10</v>
      </c>
      <c r="D540" s="20" t="str">
        <f aca="false">IFERROR(VLOOKUP(A540,NOMENCLATOR!$A:$E,3,0),"")</f>
        <v>GM</v>
      </c>
      <c r="E540" s="21" t="n">
        <f aca="false">IFERROR(VLOOKUP(A540,NOMENCLATOR!$A:$E,4,0),"")</f>
        <v>0.036</v>
      </c>
      <c r="F540" s="21" t="n">
        <f aca="false">IF(OR(C540="",E540=""),"",C540*E540)</f>
        <v>0.36</v>
      </c>
      <c r="G540" s="22" t="n">
        <f aca="false">IFERROR(VLOOKUP(A540,NOMENCLATOR!$A:$E,5,0),"")</f>
        <v>0.036</v>
      </c>
      <c r="H540" s="22" t="n">
        <f aca="false">IF(OR(C540="",G540=""),"",C540*G540)</f>
        <v>0.36</v>
      </c>
    </row>
    <row r="541" customFormat="false" ht="15" hidden="false" customHeight="true" outlineLevel="0" collapsed="false">
      <c r="A541" s="17" t="s">
        <v>134</v>
      </c>
      <c r="B541" s="18" t="str">
        <f aca="false">IFERROR(VLOOKUP(A541,NOMENCLATOR!$A:$E,2,0),"")</f>
        <v>Hartie Burger Fryday</v>
      </c>
      <c r="C541" s="19" t="n">
        <v>1</v>
      </c>
      <c r="D541" s="20" t="str">
        <f aca="false">IFERROR(VLOOKUP(A541,NOMENCLATOR!$A:$E,3,0),"")</f>
        <v>EA</v>
      </c>
      <c r="E541" s="21" t="n">
        <f aca="false">IFERROR(VLOOKUP(A541,NOMENCLATOR!$A:$E,4,0),"")</f>
        <v>0.115</v>
      </c>
      <c r="F541" s="21" t="n">
        <f aca="false">IF(OR(C541="",E541=""),"",C541*E541)</f>
        <v>0.115</v>
      </c>
      <c r="G541" s="22" t="n">
        <f aca="false">IFERROR(VLOOKUP(A541,NOMENCLATOR!$A:$E,5,0),"")</f>
        <v>0.115</v>
      </c>
      <c r="H541" s="22" t="n">
        <f aca="false">IF(OR(C541="",G541=""),"",C541*G541)</f>
        <v>0.115</v>
      </c>
    </row>
    <row r="542" customFormat="false" ht="15" hidden="false" customHeight="true" outlineLevel="0" collapsed="false">
      <c r="A542" s="23" t="str">
        <f aca="false">IF(A533="","",A533)</f>
        <v>ALMETTE FRESH PUI new</v>
      </c>
      <c r="B542" s="24"/>
      <c r="C542" s="24"/>
      <c r="D542" s="24"/>
      <c r="E542" s="24"/>
      <c r="F542" s="25" t="n">
        <f aca="false">IF(A533="","",SUM(F535:F541))</f>
        <v>6.586</v>
      </c>
      <c r="G542" s="24"/>
      <c r="H542" s="26" t="n">
        <f aca="false">IF(A533="","",SUM(H535:H541))</f>
        <v>6.586</v>
      </c>
    </row>
    <row r="544" customFormat="false" ht="15" hidden="false" customHeight="true" outlineLevel="0" collapsed="false">
      <c r="A544" s="12" t="s">
        <v>373</v>
      </c>
      <c r="B544" s="13"/>
      <c r="C544" s="13"/>
      <c r="D544" s="13"/>
      <c r="E544" s="13"/>
      <c r="F544" s="14" t="s">
        <v>372</v>
      </c>
      <c r="G544" s="13"/>
      <c r="H544" s="15"/>
    </row>
    <row r="545" customFormat="false" ht="15" hidden="false" customHeight="true" outlineLevel="0" collapsed="false">
      <c r="A545" s="16" t="s">
        <v>316</v>
      </c>
      <c r="B545" s="16" t="s">
        <v>317</v>
      </c>
      <c r="C545" s="16" t="s">
        <v>318</v>
      </c>
      <c r="D545" s="16" t="s">
        <v>4</v>
      </c>
      <c r="E545" s="16" t="s">
        <v>319</v>
      </c>
      <c r="F545" s="16" t="s">
        <v>320</v>
      </c>
      <c r="G545" s="16" t="s">
        <v>321</v>
      </c>
      <c r="H545" s="16" t="s">
        <v>322</v>
      </c>
    </row>
    <row r="546" customFormat="false" ht="15" hidden="false" customHeight="true" outlineLevel="0" collapsed="false">
      <c r="A546" s="17" t="s">
        <v>98</v>
      </c>
      <c r="B546" s="18" t="str">
        <f aca="false">IFERROR(VLOOKUP(A546,NOMENCLATOR!$A:$E,2,0),"")</f>
        <v>CHIFLA CARTOF 3.5inch 53G x 72</v>
      </c>
      <c r="C546" s="19" t="n">
        <v>1</v>
      </c>
      <c r="D546" s="20" t="str">
        <f aca="false">IFERROR(VLOOKUP(A546,NOMENCLATOR!$A:$E,3,0),"")</f>
        <v>EA</v>
      </c>
      <c r="E546" s="21" t="n">
        <f aca="false">IFERROR(VLOOKUP(A546,NOMENCLATOR!$A:$E,4,0),"")</f>
        <v>2.4</v>
      </c>
      <c r="F546" s="21" t="n">
        <f aca="false">IF(OR(C546="",E546=""),"",C546*E546)</f>
        <v>2.4</v>
      </c>
      <c r="G546" s="22" t="n">
        <f aca="false">IFERROR(VLOOKUP(A546,NOMENCLATOR!$A:$E,5,0),"")</f>
        <v>2.4</v>
      </c>
      <c r="H546" s="22" t="n">
        <f aca="false">IF(OR(C546="",G546=""),"",C546*G546)</f>
        <v>2.4</v>
      </c>
    </row>
    <row r="547" customFormat="false" ht="15" hidden="false" customHeight="true" outlineLevel="0" collapsed="false">
      <c r="A547" s="17" t="s">
        <v>102</v>
      </c>
      <c r="B547" s="18" t="str">
        <f aca="false">IFERROR(VLOOKUP(A547,NOMENCLATOR!$A:$E,2,0),"")</f>
        <v>Creme castraveti 200 gr</v>
      </c>
      <c r="C547" s="19" t="n">
        <v>50</v>
      </c>
      <c r="D547" s="20" t="str">
        <f aca="false">IFERROR(VLOOKUP(A547,NOMENCLATOR!$A:$E,3,0),"")</f>
        <v>GM</v>
      </c>
      <c r="E547" s="21" t="n">
        <f aca="false">IFERROR(VLOOKUP(A547,NOMENCLATOR!$A:$E,4,0),"")</f>
        <v>0.036</v>
      </c>
      <c r="F547" s="21" t="n">
        <f aca="false">IF(OR(C547="",E547=""),"",C547*E547)</f>
        <v>1.8</v>
      </c>
      <c r="G547" s="22" t="n">
        <f aca="false">IFERROR(VLOOKUP(A547,NOMENCLATOR!$A:$E,5,0),"")</f>
        <v>0.036</v>
      </c>
      <c r="H547" s="22" t="n">
        <f aca="false">IF(OR(C547="",G547=""),"",C547*G547)</f>
        <v>1.8</v>
      </c>
    </row>
    <row r="548" customFormat="false" ht="15" hidden="false" customHeight="true" outlineLevel="0" collapsed="false">
      <c r="A548" s="17" t="s">
        <v>208</v>
      </c>
      <c r="B548" s="18" t="str">
        <f aca="false">IFERROR(VLOOKUP(A548,NOMENCLATOR!$A:$E,2,0),"")</f>
        <v>Patties pui 50gr Transavia</v>
      </c>
      <c r="C548" s="19" t="n">
        <v>1</v>
      </c>
      <c r="D548" s="20" t="str">
        <f aca="false">IFERROR(VLOOKUP(A548,NOMENCLATOR!$A:$E,3,0),"")</f>
        <v>EA</v>
      </c>
      <c r="E548" s="21" t="n">
        <f aca="false">IFERROR(VLOOKUP(A548,NOMENCLATOR!$A:$E,4,0),"")</f>
        <v>1.171</v>
      </c>
      <c r="F548" s="21" t="n">
        <f aca="false">IF(OR(C548="",E548=""),"",C548*E548)</f>
        <v>1.171</v>
      </c>
      <c r="G548" s="22" t="n">
        <f aca="false">IFERROR(VLOOKUP(A548,NOMENCLATOR!$A:$E,5,0),"")</f>
        <v>1.171</v>
      </c>
      <c r="H548" s="22" t="n">
        <f aca="false">IF(OR(C548="",G548=""),"",C548*G548)</f>
        <v>1.171</v>
      </c>
    </row>
    <row r="549" customFormat="false" ht="15" hidden="false" customHeight="true" outlineLevel="0" collapsed="false">
      <c r="A549" s="17" t="s">
        <v>300</v>
      </c>
      <c r="B549" s="18" t="str">
        <f aca="false">IFERROR(VLOOKUP(A549,NOMENCLATOR!$A:$E,2,0),"")</f>
        <v>Ulei de alune</v>
      </c>
      <c r="C549" s="19" t="n">
        <v>20</v>
      </c>
      <c r="D549" s="20" t="str">
        <f aca="false">IFERROR(VLOOKUP(A549,NOMENCLATOR!$A:$E,3,0),"")</f>
        <v>ML</v>
      </c>
      <c r="E549" s="21" t="n">
        <f aca="false">IFERROR(VLOOKUP(A549,NOMENCLATOR!$A:$E,4,0),"")</f>
        <v>0.0169</v>
      </c>
      <c r="F549" s="21" t="n">
        <f aca="false">IF(OR(C549="",E549=""),"",C549*E549)</f>
        <v>0.338</v>
      </c>
      <c r="G549" s="22" t="n">
        <f aca="false">IFERROR(VLOOKUP(A549,NOMENCLATOR!$A:$E,5,0),"")</f>
        <v>0.0169</v>
      </c>
      <c r="H549" s="22" t="n">
        <f aca="false">IF(OR(C549="",G549=""),"",C549*G549)</f>
        <v>0.338</v>
      </c>
    </row>
    <row r="550" customFormat="false" ht="15" hidden="false" customHeight="true" outlineLevel="0" collapsed="false">
      <c r="A550" s="17" t="s">
        <v>52</v>
      </c>
      <c r="B550" s="18" t="str">
        <f aca="false">IFERROR(VLOOKUP(A550,NOMENCLATOR!$A:$E,2,0),"")</f>
        <v>Ardei Rosii Capia 2.5kg</v>
      </c>
      <c r="C550" s="19" t="n">
        <v>20</v>
      </c>
      <c r="D550" s="20" t="str">
        <f aca="false">IFERROR(VLOOKUP(A550,NOMENCLATOR!$A:$E,3,0),"")</f>
        <v>GM</v>
      </c>
      <c r="E550" s="21" t="n">
        <f aca="false">IFERROR(VLOOKUP(A550,NOMENCLATOR!$A:$E,4,0),"")</f>
        <v>0.0201</v>
      </c>
      <c r="F550" s="21" t="n">
        <f aca="false">IF(OR(C550="",E550=""),"",C550*E550)</f>
        <v>0.402</v>
      </c>
      <c r="G550" s="22" t="n">
        <f aca="false">IFERROR(VLOOKUP(A550,NOMENCLATOR!$A:$E,5,0),"")</f>
        <v>0.0201</v>
      </c>
      <c r="H550" s="22" t="n">
        <f aca="false">IF(OR(C550="",G550=""),"",C550*G550)</f>
        <v>0.402</v>
      </c>
    </row>
    <row r="551" customFormat="false" ht="15" hidden="false" customHeight="true" outlineLevel="0" collapsed="false">
      <c r="A551" s="17" t="s">
        <v>274</v>
      </c>
      <c r="B551" s="18" t="str">
        <f aca="false">IFERROR(VLOOKUP(A551,NOMENCLATOR!$A:$E,2,0),"")</f>
        <v>SALATA LOLLO BIONDA S 500g</v>
      </c>
      <c r="C551" s="19" t="n">
        <v>10</v>
      </c>
      <c r="D551" s="20" t="str">
        <f aca="false">IFERROR(VLOOKUP(A551,NOMENCLATOR!$A:$E,3,0),"")</f>
        <v>GM</v>
      </c>
      <c r="E551" s="21" t="n">
        <f aca="false">IFERROR(VLOOKUP(A551,NOMENCLATOR!$A:$E,4,0),"")</f>
        <v>0.036</v>
      </c>
      <c r="F551" s="21" t="n">
        <f aca="false">IF(OR(C551="",E551=""),"",C551*E551)</f>
        <v>0.36</v>
      </c>
      <c r="G551" s="22" t="n">
        <f aca="false">IFERROR(VLOOKUP(A551,NOMENCLATOR!$A:$E,5,0),"")</f>
        <v>0.036</v>
      </c>
      <c r="H551" s="22" t="n">
        <f aca="false">IF(OR(C551="",G551=""),"",C551*G551)</f>
        <v>0.36</v>
      </c>
    </row>
    <row r="552" customFormat="false" ht="15" hidden="false" customHeight="true" outlineLevel="0" collapsed="false">
      <c r="A552" s="17" t="s">
        <v>134</v>
      </c>
      <c r="B552" s="18" t="str">
        <f aca="false">IFERROR(VLOOKUP(A552,NOMENCLATOR!$A:$E,2,0),"")</f>
        <v>Hartie Burger Fryday</v>
      </c>
      <c r="C552" s="19" t="n">
        <v>1</v>
      </c>
      <c r="D552" s="20" t="str">
        <f aca="false">IFERROR(VLOOKUP(A552,NOMENCLATOR!$A:$E,3,0),"")</f>
        <v>EA</v>
      </c>
      <c r="E552" s="21" t="n">
        <f aca="false">IFERROR(VLOOKUP(A552,NOMENCLATOR!$A:$E,4,0),"")</f>
        <v>0.115</v>
      </c>
      <c r="F552" s="21" t="n">
        <f aca="false">IF(OR(C552="",E552=""),"",C552*E552)</f>
        <v>0.115</v>
      </c>
      <c r="G552" s="22" t="n">
        <f aca="false">IFERROR(VLOOKUP(A552,NOMENCLATOR!$A:$E,5,0),"")</f>
        <v>0.115</v>
      </c>
      <c r="H552" s="22" t="n">
        <f aca="false">IF(OR(C552="",G552=""),"",C552*G552)</f>
        <v>0.115</v>
      </c>
    </row>
    <row r="553" customFormat="false" ht="15" hidden="false" customHeight="true" outlineLevel="0" collapsed="false">
      <c r="A553" s="23" t="str">
        <f aca="false">IF(A544="","",A544)</f>
        <v>ALMETTE FRESH PUI new D</v>
      </c>
      <c r="B553" s="24"/>
      <c r="C553" s="24"/>
      <c r="D553" s="24"/>
      <c r="E553" s="24"/>
      <c r="F553" s="25" t="n">
        <f aca="false">IF(A544="","",SUM(F546:F552))</f>
        <v>6.586</v>
      </c>
      <c r="G553" s="24"/>
      <c r="H553" s="26" t="n">
        <f aca="false">IF(A544="","",SUM(H546:H552))</f>
        <v>6.586</v>
      </c>
    </row>
    <row r="555" customFormat="false" ht="15" hidden="false" customHeight="true" outlineLevel="0" collapsed="false">
      <c r="A555" s="12" t="s">
        <v>374</v>
      </c>
      <c r="B555" s="13"/>
      <c r="C555" s="13"/>
      <c r="D555" s="13"/>
      <c r="E555" s="13"/>
      <c r="F555" s="14" t="s">
        <v>372</v>
      </c>
      <c r="G555" s="13"/>
      <c r="H555" s="15"/>
    </row>
    <row r="556" customFormat="false" ht="15" hidden="false" customHeight="true" outlineLevel="0" collapsed="false">
      <c r="A556" s="16" t="s">
        <v>316</v>
      </c>
      <c r="B556" s="16" t="s">
        <v>317</v>
      </c>
      <c r="C556" s="16" t="s">
        <v>318</v>
      </c>
      <c r="D556" s="16" t="s">
        <v>4</v>
      </c>
      <c r="E556" s="16" t="s">
        <v>319</v>
      </c>
      <c r="F556" s="16" t="s">
        <v>320</v>
      </c>
      <c r="G556" s="16" t="s">
        <v>321</v>
      </c>
      <c r="H556" s="16" t="s">
        <v>322</v>
      </c>
    </row>
    <row r="557" customFormat="false" ht="15" hidden="false" customHeight="true" outlineLevel="0" collapsed="false">
      <c r="A557" s="17" t="s">
        <v>98</v>
      </c>
      <c r="B557" s="18" t="str">
        <f aca="false">IFERROR(VLOOKUP(A557,NOMENCLATOR!$A:$E,2,0),"")</f>
        <v>CHIFLA CARTOF 3.5inch 53G x 72</v>
      </c>
      <c r="C557" s="19" t="n">
        <v>1</v>
      </c>
      <c r="D557" s="20" t="str">
        <f aca="false">IFERROR(VLOOKUP(A557,NOMENCLATOR!$A:$E,3,0),"")</f>
        <v>EA</v>
      </c>
      <c r="E557" s="21" t="n">
        <f aca="false">IFERROR(VLOOKUP(A557,NOMENCLATOR!$A:$E,4,0),"")</f>
        <v>2.4</v>
      </c>
      <c r="F557" s="21" t="n">
        <f aca="false">IF(OR(C557="",E557=""),"",C557*E557)</f>
        <v>2.4</v>
      </c>
      <c r="G557" s="22" t="n">
        <f aca="false">IFERROR(VLOOKUP(A557,NOMENCLATOR!$A:$E,5,0),"")</f>
        <v>2.4</v>
      </c>
      <c r="H557" s="22" t="n">
        <f aca="false">IF(OR(C557="",G557=""),"",C557*G557)</f>
        <v>2.4</v>
      </c>
    </row>
    <row r="558" customFormat="false" ht="15" hidden="false" customHeight="true" outlineLevel="0" collapsed="false">
      <c r="A558" s="17" t="s">
        <v>42</v>
      </c>
      <c r="B558" s="18" t="str">
        <f aca="false">IFERROR(VLOOKUP(A558,NOMENCLATOR!$A:$E,2,0),"")</f>
        <v>Almette cu rosii si busuioc 150 gr</v>
      </c>
      <c r="C558" s="19" t="n">
        <v>50</v>
      </c>
      <c r="D558" s="20" t="str">
        <f aca="false">IFERROR(VLOOKUP(A558,NOMENCLATOR!$A:$E,3,0),"")</f>
        <v>GM</v>
      </c>
      <c r="E558" s="21" t="n">
        <f aca="false">IFERROR(VLOOKUP(A558,NOMENCLATOR!$A:$E,4,0),"")</f>
        <v>0.04114</v>
      </c>
      <c r="F558" s="21" t="n">
        <f aca="false">IF(OR(C558="",E558=""),"",C558*E558)</f>
        <v>2.057</v>
      </c>
      <c r="G558" s="22" t="n">
        <f aca="false">IFERROR(VLOOKUP(A558,NOMENCLATOR!$A:$E,5,0),"")</f>
        <v>0.04114</v>
      </c>
      <c r="H558" s="22" t="n">
        <f aca="false">IF(OR(C558="",G558=""),"",C558*G558)</f>
        <v>2.057</v>
      </c>
    </row>
    <row r="559" customFormat="false" ht="15" hidden="false" customHeight="true" outlineLevel="0" collapsed="false">
      <c r="A559" s="17" t="s">
        <v>208</v>
      </c>
      <c r="B559" s="18" t="str">
        <f aca="false">IFERROR(VLOOKUP(A559,NOMENCLATOR!$A:$E,2,0),"")</f>
        <v>Patties pui 50gr Transavia</v>
      </c>
      <c r="C559" s="19" t="n">
        <v>1</v>
      </c>
      <c r="D559" s="20" t="str">
        <f aca="false">IFERROR(VLOOKUP(A559,NOMENCLATOR!$A:$E,3,0),"")</f>
        <v>EA</v>
      </c>
      <c r="E559" s="21" t="n">
        <f aca="false">IFERROR(VLOOKUP(A559,NOMENCLATOR!$A:$E,4,0),"")</f>
        <v>1.171</v>
      </c>
      <c r="F559" s="21" t="n">
        <f aca="false">IF(OR(C559="",E559=""),"",C559*E559)</f>
        <v>1.171</v>
      </c>
      <c r="G559" s="22" t="n">
        <f aca="false">IFERROR(VLOOKUP(A559,NOMENCLATOR!$A:$E,5,0),"")</f>
        <v>1.171</v>
      </c>
      <c r="H559" s="22" t="n">
        <f aca="false">IF(OR(C559="",G559=""),"",C559*G559)</f>
        <v>1.171</v>
      </c>
    </row>
    <row r="560" customFormat="false" ht="15" hidden="false" customHeight="true" outlineLevel="0" collapsed="false">
      <c r="A560" s="17" t="s">
        <v>300</v>
      </c>
      <c r="B560" s="18" t="str">
        <f aca="false">IFERROR(VLOOKUP(A560,NOMENCLATOR!$A:$E,2,0),"")</f>
        <v>Ulei de alune</v>
      </c>
      <c r="C560" s="19" t="n">
        <v>29</v>
      </c>
      <c r="D560" s="20" t="str">
        <f aca="false">IFERROR(VLOOKUP(A560,NOMENCLATOR!$A:$E,3,0),"")</f>
        <v>ML</v>
      </c>
      <c r="E560" s="21" t="n">
        <f aca="false">IFERROR(VLOOKUP(A560,NOMENCLATOR!$A:$E,4,0),"")</f>
        <v>0.0169</v>
      </c>
      <c r="F560" s="21" t="n">
        <f aca="false">IF(OR(C560="",E560=""),"",C560*E560)</f>
        <v>0.4901</v>
      </c>
      <c r="G560" s="22" t="n">
        <f aca="false">IFERROR(VLOOKUP(A560,NOMENCLATOR!$A:$E,5,0),"")</f>
        <v>0.0169</v>
      </c>
      <c r="H560" s="22" t="n">
        <f aca="false">IF(OR(C560="",G560=""),"",C560*G560)</f>
        <v>0.4901</v>
      </c>
    </row>
    <row r="561" customFormat="false" ht="15" hidden="false" customHeight="true" outlineLevel="0" collapsed="false">
      <c r="A561" s="17" t="s">
        <v>52</v>
      </c>
      <c r="B561" s="18" t="str">
        <f aca="false">IFERROR(VLOOKUP(A561,NOMENCLATOR!$A:$E,2,0),"")</f>
        <v>Ardei Rosii Capia 2.5kg</v>
      </c>
      <c r="C561" s="19" t="n">
        <v>20</v>
      </c>
      <c r="D561" s="20" t="str">
        <f aca="false">IFERROR(VLOOKUP(A561,NOMENCLATOR!$A:$E,3,0),"")</f>
        <v>GM</v>
      </c>
      <c r="E561" s="21" t="n">
        <f aca="false">IFERROR(VLOOKUP(A561,NOMENCLATOR!$A:$E,4,0),"")</f>
        <v>0.0201</v>
      </c>
      <c r="F561" s="21" t="n">
        <f aca="false">IF(OR(C561="",E561=""),"",C561*E561)</f>
        <v>0.402</v>
      </c>
      <c r="G561" s="22" t="n">
        <f aca="false">IFERROR(VLOOKUP(A561,NOMENCLATOR!$A:$E,5,0),"")</f>
        <v>0.0201</v>
      </c>
      <c r="H561" s="22" t="n">
        <f aca="false">IF(OR(C561="",G561=""),"",C561*G561)</f>
        <v>0.402</v>
      </c>
    </row>
    <row r="562" customFormat="false" ht="15" hidden="false" customHeight="true" outlineLevel="0" collapsed="false">
      <c r="A562" s="17" t="s">
        <v>274</v>
      </c>
      <c r="B562" s="18" t="str">
        <f aca="false">IFERROR(VLOOKUP(A562,NOMENCLATOR!$A:$E,2,0),"")</f>
        <v>SALATA LOLLO BIONDA S 500g</v>
      </c>
      <c r="C562" s="19" t="n">
        <v>10</v>
      </c>
      <c r="D562" s="20" t="str">
        <f aca="false">IFERROR(VLOOKUP(A562,NOMENCLATOR!$A:$E,3,0),"")</f>
        <v>GM</v>
      </c>
      <c r="E562" s="21" t="n">
        <f aca="false">IFERROR(VLOOKUP(A562,NOMENCLATOR!$A:$E,4,0),"")</f>
        <v>0.036</v>
      </c>
      <c r="F562" s="21" t="n">
        <f aca="false">IF(OR(C562="",E562=""),"",C562*E562)</f>
        <v>0.36</v>
      </c>
      <c r="G562" s="22" t="n">
        <f aca="false">IFERROR(VLOOKUP(A562,NOMENCLATOR!$A:$E,5,0),"")</f>
        <v>0.036</v>
      </c>
      <c r="H562" s="22" t="n">
        <f aca="false">IF(OR(C562="",G562=""),"",C562*G562)</f>
        <v>0.36</v>
      </c>
    </row>
    <row r="563" customFormat="false" ht="15" hidden="false" customHeight="true" outlineLevel="0" collapsed="false">
      <c r="A563" s="17" t="s">
        <v>134</v>
      </c>
      <c r="B563" s="18" t="str">
        <f aca="false">IFERROR(VLOOKUP(A563,NOMENCLATOR!$A:$E,2,0),"")</f>
        <v>Hartie Burger Fryday</v>
      </c>
      <c r="C563" s="19" t="n">
        <v>1</v>
      </c>
      <c r="D563" s="20" t="str">
        <f aca="false">IFERROR(VLOOKUP(A563,NOMENCLATOR!$A:$E,3,0),"")</f>
        <v>EA</v>
      </c>
      <c r="E563" s="21" t="n">
        <f aca="false">IFERROR(VLOOKUP(A563,NOMENCLATOR!$A:$E,4,0),"")</f>
        <v>0.115</v>
      </c>
      <c r="F563" s="21" t="n">
        <f aca="false">IF(OR(C563="",E563=""),"",C563*E563)</f>
        <v>0.115</v>
      </c>
      <c r="G563" s="22" t="n">
        <f aca="false">IFERROR(VLOOKUP(A563,NOMENCLATOR!$A:$E,5,0),"")</f>
        <v>0.115</v>
      </c>
      <c r="H563" s="22" t="n">
        <f aca="false">IF(OR(C563="",G563=""),"",C563*G563)</f>
        <v>0.115</v>
      </c>
    </row>
    <row r="564" customFormat="false" ht="15" hidden="false" customHeight="true" outlineLevel="0" collapsed="false">
      <c r="A564" s="23" t="str">
        <f aca="false">IF(A555="","",A555)</f>
        <v>ALMETTE BASIL PUI new</v>
      </c>
      <c r="B564" s="24"/>
      <c r="C564" s="24"/>
      <c r="D564" s="24"/>
      <c r="E564" s="24"/>
      <c r="F564" s="25" t="n">
        <f aca="false">IF(A555="","",SUM(F557:F563))</f>
        <v>6.9951</v>
      </c>
      <c r="G564" s="24"/>
      <c r="H564" s="26" t="n">
        <f aca="false">IF(A555="","",SUM(H557:H563))</f>
        <v>6.9951</v>
      </c>
    </row>
    <row r="566" customFormat="false" ht="15" hidden="false" customHeight="true" outlineLevel="0" collapsed="false">
      <c r="A566" s="12" t="s">
        <v>375</v>
      </c>
      <c r="B566" s="13"/>
      <c r="C566" s="13"/>
      <c r="D566" s="13"/>
      <c r="E566" s="13"/>
      <c r="F566" s="14" t="s">
        <v>372</v>
      </c>
      <c r="G566" s="13"/>
      <c r="H566" s="15"/>
    </row>
    <row r="567" customFormat="false" ht="15" hidden="false" customHeight="true" outlineLevel="0" collapsed="false">
      <c r="A567" s="16" t="s">
        <v>316</v>
      </c>
      <c r="B567" s="16" t="s">
        <v>317</v>
      </c>
      <c r="C567" s="16" t="s">
        <v>318</v>
      </c>
      <c r="D567" s="16" t="s">
        <v>4</v>
      </c>
      <c r="E567" s="16" t="s">
        <v>319</v>
      </c>
      <c r="F567" s="16" t="s">
        <v>320</v>
      </c>
      <c r="G567" s="16" t="s">
        <v>321</v>
      </c>
      <c r="H567" s="16" t="s">
        <v>322</v>
      </c>
    </row>
    <row r="568" customFormat="false" ht="15" hidden="false" customHeight="true" outlineLevel="0" collapsed="false">
      <c r="A568" s="17" t="s">
        <v>98</v>
      </c>
      <c r="B568" s="18" t="str">
        <f aca="false">IFERROR(VLOOKUP(A568,NOMENCLATOR!$A:$E,2,0),"")</f>
        <v>CHIFLA CARTOF 3.5inch 53G x 72</v>
      </c>
      <c r="C568" s="19" t="n">
        <v>1</v>
      </c>
      <c r="D568" s="20" t="str">
        <f aca="false">IFERROR(VLOOKUP(A568,NOMENCLATOR!$A:$E,3,0),"")</f>
        <v>EA</v>
      </c>
      <c r="E568" s="21" t="n">
        <f aca="false">IFERROR(VLOOKUP(A568,NOMENCLATOR!$A:$E,4,0),"")</f>
        <v>2.4</v>
      </c>
      <c r="F568" s="21" t="n">
        <f aca="false">IF(OR(C568="",E568=""),"",C568*E568)</f>
        <v>2.4</v>
      </c>
      <c r="G568" s="22" t="n">
        <f aca="false">IFERROR(VLOOKUP(A568,NOMENCLATOR!$A:$E,5,0),"")</f>
        <v>2.4</v>
      </c>
      <c r="H568" s="22" t="n">
        <f aca="false">IF(OR(C568="",G568=""),"",C568*G568)</f>
        <v>2.4</v>
      </c>
    </row>
    <row r="569" customFormat="false" ht="15" hidden="false" customHeight="true" outlineLevel="0" collapsed="false">
      <c r="A569" s="17" t="s">
        <v>42</v>
      </c>
      <c r="B569" s="18" t="str">
        <f aca="false">IFERROR(VLOOKUP(A569,NOMENCLATOR!$A:$E,2,0),"")</f>
        <v>Almette cu rosii si busuioc 150 gr</v>
      </c>
      <c r="C569" s="19" t="n">
        <v>50</v>
      </c>
      <c r="D569" s="20" t="str">
        <f aca="false">IFERROR(VLOOKUP(A569,NOMENCLATOR!$A:$E,3,0),"")</f>
        <v>GM</v>
      </c>
      <c r="E569" s="21" t="n">
        <f aca="false">IFERROR(VLOOKUP(A569,NOMENCLATOR!$A:$E,4,0),"")</f>
        <v>0.04114</v>
      </c>
      <c r="F569" s="21" t="n">
        <f aca="false">IF(OR(C569="",E569=""),"",C569*E569)</f>
        <v>2.057</v>
      </c>
      <c r="G569" s="22" t="n">
        <f aca="false">IFERROR(VLOOKUP(A569,NOMENCLATOR!$A:$E,5,0),"")</f>
        <v>0.04114</v>
      </c>
      <c r="H569" s="22" t="n">
        <f aca="false">IF(OR(C569="",G569=""),"",C569*G569)</f>
        <v>2.057</v>
      </c>
    </row>
    <row r="570" customFormat="false" ht="15" hidden="false" customHeight="true" outlineLevel="0" collapsed="false">
      <c r="A570" s="17" t="s">
        <v>208</v>
      </c>
      <c r="B570" s="18" t="str">
        <f aca="false">IFERROR(VLOOKUP(A570,NOMENCLATOR!$A:$E,2,0),"")</f>
        <v>Patties pui 50gr Transavia</v>
      </c>
      <c r="C570" s="19" t="n">
        <v>1</v>
      </c>
      <c r="D570" s="20" t="str">
        <f aca="false">IFERROR(VLOOKUP(A570,NOMENCLATOR!$A:$E,3,0),"")</f>
        <v>EA</v>
      </c>
      <c r="E570" s="21" t="n">
        <f aca="false">IFERROR(VLOOKUP(A570,NOMENCLATOR!$A:$E,4,0),"")</f>
        <v>1.171</v>
      </c>
      <c r="F570" s="21" t="n">
        <f aca="false">IF(OR(C570="",E570=""),"",C570*E570)</f>
        <v>1.171</v>
      </c>
      <c r="G570" s="22" t="n">
        <f aca="false">IFERROR(VLOOKUP(A570,NOMENCLATOR!$A:$E,5,0),"")</f>
        <v>1.171</v>
      </c>
      <c r="H570" s="22" t="n">
        <f aca="false">IF(OR(C570="",G570=""),"",C570*G570)</f>
        <v>1.171</v>
      </c>
    </row>
    <row r="571" customFormat="false" ht="15" hidden="false" customHeight="true" outlineLevel="0" collapsed="false">
      <c r="A571" s="17" t="s">
        <v>300</v>
      </c>
      <c r="B571" s="18" t="str">
        <f aca="false">IFERROR(VLOOKUP(A571,NOMENCLATOR!$A:$E,2,0),"")</f>
        <v>Ulei de alune</v>
      </c>
      <c r="C571" s="19" t="n">
        <v>29</v>
      </c>
      <c r="D571" s="20" t="str">
        <f aca="false">IFERROR(VLOOKUP(A571,NOMENCLATOR!$A:$E,3,0),"")</f>
        <v>ML</v>
      </c>
      <c r="E571" s="21" t="n">
        <f aca="false">IFERROR(VLOOKUP(A571,NOMENCLATOR!$A:$E,4,0),"")</f>
        <v>0.0169</v>
      </c>
      <c r="F571" s="21" t="n">
        <f aca="false">IF(OR(C571="",E571=""),"",C571*E571)</f>
        <v>0.4901</v>
      </c>
      <c r="G571" s="22" t="n">
        <f aca="false">IFERROR(VLOOKUP(A571,NOMENCLATOR!$A:$E,5,0),"")</f>
        <v>0.0169</v>
      </c>
      <c r="H571" s="22" t="n">
        <f aca="false">IF(OR(C571="",G571=""),"",C571*G571)</f>
        <v>0.4901</v>
      </c>
    </row>
    <row r="572" customFormat="false" ht="15" hidden="false" customHeight="true" outlineLevel="0" collapsed="false">
      <c r="A572" s="17" t="s">
        <v>52</v>
      </c>
      <c r="B572" s="18" t="str">
        <f aca="false">IFERROR(VLOOKUP(A572,NOMENCLATOR!$A:$E,2,0),"")</f>
        <v>Ardei Rosii Capia 2.5kg</v>
      </c>
      <c r="C572" s="19" t="n">
        <v>20</v>
      </c>
      <c r="D572" s="20" t="str">
        <f aca="false">IFERROR(VLOOKUP(A572,NOMENCLATOR!$A:$E,3,0),"")</f>
        <v>GM</v>
      </c>
      <c r="E572" s="21" t="n">
        <f aca="false">IFERROR(VLOOKUP(A572,NOMENCLATOR!$A:$E,4,0),"")</f>
        <v>0.0201</v>
      </c>
      <c r="F572" s="21" t="n">
        <f aca="false">IF(OR(C572="",E572=""),"",C572*E572)</f>
        <v>0.402</v>
      </c>
      <c r="G572" s="22" t="n">
        <f aca="false">IFERROR(VLOOKUP(A572,NOMENCLATOR!$A:$E,5,0),"")</f>
        <v>0.0201</v>
      </c>
      <c r="H572" s="22" t="n">
        <f aca="false">IF(OR(C572="",G572=""),"",C572*G572)</f>
        <v>0.402</v>
      </c>
    </row>
    <row r="573" customFormat="false" ht="15" hidden="false" customHeight="true" outlineLevel="0" collapsed="false">
      <c r="A573" s="17" t="s">
        <v>274</v>
      </c>
      <c r="B573" s="18" t="str">
        <f aca="false">IFERROR(VLOOKUP(A573,NOMENCLATOR!$A:$E,2,0),"")</f>
        <v>SALATA LOLLO BIONDA S 500g</v>
      </c>
      <c r="C573" s="19" t="n">
        <v>10</v>
      </c>
      <c r="D573" s="20" t="str">
        <f aca="false">IFERROR(VLOOKUP(A573,NOMENCLATOR!$A:$E,3,0),"")</f>
        <v>GM</v>
      </c>
      <c r="E573" s="21" t="n">
        <f aca="false">IFERROR(VLOOKUP(A573,NOMENCLATOR!$A:$E,4,0),"")</f>
        <v>0.036</v>
      </c>
      <c r="F573" s="21" t="n">
        <f aca="false">IF(OR(C573="",E573=""),"",C573*E573)</f>
        <v>0.36</v>
      </c>
      <c r="G573" s="22" t="n">
        <f aca="false">IFERROR(VLOOKUP(A573,NOMENCLATOR!$A:$E,5,0),"")</f>
        <v>0.036</v>
      </c>
      <c r="H573" s="22" t="n">
        <f aca="false">IF(OR(C573="",G573=""),"",C573*G573)</f>
        <v>0.36</v>
      </c>
    </row>
    <row r="574" customFormat="false" ht="15" hidden="false" customHeight="true" outlineLevel="0" collapsed="false">
      <c r="A574" s="17" t="s">
        <v>134</v>
      </c>
      <c r="B574" s="18" t="str">
        <f aca="false">IFERROR(VLOOKUP(A574,NOMENCLATOR!$A:$E,2,0),"")</f>
        <v>Hartie Burger Fryday</v>
      </c>
      <c r="C574" s="19" t="n">
        <v>1</v>
      </c>
      <c r="D574" s="20" t="str">
        <f aca="false">IFERROR(VLOOKUP(A574,NOMENCLATOR!$A:$E,3,0),"")</f>
        <v>EA</v>
      </c>
      <c r="E574" s="21" t="n">
        <f aca="false">IFERROR(VLOOKUP(A574,NOMENCLATOR!$A:$E,4,0),"")</f>
        <v>0.115</v>
      </c>
      <c r="F574" s="21" t="n">
        <f aca="false">IF(OR(C574="",E574=""),"",C574*E574)</f>
        <v>0.115</v>
      </c>
      <c r="G574" s="22" t="n">
        <f aca="false">IFERROR(VLOOKUP(A574,NOMENCLATOR!$A:$E,5,0),"")</f>
        <v>0.115</v>
      </c>
      <c r="H574" s="22" t="n">
        <f aca="false">IF(OR(C574="",G574=""),"",C574*G574)</f>
        <v>0.115</v>
      </c>
    </row>
    <row r="575" customFormat="false" ht="15" hidden="false" customHeight="true" outlineLevel="0" collapsed="false">
      <c r="A575" s="23" t="str">
        <f aca="false">IF(A566="","",A566)</f>
        <v>ALMETTE BASIL PUI new D</v>
      </c>
      <c r="B575" s="24"/>
      <c r="C575" s="24"/>
      <c r="D575" s="24"/>
      <c r="E575" s="24"/>
      <c r="F575" s="25" t="n">
        <f aca="false">IF(A566="","",SUM(F568:F574))</f>
        <v>6.9951</v>
      </c>
      <c r="G575" s="24"/>
      <c r="H575" s="26" t="n">
        <f aca="false">IF(A566="","",SUM(H568:H574))</f>
        <v>6.9951</v>
      </c>
    </row>
    <row r="577" customFormat="false" ht="15" hidden="false" customHeight="true" outlineLevel="0" collapsed="false">
      <c r="A577" s="12" t="s">
        <v>376</v>
      </c>
      <c r="B577" s="13"/>
      <c r="C577" s="13"/>
      <c r="D577" s="13"/>
      <c r="E577" s="13"/>
      <c r="F577" s="14" t="s">
        <v>372</v>
      </c>
      <c r="G577" s="13"/>
      <c r="H577" s="15"/>
    </row>
    <row r="578" customFormat="false" ht="15" hidden="false" customHeight="true" outlineLevel="0" collapsed="false">
      <c r="A578" s="16" t="s">
        <v>316</v>
      </c>
      <c r="B578" s="16" t="s">
        <v>317</v>
      </c>
      <c r="C578" s="16" t="s">
        <v>318</v>
      </c>
      <c r="D578" s="16" t="s">
        <v>4</v>
      </c>
      <c r="E578" s="16" t="s">
        <v>319</v>
      </c>
      <c r="F578" s="16" t="s">
        <v>320</v>
      </c>
      <c r="G578" s="16" t="s">
        <v>321</v>
      </c>
      <c r="H578" s="16" t="s">
        <v>322</v>
      </c>
    </row>
    <row r="579" customFormat="false" ht="15" hidden="false" customHeight="true" outlineLevel="0" collapsed="false">
      <c r="A579" s="17" t="s">
        <v>98</v>
      </c>
      <c r="B579" s="18" t="str">
        <f aca="false">IFERROR(VLOOKUP(A579,NOMENCLATOR!$A:$E,2,0),"")</f>
        <v>CHIFLA CARTOF 3.5inch 53G x 72</v>
      </c>
      <c r="C579" s="19" t="n">
        <v>1</v>
      </c>
      <c r="D579" s="20" t="str">
        <f aca="false">IFERROR(VLOOKUP(A579,NOMENCLATOR!$A:$E,3,0),"")</f>
        <v>EA</v>
      </c>
      <c r="E579" s="21" t="n">
        <f aca="false">IFERROR(VLOOKUP(A579,NOMENCLATOR!$A:$E,4,0),"")</f>
        <v>2.4</v>
      </c>
      <c r="F579" s="21" t="n">
        <f aca="false">IF(OR(C579="",E579=""),"",C579*E579)</f>
        <v>2.4</v>
      </c>
      <c r="G579" s="22" t="n">
        <f aca="false">IFERROR(VLOOKUP(A579,NOMENCLATOR!$A:$E,5,0),"")</f>
        <v>2.4</v>
      </c>
      <c r="H579" s="22" t="n">
        <f aca="false">IF(OR(C579="",G579=""),"",C579*G579)</f>
        <v>2.4</v>
      </c>
    </row>
    <row r="580" customFormat="false" ht="15" hidden="false" customHeight="true" outlineLevel="0" collapsed="false">
      <c r="A580" s="17" t="s">
        <v>102</v>
      </c>
      <c r="B580" s="18" t="str">
        <f aca="false">IFERROR(VLOOKUP(A580,NOMENCLATOR!$A:$E,2,0),"")</f>
        <v>Creme castraveti 200 gr</v>
      </c>
      <c r="C580" s="19" t="n">
        <v>50</v>
      </c>
      <c r="D580" s="20" t="str">
        <f aca="false">IFERROR(VLOOKUP(A580,NOMENCLATOR!$A:$E,3,0),"")</f>
        <v>GM</v>
      </c>
      <c r="E580" s="21" t="n">
        <f aca="false">IFERROR(VLOOKUP(A580,NOMENCLATOR!$A:$E,4,0),"")</f>
        <v>0.036</v>
      </c>
      <c r="F580" s="21" t="n">
        <f aca="false">IF(OR(C580="",E580=""),"",C580*E580)</f>
        <v>1.8</v>
      </c>
      <c r="G580" s="22" t="n">
        <f aca="false">IFERROR(VLOOKUP(A580,NOMENCLATOR!$A:$E,5,0),"")</f>
        <v>0.036</v>
      </c>
      <c r="H580" s="22" t="n">
        <f aca="false">IF(OR(C580="",G580=""),"",C580*G580)</f>
        <v>1.8</v>
      </c>
    </row>
    <row r="581" customFormat="false" ht="15" hidden="false" customHeight="true" outlineLevel="0" collapsed="false">
      <c r="A581" s="17" t="s">
        <v>276</v>
      </c>
      <c r="B581" s="18" t="str">
        <f aca="false">IFERROR(VLOOKUP(A581,NOMENCLATOR!$A:$E,2,0),"")</f>
        <v>Sausage Patty</v>
      </c>
      <c r="C581" s="19" t="n">
        <v>1</v>
      </c>
      <c r="D581" s="20" t="str">
        <f aca="false">IFERROR(VLOOKUP(A581,NOMENCLATOR!$A:$E,3,0),"")</f>
        <v>EA</v>
      </c>
      <c r="E581" s="21" t="n">
        <f aca="false">IFERROR(VLOOKUP(A581,NOMENCLATOR!$A:$E,4,0),"")</f>
        <v>2.471</v>
      </c>
      <c r="F581" s="21" t="n">
        <f aca="false">IF(OR(C581="",E581=""),"",C581*E581)</f>
        <v>2.471</v>
      </c>
      <c r="G581" s="22" t="n">
        <f aca="false">IFERROR(VLOOKUP(A581,NOMENCLATOR!$A:$E,5,0),"")</f>
        <v>2.471</v>
      </c>
      <c r="H581" s="22" t="n">
        <f aca="false">IF(OR(C581="",G581=""),"",C581*G581)</f>
        <v>2.471</v>
      </c>
    </row>
    <row r="582" customFormat="false" ht="15" hidden="false" customHeight="true" outlineLevel="0" collapsed="false">
      <c r="A582" s="17" t="s">
        <v>52</v>
      </c>
      <c r="B582" s="18" t="str">
        <f aca="false">IFERROR(VLOOKUP(A582,NOMENCLATOR!$A:$E,2,0),"")</f>
        <v>Ardei Rosii Capia 2.5kg</v>
      </c>
      <c r="C582" s="19" t="n">
        <v>20</v>
      </c>
      <c r="D582" s="20" t="str">
        <f aca="false">IFERROR(VLOOKUP(A582,NOMENCLATOR!$A:$E,3,0),"")</f>
        <v>GM</v>
      </c>
      <c r="E582" s="21" t="n">
        <f aca="false">IFERROR(VLOOKUP(A582,NOMENCLATOR!$A:$E,4,0),"")</f>
        <v>0.0201</v>
      </c>
      <c r="F582" s="21" t="n">
        <f aca="false">IF(OR(C582="",E582=""),"",C582*E582)</f>
        <v>0.402</v>
      </c>
      <c r="G582" s="22" t="n">
        <f aca="false">IFERROR(VLOOKUP(A582,NOMENCLATOR!$A:$E,5,0),"")</f>
        <v>0.0201</v>
      </c>
      <c r="H582" s="22" t="n">
        <f aca="false">IF(OR(C582="",G582=""),"",C582*G582)</f>
        <v>0.402</v>
      </c>
    </row>
    <row r="583" customFormat="false" ht="15" hidden="false" customHeight="true" outlineLevel="0" collapsed="false">
      <c r="A583" s="17" t="s">
        <v>274</v>
      </c>
      <c r="B583" s="18" t="str">
        <f aca="false">IFERROR(VLOOKUP(A583,NOMENCLATOR!$A:$E,2,0),"")</f>
        <v>SALATA LOLLO BIONDA S 500g</v>
      </c>
      <c r="C583" s="19" t="n">
        <v>10</v>
      </c>
      <c r="D583" s="20" t="str">
        <f aca="false">IFERROR(VLOOKUP(A583,NOMENCLATOR!$A:$E,3,0),"")</f>
        <v>GM</v>
      </c>
      <c r="E583" s="21" t="n">
        <f aca="false">IFERROR(VLOOKUP(A583,NOMENCLATOR!$A:$E,4,0),"")</f>
        <v>0.036</v>
      </c>
      <c r="F583" s="21" t="n">
        <f aca="false">IF(OR(C583="",E583=""),"",C583*E583)</f>
        <v>0.36</v>
      </c>
      <c r="G583" s="22" t="n">
        <f aca="false">IFERROR(VLOOKUP(A583,NOMENCLATOR!$A:$E,5,0),"")</f>
        <v>0.036</v>
      </c>
      <c r="H583" s="22" t="n">
        <f aca="false">IF(OR(C583="",G583=""),"",C583*G583)</f>
        <v>0.36</v>
      </c>
    </row>
    <row r="584" customFormat="false" ht="15" hidden="false" customHeight="true" outlineLevel="0" collapsed="false">
      <c r="A584" s="17" t="s">
        <v>134</v>
      </c>
      <c r="B584" s="18" t="str">
        <f aca="false">IFERROR(VLOOKUP(A584,NOMENCLATOR!$A:$E,2,0),"")</f>
        <v>Hartie Burger Fryday</v>
      </c>
      <c r="C584" s="19" t="n">
        <v>1</v>
      </c>
      <c r="D584" s="20" t="str">
        <f aca="false">IFERROR(VLOOKUP(A584,NOMENCLATOR!$A:$E,3,0),"")</f>
        <v>EA</v>
      </c>
      <c r="E584" s="21" t="n">
        <f aca="false">IFERROR(VLOOKUP(A584,NOMENCLATOR!$A:$E,4,0),"")</f>
        <v>0.115</v>
      </c>
      <c r="F584" s="21" t="n">
        <f aca="false">IF(OR(C584="",E584=""),"",C584*E584)</f>
        <v>0.115</v>
      </c>
      <c r="G584" s="22" t="n">
        <f aca="false">IFERROR(VLOOKUP(A584,NOMENCLATOR!$A:$E,5,0),"")</f>
        <v>0.115</v>
      </c>
      <c r="H584" s="22" t="n">
        <f aca="false">IF(OR(C584="",G584=""),"",C584*G584)</f>
        <v>0.115</v>
      </c>
    </row>
    <row r="585" customFormat="false" ht="15" hidden="false" customHeight="true" outlineLevel="0" collapsed="false">
      <c r="A585" s="23" t="str">
        <f aca="false">IF(A577="","",A577)</f>
        <v>ALMETTE FRESH PORC new</v>
      </c>
      <c r="B585" s="24"/>
      <c r="C585" s="24"/>
      <c r="D585" s="24"/>
      <c r="E585" s="24"/>
      <c r="F585" s="25" t="n">
        <f aca="false">IF(A577="","",SUM(F579:F584))</f>
        <v>7.548</v>
      </c>
      <c r="G585" s="24"/>
      <c r="H585" s="26" t="n">
        <f aca="false">IF(A577="","",SUM(H579:H584))</f>
        <v>7.548</v>
      </c>
    </row>
    <row r="587" customFormat="false" ht="15" hidden="false" customHeight="true" outlineLevel="0" collapsed="false">
      <c r="A587" s="12" t="s">
        <v>377</v>
      </c>
      <c r="B587" s="13"/>
      <c r="C587" s="13"/>
      <c r="D587" s="13"/>
      <c r="E587" s="13"/>
      <c r="F587" s="14" t="s">
        <v>372</v>
      </c>
      <c r="G587" s="13"/>
      <c r="H587" s="15"/>
    </row>
    <row r="588" customFormat="false" ht="15" hidden="false" customHeight="true" outlineLevel="0" collapsed="false">
      <c r="A588" s="16" t="s">
        <v>316</v>
      </c>
      <c r="B588" s="16" t="s">
        <v>317</v>
      </c>
      <c r="C588" s="16" t="s">
        <v>318</v>
      </c>
      <c r="D588" s="16" t="s">
        <v>4</v>
      </c>
      <c r="E588" s="16" t="s">
        <v>319</v>
      </c>
      <c r="F588" s="16" t="s">
        <v>320</v>
      </c>
      <c r="G588" s="16" t="s">
        <v>321</v>
      </c>
      <c r="H588" s="16" t="s">
        <v>322</v>
      </c>
    </row>
    <row r="589" customFormat="false" ht="15" hidden="false" customHeight="true" outlineLevel="0" collapsed="false">
      <c r="A589" s="17" t="s">
        <v>98</v>
      </c>
      <c r="B589" s="18" t="str">
        <f aca="false">IFERROR(VLOOKUP(A589,NOMENCLATOR!$A:$E,2,0),"")</f>
        <v>CHIFLA CARTOF 3.5inch 53G x 72</v>
      </c>
      <c r="C589" s="19" t="n">
        <v>1</v>
      </c>
      <c r="D589" s="20" t="str">
        <f aca="false">IFERROR(VLOOKUP(A589,NOMENCLATOR!$A:$E,3,0),"")</f>
        <v>EA</v>
      </c>
      <c r="E589" s="21" t="n">
        <f aca="false">IFERROR(VLOOKUP(A589,NOMENCLATOR!$A:$E,4,0),"")</f>
        <v>2.4</v>
      </c>
      <c r="F589" s="21" t="n">
        <f aca="false">IF(OR(C589="",E589=""),"",C589*E589)</f>
        <v>2.4</v>
      </c>
      <c r="G589" s="22" t="n">
        <f aca="false">IFERROR(VLOOKUP(A589,NOMENCLATOR!$A:$E,5,0),"")</f>
        <v>2.4</v>
      </c>
      <c r="H589" s="22" t="n">
        <f aca="false">IF(OR(C589="",G589=""),"",C589*G589)</f>
        <v>2.4</v>
      </c>
    </row>
    <row r="590" customFormat="false" ht="15" hidden="false" customHeight="true" outlineLevel="0" collapsed="false">
      <c r="A590" s="17" t="s">
        <v>102</v>
      </c>
      <c r="B590" s="18" t="str">
        <f aca="false">IFERROR(VLOOKUP(A590,NOMENCLATOR!$A:$E,2,0),"")</f>
        <v>Creme castraveti 200 gr</v>
      </c>
      <c r="C590" s="19" t="n">
        <v>50</v>
      </c>
      <c r="D590" s="20" t="str">
        <f aca="false">IFERROR(VLOOKUP(A590,NOMENCLATOR!$A:$E,3,0),"")</f>
        <v>GM</v>
      </c>
      <c r="E590" s="21" t="n">
        <f aca="false">IFERROR(VLOOKUP(A590,NOMENCLATOR!$A:$E,4,0),"")</f>
        <v>0.036</v>
      </c>
      <c r="F590" s="21" t="n">
        <f aca="false">IF(OR(C590="",E590=""),"",C590*E590)</f>
        <v>1.8</v>
      </c>
      <c r="G590" s="22" t="n">
        <f aca="false">IFERROR(VLOOKUP(A590,NOMENCLATOR!$A:$E,5,0),"")</f>
        <v>0.036</v>
      </c>
      <c r="H590" s="22" t="n">
        <f aca="false">IF(OR(C590="",G590=""),"",C590*G590)</f>
        <v>1.8</v>
      </c>
    </row>
    <row r="591" customFormat="false" ht="15" hidden="false" customHeight="true" outlineLevel="0" collapsed="false">
      <c r="A591" s="17" t="s">
        <v>276</v>
      </c>
      <c r="B591" s="18" t="str">
        <f aca="false">IFERROR(VLOOKUP(A591,NOMENCLATOR!$A:$E,2,0),"")</f>
        <v>Sausage Patty</v>
      </c>
      <c r="C591" s="19" t="n">
        <v>1</v>
      </c>
      <c r="D591" s="20" t="str">
        <f aca="false">IFERROR(VLOOKUP(A591,NOMENCLATOR!$A:$E,3,0),"")</f>
        <v>EA</v>
      </c>
      <c r="E591" s="21" t="n">
        <f aca="false">IFERROR(VLOOKUP(A591,NOMENCLATOR!$A:$E,4,0),"")</f>
        <v>2.471</v>
      </c>
      <c r="F591" s="21" t="n">
        <f aca="false">IF(OR(C591="",E591=""),"",C591*E591)</f>
        <v>2.471</v>
      </c>
      <c r="G591" s="22" t="n">
        <f aca="false">IFERROR(VLOOKUP(A591,NOMENCLATOR!$A:$E,5,0),"")</f>
        <v>2.471</v>
      </c>
      <c r="H591" s="22" t="n">
        <f aca="false">IF(OR(C591="",G591=""),"",C591*G591)</f>
        <v>2.471</v>
      </c>
    </row>
    <row r="592" customFormat="false" ht="15" hidden="false" customHeight="true" outlineLevel="0" collapsed="false">
      <c r="A592" s="17" t="s">
        <v>52</v>
      </c>
      <c r="B592" s="18" t="str">
        <f aca="false">IFERROR(VLOOKUP(A592,NOMENCLATOR!$A:$E,2,0),"")</f>
        <v>Ardei Rosii Capia 2.5kg</v>
      </c>
      <c r="C592" s="19" t="n">
        <v>20</v>
      </c>
      <c r="D592" s="20" t="str">
        <f aca="false">IFERROR(VLOOKUP(A592,NOMENCLATOR!$A:$E,3,0),"")</f>
        <v>GM</v>
      </c>
      <c r="E592" s="21" t="n">
        <f aca="false">IFERROR(VLOOKUP(A592,NOMENCLATOR!$A:$E,4,0),"")</f>
        <v>0.0201</v>
      </c>
      <c r="F592" s="21" t="n">
        <f aca="false">IF(OR(C592="",E592=""),"",C592*E592)</f>
        <v>0.402</v>
      </c>
      <c r="G592" s="22" t="n">
        <f aca="false">IFERROR(VLOOKUP(A592,NOMENCLATOR!$A:$E,5,0),"")</f>
        <v>0.0201</v>
      </c>
      <c r="H592" s="22" t="n">
        <f aca="false">IF(OR(C592="",G592=""),"",C592*G592)</f>
        <v>0.402</v>
      </c>
    </row>
    <row r="593" customFormat="false" ht="15" hidden="false" customHeight="true" outlineLevel="0" collapsed="false">
      <c r="A593" s="17" t="s">
        <v>274</v>
      </c>
      <c r="B593" s="18" t="str">
        <f aca="false">IFERROR(VLOOKUP(A593,NOMENCLATOR!$A:$E,2,0),"")</f>
        <v>SALATA LOLLO BIONDA S 500g</v>
      </c>
      <c r="C593" s="19" t="n">
        <v>10</v>
      </c>
      <c r="D593" s="20" t="str">
        <f aca="false">IFERROR(VLOOKUP(A593,NOMENCLATOR!$A:$E,3,0),"")</f>
        <v>GM</v>
      </c>
      <c r="E593" s="21" t="n">
        <f aca="false">IFERROR(VLOOKUP(A593,NOMENCLATOR!$A:$E,4,0),"")</f>
        <v>0.036</v>
      </c>
      <c r="F593" s="21" t="n">
        <f aca="false">IF(OR(C593="",E593=""),"",C593*E593)</f>
        <v>0.36</v>
      </c>
      <c r="G593" s="22" t="n">
        <f aca="false">IFERROR(VLOOKUP(A593,NOMENCLATOR!$A:$E,5,0),"")</f>
        <v>0.036</v>
      </c>
      <c r="H593" s="22" t="n">
        <f aca="false">IF(OR(C593="",G593=""),"",C593*G593)</f>
        <v>0.36</v>
      </c>
    </row>
    <row r="594" customFormat="false" ht="15" hidden="false" customHeight="true" outlineLevel="0" collapsed="false">
      <c r="A594" s="17" t="s">
        <v>134</v>
      </c>
      <c r="B594" s="18" t="str">
        <f aca="false">IFERROR(VLOOKUP(A594,NOMENCLATOR!$A:$E,2,0),"")</f>
        <v>Hartie Burger Fryday</v>
      </c>
      <c r="C594" s="19" t="n">
        <v>1</v>
      </c>
      <c r="D594" s="20" t="str">
        <f aca="false">IFERROR(VLOOKUP(A594,NOMENCLATOR!$A:$E,3,0),"")</f>
        <v>EA</v>
      </c>
      <c r="E594" s="21" t="n">
        <f aca="false">IFERROR(VLOOKUP(A594,NOMENCLATOR!$A:$E,4,0),"")</f>
        <v>0.115</v>
      </c>
      <c r="F594" s="21" t="n">
        <f aca="false">IF(OR(C594="",E594=""),"",C594*E594)</f>
        <v>0.115</v>
      </c>
      <c r="G594" s="22" t="n">
        <f aca="false">IFERROR(VLOOKUP(A594,NOMENCLATOR!$A:$E,5,0),"")</f>
        <v>0.115</v>
      </c>
      <c r="H594" s="22" t="n">
        <f aca="false">IF(OR(C594="",G594=""),"",C594*G594)</f>
        <v>0.115</v>
      </c>
    </row>
    <row r="595" customFormat="false" ht="15" hidden="false" customHeight="true" outlineLevel="0" collapsed="false">
      <c r="A595" s="23" t="str">
        <f aca="false">IF(A587="","",A587)</f>
        <v>ALMETTE FRESH PORC new D</v>
      </c>
      <c r="B595" s="24"/>
      <c r="C595" s="24"/>
      <c r="D595" s="24"/>
      <c r="E595" s="24"/>
      <c r="F595" s="25" t="n">
        <f aca="false">IF(A587="","",SUM(F589:F594))</f>
        <v>7.548</v>
      </c>
      <c r="G595" s="24"/>
      <c r="H595" s="26" t="n">
        <f aca="false">IF(A587="","",SUM(H589:H594))</f>
        <v>7.548</v>
      </c>
    </row>
    <row r="597" customFormat="false" ht="15" hidden="false" customHeight="true" outlineLevel="0" collapsed="false">
      <c r="A597" s="12" t="s">
        <v>378</v>
      </c>
      <c r="B597" s="13"/>
      <c r="C597" s="13"/>
      <c r="D597" s="13"/>
      <c r="E597" s="13"/>
      <c r="F597" s="14" t="s">
        <v>372</v>
      </c>
      <c r="G597" s="13"/>
      <c r="H597" s="15"/>
    </row>
    <row r="598" customFormat="false" ht="15" hidden="false" customHeight="true" outlineLevel="0" collapsed="false">
      <c r="A598" s="16" t="s">
        <v>316</v>
      </c>
      <c r="B598" s="16" t="s">
        <v>317</v>
      </c>
      <c r="C598" s="16" t="s">
        <v>318</v>
      </c>
      <c r="D598" s="16" t="s">
        <v>4</v>
      </c>
      <c r="E598" s="16" t="s">
        <v>319</v>
      </c>
      <c r="F598" s="16" t="s">
        <v>320</v>
      </c>
      <c r="G598" s="16" t="s">
        <v>321</v>
      </c>
      <c r="H598" s="16" t="s">
        <v>322</v>
      </c>
    </row>
    <row r="599" customFormat="false" ht="15" hidden="false" customHeight="true" outlineLevel="0" collapsed="false">
      <c r="A599" s="17" t="s">
        <v>98</v>
      </c>
      <c r="B599" s="18" t="str">
        <f aca="false">IFERROR(VLOOKUP(A599,NOMENCLATOR!$A:$E,2,0),"")</f>
        <v>CHIFLA CARTOF 3.5inch 53G x 72</v>
      </c>
      <c r="C599" s="19" t="n">
        <v>1</v>
      </c>
      <c r="D599" s="20" t="str">
        <f aca="false">IFERROR(VLOOKUP(A599,NOMENCLATOR!$A:$E,3,0),"")</f>
        <v>EA</v>
      </c>
      <c r="E599" s="21" t="n">
        <f aca="false">IFERROR(VLOOKUP(A599,NOMENCLATOR!$A:$E,4,0),"")</f>
        <v>2.4</v>
      </c>
      <c r="F599" s="21" t="n">
        <f aca="false">IF(OR(C599="",E599=""),"",C599*E599)</f>
        <v>2.4</v>
      </c>
      <c r="G599" s="22" t="n">
        <f aca="false">IFERROR(VLOOKUP(A599,NOMENCLATOR!$A:$E,5,0),"")</f>
        <v>2.4</v>
      </c>
      <c r="H599" s="22" t="n">
        <f aca="false">IF(OR(C599="",G599=""),"",C599*G599)</f>
        <v>2.4</v>
      </c>
    </row>
    <row r="600" customFormat="false" ht="15" hidden="false" customHeight="true" outlineLevel="0" collapsed="false">
      <c r="A600" s="17" t="s">
        <v>42</v>
      </c>
      <c r="B600" s="18" t="str">
        <f aca="false">IFERROR(VLOOKUP(A600,NOMENCLATOR!$A:$E,2,0),"")</f>
        <v>Almette cu rosii si busuioc 150 gr</v>
      </c>
      <c r="C600" s="19" t="n">
        <v>50</v>
      </c>
      <c r="D600" s="20" t="str">
        <f aca="false">IFERROR(VLOOKUP(A600,NOMENCLATOR!$A:$E,3,0),"")</f>
        <v>GM</v>
      </c>
      <c r="E600" s="21" t="n">
        <f aca="false">IFERROR(VLOOKUP(A600,NOMENCLATOR!$A:$E,4,0),"")</f>
        <v>0.04114</v>
      </c>
      <c r="F600" s="21" t="n">
        <f aca="false">IF(OR(C600="",E600=""),"",C600*E600)</f>
        <v>2.057</v>
      </c>
      <c r="G600" s="22" t="n">
        <f aca="false">IFERROR(VLOOKUP(A600,NOMENCLATOR!$A:$E,5,0),"")</f>
        <v>0.04114</v>
      </c>
      <c r="H600" s="22" t="n">
        <f aca="false">IF(OR(C600="",G600=""),"",C600*G600)</f>
        <v>2.057</v>
      </c>
    </row>
    <row r="601" customFormat="false" ht="15" hidden="false" customHeight="true" outlineLevel="0" collapsed="false">
      <c r="A601" s="17" t="s">
        <v>276</v>
      </c>
      <c r="B601" s="18" t="str">
        <f aca="false">IFERROR(VLOOKUP(A601,NOMENCLATOR!$A:$E,2,0),"")</f>
        <v>Sausage Patty</v>
      </c>
      <c r="C601" s="19" t="n">
        <v>1</v>
      </c>
      <c r="D601" s="20" t="str">
        <f aca="false">IFERROR(VLOOKUP(A601,NOMENCLATOR!$A:$E,3,0),"")</f>
        <v>EA</v>
      </c>
      <c r="E601" s="21" t="n">
        <f aca="false">IFERROR(VLOOKUP(A601,NOMENCLATOR!$A:$E,4,0),"")</f>
        <v>2.471</v>
      </c>
      <c r="F601" s="21" t="n">
        <f aca="false">IF(OR(C601="",E601=""),"",C601*E601)</f>
        <v>2.471</v>
      </c>
      <c r="G601" s="22" t="n">
        <f aca="false">IFERROR(VLOOKUP(A601,NOMENCLATOR!$A:$E,5,0),"")</f>
        <v>2.471</v>
      </c>
      <c r="H601" s="22" t="n">
        <f aca="false">IF(OR(C601="",G601=""),"",C601*G601)</f>
        <v>2.471</v>
      </c>
    </row>
    <row r="602" customFormat="false" ht="15" hidden="false" customHeight="true" outlineLevel="0" collapsed="false">
      <c r="A602" s="17" t="s">
        <v>52</v>
      </c>
      <c r="B602" s="18" t="str">
        <f aca="false">IFERROR(VLOOKUP(A602,NOMENCLATOR!$A:$E,2,0),"")</f>
        <v>Ardei Rosii Capia 2.5kg</v>
      </c>
      <c r="C602" s="19" t="n">
        <v>20</v>
      </c>
      <c r="D602" s="20" t="str">
        <f aca="false">IFERROR(VLOOKUP(A602,NOMENCLATOR!$A:$E,3,0),"")</f>
        <v>GM</v>
      </c>
      <c r="E602" s="21" t="n">
        <f aca="false">IFERROR(VLOOKUP(A602,NOMENCLATOR!$A:$E,4,0),"")</f>
        <v>0.0201</v>
      </c>
      <c r="F602" s="21" t="n">
        <f aca="false">IF(OR(C602="",E602=""),"",C602*E602)</f>
        <v>0.402</v>
      </c>
      <c r="G602" s="22" t="n">
        <f aca="false">IFERROR(VLOOKUP(A602,NOMENCLATOR!$A:$E,5,0),"")</f>
        <v>0.0201</v>
      </c>
      <c r="H602" s="22" t="n">
        <f aca="false">IF(OR(C602="",G602=""),"",C602*G602)</f>
        <v>0.402</v>
      </c>
    </row>
    <row r="603" customFormat="false" ht="15" hidden="false" customHeight="true" outlineLevel="0" collapsed="false">
      <c r="A603" s="17" t="s">
        <v>274</v>
      </c>
      <c r="B603" s="18" t="str">
        <f aca="false">IFERROR(VLOOKUP(A603,NOMENCLATOR!$A:$E,2,0),"")</f>
        <v>SALATA LOLLO BIONDA S 500g</v>
      </c>
      <c r="C603" s="19" t="n">
        <v>10</v>
      </c>
      <c r="D603" s="20" t="str">
        <f aca="false">IFERROR(VLOOKUP(A603,NOMENCLATOR!$A:$E,3,0),"")</f>
        <v>GM</v>
      </c>
      <c r="E603" s="21" t="n">
        <f aca="false">IFERROR(VLOOKUP(A603,NOMENCLATOR!$A:$E,4,0),"")</f>
        <v>0.036</v>
      </c>
      <c r="F603" s="21" t="n">
        <f aca="false">IF(OR(C603="",E603=""),"",C603*E603)</f>
        <v>0.36</v>
      </c>
      <c r="G603" s="22" t="n">
        <f aca="false">IFERROR(VLOOKUP(A603,NOMENCLATOR!$A:$E,5,0),"")</f>
        <v>0.036</v>
      </c>
      <c r="H603" s="22" t="n">
        <f aca="false">IF(OR(C603="",G603=""),"",C603*G603)</f>
        <v>0.36</v>
      </c>
    </row>
    <row r="604" customFormat="false" ht="15" hidden="false" customHeight="true" outlineLevel="0" collapsed="false">
      <c r="A604" s="17" t="s">
        <v>134</v>
      </c>
      <c r="B604" s="18" t="str">
        <f aca="false">IFERROR(VLOOKUP(A604,NOMENCLATOR!$A:$E,2,0),"")</f>
        <v>Hartie Burger Fryday</v>
      </c>
      <c r="C604" s="19" t="n">
        <v>1</v>
      </c>
      <c r="D604" s="20" t="str">
        <f aca="false">IFERROR(VLOOKUP(A604,NOMENCLATOR!$A:$E,3,0),"")</f>
        <v>EA</v>
      </c>
      <c r="E604" s="21" t="n">
        <f aca="false">IFERROR(VLOOKUP(A604,NOMENCLATOR!$A:$E,4,0),"")</f>
        <v>0.115</v>
      </c>
      <c r="F604" s="21" t="n">
        <f aca="false">IF(OR(C604="",E604=""),"",C604*E604)</f>
        <v>0.115</v>
      </c>
      <c r="G604" s="22" t="n">
        <f aca="false">IFERROR(VLOOKUP(A604,NOMENCLATOR!$A:$E,5,0),"")</f>
        <v>0.115</v>
      </c>
      <c r="H604" s="22" t="n">
        <f aca="false">IF(OR(C604="",G604=""),"",C604*G604)</f>
        <v>0.115</v>
      </c>
    </row>
    <row r="605" customFormat="false" ht="15" hidden="false" customHeight="true" outlineLevel="0" collapsed="false">
      <c r="A605" s="23" t="str">
        <f aca="false">IF(A597="","",A597)</f>
        <v>ALMETTE BASIL PORC new</v>
      </c>
      <c r="B605" s="24"/>
      <c r="C605" s="24"/>
      <c r="D605" s="24"/>
      <c r="E605" s="24"/>
      <c r="F605" s="25" t="n">
        <f aca="false">IF(A597="","",SUM(F599:F604))</f>
        <v>7.805</v>
      </c>
      <c r="G605" s="24"/>
      <c r="H605" s="26" t="n">
        <f aca="false">IF(A597="","",SUM(H599:H604))</f>
        <v>7.805</v>
      </c>
    </row>
    <row r="607" customFormat="false" ht="15" hidden="false" customHeight="true" outlineLevel="0" collapsed="false">
      <c r="A607" s="12" t="s">
        <v>379</v>
      </c>
      <c r="B607" s="13"/>
      <c r="C607" s="13"/>
      <c r="D607" s="13"/>
      <c r="E607" s="13"/>
      <c r="F607" s="14" t="s">
        <v>372</v>
      </c>
      <c r="G607" s="13"/>
      <c r="H607" s="15"/>
    </row>
    <row r="608" customFormat="false" ht="15" hidden="false" customHeight="true" outlineLevel="0" collapsed="false">
      <c r="A608" s="16" t="s">
        <v>316</v>
      </c>
      <c r="B608" s="16" t="s">
        <v>317</v>
      </c>
      <c r="C608" s="16" t="s">
        <v>318</v>
      </c>
      <c r="D608" s="16" t="s">
        <v>4</v>
      </c>
      <c r="E608" s="16" t="s">
        <v>319</v>
      </c>
      <c r="F608" s="16" t="s">
        <v>320</v>
      </c>
      <c r="G608" s="16" t="s">
        <v>321</v>
      </c>
      <c r="H608" s="16" t="s">
        <v>322</v>
      </c>
    </row>
    <row r="609" customFormat="false" ht="15" hidden="false" customHeight="true" outlineLevel="0" collapsed="false">
      <c r="A609" s="17" t="s">
        <v>98</v>
      </c>
      <c r="B609" s="18" t="str">
        <f aca="false">IFERROR(VLOOKUP(A609,NOMENCLATOR!$A:$E,2,0),"")</f>
        <v>CHIFLA CARTOF 3.5inch 53G x 72</v>
      </c>
      <c r="C609" s="19" t="n">
        <v>1</v>
      </c>
      <c r="D609" s="20" t="str">
        <f aca="false">IFERROR(VLOOKUP(A609,NOMENCLATOR!$A:$E,3,0),"")</f>
        <v>EA</v>
      </c>
      <c r="E609" s="21" t="n">
        <f aca="false">IFERROR(VLOOKUP(A609,NOMENCLATOR!$A:$E,4,0),"")</f>
        <v>2.4</v>
      </c>
      <c r="F609" s="21" t="n">
        <f aca="false">IF(OR(C609="",E609=""),"",C609*E609)</f>
        <v>2.4</v>
      </c>
      <c r="G609" s="22" t="n">
        <f aca="false">IFERROR(VLOOKUP(A609,NOMENCLATOR!$A:$E,5,0),"")</f>
        <v>2.4</v>
      </c>
      <c r="H609" s="22" t="n">
        <f aca="false">IF(OR(C609="",G609=""),"",C609*G609)</f>
        <v>2.4</v>
      </c>
    </row>
    <row r="610" customFormat="false" ht="15" hidden="false" customHeight="true" outlineLevel="0" collapsed="false">
      <c r="A610" s="17" t="s">
        <v>42</v>
      </c>
      <c r="B610" s="18" t="str">
        <f aca="false">IFERROR(VLOOKUP(A610,NOMENCLATOR!$A:$E,2,0),"")</f>
        <v>Almette cu rosii si busuioc 150 gr</v>
      </c>
      <c r="C610" s="19" t="n">
        <v>50</v>
      </c>
      <c r="D610" s="20" t="str">
        <f aca="false">IFERROR(VLOOKUP(A610,NOMENCLATOR!$A:$E,3,0),"")</f>
        <v>GM</v>
      </c>
      <c r="E610" s="21" t="n">
        <f aca="false">IFERROR(VLOOKUP(A610,NOMENCLATOR!$A:$E,4,0),"")</f>
        <v>0.04114</v>
      </c>
      <c r="F610" s="21" t="n">
        <f aca="false">IF(OR(C610="",E610=""),"",C610*E610)</f>
        <v>2.057</v>
      </c>
      <c r="G610" s="22" t="n">
        <f aca="false">IFERROR(VLOOKUP(A610,NOMENCLATOR!$A:$E,5,0),"")</f>
        <v>0.04114</v>
      </c>
      <c r="H610" s="22" t="n">
        <f aca="false">IF(OR(C610="",G610=""),"",C610*G610)</f>
        <v>2.057</v>
      </c>
    </row>
    <row r="611" customFormat="false" ht="15" hidden="false" customHeight="true" outlineLevel="0" collapsed="false">
      <c r="A611" s="17" t="s">
        <v>276</v>
      </c>
      <c r="B611" s="18" t="str">
        <f aca="false">IFERROR(VLOOKUP(A611,NOMENCLATOR!$A:$E,2,0),"")</f>
        <v>Sausage Patty</v>
      </c>
      <c r="C611" s="19" t="n">
        <v>1</v>
      </c>
      <c r="D611" s="20" t="str">
        <f aca="false">IFERROR(VLOOKUP(A611,NOMENCLATOR!$A:$E,3,0),"")</f>
        <v>EA</v>
      </c>
      <c r="E611" s="21" t="n">
        <f aca="false">IFERROR(VLOOKUP(A611,NOMENCLATOR!$A:$E,4,0),"")</f>
        <v>2.471</v>
      </c>
      <c r="F611" s="21" t="n">
        <f aca="false">IF(OR(C611="",E611=""),"",C611*E611)</f>
        <v>2.471</v>
      </c>
      <c r="G611" s="22" t="n">
        <f aca="false">IFERROR(VLOOKUP(A611,NOMENCLATOR!$A:$E,5,0),"")</f>
        <v>2.471</v>
      </c>
      <c r="H611" s="22" t="n">
        <f aca="false">IF(OR(C611="",G611=""),"",C611*G611)</f>
        <v>2.471</v>
      </c>
    </row>
    <row r="612" customFormat="false" ht="15" hidden="false" customHeight="true" outlineLevel="0" collapsed="false">
      <c r="A612" s="17" t="s">
        <v>52</v>
      </c>
      <c r="B612" s="18" t="str">
        <f aca="false">IFERROR(VLOOKUP(A612,NOMENCLATOR!$A:$E,2,0),"")</f>
        <v>Ardei Rosii Capia 2.5kg</v>
      </c>
      <c r="C612" s="19" t="n">
        <v>20</v>
      </c>
      <c r="D612" s="20" t="str">
        <f aca="false">IFERROR(VLOOKUP(A612,NOMENCLATOR!$A:$E,3,0),"")</f>
        <v>GM</v>
      </c>
      <c r="E612" s="21" t="n">
        <f aca="false">IFERROR(VLOOKUP(A612,NOMENCLATOR!$A:$E,4,0),"")</f>
        <v>0.0201</v>
      </c>
      <c r="F612" s="21" t="n">
        <f aca="false">IF(OR(C612="",E612=""),"",C612*E612)</f>
        <v>0.402</v>
      </c>
      <c r="G612" s="22" t="n">
        <f aca="false">IFERROR(VLOOKUP(A612,NOMENCLATOR!$A:$E,5,0),"")</f>
        <v>0.0201</v>
      </c>
      <c r="H612" s="22" t="n">
        <f aca="false">IF(OR(C612="",G612=""),"",C612*G612)</f>
        <v>0.402</v>
      </c>
    </row>
    <row r="613" customFormat="false" ht="15" hidden="false" customHeight="true" outlineLevel="0" collapsed="false">
      <c r="A613" s="17" t="s">
        <v>274</v>
      </c>
      <c r="B613" s="18" t="str">
        <f aca="false">IFERROR(VLOOKUP(A613,NOMENCLATOR!$A:$E,2,0),"")</f>
        <v>SALATA LOLLO BIONDA S 500g</v>
      </c>
      <c r="C613" s="19" t="n">
        <v>10</v>
      </c>
      <c r="D613" s="20" t="str">
        <f aca="false">IFERROR(VLOOKUP(A613,NOMENCLATOR!$A:$E,3,0),"")</f>
        <v>GM</v>
      </c>
      <c r="E613" s="21" t="n">
        <f aca="false">IFERROR(VLOOKUP(A613,NOMENCLATOR!$A:$E,4,0),"")</f>
        <v>0.036</v>
      </c>
      <c r="F613" s="21" t="n">
        <f aca="false">IF(OR(C613="",E613=""),"",C613*E613)</f>
        <v>0.36</v>
      </c>
      <c r="G613" s="22" t="n">
        <f aca="false">IFERROR(VLOOKUP(A613,NOMENCLATOR!$A:$E,5,0),"")</f>
        <v>0.036</v>
      </c>
      <c r="H613" s="22" t="n">
        <f aca="false">IF(OR(C613="",G613=""),"",C613*G613)</f>
        <v>0.36</v>
      </c>
    </row>
    <row r="614" customFormat="false" ht="15" hidden="false" customHeight="true" outlineLevel="0" collapsed="false">
      <c r="A614" s="17" t="s">
        <v>134</v>
      </c>
      <c r="B614" s="18" t="str">
        <f aca="false">IFERROR(VLOOKUP(A614,NOMENCLATOR!$A:$E,2,0),"")</f>
        <v>Hartie Burger Fryday</v>
      </c>
      <c r="C614" s="19" t="n">
        <v>1</v>
      </c>
      <c r="D614" s="20" t="str">
        <f aca="false">IFERROR(VLOOKUP(A614,NOMENCLATOR!$A:$E,3,0),"")</f>
        <v>EA</v>
      </c>
      <c r="E614" s="21" t="n">
        <f aca="false">IFERROR(VLOOKUP(A614,NOMENCLATOR!$A:$E,4,0),"")</f>
        <v>0.115</v>
      </c>
      <c r="F614" s="21" t="n">
        <f aca="false">IF(OR(C614="",E614=""),"",C614*E614)</f>
        <v>0.115</v>
      </c>
      <c r="G614" s="22" t="n">
        <f aca="false">IFERROR(VLOOKUP(A614,NOMENCLATOR!$A:$E,5,0),"")</f>
        <v>0.115</v>
      </c>
      <c r="H614" s="22" t="n">
        <f aca="false">IF(OR(C614="",G614=""),"",C614*G614)</f>
        <v>0.115</v>
      </c>
    </row>
    <row r="615" customFormat="false" ht="15" hidden="false" customHeight="true" outlineLevel="0" collapsed="false">
      <c r="A615" s="23" t="str">
        <f aca="false">IF(A607="","",A607)</f>
        <v>ALMETTE BASIL PORC new D</v>
      </c>
      <c r="B615" s="24"/>
      <c r="C615" s="24"/>
      <c r="D615" s="24"/>
      <c r="E615" s="24"/>
      <c r="F615" s="25" t="n">
        <f aca="false">IF(A607="","",SUM(F609:F614))</f>
        <v>7.805</v>
      </c>
      <c r="G615" s="24"/>
      <c r="H615" s="26" t="n">
        <f aca="false">IF(A607="","",SUM(H609:H614))</f>
        <v>7.805</v>
      </c>
    </row>
    <row r="617" customFormat="false" ht="15" hidden="false" customHeight="true" outlineLevel="0" collapsed="false">
      <c r="A617" s="12" t="s">
        <v>380</v>
      </c>
      <c r="B617" s="13"/>
      <c r="C617" s="13"/>
      <c r="D617" s="13"/>
      <c r="E617" s="13"/>
      <c r="F617" s="14" t="s">
        <v>372</v>
      </c>
      <c r="G617" s="13"/>
      <c r="H617" s="15"/>
    </row>
    <row r="618" customFormat="false" ht="15" hidden="false" customHeight="true" outlineLevel="0" collapsed="false">
      <c r="A618" s="16" t="s">
        <v>316</v>
      </c>
      <c r="B618" s="16" t="s">
        <v>317</v>
      </c>
      <c r="C618" s="16" t="s">
        <v>318</v>
      </c>
      <c r="D618" s="16" t="s">
        <v>4</v>
      </c>
      <c r="E618" s="16" t="s">
        <v>319</v>
      </c>
      <c r="F618" s="16" t="s">
        <v>320</v>
      </c>
      <c r="G618" s="16" t="s">
        <v>321</v>
      </c>
      <c r="H618" s="16" t="s">
        <v>322</v>
      </c>
    </row>
    <row r="619" customFormat="false" ht="15" hidden="false" customHeight="true" outlineLevel="0" collapsed="false">
      <c r="A619" s="17" t="s">
        <v>98</v>
      </c>
      <c r="B619" s="18" t="str">
        <f aca="false">IFERROR(VLOOKUP(A619,NOMENCLATOR!$A:$E,2,0),"")</f>
        <v>CHIFLA CARTOF 3.5inch 53G x 72</v>
      </c>
      <c r="C619" s="19" t="n">
        <v>1</v>
      </c>
      <c r="D619" s="20" t="str">
        <f aca="false">IFERROR(VLOOKUP(A619,NOMENCLATOR!$A:$E,3,0),"")</f>
        <v>EA</v>
      </c>
      <c r="E619" s="21" t="n">
        <f aca="false">IFERROR(VLOOKUP(A619,NOMENCLATOR!$A:$E,4,0),"")</f>
        <v>2.4</v>
      </c>
      <c r="F619" s="21" t="n">
        <f aca="false">IF(OR(C619="",E619=""),"",C619*E619)</f>
        <v>2.4</v>
      </c>
      <c r="G619" s="22" t="n">
        <f aca="false">IFERROR(VLOOKUP(A619,NOMENCLATOR!$A:$E,5,0),"")</f>
        <v>2.4</v>
      </c>
      <c r="H619" s="22" t="n">
        <f aca="false">IF(OR(C619="",G619=""),"",C619*G619)</f>
        <v>2.4</v>
      </c>
    </row>
    <row r="620" customFormat="false" ht="15" hidden="false" customHeight="true" outlineLevel="0" collapsed="false">
      <c r="A620" s="17" t="s">
        <v>262</v>
      </c>
      <c r="B620" s="18" t="str">
        <f aca="false">IFERROR(VLOOKUP(A620,NOMENCLATOR!$A:$E,2,0),"")</f>
        <v>Rosti Rounds</v>
      </c>
      <c r="C620" s="19" t="n">
        <v>1</v>
      </c>
      <c r="D620" s="20" t="str">
        <f aca="false">IFERROR(VLOOKUP(A620,NOMENCLATOR!$A:$E,3,0),"")</f>
        <v>EA</v>
      </c>
      <c r="E620" s="21" t="n">
        <f aca="false">IFERROR(VLOOKUP(A620,NOMENCLATOR!$A:$E,4,0),"")</f>
        <v>1.353</v>
      </c>
      <c r="F620" s="21" t="n">
        <f aca="false">IF(OR(C620="",E620=""),"",C620*E620)</f>
        <v>1.353</v>
      </c>
      <c r="G620" s="22" t="n">
        <f aca="false">IFERROR(VLOOKUP(A620,NOMENCLATOR!$A:$E,5,0),"")</f>
        <v>1.353</v>
      </c>
      <c r="H620" s="22" t="n">
        <f aca="false">IF(OR(C620="",G620=""),"",C620*G620)</f>
        <v>1.353</v>
      </c>
    </row>
    <row r="621" customFormat="false" ht="15" hidden="false" customHeight="true" outlineLevel="0" collapsed="false">
      <c r="A621" s="17" t="s">
        <v>134</v>
      </c>
      <c r="B621" s="18" t="str">
        <f aca="false">IFERROR(VLOOKUP(A621,NOMENCLATOR!$A:$E,2,0),"")</f>
        <v>Hartie Burger Fryday</v>
      </c>
      <c r="C621" s="19" t="n">
        <v>1</v>
      </c>
      <c r="D621" s="20" t="str">
        <f aca="false">IFERROR(VLOOKUP(A621,NOMENCLATOR!$A:$E,3,0),"")</f>
        <v>EA</v>
      </c>
      <c r="E621" s="21" t="n">
        <f aca="false">IFERROR(VLOOKUP(A621,NOMENCLATOR!$A:$E,4,0),"")</f>
        <v>0.115</v>
      </c>
      <c r="F621" s="21" t="n">
        <f aca="false">IF(OR(C621="",E621=""),"",C621*E621)</f>
        <v>0.115</v>
      </c>
      <c r="G621" s="22" t="n">
        <f aca="false">IFERROR(VLOOKUP(A621,NOMENCLATOR!$A:$E,5,0),"")</f>
        <v>0.115</v>
      </c>
      <c r="H621" s="22" t="n">
        <f aca="false">IF(OR(C621="",G621=""),"",C621*G621)</f>
        <v>0.115</v>
      </c>
    </row>
    <row r="622" customFormat="false" ht="15" hidden="false" customHeight="true" outlineLevel="0" collapsed="false">
      <c r="A622" s="17" t="s">
        <v>68</v>
      </c>
      <c r="B622" s="18" t="str">
        <f aca="false">IFERROR(VLOOKUP(A622,NOMENCLATOR!$A:$E,2,0),"")</f>
        <v>Branza cheddar felii 2026</v>
      </c>
      <c r="C622" s="19" t="n">
        <v>1</v>
      </c>
      <c r="D622" s="20" t="str">
        <f aca="false">IFERROR(VLOOKUP(A622,NOMENCLATOR!$A:$E,3,0),"")</f>
        <v>EA</v>
      </c>
      <c r="E622" s="21" t="n">
        <f aca="false">IFERROR(VLOOKUP(A622,NOMENCLATOR!$A:$E,4,0),"")</f>
        <v>0.61567</v>
      </c>
      <c r="F622" s="21" t="n">
        <f aca="false">IF(OR(C622="",E622=""),"",C622*E622)</f>
        <v>0.61567</v>
      </c>
      <c r="G622" s="22" t="n">
        <f aca="false">IFERROR(VLOOKUP(A622,NOMENCLATOR!$A:$E,5,0),"")</f>
        <v>0.61567</v>
      </c>
      <c r="H622" s="22" t="n">
        <f aca="false">IF(OR(C622="",G622=""),"",C622*G622)</f>
        <v>0.61567</v>
      </c>
    </row>
    <row r="623" customFormat="false" ht="15" hidden="false" customHeight="true" outlineLevel="0" collapsed="false">
      <c r="A623" s="17" t="s">
        <v>276</v>
      </c>
      <c r="B623" s="18" t="str">
        <f aca="false">IFERROR(VLOOKUP(A623,NOMENCLATOR!$A:$E,2,0),"")</f>
        <v>Sausage Patty</v>
      </c>
      <c r="C623" s="19" t="n">
        <v>1</v>
      </c>
      <c r="D623" s="20" t="str">
        <f aca="false">IFERROR(VLOOKUP(A623,NOMENCLATOR!$A:$E,3,0),"")</f>
        <v>EA</v>
      </c>
      <c r="E623" s="21" t="n">
        <f aca="false">IFERROR(VLOOKUP(A623,NOMENCLATOR!$A:$E,4,0),"")</f>
        <v>2.471</v>
      </c>
      <c r="F623" s="21" t="n">
        <f aca="false">IF(OR(C623="",E623=""),"",C623*E623)</f>
        <v>2.471</v>
      </c>
      <c r="G623" s="22" t="n">
        <f aca="false">IFERROR(VLOOKUP(A623,NOMENCLATOR!$A:$E,5,0),"")</f>
        <v>2.471</v>
      </c>
      <c r="H623" s="22" t="n">
        <f aca="false">IF(OR(C623="",G623=""),"",C623*G623)</f>
        <v>2.471</v>
      </c>
    </row>
    <row r="624" customFormat="false" ht="15" hidden="false" customHeight="true" outlineLevel="0" collapsed="false">
      <c r="A624" s="17" t="s">
        <v>76</v>
      </c>
      <c r="B624" s="18" t="str">
        <f aca="false">IFERROR(VLOOKUP(A624,NOMENCLATOR!$A:$E,2,0),"")</f>
        <v>Bulina porc</v>
      </c>
      <c r="C624" s="19" t="n">
        <v>1</v>
      </c>
      <c r="D624" s="20" t="str">
        <f aca="false">IFERROR(VLOOKUP(A624,NOMENCLATOR!$A:$E,3,0),"")</f>
        <v>EA</v>
      </c>
      <c r="E624" s="21" t="n">
        <f aca="false">IFERROR(VLOOKUP(A624,NOMENCLATOR!$A:$E,4,0),"")</f>
        <v>0.086</v>
      </c>
      <c r="F624" s="21" t="n">
        <f aca="false">IF(OR(C624="",E624=""),"",C624*E624)</f>
        <v>0.086</v>
      </c>
      <c r="G624" s="22" t="n">
        <f aca="false">IFERROR(VLOOKUP(A624,NOMENCLATOR!$A:$E,5,0),"")</f>
        <v>0.086</v>
      </c>
      <c r="H624" s="22" t="n">
        <f aca="false">IF(OR(C624="",G624=""),"",C624*G624)</f>
        <v>0.086</v>
      </c>
    </row>
    <row r="625" customFormat="false" ht="15" hidden="false" customHeight="true" outlineLevel="0" collapsed="false">
      <c r="A625" s="17" t="s">
        <v>310</v>
      </c>
      <c r="B625" s="18" t="str">
        <f aca="false">IFERROR(VLOOKUP(A625,NOMENCLATOR!$A:$E,2,0),"")</f>
        <v>Y-Castraveti felii in saramura</v>
      </c>
      <c r="C625" s="19" t="n">
        <v>11.2</v>
      </c>
      <c r="D625" s="20" t="str">
        <f aca="false">IFERROR(VLOOKUP(A625,NOMENCLATOR!$A:$E,3,0),"")</f>
        <v>GM</v>
      </c>
      <c r="E625" s="21" t="n">
        <f aca="false">IFERROR(VLOOKUP(A625,NOMENCLATOR!$A:$E,4,0),"")</f>
        <v>0.01554</v>
      </c>
      <c r="F625" s="21" t="n">
        <f aca="false">IF(OR(C625="",E625=""),"",C625*E625)</f>
        <v>0.174048</v>
      </c>
      <c r="G625" s="22" t="n">
        <f aca="false">IFERROR(VLOOKUP(A625,NOMENCLATOR!$A:$E,5,0),"")</f>
        <v>0.01554</v>
      </c>
      <c r="H625" s="22" t="n">
        <f aca="false">IF(OR(C625="",G625=""),"",C625*G625)</f>
        <v>0.174048</v>
      </c>
    </row>
    <row r="626" customFormat="false" ht="15" hidden="false" customHeight="true" outlineLevel="0" collapsed="false">
      <c r="A626" s="17" t="s">
        <v>300</v>
      </c>
      <c r="B626" s="18" t="str">
        <f aca="false">IFERROR(VLOOKUP(A626,NOMENCLATOR!$A:$E,2,0),"")</f>
        <v>Ulei de alune</v>
      </c>
      <c r="C626" s="19" t="n">
        <v>20</v>
      </c>
      <c r="D626" s="20" t="str">
        <f aca="false">IFERROR(VLOOKUP(A626,NOMENCLATOR!$A:$E,3,0),"")</f>
        <v>ML</v>
      </c>
      <c r="E626" s="21" t="n">
        <f aca="false">IFERROR(VLOOKUP(A626,NOMENCLATOR!$A:$E,4,0),"")</f>
        <v>0.0169</v>
      </c>
      <c r="F626" s="21" t="n">
        <f aca="false">IF(OR(C626="",E626=""),"",C626*E626)</f>
        <v>0.338</v>
      </c>
      <c r="G626" s="22" t="n">
        <f aca="false">IFERROR(VLOOKUP(A626,NOMENCLATOR!$A:$E,5,0),"")</f>
        <v>0.0169</v>
      </c>
      <c r="H626" s="22" t="n">
        <f aca="false">IF(OR(C626="",G626=""),"",C626*G626)</f>
        <v>0.338</v>
      </c>
    </row>
    <row r="627" customFormat="false" ht="15" hidden="false" customHeight="true" outlineLevel="0" collapsed="false">
      <c r="A627" s="23" t="str">
        <f aca="false">IF(A617="","",A617)</f>
        <v>ROSTI SAUSAGE BURGER new</v>
      </c>
      <c r="B627" s="24"/>
      <c r="C627" s="24"/>
      <c r="D627" s="24"/>
      <c r="E627" s="24"/>
      <c r="F627" s="25" t="n">
        <f aca="false">IF(A617="","",SUM(F619:F626))</f>
        <v>7.552718</v>
      </c>
      <c r="G627" s="24"/>
      <c r="H627" s="26" t="n">
        <f aca="false">IF(A617="","",SUM(H619:H626))</f>
        <v>7.552718</v>
      </c>
    </row>
    <row r="629" customFormat="false" ht="15" hidden="false" customHeight="true" outlineLevel="0" collapsed="false">
      <c r="A629" s="12" t="s">
        <v>381</v>
      </c>
      <c r="B629" s="13"/>
      <c r="C629" s="13"/>
      <c r="D629" s="13"/>
      <c r="E629" s="13"/>
      <c r="F629" s="14" t="s">
        <v>372</v>
      </c>
      <c r="G629" s="13"/>
      <c r="H629" s="15"/>
    </row>
    <row r="630" customFormat="false" ht="15" hidden="false" customHeight="true" outlineLevel="0" collapsed="false">
      <c r="A630" s="16" t="s">
        <v>316</v>
      </c>
      <c r="B630" s="16" t="s">
        <v>317</v>
      </c>
      <c r="C630" s="16" t="s">
        <v>318</v>
      </c>
      <c r="D630" s="16" t="s">
        <v>4</v>
      </c>
      <c r="E630" s="16" t="s">
        <v>319</v>
      </c>
      <c r="F630" s="16" t="s">
        <v>320</v>
      </c>
      <c r="G630" s="16" t="s">
        <v>321</v>
      </c>
      <c r="H630" s="16" t="s">
        <v>322</v>
      </c>
    </row>
    <row r="631" customFormat="false" ht="15" hidden="false" customHeight="true" outlineLevel="0" collapsed="false">
      <c r="A631" s="17" t="s">
        <v>98</v>
      </c>
      <c r="B631" s="18" t="str">
        <f aca="false">IFERROR(VLOOKUP(A631,NOMENCLATOR!$A:$E,2,0),"")</f>
        <v>CHIFLA CARTOF 3.5inch 53G x 72</v>
      </c>
      <c r="C631" s="19" t="n">
        <v>1</v>
      </c>
      <c r="D631" s="20" t="str">
        <f aca="false">IFERROR(VLOOKUP(A631,NOMENCLATOR!$A:$E,3,0),"")</f>
        <v>EA</v>
      </c>
      <c r="E631" s="21" t="n">
        <f aca="false">IFERROR(VLOOKUP(A631,NOMENCLATOR!$A:$E,4,0),"")</f>
        <v>2.4</v>
      </c>
      <c r="F631" s="21" t="n">
        <f aca="false">IF(OR(C631="",E631=""),"",C631*E631)</f>
        <v>2.4</v>
      </c>
      <c r="G631" s="22" t="n">
        <f aca="false">IFERROR(VLOOKUP(A631,NOMENCLATOR!$A:$E,5,0),"")</f>
        <v>2.4</v>
      </c>
      <c r="H631" s="22" t="n">
        <f aca="false">IF(OR(C631="",G631=""),"",C631*G631)</f>
        <v>2.4</v>
      </c>
    </row>
    <row r="632" customFormat="false" ht="15" hidden="false" customHeight="true" outlineLevel="0" collapsed="false">
      <c r="A632" s="17" t="s">
        <v>262</v>
      </c>
      <c r="B632" s="18" t="str">
        <f aca="false">IFERROR(VLOOKUP(A632,NOMENCLATOR!$A:$E,2,0),"")</f>
        <v>Rosti Rounds</v>
      </c>
      <c r="C632" s="19" t="n">
        <v>1</v>
      </c>
      <c r="D632" s="20" t="str">
        <f aca="false">IFERROR(VLOOKUP(A632,NOMENCLATOR!$A:$E,3,0),"")</f>
        <v>EA</v>
      </c>
      <c r="E632" s="21" t="n">
        <f aca="false">IFERROR(VLOOKUP(A632,NOMENCLATOR!$A:$E,4,0),"")</f>
        <v>1.353</v>
      </c>
      <c r="F632" s="21" t="n">
        <f aca="false">IF(OR(C632="",E632=""),"",C632*E632)</f>
        <v>1.353</v>
      </c>
      <c r="G632" s="22" t="n">
        <f aca="false">IFERROR(VLOOKUP(A632,NOMENCLATOR!$A:$E,5,0),"")</f>
        <v>1.353</v>
      </c>
      <c r="H632" s="22" t="n">
        <f aca="false">IF(OR(C632="",G632=""),"",C632*G632)</f>
        <v>1.353</v>
      </c>
    </row>
    <row r="633" customFormat="false" ht="15" hidden="false" customHeight="true" outlineLevel="0" collapsed="false">
      <c r="A633" s="17" t="s">
        <v>134</v>
      </c>
      <c r="B633" s="18" t="str">
        <f aca="false">IFERROR(VLOOKUP(A633,NOMENCLATOR!$A:$E,2,0),"")</f>
        <v>Hartie Burger Fryday</v>
      </c>
      <c r="C633" s="19" t="n">
        <v>1</v>
      </c>
      <c r="D633" s="20" t="str">
        <f aca="false">IFERROR(VLOOKUP(A633,NOMENCLATOR!$A:$E,3,0),"")</f>
        <v>EA</v>
      </c>
      <c r="E633" s="21" t="n">
        <f aca="false">IFERROR(VLOOKUP(A633,NOMENCLATOR!$A:$E,4,0),"")</f>
        <v>0.115</v>
      </c>
      <c r="F633" s="21" t="n">
        <f aca="false">IF(OR(C633="",E633=""),"",C633*E633)</f>
        <v>0.115</v>
      </c>
      <c r="G633" s="22" t="n">
        <f aca="false">IFERROR(VLOOKUP(A633,NOMENCLATOR!$A:$E,5,0),"")</f>
        <v>0.115</v>
      </c>
      <c r="H633" s="22" t="n">
        <f aca="false">IF(OR(C633="",G633=""),"",C633*G633)</f>
        <v>0.115</v>
      </c>
    </row>
    <row r="634" customFormat="false" ht="15" hidden="false" customHeight="true" outlineLevel="0" collapsed="false">
      <c r="A634" s="17" t="s">
        <v>68</v>
      </c>
      <c r="B634" s="18" t="str">
        <f aca="false">IFERROR(VLOOKUP(A634,NOMENCLATOR!$A:$E,2,0),"")</f>
        <v>Branza cheddar felii 2026</v>
      </c>
      <c r="C634" s="19" t="n">
        <v>1</v>
      </c>
      <c r="D634" s="20" t="str">
        <f aca="false">IFERROR(VLOOKUP(A634,NOMENCLATOR!$A:$E,3,0),"")</f>
        <v>EA</v>
      </c>
      <c r="E634" s="21" t="n">
        <f aca="false">IFERROR(VLOOKUP(A634,NOMENCLATOR!$A:$E,4,0),"")</f>
        <v>0.61567</v>
      </c>
      <c r="F634" s="21" t="n">
        <f aca="false">IF(OR(C634="",E634=""),"",C634*E634)</f>
        <v>0.61567</v>
      </c>
      <c r="G634" s="22" t="n">
        <f aca="false">IFERROR(VLOOKUP(A634,NOMENCLATOR!$A:$E,5,0),"")</f>
        <v>0.61567</v>
      </c>
      <c r="H634" s="22" t="n">
        <f aca="false">IF(OR(C634="",G634=""),"",C634*G634)</f>
        <v>0.61567</v>
      </c>
    </row>
    <row r="635" customFormat="false" ht="15" hidden="false" customHeight="true" outlineLevel="0" collapsed="false">
      <c r="A635" s="17" t="s">
        <v>276</v>
      </c>
      <c r="B635" s="18" t="str">
        <f aca="false">IFERROR(VLOOKUP(A635,NOMENCLATOR!$A:$E,2,0),"")</f>
        <v>Sausage Patty</v>
      </c>
      <c r="C635" s="19" t="n">
        <v>1</v>
      </c>
      <c r="D635" s="20" t="str">
        <f aca="false">IFERROR(VLOOKUP(A635,NOMENCLATOR!$A:$E,3,0),"")</f>
        <v>EA</v>
      </c>
      <c r="E635" s="21" t="n">
        <f aca="false">IFERROR(VLOOKUP(A635,NOMENCLATOR!$A:$E,4,0),"")</f>
        <v>2.471</v>
      </c>
      <c r="F635" s="21" t="n">
        <f aca="false">IF(OR(C635="",E635=""),"",C635*E635)</f>
        <v>2.471</v>
      </c>
      <c r="G635" s="22" t="n">
        <f aca="false">IFERROR(VLOOKUP(A635,NOMENCLATOR!$A:$E,5,0),"")</f>
        <v>2.471</v>
      </c>
      <c r="H635" s="22" t="n">
        <f aca="false">IF(OR(C635="",G635=""),"",C635*G635)</f>
        <v>2.471</v>
      </c>
    </row>
    <row r="636" customFormat="false" ht="15" hidden="false" customHeight="true" outlineLevel="0" collapsed="false">
      <c r="A636" s="17" t="s">
        <v>76</v>
      </c>
      <c r="B636" s="18" t="str">
        <f aca="false">IFERROR(VLOOKUP(A636,NOMENCLATOR!$A:$E,2,0),"")</f>
        <v>Bulina porc</v>
      </c>
      <c r="C636" s="19" t="n">
        <v>1</v>
      </c>
      <c r="D636" s="20" t="str">
        <f aca="false">IFERROR(VLOOKUP(A636,NOMENCLATOR!$A:$E,3,0),"")</f>
        <v>EA</v>
      </c>
      <c r="E636" s="21" t="n">
        <f aca="false">IFERROR(VLOOKUP(A636,NOMENCLATOR!$A:$E,4,0),"")</f>
        <v>0.086</v>
      </c>
      <c r="F636" s="21" t="n">
        <f aca="false">IF(OR(C636="",E636=""),"",C636*E636)</f>
        <v>0.086</v>
      </c>
      <c r="G636" s="22" t="n">
        <f aca="false">IFERROR(VLOOKUP(A636,NOMENCLATOR!$A:$E,5,0),"")</f>
        <v>0.086</v>
      </c>
      <c r="H636" s="22" t="n">
        <f aca="false">IF(OR(C636="",G636=""),"",C636*G636)</f>
        <v>0.086</v>
      </c>
    </row>
    <row r="637" customFormat="false" ht="15" hidden="false" customHeight="true" outlineLevel="0" collapsed="false">
      <c r="A637" s="17" t="s">
        <v>310</v>
      </c>
      <c r="B637" s="18" t="str">
        <f aca="false">IFERROR(VLOOKUP(A637,NOMENCLATOR!$A:$E,2,0),"")</f>
        <v>Y-Castraveti felii in saramura</v>
      </c>
      <c r="C637" s="19" t="n">
        <v>11.2</v>
      </c>
      <c r="D637" s="20" t="str">
        <f aca="false">IFERROR(VLOOKUP(A637,NOMENCLATOR!$A:$E,3,0),"")</f>
        <v>GM</v>
      </c>
      <c r="E637" s="21" t="n">
        <f aca="false">IFERROR(VLOOKUP(A637,NOMENCLATOR!$A:$E,4,0),"")</f>
        <v>0.01554</v>
      </c>
      <c r="F637" s="21" t="n">
        <f aca="false">IF(OR(C637="",E637=""),"",C637*E637)</f>
        <v>0.174048</v>
      </c>
      <c r="G637" s="22" t="n">
        <f aca="false">IFERROR(VLOOKUP(A637,NOMENCLATOR!$A:$E,5,0),"")</f>
        <v>0.01554</v>
      </c>
      <c r="H637" s="22" t="n">
        <f aca="false">IF(OR(C637="",G637=""),"",C637*G637)</f>
        <v>0.174048</v>
      </c>
    </row>
    <row r="638" customFormat="false" ht="15" hidden="false" customHeight="true" outlineLevel="0" collapsed="false">
      <c r="A638" s="17" t="s">
        <v>300</v>
      </c>
      <c r="B638" s="18" t="str">
        <f aca="false">IFERROR(VLOOKUP(A638,NOMENCLATOR!$A:$E,2,0),"")</f>
        <v>Ulei de alune</v>
      </c>
      <c r="C638" s="19" t="n">
        <v>20</v>
      </c>
      <c r="D638" s="20" t="str">
        <f aca="false">IFERROR(VLOOKUP(A638,NOMENCLATOR!$A:$E,3,0),"")</f>
        <v>ML</v>
      </c>
      <c r="E638" s="21" t="n">
        <f aca="false">IFERROR(VLOOKUP(A638,NOMENCLATOR!$A:$E,4,0),"")</f>
        <v>0.0169</v>
      </c>
      <c r="F638" s="21" t="n">
        <f aca="false">IF(OR(C638="",E638=""),"",C638*E638)</f>
        <v>0.338</v>
      </c>
      <c r="G638" s="22" t="n">
        <f aca="false">IFERROR(VLOOKUP(A638,NOMENCLATOR!$A:$E,5,0),"")</f>
        <v>0.0169</v>
      </c>
      <c r="H638" s="22" t="n">
        <f aca="false">IF(OR(C638="",G638=""),"",C638*G638)</f>
        <v>0.338</v>
      </c>
    </row>
    <row r="639" customFormat="false" ht="15" hidden="false" customHeight="true" outlineLevel="0" collapsed="false">
      <c r="A639" s="23" t="str">
        <f aca="false">IF(A629="","",A629)</f>
        <v>ROSTI SAUSAGE BURGER new D</v>
      </c>
      <c r="B639" s="24"/>
      <c r="C639" s="24"/>
      <c r="D639" s="24"/>
      <c r="E639" s="24"/>
      <c r="F639" s="25" t="n">
        <f aca="false">IF(A629="","",SUM(F631:F638))</f>
        <v>7.552718</v>
      </c>
      <c r="G639" s="24"/>
      <c r="H639" s="26" t="n">
        <f aca="false">IF(A629="","",SUM(H631:H638))</f>
        <v>7.552718</v>
      </c>
    </row>
    <row r="641" customFormat="false" ht="15" hidden="false" customHeight="true" outlineLevel="0" collapsed="false">
      <c r="A641" s="12" t="s">
        <v>382</v>
      </c>
      <c r="B641" s="13"/>
      <c r="C641" s="13"/>
      <c r="D641" s="13"/>
      <c r="E641" s="13"/>
      <c r="F641" s="14" t="s">
        <v>383</v>
      </c>
      <c r="G641" s="13"/>
      <c r="H641" s="15"/>
    </row>
    <row r="642" customFormat="false" ht="15" hidden="false" customHeight="true" outlineLevel="0" collapsed="false">
      <c r="A642" s="16" t="s">
        <v>316</v>
      </c>
      <c r="B642" s="16" t="s">
        <v>317</v>
      </c>
      <c r="C642" s="16" t="s">
        <v>318</v>
      </c>
      <c r="D642" s="16" t="s">
        <v>4</v>
      </c>
      <c r="E642" s="16" t="s">
        <v>319</v>
      </c>
      <c r="F642" s="16" t="s">
        <v>320</v>
      </c>
      <c r="G642" s="16" t="s">
        <v>321</v>
      </c>
      <c r="H642" s="16" t="s">
        <v>322</v>
      </c>
    </row>
    <row r="643" customFormat="false" ht="15" hidden="false" customHeight="true" outlineLevel="0" collapsed="false">
      <c r="A643" s="17" t="s">
        <v>98</v>
      </c>
      <c r="B643" s="18" t="str">
        <f aca="false">IFERROR(VLOOKUP(A643,NOMENCLATOR!$A:$E,2,0),"")</f>
        <v>CHIFLA CARTOF 3.5inch 53G x 72</v>
      </c>
      <c r="C643" s="19" t="n">
        <v>1</v>
      </c>
      <c r="D643" s="20" t="str">
        <f aca="false">IFERROR(VLOOKUP(A643,NOMENCLATOR!$A:$E,3,0),"")</f>
        <v>EA</v>
      </c>
      <c r="E643" s="21" t="n">
        <f aca="false">IFERROR(VLOOKUP(A643,NOMENCLATOR!$A:$E,4,0),"")</f>
        <v>2.4</v>
      </c>
      <c r="F643" s="21" t="n">
        <f aca="false">IF(OR(C643="",E643=""),"",C643*E643)</f>
        <v>2.4</v>
      </c>
      <c r="G643" s="22" t="n">
        <f aca="false">IFERROR(VLOOKUP(A643,NOMENCLATOR!$A:$E,5,0),"")</f>
        <v>2.4</v>
      </c>
      <c r="H643" s="22" t="n">
        <f aca="false">IF(OR(C643="",G643=""),"",C643*G643)</f>
        <v>2.4</v>
      </c>
    </row>
    <row r="644" customFormat="false" ht="15" hidden="false" customHeight="true" outlineLevel="0" collapsed="false">
      <c r="A644" s="17" t="s">
        <v>70</v>
      </c>
      <c r="B644" s="18" t="str">
        <f aca="false">IFERROR(VLOOKUP(A644,NOMENCLATOR!$A:$E,2,0),"")</f>
        <v>Breaded Shrimp Patty 100g</v>
      </c>
      <c r="C644" s="19" t="n">
        <v>1</v>
      </c>
      <c r="D644" s="20" t="str">
        <f aca="false">IFERROR(VLOOKUP(A644,NOMENCLATOR!$A:$E,3,0),"")</f>
        <v>EA</v>
      </c>
      <c r="E644" s="21" t="n">
        <f aca="false">IFERROR(VLOOKUP(A644,NOMENCLATOR!$A:$E,4,0),"")</f>
        <v>5.238</v>
      </c>
      <c r="F644" s="21" t="n">
        <f aca="false">IF(OR(C644="",E644=""),"",C644*E644)</f>
        <v>5.238</v>
      </c>
      <c r="G644" s="22" t="n">
        <f aca="false">IFERROR(VLOOKUP(A644,NOMENCLATOR!$A:$E,5,0),"")</f>
        <v>5.238</v>
      </c>
      <c r="H644" s="22" t="n">
        <f aca="false">IF(OR(C644="",G644=""),"",C644*G644)</f>
        <v>5.238</v>
      </c>
    </row>
    <row r="645" customFormat="false" ht="15" hidden="false" customHeight="true" outlineLevel="0" collapsed="false">
      <c r="A645" s="17" t="s">
        <v>300</v>
      </c>
      <c r="B645" s="18" t="str">
        <f aca="false">IFERROR(VLOOKUP(A645,NOMENCLATOR!$A:$E,2,0),"")</f>
        <v>Ulei de alune</v>
      </c>
      <c r="C645" s="19" t="n">
        <v>20</v>
      </c>
      <c r="D645" s="20" t="str">
        <f aca="false">IFERROR(VLOOKUP(A645,NOMENCLATOR!$A:$E,3,0),"")</f>
        <v>ML</v>
      </c>
      <c r="E645" s="21" t="n">
        <f aca="false">IFERROR(VLOOKUP(A645,NOMENCLATOR!$A:$E,4,0),"")</f>
        <v>0.0169</v>
      </c>
      <c r="F645" s="21" t="n">
        <f aca="false">IF(OR(C645="",E645=""),"",C645*E645)</f>
        <v>0.338</v>
      </c>
      <c r="G645" s="22" t="n">
        <f aca="false">IFERROR(VLOOKUP(A645,NOMENCLATOR!$A:$E,5,0),"")</f>
        <v>0.0169</v>
      </c>
      <c r="H645" s="22" t="n">
        <f aca="false">IF(OR(C645="",G645=""),"",C645*G645)</f>
        <v>0.338</v>
      </c>
    </row>
    <row r="646" customFormat="false" ht="15" hidden="false" customHeight="true" outlineLevel="0" collapsed="false">
      <c r="A646" s="17" t="s">
        <v>176</v>
      </c>
      <c r="B646" s="18" t="str">
        <f aca="false">IFERROR(VLOOKUP(A646,NOMENCLATOR!$A:$E,2,0),"")</f>
        <v>N Sos Cocktail</v>
      </c>
      <c r="C646" s="19" t="n">
        <v>40</v>
      </c>
      <c r="D646" s="20" t="str">
        <f aca="false">IFERROR(VLOOKUP(A646,NOMENCLATOR!$A:$E,3,0),"")</f>
        <v>ML</v>
      </c>
      <c r="E646" s="21" t="n">
        <f aca="false">IFERROR(VLOOKUP(A646,NOMENCLATOR!$A:$E,4,0),"")</f>
        <v>0.03215</v>
      </c>
      <c r="F646" s="21" t="n">
        <f aca="false">IF(OR(C646="",E646=""),"",C646*E646)</f>
        <v>1.286</v>
      </c>
      <c r="G646" s="22" t="n">
        <f aca="false">IFERROR(VLOOKUP(A646,NOMENCLATOR!$A:$E,5,0),"")</f>
        <v>0.03215</v>
      </c>
      <c r="H646" s="22" t="n">
        <f aca="false">IF(OR(C646="",G646=""),"",C646*G646)</f>
        <v>1.286</v>
      </c>
    </row>
    <row r="647" customFormat="false" ht="15" hidden="false" customHeight="true" outlineLevel="0" collapsed="false">
      <c r="A647" s="17" t="s">
        <v>274</v>
      </c>
      <c r="B647" s="18" t="str">
        <f aca="false">IFERROR(VLOOKUP(A647,NOMENCLATOR!$A:$E,2,0),"")</f>
        <v>SALATA LOLLO BIONDA S 500g</v>
      </c>
      <c r="C647" s="19" t="n">
        <v>20</v>
      </c>
      <c r="D647" s="20" t="str">
        <f aca="false">IFERROR(VLOOKUP(A647,NOMENCLATOR!$A:$E,3,0),"")</f>
        <v>GM</v>
      </c>
      <c r="E647" s="21" t="n">
        <f aca="false">IFERROR(VLOOKUP(A647,NOMENCLATOR!$A:$E,4,0),"")</f>
        <v>0.036</v>
      </c>
      <c r="F647" s="21" t="n">
        <f aca="false">IF(OR(C647="",E647=""),"",C647*E647)</f>
        <v>0.72</v>
      </c>
      <c r="G647" s="22" t="n">
        <f aca="false">IFERROR(VLOOKUP(A647,NOMENCLATOR!$A:$E,5,0),"")</f>
        <v>0.036</v>
      </c>
      <c r="H647" s="22" t="n">
        <f aca="false">IF(OR(C647="",G647=""),"",C647*G647)</f>
        <v>0.72</v>
      </c>
    </row>
    <row r="648" customFormat="false" ht="15" hidden="false" customHeight="true" outlineLevel="0" collapsed="false">
      <c r="A648" s="17" t="s">
        <v>120</v>
      </c>
      <c r="B648" s="18" t="str">
        <f aca="false">IFERROR(VLOOKUP(A648,NOMENCLATOR!$A:$E,2,0),"")</f>
        <v>CUTIE MICA Shrimp Burger 2024- PATRAT</v>
      </c>
      <c r="C648" s="19" t="n">
        <v>1</v>
      </c>
      <c r="D648" s="20" t="str">
        <f aca="false">IFERROR(VLOOKUP(A648,NOMENCLATOR!$A:$E,3,0),"")</f>
        <v>EA</v>
      </c>
      <c r="E648" s="21" t="n">
        <f aca="false">IFERROR(VLOOKUP(A648,NOMENCLATOR!$A:$E,4,0),"")</f>
        <v>0.691</v>
      </c>
      <c r="F648" s="21" t="n">
        <f aca="false">IF(OR(C648="",E648=""),"",C648*E648)</f>
        <v>0.691</v>
      </c>
      <c r="G648" s="22" t="n">
        <f aca="false">IFERROR(VLOOKUP(A648,NOMENCLATOR!$A:$E,5,0),"")</f>
        <v>0.691</v>
      </c>
      <c r="H648" s="22" t="n">
        <f aca="false">IF(OR(C648="",G648=""),"",C648*G648)</f>
        <v>0.691</v>
      </c>
    </row>
    <row r="649" customFormat="false" ht="15" hidden="false" customHeight="true" outlineLevel="0" collapsed="false">
      <c r="A649" s="23" t="str">
        <f aca="false">IF(A641="","",A641)</f>
        <v>SHRIMP BURGER new</v>
      </c>
      <c r="B649" s="24"/>
      <c r="C649" s="24"/>
      <c r="D649" s="24"/>
      <c r="E649" s="24"/>
      <c r="F649" s="25" t="n">
        <f aca="false">IF(A641="","",SUM(F643:F648))</f>
        <v>10.673</v>
      </c>
      <c r="G649" s="24"/>
      <c r="H649" s="26" t="n">
        <f aca="false">IF(A641="","",SUM(H643:H648))</f>
        <v>10.673</v>
      </c>
    </row>
    <row r="651" customFormat="false" ht="15" hidden="false" customHeight="true" outlineLevel="0" collapsed="false">
      <c r="A651" s="12" t="s">
        <v>384</v>
      </c>
      <c r="B651" s="13"/>
      <c r="C651" s="13"/>
      <c r="D651" s="13"/>
      <c r="E651" s="13"/>
      <c r="F651" s="14" t="s">
        <v>383</v>
      </c>
      <c r="G651" s="13"/>
      <c r="H651" s="15"/>
    </row>
    <row r="652" customFormat="false" ht="15" hidden="false" customHeight="true" outlineLevel="0" collapsed="false">
      <c r="A652" s="16" t="s">
        <v>316</v>
      </c>
      <c r="B652" s="16" t="s">
        <v>317</v>
      </c>
      <c r="C652" s="16" t="s">
        <v>318</v>
      </c>
      <c r="D652" s="16" t="s">
        <v>4</v>
      </c>
      <c r="E652" s="16" t="s">
        <v>319</v>
      </c>
      <c r="F652" s="16" t="s">
        <v>320</v>
      </c>
      <c r="G652" s="16" t="s">
        <v>321</v>
      </c>
      <c r="H652" s="16" t="s">
        <v>322</v>
      </c>
    </row>
    <row r="653" customFormat="false" ht="15" hidden="false" customHeight="true" outlineLevel="0" collapsed="false">
      <c r="A653" s="17" t="s">
        <v>98</v>
      </c>
      <c r="B653" s="18" t="str">
        <f aca="false">IFERROR(VLOOKUP(A653,NOMENCLATOR!$A:$E,2,0),"")</f>
        <v>CHIFLA CARTOF 3.5inch 53G x 72</v>
      </c>
      <c r="C653" s="19" t="n">
        <v>1</v>
      </c>
      <c r="D653" s="20" t="str">
        <f aca="false">IFERROR(VLOOKUP(A653,NOMENCLATOR!$A:$E,3,0),"")</f>
        <v>EA</v>
      </c>
      <c r="E653" s="21" t="n">
        <f aca="false">IFERROR(VLOOKUP(A653,NOMENCLATOR!$A:$E,4,0),"")</f>
        <v>2.4</v>
      </c>
      <c r="F653" s="21" t="n">
        <f aca="false">IF(OR(C653="",E653=""),"",C653*E653)</f>
        <v>2.4</v>
      </c>
      <c r="G653" s="22" t="n">
        <f aca="false">IFERROR(VLOOKUP(A653,NOMENCLATOR!$A:$E,5,0),"")</f>
        <v>2.4</v>
      </c>
      <c r="H653" s="22" t="n">
        <f aca="false">IF(OR(C653="",G653=""),"",C653*G653)</f>
        <v>2.4</v>
      </c>
    </row>
    <row r="654" customFormat="false" ht="15" hidden="false" customHeight="true" outlineLevel="0" collapsed="false">
      <c r="A654" s="17" t="s">
        <v>70</v>
      </c>
      <c r="B654" s="18" t="str">
        <f aca="false">IFERROR(VLOOKUP(A654,NOMENCLATOR!$A:$E,2,0),"")</f>
        <v>Breaded Shrimp Patty 100g</v>
      </c>
      <c r="C654" s="19" t="n">
        <v>1</v>
      </c>
      <c r="D654" s="20" t="str">
        <f aca="false">IFERROR(VLOOKUP(A654,NOMENCLATOR!$A:$E,3,0),"")</f>
        <v>EA</v>
      </c>
      <c r="E654" s="21" t="n">
        <f aca="false">IFERROR(VLOOKUP(A654,NOMENCLATOR!$A:$E,4,0),"")</f>
        <v>5.238</v>
      </c>
      <c r="F654" s="21" t="n">
        <f aca="false">IF(OR(C654="",E654=""),"",C654*E654)</f>
        <v>5.238</v>
      </c>
      <c r="G654" s="22" t="n">
        <f aca="false">IFERROR(VLOOKUP(A654,NOMENCLATOR!$A:$E,5,0),"")</f>
        <v>5.238</v>
      </c>
      <c r="H654" s="22" t="n">
        <f aca="false">IF(OR(C654="",G654=""),"",C654*G654)</f>
        <v>5.238</v>
      </c>
    </row>
    <row r="655" customFormat="false" ht="15" hidden="false" customHeight="true" outlineLevel="0" collapsed="false">
      <c r="A655" s="17" t="s">
        <v>300</v>
      </c>
      <c r="B655" s="18" t="str">
        <f aca="false">IFERROR(VLOOKUP(A655,NOMENCLATOR!$A:$E,2,0),"")</f>
        <v>Ulei de alune</v>
      </c>
      <c r="C655" s="19" t="n">
        <v>20</v>
      </c>
      <c r="D655" s="20" t="str">
        <f aca="false">IFERROR(VLOOKUP(A655,NOMENCLATOR!$A:$E,3,0),"")</f>
        <v>ML</v>
      </c>
      <c r="E655" s="21" t="n">
        <f aca="false">IFERROR(VLOOKUP(A655,NOMENCLATOR!$A:$E,4,0),"")</f>
        <v>0.0169</v>
      </c>
      <c r="F655" s="21" t="n">
        <f aca="false">IF(OR(C655="",E655=""),"",C655*E655)</f>
        <v>0.338</v>
      </c>
      <c r="G655" s="22" t="n">
        <f aca="false">IFERROR(VLOOKUP(A655,NOMENCLATOR!$A:$E,5,0),"")</f>
        <v>0.0169</v>
      </c>
      <c r="H655" s="22" t="n">
        <f aca="false">IF(OR(C655="",G655=""),"",C655*G655)</f>
        <v>0.338</v>
      </c>
    </row>
    <row r="656" customFormat="false" ht="15" hidden="false" customHeight="true" outlineLevel="0" collapsed="false">
      <c r="A656" s="17" t="s">
        <v>176</v>
      </c>
      <c r="B656" s="18" t="str">
        <f aca="false">IFERROR(VLOOKUP(A656,NOMENCLATOR!$A:$E,2,0),"")</f>
        <v>N Sos Cocktail</v>
      </c>
      <c r="C656" s="19" t="n">
        <v>40</v>
      </c>
      <c r="D656" s="20" t="str">
        <f aca="false">IFERROR(VLOOKUP(A656,NOMENCLATOR!$A:$E,3,0),"")</f>
        <v>ML</v>
      </c>
      <c r="E656" s="21" t="n">
        <f aca="false">IFERROR(VLOOKUP(A656,NOMENCLATOR!$A:$E,4,0),"")</f>
        <v>0.03215</v>
      </c>
      <c r="F656" s="21" t="n">
        <f aca="false">IF(OR(C656="",E656=""),"",C656*E656)</f>
        <v>1.286</v>
      </c>
      <c r="G656" s="22" t="n">
        <f aca="false">IFERROR(VLOOKUP(A656,NOMENCLATOR!$A:$E,5,0),"")</f>
        <v>0.03215</v>
      </c>
      <c r="H656" s="22" t="n">
        <f aca="false">IF(OR(C656="",G656=""),"",C656*G656)</f>
        <v>1.286</v>
      </c>
    </row>
    <row r="657" customFormat="false" ht="15" hidden="false" customHeight="true" outlineLevel="0" collapsed="false">
      <c r="A657" s="17" t="s">
        <v>274</v>
      </c>
      <c r="B657" s="18" t="str">
        <f aca="false">IFERROR(VLOOKUP(A657,NOMENCLATOR!$A:$E,2,0),"")</f>
        <v>SALATA LOLLO BIONDA S 500g</v>
      </c>
      <c r="C657" s="19" t="n">
        <v>20</v>
      </c>
      <c r="D657" s="20" t="str">
        <f aca="false">IFERROR(VLOOKUP(A657,NOMENCLATOR!$A:$E,3,0),"")</f>
        <v>GM</v>
      </c>
      <c r="E657" s="21" t="n">
        <f aca="false">IFERROR(VLOOKUP(A657,NOMENCLATOR!$A:$E,4,0),"")</f>
        <v>0.036</v>
      </c>
      <c r="F657" s="21" t="n">
        <f aca="false">IF(OR(C657="",E657=""),"",C657*E657)</f>
        <v>0.72</v>
      </c>
      <c r="G657" s="22" t="n">
        <f aca="false">IFERROR(VLOOKUP(A657,NOMENCLATOR!$A:$E,5,0),"")</f>
        <v>0.036</v>
      </c>
      <c r="H657" s="22" t="n">
        <f aca="false">IF(OR(C657="",G657=""),"",C657*G657)</f>
        <v>0.72</v>
      </c>
    </row>
    <row r="658" customFormat="false" ht="15" hidden="false" customHeight="true" outlineLevel="0" collapsed="false">
      <c r="A658" s="17" t="s">
        <v>120</v>
      </c>
      <c r="B658" s="18" t="str">
        <f aca="false">IFERROR(VLOOKUP(A658,NOMENCLATOR!$A:$E,2,0),"")</f>
        <v>CUTIE MICA Shrimp Burger 2024- PATRAT</v>
      </c>
      <c r="C658" s="19" t="n">
        <v>1</v>
      </c>
      <c r="D658" s="20" t="str">
        <f aca="false">IFERROR(VLOOKUP(A658,NOMENCLATOR!$A:$E,3,0),"")</f>
        <v>EA</v>
      </c>
      <c r="E658" s="21" t="n">
        <f aca="false">IFERROR(VLOOKUP(A658,NOMENCLATOR!$A:$E,4,0),"")</f>
        <v>0.691</v>
      </c>
      <c r="F658" s="21" t="n">
        <f aca="false">IF(OR(C658="",E658=""),"",C658*E658)</f>
        <v>0.691</v>
      </c>
      <c r="G658" s="22" t="n">
        <f aca="false">IFERROR(VLOOKUP(A658,NOMENCLATOR!$A:$E,5,0),"")</f>
        <v>0.691</v>
      </c>
      <c r="H658" s="22" t="n">
        <f aca="false">IF(OR(C658="",G658=""),"",C658*G658)</f>
        <v>0.691</v>
      </c>
    </row>
    <row r="659" customFormat="false" ht="15" hidden="false" customHeight="true" outlineLevel="0" collapsed="false">
      <c r="A659" s="23" t="str">
        <f aca="false">IF(A651="","",A651)</f>
        <v>SHRIMP BURGER new D</v>
      </c>
      <c r="B659" s="24"/>
      <c r="C659" s="24"/>
      <c r="D659" s="24"/>
      <c r="E659" s="24"/>
      <c r="F659" s="25" t="n">
        <f aca="false">IF(A651="","",SUM(F653:F658))</f>
        <v>10.673</v>
      </c>
      <c r="G659" s="24"/>
      <c r="H659" s="26" t="n">
        <f aca="false">IF(A651="","",SUM(H653:H658))</f>
        <v>10.673</v>
      </c>
    </row>
    <row r="661" customFormat="false" ht="15" hidden="false" customHeight="true" outlineLevel="0" collapsed="false">
      <c r="A661" s="12" t="s">
        <v>385</v>
      </c>
      <c r="B661" s="13"/>
      <c r="C661" s="13"/>
      <c r="D661" s="13"/>
      <c r="E661" s="13"/>
      <c r="F661" s="14" t="s">
        <v>386</v>
      </c>
      <c r="G661" s="13"/>
      <c r="H661" s="15"/>
    </row>
    <row r="662" customFormat="false" ht="15" hidden="false" customHeight="true" outlineLevel="0" collapsed="false">
      <c r="A662" s="16" t="s">
        <v>316</v>
      </c>
      <c r="B662" s="16" t="s">
        <v>317</v>
      </c>
      <c r="C662" s="16" t="s">
        <v>318</v>
      </c>
      <c r="D662" s="16" t="s">
        <v>4</v>
      </c>
      <c r="E662" s="16" t="s">
        <v>319</v>
      </c>
      <c r="F662" s="16" t="s">
        <v>320</v>
      </c>
      <c r="G662" s="16" t="s">
        <v>321</v>
      </c>
      <c r="H662" s="16" t="s">
        <v>322</v>
      </c>
    </row>
    <row r="663" customFormat="false" ht="15" hidden="false" customHeight="true" outlineLevel="0" collapsed="false">
      <c r="A663" s="17" t="s">
        <v>98</v>
      </c>
      <c r="B663" s="18" t="str">
        <f aca="false">IFERROR(VLOOKUP(A663,NOMENCLATOR!$A:$E,2,0),"")</f>
        <v>CHIFLA CARTOF 3.5inch 53G x 72</v>
      </c>
      <c r="C663" s="19" t="n">
        <v>1</v>
      </c>
      <c r="D663" s="20" t="str">
        <f aca="false">IFERROR(VLOOKUP(A663,NOMENCLATOR!$A:$E,3,0),"")</f>
        <v>EA</v>
      </c>
      <c r="E663" s="21" t="n">
        <f aca="false">IFERROR(VLOOKUP(A663,NOMENCLATOR!$A:$E,4,0),"")</f>
        <v>2.4</v>
      </c>
      <c r="F663" s="21" t="n">
        <f aca="false">IF(OR(C663="",E663=""),"",C663*E663)</f>
        <v>2.4</v>
      </c>
      <c r="G663" s="22" t="n">
        <f aca="false">IFERROR(VLOOKUP(A663,NOMENCLATOR!$A:$E,5,0),"")</f>
        <v>2.4</v>
      </c>
      <c r="H663" s="22" t="n">
        <f aca="false">IF(OR(C663="",G663=""),"",C663*G663)</f>
        <v>2.4</v>
      </c>
    </row>
    <row r="664" customFormat="false" ht="15" hidden="false" customHeight="true" outlineLevel="0" collapsed="false">
      <c r="A664" s="17" t="s">
        <v>302</v>
      </c>
      <c r="B664" s="18" t="str">
        <f aca="false">IFERROR(VLOOKUP(A664,NOMENCLATOR!$A:$E,2,0),"")</f>
        <v>Veggie Plant Based 95g</v>
      </c>
      <c r="C664" s="19" t="n">
        <v>1</v>
      </c>
      <c r="D664" s="20" t="str">
        <f aca="false">IFERROR(VLOOKUP(A664,NOMENCLATOR!$A:$E,3,0),"")</f>
        <v>EA</v>
      </c>
      <c r="E664" s="21" t="n">
        <f aca="false">IFERROR(VLOOKUP(A664,NOMENCLATOR!$A:$E,4,0),"")</f>
        <v>3.457</v>
      </c>
      <c r="F664" s="21" t="n">
        <f aca="false">IF(OR(C664="",E664=""),"",C664*E664)</f>
        <v>3.457</v>
      </c>
      <c r="G664" s="22" t="n">
        <f aca="false">IFERROR(VLOOKUP(A664,NOMENCLATOR!$A:$E,5,0),"")</f>
        <v>3.457</v>
      </c>
      <c r="H664" s="22" t="n">
        <f aca="false">IF(OR(C664="",G664=""),"",C664*G664)</f>
        <v>3.457</v>
      </c>
    </row>
    <row r="665" customFormat="false" ht="15" hidden="false" customHeight="true" outlineLevel="0" collapsed="false">
      <c r="A665" s="17" t="s">
        <v>300</v>
      </c>
      <c r="B665" s="18" t="str">
        <f aca="false">IFERROR(VLOOKUP(A665,NOMENCLATOR!$A:$E,2,0),"")</f>
        <v>Ulei de alune</v>
      </c>
      <c r="C665" s="19" t="n">
        <v>20</v>
      </c>
      <c r="D665" s="20" t="str">
        <f aca="false">IFERROR(VLOOKUP(A665,NOMENCLATOR!$A:$E,3,0),"")</f>
        <v>ML</v>
      </c>
      <c r="E665" s="21" t="n">
        <f aca="false">IFERROR(VLOOKUP(A665,NOMENCLATOR!$A:$E,4,0),"")</f>
        <v>0.0169</v>
      </c>
      <c r="F665" s="21" t="n">
        <f aca="false">IF(OR(C665="",E665=""),"",C665*E665)</f>
        <v>0.338</v>
      </c>
      <c r="G665" s="22" t="n">
        <f aca="false">IFERROR(VLOOKUP(A665,NOMENCLATOR!$A:$E,5,0),"")</f>
        <v>0.0169</v>
      </c>
      <c r="H665" s="22" t="n">
        <f aca="false">IF(OR(C665="",G665=""),"",C665*G665)</f>
        <v>0.338</v>
      </c>
    </row>
    <row r="666" customFormat="false" ht="15" hidden="false" customHeight="true" outlineLevel="0" collapsed="false">
      <c r="A666" s="17" t="s">
        <v>156</v>
      </c>
      <c r="B666" s="18" t="str">
        <f aca="false">IFERROR(VLOOKUP(A666,NOMENCLATOR!$A:$E,2,0),"")</f>
        <v>Ketchup Jerrycan Heinz 10.2L</v>
      </c>
      <c r="C666" s="19" t="n">
        <v>10</v>
      </c>
      <c r="D666" s="20" t="str">
        <f aca="false">IFERROR(VLOOKUP(A666,NOMENCLATOR!$A:$E,3,0),"")</f>
        <v>ML</v>
      </c>
      <c r="E666" s="21" t="n">
        <f aca="false">IFERROR(VLOOKUP(A666,NOMENCLATOR!$A:$E,4,0),"")</f>
        <v>0.0221</v>
      </c>
      <c r="F666" s="21" t="n">
        <f aca="false">IF(OR(C666="",E666=""),"",C666*E666)</f>
        <v>0.221</v>
      </c>
      <c r="G666" s="22" t="n">
        <f aca="false">IFERROR(VLOOKUP(A666,NOMENCLATOR!$A:$E,5,0),"")</f>
        <v>0.0221</v>
      </c>
      <c r="H666" s="22" t="n">
        <f aca="false">IF(OR(C666="",G666=""),"",C666*G666)</f>
        <v>0.221</v>
      </c>
    </row>
    <row r="667" customFormat="false" ht="15" hidden="false" customHeight="true" outlineLevel="0" collapsed="false">
      <c r="A667" s="17" t="s">
        <v>280</v>
      </c>
      <c r="B667" s="18" t="str">
        <f aca="false">IFERROR(VLOOKUP(A667,NOMENCLATOR!$A:$E,2,0),"")</f>
        <v>Sos Brender Mayo BIB</v>
      </c>
      <c r="C667" s="19" t="n">
        <v>10</v>
      </c>
      <c r="D667" s="20" t="str">
        <f aca="false">IFERROR(VLOOKUP(A667,NOMENCLATOR!$A:$E,3,0),"")</f>
        <v>ML</v>
      </c>
      <c r="E667" s="21" t="n">
        <f aca="false">IFERROR(VLOOKUP(A667,NOMENCLATOR!$A:$E,4,0),"")</f>
        <v>0.023</v>
      </c>
      <c r="F667" s="21" t="n">
        <f aca="false">IF(OR(C667="",E667=""),"",C667*E667)</f>
        <v>0.23</v>
      </c>
      <c r="G667" s="22" t="n">
        <f aca="false">IFERROR(VLOOKUP(A667,NOMENCLATOR!$A:$E,5,0),"")</f>
        <v>0.023</v>
      </c>
      <c r="H667" s="22" t="n">
        <f aca="false">IF(OR(C667="",G667=""),"",C667*G667)</f>
        <v>0.23</v>
      </c>
    </row>
    <row r="668" customFormat="false" ht="15" hidden="false" customHeight="true" outlineLevel="0" collapsed="false">
      <c r="A668" s="17" t="s">
        <v>272</v>
      </c>
      <c r="B668" s="18" t="str">
        <f aca="false">IFERROR(VLOOKUP(A668,NOMENCLATOR!$A:$E,2,0),"")</f>
        <v>Salata Eisberg</v>
      </c>
      <c r="C668" s="19" t="n">
        <v>15</v>
      </c>
      <c r="D668" s="20" t="str">
        <f aca="false">IFERROR(VLOOKUP(A668,NOMENCLATOR!$A:$E,3,0),"")</f>
        <v>GM</v>
      </c>
      <c r="E668" s="21" t="n">
        <f aca="false">IFERROR(VLOOKUP(A668,NOMENCLATOR!$A:$E,4,0),"")</f>
        <v>0.02</v>
      </c>
      <c r="F668" s="21" t="n">
        <f aca="false">IF(OR(C668="",E668=""),"",C668*E668)</f>
        <v>0.3</v>
      </c>
      <c r="G668" s="22" t="n">
        <f aca="false">IFERROR(VLOOKUP(A668,NOMENCLATOR!$A:$E,5,0),"")</f>
        <v>0.02</v>
      </c>
      <c r="H668" s="22" t="n">
        <f aca="false">IF(OR(C668="",G668=""),"",C668*G668)</f>
        <v>0.3</v>
      </c>
    </row>
    <row r="669" customFormat="false" ht="15" hidden="false" customHeight="true" outlineLevel="0" collapsed="false">
      <c r="A669" s="17" t="s">
        <v>310</v>
      </c>
      <c r="B669" s="18" t="str">
        <f aca="false">IFERROR(VLOOKUP(A669,NOMENCLATOR!$A:$E,2,0),"")</f>
        <v>Y-Castraveti felii in saramura</v>
      </c>
      <c r="C669" s="19" t="n">
        <v>5.6</v>
      </c>
      <c r="D669" s="20" t="str">
        <f aca="false">IFERROR(VLOOKUP(A669,NOMENCLATOR!$A:$E,3,0),"")</f>
        <v>GM</v>
      </c>
      <c r="E669" s="21" t="n">
        <f aca="false">IFERROR(VLOOKUP(A669,NOMENCLATOR!$A:$E,4,0),"")</f>
        <v>0.01554</v>
      </c>
      <c r="F669" s="21" t="n">
        <f aca="false">IF(OR(C669="",E669=""),"",C669*E669)</f>
        <v>0.087024</v>
      </c>
      <c r="G669" s="22" t="n">
        <f aca="false">IFERROR(VLOOKUP(A669,NOMENCLATOR!$A:$E,5,0),"")</f>
        <v>0.01554</v>
      </c>
      <c r="H669" s="22" t="n">
        <f aca="false">IF(OR(C669="",G669=""),"",C669*G669)</f>
        <v>0.087024</v>
      </c>
    </row>
    <row r="670" customFormat="false" ht="15" hidden="false" customHeight="true" outlineLevel="0" collapsed="false">
      <c r="A670" s="17" t="s">
        <v>134</v>
      </c>
      <c r="B670" s="18" t="str">
        <f aca="false">IFERROR(VLOOKUP(A670,NOMENCLATOR!$A:$E,2,0),"")</f>
        <v>Hartie Burger Fryday</v>
      </c>
      <c r="C670" s="19" t="n">
        <v>1</v>
      </c>
      <c r="D670" s="20" t="str">
        <f aca="false">IFERROR(VLOOKUP(A670,NOMENCLATOR!$A:$E,3,0),"")</f>
        <v>EA</v>
      </c>
      <c r="E670" s="21" t="n">
        <f aca="false">IFERROR(VLOOKUP(A670,NOMENCLATOR!$A:$E,4,0),"")</f>
        <v>0.115</v>
      </c>
      <c r="F670" s="21" t="n">
        <f aca="false">IF(OR(C670="",E670=""),"",C670*E670)</f>
        <v>0.115</v>
      </c>
      <c r="G670" s="22" t="n">
        <f aca="false">IFERROR(VLOOKUP(A670,NOMENCLATOR!$A:$E,5,0),"")</f>
        <v>0.115</v>
      </c>
      <c r="H670" s="22" t="n">
        <f aca="false">IF(OR(C670="",G670=""),"",C670*G670)</f>
        <v>0.115</v>
      </c>
    </row>
    <row r="671" customFormat="false" ht="15" hidden="false" customHeight="true" outlineLevel="0" collapsed="false">
      <c r="A671" s="23" t="str">
        <f aca="false">IF(A661="","",A661)</f>
        <v>BURGER VEGETARIAN new</v>
      </c>
      <c r="B671" s="24"/>
      <c r="C671" s="24"/>
      <c r="D671" s="24"/>
      <c r="E671" s="24"/>
      <c r="F671" s="25" t="n">
        <f aca="false">IF(A661="","",SUM(F663:F670))</f>
        <v>7.148024</v>
      </c>
      <c r="G671" s="24"/>
      <c r="H671" s="26" t="n">
        <f aca="false">IF(A661="","",SUM(H663:H670))</f>
        <v>7.148024</v>
      </c>
    </row>
    <row r="673" customFormat="false" ht="15" hidden="false" customHeight="true" outlineLevel="0" collapsed="false">
      <c r="A673" s="12" t="s">
        <v>387</v>
      </c>
      <c r="B673" s="13"/>
      <c r="C673" s="13"/>
      <c r="D673" s="13"/>
      <c r="E673" s="13"/>
      <c r="F673" s="14" t="s">
        <v>386</v>
      </c>
      <c r="G673" s="13"/>
      <c r="H673" s="15"/>
    </row>
    <row r="674" customFormat="false" ht="15" hidden="false" customHeight="true" outlineLevel="0" collapsed="false">
      <c r="A674" s="16" t="s">
        <v>316</v>
      </c>
      <c r="B674" s="16" t="s">
        <v>317</v>
      </c>
      <c r="C674" s="16" t="s">
        <v>318</v>
      </c>
      <c r="D674" s="16" t="s">
        <v>4</v>
      </c>
      <c r="E674" s="16" t="s">
        <v>319</v>
      </c>
      <c r="F674" s="16" t="s">
        <v>320</v>
      </c>
      <c r="G674" s="16" t="s">
        <v>321</v>
      </c>
      <c r="H674" s="16" t="s">
        <v>322</v>
      </c>
    </row>
    <row r="675" customFormat="false" ht="15" hidden="false" customHeight="true" outlineLevel="0" collapsed="false">
      <c r="A675" s="17" t="s">
        <v>98</v>
      </c>
      <c r="B675" s="18" t="str">
        <f aca="false">IFERROR(VLOOKUP(A675,NOMENCLATOR!$A:$E,2,0),"")</f>
        <v>CHIFLA CARTOF 3.5inch 53G x 72</v>
      </c>
      <c r="C675" s="19" t="n">
        <v>1</v>
      </c>
      <c r="D675" s="20" t="str">
        <f aca="false">IFERROR(VLOOKUP(A675,NOMENCLATOR!$A:$E,3,0),"")</f>
        <v>EA</v>
      </c>
      <c r="E675" s="21" t="n">
        <f aca="false">IFERROR(VLOOKUP(A675,NOMENCLATOR!$A:$E,4,0),"")</f>
        <v>2.4</v>
      </c>
      <c r="F675" s="21" t="n">
        <f aca="false">IF(OR(C675="",E675=""),"",C675*E675)</f>
        <v>2.4</v>
      </c>
      <c r="G675" s="22" t="n">
        <f aca="false">IFERROR(VLOOKUP(A675,NOMENCLATOR!$A:$E,5,0),"")</f>
        <v>2.4</v>
      </c>
      <c r="H675" s="22" t="n">
        <f aca="false">IF(OR(C675="",G675=""),"",C675*G675)</f>
        <v>2.4</v>
      </c>
    </row>
    <row r="676" customFormat="false" ht="15" hidden="false" customHeight="true" outlineLevel="0" collapsed="false">
      <c r="A676" s="17" t="s">
        <v>302</v>
      </c>
      <c r="B676" s="18" t="str">
        <f aca="false">IFERROR(VLOOKUP(A676,NOMENCLATOR!$A:$E,2,0),"")</f>
        <v>Veggie Plant Based 95g</v>
      </c>
      <c r="C676" s="19" t="n">
        <v>1</v>
      </c>
      <c r="D676" s="20" t="str">
        <f aca="false">IFERROR(VLOOKUP(A676,NOMENCLATOR!$A:$E,3,0),"")</f>
        <v>EA</v>
      </c>
      <c r="E676" s="21" t="n">
        <f aca="false">IFERROR(VLOOKUP(A676,NOMENCLATOR!$A:$E,4,0),"")</f>
        <v>3.457</v>
      </c>
      <c r="F676" s="21" t="n">
        <f aca="false">IF(OR(C676="",E676=""),"",C676*E676)</f>
        <v>3.457</v>
      </c>
      <c r="G676" s="22" t="n">
        <f aca="false">IFERROR(VLOOKUP(A676,NOMENCLATOR!$A:$E,5,0),"")</f>
        <v>3.457</v>
      </c>
      <c r="H676" s="22" t="n">
        <f aca="false">IF(OR(C676="",G676=""),"",C676*G676)</f>
        <v>3.457</v>
      </c>
    </row>
    <row r="677" customFormat="false" ht="15" hidden="false" customHeight="true" outlineLevel="0" collapsed="false">
      <c r="A677" s="17" t="s">
        <v>300</v>
      </c>
      <c r="B677" s="18" t="str">
        <f aca="false">IFERROR(VLOOKUP(A677,NOMENCLATOR!$A:$E,2,0),"")</f>
        <v>Ulei de alune</v>
      </c>
      <c r="C677" s="19" t="n">
        <v>20</v>
      </c>
      <c r="D677" s="20" t="str">
        <f aca="false">IFERROR(VLOOKUP(A677,NOMENCLATOR!$A:$E,3,0),"")</f>
        <v>ML</v>
      </c>
      <c r="E677" s="21" t="n">
        <f aca="false">IFERROR(VLOOKUP(A677,NOMENCLATOR!$A:$E,4,0),"")</f>
        <v>0.0169</v>
      </c>
      <c r="F677" s="21" t="n">
        <f aca="false">IF(OR(C677="",E677=""),"",C677*E677)</f>
        <v>0.338</v>
      </c>
      <c r="G677" s="22" t="n">
        <f aca="false">IFERROR(VLOOKUP(A677,NOMENCLATOR!$A:$E,5,0),"")</f>
        <v>0.0169</v>
      </c>
      <c r="H677" s="22" t="n">
        <f aca="false">IF(OR(C677="",G677=""),"",C677*G677)</f>
        <v>0.338</v>
      </c>
    </row>
    <row r="678" customFormat="false" ht="15" hidden="false" customHeight="true" outlineLevel="0" collapsed="false">
      <c r="A678" s="17" t="s">
        <v>156</v>
      </c>
      <c r="B678" s="18" t="str">
        <f aca="false">IFERROR(VLOOKUP(A678,NOMENCLATOR!$A:$E,2,0),"")</f>
        <v>Ketchup Jerrycan Heinz 10.2L</v>
      </c>
      <c r="C678" s="19" t="n">
        <v>10</v>
      </c>
      <c r="D678" s="20" t="str">
        <f aca="false">IFERROR(VLOOKUP(A678,NOMENCLATOR!$A:$E,3,0),"")</f>
        <v>ML</v>
      </c>
      <c r="E678" s="21" t="n">
        <f aca="false">IFERROR(VLOOKUP(A678,NOMENCLATOR!$A:$E,4,0),"")</f>
        <v>0.0221</v>
      </c>
      <c r="F678" s="21" t="n">
        <f aca="false">IF(OR(C678="",E678=""),"",C678*E678)</f>
        <v>0.221</v>
      </c>
      <c r="G678" s="22" t="n">
        <f aca="false">IFERROR(VLOOKUP(A678,NOMENCLATOR!$A:$E,5,0),"")</f>
        <v>0.0221</v>
      </c>
      <c r="H678" s="22" t="n">
        <f aca="false">IF(OR(C678="",G678=""),"",C678*G678)</f>
        <v>0.221</v>
      </c>
    </row>
    <row r="679" customFormat="false" ht="15" hidden="false" customHeight="true" outlineLevel="0" collapsed="false">
      <c r="A679" s="17" t="s">
        <v>280</v>
      </c>
      <c r="B679" s="18" t="str">
        <f aca="false">IFERROR(VLOOKUP(A679,NOMENCLATOR!$A:$E,2,0),"")</f>
        <v>Sos Brender Mayo BIB</v>
      </c>
      <c r="C679" s="19" t="n">
        <v>10</v>
      </c>
      <c r="D679" s="20" t="str">
        <f aca="false">IFERROR(VLOOKUP(A679,NOMENCLATOR!$A:$E,3,0),"")</f>
        <v>ML</v>
      </c>
      <c r="E679" s="21" t="n">
        <f aca="false">IFERROR(VLOOKUP(A679,NOMENCLATOR!$A:$E,4,0),"")</f>
        <v>0.023</v>
      </c>
      <c r="F679" s="21" t="n">
        <f aca="false">IF(OR(C679="",E679=""),"",C679*E679)</f>
        <v>0.23</v>
      </c>
      <c r="G679" s="22" t="n">
        <f aca="false">IFERROR(VLOOKUP(A679,NOMENCLATOR!$A:$E,5,0),"")</f>
        <v>0.023</v>
      </c>
      <c r="H679" s="22" t="n">
        <f aca="false">IF(OR(C679="",G679=""),"",C679*G679)</f>
        <v>0.23</v>
      </c>
    </row>
    <row r="680" customFormat="false" ht="15" hidden="false" customHeight="true" outlineLevel="0" collapsed="false">
      <c r="A680" s="17" t="s">
        <v>272</v>
      </c>
      <c r="B680" s="18" t="str">
        <f aca="false">IFERROR(VLOOKUP(A680,NOMENCLATOR!$A:$E,2,0),"")</f>
        <v>Salata Eisberg</v>
      </c>
      <c r="C680" s="19" t="n">
        <v>15</v>
      </c>
      <c r="D680" s="20" t="str">
        <f aca="false">IFERROR(VLOOKUP(A680,NOMENCLATOR!$A:$E,3,0),"")</f>
        <v>GM</v>
      </c>
      <c r="E680" s="21" t="n">
        <f aca="false">IFERROR(VLOOKUP(A680,NOMENCLATOR!$A:$E,4,0),"")</f>
        <v>0.02</v>
      </c>
      <c r="F680" s="21" t="n">
        <f aca="false">IF(OR(C680="",E680=""),"",C680*E680)</f>
        <v>0.3</v>
      </c>
      <c r="G680" s="22" t="n">
        <f aca="false">IFERROR(VLOOKUP(A680,NOMENCLATOR!$A:$E,5,0),"")</f>
        <v>0.02</v>
      </c>
      <c r="H680" s="22" t="n">
        <f aca="false">IF(OR(C680="",G680=""),"",C680*G680)</f>
        <v>0.3</v>
      </c>
    </row>
    <row r="681" customFormat="false" ht="15" hidden="false" customHeight="true" outlineLevel="0" collapsed="false">
      <c r="A681" s="17" t="s">
        <v>310</v>
      </c>
      <c r="B681" s="18" t="str">
        <f aca="false">IFERROR(VLOOKUP(A681,NOMENCLATOR!$A:$E,2,0),"")</f>
        <v>Y-Castraveti felii in saramura</v>
      </c>
      <c r="C681" s="19" t="n">
        <v>5.6</v>
      </c>
      <c r="D681" s="20" t="str">
        <f aca="false">IFERROR(VLOOKUP(A681,NOMENCLATOR!$A:$E,3,0),"")</f>
        <v>GM</v>
      </c>
      <c r="E681" s="21" t="n">
        <f aca="false">IFERROR(VLOOKUP(A681,NOMENCLATOR!$A:$E,4,0),"")</f>
        <v>0.01554</v>
      </c>
      <c r="F681" s="21" t="n">
        <f aca="false">IF(OR(C681="",E681=""),"",C681*E681)</f>
        <v>0.087024</v>
      </c>
      <c r="G681" s="22" t="n">
        <f aca="false">IFERROR(VLOOKUP(A681,NOMENCLATOR!$A:$E,5,0),"")</f>
        <v>0.01554</v>
      </c>
      <c r="H681" s="22" t="n">
        <f aca="false">IF(OR(C681="",G681=""),"",C681*G681)</f>
        <v>0.087024</v>
      </c>
    </row>
    <row r="682" customFormat="false" ht="15" hidden="false" customHeight="true" outlineLevel="0" collapsed="false">
      <c r="A682" s="17" t="s">
        <v>134</v>
      </c>
      <c r="B682" s="18" t="str">
        <f aca="false">IFERROR(VLOOKUP(A682,NOMENCLATOR!$A:$E,2,0),"")</f>
        <v>Hartie Burger Fryday</v>
      </c>
      <c r="C682" s="19" t="n">
        <v>1</v>
      </c>
      <c r="D682" s="20" t="str">
        <f aca="false">IFERROR(VLOOKUP(A682,NOMENCLATOR!$A:$E,3,0),"")</f>
        <v>EA</v>
      </c>
      <c r="E682" s="21" t="n">
        <f aca="false">IFERROR(VLOOKUP(A682,NOMENCLATOR!$A:$E,4,0),"")</f>
        <v>0.115</v>
      </c>
      <c r="F682" s="21" t="n">
        <f aca="false">IF(OR(C682="",E682=""),"",C682*E682)</f>
        <v>0.115</v>
      </c>
      <c r="G682" s="22" t="n">
        <f aca="false">IFERROR(VLOOKUP(A682,NOMENCLATOR!$A:$E,5,0),"")</f>
        <v>0.115</v>
      </c>
      <c r="H682" s="22" t="n">
        <f aca="false">IF(OR(C682="",G682=""),"",C682*G682)</f>
        <v>0.115</v>
      </c>
    </row>
    <row r="683" customFormat="false" ht="15" hidden="false" customHeight="true" outlineLevel="0" collapsed="false">
      <c r="A683" s="23" t="str">
        <f aca="false">IF(A673="","",A673)</f>
        <v>BURGER VEGETARIAN new D</v>
      </c>
      <c r="B683" s="24"/>
      <c r="C683" s="24"/>
      <c r="D683" s="24"/>
      <c r="E683" s="24"/>
      <c r="F683" s="25" t="n">
        <f aca="false">IF(A673="","",SUM(F675:F682))</f>
        <v>7.148024</v>
      </c>
      <c r="G683" s="24"/>
      <c r="H683" s="26" t="n">
        <f aca="false">IF(A673="","",SUM(H675:H682))</f>
        <v>7.148024</v>
      </c>
    </row>
    <row r="685" customFormat="false" ht="15" hidden="false" customHeight="true" outlineLevel="0" collapsed="false">
      <c r="A685" s="12" t="s">
        <v>388</v>
      </c>
      <c r="B685" s="13"/>
      <c r="C685" s="13"/>
      <c r="D685" s="13"/>
      <c r="E685" s="13"/>
      <c r="F685" s="14" t="s">
        <v>389</v>
      </c>
      <c r="G685" s="13"/>
      <c r="H685" s="15"/>
    </row>
    <row r="686" customFormat="false" ht="15" hidden="false" customHeight="true" outlineLevel="0" collapsed="false">
      <c r="A686" s="16" t="s">
        <v>316</v>
      </c>
      <c r="B686" s="16" t="s">
        <v>317</v>
      </c>
      <c r="C686" s="16" t="s">
        <v>318</v>
      </c>
      <c r="D686" s="16" t="s">
        <v>4</v>
      </c>
      <c r="E686" s="16" t="s">
        <v>319</v>
      </c>
      <c r="F686" s="16" t="s">
        <v>320</v>
      </c>
      <c r="G686" s="16" t="s">
        <v>321</v>
      </c>
      <c r="H686" s="16" t="s">
        <v>322</v>
      </c>
    </row>
    <row r="687" customFormat="false" ht="15" hidden="false" customHeight="true" outlineLevel="0" collapsed="false">
      <c r="A687" s="17" t="s">
        <v>26</v>
      </c>
      <c r="B687" s="18" t="str">
        <f aca="false">IFERROR(VLOOKUP(A687,NOMENCLATOR!$A:$E,2,0),"")</f>
        <v>1.000 EA Nuggets cornflakes (raw)</v>
      </c>
      <c r="C687" s="19" t="n">
        <v>4</v>
      </c>
      <c r="D687" s="20" t="str">
        <f aca="false">IFERROR(VLOOKUP(A687,NOMENCLATOR!$A:$E,3,0),"")</f>
        <v>EA</v>
      </c>
      <c r="E687" s="21" t="n">
        <f aca="false">IFERROR(VLOOKUP(A687,NOMENCLATOR!$A:$E,4,0),"")</f>
        <v>0.67483</v>
      </c>
      <c r="F687" s="21" t="n">
        <f aca="false">IF(OR(C687="",E687=""),"",C687*E687)</f>
        <v>2.69932</v>
      </c>
      <c r="G687" s="22" t="n">
        <f aca="false">IFERROR(VLOOKUP(A687,NOMENCLATOR!$A:$E,5,0),"")</f>
        <v>0.67483</v>
      </c>
      <c r="H687" s="22" t="n">
        <f aca="false">IF(OR(C687="",G687=""),"",C687*G687)</f>
        <v>2.69932</v>
      </c>
    </row>
    <row r="688" customFormat="false" ht="15" hidden="false" customHeight="true" outlineLevel="0" collapsed="false">
      <c r="A688" s="17" t="s">
        <v>300</v>
      </c>
      <c r="B688" s="18" t="str">
        <f aca="false">IFERROR(VLOOKUP(A688,NOMENCLATOR!$A:$E,2,0),"")</f>
        <v>Ulei de alune</v>
      </c>
      <c r="C688" s="19" t="n">
        <v>16</v>
      </c>
      <c r="D688" s="20" t="str">
        <f aca="false">IFERROR(VLOOKUP(A688,NOMENCLATOR!$A:$E,3,0),"")</f>
        <v>ML</v>
      </c>
      <c r="E688" s="21" t="n">
        <f aca="false">IFERROR(VLOOKUP(A688,NOMENCLATOR!$A:$E,4,0),"")</f>
        <v>0.0169</v>
      </c>
      <c r="F688" s="21" t="n">
        <f aca="false">IF(OR(C688="",E688=""),"",C688*E688)</f>
        <v>0.2704</v>
      </c>
      <c r="G688" s="22" t="n">
        <f aca="false">IFERROR(VLOOKUP(A688,NOMENCLATOR!$A:$E,5,0),"")</f>
        <v>0.0169</v>
      </c>
      <c r="H688" s="22" t="n">
        <f aca="false">IF(OR(C688="",G688=""),"",C688*G688)</f>
        <v>0.2704</v>
      </c>
    </row>
    <row r="689" customFormat="false" ht="15" hidden="false" customHeight="true" outlineLevel="0" collapsed="false">
      <c r="A689" s="17" t="s">
        <v>246</v>
      </c>
      <c r="B689" s="18" t="str">
        <f aca="false">IFERROR(VLOOKUP(A689,NOMENCLATOR!$A:$E,2,0),"")</f>
        <v>Punga Alba Pui 15x15</v>
      </c>
      <c r="C689" s="19" t="n">
        <v>1</v>
      </c>
      <c r="D689" s="20" t="str">
        <f aca="false">IFERROR(VLOOKUP(A689,NOMENCLATOR!$A:$E,3,0),"")</f>
        <v>EA</v>
      </c>
      <c r="E689" s="21" t="n">
        <f aca="false">IFERROR(VLOOKUP(A689,NOMENCLATOR!$A:$E,4,0),"")</f>
        <v>0.127</v>
      </c>
      <c r="F689" s="21" t="n">
        <f aca="false">IF(OR(C689="",E689=""),"",C689*E689)</f>
        <v>0.127</v>
      </c>
      <c r="G689" s="22" t="n">
        <f aca="false">IFERROR(VLOOKUP(A689,NOMENCLATOR!$A:$E,5,0),"")</f>
        <v>0.127</v>
      </c>
      <c r="H689" s="22" t="n">
        <f aca="false">IF(OR(C689="",G689=""),"",C689*G689)</f>
        <v>0.127</v>
      </c>
    </row>
    <row r="690" customFormat="false" ht="15" hidden="false" customHeight="true" outlineLevel="0" collapsed="false">
      <c r="A690" s="23" t="str">
        <f aca="false">IF(A685="","",A685)</f>
        <v>4 NUGGETS new</v>
      </c>
      <c r="B690" s="24"/>
      <c r="C690" s="24"/>
      <c r="D690" s="24"/>
      <c r="E690" s="24"/>
      <c r="F690" s="25" t="n">
        <f aca="false">IF(A685="","",SUM(F687:F689))</f>
        <v>3.09672</v>
      </c>
      <c r="G690" s="24"/>
      <c r="H690" s="26" t="n">
        <f aca="false">IF(A685="","",SUM(H687:H689))</f>
        <v>3.09672</v>
      </c>
    </row>
    <row r="692" customFormat="false" ht="15" hidden="false" customHeight="true" outlineLevel="0" collapsed="false">
      <c r="A692" s="12" t="s">
        <v>390</v>
      </c>
      <c r="B692" s="13"/>
      <c r="C692" s="13"/>
      <c r="D692" s="13"/>
      <c r="E692" s="13"/>
      <c r="F692" s="14" t="s">
        <v>389</v>
      </c>
      <c r="G692" s="13"/>
      <c r="H692" s="15"/>
    </row>
    <row r="693" customFormat="false" ht="15" hidden="false" customHeight="true" outlineLevel="0" collapsed="false">
      <c r="A693" s="16" t="s">
        <v>316</v>
      </c>
      <c r="B693" s="16" t="s">
        <v>317</v>
      </c>
      <c r="C693" s="16" t="s">
        <v>318</v>
      </c>
      <c r="D693" s="16" t="s">
        <v>4</v>
      </c>
      <c r="E693" s="16" t="s">
        <v>319</v>
      </c>
      <c r="F693" s="16" t="s">
        <v>320</v>
      </c>
      <c r="G693" s="16" t="s">
        <v>321</v>
      </c>
      <c r="H693" s="16" t="s">
        <v>322</v>
      </c>
    </row>
    <row r="694" customFormat="false" ht="15" hidden="false" customHeight="true" outlineLevel="0" collapsed="false">
      <c r="A694" s="17" t="s">
        <v>26</v>
      </c>
      <c r="B694" s="18" t="str">
        <f aca="false">IFERROR(VLOOKUP(A694,NOMENCLATOR!$A:$E,2,0),"")</f>
        <v>1.000 EA Nuggets cornflakes (raw)</v>
      </c>
      <c r="C694" s="19" t="n">
        <v>4</v>
      </c>
      <c r="D694" s="20" t="str">
        <f aca="false">IFERROR(VLOOKUP(A694,NOMENCLATOR!$A:$E,3,0),"")</f>
        <v>EA</v>
      </c>
      <c r="E694" s="21" t="n">
        <f aca="false">IFERROR(VLOOKUP(A694,NOMENCLATOR!$A:$E,4,0),"")</f>
        <v>0.67483</v>
      </c>
      <c r="F694" s="21" t="n">
        <f aca="false">IF(OR(C694="",E694=""),"",C694*E694)</f>
        <v>2.69932</v>
      </c>
      <c r="G694" s="22" t="n">
        <f aca="false">IFERROR(VLOOKUP(A694,NOMENCLATOR!$A:$E,5,0),"")</f>
        <v>0.67483</v>
      </c>
      <c r="H694" s="22" t="n">
        <f aca="false">IF(OR(C694="",G694=""),"",C694*G694)</f>
        <v>2.69932</v>
      </c>
    </row>
    <row r="695" customFormat="false" ht="15" hidden="false" customHeight="true" outlineLevel="0" collapsed="false">
      <c r="A695" s="17" t="s">
        <v>300</v>
      </c>
      <c r="B695" s="18" t="str">
        <f aca="false">IFERROR(VLOOKUP(A695,NOMENCLATOR!$A:$E,2,0),"")</f>
        <v>Ulei de alune</v>
      </c>
      <c r="C695" s="19" t="n">
        <v>16</v>
      </c>
      <c r="D695" s="20" t="str">
        <f aca="false">IFERROR(VLOOKUP(A695,NOMENCLATOR!$A:$E,3,0),"")</f>
        <v>ML</v>
      </c>
      <c r="E695" s="21" t="n">
        <f aca="false">IFERROR(VLOOKUP(A695,NOMENCLATOR!$A:$E,4,0),"")</f>
        <v>0.0169</v>
      </c>
      <c r="F695" s="21" t="n">
        <f aca="false">IF(OR(C695="",E695=""),"",C695*E695)</f>
        <v>0.2704</v>
      </c>
      <c r="G695" s="22" t="n">
        <f aca="false">IFERROR(VLOOKUP(A695,NOMENCLATOR!$A:$E,5,0),"")</f>
        <v>0.0169</v>
      </c>
      <c r="H695" s="22" t="n">
        <f aca="false">IF(OR(C695="",G695=""),"",C695*G695)</f>
        <v>0.2704</v>
      </c>
    </row>
    <row r="696" customFormat="false" ht="15" hidden="false" customHeight="true" outlineLevel="0" collapsed="false">
      <c r="A696" s="17" t="s">
        <v>246</v>
      </c>
      <c r="B696" s="18" t="str">
        <f aca="false">IFERROR(VLOOKUP(A696,NOMENCLATOR!$A:$E,2,0),"")</f>
        <v>Punga Alba Pui 15x15</v>
      </c>
      <c r="C696" s="19" t="n">
        <v>1</v>
      </c>
      <c r="D696" s="20" t="str">
        <f aca="false">IFERROR(VLOOKUP(A696,NOMENCLATOR!$A:$E,3,0),"")</f>
        <v>EA</v>
      </c>
      <c r="E696" s="21" t="n">
        <f aca="false">IFERROR(VLOOKUP(A696,NOMENCLATOR!$A:$E,4,0),"")</f>
        <v>0.127</v>
      </c>
      <c r="F696" s="21" t="n">
        <f aca="false">IF(OR(C696="",E696=""),"",C696*E696)</f>
        <v>0.127</v>
      </c>
      <c r="G696" s="22" t="n">
        <f aca="false">IFERROR(VLOOKUP(A696,NOMENCLATOR!$A:$E,5,0),"")</f>
        <v>0.127</v>
      </c>
      <c r="H696" s="22" t="n">
        <f aca="false">IF(OR(C696="",G696=""),"",C696*G696)</f>
        <v>0.127</v>
      </c>
    </row>
    <row r="697" customFormat="false" ht="15" hidden="false" customHeight="true" outlineLevel="0" collapsed="false">
      <c r="A697" s="23" t="str">
        <f aca="false">IF(A692="","",A692)</f>
        <v>4 NUGGETS new D</v>
      </c>
      <c r="B697" s="24"/>
      <c r="C697" s="24"/>
      <c r="D697" s="24"/>
      <c r="E697" s="24"/>
      <c r="F697" s="25" t="n">
        <f aca="false">IF(A692="","",SUM(F694:F696))</f>
        <v>3.09672</v>
      </c>
      <c r="G697" s="24"/>
      <c r="H697" s="26" t="n">
        <f aca="false">IF(A692="","",SUM(H694:H696))</f>
        <v>3.09672</v>
      </c>
    </row>
    <row r="699" customFormat="false" ht="15" hidden="false" customHeight="true" outlineLevel="0" collapsed="false">
      <c r="A699" s="12" t="s">
        <v>391</v>
      </c>
      <c r="B699" s="13"/>
      <c r="C699" s="13"/>
      <c r="D699" s="13"/>
      <c r="E699" s="13"/>
      <c r="F699" s="14" t="s">
        <v>389</v>
      </c>
      <c r="G699" s="13"/>
      <c r="H699" s="15"/>
    </row>
    <row r="700" customFormat="false" ht="15" hidden="false" customHeight="true" outlineLevel="0" collapsed="false">
      <c r="A700" s="16" t="s">
        <v>316</v>
      </c>
      <c r="B700" s="16" t="s">
        <v>317</v>
      </c>
      <c r="C700" s="16" t="s">
        <v>318</v>
      </c>
      <c r="D700" s="16" t="s">
        <v>4</v>
      </c>
      <c r="E700" s="16" t="s">
        <v>319</v>
      </c>
      <c r="F700" s="16" t="s">
        <v>320</v>
      </c>
      <c r="G700" s="16" t="s">
        <v>321</v>
      </c>
      <c r="H700" s="16" t="s">
        <v>322</v>
      </c>
    </row>
    <row r="701" customFormat="false" ht="15" hidden="false" customHeight="true" outlineLevel="0" collapsed="false">
      <c r="A701" s="17" t="s">
        <v>26</v>
      </c>
      <c r="B701" s="18" t="str">
        <f aca="false">IFERROR(VLOOKUP(A701,NOMENCLATOR!$A:$E,2,0),"")</f>
        <v>1.000 EA Nuggets cornflakes (raw)</v>
      </c>
      <c r="C701" s="19" t="n">
        <v>6</v>
      </c>
      <c r="D701" s="20" t="str">
        <f aca="false">IFERROR(VLOOKUP(A701,NOMENCLATOR!$A:$E,3,0),"")</f>
        <v>EA</v>
      </c>
      <c r="E701" s="21" t="n">
        <f aca="false">IFERROR(VLOOKUP(A701,NOMENCLATOR!$A:$E,4,0),"")</f>
        <v>0.67483</v>
      </c>
      <c r="F701" s="21" t="n">
        <f aca="false">IF(OR(C701="",E701=""),"",C701*E701)</f>
        <v>4.04898</v>
      </c>
      <c r="G701" s="22" t="n">
        <f aca="false">IFERROR(VLOOKUP(A701,NOMENCLATOR!$A:$E,5,0),"")</f>
        <v>0.67483</v>
      </c>
      <c r="H701" s="22" t="n">
        <f aca="false">IF(OR(C701="",G701=""),"",C701*G701)</f>
        <v>4.04898</v>
      </c>
    </row>
    <row r="702" customFormat="false" ht="15" hidden="false" customHeight="true" outlineLevel="0" collapsed="false">
      <c r="A702" s="17" t="s">
        <v>300</v>
      </c>
      <c r="B702" s="18" t="str">
        <f aca="false">IFERROR(VLOOKUP(A702,NOMENCLATOR!$A:$E,2,0),"")</f>
        <v>Ulei de alune</v>
      </c>
      <c r="C702" s="19" t="n">
        <v>24</v>
      </c>
      <c r="D702" s="20" t="str">
        <f aca="false">IFERROR(VLOOKUP(A702,NOMENCLATOR!$A:$E,3,0),"")</f>
        <v>ML</v>
      </c>
      <c r="E702" s="21" t="n">
        <f aca="false">IFERROR(VLOOKUP(A702,NOMENCLATOR!$A:$E,4,0),"")</f>
        <v>0.0169</v>
      </c>
      <c r="F702" s="21" t="n">
        <f aca="false">IF(OR(C702="",E702=""),"",C702*E702)</f>
        <v>0.4056</v>
      </c>
      <c r="G702" s="22" t="n">
        <f aca="false">IFERROR(VLOOKUP(A702,NOMENCLATOR!$A:$E,5,0),"")</f>
        <v>0.0169</v>
      </c>
      <c r="H702" s="22" t="n">
        <f aca="false">IF(OR(C702="",G702=""),"",C702*G702)</f>
        <v>0.4056</v>
      </c>
    </row>
    <row r="703" customFormat="false" ht="15" hidden="false" customHeight="true" outlineLevel="0" collapsed="false">
      <c r="A703" s="17" t="s">
        <v>246</v>
      </c>
      <c r="B703" s="18" t="str">
        <f aca="false">IFERROR(VLOOKUP(A703,NOMENCLATOR!$A:$E,2,0),"")</f>
        <v>Punga Alba Pui 15x15</v>
      </c>
      <c r="C703" s="19" t="n">
        <v>1</v>
      </c>
      <c r="D703" s="20" t="str">
        <f aca="false">IFERROR(VLOOKUP(A703,NOMENCLATOR!$A:$E,3,0),"")</f>
        <v>EA</v>
      </c>
      <c r="E703" s="21" t="n">
        <f aca="false">IFERROR(VLOOKUP(A703,NOMENCLATOR!$A:$E,4,0),"")</f>
        <v>0.127</v>
      </c>
      <c r="F703" s="21" t="n">
        <f aca="false">IF(OR(C703="",E703=""),"",C703*E703)</f>
        <v>0.127</v>
      </c>
      <c r="G703" s="22" t="n">
        <f aca="false">IFERROR(VLOOKUP(A703,NOMENCLATOR!$A:$E,5,0),"")</f>
        <v>0.127</v>
      </c>
      <c r="H703" s="22" t="n">
        <f aca="false">IF(OR(C703="",G703=""),"",C703*G703)</f>
        <v>0.127</v>
      </c>
    </row>
    <row r="704" customFormat="false" ht="15" hidden="false" customHeight="true" outlineLevel="0" collapsed="false">
      <c r="A704" s="17" t="s">
        <v>156</v>
      </c>
      <c r="B704" s="18" t="str">
        <f aca="false">IFERROR(VLOOKUP(A704,NOMENCLATOR!$A:$E,2,0),"")</f>
        <v>Ketchup Jerrycan Heinz 10.2L</v>
      </c>
      <c r="C704" s="19" t="n">
        <v>10</v>
      </c>
      <c r="D704" s="20" t="str">
        <f aca="false">IFERROR(VLOOKUP(A704,NOMENCLATOR!$A:$E,3,0),"")</f>
        <v>ML</v>
      </c>
      <c r="E704" s="21" t="n">
        <f aca="false">IFERROR(VLOOKUP(A704,NOMENCLATOR!$A:$E,4,0),"")</f>
        <v>0.0221</v>
      </c>
      <c r="F704" s="21" t="n">
        <f aca="false">IF(OR(C704="",E704=""),"",C704*E704)</f>
        <v>0.221</v>
      </c>
      <c r="G704" s="22" t="n">
        <f aca="false">IFERROR(VLOOKUP(A704,NOMENCLATOR!$A:$E,5,0),"")</f>
        <v>0.0221</v>
      </c>
      <c r="H704" s="22" t="n">
        <f aca="false">IF(OR(C704="",G704=""),"",C704*G704)</f>
        <v>0.221</v>
      </c>
    </row>
    <row r="705" customFormat="false" ht="15" hidden="false" customHeight="true" outlineLevel="0" collapsed="false">
      <c r="A705" s="23" t="str">
        <f aca="false">IF(A699="","",A699)</f>
        <v>6 NUGGETS new</v>
      </c>
      <c r="B705" s="24"/>
      <c r="C705" s="24"/>
      <c r="D705" s="24"/>
      <c r="E705" s="24"/>
      <c r="F705" s="25" t="n">
        <f aca="false">IF(A699="","",SUM(F701:F704))</f>
        <v>4.80258</v>
      </c>
      <c r="G705" s="24"/>
      <c r="H705" s="26" t="n">
        <f aca="false">IF(A699="","",SUM(H701:H704))</f>
        <v>4.80258</v>
      </c>
    </row>
    <row r="707" customFormat="false" ht="15" hidden="false" customHeight="true" outlineLevel="0" collapsed="false">
      <c r="A707" s="12" t="s">
        <v>392</v>
      </c>
      <c r="B707" s="13"/>
      <c r="C707" s="13"/>
      <c r="D707" s="13"/>
      <c r="E707" s="13"/>
      <c r="F707" s="14" t="s">
        <v>389</v>
      </c>
      <c r="G707" s="13"/>
      <c r="H707" s="15"/>
    </row>
    <row r="708" customFormat="false" ht="15" hidden="false" customHeight="true" outlineLevel="0" collapsed="false">
      <c r="A708" s="16" t="s">
        <v>316</v>
      </c>
      <c r="B708" s="16" t="s">
        <v>317</v>
      </c>
      <c r="C708" s="16" t="s">
        <v>318</v>
      </c>
      <c r="D708" s="16" t="s">
        <v>4</v>
      </c>
      <c r="E708" s="16" t="s">
        <v>319</v>
      </c>
      <c r="F708" s="16" t="s">
        <v>320</v>
      </c>
      <c r="G708" s="16" t="s">
        <v>321</v>
      </c>
      <c r="H708" s="16" t="s">
        <v>322</v>
      </c>
    </row>
    <row r="709" customFormat="false" ht="15" hidden="false" customHeight="true" outlineLevel="0" collapsed="false">
      <c r="A709" s="17" t="s">
        <v>26</v>
      </c>
      <c r="B709" s="18" t="str">
        <f aca="false">IFERROR(VLOOKUP(A709,NOMENCLATOR!$A:$E,2,0),"")</f>
        <v>1.000 EA Nuggets cornflakes (raw)</v>
      </c>
      <c r="C709" s="19" t="n">
        <v>6</v>
      </c>
      <c r="D709" s="20" t="str">
        <f aca="false">IFERROR(VLOOKUP(A709,NOMENCLATOR!$A:$E,3,0),"")</f>
        <v>EA</v>
      </c>
      <c r="E709" s="21" t="n">
        <f aca="false">IFERROR(VLOOKUP(A709,NOMENCLATOR!$A:$E,4,0),"")</f>
        <v>0.67483</v>
      </c>
      <c r="F709" s="21" t="n">
        <f aca="false">IF(OR(C709="",E709=""),"",C709*E709)</f>
        <v>4.04898</v>
      </c>
      <c r="G709" s="22" t="n">
        <f aca="false">IFERROR(VLOOKUP(A709,NOMENCLATOR!$A:$E,5,0),"")</f>
        <v>0.67483</v>
      </c>
      <c r="H709" s="22" t="n">
        <f aca="false">IF(OR(C709="",G709=""),"",C709*G709)</f>
        <v>4.04898</v>
      </c>
    </row>
    <row r="710" customFormat="false" ht="15" hidden="false" customHeight="true" outlineLevel="0" collapsed="false">
      <c r="A710" s="17" t="s">
        <v>300</v>
      </c>
      <c r="B710" s="18" t="str">
        <f aca="false">IFERROR(VLOOKUP(A710,NOMENCLATOR!$A:$E,2,0),"")</f>
        <v>Ulei de alune</v>
      </c>
      <c r="C710" s="19" t="n">
        <v>24</v>
      </c>
      <c r="D710" s="20" t="str">
        <f aca="false">IFERROR(VLOOKUP(A710,NOMENCLATOR!$A:$E,3,0),"")</f>
        <v>ML</v>
      </c>
      <c r="E710" s="21" t="n">
        <f aca="false">IFERROR(VLOOKUP(A710,NOMENCLATOR!$A:$E,4,0),"")</f>
        <v>0.0169</v>
      </c>
      <c r="F710" s="21" t="n">
        <f aca="false">IF(OR(C710="",E710=""),"",C710*E710)</f>
        <v>0.4056</v>
      </c>
      <c r="G710" s="22" t="n">
        <f aca="false">IFERROR(VLOOKUP(A710,NOMENCLATOR!$A:$E,5,0),"")</f>
        <v>0.0169</v>
      </c>
      <c r="H710" s="22" t="n">
        <f aca="false">IF(OR(C710="",G710=""),"",C710*G710)</f>
        <v>0.4056</v>
      </c>
    </row>
    <row r="711" customFormat="false" ht="15" hidden="false" customHeight="true" outlineLevel="0" collapsed="false">
      <c r="A711" s="17" t="s">
        <v>246</v>
      </c>
      <c r="B711" s="18" t="str">
        <f aca="false">IFERROR(VLOOKUP(A711,NOMENCLATOR!$A:$E,2,0),"")</f>
        <v>Punga Alba Pui 15x15</v>
      </c>
      <c r="C711" s="19" t="n">
        <v>1</v>
      </c>
      <c r="D711" s="20" t="str">
        <f aca="false">IFERROR(VLOOKUP(A711,NOMENCLATOR!$A:$E,3,0),"")</f>
        <v>EA</v>
      </c>
      <c r="E711" s="21" t="n">
        <f aca="false">IFERROR(VLOOKUP(A711,NOMENCLATOR!$A:$E,4,0),"")</f>
        <v>0.127</v>
      </c>
      <c r="F711" s="21" t="n">
        <f aca="false">IF(OR(C711="",E711=""),"",C711*E711)</f>
        <v>0.127</v>
      </c>
      <c r="G711" s="22" t="n">
        <f aca="false">IFERROR(VLOOKUP(A711,NOMENCLATOR!$A:$E,5,0),"")</f>
        <v>0.127</v>
      </c>
      <c r="H711" s="22" t="n">
        <f aca="false">IF(OR(C711="",G711=""),"",C711*G711)</f>
        <v>0.127</v>
      </c>
    </row>
    <row r="712" customFormat="false" ht="15" hidden="false" customHeight="true" outlineLevel="0" collapsed="false">
      <c r="A712" s="17" t="s">
        <v>156</v>
      </c>
      <c r="B712" s="18" t="str">
        <f aca="false">IFERROR(VLOOKUP(A712,NOMENCLATOR!$A:$E,2,0),"")</f>
        <v>Ketchup Jerrycan Heinz 10.2L</v>
      </c>
      <c r="C712" s="19" t="n">
        <v>10</v>
      </c>
      <c r="D712" s="20" t="str">
        <f aca="false">IFERROR(VLOOKUP(A712,NOMENCLATOR!$A:$E,3,0),"")</f>
        <v>ML</v>
      </c>
      <c r="E712" s="21" t="n">
        <f aca="false">IFERROR(VLOOKUP(A712,NOMENCLATOR!$A:$E,4,0),"")</f>
        <v>0.0221</v>
      </c>
      <c r="F712" s="21" t="n">
        <f aca="false">IF(OR(C712="",E712=""),"",C712*E712)</f>
        <v>0.221</v>
      </c>
      <c r="G712" s="22" t="n">
        <f aca="false">IFERROR(VLOOKUP(A712,NOMENCLATOR!$A:$E,5,0),"")</f>
        <v>0.0221</v>
      </c>
      <c r="H712" s="22" t="n">
        <f aca="false">IF(OR(C712="",G712=""),"",C712*G712)</f>
        <v>0.221</v>
      </c>
    </row>
    <row r="713" customFormat="false" ht="15" hidden="false" customHeight="true" outlineLevel="0" collapsed="false">
      <c r="A713" s="23" t="str">
        <f aca="false">IF(A707="","",A707)</f>
        <v>6 NUGGETS new D</v>
      </c>
      <c r="B713" s="24"/>
      <c r="C713" s="24"/>
      <c r="D713" s="24"/>
      <c r="E713" s="24"/>
      <c r="F713" s="25" t="n">
        <f aca="false">IF(A707="","",SUM(F709:F712))</f>
        <v>4.80258</v>
      </c>
      <c r="G713" s="24"/>
      <c r="H713" s="26" t="n">
        <f aca="false">IF(A707="","",SUM(H709:H712))</f>
        <v>4.80258</v>
      </c>
    </row>
    <row r="715" customFormat="false" ht="15" hidden="false" customHeight="true" outlineLevel="0" collapsed="false">
      <c r="A715" s="12" t="s">
        <v>393</v>
      </c>
      <c r="B715" s="13"/>
      <c r="C715" s="13"/>
      <c r="D715" s="13"/>
      <c r="E715" s="13"/>
      <c r="F715" s="14" t="s">
        <v>389</v>
      </c>
      <c r="G715" s="13"/>
      <c r="H715" s="15"/>
    </row>
    <row r="716" customFormat="false" ht="15" hidden="false" customHeight="true" outlineLevel="0" collapsed="false">
      <c r="A716" s="16" t="s">
        <v>316</v>
      </c>
      <c r="B716" s="16" t="s">
        <v>317</v>
      </c>
      <c r="C716" s="16" t="s">
        <v>318</v>
      </c>
      <c r="D716" s="16" t="s">
        <v>4</v>
      </c>
      <c r="E716" s="16" t="s">
        <v>319</v>
      </c>
      <c r="F716" s="16" t="s">
        <v>320</v>
      </c>
      <c r="G716" s="16" t="s">
        <v>321</v>
      </c>
      <c r="H716" s="16" t="s">
        <v>322</v>
      </c>
    </row>
    <row r="717" customFormat="false" ht="15" hidden="false" customHeight="true" outlineLevel="0" collapsed="false">
      <c r="A717" s="17" t="s">
        <v>26</v>
      </c>
      <c r="B717" s="18" t="str">
        <f aca="false">IFERROR(VLOOKUP(A717,NOMENCLATOR!$A:$E,2,0),"")</f>
        <v>1.000 EA Nuggets cornflakes (raw)</v>
      </c>
      <c r="C717" s="19" t="n">
        <v>9</v>
      </c>
      <c r="D717" s="20" t="str">
        <f aca="false">IFERROR(VLOOKUP(A717,NOMENCLATOR!$A:$E,3,0),"")</f>
        <v>EA</v>
      </c>
      <c r="E717" s="21" t="n">
        <f aca="false">IFERROR(VLOOKUP(A717,NOMENCLATOR!$A:$E,4,0),"")</f>
        <v>0.67483</v>
      </c>
      <c r="F717" s="21" t="n">
        <f aca="false">IF(OR(C717="",E717=""),"",C717*E717)</f>
        <v>6.07347</v>
      </c>
      <c r="G717" s="22" t="n">
        <f aca="false">IFERROR(VLOOKUP(A717,NOMENCLATOR!$A:$E,5,0),"")</f>
        <v>0.67483</v>
      </c>
      <c r="H717" s="22" t="n">
        <f aca="false">IF(OR(C717="",G717=""),"",C717*G717)</f>
        <v>6.07347</v>
      </c>
    </row>
    <row r="718" customFormat="false" ht="15" hidden="false" customHeight="true" outlineLevel="0" collapsed="false">
      <c r="A718" s="17" t="s">
        <v>300</v>
      </c>
      <c r="B718" s="18" t="str">
        <f aca="false">IFERROR(VLOOKUP(A718,NOMENCLATOR!$A:$E,2,0),"")</f>
        <v>Ulei de alune</v>
      </c>
      <c r="C718" s="19" t="n">
        <v>36</v>
      </c>
      <c r="D718" s="20" t="str">
        <f aca="false">IFERROR(VLOOKUP(A718,NOMENCLATOR!$A:$E,3,0),"")</f>
        <v>ML</v>
      </c>
      <c r="E718" s="21" t="n">
        <f aca="false">IFERROR(VLOOKUP(A718,NOMENCLATOR!$A:$E,4,0),"")</f>
        <v>0.0169</v>
      </c>
      <c r="F718" s="21" t="n">
        <f aca="false">IF(OR(C718="",E718=""),"",C718*E718)</f>
        <v>0.6084</v>
      </c>
      <c r="G718" s="22" t="n">
        <f aca="false">IFERROR(VLOOKUP(A718,NOMENCLATOR!$A:$E,5,0),"")</f>
        <v>0.0169</v>
      </c>
      <c r="H718" s="22" t="n">
        <f aca="false">IF(OR(C718="",G718=""),"",C718*G718)</f>
        <v>0.6084</v>
      </c>
    </row>
    <row r="719" customFormat="false" ht="15" hidden="false" customHeight="true" outlineLevel="0" collapsed="false">
      <c r="A719" s="17" t="s">
        <v>246</v>
      </c>
      <c r="B719" s="18" t="str">
        <f aca="false">IFERROR(VLOOKUP(A719,NOMENCLATOR!$A:$E,2,0),"")</f>
        <v>Punga Alba Pui 15x15</v>
      </c>
      <c r="C719" s="19" t="n">
        <v>1</v>
      </c>
      <c r="D719" s="20" t="str">
        <f aca="false">IFERROR(VLOOKUP(A719,NOMENCLATOR!$A:$E,3,0),"")</f>
        <v>EA</v>
      </c>
      <c r="E719" s="21" t="n">
        <f aca="false">IFERROR(VLOOKUP(A719,NOMENCLATOR!$A:$E,4,0),"")</f>
        <v>0.127</v>
      </c>
      <c r="F719" s="21" t="n">
        <f aca="false">IF(OR(C719="",E719=""),"",C719*E719)</f>
        <v>0.127</v>
      </c>
      <c r="G719" s="22" t="n">
        <f aca="false">IFERROR(VLOOKUP(A719,NOMENCLATOR!$A:$E,5,0),"")</f>
        <v>0.127</v>
      </c>
      <c r="H719" s="22" t="n">
        <f aca="false">IF(OR(C719="",G719=""),"",C719*G719)</f>
        <v>0.127</v>
      </c>
    </row>
    <row r="720" customFormat="false" ht="15" hidden="false" customHeight="true" outlineLevel="0" collapsed="false">
      <c r="A720" s="23" t="str">
        <f aca="false">IF(A715="","",A715)</f>
        <v>9 NUGGETS new</v>
      </c>
      <c r="B720" s="24"/>
      <c r="C720" s="24"/>
      <c r="D720" s="24"/>
      <c r="E720" s="24"/>
      <c r="F720" s="25" t="n">
        <f aca="false">IF(A715="","",SUM(F717:F719))</f>
        <v>6.80887</v>
      </c>
      <c r="G720" s="24"/>
      <c r="H720" s="26" t="n">
        <f aca="false">IF(A715="","",SUM(H717:H719))</f>
        <v>6.80887</v>
      </c>
    </row>
    <row r="722" customFormat="false" ht="15" hidden="false" customHeight="true" outlineLevel="0" collapsed="false">
      <c r="A722" s="12" t="s">
        <v>394</v>
      </c>
      <c r="B722" s="13"/>
      <c r="C722" s="13"/>
      <c r="D722" s="13"/>
      <c r="E722" s="13"/>
      <c r="F722" s="14" t="s">
        <v>389</v>
      </c>
      <c r="G722" s="13"/>
      <c r="H722" s="15"/>
    </row>
    <row r="723" customFormat="false" ht="15" hidden="false" customHeight="true" outlineLevel="0" collapsed="false">
      <c r="A723" s="16" t="s">
        <v>316</v>
      </c>
      <c r="B723" s="16" t="s">
        <v>317</v>
      </c>
      <c r="C723" s="16" t="s">
        <v>318</v>
      </c>
      <c r="D723" s="16" t="s">
        <v>4</v>
      </c>
      <c r="E723" s="16" t="s">
        <v>319</v>
      </c>
      <c r="F723" s="16" t="s">
        <v>320</v>
      </c>
      <c r="G723" s="16" t="s">
        <v>321</v>
      </c>
      <c r="H723" s="16" t="s">
        <v>322</v>
      </c>
    </row>
    <row r="724" customFormat="false" ht="15" hidden="false" customHeight="true" outlineLevel="0" collapsed="false">
      <c r="A724" s="17" t="s">
        <v>26</v>
      </c>
      <c r="B724" s="18" t="str">
        <f aca="false">IFERROR(VLOOKUP(A724,NOMENCLATOR!$A:$E,2,0),"")</f>
        <v>1.000 EA Nuggets cornflakes (raw)</v>
      </c>
      <c r="C724" s="19" t="n">
        <v>9</v>
      </c>
      <c r="D724" s="20" t="str">
        <f aca="false">IFERROR(VLOOKUP(A724,NOMENCLATOR!$A:$E,3,0),"")</f>
        <v>EA</v>
      </c>
      <c r="E724" s="21" t="n">
        <f aca="false">IFERROR(VLOOKUP(A724,NOMENCLATOR!$A:$E,4,0),"")</f>
        <v>0.67483</v>
      </c>
      <c r="F724" s="21" t="n">
        <f aca="false">IF(OR(C724="",E724=""),"",C724*E724)</f>
        <v>6.07347</v>
      </c>
      <c r="G724" s="22" t="n">
        <f aca="false">IFERROR(VLOOKUP(A724,NOMENCLATOR!$A:$E,5,0),"")</f>
        <v>0.67483</v>
      </c>
      <c r="H724" s="22" t="n">
        <f aca="false">IF(OR(C724="",G724=""),"",C724*G724)</f>
        <v>6.07347</v>
      </c>
    </row>
    <row r="725" customFormat="false" ht="15" hidden="false" customHeight="true" outlineLevel="0" collapsed="false">
      <c r="A725" s="17" t="s">
        <v>300</v>
      </c>
      <c r="B725" s="18" t="str">
        <f aca="false">IFERROR(VLOOKUP(A725,NOMENCLATOR!$A:$E,2,0),"")</f>
        <v>Ulei de alune</v>
      </c>
      <c r="C725" s="19" t="n">
        <v>36</v>
      </c>
      <c r="D725" s="20" t="str">
        <f aca="false">IFERROR(VLOOKUP(A725,NOMENCLATOR!$A:$E,3,0),"")</f>
        <v>ML</v>
      </c>
      <c r="E725" s="21" t="n">
        <f aca="false">IFERROR(VLOOKUP(A725,NOMENCLATOR!$A:$E,4,0),"")</f>
        <v>0.0169</v>
      </c>
      <c r="F725" s="21" t="n">
        <f aca="false">IF(OR(C725="",E725=""),"",C725*E725)</f>
        <v>0.6084</v>
      </c>
      <c r="G725" s="22" t="n">
        <f aca="false">IFERROR(VLOOKUP(A725,NOMENCLATOR!$A:$E,5,0),"")</f>
        <v>0.0169</v>
      </c>
      <c r="H725" s="22" t="n">
        <f aca="false">IF(OR(C725="",G725=""),"",C725*G725)</f>
        <v>0.6084</v>
      </c>
    </row>
    <row r="726" customFormat="false" ht="15" hidden="false" customHeight="true" outlineLevel="0" collapsed="false">
      <c r="A726" s="17" t="s">
        <v>246</v>
      </c>
      <c r="B726" s="18" t="str">
        <f aca="false">IFERROR(VLOOKUP(A726,NOMENCLATOR!$A:$E,2,0),"")</f>
        <v>Punga Alba Pui 15x15</v>
      </c>
      <c r="C726" s="19" t="n">
        <v>1</v>
      </c>
      <c r="D726" s="20" t="str">
        <f aca="false">IFERROR(VLOOKUP(A726,NOMENCLATOR!$A:$E,3,0),"")</f>
        <v>EA</v>
      </c>
      <c r="E726" s="21" t="n">
        <f aca="false">IFERROR(VLOOKUP(A726,NOMENCLATOR!$A:$E,4,0),"")</f>
        <v>0.127</v>
      </c>
      <c r="F726" s="21" t="n">
        <f aca="false">IF(OR(C726="",E726=""),"",C726*E726)</f>
        <v>0.127</v>
      </c>
      <c r="G726" s="22" t="n">
        <f aca="false">IFERROR(VLOOKUP(A726,NOMENCLATOR!$A:$E,5,0),"")</f>
        <v>0.127</v>
      </c>
      <c r="H726" s="22" t="n">
        <f aca="false">IF(OR(C726="",G726=""),"",C726*G726)</f>
        <v>0.127</v>
      </c>
    </row>
    <row r="727" customFormat="false" ht="15" hidden="false" customHeight="true" outlineLevel="0" collapsed="false">
      <c r="A727" s="17" t="s">
        <v>156</v>
      </c>
      <c r="B727" s="18" t="str">
        <f aca="false">IFERROR(VLOOKUP(A727,NOMENCLATOR!$A:$E,2,0),"")</f>
        <v>Ketchup Jerrycan Heinz 10.2L</v>
      </c>
      <c r="C727" s="19" t="n">
        <v>10</v>
      </c>
      <c r="D727" s="20" t="str">
        <f aca="false">IFERROR(VLOOKUP(A727,NOMENCLATOR!$A:$E,3,0),"")</f>
        <v>ML</v>
      </c>
      <c r="E727" s="21" t="n">
        <f aca="false">IFERROR(VLOOKUP(A727,NOMENCLATOR!$A:$E,4,0),"")</f>
        <v>0.0221</v>
      </c>
      <c r="F727" s="21" t="n">
        <f aca="false">IF(OR(C727="",E727=""),"",C727*E727)</f>
        <v>0.221</v>
      </c>
      <c r="G727" s="22" t="n">
        <f aca="false">IFERROR(VLOOKUP(A727,NOMENCLATOR!$A:$E,5,0),"")</f>
        <v>0.0221</v>
      </c>
      <c r="H727" s="22" t="n">
        <f aca="false">IF(OR(C727="",G727=""),"",C727*G727)</f>
        <v>0.221</v>
      </c>
    </row>
    <row r="728" customFormat="false" ht="15" hidden="false" customHeight="true" outlineLevel="0" collapsed="false">
      <c r="A728" s="17" t="s">
        <v>280</v>
      </c>
      <c r="B728" s="18" t="str">
        <f aca="false">IFERROR(VLOOKUP(A728,NOMENCLATOR!$A:$E,2,0),"")</f>
        <v>Sos Brender Mayo BIB</v>
      </c>
      <c r="C728" s="19" t="n">
        <v>10</v>
      </c>
      <c r="D728" s="20" t="str">
        <f aca="false">IFERROR(VLOOKUP(A728,NOMENCLATOR!$A:$E,3,0),"")</f>
        <v>ML</v>
      </c>
      <c r="E728" s="21" t="n">
        <f aca="false">IFERROR(VLOOKUP(A728,NOMENCLATOR!$A:$E,4,0),"")</f>
        <v>0.023</v>
      </c>
      <c r="F728" s="21" t="n">
        <f aca="false">IF(OR(C728="",E728=""),"",C728*E728)</f>
        <v>0.23</v>
      </c>
      <c r="G728" s="22" t="n">
        <f aca="false">IFERROR(VLOOKUP(A728,NOMENCLATOR!$A:$E,5,0),"")</f>
        <v>0.023</v>
      </c>
      <c r="H728" s="22" t="n">
        <f aca="false">IF(OR(C728="",G728=""),"",C728*G728)</f>
        <v>0.23</v>
      </c>
    </row>
    <row r="729" customFormat="false" ht="15" hidden="false" customHeight="true" outlineLevel="0" collapsed="false">
      <c r="A729" s="23" t="str">
        <f aca="false">IF(A722="","",A722)</f>
        <v>9 NUGGETS new D</v>
      </c>
      <c r="B729" s="24"/>
      <c r="C729" s="24"/>
      <c r="D729" s="24"/>
      <c r="E729" s="24"/>
      <c r="F729" s="25" t="n">
        <f aca="false">IF(A722="","",SUM(F724:F728))</f>
        <v>7.25987</v>
      </c>
      <c r="G729" s="24"/>
      <c r="H729" s="26" t="n">
        <f aca="false">IF(A722="","",SUM(H724:H728))</f>
        <v>7.25987</v>
      </c>
    </row>
    <row r="731" customFormat="false" ht="15" hidden="false" customHeight="true" outlineLevel="0" collapsed="false">
      <c r="A731" s="12" t="s">
        <v>395</v>
      </c>
      <c r="B731" s="13"/>
      <c r="C731" s="13"/>
      <c r="D731" s="13"/>
      <c r="E731" s="13"/>
      <c r="F731" s="14" t="s">
        <v>389</v>
      </c>
      <c r="G731" s="13"/>
      <c r="H731" s="15"/>
    </row>
    <row r="732" customFormat="false" ht="15" hidden="false" customHeight="true" outlineLevel="0" collapsed="false">
      <c r="A732" s="16" t="s">
        <v>316</v>
      </c>
      <c r="B732" s="16" t="s">
        <v>317</v>
      </c>
      <c r="C732" s="16" t="s">
        <v>318</v>
      </c>
      <c r="D732" s="16" t="s">
        <v>4</v>
      </c>
      <c r="E732" s="16" t="s">
        <v>319</v>
      </c>
      <c r="F732" s="16" t="s">
        <v>320</v>
      </c>
      <c r="G732" s="16" t="s">
        <v>321</v>
      </c>
      <c r="H732" s="16" t="s">
        <v>322</v>
      </c>
    </row>
    <row r="733" customFormat="false" ht="15" hidden="false" customHeight="true" outlineLevel="0" collapsed="false">
      <c r="A733" s="17" t="s">
        <v>54</v>
      </c>
      <c r="B733" s="18" t="str">
        <f aca="false">IFERROR(VLOOKUP(A733,NOMENCLATOR!$A:$E,2,0),"")</f>
        <v>Aripioare de pui nepicante</v>
      </c>
      <c r="C733" s="19" t="n">
        <v>3</v>
      </c>
      <c r="D733" s="20" t="str">
        <f aca="false">IFERROR(VLOOKUP(A733,NOMENCLATOR!$A:$E,3,0),"")</f>
        <v>EA</v>
      </c>
      <c r="E733" s="21" t="n">
        <f aca="false">IFERROR(VLOOKUP(A733,NOMENCLATOR!$A:$E,4,0),"")</f>
        <v>1.39123</v>
      </c>
      <c r="F733" s="21" t="n">
        <f aca="false">IF(OR(C733="",E733=""),"",C733*E733)</f>
        <v>4.17369</v>
      </c>
      <c r="G733" s="22" t="n">
        <f aca="false">IFERROR(VLOOKUP(A733,NOMENCLATOR!$A:$E,5,0),"")</f>
        <v>1.39123</v>
      </c>
      <c r="H733" s="22" t="n">
        <f aca="false">IF(OR(C733="",G733=""),"",C733*G733)</f>
        <v>4.17369</v>
      </c>
    </row>
    <row r="734" customFormat="false" ht="15" hidden="false" customHeight="true" outlineLevel="0" collapsed="false">
      <c r="A734" s="17" t="s">
        <v>300</v>
      </c>
      <c r="B734" s="18" t="str">
        <f aca="false">IFERROR(VLOOKUP(A734,NOMENCLATOR!$A:$E,2,0),"")</f>
        <v>Ulei de alune</v>
      </c>
      <c r="C734" s="19" t="n">
        <v>12</v>
      </c>
      <c r="D734" s="20" t="str">
        <f aca="false">IFERROR(VLOOKUP(A734,NOMENCLATOR!$A:$E,3,0),"")</f>
        <v>ML</v>
      </c>
      <c r="E734" s="21" t="n">
        <f aca="false">IFERROR(VLOOKUP(A734,NOMENCLATOR!$A:$E,4,0),"")</f>
        <v>0.0169</v>
      </c>
      <c r="F734" s="21" t="n">
        <f aca="false">IF(OR(C734="",E734=""),"",C734*E734)</f>
        <v>0.2028</v>
      </c>
      <c r="G734" s="22" t="n">
        <f aca="false">IFERROR(VLOOKUP(A734,NOMENCLATOR!$A:$E,5,0),"")</f>
        <v>0.0169</v>
      </c>
      <c r="H734" s="22" t="n">
        <f aca="false">IF(OR(C734="",G734=""),"",C734*G734)</f>
        <v>0.2028</v>
      </c>
    </row>
    <row r="735" customFormat="false" ht="15" hidden="false" customHeight="true" outlineLevel="0" collapsed="false">
      <c r="A735" s="17" t="s">
        <v>252</v>
      </c>
      <c r="B735" s="18" t="str">
        <f aca="false">IFERROR(VLOOKUP(A735,NOMENCLATOR!$A:$E,2,0),"")</f>
        <v>Punga Pui Nepicant</v>
      </c>
      <c r="C735" s="19" t="n">
        <v>1</v>
      </c>
      <c r="D735" s="20" t="str">
        <f aca="false">IFERROR(VLOOKUP(A735,NOMENCLATOR!$A:$E,3,0),"")</f>
        <v>EA</v>
      </c>
      <c r="E735" s="21" t="n">
        <f aca="false">IFERROR(VLOOKUP(A735,NOMENCLATOR!$A:$E,4,0),"")</f>
        <v>0.294</v>
      </c>
      <c r="F735" s="21" t="n">
        <f aca="false">IF(OR(C735="",E735=""),"",C735*E735)</f>
        <v>0.294</v>
      </c>
      <c r="G735" s="22" t="n">
        <f aca="false">IFERROR(VLOOKUP(A735,NOMENCLATOR!$A:$E,5,0),"")</f>
        <v>0.294</v>
      </c>
      <c r="H735" s="22" t="n">
        <f aca="false">IF(OR(C735="",G735=""),"",C735*G735)</f>
        <v>0.294</v>
      </c>
    </row>
    <row r="736" customFormat="false" ht="15" hidden="false" customHeight="true" outlineLevel="0" collapsed="false">
      <c r="A736" s="17" t="s">
        <v>278</v>
      </c>
      <c r="B736" s="18" t="str">
        <f aca="false">IFERROR(VLOOKUP(A736,NOMENCLATOR!$A:$E,2,0),"")</f>
        <v>Servetele umede</v>
      </c>
      <c r="C736" s="19" t="n">
        <v>1</v>
      </c>
      <c r="D736" s="20" t="str">
        <f aca="false">IFERROR(VLOOKUP(A736,NOMENCLATOR!$A:$E,3,0),"")</f>
        <v>EA</v>
      </c>
      <c r="E736" s="21" t="n">
        <f aca="false">IFERROR(VLOOKUP(A736,NOMENCLATOR!$A:$E,4,0),"")</f>
        <v>0.198</v>
      </c>
      <c r="F736" s="21" t="n">
        <f aca="false">IF(OR(C736="",E736=""),"",C736*E736)</f>
        <v>0.198</v>
      </c>
      <c r="G736" s="22" t="n">
        <f aca="false">IFERROR(VLOOKUP(A736,NOMENCLATOR!$A:$E,5,0),"")</f>
        <v>0.198</v>
      </c>
      <c r="H736" s="22" t="n">
        <f aca="false">IF(OR(C736="",G736=""),"",C736*G736)</f>
        <v>0.198</v>
      </c>
    </row>
    <row r="737" customFormat="false" ht="15" hidden="false" customHeight="true" outlineLevel="0" collapsed="false">
      <c r="A737" s="23" t="str">
        <f aca="false">IF(A731="","",A731)</f>
        <v>3 COUNTRY WINGS new</v>
      </c>
      <c r="B737" s="24"/>
      <c r="C737" s="24"/>
      <c r="D737" s="24"/>
      <c r="E737" s="24"/>
      <c r="F737" s="25" t="n">
        <f aca="false">IF(A731="","",SUM(F733:F736))</f>
        <v>4.86849</v>
      </c>
      <c r="G737" s="24"/>
      <c r="H737" s="26" t="n">
        <f aca="false">IF(A731="","",SUM(H733:H736))</f>
        <v>4.86849</v>
      </c>
    </row>
    <row r="739" customFormat="false" ht="15" hidden="false" customHeight="true" outlineLevel="0" collapsed="false">
      <c r="A739" s="12" t="s">
        <v>396</v>
      </c>
      <c r="B739" s="13"/>
      <c r="C739" s="13"/>
      <c r="D739" s="13"/>
      <c r="E739" s="13"/>
      <c r="F739" s="14" t="s">
        <v>389</v>
      </c>
      <c r="G739" s="13"/>
      <c r="H739" s="15"/>
    </row>
    <row r="740" customFormat="false" ht="15" hidden="false" customHeight="true" outlineLevel="0" collapsed="false">
      <c r="A740" s="16" t="s">
        <v>316</v>
      </c>
      <c r="B740" s="16" t="s">
        <v>317</v>
      </c>
      <c r="C740" s="16" t="s">
        <v>318</v>
      </c>
      <c r="D740" s="16" t="s">
        <v>4</v>
      </c>
      <c r="E740" s="16" t="s">
        <v>319</v>
      </c>
      <c r="F740" s="16" t="s">
        <v>320</v>
      </c>
      <c r="G740" s="16" t="s">
        <v>321</v>
      </c>
      <c r="H740" s="16" t="s">
        <v>322</v>
      </c>
    </row>
    <row r="741" customFormat="false" ht="15" hidden="false" customHeight="true" outlineLevel="0" collapsed="false">
      <c r="A741" s="17" t="s">
        <v>54</v>
      </c>
      <c r="B741" s="18" t="str">
        <f aca="false">IFERROR(VLOOKUP(A741,NOMENCLATOR!$A:$E,2,0),"")</f>
        <v>Aripioare de pui nepicante</v>
      </c>
      <c r="C741" s="19" t="n">
        <v>3</v>
      </c>
      <c r="D741" s="20" t="str">
        <f aca="false">IFERROR(VLOOKUP(A741,NOMENCLATOR!$A:$E,3,0),"")</f>
        <v>EA</v>
      </c>
      <c r="E741" s="21" t="n">
        <f aca="false">IFERROR(VLOOKUP(A741,NOMENCLATOR!$A:$E,4,0),"")</f>
        <v>1.39123</v>
      </c>
      <c r="F741" s="21" t="n">
        <f aca="false">IF(OR(C741="",E741=""),"",C741*E741)</f>
        <v>4.17369</v>
      </c>
      <c r="G741" s="22" t="n">
        <f aca="false">IFERROR(VLOOKUP(A741,NOMENCLATOR!$A:$E,5,0),"")</f>
        <v>1.39123</v>
      </c>
      <c r="H741" s="22" t="n">
        <f aca="false">IF(OR(C741="",G741=""),"",C741*G741)</f>
        <v>4.17369</v>
      </c>
    </row>
    <row r="742" customFormat="false" ht="15" hidden="false" customHeight="true" outlineLevel="0" collapsed="false">
      <c r="A742" s="17" t="s">
        <v>300</v>
      </c>
      <c r="B742" s="18" t="str">
        <f aca="false">IFERROR(VLOOKUP(A742,NOMENCLATOR!$A:$E,2,0),"")</f>
        <v>Ulei de alune</v>
      </c>
      <c r="C742" s="19" t="n">
        <v>12</v>
      </c>
      <c r="D742" s="20" t="str">
        <f aca="false">IFERROR(VLOOKUP(A742,NOMENCLATOR!$A:$E,3,0),"")</f>
        <v>ML</v>
      </c>
      <c r="E742" s="21" t="n">
        <f aca="false">IFERROR(VLOOKUP(A742,NOMENCLATOR!$A:$E,4,0),"")</f>
        <v>0.0169</v>
      </c>
      <c r="F742" s="21" t="n">
        <f aca="false">IF(OR(C742="",E742=""),"",C742*E742)</f>
        <v>0.2028</v>
      </c>
      <c r="G742" s="22" t="n">
        <f aca="false">IFERROR(VLOOKUP(A742,NOMENCLATOR!$A:$E,5,0),"")</f>
        <v>0.0169</v>
      </c>
      <c r="H742" s="22" t="n">
        <f aca="false">IF(OR(C742="",G742=""),"",C742*G742)</f>
        <v>0.2028</v>
      </c>
    </row>
    <row r="743" customFormat="false" ht="15" hidden="false" customHeight="true" outlineLevel="0" collapsed="false">
      <c r="A743" s="17" t="s">
        <v>252</v>
      </c>
      <c r="B743" s="18" t="str">
        <f aca="false">IFERROR(VLOOKUP(A743,NOMENCLATOR!$A:$E,2,0),"")</f>
        <v>Punga Pui Nepicant</v>
      </c>
      <c r="C743" s="19" t="n">
        <v>1</v>
      </c>
      <c r="D743" s="20" t="str">
        <f aca="false">IFERROR(VLOOKUP(A743,NOMENCLATOR!$A:$E,3,0),"")</f>
        <v>EA</v>
      </c>
      <c r="E743" s="21" t="n">
        <f aca="false">IFERROR(VLOOKUP(A743,NOMENCLATOR!$A:$E,4,0),"")</f>
        <v>0.294</v>
      </c>
      <c r="F743" s="21" t="n">
        <f aca="false">IF(OR(C743="",E743=""),"",C743*E743)</f>
        <v>0.294</v>
      </c>
      <c r="G743" s="22" t="n">
        <f aca="false">IFERROR(VLOOKUP(A743,NOMENCLATOR!$A:$E,5,0),"")</f>
        <v>0.294</v>
      </c>
      <c r="H743" s="22" t="n">
        <f aca="false">IF(OR(C743="",G743=""),"",C743*G743)</f>
        <v>0.294</v>
      </c>
    </row>
    <row r="744" customFormat="false" ht="15" hidden="false" customHeight="true" outlineLevel="0" collapsed="false">
      <c r="A744" s="17" t="s">
        <v>278</v>
      </c>
      <c r="B744" s="18" t="str">
        <f aca="false">IFERROR(VLOOKUP(A744,NOMENCLATOR!$A:$E,2,0),"")</f>
        <v>Servetele umede</v>
      </c>
      <c r="C744" s="19" t="n">
        <v>1</v>
      </c>
      <c r="D744" s="20" t="str">
        <f aca="false">IFERROR(VLOOKUP(A744,NOMENCLATOR!$A:$E,3,0),"")</f>
        <v>EA</v>
      </c>
      <c r="E744" s="21" t="n">
        <f aca="false">IFERROR(VLOOKUP(A744,NOMENCLATOR!$A:$E,4,0),"")</f>
        <v>0.198</v>
      </c>
      <c r="F744" s="21" t="n">
        <f aca="false">IF(OR(C744="",E744=""),"",C744*E744)</f>
        <v>0.198</v>
      </c>
      <c r="G744" s="22" t="n">
        <f aca="false">IFERROR(VLOOKUP(A744,NOMENCLATOR!$A:$E,5,0),"")</f>
        <v>0.198</v>
      </c>
      <c r="H744" s="22" t="n">
        <f aca="false">IF(OR(C744="",G744=""),"",C744*G744)</f>
        <v>0.198</v>
      </c>
    </row>
    <row r="745" customFormat="false" ht="15" hidden="false" customHeight="true" outlineLevel="0" collapsed="false">
      <c r="A745" s="23" t="str">
        <f aca="false">IF(A739="","",A739)</f>
        <v>3 COUNTRY WINGS new D</v>
      </c>
      <c r="B745" s="24"/>
      <c r="C745" s="24"/>
      <c r="D745" s="24"/>
      <c r="E745" s="24"/>
      <c r="F745" s="25" t="n">
        <f aca="false">IF(A739="","",SUM(F741:F744))</f>
        <v>4.86849</v>
      </c>
      <c r="G745" s="24"/>
      <c r="H745" s="26" t="n">
        <f aca="false">IF(A739="","",SUM(H741:H744))</f>
        <v>4.86849</v>
      </c>
    </row>
    <row r="747" customFormat="false" ht="15" hidden="false" customHeight="true" outlineLevel="0" collapsed="false">
      <c r="A747" s="12" t="s">
        <v>397</v>
      </c>
      <c r="B747" s="13"/>
      <c r="C747" s="13"/>
      <c r="D747" s="13"/>
      <c r="E747" s="13"/>
      <c r="F747" s="14" t="s">
        <v>389</v>
      </c>
      <c r="G747" s="13"/>
      <c r="H747" s="15"/>
    </row>
    <row r="748" customFormat="false" ht="15" hidden="false" customHeight="true" outlineLevel="0" collapsed="false">
      <c r="A748" s="16" t="s">
        <v>316</v>
      </c>
      <c r="B748" s="16" t="s">
        <v>317</v>
      </c>
      <c r="C748" s="16" t="s">
        <v>318</v>
      </c>
      <c r="D748" s="16" t="s">
        <v>4</v>
      </c>
      <c r="E748" s="16" t="s">
        <v>319</v>
      </c>
      <c r="F748" s="16" t="s">
        <v>320</v>
      </c>
      <c r="G748" s="16" t="s">
        <v>321</v>
      </c>
      <c r="H748" s="16" t="s">
        <v>322</v>
      </c>
    </row>
    <row r="749" customFormat="false" ht="15" hidden="false" customHeight="true" outlineLevel="0" collapsed="false">
      <c r="A749" s="17" t="s">
        <v>54</v>
      </c>
      <c r="B749" s="18" t="str">
        <f aca="false">IFERROR(VLOOKUP(A749,NOMENCLATOR!$A:$E,2,0),"")</f>
        <v>Aripioare de pui nepicante</v>
      </c>
      <c r="C749" s="19" t="n">
        <v>5</v>
      </c>
      <c r="D749" s="20" t="str">
        <f aca="false">IFERROR(VLOOKUP(A749,NOMENCLATOR!$A:$E,3,0),"")</f>
        <v>EA</v>
      </c>
      <c r="E749" s="21" t="n">
        <f aca="false">IFERROR(VLOOKUP(A749,NOMENCLATOR!$A:$E,4,0),"")</f>
        <v>1.39123</v>
      </c>
      <c r="F749" s="21" t="n">
        <f aca="false">IF(OR(C749="",E749=""),"",C749*E749)</f>
        <v>6.95615</v>
      </c>
      <c r="G749" s="22" t="n">
        <f aca="false">IFERROR(VLOOKUP(A749,NOMENCLATOR!$A:$E,5,0),"")</f>
        <v>1.39123</v>
      </c>
      <c r="H749" s="22" t="n">
        <f aca="false">IF(OR(C749="",G749=""),"",C749*G749)</f>
        <v>6.95615</v>
      </c>
    </row>
    <row r="750" customFormat="false" ht="15" hidden="false" customHeight="true" outlineLevel="0" collapsed="false">
      <c r="A750" s="17" t="s">
        <v>300</v>
      </c>
      <c r="B750" s="18" t="str">
        <f aca="false">IFERROR(VLOOKUP(A750,NOMENCLATOR!$A:$E,2,0),"")</f>
        <v>Ulei de alune</v>
      </c>
      <c r="C750" s="19" t="n">
        <v>20</v>
      </c>
      <c r="D750" s="20" t="str">
        <f aca="false">IFERROR(VLOOKUP(A750,NOMENCLATOR!$A:$E,3,0),"")</f>
        <v>ML</v>
      </c>
      <c r="E750" s="21" t="n">
        <f aca="false">IFERROR(VLOOKUP(A750,NOMENCLATOR!$A:$E,4,0),"")</f>
        <v>0.0169</v>
      </c>
      <c r="F750" s="21" t="n">
        <f aca="false">IF(OR(C750="",E750=""),"",C750*E750)</f>
        <v>0.338</v>
      </c>
      <c r="G750" s="22" t="n">
        <f aca="false">IFERROR(VLOOKUP(A750,NOMENCLATOR!$A:$E,5,0),"")</f>
        <v>0.0169</v>
      </c>
      <c r="H750" s="22" t="n">
        <f aca="false">IF(OR(C750="",G750=""),"",C750*G750)</f>
        <v>0.338</v>
      </c>
    </row>
    <row r="751" customFormat="false" ht="15" hidden="false" customHeight="true" outlineLevel="0" collapsed="false">
      <c r="A751" s="17" t="s">
        <v>252</v>
      </c>
      <c r="B751" s="18" t="str">
        <f aca="false">IFERROR(VLOOKUP(A751,NOMENCLATOR!$A:$E,2,0),"")</f>
        <v>Punga Pui Nepicant</v>
      </c>
      <c r="C751" s="19" t="n">
        <v>1</v>
      </c>
      <c r="D751" s="20" t="str">
        <f aca="false">IFERROR(VLOOKUP(A751,NOMENCLATOR!$A:$E,3,0),"")</f>
        <v>EA</v>
      </c>
      <c r="E751" s="21" t="n">
        <f aca="false">IFERROR(VLOOKUP(A751,NOMENCLATOR!$A:$E,4,0),"")</f>
        <v>0.294</v>
      </c>
      <c r="F751" s="21" t="n">
        <f aca="false">IF(OR(C751="",E751=""),"",C751*E751)</f>
        <v>0.294</v>
      </c>
      <c r="G751" s="22" t="n">
        <f aca="false">IFERROR(VLOOKUP(A751,NOMENCLATOR!$A:$E,5,0),"")</f>
        <v>0.294</v>
      </c>
      <c r="H751" s="22" t="n">
        <f aca="false">IF(OR(C751="",G751=""),"",C751*G751)</f>
        <v>0.294</v>
      </c>
    </row>
    <row r="752" customFormat="false" ht="15" hidden="false" customHeight="true" outlineLevel="0" collapsed="false">
      <c r="A752" s="17" t="s">
        <v>278</v>
      </c>
      <c r="B752" s="18" t="str">
        <f aca="false">IFERROR(VLOOKUP(A752,NOMENCLATOR!$A:$E,2,0),"")</f>
        <v>Servetele umede</v>
      </c>
      <c r="C752" s="19" t="n">
        <v>1</v>
      </c>
      <c r="D752" s="20" t="str">
        <f aca="false">IFERROR(VLOOKUP(A752,NOMENCLATOR!$A:$E,3,0),"")</f>
        <v>EA</v>
      </c>
      <c r="E752" s="21" t="n">
        <f aca="false">IFERROR(VLOOKUP(A752,NOMENCLATOR!$A:$E,4,0),"")</f>
        <v>0.198</v>
      </c>
      <c r="F752" s="21" t="n">
        <f aca="false">IF(OR(C752="",E752=""),"",C752*E752)</f>
        <v>0.198</v>
      </c>
      <c r="G752" s="22" t="n">
        <f aca="false">IFERROR(VLOOKUP(A752,NOMENCLATOR!$A:$E,5,0),"")</f>
        <v>0.198</v>
      </c>
      <c r="H752" s="22" t="n">
        <f aca="false">IF(OR(C752="",G752=""),"",C752*G752)</f>
        <v>0.198</v>
      </c>
    </row>
    <row r="753" customFormat="false" ht="15" hidden="false" customHeight="true" outlineLevel="0" collapsed="false">
      <c r="A753" s="23" t="str">
        <f aca="false">IF(A747="","",A747)</f>
        <v>5 COUNTRY WINGS new</v>
      </c>
      <c r="B753" s="24"/>
      <c r="C753" s="24"/>
      <c r="D753" s="24"/>
      <c r="E753" s="24"/>
      <c r="F753" s="25" t="n">
        <f aca="false">IF(A747="","",SUM(F749:F752))</f>
        <v>7.78615</v>
      </c>
      <c r="G753" s="24"/>
      <c r="H753" s="26" t="n">
        <f aca="false">IF(A747="","",SUM(H749:H752))</f>
        <v>7.78615</v>
      </c>
    </row>
    <row r="755" customFormat="false" ht="15" hidden="false" customHeight="true" outlineLevel="0" collapsed="false">
      <c r="A755" s="12" t="s">
        <v>398</v>
      </c>
      <c r="B755" s="13"/>
      <c r="C755" s="13"/>
      <c r="D755" s="13"/>
      <c r="E755" s="13"/>
      <c r="F755" s="14" t="s">
        <v>389</v>
      </c>
      <c r="G755" s="13"/>
      <c r="H755" s="15"/>
    </row>
    <row r="756" customFormat="false" ht="15" hidden="false" customHeight="true" outlineLevel="0" collapsed="false">
      <c r="A756" s="16" t="s">
        <v>316</v>
      </c>
      <c r="B756" s="16" t="s">
        <v>317</v>
      </c>
      <c r="C756" s="16" t="s">
        <v>318</v>
      </c>
      <c r="D756" s="16" t="s">
        <v>4</v>
      </c>
      <c r="E756" s="16" t="s">
        <v>319</v>
      </c>
      <c r="F756" s="16" t="s">
        <v>320</v>
      </c>
      <c r="G756" s="16" t="s">
        <v>321</v>
      </c>
      <c r="H756" s="16" t="s">
        <v>322</v>
      </c>
    </row>
    <row r="757" customFormat="false" ht="15" hidden="false" customHeight="true" outlineLevel="0" collapsed="false">
      <c r="A757" s="17" t="s">
        <v>54</v>
      </c>
      <c r="B757" s="18" t="str">
        <f aca="false">IFERROR(VLOOKUP(A757,NOMENCLATOR!$A:$E,2,0),"")</f>
        <v>Aripioare de pui nepicante</v>
      </c>
      <c r="C757" s="19" t="n">
        <v>5</v>
      </c>
      <c r="D757" s="20" t="str">
        <f aca="false">IFERROR(VLOOKUP(A757,NOMENCLATOR!$A:$E,3,0),"")</f>
        <v>EA</v>
      </c>
      <c r="E757" s="21" t="n">
        <f aca="false">IFERROR(VLOOKUP(A757,NOMENCLATOR!$A:$E,4,0),"")</f>
        <v>1.39123</v>
      </c>
      <c r="F757" s="21" t="n">
        <f aca="false">IF(OR(C757="",E757=""),"",C757*E757)</f>
        <v>6.95615</v>
      </c>
      <c r="G757" s="22" t="n">
        <f aca="false">IFERROR(VLOOKUP(A757,NOMENCLATOR!$A:$E,5,0),"")</f>
        <v>1.39123</v>
      </c>
      <c r="H757" s="22" t="n">
        <f aca="false">IF(OR(C757="",G757=""),"",C757*G757)</f>
        <v>6.95615</v>
      </c>
    </row>
    <row r="758" customFormat="false" ht="15" hidden="false" customHeight="true" outlineLevel="0" collapsed="false">
      <c r="A758" s="17" t="s">
        <v>300</v>
      </c>
      <c r="B758" s="18" t="str">
        <f aca="false">IFERROR(VLOOKUP(A758,NOMENCLATOR!$A:$E,2,0),"")</f>
        <v>Ulei de alune</v>
      </c>
      <c r="C758" s="19" t="n">
        <v>20</v>
      </c>
      <c r="D758" s="20" t="str">
        <f aca="false">IFERROR(VLOOKUP(A758,NOMENCLATOR!$A:$E,3,0),"")</f>
        <v>ML</v>
      </c>
      <c r="E758" s="21" t="n">
        <f aca="false">IFERROR(VLOOKUP(A758,NOMENCLATOR!$A:$E,4,0),"")</f>
        <v>0.0169</v>
      </c>
      <c r="F758" s="21" t="n">
        <f aca="false">IF(OR(C758="",E758=""),"",C758*E758)</f>
        <v>0.338</v>
      </c>
      <c r="G758" s="22" t="n">
        <f aca="false">IFERROR(VLOOKUP(A758,NOMENCLATOR!$A:$E,5,0),"")</f>
        <v>0.0169</v>
      </c>
      <c r="H758" s="22" t="n">
        <f aca="false">IF(OR(C758="",G758=""),"",C758*G758)</f>
        <v>0.338</v>
      </c>
    </row>
    <row r="759" customFormat="false" ht="15" hidden="false" customHeight="true" outlineLevel="0" collapsed="false">
      <c r="A759" s="17" t="s">
        <v>252</v>
      </c>
      <c r="B759" s="18" t="str">
        <f aca="false">IFERROR(VLOOKUP(A759,NOMENCLATOR!$A:$E,2,0),"")</f>
        <v>Punga Pui Nepicant</v>
      </c>
      <c r="C759" s="19" t="n">
        <v>1</v>
      </c>
      <c r="D759" s="20" t="str">
        <f aca="false">IFERROR(VLOOKUP(A759,NOMENCLATOR!$A:$E,3,0),"")</f>
        <v>EA</v>
      </c>
      <c r="E759" s="21" t="n">
        <f aca="false">IFERROR(VLOOKUP(A759,NOMENCLATOR!$A:$E,4,0),"")</f>
        <v>0.294</v>
      </c>
      <c r="F759" s="21" t="n">
        <f aca="false">IF(OR(C759="",E759=""),"",C759*E759)</f>
        <v>0.294</v>
      </c>
      <c r="G759" s="22" t="n">
        <f aca="false">IFERROR(VLOOKUP(A759,NOMENCLATOR!$A:$E,5,0),"")</f>
        <v>0.294</v>
      </c>
      <c r="H759" s="22" t="n">
        <f aca="false">IF(OR(C759="",G759=""),"",C759*G759)</f>
        <v>0.294</v>
      </c>
    </row>
    <row r="760" customFormat="false" ht="15" hidden="false" customHeight="true" outlineLevel="0" collapsed="false">
      <c r="A760" s="17" t="s">
        <v>278</v>
      </c>
      <c r="B760" s="18" t="str">
        <f aca="false">IFERROR(VLOOKUP(A760,NOMENCLATOR!$A:$E,2,0),"")</f>
        <v>Servetele umede</v>
      </c>
      <c r="C760" s="19" t="n">
        <v>1</v>
      </c>
      <c r="D760" s="20" t="str">
        <f aca="false">IFERROR(VLOOKUP(A760,NOMENCLATOR!$A:$E,3,0),"")</f>
        <v>EA</v>
      </c>
      <c r="E760" s="21" t="n">
        <f aca="false">IFERROR(VLOOKUP(A760,NOMENCLATOR!$A:$E,4,0),"")</f>
        <v>0.198</v>
      </c>
      <c r="F760" s="21" t="n">
        <f aca="false">IF(OR(C760="",E760=""),"",C760*E760)</f>
        <v>0.198</v>
      </c>
      <c r="G760" s="22" t="n">
        <f aca="false">IFERROR(VLOOKUP(A760,NOMENCLATOR!$A:$E,5,0),"")</f>
        <v>0.198</v>
      </c>
      <c r="H760" s="22" t="n">
        <f aca="false">IF(OR(C760="",G760=""),"",C760*G760)</f>
        <v>0.198</v>
      </c>
    </row>
    <row r="761" customFormat="false" ht="15" hidden="false" customHeight="true" outlineLevel="0" collapsed="false">
      <c r="A761" s="23" t="str">
        <f aca="false">IF(A755="","",A755)</f>
        <v>5 COUNTRY WINGS new D</v>
      </c>
      <c r="B761" s="24"/>
      <c r="C761" s="24"/>
      <c r="D761" s="24"/>
      <c r="E761" s="24"/>
      <c r="F761" s="25" t="n">
        <f aca="false">IF(A755="","",SUM(F757:F760))</f>
        <v>7.78615</v>
      </c>
      <c r="G761" s="24"/>
      <c r="H761" s="26" t="n">
        <f aca="false">IF(A755="","",SUM(H757:H760))</f>
        <v>7.78615</v>
      </c>
    </row>
    <row r="763" customFormat="false" ht="15" hidden="false" customHeight="true" outlineLevel="0" collapsed="false">
      <c r="A763" s="12" t="s">
        <v>399</v>
      </c>
      <c r="B763" s="13"/>
      <c r="C763" s="13"/>
      <c r="D763" s="13"/>
      <c r="E763" s="13"/>
      <c r="F763" s="14" t="s">
        <v>389</v>
      </c>
      <c r="G763" s="13"/>
      <c r="H763" s="15"/>
    </row>
    <row r="764" customFormat="false" ht="15" hidden="false" customHeight="true" outlineLevel="0" collapsed="false">
      <c r="A764" s="16" t="s">
        <v>316</v>
      </c>
      <c r="B764" s="16" t="s">
        <v>317</v>
      </c>
      <c r="C764" s="16" t="s">
        <v>318</v>
      </c>
      <c r="D764" s="16" t="s">
        <v>4</v>
      </c>
      <c r="E764" s="16" t="s">
        <v>319</v>
      </c>
      <c r="F764" s="16" t="s">
        <v>320</v>
      </c>
      <c r="G764" s="16" t="s">
        <v>321</v>
      </c>
      <c r="H764" s="16" t="s">
        <v>322</v>
      </c>
    </row>
    <row r="765" customFormat="false" ht="15" hidden="false" customHeight="true" outlineLevel="0" collapsed="false">
      <c r="A765" s="17" t="s">
        <v>54</v>
      </c>
      <c r="B765" s="18" t="str">
        <f aca="false">IFERROR(VLOOKUP(A765,NOMENCLATOR!$A:$E,2,0),"")</f>
        <v>Aripioare de pui nepicante</v>
      </c>
      <c r="C765" s="19" t="n">
        <v>7</v>
      </c>
      <c r="D765" s="20" t="str">
        <f aca="false">IFERROR(VLOOKUP(A765,NOMENCLATOR!$A:$E,3,0),"")</f>
        <v>EA</v>
      </c>
      <c r="E765" s="21" t="n">
        <f aca="false">IFERROR(VLOOKUP(A765,NOMENCLATOR!$A:$E,4,0),"")</f>
        <v>1.39123</v>
      </c>
      <c r="F765" s="21" t="n">
        <f aca="false">IF(OR(C765="",E765=""),"",C765*E765)</f>
        <v>9.73861</v>
      </c>
      <c r="G765" s="22" t="n">
        <f aca="false">IFERROR(VLOOKUP(A765,NOMENCLATOR!$A:$E,5,0),"")</f>
        <v>1.39123</v>
      </c>
      <c r="H765" s="22" t="n">
        <f aca="false">IF(OR(C765="",G765=""),"",C765*G765)</f>
        <v>9.73861</v>
      </c>
    </row>
    <row r="766" customFormat="false" ht="15" hidden="false" customHeight="true" outlineLevel="0" collapsed="false">
      <c r="A766" s="17" t="s">
        <v>300</v>
      </c>
      <c r="B766" s="18" t="str">
        <f aca="false">IFERROR(VLOOKUP(A766,NOMENCLATOR!$A:$E,2,0),"")</f>
        <v>Ulei de alune</v>
      </c>
      <c r="C766" s="19" t="n">
        <v>28</v>
      </c>
      <c r="D766" s="20" t="str">
        <f aca="false">IFERROR(VLOOKUP(A766,NOMENCLATOR!$A:$E,3,0),"")</f>
        <v>ML</v>
      </c>
      <c r="E766" s="21" t="n">
        <f aca="false">IFERROR(VLOOKUP(A766,NOMENCLATOR!$A:$E,4,0),"")</f>
        <v>0.0169</v>
      </c>
      <c r="F766" s="21" t="n">
        <f aca="false">IF(OR(C766="",E766=""),"",C766*E766)</f>
        <v>0.4732</v>
      </c>
      <c r="G766" s="22" t="n">
        <f aca="false">IFERROR(VLOOKUP(A766,NOMENCLATOR!$A:$E,5,0),"")</f>
        <v>0.0169</v>
      </c>
      <c r="H766" s="22" t="n">
        <f aca="false">IF(OR(C766="",G766=""),"",C766*G766)</f>
        <v>0.4732</v>
      </c>
    </row>
    <row r="767" customFormat="false" ht="15" hidden="false" customHeight="true" outlineLevel="0" collapsed="false">
      <c r="A767" s="17" t="s">
        <v>252</v>
      </c>
      <c r="B767" s="18" t="str">
        <f aca="false">IFERROR(VLOOKUP(A767,NOMENCLATOR!$A:$E,2,0),"")</f>
        <v>Punga Pui Nepicant</v>
      </c>
      <c r="C767" s="19" t="n">
        <v>1</v>
      </c>
      <c r="D767" s="20" t="str">
        <f aca="false">IFERROR(VLOOKUP(A767,NOMENCLATOR!$A:$E,3,0),"")</f>
        <v>EA</v>
      </c>
      <c r="E767" s="21" t="n">
        <f aca="false">IFERROR(VLOOKUP(A767,NOMENCLATOR!$A:$E,4,0),"")</f>
        <v>0.294</v>
      </c>
      <c r="F767" s="21" t="n">
        <f aca="false">IF(OR(C767="",E767=""),"",C767*E767)</f>
        <v>0.294</v>
      </c>
      <c r="G767" s="22" t="n">
        <f aca="false">IFERROR(VLOOKUP(A767,NOMENCLATOR!$A:$E,5,0),"")</f>
        <v>0.294</v>
      </c>
      <c r="H767" s="22" t="n">
        <f aca="false">IF(OR(C767="",G767=""),"",C767*G767)</f>
        <v>0.294</v>
      </c>
    </row>
    <row r="768" customFormat="false" ht="15" hidden="false" customHeight="true" outlineLevel="0" collapsed="false">
      <c r="A768" s="17" t="s">
        <v>278</v>
      </c>
      <c r="B768" s="18" t="str">
        <f aca="false">IFERROR(VLOOKUP(A768,NOMENCLATOR!$A:$E,2,0),"")</f>
        <v>Servetele umede</v>
      </c>
      <c r="C768" s="19" t="n">
        <v>1</v>
      </c>
      <c r="D768" s="20" t="str">
        <f aca="false">IFERROR(VLOOKUP(A768,NOMENCLATOR!$A:$E,3,0),"")</f>
        <v>EA</v>
      </c>
      <c r="E768" s="21" t="n">
        <f aca="false">IFERROR(VLOOKUP(A768,NOMENCLATOR!$A:$E,4,0),"")</f>
        <v>0.198</v>
      </c>
      <c r="F768" s="21" t="n">
        <f aca="false">IF(OR(C768="",E768=""),"",C768*E768)</f>
        <v>0.198</v>
      </c>
      <c r="G768" s="22" t="n">
        <f aca="false">IFERROR(VLOOKUP(A768,NOMENCLATOR!$A:$E,5,0),"")</f>
        <v>0.198</v>
      </c>
      <c r="H768" s="22" t="n">
        <f aca="false">IF(OR(C768="",G768=""),"",C768*G768)</f>
        <v>0.198</v>
      </c>
    </row>
    <row r="769" customFormat="false" ht="15" hidden="false" customHeight="true" outlineLevel="0" collapsed="false">
      <c r="A769" s="23" t="str">
        <f aca="false">IF(A763="","",A763)</f>
        <v>7 COUNTRY WINGS new</v>
      </c>
      <c r="B769" s="24"/>
      <c r="C769" s="24"/>
      <c r="D769" s="24"/>
      <c r="E769" s="24"/>
      <c r="F769" s="25" t="n">
        <f aca="false">IF(A763="","",SUM(F765:F768))</f>
        <v>10.70381</v>
      </c>
      <c r="G769" s="24"/>
      <c r="H769" s="26" t="n">
        <f aca="false">IF(A763="","",SUM(H765:H768))</f>
        <v>10.70381</v>
      </c>
    </row>
    <row r="771" customFormat="false" ht="15" hidden="false" customHeight="true" outlineLevel="0" collapsed="false">
      <c r="A771" s="12" t="s">
        <v>400</v>
      </c>
      <c r="B771" s="13"/>
      <c r="C771" s="13"/>
      <c r="D771" s="13"/>
      <c r="E771" s="13"/>
      <c r="F771" s="14" t="s">
        <v>389</v>
      </c>
      <c r="G771" s="13"/>
      <c r="H771" s="15"/>
    </row>
    <row r="772" customFormat="false" ht="15" hidden="false" customHeight="true" outlineLevel="0" collapsed="false">
      <c r="A772" s="16" t="s">
        <v>316</v>
      </c>
      <c r="B772" s="16" t="s">
        <v>317</v>
      </c>
      <c r="C772" s="16" t="s">
        <v>318</v>
      </c>
      <c r="D772" s="16" t="s">
        <v>4</v>
      </c>
      <c r="E772" s="16" t="s">
        <v>319</v>
      </c>
      <c r="F772" s="16" t="s">
        <v>320</v>
      </c>
      <c r="G772" s="16" t="s">
        <v>321</v>
      </c>
      <c r="H772" s="16" t="s">
        <v>322</v>
      </c>
    </row>
    <row r="773" customFormat="false" ht="15" hidden="false" customHeight="true" outlineLevel="0" collapsed="false">
      <c r="A773" s="17" t="s">
        <v>54</v>
      </c>
      <c r="B773" s="18" t="str">
        <f aca="false">IFERROR(VLOOKUP(A773,NOMENCLATOR!$A:$E,2,0),"")</f>
        <v>Aripioare de pui nepicante</v>
      </c>
      <c r="C773" s="19" t="n">
        <v>7</v>
      </c>
      <c r="D773" s="20" t="str">
        <f aca="false">IFERROR(VLOOKUP(A773,NOMENCLATOR!$A:$E,3,0),"")</f>
        <v>EA</v>
      </c>
      <c r="E773" s="21" t="n">
        <f aca="false">IFERROR(VLOOKUP(A773,NOMENCLATOR!$A:$E,4,0),"")</f>
        <v>1.39123</v>
      </c>
      <c r="F773" s="21" t="n">
        <f aca="false">IF(OR(C773="",E773=""),"",C773*E773)</f>
        <v>9.73861</v>
      </c>
      <c r="G773" s="22" t="n">
        <f aca="false">IFERROR(VLOOKUP(A773,NOMENCLATOR!$A:$E,5,0),"")</f>
        <v>1.39123</v>
      </c>
      <c r="H773" s="22" t="n">
        <f aca="false">IF(OR(C773="",G773=""),"",C773*G773)</f>
        <v>9.73861</v>
      </c>
    </row>
    <row r="774" customFormat="false" ht="15" hidden="false" customHeight="true" outlineLevel="0" collapsed="false">
      <c r="A774" s="17" t="s">
        <v>300</v>
      </c>
      <c r="B774" s="18" t="str">
        <f aca="false">IFERROR(VLOOKUP(A774,NOMENCLATOR!$A:$E,2,0),"")</f>
        <v>Ulei de alune</v>
      </c>
      <c r="C774" s="19" t="n">
        <v>28</v>
      </c>
      <c r="D774" s="20" t="str">
        <f aca="false">IFERROR(VLOOKUP(A774,NOMENCLATOR!$A:$E,3,0),"")</f>
        <v>ML</v>
      </c>
      <c r="E774" s="21" t="n">
        <f aca="false">IFERROR(VLOOKUP(A774,NOMENCLATOR!$A:$E,4,0),"")</f>
        <v>0.0169</v>
      </c>
      <c r="F774" s="21" t="n">
        <f aca="false">IF(OR(C774="",E774=""),"",C774*E774)</f>
        <v>0.4732</v>
      </c>
      <c r="G774" s="22" t="n">
        <f aca="false">IFERROR(VLOOKUP(A774,NOMENCLATOR!$A:$E,5,0),"")</f>
        <v>0.0169</v>
      </c>
      <c r="H774" s="22" t="n">
        <f aca="false">IF(OR(C774="",G774=""),"",C774*G774)</f>
        <v>0.4732</v>
      </c>
    </row>
    <row r="775" customFormat="false" ht="15" hidden="false" customHeight="true" outlineLevel="0" collapsed="false">
      <c r="A775" s="17" t="s">
        <v>252</v>
      </c>
      <c r="B775" s="18" t="str">
        <f aca="false">IFERROR(VLOOKUP(A775,NOMENCLATOR!$A:$E,2,0),"")</f>
        <v>Punga Pui Nepicant</v>
      </c>
      <c r="C775" s="19" t="n">
        <v>1</v>
      </c>
      <c r="D775" s="20" t="str">
        <f aca="false">IFERROR(VLOOKUP(A775,NOMENCLATOR!$A:$E,3,0),"")</f>
        <v>EA</v>
      </c>
      <c r="E775" s="21" t="n">
        <f aca="false">IFERROR(VLOOKUP(A775,NOMENCLATOR!$A:$E,4,0),"")</f>
        <v>0.294</v>
      </c>
      <c r="F775" s="21" t="n">
        <f aca="false">IF(OR(C775="",E775=""),"",C775*E775)</f>
        <v>0.294</v>
      </c>
      <c r="G775" s="22" t="n">
        <f aca="false">IFERROR(VLOOKUP(A775,NOMENCLATOR!$A:$E,5,0),"")</f>
        <v>0.294</v>
      </c>
      <c r="H775" s="22" t="n">
        <f aca="false">IF(OR(C775="",G775=""),"",C775*G775)</f>
        <v>0.294</v>
      </c>
    </row>
    <row r="776" customFormat="false" ht="15" hidden="false" customHeight="true" outlineLevel="0" collapsed="false">
      <c r="A776" s="17" t="s">
        <v>278</v>
      </c>
      <c r="B776" s="18" t="str">
        <f aca="false">IFERROR(VLOOKUP(A776,NOMENCLATOR!$A:$E,2,0),"")</f>
        <v>Servetele umede</v>
      </c>
      <c r="C776" s="19" t="n">
        <v>1</v>
      </c>
      <c r="D776" s="20" t="str">
        <f aca="false">IFERROR(VLOOKUP(A776,NOMENCLATOR!$A:$E,3,0),"")</f>
        <v>EA</v>
      </c>
      <c r="E776" s="21" t="n">
        <f aca="false">IFERROR(VLOOKUP(A776,NOMENCLATOR!$A:$E,4,0),"")</f>
        <v>0.198</v>
      </c>
      <c r="F776" s="21" t="n">
        <f aca="false">IF(OR(C776="",E776=""),"",C776*E776)</f>
        <v>0.198</v>
      </c>
      <c r="G776" s="22" t="n">
        <f aca="false">IFERROR(VLOOKUP(A776,NOMENCLATOR!$A:$E,5,0),"")</f>
        <v>0.198</v>
      </c>
      <c r="H776" s="22" t="n">
        <f aca="false">IF(OR(C776="",G776=""),"",C776*G776)</f>
        <v>0.198</v>
      </c>
    </row>
    <row r="777" customFormat="false" ht="15" hidden="false" customHeight="true" outlineLevel="0" collapsed="false">
      <c r="A777" s="23" t="str">
        <f aca="false">IF(A771="","",A771)</f>
        <v>7 COUNTRY WINGS new D</v>
      </c>
      <c r="B777" s="24"/>
      <c r="C777" s="24"/>
      <c r="D777" s="24"/>
      <c r="E777" s="24"/>
      <c r="F777" s="25" t="n">
        <f aca="false">IF(A771="","",SUM(F773:F776))</f>
        <v>10.70381</v>
      </c>
      <c r="G777" s="24"/>
      <c r="H777" s="26" t="n">
        <f aca="false">IF(A771="","",SUM(H773:H776))</f>
        <v>10.70381</v>
      </c>
    </row>
    <row r="779" customFormat="false" ht="15" hidden="false" customHeight="true" outlineLevel="0" collapsed="false">
      <c r="A779" s="12" t="s">
        <v>401</v>
      </c>
      <c r="B779" s="13"/>
      <c r="C779" s="13"/>
      <c r="D779" s="13"/>
      <c r="E779" s="13"/>
      <c r="F779" s="14" t="s">
        <v>389</v>
      </c>
      <c r="G779" s="13"/>
      <c r="H779" s="15"/>
    </row>
    <row r="780" customFormat="false" ht="15" hidden="false" customHeight="true" outlineLevel="0" collapsed="false">
      <c r="A780" s="16" t="s">
        <v>316</v>
      </c>
      <c r="B780" s="16" t="s">
        <v>317</v>
      </c>
      <c r="C780" s="16" t="s">
        <v>318</v>
      </c>
      <c r="D780" s="16" t="s">
        <v>4</v>
      </c>
      <c r="E780" s="16" t="s">
        <v>319</v>
      </c>
      <c r="F780" s="16" t="s">
        <v>320</v>
      </c>
      <c r="G780" s="16" t="s">
        <v>321</v>
      </c>
      <c r="H780" s="16" t="s">
        <v>322</v>
      </c>
    </row>
    <row r="781" customFormat="false" ht="15" hidden="false" customHeight="true" outlineLevel="0" collapsed="false">
      <c r="A781" s="17" t="s">
        <v>54</v>
      </c>
      <c r="B781" s="18" t="str">
        <f aca="false">IFERROR(VLOOKUP(A781,NOMENCLATOR!$A:$E,2,0),"")</f>
        <v>Aripioare de pui nepicante</v>
      </c>
      <c r="C781" s="19" t="n">
        <v>9</v>
      </c>
      <c r="D781" s="20" t="str">
        <f aca="false">IFERROR(VLOOKUP(A781,NOMENCLATOR!$A:$E,3,0),"")</f>
        <v>EA</v>
      </c>
      <c r="E781" s="21" t="n">
        <f aca="false">IFERROR(VLOOKUP(A781,NOMENCLATOR!$A:$E,4,0),"")</f>
        <v>1.39123</v>
      </c>
      <c r="F781" s="21" t="n">
        <f aca="false">IF(OR(C781="",E781=""),"",C781*E781)</f>
        <v>12.52107</v>
      </c>
      <c r="G781" s="22" t="n">
        <f aca="false">IFERROR(VLOOKUP(A781,NOMENCLATOR!$A:$E,5,0),"")</f>
        <v>1.39123</v>
      </c>
      <c r="H781" s="22" t="n">
        <f aca="false">IF(OR(C781="",G781=""),"",C781*G781)</f>
        <v>12.52107</v>
      </c>
    </row>
    <row r="782" customFormat="false" ht="15" hidden="false" customHeight="true" outlineLevel="0" collapsed="false">
      <c r="A782" s="17" t="s">
        <v>300</v>
      </c>
      <c r="B782" s="18" t="str">
        <f aca="false">IFERROR(VLOOKUP(A782,NOMENCLATOR!$A:$E,2,0),"")</f>
        <v>Ulei de alune</v>
      </c>
      <c r="C782" s="19" t="n">
        <v>36</v>
      </c>
      <c r="D782" s="20" t="str">
        <f aca="false">IFERROR(VLOOKUP(A782,NOMENCLATOR!$A:$E,3,0),"")</f>
        <v>ML</v>
      </c>
      <c r="E782" s="21" t="n">
        <f aca="false">IFERROR(VLOOKUP(A782,NOMENCLATOR!$A:$E,4,0),"")</f>
        <v>0.0169</v>
      </c>
      <c r="F782" s="21" t="n">
        <f aca="false">IF(OR(C782="",E782=""),"",C782*E782)</f>
        <v>0.6084</v>
      </c>
      <c r="G782" s="22" t="n">
        <f aca="false">IFERROR(VLOOKUP(A782,NOMENCLATOR!$A:$E,5,0),"")</f>
        <v>0.0169</v>
      </c>
      <c r="H782" s="22" t="n">
        <f aca="false">IF(OR(C782="",G782=""),"",C782*G782)</f>
        <v>0.6084</v>
      </c>
    </row>
    <row r="783" customFormat="false" ht="15" hidden="false" customHeight="true" outlineLevel="0" collapsed="false">
      <c r="A783" s="17" t="s">
        <v>252</v>
      </c>
      <c r="B783" s="18" t="str">
        <f aca="false">IFERROR(VLOOKUP(A783,NOMENCLATOR!$A:$E,2,0),"")</f>
        <v>Punga Pui Nepicant</v>
      </c>
      <c r="C783" s="19" t="n">
        <v>1</v>
      </c>
      <c r="D783" s="20" t="str">
        <f aca="false">IFERROR(VLOOKUP(A783,NOMENCLATOR!$A:$E,3,0),"")</f>
        <v>EA</v>
      </c>
      <c r="E783" s="21" t="n">
        <f aca="false">IFERROR(VLOOKUP(A783,NOMENCLATOR!$A:$E,4,0),"")</f>
        <v>0.294</v>
      </c>
      <c r="F783" s="21" t="n">
        <f aca="false">IF(OR(C783="",E783=""),"",C783*E783)</f>
        <v>0.294</v>
      </c>
      <c r="G783" s="22" t="n">
        <f aca="false">IFERROR(VLOOKUP(A783,NOMENCLATOR!$A:$E,5,0),"")</f>
        <v>0.294</v>
      </c>
      <c r="H783" s="22" t="n">
        <f aca="false">IF(OR(C783="",G783=""),"",C783*G783)</f>
        <v>0.294</v>
      </c>
    </row>
    <row r="784" customFormat="false" ht="15" hidden="false" customHeight="true" outlineLevel="0" collapsed="false">
      <c r="A784" s="17" t="s">
        <v>278</v>
      </c>
      <c r="B784" s="18" t="str">
        <f aca="false">IFERROR(VLOOKUP(A784,NOMENCLATOR!$A:$E,2,0),"")</f>
        <v>Servetele umede</v>
      </c>
      <c r="C784" s="19" t="n">
        <v>1</v>
      </c>
      <c r="D784" s="20" t="str">
        <f aca="false">IFERROR(VLOOKUP(A784,NOMENCLATOR!$A:$E,3,0),"")</f>
        <v>EA</v>
      </c>
      <c r="E784" s="21" t="n">
        <f aca="false">IFERROR(VLOOKUP(A784,NOMENCLATOR!$A:$E,4,0),"")</f>
        <v>0.198</v>
      </c>
      <c r="F784" s="21" t="n">
        <f aca="false">IF(OR(C784="",E784=""),"",C784*E784)</f>
        <v>0.198</v>
      </c>
      <c r="G784" s="22" t="n">
        <f aca="false">IFERROR(VLOOKUP(A784,NOMENCLATOR!$A:$E,5,0),"")</f>
        <v>0.198</v>
      </c>
      <c r="H784" s="22" t="n">
        <f aca="false">IF(OR(C784="",G784=""),"",C784*G784)</f>
        <v>0.198</v>
      </c>
    </row>
    <row r="785" customFormat="false" ht="15" hidden="false" customHeight="true" outlineLevel="0" collapsed="false">
      <c r="A785" s="23" t="str">
        <f aca="false">IF(A779="","",A779)</f>
        <v>9 COUNTRY WINGS new</v>
      </c>
      <c r="B785" s="24"/>
      <c r="C785" s="24"/>
      <c r="D785" s="24"/>
      <c r="E785" s="24"/>
      <c r="F785" s="25" t="n">
        <f aca="false">IF(A779="","",SUM(F781:F784))</f>
        <v>13.62147</v>
      </c>
      <c r="G785" s="24"/>
      <c r="H785" s="26" t="n">
        <f aca="false">IF(A779="","",SUM(H781:H784))</f>
        <v>13.62147</v>
      </c>
    </row>
    <row r="787" customFormat="false" ht="15" hidden="false" customHeight="true" outlineLevel="0" collapsed="false">
      <c r="A787" s="12" t="s">
        <v>402</v>
      </c>
      <c r="B787" s="13"/>
      <c r="C787" s="13"/>
      <c r="D787" s="13"/>
      <c r="E787" s="13"/>
      <c r="F787" s="14" t="s">
        <v>389</v>
      </c>
      <c r="G787" s="13"/>
      <c r="H787" s="15"/>
    </row>
    <row r="788" customFormat="false" ht="15" hidden="false" customHeight="true" outlineLevel="0" collapsed="false">
      <c r="A788" s="16" t="s">
        <v>316</v>
      </c>
      <c r="B788" s="16" t="s">
        <v>317</v>
      </c>
      <c r="C788" s="16" t="s">
        <v>318</v>
      </c>
      <c r="D788" s="16" t="s">
        <v>4</v>
      </c>
      <c r="E788" s="16" t="s">
        <v>319</v>
      </c>
      <c r="F788" s="16" t="s">
        <v>320</v>
      </c>
      <c r="G788" s="16" t="s">
        <v>321</v>
      </c>
      <c r="H788" s="16" t="s">
        <v>322</v>
      </c>
    </row>
    <row r="789" customFormat="false" ht="15" hidden="false" customHeight="true" outlineLevel="0" collapsed="false">
      <c r="A789" s="17" t="s">
        <v>54</v>
      </c>
      <c r="B789" s="18" t="str">
        <f aca="false">IFERROR(VLOOKUP(A789,NOMENCLATOR!$A:$E,2,0),"")</f>
        <v>Aripioare de pui nepicante</v>
      </c>
      <c r="C789" s="19" t="n">
        <v>9</v>
      </c>
      <c r="D789" s="20" t="str">
        <f aca="false">IFERROR(VLOOKUP(A789,NOMENCLATOR!$A:$E,3,0),"")</f>
        <v>EA</v>
      </c>
      <c r="E789" s="21" t="n">
        <f aca="false">IFERROR(VLOOKUP(A789,NOMENCLATOR!$A:$E,4,0),"")</f>
        <v>1.39123</v>
      </c>
      <c r="F789" s="21" t="n">
        <f aca="false">IF(OR(C789="",E789=""),"",C789*E789)</f>
        <v>12.52107</v>
      </c>
      <c r="G789" s="22" t="n">
        <f aca="false">IFERROR(VLOOKUP(A789,NOMENCLATOR!$A:$E,5,0),"")</f>
        <v>1.39123</v>
      </c>
      <c r="H789" s="22" t="n">
        <f aca="false">IF(OR(C789="",G789=""),"",C789*G789)</f>
        <v>12.52107</v>
      </c>
    </row>
    <row r="790" customFormat="false" ht="15" hidden="false" customHeight="true" outlineLevel="0" collapsed="false">
      <c r="A790" s="17" t="s">
        <v>300</v>
      </c>
      <c r="B790" s="18" t="str">
        <f aca="false">IFERROR(VLOOKUP(A790,NOMENCLATOR!$A:$E,2,0),"")</f>
        <v>Ulei de alune</v>
      </c>
      <c r="C790" s="19" t="n">
        <v>36</v>
      </c>
      <c r="D790" s="20" t="str">
        <f aca="false">IFERROR(VLOOKUP(A790,NOMENCLATOR!$A:$E,3,0),"")</f>
        <v>ML</v>
      </c>
      <c r="E790" s="21" t="n">
        <f aca="false">IFERROR(VLOOKUP(A790,NOMENCLATOR!$A:$E,4,0),"")</f>
        <v>0.0169</v>
      </c>
      <c r="F790" s="21" t="n">
        <f aca="false">IF(OR(C790="",E790=""),"",C790*E790)</f>
        <v>0.6084</v>
      </c>
      <c r="G790" s="22" t="n">
        <f aca="false">IFERROR(VLOOKUP(A790,NOMENCLATOR!$A:$E,5,0),"")</f>
        <v>0.0169</v>
      </c>
      <c r="H790" s="22" t="n">
        <f aca="false">IF(OR(C790="",G790=""),"",C790*G790)</f>
        <v>0.6084</v>
      </c>
    </row>
    <row r="791" customFormat="false" ht="15" hidden="false" customHeight="true" outlineLevel="0" collapsed="false">
      <c r="A791" s="17" t="s">
        <v>252</v>
      </c>
      <c r="B791" s="18" t="str">
        <f aca="false">IFERROR(VLOOKUP(A791,NOMENCLATOR!$A:$E,2,0),"")</f>
        <v>Punga Pui Nepicant</v>
      </c>
      <c r="C791" s="19" t="n">
        <v>1</v>
      </c>
      <c r="D791" s="20" t="str">
        <f aca="false">IFERROR(VLOOKUP(A791,NOMENCLATOR!$A:$E,3,0),"")</f>
        <v>EA</v>
      </c>
      <c r="E791" s="21" t="n">
        <f aca="false">IFERROR(VLOOKUP(A791,NOMENCLATOR!$A:$E,4,0),"")</f>
        <v>0.294</v>
      </c>
      <c r="F791" s="21" t="n">
        <f aca="false">IF(OR(C791="",E791=""),"",C791*E791)</f>
        <v>0.294</v>
      </c>
      <c r="G791" s="22" t="n">
        <f aca="false">IFERROR(VLOOKUP(A791,NOMENCLATOR!$A:$E,5,0),"")</f>
        <v>0.294</v>
      </c>
      <c r="H791" s="22" t="n">
        <f aca="false">IF(OR(C791="",G791=""),"",C791*G791)</f>
        <v>0.294</v>
      </c>
    </row>
    <row r="792" customFormat="false" ht="15" hidden="false" customHeight="true" outlineLevel="0" collapsed="false">
      <c r="A792" s="17" t="s">
        <v>278</v>
      </c>
      <c r="B792" s="18" t="str">
        <f aca="false">IFERROR(VLOOKUP(A792,NOMENCLATOR!$A:$E,2,0),"")</f>
        <v>Servetele umede</v>
      </c>
      <c r="C792" s="19" t="n">
        <v>1</v>
      </c>
      <c r="D792" s="20" t="str">
        <f aca="false">IFERROR(VLOOKUP(A792,NOMENCLATOR!$A:$E,3,0),"")</f>
        <v>EA</v>
      </c>
      <c r="E792" s="21" t="n">
        <f aca="false">IFERROR(VLOOKUP(A792,NOMENCLATOR!$A:$E,4,0),"")</f>
        <v>0.198</v>
      </c>
      <c r="F792" s="21" t="n">
        <f aca="false">IF(OR(C792="",E792=""),"",C792*E792)</f>
        <v>0.198</v>
      </c>
      <c r="G792" s="22" t="n">
        <f aca="false">IFERROR(VLOOKUP(A792,NOMENCLATOR!$A:$E,5,0),"")</f>
        <v>0.198</v>
      </c>
      <c r="H792" s="22" t="n">
        <f aca="false">IF(OR(C792="",G792=""),"",C792*G792)</f>
        <v>0.198</v>
      </c>
    </row>
    <row r="793" customFormat="false" ht="15" hidden="false" customHeight="true" outlineLevel="0" collapsed="false">
      <c r="A793" s="23" t="str">
        <f aca="false">IF(A787="","",A787)</f>
        <v>9 COUNTRY WINGS new D</v>
      </c>
      <c r="B793" s="24"/>
      <c r="C793" s="24"/>
      <c r="D793" s="24"/>
      <c r="E793" s="24"/>
      <c r="F793" s="25" t="n">
        <f aca="false">IF(A787="","",SUM(F789:F792))</f>
        <v>13.62147</v>
      </c>
      <c r="G793" s="24"/>
      <c r="H793" s="26" t="n">
        <f aca="false">IF(A787="","",SUM(H789:H792))</f>
        <v>13.62147</v>
      </c>
    </row>
    <row r="795" customFormat="false" ht="15" hidden="false" customHeight="true" outlineLevel="0" collapsed="false">
      <c r="A795" s="12" t="s">
        <v>403</v>
      </c>
      <c r="B795" s="13"/>
      <c r="C795" s="13"/>
      <c r="D795" s="13"/>
      <c r="E795" s="13"/>
      <c r="F795" s="14" t="s">
        <v>389</v>
      </c>
      <c r="G795" s="13"/>
      <c r="H795" s="15"/>
    </row>
    <row r="796" customFormat="false" ht="15" hidden="false" customHeight="true" outlineLevel="0" collapsed="false">
      <c r="A796" s="16" t="s">
        <v>316</v>
      </c>
      <c r="B796" s="16" t="s">
        <v>317</v>
      </c>
      <c r="C796" s="16" t="s">
        <v>318</v>
      </c>
      <c r="D796" s="16" t="s">
        <v>4</v>
      </c>
      <c r="E796" s="16" t="s">
        <v>319</v>
      </c>
      <c r="F796" s="16" t="s">
        <v>320</v>
      </c>
      <c r="G796" s="16" t="s">
        <v>321</v>
      </c>
      <c r="H796" s="16" t="s">
        <v>322</v>
      </c>
    </row>
    <row r="797" customFormat="false" ht="15" hidden="false" customHeight="true" outlineLevel="0" collapsed="false">
      <c r="A797" s="17" t="s">
        <v>10</v>
      </c>
      <c r="B797" s="18" t="str">
        <f aca="false">IFERROR(VLOOKUP(A797,NOMENCLATOR!$A:$E,2,0),"")</f>
        <v>1.000 EA Aripioare de pui picante</v>
      </c>
      <c r="C797" s="19" t="n">
        <v>3</v>
      </c>
      <c r="D797" s="20" t="str">
        <f aca="false">IFERROR(VLOOKUP(A797,NOMENCLATOR!$A:$E,3,0),"")</f>
        <v>EA</v>
      </c>
      <c r="E797" s="21" t="n">
        <f aca="false">IFERROR(VLOOKUP(A797,NOMENCLATOR!$A:$E,4,0),"")</f>
        <v>1.50443</v>
      </c>
      <c r="F797" s="21" t="n">
        <f aca="false">IF(OR(C797="",E797=""),"",C797*E797)</f>
        <v>4.51329</v>
      </c>
      <c r="G797" s="22" t="n">
        <f aca="false">IFERROR(VLOOKUP(A797,NOMENCLATOR!$A:$E,5,0),"")</f>
        <v>1.50443</v>
      </c>
      <c r="H797" s="22" t="n">
        <f aca="false">IF(OR(C797="",G797=""),"",C797*G797)</f>
        <v>4.51329</v>
      </c>
    </row>
    <row r="798" customFormat="false" ht="15" hidden="false" customHeight="true" outlineLevel="0" collapsed="false">
      <c r="A798" s="17" t="s">
        <v>300</v>
      </c>
      <c r="B798" s="18" t="str">
        <f aca="false">IFERROR(VLOOKUP(A798,NOMENCLATOR!$A:$E,2,0),"")</f>
        <v>Ulei de alune</v>
      </c>
      <c r="C798" s="19" t="n">
        <v>12</v>
      </c>
      <c r="D798" s="20" t="str">
        <f aca="false">IFERROR(VLOOKUP(A798,NOMENCLATOR!$A:$E,3,0),"")</f>
        <v>ML</v>
      </c>
      <c r="E798" s="21" t="n">
        <f aca="false">IFERROR(VLOOKUP(A798,NOMENCLATOR!$A:$E,4,0),"")</f>
        <v>0.0169</v>
      </c>
      <c r="F798" s="21" t="n">
        <f aca="false">IF(OR(C798="",E798=""),"",C798*E798)</f>
        <v>0.2028</v>
      </c>
      <c r="G798" s="22" t="n">
        <f aca="false">IFERROR(VLOOKUP(A798,NOMENCLATOR!$A:$E,5,0),"")</f>
        <v>0.0169</v>
      </c>
      <c r="H798" s="22" t="n">
        <f aca="false">IF(OR(C798="",G798=""),"",C798*G798)</f>
        <v>0.2028</v>
      </c>
    </row>
    <row r="799" customFormat="false" ht="15" hidden="false" customHeight="true" outlineLevel="0" collapsed="false">
      <c r="A799" s="17" t="s">
        <v>254</v>
      </c>
      <c r="B799" s="18" t="str">
        <f aca="false">IFERROR(VLOOKUP(A799,NOMENCLATOR!$A:$E,2,0),"")</f>
        <v>Punga Pui Picant</v>
      </c>
      <c r="C799" s="19" t="n">
        <v>1</v>
      </c>
      <c r="D799" s="20" t="str">
        <f aca="false">IFERROR(VLOOKUP(A799,NOMENCLATOR!$A:$E,3,0),"")</f>
        <v>EA</v>
      </c>
      <c r="E799" s="21" t="n">
        <f aca="false">IFERROR(VLOOKUP(A799,NOMENCLATOR!$A:$E,4,0),"")</f>
        <v>0.34</v>
      </c>
      <c r="F799" s="21" t="n">
        <f aca="false">IF(OR(C799="",E799=""),"",C799*E799)</f>
        <v>0.34</v>
      </c>
      <c r="G799" s="22" t="n">
        <f aca="false">IFERROR(VLOOKUP(A799,NOMENCLATOR!$A:$E,5,0),"")</f>
        <v>0.34</v>
      </c>
      <c r="H799" s="22" t="n">
        <f aca="false">IF(OR(C799="",G799=""),"",C799*G799)</f>
        <v>0.34</v>
      </c>
    </row>
    <row r="800" customFormat="false" ht="15" hidden="false" customHeight="true" outlineLevel="0" collapsed="false">
      <c r="A800" s="17" t="s">
        <v>278</v>
      </c>
      <c r="B800" s="18" t="str">
        <f aca="false">IFERROR(VLOOKUP(A800,NOMENCLATOR!$A:$E,2,0),"")</f>
        <v>Servetele umede</v>
      </c>
      <c r="C800" s="19" t="n">
        <v>1</v>
      </c>
      <c r="D800" s="20" t="str">
        <f aca="false">IFERROR(VLOOKUP(A800,NOMENCLATOR!$A:$E,3,0),"")</f>
        <v>EA</v>
      </c>
      <c r="E800" s="21" t="n">
        <f aca="false">IFERROR(VLOOKUP(A800,NOMENCLATOR!$A:$E,4,0),"")</f>
        <v>0.198</v>
      </c>
      <c r="F800" s="21" t="n">
        <f aca="false">IF(OR(C800="",E800=""),"",C800*E800)</f>
        <v>0.198</v>
      </c>
      <c r="G800" s="22" t="n">
        <f aca="false">IFERROR(VLOOKUP(A800,NOMENCLATOR!$A:$E,5,0),"")</f>
        <v>0.198</v>
      </c>
      <c r="H800" s="22" t="n">
        <f aca="false">IF(OR(C800="",G800=""),"",C800*G800)</f>
        <v>0.198</v>
      </c>
    </row>
    <row r="801" customFormat="false" ht="15" hidden="false" customHeight="true" outlineLevel="0" collapsed="false">
      <c r="A801" s="23" t="str">
        <f aca="false">IF(A795="","",A795)</f>
        <v>3 HOT COUNTRY WINGS new</v>
      </c>
      <c r="B801" s="24"/>
      <c r="C801" s="24"/>
      <c r="D801" s="24"/>
      <c r="E801" s="24"/>
      <c r="F801" s="25" t="n">
        <f aca="false">IF(A795="","",SUM(F797:F800))</f>
        <v>5.25409</v>
      </c>
      <c r="G801" s="24"/>
      <c r="H801" s="26" t="n">
        <f aca="false">IF(A795="","",SUM(H797:H800))</f>
        <v>5.25409</v>
      </c>
    </row>
    <row r="803" customFormat="false" ht="15" hidden="false" customHeight="true" outlineLevel="0" collapsed="false">
      <c r="A803" s="12" t="s">
        <v>404</v>
      </c>
      <c r="B803" s="13"/>
      <c r="C803" s="13"/>
      <c r="D803" s="13"/>
      <c r="E803" s="13"/>
      <c r="F803" s="14" t="s">
        <v>389</v>
      </c>
      <c r="G803" s="13"/>
      <c r="H803" s="15"/>
    </row>
    <row r="804" customFormat="false" ht="15" hidden="false" customHeight="true" outlineLevel="0" collapsed="false">
      <c r="A804" s="16" t="s">
        <v>316</v>
      </c>
      <c r="B804" s="16" t="s">
        <v>317</v>
      </c>
      <c r="C804" s="16" t="s">
        <v>318</v>
      </c>
      <c r="D804" s="16" t="s">
        <v>4</v>
      </c>
      <c r="E804" s="16" t="s">
        <v>319</v>
      </c>
      <c r="F804" s="16" t="s">
        <v>320</v>
      </c>
      <c r="G804" s="16" t="s">
        <v>321</v>
      </c>
      <c r="H804" s="16" t="s">
        <v>322</v>
      </c>
    </row>
    <row r="805" customFormat="false" ht="15" hidden="false" customHeight="true" outlineLevel="0" collapsed="false">
      <c r="A805" s="17" t="s">
        <v>10</v>
      </c>
      <c r="B805" s="18" t="str">
        <f aca="false">IFERROR(VLOOKUP(A805,NOMENCLATOR!$A:$E,2,0),"")</f>
        <v>1.000 EA Aripioare de pui picante</v>
      </c>
      <c r="C805" s="19" t="n">
        <v>3</v>
      </c>
      <c r="D805" s="20" t="str">
        <f aca="false">IFERROR(VLOOKUP(A805,NOMENCLATOR!$A:$E,3,0),"")</f>
        <v>EA</v>
      </c>
      <c r="E805" s="21" t="n">
        <f aca="false">IFERROR(VLOOKUP(A805,NOMENCLATOR!$A:$E,4,0),"")</f>
        <v>1.50443</v>
      </c>
      <c r="F805" s="21" t="n">
        <f aca="false">IF(OR(C805="",E805=""),"",C805*E805)</f>
        <v>4.51329</v>
      </c>
      <c r="G805" s="22" t="n">
        <f aca="false">IFERROR(VLOOKUP(A805,NOMENCLATOR!$A:$E,5,0),"")</f>
        <v>1.50443</v>
      </c>
      <c r="H805" s="22" t="n">
        <f aca="false">IF(OR(C805="",G805=""),"",C805*G805)</f>
        <v>4.51329</v>
      </c>
    </row>
    <row r="806" customFormat="false" ht="15" hidden="false" customHeight="true" outlineLevel="0" collapsed="false">
      <c r="A806" s="17" t="s">
        <v>300</v>
      </c>
      <c r="B806" s="18" t="str">
        <f aca="false">IFERROR(VLOOKUP(A806,NOMENCLATOR!$A:$E,2,0),"")</f>
        <v>Ulei de alune</v>
      </c>
      <c r="C806" s="19" t="n">
        <v>12</v>
      </c>
      <c r="D806" s="20" t="str">
        <f aca="false">IFERROR(VLOOKUP(A806,NOMENCLATOR!$A:$E,3,0),"")</f>
        <v>ML</v>
      </c>
      <c r="E806" s="21" t="n">
        <f aca="false">IFERROR(VLOOKUP(A806,NOMENCLATOR!$A:$E,4,0),"")</f>
        <v>0.0169</v>
      </c>
      <c r="F806" s="21" t="n">
        <f aca="false">IF(OR(C806="",E806=""),"",C806*E806)</f>
        <v>0.2028</v>
      </c>
      <c r="G806" s="22" t="n">
        <f aca="false">IFERROR(VLOOKUP(A806,NOMENCLATOR!$A:$E,5,0),"")</f>
        <v>0.0169</v>
      </c>
      <c r="H806" s="22" t="n">
        <f aca="false">IF(OR(C806="",G806=""),"",C806*G806)</f>
        <v>0.2028</v>
      </c>
    </row>
    <row r="807" customFormat="false" ht="15" hidden="false" customHeight="true" outlineLevel="0" collapsed="false">
      <c r="A807" s="17" t="s">
        <v>254</v>
      </c>
      <c r="B807" s="18" t="str">
        <f aca="false">IFERROR(VLOOKUP(A807,NOMENCLATOR!$A:$E,2,0),"")</f>
        <v>Punga Pui Picant</v>
      </c>
      <c r="C807" s="19" t="n">
        <v>1</v>
      </c>
      <c r="D807" s="20" t="str">
        <f aca="false">IFERROR(VLOOKUP(A807,NOMENCLATOR!$A:$E,3,0),"")</f>
        <v>EA</v>
      </c>
      <c r="E807" s="21" t="n">
        <f aca="false">IFERROR(VLOOKUP(A807,NOMENCLATOR!$A:$E,4,0),"")</f>
        <v>0.34</v>
      </c>
      <c r="F807" s="21" t="n">
        <f aca="false">IF(OR(C807="",E807=""),"",C807*E807)</f>
        <v>0.34</v>
      </c>
      <c r="G807" s="22" t="n">
        <f aca="false">IFERROR(VLOOKUP(A807,NOMENCLATOR!$A:$E,5,0),"")</f>
        <v>0.34</v>
      </c>
      <c r="H807" s="22" t="n">
        <f aca="false">IF(OR(C807="",G807=""),"",C807*G807)</f>
        <v>0.34</v>
      </c>
    </row>
    <row r="808" customFormat="false" ht="15" hidden="false" customHeight="true" outlineLevel="0" collapsed="false">
      <c r="A808" s="17" t="s">
        <v>278</v>
      </c>
      <c r="B808" s="18" t="str">
        <f aca="false">IFERROR(VLOOKUP(A808,NOMENCLATOR!$A:$E,2,0),"")</f>
        <v>Servetele umede</v>
      </c>
      <c r="C808" s="19" t="n">
        <v>1</v>
      </c>
      <c r="D808" s="20" t="str">
        <f aca="false">IFERROR(VLOOKUP(A808,NOMENCLATOR!$A:$E,3,0),"")</f>
        <v>EA</v>
      </c>
      <c r="E808" s="21" t="n">
        <f aca="false">IFERROR(VLOOKUP(A808,NOMENCLATOR!$A:$E,4,0),"")</f>
        <v>0.198</v>
      </c>
      <c r="F808" s="21" t="n">
        <f aca="false">IF(OR(C808="",E808=""),"",C808*E808)</f>
        <v>0.198</v>
      </c>
      <c r="G808" s="22" t="n">
        <f aca="false">IFERROR(VLOOKUP(A808,NOMENCLATOR!$A:$E,5,0),"")</f>
        <v>0.198</v>
      </c>
      <c r="H808" s="22" t="n">
        <f aca="false">IF(OR(C808="",G808=""),"",C808*G808)</f>
        <v>0.198</v>
      </c>
    </row>
    <row r="809" customFormat="false" ht="15" hidden="false" customHeight="true" outlineLevel="0" collapsed="false">
      <c r="A809" s="23" t="str">
        <f aca="false">IF(A803="","",A803)</f>
        <v>3 HOT COUNTRY WINGS new D</v>
      </c>
      <c r="B809" s="24"/>
      <c r="C809" s="24"/>
      <c r="D809" s="24"/>
      <c r="E809" s="24"/>
      <c r="F809" s="25" t="n">
        <f aca="false">IF(A803="","",SUM(F805:F808))</f>
        <v>5.25409</v>
      </c>
      <c r="G809" s="24"/>
      <c r="H809" s="26" t="n">
        <f aca="false">IF(A803="","",SUM(H805:H808))</f>
        <v>5.25409</v>
      </c>
    </row>
    <row r="811" customFormat="false" ht="15" hidden="false" customHeight="true" outlineLevel="0" collapsed="false">
      <c r="A811" s="12" t="s">
        <v>405</v>
      </c>
      <c r="B811" s="13"/>
      <c r="C811" s="13"/>
      <c r="D811" s="13"/>
      <c r="E811" s="13"/>
      <c r="F811" s="14" t="s">
        <v>389</v>
      </c>
      <c r="G811" s="13"/>
      <c r="H811" s="15"/>
    </row>
    <row r="812" customFormat="false" ht="15" hidden="false" customHeight="true" outlineLevel="0" collapsed="false">
      <c r="A812" s="16" t="s">
        <v>316</v>
      </c>
      <c r="B812" s="16" t="s">
        <v>317</v>
      </c>
      <c r="C812" s="16" t="s">
        <v>318</v>
      </c>
      <c r="D812" s="16" t="s">
        <v>4</v>
      </c>
      <c r="E812" s="16" t="s">
        <v>319</v>
      </c>
      <c r="F812" s="16" t="s">
        <v>320</v>
      </c>
      <c r="G812" s="16" t="s">
        <v>321</v>
      </c>
      <c r="H812" s="16" t="s">
        <v>322</v>
      </c>
    </row>
    <row r="813" customFormat="false" ht="15" hidden="false" customHeight="true" outlineLevel="0" collapsed="false">
      <c r="A813" s="17" t="s">
        <v>10</v>
      </c>
      <c r="B813" s="18" t="str">
        <f aca="false">IFERROR(VLOOKUP(A813,NOMENCLATOR!$A:$E,2,0),"")</f>
        <v>1.000 EA Aripioare de pui picante</v>
      </c>
      <c r="C813" s="19" t="n">
        <v>5</v>
      </c>
      <c r="D813" s="20" t="str">
        <f aca="false">IFERROR(VLOOKUP(A813,NOMENCLATOR!$A:$E,3,0),"")</f>
        <v>EA</v>
      </c>
      <c r="E813" s="21" t="n">
        <f aca="false">IFERROR(VLOOKUP(A813,NOMENCLATOR!$A:$E,4,0),"")</f>
        <v>1.50443</v>
      </c>
      <c r="F813" s="21" t="n">
        <f aca="false">IF(OR(C813="",E813=""),"",C813*E813)</f>
        <v>7.52215</v>
      </c>
      <c r="G813" s="22" t="n">
        <f aca="false">IFERROR(VLOOKUP(A813,NOMENCLATOR!$A:$E,5,0),"")</f>
        <v>1.50443</v>
      </c>
      <c r="H813" s="22" t="n">
        <f aca="false">IF(OR(C813="",G813=""),"",C813*G813)</f>
        <v>7.52215</v>
      </c>
    </row>
    <row r="814" customFormat="false" ht="15" hidden="false" customHeight="true" outlineLevel="0" collapsed="false">
      <c r="A814" s="17" t="s">
        <v>300</v>
      </c>
      <c r="B814" s="18" t="str">
        <f aca="false">IFERROR(VLOOKUP(A814,NOMENCLATOR!$A:$E,2,0),"")</f>
        <v>Ulei de alune</v>
      </c>
      <c r="C814" s="19" t="n">
        <v>20</v>
      </c>
      <c r="D814" s="20" t="str">
        <f aca="false">IFERROR(VLOOKUP(A814,NOMENCLATOR!$A:$E,3,0),"")</f>
        <v>ML</v>
      </c>
      <c r="E814" s="21" t="n">
        <f aca="false">IFERROR(VLOOKUP(A814,NOMENCLATOR!$A:$E,4,0),"")</f>
        <v>0.0169</v>
      </c>
      <c r="F814" s="21" t="n">
        <f aca="false">IF(OR(C814="",E814=""),"",C814*E814)</f>
        <v>0.338</v>
      </c>
      <c r="G814" s="22" t="n">
        <f aca="false">IFERROR(VLOOKUP(A814,NOMENCLATOR!$A:$E,5,0),"")</f>
        <v>0.0169</v>
      </c>
      <c r="H814" s="22" t="n">
        <f aca="false">IF(OR(C814="",G814=""),"",C814*G814)</f>
        <v>0.338</v>
      </c>
    </row>
    <row r="815" customFormat="false" ht="15" hidden="false" customHeight="true" outlineLevel="0" collapsed="false">
      <c r="A815" s="17" t="s">
        <v>254</v>
      </c>
      <c r="B815" s="18" t="str">
        <f aca="false">IFERROR(VLOOKUP(A815,NOMENCLATOR!$A:$E,2,0),"")</f>
        <v>Punga Pui Picant</v>
      </c>
      <c r="C815" s="19" t="n">
        <v>1</v>
      </c>
      <c r="D815" s="20" t="str">
        <f aca="false">IFERROR(VLOOKUP(A815,NOMENCLATOR!$A:$E,3,0),"")</f>
        <v>EA</v>
      </c>
      <c r="E815" s="21" t="n">
        <f aca="false">IFERROR(VLOOKUP(A815,NOMENCLATOR!$A:$E,4,0),"")</f>
        <v>0.34</v>
      </c>
      <c r="F815" s="21" t="n">
        <f aca="false">IF(OR(C815="",E815=""),"",C815*E815)</f>
        <v>0.34</v>
      </c>
      <c r="G815" s="22" t="n">
        <f aca="false">IFERROR(VLOOKUP(A815,NOMENCLATOR!$A:$E,5,0),"")</f>
        <v>0.34</v>
      </c>
      <c r="H815" s="22" t="n">
        <f aca="false">IF(OR(C815="",G815=""),"",C815*G815)</f>
        <v>0.34</v>
      </c>
    </row>
    <row r="816" customFormat="false" ht="15" hidden="false" customHeight="true" outlineLevel="0" collapsed="false">
      <c r="A816" s="17" t="s">
        <v>278</v>
      </c>
      <c r="B816" s="18" t="str">
        <f aca="false">IFERROR(VLOOKUP(A816,NOMENCLATOR!$A:$E,2,0),"")</f>
        <v>Servetele umede</v>
      </c>
      <c r="C816" s="19" t="n">
        <v>1</v>
      </c>
      <c r="D816" s="20" t="str">
        <f aca="false">IFERROR(VLOOKUP(A816,NOMENCLATOR!$A:$E,3,0),"")</f>
        <v>EA</v>
      </c>
      <c r="E816" s="21" t="n">
        <f aca="false">IFERROR(VLOOKUP(A816,NOMENCLATOR!$A:$E,4,0),"")</f>
        <v>0.198</v>
      </c>
      <c r="F816" s="21" t="n">
        <f aca="false">IF(OR(C816="",E816=""),"",C816*E816)</f>
        <v>0.198</v>
      </c>
      <c r="G816" s="22" t="n">
        <f aca="false">IFERROR(VLOOKUP(A816,NOMENCLATOR!$A:$E,5,0),"")</f>
        <v>0.198</v>
      </c>
      <c r="H816" s="22" t="n">
        <f aca="false">IF(OR(C816="",G816=""),"",C816*G816)</f>
        <v>0.198</v>
      </c>
    </row>
    <row r="817" customFormat="false" ht="15" hidden="false" customHeight="true" outlineLevel="0" collapsed="false">
      <c r="A817" s="23" t="str">
        <f aca="false">IF(A811="","",A811)</f>
        <v>5 HOT COUNTRY WINGS new</v>
      </c>
      <c r="B817" s="24"/>
      <c r="C817" s="24"/>
      <c r="D817" s="24"/>
      <c r="E817" s="24"/>
      <c r="F817" s="25" t="n">
        <f aca="false">IF(A811="","",SUM(F813:F816))</f>
        <v>8.39815</v>
      </c>
      <c r="G817" s="24"/>
      <c r="H817" s="26" t="n">
        <f aca="false">IF(A811="","",SUM(H813:H816))</f>
        <v>8.39815</v>
      </c>
    </row>
    <row r="819" customFormat="false" ht="15" hidden="false" customHeight="true" outlineLevel="0" collapsed="false">
      <c r="A819" s="12" t="s">
        <v>406</v>
      </c>
      <c r="B819" s="13"/>
      <c r="C819" s="13"/>
      <c r="D819" s="13"/>
      <c r="E819" s="13"/>
      <c r="F819" s="14" t="s">
        <v>389</v>
      </c>
      <c r="G819" s="13"/>
      <c r="H819" s="15"/>
    </row>
    <row r="820" customFormat="false" ht="15" hidden="false" customHeight="true" outlineLevel="0" collapsed="false">
      <c r="A820" s="16" t="s">
        <v>316</v>
      </c>
      <c r="B820" s="16" t="s">
        <v>317</v>
      </c>
      <c r="C820" s="16" t="s">
        <v>318</v>
      </c>
      <c r="D820" s="16" t="s">
        <v>4</v>
      </c>
      <c r="E820" s="16" t="s">
        <v>319</v>
      </c>
      <c r="F820" s="16" t="s">
        <v>320</v>
      </c>
      <c r="G820" s="16" t="s">
        <v>321</v>
      </c>
      <c r="H820" s="16" t="s">
        <v>322</v>
      </c>
    </row>
    <row r="821" customFormat="false" ht="15" hidden="false" customHeight="true" outlineLevel="0" collapsed="false">
      <c r="A821" s="17" t="s">
        <v>10</v>
      </c>
      <c r="B821" s="18" t="str">
        <f aca="false">IFERROR(VLOOKUP(A821,NOMENCLATOR!$A:$E,2,0),"")</f>
        <v>1.000 EA Aripioare de pui picante</v>
      </c>
      <c r="C821" s="19" t="n">
        <v>5</v>
      </c>
      <c r="D821" s="20" t="str">
        <f aca="false">IFERROR(VLOOKUP(A821,NOMENCLATOR!$A:$E,3,0),"")</f>
        <v>EA</v>
      </c>
      <c r="E821" s="21" t="n">
        <f aca="false">IFERROR(VLOOKUP(A821,NOMENCLATOR!$A:$E,4,0),"")</f>
        <v>1.50443</v>
      </c>
      <c r="F821" s="21" t="n">
        <f aca="false">IF(OR(C821="",E821=""),"",C821*E821)</f>
        <v>7.52215</v>
      </c>
      <c r="G821" s="22" t="n">
        <f aca="false">IFERROR(VLOOKUP(A821,NOMENCLATOR!$A:$E,5,0),"")</f>
        <v>1.50443</v>
      </c>
      <c r="H821" s="22" t="n">
        <f aca="false">IF(OR(C821="",G821=""),"",C821*G821)</f>
        <v>7.52215</v>
      </c>
    </row>
    <row r="822" customFormat="false" ht="15" hidden="false" customHeight="true" outlineLevel="0" collapsed="false">
      <c r="A822" s="17" t="s">
        <v>300</v>
      </c>
      <c r="B822" s="18" t="str">
        <f aca="false">IFERROR(VLOOKUP(A822,NOMENCLATOR!$A:$E,2,0),"")</f>
        <v>Ulei de alune</v>
      </c>
      <c r="C822" s="19" t="n">
        <v>20</v>
      </c>
      <c r="D822" s="20" t="str">
        <f aca="false">IFERROR(VLOOKUP(A822,NOMENCLATOR!$A:$E,3,0),"")</f>
        <v>ML</v>
      </c>
      <c r="E822" s="21" t="n">
        <f aca="false">IFERROR(VLOOKUP(A822,NOMENCLATOR!$A:$E,4,0),"")</f>
        <v>0.0169</v>
      </c>
      <c r="F822" s="21" t="n">
        <f aca="false">IF(OR(C822="",E822=""),"",C822*E822)</f>
        <v>0.338</v>
      </c>
      <c r="G822" s="22" t="n">
        <f aca="false">IFERROR(VLOOKUP(A822,NOMENCLATOR!$A:$E,5,0),"")</f>
        <v>0.0169</v>
      </c>
      <c r="H822" s="22" t="n">
        <f aca="false">IF(OR(C822="",G822=""),"",C822*G822)</f>
        <v>0.338</v>
      </c>
    </row>
    <row r="823" customFormat="false" ht="15" hidden="false" customHeight="true" outlineLevel="0" collapsed="false">
      <c r="A823" s="17" t="s">
        <v>254</v>
      </c>
      <c r="B823" s="18" t="str">
        <f aca="false">IFERROR(VLOOKUP(A823,NOMENCLATOR!$A:$E,2,0),"")</f>
        <v>Punga Pui Picant</v>
      </c>
      <c r="C823" s="19" t="n">
        <v>1</v>
      </c>
      <c r="D823" s="20" t="str">
        <f aca="false">IFERROR(VLOOKUP(A823,NOMENCLATOR!$A:$E,3,0),"")</f>
        <v>EA</v>
      </c>
      <c r="E823" s="21" t="n">
        <f aca="false">IFERROR(VLOOKUP(A823,NOMENCLATOR!$A:$E,4,0),"")</f>
        <v>0.34</v>
      </c>
      <c r="F823" s="21" t="n">
        <f aca="false">IF(OR(C823="",E823=""),"",C823*E823)</f>
        <v>0.34</v>
      </c>
      <c r="G823" s="22" t="n">
        <f aca="false">IFERROR(VLOOKUP(A823,NOMENCLATOR!$A:$E,5,0),"")</f>
        <v>0.34</v>
      </c>
      <c r="H823" s="22" t="n">
        <f aca="false">IF(OR(C823="",G823=""),"",C823*G823)</f>
        <v>0.34</v>
      </c>
    </row>
    <row r="824" customFormat="false" ht="15" hidden="false" customHeight="true" outlineLevel="0" collapsed="false">
      <c r="A824" s="17" t="s">
        <v>278</v>
      </c>
      <c r="B824" s="18" t="str">
        <f aca="false">IFERROR(VLOOKUP(A824,NOMENCLATOR!$A:$E,2,0),"")</f>
        <v>Servetele umede</v>
      </c>
      <c r="C824" s="19" t="n">
        <v>1</v>
      </c>
      <c r="D824" s="20" t="str">
        <f aca="false">IFERROR(VLOOKUP(A824,NOMENCLATOR!$A:$E,3,0),"")</f>
        <v>EA</v>
      </c>
      <c r="E824" s="21" t="n">
        <f aca="false">IFERROR(VLOOKUP(A824,NOMENCLATOR!$A:$E,4,0),"")</f>
        <v>0.198</v>
      </c>
      <c r="F824" s="21" t="n">
        <f aca="false">IF(OR(C824="",E824=""),"",C824*E824)</f>
        <v>0.198</v>
      </c>
      <c r="G824" s="22" t="n">
        <f aca="false">IFERROR(VLOOKUP(A824,NOMENCLATOR!$A:$E,5,0),"")</f>
        <v>0.198</v>
      </c>
      <c r="H824" s="22" t="n">
        <f aca="false">IF(OR(C824="",G824=""),"",C824*G824)</f>
        <v>0.198</v>
      </c>
    </row>
    <row r="825" customFormat="false" ht="15" hidden="false" customHeight="true" outlineLevel="0" collapsed="false">
      <c r="A825" s="23" t="str">
        <f aca="false">IF(A819="","",A819)</f>
        <v>5 HOT COUNTRY WINGS new D</v>
      </c>
      <c r="B825" s="24"/>
      <c r="C825" s="24"/>
      <c r="D825" s="24"/>
      <c r="E825" s="24"/>
      <c r="F825" s="25" t="n">
        <f aca="false">IF(A819="","",SUM(F821:F824))</f>
        <v>8.39815</v>
      </c>
      <c r="G825" s="24"/>
      <c r="H825" s="26" t="n">
        <f aca="false">IF(A819="","",SUM(H821:H824))</f>
        <v>8.39815</v>
      </c>
    </row>
    <row r="827" customFormat="false" ht="15" hidden="false" customHeight="true" outlineLevel="0" collapsed="false">
      <c r="A827" s="12" t="s">
        <v>407</v>
      </c>
      <c r="B827" s="13"/>
      <c r="C827" s="13"/>
      <c r="D827" s="13"/>
      <c r="E827" s="13"/>
      <c r="F827" s="14" t="s">
        <v>389</v>
      </c>
      <c r="G827" s="13"/>
      <c r="H827" s="15"/>
    </row>
    <row r="828" customFormat="false" ht="15" hidden="false" customHeight="true" outlineLevel="0" collapsed="false">
      <c r="A828" s="16" t="s">
        <v>316</v>
      </c>
      <c r="B828" s="16" t="s">
        <v>317</v>
      </c>
      <c r="C828" s="16" t="s">
        <v>318</v>
      </c>
      <c r="D828" s="16" t="s">
        <v>4</v>
      </c>
      <c r="E828" s="16" t="s">
        <v>319</v>
      </c>
      <c r="F828" s="16" t="s">
        <v>320</v>
      </c>
      <c r="G828" s="16" t="s">
        <v>321</v>
      </c>
      <c r="H828" s="16" t="s">
        <v>322</v>
      </c>
    </row>
    <row r="829" customFormat="false" ht="15" hidden="false" customHeight="true" outlineLevel="0" collapsed="false">
      <c r="A829" s="17" t="s">
        <v>10</v>
      </c>
      <c r="B829" s="18" t="str">
        <f aca="false">IFERROR(VLOOKUP(A829,NOMENCLATOR!$A:$E,2,0),"")</f>
        <v>1.000 EA Aripioare de pui picante</v>
      </c>
      <c r="C829" s="19" t="n">
        <v>7</v>
      </c>
      <c r="D829" s="20" t="str">
        <f aca="false">IFERROR(VLOOKUP(A829,NOMENCLATOR!$A:$E,3,0),"")</f>
        <v>EA</v>
      </c>
      <c r="E829" s="21" t="n">
        <f aca="false">IFERROR(VLOOKUP(A829,NOMENCLATOR!$A:$E,4,0),"")</f>
        <v>1.50443</v>
      </c>
      <c r="F829" s="21" t="n">
        <f aca="false">IF(OR(C829="",E829=""),"",C829*E829)</f>
        <v>10.53101</v>
      </c>
      <c r="G829" s="22" t="n">
        <f aca="false">IFERROR(VLOOKUP(A829,NOMENCLATOR!$A:$E,5,0),"")</f>
        <v>1.50443</v>
      </c>
      <c r="H829" s="22" t="n">
        <f aca="false">IF(OR(C829="",G829=""),"",C829*G829)</f>
        <v>10.53101</v>
      </c>
    </row>
    <row r="830" customFormat="false" ht="15" hidden="false" customHeight="true" outlineLevel="0" collapsed="false">
      <c r="A830" s="17" t="s">
        <v>300</v>
      </c>
      <c r="B830" s="18" t="str">
        <f aca="false">IFERROR(VLOOKUP(A830,NOMENCLATOR!$A:$E,2,0),"")</f>
        <v>Ulei de alune</v>
      </c>
      <c r="C830" s="19" t="n">
        <v>28</v>
      </c>
      <c r="D830" s="20" t="str">
        <f aca="false">IFERROR(VLOOKUP(A830,NOMENCLATOR!$A:$E,3,0),"")</f>
        <v>ML</v>
      </c>
      <c r="E830" s="21" t="n">
        <f aca="false">IFERROR(VLOOKUP(A830,NOMENCLATOR!$A:$E,4,0),"")</f>
        <v>0.0169</v>
      </c>
      <c r="F830" s="21" t="n">
        <f aca="false">IF(OR(C830="",E830=""),"",C830*E830)</f>
        <v>0.4732</v>
      </c>
      <c r="G830" s="22" t="n">
        <f aca="false">IFERROR(VLOOKUP(A830,NOMENCLATOR!$A:$E,5,0),"")</f>
        <v>0.0169</v>
      </c>
      <c r="H830" s="22" t="n">
        <f aca="false">IF(OR(C830="",G830=""),"",C830*G830)</f>
        <v>0.4732</v>
      </c>
    </row>
    <row r="831" customFormat="false" ht="15" hidden="false" customHeight="true" outlineLevel="0" collapsed="false">
      <c r="A831" s="17" t="s">
        <v>254</v>
      </c>
      <c r="B831" s="18" t="str">
        <f aca="false">IFERROR(VLOOKUP(A831,NOMENCLATOR!$A:$E,2,0),"")</f>
        <v>Punga Pui Picant</v>
      </c>
      <c r="C831" s="19" t="n">
        <v>1</v>
      </c>
      <c r="D831" s="20" t="str">
        <f aca="false">IFERROR(VLOOKUP(A831,NOMENCLATOR!$A:$E,3,0),"")</f>
        <v>EA</v>
      </c>
      <c r="E831" s="21" t="n">
        <f aca="false">IFERROR(VLOOKUP(A831,NOMENCLATOR!$A:$E,4,0),"")</f>
        <v>0.34</v>
      </c>
      <c r="F831" s="21" t="n">
        <f aca="false">IF(OR(C831="",E831=""),"",C831*E831)</f>
        <v>0.34</v>
      </c>
      <c r="G831" s="22" t="n">
        <f aca="false">IFERROR(VLOOKUP(A831,NOMENCLATOR!$A:$E,5,0),"")</f>
        <v>0.34</v>
      </c>
      <c r="H831" s="22" t="n">
        <f aca="false">IF(OR(C831="",G831=""),"",C831*G831)</f>
        <v>0.34</v>
      </c>
    </row>
    <row r="832" customFormat="false" ht="15" hidden="false" customHeight="true" outlineLevel="0" collapsed="false">
      <c r="A832" s="17" t="s">
        <v>278</v>
      </c>
      <c r="B832" s="18" t="str">
        <f aca="false">IFERROR(VLOOKUP(A832,NOMENCLATOR!$A:$E,2,0),"")</f>
        <v>Servetele umede</v>
      </c>
      <c r="C832" s="19" t="n">
        <v>1</v>
      </c>
      <c r="D832" s="20" t="str">
        <f aca="false">IFERROR(VLOOKUP(A832,NOMENCLATOR!$A:$E,3,0),"")</f>
        <v>EA</v>
      </c>
      <c r="E832" s="21" t="n">
        <f aca="false">IFERROR(VLOOKUP(A832,NOMENCLATOR!$A:$E,4,0),"")</f>
        <v>0.198</v>
      </c>
      <c r="F832" s="21" t="n">
        <f aca="false">IF(OR(C832="",E832=""),"",C832*E832)</f>
        <v>0.198</v>
      </c>
      <c r="G832" s="22" t="n">
        <f aca="false">IFERROR(VLOOKUP(A832,NOMENCLATOR!$A:$E,5,0),"")</f>
        <v>0.198</v>
      </c>
      <c r="H832" s="22" t="n">
        <f aca="false">IF(OR(C832="",G832=""),"",C832*G832)</f>
        <v>0.198</v>
      </c>
    </row>
    <row r="833" customFormat="false" ht="15" hidden="false" customHeight="true" outlineLevel="0" collapsed="false">
      <c r="A833" s="23" t="str">
        <f aca="false">IF(A827="","",A827)</f>
        <v>7 HOT COUNTRY WINGS new</v>
      </c>
      <c r="B833" s="24"/>
      <c r="C833" s="24"/>
      <c r="D833" s="24"/>
      <c r="E833" s="24"/>
      <c r="F833" s="25" t="n">
        <f aca="false">IF(A827="","",SUM(F829:F832))</f>
        <v>11.54221</v>
      </c>
      <c r="G833" s="24"/>
      <c r="H833" s="26" t="n">
        <f aca="false">IF(A827="","",SUM(H829:H832))</f>
        <v>11.54221</v>
      </c>
    </row>
    <row r="835" customFormat="false" ht="15" hidden="false" customHeight="true" outlineLevel="0" collapsed="false">
      <c r="A835" s="12" t="s">
        <v>408</v>
      </c>
      <c r="B835" s="13"/>
      <c r="C835" s="13"/>
      <c r="D835" s="13"/>
      <c r="E835" s="13"/>
      <c r="F835" s="14" t="s">
        <v>389</v>
      </c>
      <c r="G835" s="13"/>
      <c r="H835" s="15"/>
    </row>
    <row r="836" customFormat="false" ht="15" hidden="false" customHeight="true" outlineLevel="0" collapsed="false">
      <c r="A836" s="16" t="s">
        <v>316</v>
      </c>
      <c r="B836" s="16" t="s">
        <v>317</v>
      </c>
      <c r="C836" s="16" t="s">
        <v>318</v>
      </c>
      <c r="D836" s="16" t="s">
        <v>4</v>
      </c>
      <c r="E836" s="16" t="s">
        <v>319</v>
      </c>
      <c r="F836" s="16" t="s">
        <v>320</v>
      </c>
      <c r="G836" s="16" t="s">
        <v>321</v>
      </c>
      <c r="H836" s="16" t="s">
        <v>322</v>
      </c>
    </row>
    <row r="837" customFormat="false" ht="15" hidden="false" customHeight="true" outlineLevel="0" collapsed="false">
      <c r="A837" s="17" t="s">
        <v>10</v>
      </c>
      <c r="B837" s="18" t="str">
        <f aca="false">IFERROR(VLOOKUP(A837,NOMENCLATOR!$A:$E,2,0),"")</f>
        <v>1.000 EA Aripioare de pui picante</v>
      </c>
      <c r="C837" s="19" t="n">
        <v>7</v>
      </c>
      <c r="D837" s="20" t="str">
        <f aca="false">IFERROR(VLOOKUP(A837,NOMENCLATOR!$A:$E,3,0),"")</f>
        <v>EA</v>
      </c>
      <c r="E837" s="21" t="n">
        <f aca="false">IFERROR(VLOOKUP(A837,NOMENCLATOR!$A:$E,4,0),"")</f>
        <v>1.50443</v>
      </c>
      <c r="F837" s="21" t="n">
        <f aca="false">IF(OR(C837="",E837=""),"",C837*E837)</f>
        <v>10.53101</v>
      </c>
      <c r="G837" s="22" t="n">
        <f aca="false">IFERROR(VLOOKUP(A837,NOMENCLATOR!$A:$E,5,0),"")</f>
        <v>1.50443</v>
      </c>
      <c r="H837" s="22" t="n">
        <f aca="false">IF(OR(C837="",G837=""),"",C837*G837)</f>
        <v>10.53101</v>
      </c>
    </row>
    <row r="838" customFormat="false" ht="15" hidden="false" customHeight="true" outlineLevel="0" collapsed="false">
      <c r="A838" s="17" t="s">
        <v>300</v>
      </c>
      <c r="B838" s="18" t="str">
        <f aca="false">IFERROR(VLOOKUP(A838,NOMENCLATOR!$A:$E,2,0),"")</f>
        <v>Ulei de alune</v>
      </c>
      <c r="C838" s="19" t="n">
        <v>28</v>
      </c>
      <c r="D838" s="20" t="str">
        <f aca="false">IFERROR(VLOOKUP(A838,NOMENCLATOR!$A:$E,3,0),"")</f>
        <v>ML</v>
      </c>
      <c r="E838" s="21" t="n">
        <f aca="false">IFERROR(VLOOKUP(A838,NOMENCLATOR!$A:$E,4,0),"")</f>
        <v>0.0169</v>
      </c>
      <c r="F838" s="21" t="n">
        <f aca="false">IF(OR(C838="",E838=""),"",C838*E838)</f>
        <v>0.4732</v>
      </c>
      <c r="G838" s="22" t="n">
        <f aca="false">IFERROR(VLOOKUP(A838,NOMENCLATOR!$A:$E,5,0),"")</f>
        <v>0.0169</v>
      </c>
      <c r="H838" s="22" t="n">
        <f aca="false">IF(OR(C838="",G838=""),"",C838*G838)</f>
        <v>0.4732</v>
      </c>
    </row>
    <row r="839" customFormat="false" ht="15" hidden="false" customHeight="true" outlineLevel="0" collapsed="false">
      <c r="A839" s="17" t="s">
        <v>254</v>
      </c>
      <c r="B839" s="18" t="str">
        <f aca="false">IFERROR(VLOOKUP(A839,NOMENCLATOR!$A:$E,2,0),"")</f>
        <v>Punga Pui Picant</v>
      </c>
      <c r="C839" s="19" t="n">
        <v>1</v>
      </c>
      <c r="D839" s="20" t="str">
        <f aca="false">IFERROR(VLOOKUP(A839,NOMENCLATOR!$A:$E,3,0),"")</f>
        <v>EA</v>
      </c>
      <c r="E839" s="21" t="n">
        <f aca="false">IFERROR(VLOOKUP(A839,NOMENCLATOR!$A:$E,4,0),"")</f>
        <v>0.34</v>
      </c>
      <c r="F839" s="21" t="n">
        <f aca="false">IF(OR(C839="",E839=""),"",C839*E839)</f>
        <v>0.34</v>
      </c>
      <c r="G839" s="22" t="n">
        <f aca="false">IFERROR(VLOOKUP(A839,NOMENCLATOR!$A:$E,5,0),"")</f>
        <v>0.34</v>
      </c>
      <c r="H839" s="22" t="n">
        <f aca="false">IF(OR(C839="",G839=""),"",C839*G839)</f>
        <v>0.34</v>
      </c>
    </row>
    <row r="840" customFormat="false" ht="15" hidden="false" customHeight="true" outlineLevel="0" collapsed="false">
      <c r="A840" s="17" t="s">
        <v>278</v>
      </c>
      <c r="B840" s="18" t="str">
        <f aca="false">IFERROR(VLOOKUP(A840,NOMENCLATOR!$A:$E,2,0),"")</f>
        <v>Servetele umede</v>
      </c>
      <c r="C840" s="19" t="n">
        <v>1</v>
      </c>
      <c r="D840" s="20" t="str">
        <f aca="false">IFERROR(VLOOKUP(A840,NOMENCLATOR!$A:$E,3,0),"")</f>
        <v>EA</v>
      </c>
      <c r="E840" s="21" t="n">
        <f aca="false">IFERROR(VLOOKUP(A840,NOMENCLATOR!$A:$E,4,0),"")</f>
        <v>0.198</v>
      </c>
      <c r="F840" s="21" t="n">
        <f aca="false">IF(OR(C840="",E840=""),"",C840*E840)</f>
        <v>0.198</v>
      </c>
      <c r="G840" s="22" t="n">
        <f aca="false">IFERROR(VLOOKUP(A840,NOMENCLATOR!$A:$E,5,0),"")</f>
        <v>0.198</v>
      </c>
      <c r="H840" s="22" t="n">
        <f aca="false">IF(OR(C840="",G840=""),"",C840*G840)</f>
        <v>0.198</v>
      </c>
    </row>
    <row r="841" customFormat="false" ht="15" hidden="false" customHeight="true" outlineLevel="0" collapsed="false">
      <c r="A841" s="23" t="str">
        <f aca="false">IF(A835="","",A835)</f>
        <v>7 HOT COUNTRY WINGS new D</v>
      </c>
      <c r="B841" s="24"/>
      <c r="C841" s="24"/>
      <c r="D841" s="24"/>
      <c r="E841" s="24"/>
      <c r="F841" s="25" t="n">
        <f aca="false">IF(A835="","",SUM(F837:F840))</f>
        <v>11.54221</v>
      </c>
      <c r="G841" s="24"/>
      <c r="H841" s="26" t="n">
        <f aca="false">IF(A835="","",SUM(H837:H840))</f>
        <v>11.54221</v>
      </c>
    </row>
    <row r="843" customFormat="false" ht="15" hidden="false" customHeight="true" outlineLevel="0" collapsed="false">
      <c r="A843" s="12" t="s">
        <v>409</v>
      </c>
      <c r="B843" s="13"/>
      <c r="C843" s="13"/>
      <c r="D843" s="13"/>
      <c r="E843" s="13"/>
      <c r="F843" s="14" t="s">
        <v>389</v>
      </c>
      <c r="G843" s="13"/>
      <c r="H843" s="15"/>
    </row>
    <row r="844" customFormat="false" ht="15" hidden="false" customHeight="true" outlineLevel="0" collapsed="false">
      <c r="A844" s="16" t="s">
        <v>316</v>
      </c>
      <c r="B844" s="16" t="s">
        <v>317</v>
      </c>
      <c r="C844" s="16" t="s">
        <v>318</v>
      </c>
      <c r="D844" s="16" t="s">
        <v>4</v>
      </c>
      <c r="E844" s="16" t="s">
        <v>319</v>
      </c>
      <c r="F844" s="16" t="s">
        <v>320</v>
      </c>
      <c r="G844" s="16" t="s">
        <v>321</v>
      </c>
      <c r="H844" s="16" t="s">
        <v>322</v>
      </c>
    </row>
    <row r="845" customFormat="false" ht="15" hidden="false" customHeight="true" outlineLevel="0" collapsed="false">
      <c r="A845" s="17" t="s">
        <v>10</v>
      </c>
      <c r="B845" s="18" t="str">
        <f aca="false">IFERROR(VLOOKUP(A845,NOMENCLATOR!$A:$E,2,0),"")</f>
        <v>1.000 EA Aripioare de pui picante</v>
      </c>
      <c r="C845" s="19" t="n">
        <v>9</v>
      </c>
      <c r="D845" s="20" t="str">
        <f aca="false">IFERROR(VLOOKUP(A845,NOMENCLATOR!$A:$E,3,0),"")</f>
        <v>EA</v>
      </c>
      <c r="E845" s="21" t="n">
        <f aca="false">IFERROR(VLOOKUP(A845,NOMENCLATOR!$A:$E,4,0),"")</f>
        <v>1.50443</v>
      </c>
      <c r="F845" s="21" t="n">
        <f aca="false">IF(OR(C845="",E845=""),"",C845*E845)</f>
        <v>13.53987</v>
      </c>
      <c r="G845" s="22" t="n">
        <f aca="false">IFERROR(VLOOKUP(A845,NOMENCLATOR!$A:$E,5,0),"")</f>
        <v>1.50443</v>
      </c>
      <c r="H845" s="22" t="n">
        <f aca="false">IF(OR(C845="",G845=""),"",C845*G845)</f>
        <v>13.53987</v>
      </c>
    </row>
    <row r="846" customFormat="false" ht="15" hidden="false" customHeight="true" outlineLevel="0" collapsed="false">
      <c r="A846" s="17" t="s">
        <v>300</v>
      </c>
      <c r="B846" s="18" t="str">
        <f aca="false">IFERROR(VLOOKUP(A846,NOMENCLATOR!$A:$E,2,0),"")</f>
        <v>Ulei de alune</v>
      </c>
      <c r="C846" s="19" t="n">
        <v>36</v>
      </c>
      <c r="D846" s="20" t="str">
        <f aca="false">IFERROR(VLOOKUP(A846,NOMENCLATOR!$A:$E,3,0),"")</f>
        <v>ML</v>
      </c>
      <c r="E846" s="21" t="n">
        <f aca="false">IFERROR(VLOOKUP(A846,NOMENCLATOR!$A:$E,4,0),"")</f>
        <v>0.0169</v>
      </c>
      <c r="F846" s="21" t="n">
        <f aca="false">IF(OR(C846="",E846=""),"",C846*E846)</f>
        <v>0.6084</v>
      </c>
      <c r="G846" s="22" t="n">
        <f aca="false">IFERROR(VLOOKUP(A846,NOMENCLATOR!$A:$E,5,0),"")</f>
        <v>0.0169</v>
      </c>
      <c r="H846" s="22" t="n">
        <f aca="false">IF(OR(C846="",G846=""),"",C846*G846)</f>
        <v>0.6084</v>
      </c>
    </row>
    <row r="847" customFormat="false" ht="15" hidden="false" customHeight="true" outlineLevel="0" collapsed="false">
      <c r="A847" s="17" t="s">
        <v>254</v>
      </c>
      <c r="B847" s="18" t="str">
        <f aca="false">IFERROR(VLOOKUP(A847,NOMENCLATOR!$A:$E,2,0),"")</f>
        <v>Punga Pui Picant</v>
      </c>
      <c r="C847" s="19" t="n">
        <v>1</v>
      </c>
      <c r="D847" s="20" t="str">
        <f aca="false">IFERROR(VLOOKUP(A847,NOMENCLATOR!$A:$E,3,0),"")</f>
        <v>EA</v>
      </c>
      <c r="E847" s="21" t="n">
        <f aca="false">IFERROR(VLOOKUP(A847,NOMENCLATOR!$A:$E,4,0),"")</f>
        <v>0.34</v>
      </c>
      <c r="F847" s="21" t="n">
        <f aca="false">IF(OR(C847="",E847=""),"",C847*E847)</f>
        <v>0.34</v>
      </c>
      <c r="G847" s="22" t="n">
        <f aca="false">IFERROR(VLOOKUP(A847,NOMENCLATOR!$A:$E,5,0),"")</f>
        <v>0.34</v>
      </c>
      <c r="H847" s="22" t="n">
        <f aca="false">IF(OR(C847="",G847=""),"",C847*G847)</f>
        <v>0.34</v>
      </c>
    </row>
    <row r="848" customFormat="false" ht="15" hidden="false" customHeight="true" outlineLevel="0" collapsed="false">
      <c r="A848" s="17" t="s">
        <v>278</v>
      </c>
      <c r="B848" s="18" t="str">
        <f aca="false">IFERROR(VLOOKUP(A848,NOMENCLATOR!$A:$E,2,0),"")</f>
        <v>Servetele umede</v>
      </c>
      <c r="C848" s="19" t="n">
        <v>1</v>
      </c>
      <c r="D848" s="20" t="str">
        <f aca="false">IFERROR(VLOOKUP(A848,NOMENCLATOR!$A:$E,3,0),"")</f>
        <v>EA</v>
      </c>
      <c r="E848" s="21" t="n">
        <f aca="false">IFERROR(VLOOKUP(A848,NOMENCLATOR!$A:$E,4,0),"")</f>
        <v>0.198</v>
      </c>
      <c r="F848" s="21" t="n">
        <f aca="false">IF(OR(C848="",E848=""),"",C848*E848)</f>
        <v>0.198</v>
      </c>
      <c r="G848" s="22" t="n">
        <f aca="false">IFERROR(VLOOKUP(A848,NOMENCLATOR!$A:$E,5,0),"")</f>
        <v>0.198</v>
      </c>
      <c r="H848" s="22" t="n">
        <f aca="false">IF(OR(C848="",G848=""),"",C848*G848)</f>
        <v>0.198</v>
      </c>
    </row>
    <row r="849" customFormat="false" ht="15" hidden="false" customHeight="true" outlineLevel="0" collapsed="false">
      <c r="A849" s="23" t="str">
        <f aca="false">IF(A843="","",A843)</f>
        <v>9 HOT COUNTRY WINGS new</v>
      </c>
      <c r="B849" s="24"/>
      <c r="C849" s="24"/>
      <c r="D849" s="24"/>
      <c r="E849" s="24"/>
      <c r="F849" s="25" t="n">
        <f aca="false">IF(A843="","",SUM(F845:F848))</f>
        <v>14.68627</v>
      </c>
      <c r="G849" s="24"/>
      <c r="H849" s="26" t="n">
        <f aca="false">IF(A843="","",SUM(H845:H848))</f>
        <v>14.68627</v>
      </c>
    </row>
    <row r="851" customFormat="false" ht="15" hidden="false" customHeight="true" outlineLevel="0" collapsed="false">
      <c r="A851" s="12" t="s">
        <v>410</v>
      </c>
      <c r="B851" s="13"/>
      <c r="C851" s="13"/>
      <c r="D851" s="13"/>
      <c r="E851" s="13"/>
      <c r="F851" s="14" t="s">
        <v>389</v>
      </c>
      <c r="G851" s="13"/>
      <c r="H851" s="15"/>
    </row>
    <row r="852" customFormat="false" ht="15" hidden="false" customHeight="true" outlineLevel="0" collapsed="false">
      <c r="A852" s="16" t="s">
        <v>316</v>
      </c>
      <c r="B852" s="16" t="s">
        <v>317</v>
      </c>
      <c r="C852" s="16" t="s">
        <v>318</v>
      </c>
      <c r="D852" s="16" t="s">
        <v>4</v>
      </c>
      <c r="E852" s="16" t="s">
        <v>319</v>
      </c>
      <c r="F852" s="16" t="s">
        <v>320</v>
      </c>
      <c r="G852" s="16" t="s">
        <v>321</v>
      </c>
      <c r="H852" s="16" t="s">
        <v>322</v>
      </c>
    </row>
    <row r="853" customFormat="false" ht="15" hidden="false" customHeight="true" outlineLevel="0" collapsed="false">
      <c r="A853" s="17" t="s">
        <v>10</v>
      </c>
      <c r="B853" s="18" t="str">
        <f aca="false">IFERROR(VLOOKUP(A853,NOMENCLATOR!$A:$E,2,0),"")</f>
        <v>1.000 EA Aripioare de pui picante</v>
      </c>
      <c r="C853" s="19" t="n">
        <v>9</v>
      </c>
      <c r="D853" s="20" t="str">
        <f aca="false">IFERROR(VLOOKUP(A853,NOMENCLATOR!$A:$E,3,0),"")</f>
        <v>EA</v>
      </c>
      <c r="E853" s="21" t="n">
        <f aca="false">IFERROR(VLOOKUP(A853,NOMENCLATOR!$A:$E,4,0),"")</f>
        <v>1.50443</v>
      </c>
      <c r="F853" s="21" t="n">
        <f aca="false">IF(OR(C853="",E853=""),"",C853*E853)</f>
        <v>13.53987</v>
      </c>
      <c r="G853" s="22" t="n">
        <f aca="false">IFERROR(VLOOKUP(A853,NOMENCLATOR!$A:$E,5,0),"")</f>
        <v>1.50443</v>
      </c>
      <c r="H853" s="22" t="n">
        <f aca="false">IF(OR(C853="",G853=""),"",C853*G853)</f>
        <v>13.53987</v>
      </c>
    </row>
    <row r="854" customFormat="false" ht="15" hidden="false" customHeight="true" outlineLevel="0" collapsed="false">
      <c r="A854" s="17" t="s">
        <v>300</v>
      </c>
      <c r="B854" s="18" t="str">
        <f aca="false">IFERROR(VLOOKUP(A854,NOMENCLATOR!$A:$E,2,0),"")</f>
        <v>Ulei de alune</v>
      </c>
      <c r="C854" s="19" t="n">
        <v>36</v>
      </c>
      <c r="D854" s="20" t="str">
        <f aca="false">IFERROR(VLOOKUP(A854,NOMENCLATOR!$A:$E,3,0),"")</f>
        <v>ML</v>
      </c>
      <c r="E854" s="21" t="n">
        <f aca="false">IFERROR(VLOOKUP(A854,NOMENCLATOR!$A:$E,4,0),"")</f>
        <v>0.0169</v>
      </c>
      <c r="F854" s="21" t="n">
        <f aca="false">IF(OR(C854="",E854=""),"",C854*E854)</f>
        <v>0.6084</v>
      </c>
      <c r="G854" s="22" t="n">
        <f aca="false">IFERROR(VLOOKUP(A854,NOMENCLATOR!$A:$E,5,0),"")</f>
        <v>0.0169</v>
      </c>
      <c r="H854" s="22" t="n">
        <f aca="false">IF(OR(C854="",G854=""),"",C854*G854)</f>
        <v>0.6084</v>
      </c>
    </row>
    <row r="855" customFormat="false" ht="15" hidden="false" customHeight="true" outlineLevel="0" collapsed="false">
      <c r="A855" s="17" t="s">
        <v>254</v>
      </c>
      <c r="B855" s="18" t="str">
        <f aca="false">IFERROR(VLOOKUP(A855,NOMENCLATOR!$A:$E,2,0),"")</f>
        <v>Punga Pui Picant</v>
      </c>
      <c r="C855" s="19" t="n">
        <v>1</v>
      </c>
      <c r="D855" s="20" t="str">
        <f aca="false">IFERROR(VLOOKUP(A855,NOMENCLATOR!$A:$E,3,0),"")</f>
        <v>EA</v>
      </c>
      <c r="E855" s="21" t="n">
        <f aca="false">IFERROR(VLOOKUP(A855,NOMENCLATOR!$A:$E,4,0),"")</f>
        <v>0.34</v>
      </c>
      <c r="F855" s="21" t="n">
        <f aca="false">IF(OR(C855="",E855=""),"",C855*E855)</f>
        <v>0.34</v>
      </c>
      <c r="G855" s="22" t="n">
        <f aca="false">IFERROR(VLOOKUP(A855,NOMENCLATOR!$A:$E,5,0),"")</f>
        <v>0.34</v>
      </c>
      <c r="H855" s="22" t="n">
        <f aca="false">IF(OR(C855="",G855=""),"",C855*G855)</f>
        <v>0.34</v>
      </c>
    </row>
    <row r="856" customFormat="false" ht="15" hidden="false" customHeight="true" outlineLevel="0" collapsed="false">
      <c r="A856" s="17" t="s">
        <v>278</v>
      </c>
      <c r="B856" s="18" t="str">
        <f aca="false">IFERROR(VLOOKUP(A856,NOMENCLATOR!$A:$E,2,0),"")</f>
        <v>Servetele umede</v>
      </c>
      <c r="C856" s="19" t="n">
        <v>1</v>
      </c>
      <c r="D856" s="20" t="str">
        <f aca="false">IFERROR(VLOOKUP(A856,NOMENCLATOR!$A:$E,3,0),"")</f>
        <v>EA</v>
      </c>
      <c r="E856" s="21" t="n">
        <f aca="false">IFERROR(VLOOKUP(A856,NOMENCLATOR!$A:$E,4,0),"")</f>
        <v>0.198</v>
      </c>
      <c r="F856" s="21" t="n">
        <f aca="false">IF(OR(C856="",E856=""),"",C856*E856)</f>
        <v>0.198</v>
      </c>
      <c r="G856" s="22" t="n">
        <f aca="false">IFERROR(VLOOKUP(A856,NOMENCLATOR!$A:$E,5,0),"")</f>
        <v>0.198</v>
      </c>
      <c r="H856" s="22" t="n">
        <f aca="false">IF(OR(C856="",G856=""),"",C856*G856)</f>
        <v>0.198</v>
      </c>
    </row>
    <row r="857" customFormat="false" ht="15" hidden="false" customHeight="true" outlineLevel="0" collapsed="false">
      <c r="A857" s="23" t="str">
        <f aca="false">IF(A851="","",A851)</f>
        <v>9 HOT COUNTRY WINGS new D</v>
      </c>
      <c r="B857" s="24"/>
      <c r="C857" s="24"/>
      <c r="D857" s="24"/>
      <c r="E857" s="24"/>
      <c r="F857" s="25" t="n">
        <f aca="false">IF(A851="","",SUM(F853:F856))</f>
        <v>14.68627</v>
      </c>
      <c r="G857" s="24"/>
      <c r="H857" s="26" t="n">
        <f aca="false">IF(A851="","",SUM(H853:H856))</f>
        <v>14.68627</v>
      </c>
    </row>
    <row r="859" customFormat="false" ht="15" hidden="false" customHeight="true" outlineLevel="0" collapsed="false">
      <c r="A859" s="12" t="s">
        <v>411</v>
      </c>
      <c r="B859" s="13"/>
      <c r="C859" s="13"/>
      <c r="D859" s="13"/>
      <c r="E859" s="13"/>
      <c r="F859" s="14" t="s">
        <v>389</v>
      </c>
      <c r="G859" s="13"/>
      <c r="H859" s="15"/>
    </row>
    <row r="860" customFormat="false" ht="15" hidden="false" customHeight="true" outlineLevel="0" collapsed="false">
      <c r="A860" s="16" t="s">
        <v>316</v>
      </c>
      <c r="B860" s="16" t="s">
        <v>317</v>
      </c>
      <c r="C860" s="16" t="s">
        <v>318</v>
      </c>
      <c r="D860" s="16" t="s">
        <v>4</v>
      </c>
      <c r="E860" s="16" t="s">
        <v>319</v>
      </c>
      <c r="F860" s="16" t="s">
        <v>320</v>
      </c>
      <c r="G860" s="16" t="s">
        <v>321</v>
      </c>
      <c r="H860" s="16" t="s">
        <v>322</v>
      </c>
    </row>
    <row r="861" customFormat="false" ht="15" hidden="false" customHeight="true" outlineLevel="0" collapsed="false">
      <c r="A861" s="17" t="s">
        <v>124</v>
      </c>
      <c r="B861" s="18" t="str">
        <f aca="false">IFERROR(VLOOKUP(A861,NOMENCLATOR!$A:$E,2,0),"")</f>
        <v>Frydays Homestyle Chick'n Tender 65g</v>
      </c>
      <c r="C861" s="19" t="n">
        <v>3</v>
      </c>
      <c r="D861" s="20" t="str">
        <f aca="false">IFERROR(VLOOKUP(A861,NOMENCLATOR!$A:$E,3,0),"")</f>
        <v>EA</v>
      </c>
      <c r="E861" s="21" t="n">
        <f aca="false">IFERROR(VLOOKUP(A861,NOMENCLATOR!$A:$E,4,0),"")</f>
        <v>2.76925</v>
      </c>
      <c r="F861" s="21" t="n">
        <f aca="false">IF(OR(C861="",E861=""),"",C861*E861)</f>
        <v>8.30775</v>
      </c>
      <c r="G861" s="22" t="n">
        <f aca="false">IFERROR(VLOOKUP(A861,NOMENCLATOR!$A:$E,5,0),"")</f>
        <v>2.76925</v>
      </c>
      <c r="H861" s="22" t="n">
        <f aca="false">IF(OR(C861="",G861=""),"",C861*G861)</f>
        <v>8.30775</v>
      </c>
    </row>
    <row r="862" customFormat="false" ht="15" hidden="false" customHeight="true" outlineLevel="0" collapsed="false">
      <c r="A862" s="17" t="s">
        <v>300</v>
      </c>
      <c r="B862" s="18" t="str">
        <f aca="false">IFERROR(VLOOKUP(A862,NOMENCLATOR!$A:$E,2,0),"")</f>
        <v>Ulei de alune</v>
      </c>
      <c r="C862" s="19" t="n">
        <v>18</v>
      </c>
      <c r="D862" s="20" t="str">
        <f aca="false">IFERROR(VLOOKUP(A862,NOMENCLATOR!$A:$E,3,0),"")</f>
        <v>ML</v>
      </c>
      <c r="E862" s="21" t="n">
        <f aca="false">IFERROR(VLOOKUP(A862,NOMENCLATOR!$A:$E,4,0),"")</f>
        <v>0.0169</v>
      </c>
      <c r="F862" s="21" t="n">
        <f aca="false">IF(OR(C862="",E862=""),"",C862*E862)</f>
        <v>0.3042</v>
      </c>
      <c r="G862" s="22" t="n">
        <f aca="false">IFERROR(VLOOKUP(A862,NOMENCLATOR!$A:$E,5,0),"")</f>
        <v>0.0169</v>
      </c>
      <c r="H862" s="22" t="n">
        <f aca="false">IF(OR(C862="",G862=""),"",C862*G862)</f>
        <v>0.3042</v>
      </c>
    </row>
    <row r="863" customFormat="false" ht="15" hidden="false" customHeight="true" outlineLevel="0" collapsed="false">
      <c r="A863" s="17" t="s">
        <v>246</v>
      </c>
      <c r="B863" s="18" t="str">
        <f aca="false">IFERROR(VLOOKUP(A863,NOMENCLATOR!$A:$E,2,0),"")</f>
        <v>Punga Alba Pui 15x15</v>
      </c>
      <c r="C863" s="19" t="n">
        <v>1</v>
      </c>
      <c r="D863" s="20" t="str">
        <f aca="false">IFERROR(VLOOKUP(A863,NOMENCLATOR!$A:$E,3,0),"")</f>
        <v>EA</v>
      </c>
      <c r="E863" s="21" t="n">
        <f aca="false">IFERROR(VLOOKUP(A863,NOMENCLATOR!$A:$E,4,0),"")</f>
        <v>0.127</v>
      </c>
      <c r="F863" s="21" t="n">
        <f aca="false">IF(OR(C863="",E863=""),"",C863*E863)</f>
        <v>0.127</v>
      </c>
      <c r="G863" s="22" t="n">
        <f aca="false">IFERROR(VLOOKUP(A863,NOMENCLATOR!$A:$E,5,0),"")</f>
        <v>0.127</v>
      </c>
      <c r="H863" s="22" t="n">
        <f aca="false">IF(OR(C863="",G863=""),"",C863*G863)</f>
        <v>0.127</v>
      </c>
    </row>
    <row r="864" customFormat="false" ht="15" hidden="false" customHeight="true" outlineLevel="0" collapsed="false">
      <c r="A864" s="23" t="str">
        <f aca="false">IF(A859="","",A859)</f>
        <v>HOMESTYLE CRISPY 3 (180G) new</v>
      </c>
      <c r="B864" s="24"/>
      <c r="C864" s="24"/>
      <c r="D864" s="24"/>
      <c r="E864" s="24"/>
      <c r="F864" s="25" t="n">
        <f aca="false">IF(A859="","",SUM(F861:F863))</f>
        <v>8.73895</v>
      </c>
      <c r="G864" s="24"/>
      <c r="H864" s="26" t="n">
        <f aca="false">IF(A859="","",SUM(H861:H863))</f>
        <v>8.73895</v>
      </c>
    </row>
    <row r="866" customFormat="false" ht="15" hidden="false" customHeight="true" outlineLevel="0" collapsed="false">
      <c r="A866" s="12" t="s">
        <v>412</v>
      </c>
      <c r="B866" s="13"/>
      <c r="C866" s="13"/>
      <c r="D866" s="13"/>
      <c r="E866" s="13"/>
      <c r="F866" s="14" t="s">
        <v>389</v>
      </c>
      <c r="G866" s="13"/>
      <c r="H866" s="15"/>
    </row>
    <row r="867" customFormat="false" ht="15" hidden="false" customHeight="true" outlineLevel="0" collapsed="false">
      <c r="A867" s="16" t="s">
        <v>316</v>
      </c>
      <c r="B867" s="16" t="s">
        <v>317</v>
      </c>
      <c r="C867" s="16" t="s">
        <v>318</v>
      </c>
      <c r="D867" s="16" t="s">
        <v>4</v>
      </c>
      <c r="E867" s="16" t="s">
        <v>319</v>
      </c>
      <c r="F867" s="16" t="s">
        <v>320</v>
      </c>
      <c r="G867" s="16" t="s">
        <v>321</v>
      </c>
      <c r="H867" s="16" t="s">
        <v>322</v>
      </c>
    </row>
    <row r="868" customFormat="false" ht="15" hidden="false" customHeight="true" outlineLevel="0" collapsed="false">
      <c r="A868" s="17" t="s">
        <v>124</v>
      </c>
      <c r="B868" s="18" t="str">
        <f aca="false">IFERROR(VLOOKUP(A868,NOMENCLATOR!$A:$E,2,0),"")</f>
        <v>Frydays Homestyle Chick'n Tender 65g</v>
      </c>
      <c r="C868" s="19" t="n">
        <v>3</v>
      </c>
      <c r="D868" s="20" t="str">
        <f aca="false">IFERROR(VLOOKUP(A868,NOMENCLATOR!$A:$E,3,0),"")</f>
        <v>EA</v>
      </c>
      <c r="E868" s="21" t="n">
        <f aca="false">IFERROR(VLOOKUP(A868,NOMENCLATOR!$A:$E,4,0),"")</f>
        <v>2.76925</v>
      </c>
      <c r="F868" s="21" t="n">
        <f aca="false">IF(OR(C868="",E868=""),"",C868*E868)</f>
        <v>8.30775</v>
      </c>
      <c r="G868" s="22" t="n">
        <f aca="false">IFERROR(VLOOKUP(A868,NOMENCLATOR!$A:$E,5,0),"")</f>
        <v>2.76925</v>
      </c>
      <c r="H868" s="22" t="n">
        <f aca="false">IF(OR(C868="",G868=""),"",C868*G868)</f>
        <v>8.30775</v>
      </c>
    </row>
    <row r="869" customFormat="false" ht="15" hidden="false" customHeight="true" outlineLevel="0" collapsed="false">
      <c r="A869" s="17" t="s">
        <v>300</v>
      </c>
      <c r="B869" s="18" t="str">
        <f aca="false">IFERROR(VLOOKUP(A869,NOMENCLATOR!$A:$E,2,0),"")</f>
        <v>Ulei de alune</v>
      </c>
      <c r="C869" s="19" t="n">
        <v>18</v>
      </c>
      <c r="D869" s="20" t="str">
        <f aca="false">IFERROR(VLOOKUP(A869,NOMENCLATOR!$A:$E,3,0),"")</f>
        <v>ML</v>
      </c>
      <c r="E869" s="21" t="n">
        <f aca="false">IFERROR(VLOOKUP(A869,NOMENCLATOR!$A:$E,4,0),"")</f>
        <v>0.0169</v>
      </c>
      <c r="F869" s="21" t="n">
        <f aca="false">IF(OR(C869="",E869=""),"",C869*E869)</f>
        <v>0.3042</v>
      </c>
      <c r="G869" s="22" t="n">
        <f aca="false">IFERROR(VLOOKUP(A869,NOMENCLATOR!$A:$E,5,0),"")</f>
        <v>0.0169</v>
      </c>
      <c r="H869" s="22" t="n">
        <f aca="false">IF(OR(C869="",G869=""),"",C869*G869)</f>
        <v>0.3042</v>
      </c>
    </row>
    <row r="870" customFormat="false" ht="15" hidden="false" customHeight="true" outlineLevel="0" collapsed="false">
      <c r="A870" s="17" t="s">
        <v>246</v>
      </c>
      <c r="B870" s="18" t="str">
        <f aca="false">IFERROR(VLOOKUP(A870,NOMENCLATOR!$A:$E,2,0),"")</f>
        <v>Punga Alba Pui 15x15</v>
      </c>
      <c r="C870" s="19" t="n">
        <v>1</v>
      </c>
      <c r="D870" s="20" t="str">
        <f aca="false">IFERROR(VLOOKUP(A870,NOMENCLATOR!$A:$E,3,0),"")</f>
        <v>EA</v>
      </c>
      <c r="E870" s="21" t="n">
        <f aca="false">IFERROR(VLOOKUP(A870,NOMENCLATOR!$A:$E,4,0),"")</f>
        <v>0.127</v>
      </c>
      <c r="F870" s="21" t="n">
        <f aca="false">IF(OR(C870="",E870=""),"",C870*E870)</f>
        <v>0.127</v>
      </c>
      <c r="G870" s="22" t="n">
        <f aca="false">IFERROR(VLOOKUP(A870,NOMENCLATOR!$A:$E,5,0),"")</f>
        <v>0.127</v>
      </c>
      <c r="H870" s="22" t="n">
        <f aca="false">IF(OR(C870="",G870=""),"",C870*G870)</f>
        <v>0.127</v>
      </c>
    </row>
    <row r="871" customFormat="false" ht="15" hidden="false" customHeight="true" outlineLevel="0" collapsed="false">
      <c r="A871" s="23" t="str">
        <f aca="false">IF(A866="","",A866)</f>
        <v>HOMESTYLE CRISPY 3 (180G) new D</v>
      </c>
      <c r="B871" s="24"/>
      <c r="C871" s="24"/>
      <c r="D871" s="24"/>
      <c r="E871" s="24"/>
      <c r="F871" s="25" t="n">
        <f aca="false">IF(A866="","",SUM(F868:F870))</f>
        <v>8.73895</v>
      </c>
      <c r="G871" s="24"/>
      <c r="H871" s="26" t="n">
        <f aca="false">IF(A866="","",SUM(H868:H870))</f>
        <v>8.73895</v>
      </c>
    </row>
    <row r="873" customFormat="false" ht="15" hidden="false" customHeight="true" outlineLevel="0" collapsed="false">
      <c r="A873" s="12" t="s">
        <v>413</v>
      </c>
      <c r="B873" s="13"/>
      <c r="C873" s="13"/>
      <c r="D873" s="13"/>
      <c r="E873" s="13"/>
      <c r="F873" s="14" t="s">
        <v>389</v>
      </c>
      <c r="G873" s="13"/>
      <c r="H873" s="15"/>
    </row>
    <row r="874" customFormat="false" ht="15" hidden="false" customHeight="true" outlineLevel="0" collapsed="false">
      <c r="A874" s="16" t="s">
        <v>316</v>
      </c>
      <c r="B874" s="16" t="s">
        <v>317</v>
      </c>
      <c r="C874" s="16" t="s">
        <v>318</v>
      </c>
      <c r="D874" s="16" t="s">
        <v>4</v>
      </c>
      <c r="E874" s="16" t="s">
        <v>319</v>
      </c>
      <c r="F874" s="16" t="s">
        <v>320</v>
      </c>
      <c r="G874" s="16" t="s">
        <v>321</v>
      </c>
      <c r="H874" s="16" t="s">
        <v>322</v>
      </c>
    </row>
    <row r="875" customFormat="false" ht="15" hidden="false" customHeight="true" outlineLevel="0" collapsed="false">
      <c r="A875" s="17" t="s">
        <v>124</v>
      </c>
      <c r="B875" s="18" t="str">
        <f aca="false">IFERROR(VLOOKUP(A875,NOMENCLATOR!$A:$E,2,0),"")</f>
        <v>Frydays Homestyle Chick'n Tender 65g</v>
      </c>
      <c r="C875" s="19" t="n">
        <v>4</v>
      </c>
      <c r="D875" s="20" t="str">
        <f aca="false">IFERROR(VLOOKUP(A875,NOMENCLATOR!$A:$E,3,0),"")</f>
        <v>EA</v>
      </c>
      <c r="E875" s="21" t="n">
        <f aca="false">IFERROR(VLOOKUP(A875,NOMENCLATOR!$A:$E,4,0),"")</f>
        <v>2.76925</v>
      </c>
      <c r="F875" s="21" t="n">
        <f aca="false">IF(OR(C875="",E875=""),"",C875*E875)</f>
        <v>11.077</v>
      </c>
      <c r="G875" s="22" t="n">
        <f aca="false">IFERROR(VLOOKUP(A875,NOMENCLATOR!$A:$E,5,0),"")</f>
        <v>2.76925</v>
      </c>
      <c r="H875" s="22" t="n">
        <f aca="false">IF(OR(C875="",G875=""),"",C875*G875)</f>
        <v>11.077</v>
      </c>
    </row>
    <row r="876" customFormat="false" ht="15" hidden="false" customHeight="true" outlineLevel="0" collapsed="false">
      <c r="A876" s="17" t="s">
        <v>300</v>
      </c>
      <c r="B876" s="18" t="str">
        <f aca="false">IFERROR(VLOOKUP(A876,NOMENCLATOR!$A:$E,2,0),"")</f>
        <v>Ulei de alune</v>
      </c>
      <c r="C876" s="19" t="n">
        <v>24</v>
      </c>
      <c r="D876" s="20" t="str">
        <f aca="false">IFERROR(VLOOKUP(A876,NOMENCLATOR!$A:$E,3,0),"")</f>
        <v>ML</v>
      </c>
      <c r="E876" s="21" t="n">
        <f aca="false">IFERROR(VLOOKUP(A876,NOMENCLATOR!$A:$E,4,0),"")</f>
        <v>0.0169</v>
      </c>
      <c r="F876" s="21" t="n">
        <f aca="false">IF(OR(C876="",E876=""),"",C876*E876)</f>
        <v>0.4056</v>
      </c>
      <c r="G876" s="22" t="n">
        <f aca="false">IFERROR(VLOOKUP(A876,NOMENCLATOR!$A:$E,5,0),"")</f>
        <v>0.0169</v>
      </c>
      <c r="H876" s="22" t="n">
        <f aca="false">IF(OR(C876="",G876=""),"",C876*G876)</f>
        <v>0.4056</v>
      </c>
    </row>
    <row r="877" customFormat="false" ht="15" hidden="false" customHeight="true" outlineLevel="0" collapsed="false">
      <c r="A877" s="17" t="s">
        <v>246</v>
      </c>
      <c r="B877" s="18" t="str">
        <f aca="false">IFERROR(VLOOKUP(A877,NOMENCLATOR!$A:$E,2,0),"")</f>
        <v>Punga Alba Pui 15x15</v>
      </c>
      <c r="C877" s="19" t="n">
        <v>1</v>
      </c>
      <c r="D877" s="20" t="str">
        <f aca="false">IFERROR(VLOOKUP(A877,NOMENCLATOR!$A:$E,3,0),"")</f>
        <v>EA</v>
      </c>
      <c r="E877" s="21" t="n">
        <f aca="false">IFERROR(VLOOKUP(A877,NOMENCLATOR!$A:$E,4,0),"")</f>
        <v>0.127</v>
      </c>
      <c r="F877" s="21" t="n">
        <f aca="false">IF(OR(C877="",E877=""),"",C877*E877)</f>
        <v>0.127</v>
      </c>
      <c r="G877" s="22" t="n">
        <f aca="false">IFERROR(VLOOKUP(A877,NOMENCLATOR!$A:$E,5,0),"")</f>
        <v>0.127</v>
      </c>
      <c r="H877" s="22" t="n">
        <f aca="false">IF(OR(C877="",G877=""),"",C877*G877)</f>
        <v>0.127</v>
      </c>
    </row>
    <row r="878" customFormat="false" ht="15" hidden="false" customHeight="true" outlineLevel="0" collapsed="false">
      <c r="A878" s="23" t="str">
        <f aca="false">IF(A873="","",A873)</f>
        <v>HOMESTYLE CRISPY 4 (240G) new</v>
      </c>
      <c r="B878" s="24"/>
      <c r="C878" s="24"/>
      <c r="D878" s="24"/>
      <c r="E878" s="24"/>
      <c r="F878" s="25" t="n">
        <f aca="false">IF(A873="","",SUM(F875:F877))</f>
        <v>11.6096</v>
      </c>
      <c r="G878" s="24"/>
      <c r="H878" s="26" t="n">
        <f aca="false">IF(A873="","",SUM(H875:H877))</f>
        <v>11.6096</v>
      </c>
    </row>
    <row r="880" customFormat="false" ht="15" hidden="false" customHeight="true" outlineLevel="0" collapsed="false">
      <c r="A880" s="12" t="s">
        <v>414</v>
      </c>
      <c r="B880" s="13"/>
      <c r="C880" s="13"/>
      <c r="D880" s="13"/>
      <c r="E880" s="13"/>
      <c r="F880" s="14" t="s">
        <v>389</v>
      </c>
      <c r="G880" s="13"/>
      <c r="H880" s="15"/>
    </row>
    <row r="881" customFormat="false" ht="15" hidden="false" customHeight="true" outlineLevel="0" collapsed="false">
      <c r="A881" s="16" t="s">
        <v>316</v>
      </c>
      <c r="B881" s="16" t="s">
        <v>317</v>
      </c>
      <c r="C881" s="16" t="s">
        <v>318</v>
      </c>
      <c r="D881" s="16" t="s">
        <v>4</v>
      </c>
      <c r="E881" s="16" t="s">
        <v>319</v>
      </c>
      <c r="F881" s="16" t="s">
        <v>320</v>
      </c>
      <c r="G881" s="16" t="s">
        <v>321</v>
      </c>
      <c r="H881" s="16" t="s">
        <v>322</v>
      </c>
    </row>
    <row r="882" customFormat="false" ht="15" hidden="false" customHeight="true" outlineLevel="0" collapsed="false">
      <c r="A882" s="17" t="s">
        <v>124</v>
      </c>
      <c r="B882" s="18" t="str">
        <f aca="false">IFERROR(VLOOKUP(A882,NOMENCLATOR!$A:$E,2,0),"")</f>
        <v>Frydays Homestyle Chick'n Tender 65g</v>
      </c>
      <c r="C882" s="19" t="n">
        <v>4</v>
      </c>
      <c r="D882" s="20" t="str">
        <f aca="false">IFERROR(VLOOKUP(A882,NOMENCLATOR!$A:$E,3,0),"")</f>
        <v>EA</v>
      </c>
      <c r="E882" s="21" t="n">
        <f aca="false">IFERROR(VLOOKUP(A882,NOMENCLATOR!$A:$E,4,0),"")</f>
        <v>2.76925</v>
      </c>
      <c r="F882" s="21" t="n">
        <f aca="false">IF(OR(C882="",E882=""),"",C882*E882)</f>
        <v>11.077</v>
      </c>
      <c r="G882" s="22" t="n">
        <f aca="false">IFERROR(VLOOKUP(A882,NOMENCLATOR!$A:$E,5,0),"")</f>
        <v>2.76925</v>
      </c>
      <c r="H882" s="22" t="n">
        <f aca="false">IF(OR(C882="",G882=""),"",C882*G882)</f>
        <v>11.077</v>
      </c>
    </row>
    <row r="883" customFormat="false" ht="15" hidden="false" customHeight="true" outlineLevel="0" collapsed="false">
      <c r="A883" s="17" t="s">
        <v>300</v>
      </c>
      <c r="B883" s="18" t="str">
        <f aca="false">IFERROR(VLOOKUP(A883,NOMENCLATOR!$A:$E,2,0),"")</f>
        <v>Ulei de alune</v>
      </c>
      <c r="C883" s="19" t="n">
        <v>24</v>
      </c>
      <c r="D883" s="20" t="str">
        <f aca="false">IFERROR(VLOOKUP(A883,NOMENCLATOR!$A:$E,3,0),"")</f>
        <v>ML</v>
      </c>
      <c r="E883" s="21" t="n">
        <f aca="false">IFERROR(VLOOKUP(A883,NOMENCLATOR!$A:$E,4,0),"")</f>
        <v>0.0169</v>
      </c>
      <c r="F883" s="21" t="n">
        <f aca="false">IF(OR(C883="",E883=""),"",C883*E883)</f>
        <v>0.4056</v>
      </c>
      <c r="G883" s="22" t="n">
        <f aca="false">IFERROR(VLOOKUP(A883,NOMENCLATOR!$A:$E,5,0),"")</f>
        <v>0.0169</v>
      </c>
      <c r="H883" s="22" t="n">
        <f aca="false">IF(OR(C883="",G883=""),"",C883*G883)</f>
        <v>0.4056</v>
      </c>
    </row>
    <row r="884" customFormat="false" ht="15" hidden="false" customHeight="true" outlineLevel="0" collapsed="false">
      <c r="A884" s="17" t="s">
        <v>246</v>
      </c>
      <c r="B884" s="18" t="str">
        <f aca="false">IFERROR(VLOOKUP(A884,NOMENCLATOR!$A:$E,2,0),"")</f>
        <v>Punga Alba Pui 15x15</v>
      </c>
      <c r="C884" s="19" t="n">
        <v>1</v>
      </c>
      <c r="D884" s="20" t="str">
        <f aca="false">IFERROR(VLOOKUP(A884,NOMENCLATOR!$A:$E,3,0),"")</f>
        <v>EA</v>
      </c>
      <c r="E884" s="21" t="n">
        <f aca="false">IFERROR(VLOOKUP(A884,NOMENCLATOR!$A:$E,4,0),"")</f>
        <v>0.127</v>
      </c>
      <c r="F884" s="21" t="n">
        <f aca="false">IF(OR(C884="",E884=""),"",C884*E884)</f>
        <v>0.127</v>
      </c>
      <c r="G884" s="22" t="n">
        <f aca="false">IFERROR(VLOOKUP(A884,NOMENCLATOR!$A:$E,5,0),"")</f>
        <v>0.127</v>
      </c>
      <c r="H884" s="22" t="n">
        <f aca="false">IF(OR(C884="",G884=""),"",C884*G884)</f>
        <v>0.127</v>
      </c>
    </row>
    <row r="885" customFormat="false" ht="15" hidden="false" customHeight="true" outlineLevel="0" collapsed="false">
      <c r="A885" s="23" t="str">
        <f aca="false">IF(A880="","",A880)</f>
        <v>HOMESTYLE CRISPY 4 (240G) new D</v>
      </c>
      <c r="B885" s="24"/>
      <c r="C885" s="24"/>
      <c r="D885" s="24"/>
      <c r="E885" s="24"/>
      <c r="F885" s="25" t="n">
        <f aca="false">IF(A880="","",SUM(F882:F884))</f>
        <v>11.6096</v>
      </c>
      <c r="G885" s="24"/>
      <c r="H885" s="26" t="n">
        <f aca="false">IF(A880="","",SUM(H882:H884))</f>
        <v>11.6096</v>
      </c>
    </row>
    <row r="887" customFormat="false" ht="15" hidden="false" customHeight="true" outlineLevel="0" collapsed="false">
      <c r="A887" s="12" t="s">
        <v>415</v>
      </c>
      <c r="B887" s="13"/>
      <c r="C887" s="13"/>
      <c r="D887" s="13"/>
      <c r="E887" s="13"/>
      <c r="F887" s="14" t="s">
        <v>389</v>
      </c>
      <c r="G887" s="13"/>
      <c r="H887" s="15"/>
    </row>
    <row r="888" customFormat="false" ht="15" hidden="false" customHeight="true" outlineLevel="0" collapsed="false">
      <c r="A888" s="16" t="s">
        <v>316</v>
      </c>
      <c r="B888" s="16" t="s">
        <v>317</v>
      </c>
      <c r="C888" s="16" t="s">
        <v>318</v>
      </c>
      <c r="D888" s="16" t="s">
        <v>4</v>
      </c>
      <c r="E888" s="16" t="s">
        <v>319</v>
      </c>
      <c r="F888" s="16" t="s">
        <v>320</v>
      </c>
      <c r="G888" s="16" t="s">
        <v>321</v>
      </c>
      <c r="H888" s="16" t="s">
        <v>322</v>
      </c>
    </row>
    <row r="889" customFormat="false" ht="15" hidden="false" customHeight="true" outlineLevel="0" collapsed="false">
      <c r="A889" s="17" t="s">
        <v>124</v>
      </c>
      <c r="B889" s="18" t="str">
        <f aca="false">IFERROR(VLOOKUP(A889,NOMENCLATOR!$A:$E,2,0),"")</f>
        <v>Frydays Homestyle Chick'n Tender 65g</v>
      </c>
      <c r="C889" s="19" t="n">
        <v>5</v>
      </c>
      <c r="D889" s="20" t="str">
        <f aca="false">IFERROR(VLOOKUP(A889,NOMENCLATOR!$A:$E,3,0),"")</f>
        <v>EA</v>
      </c>
      <c r="E889" s="21" t="n">
        <f aca="false">IFERROR(VLOOKUP(A889,NOMENCLATOR!$A:$E,4,0),"")</f>
        <v>2.76925</v>
      </c>
      <c r="F889" s="21" t="n">
        <f aca="false">IF(OR(C889="",E889=""),"",C889*E889)</f>
        <v>13.84625</v>
      </c>
      <c r="G889" s="22" t="n">
        <f aca="false">IFERROR(VLOOKUP(A889,NOMENCLATOR!$A:$E,5,0),"")</f>
        <v>2.76925</v>
      </c>
      <c r="H889" s="22" t="n">
        <f aca="false">IF(OR(C889="",G889=""),"",C889*G889)</f>
        <v>13.84625</v>
      </c>
    </row>
    <row r="890" customFormat="false" ht="15" hidden="false" customHeight="true" outlineLevel="0" collapsed="false">
      <c r="A890" s="17" t="s">
        <v>300</v>
      </c>
      <c r="B890" s="18" t="str">
        <f aca="false">IFERROR(VLOOKUP(A890,NOMENCLATOR!$A:$E,2,0),"")</f>
        <v>Ulei de alune</v>
      </c>
      <c r="C890" s="19" t="n">
        <v>30</v>
      </c>
      <c r="D890" s="20" t="str">
        <f aca="false">IFERROR(VLOOKUP(A890,NOMENCLATOR!$A:$E,3,0),"")</f>
        <v>ML</v>
      </c>
      <c r="E890" s="21" t="n">
        <f aca="false">IFERROR(VLOOKUP(A890,NOMENCLATOR!$A:$E,4,0),"")</f>
        <v>0.0169</v>
      </c>
      <c r="F890" s="21" t="n">
        <f aca="false">IF(OR(C890="",E890=""),"",C890*E890)</f>
        <v>0.507</v>
      </c>
      <c r="G890" s="22" t="n">
        <f aca="false">IFERROR(VLOOKUP(A890,NOMENCLATOR!$A:$E,5,0),"")</f>
        <v>0.0169</v>
      </c>
      <c r="H890" s="22" t="n">
        <f aca="false">IF(OR(C890="",G890=""),"",C890*G890)</f>
        <v>0.507</v>
      </c>
    </row>
    <row r="891" customFormat="false" ht="15" hidden="false" customHeight="true" outlineLevel="0" collapsed="false">
      <c r="A891" s="17" t="s">
        <v>246</v>
      </c>
      <c r="B891" s="18" t="str">
        <f aca="false">IFERROR(VLOOKUP(A891,NOMENCLATOR!$A:$E,2,0),"")</f>
        <v>Punga Alba Pui 15x15</v>
      </c>
      <c r="C891" s="19" t="n">
        <v>1</v>
      </c>
      <c r="D891" s="20" t="str">
        <f aca="false">IFERROR(VLOOKUP(A891,NOMENCLATOR!$A:$E,3,0),"")</f>
        <v>EA</v>
      </c>
      <c r="E891" s="21" t="n">
        <f aca="false">IFERROR(VLOOKUP(A891,NOMENCLATOR!$A:$E,4,0),"")</f>
        <v>0.127</v>
      </c>
      <c r="F891" s="21" t="n">
        <f aca="false">IF(OR(C891="",E891=""),"",C891*E891)</f>
        <v>0.127</v>
      </c>
      <c r="G891" s="22" t="n">
        <f aca="false">IFERROR(VLOOKUP(A891,NOMENCLATOR!$A:$E,5,0),"")</f>
        <v>0.127</v>
      </c>
      <c r="H891" s="22" t="n">
        <f aca="false">IF(OR(C891="",G891=""),"",C891*G891)</f>
        <v>0.127</v>
      </c>
    </row>
    <row r="892" customFormat="false" ht="15" hidden="false" customHeight="true" outlineLevel="0" collapsed="false">
      <c r="A892" s="23" t="str">
        <f aca="false">IF(A887="","",A887)</f>
        <v>HOMESTYLE CRISPY 5 (300G) new</v>
      </c>
      <c r="B892" s="24"/>
      <c r="C892" s="24"/>
      <c r="D892" s="24"/>
      <c r="E892" s="24"/>
      <c r="F892" s="25" t="n">
        <f aca="false">IF(A887="","",SUM(F889:F891))</f>
        <v>14.48025</v>
      </c>
      <c r="G892" s="24"/>
      <c r="H892" s="26" t="n">
        <f aca="false">IF(A887="","",SUM(H889:H891))</f>
        <v>14.48025</v>
      </c>
    </row>
    <row r="894" customFormat="false" ht="15" hidden="false" customHeight="true" outlineLevel="0" collapsed="false">
      <c r="A894" s="12" t="s">
        <v>416</v>
      </c>
      <c r="B894" s="13"/>
      <c r="C894" s="13"/>
      <c r="D894" s="13"/>
      <c r="E894" s="13"/>
      <c r="F894" s="14" t="s">
        <v>389</v>
      </c>
      <c r="G894" s="13"/>
      <c r="H894" s="15"/>
    </row>
    <row r="895" customFormat="false" ht="15" hidden="false" customHeight="true" outlineLevel="0" collapsed="false">
      <c r="A895" s="16" t="s">
        <v>316</v>
      </c>
      <c r="B895" s="16" t="s">
        <v>317</v>
      </c>
      <c r="C895" s="16" t="s">
        <v>318</v>
      </c>
      <c r="D895" s="16" t="s">
        <v>4</v>
      </c>
      <c r="E895" s="16" t="s">
        <v>319</v>
      </c>
      <c r="F895" s="16" t="s">
        <v>320</v>
      </c>
      <c r="G895" s="16" t="s">
        <v>321</v>
      </c>
      <c r="H895" s="16" t="s">
        <v>322</v>
      </c>
    </row>
    <row r="896" customFormat="false" ht="15" hidden="false" customHeight="true" outlineLevel="0" collapsed="false">
      <c r="A896" s="17" t="s">
        <v>124</v>
      </c>
      <c r="B896" s="18" t="str">
        <f aca="false">IFERROR(VLOOKUP(A896,NOMENCLATOR!$A:$E,2,0),"")</f>
        <v>Frydays Homestyle Chick'n Tender 65g</v>
      </c>
      <c r="C896" s="19" t="n">
        <v>5</v>
      </c>
      <c r="D896" s="20" t="str">
        <f aca="false">IFERROR(VLOOKUP(A896,NOMENCLATOR!$A:$E,3,0),"")</f>
        <v>EA</v>
      </c>
      <c r="E896" s="21" t="n">
        <f aca="false">IFERROR(VLOOKUP(A896,NOMENCLATOR!$A:$E,4,0),"")</f>
        <v>2.76925</v>
      </c>
      <c r="F896" s="21" t="n">
        <f aca="false">IF(OR(C896="",E896=""),"",C896*E896)</f>
        <v>13.84625</v>
      </c>
      <c r="G896" s="22" t="n">
        <f aca="false">IFERROR(VLOOKUP(A896,NOMENCLATOR!$A:$E,5,0),"")</f>
        <v>2.76925</v>
      </c>
      <c r="H896" s="22" t="n">
        <f aca="false">IF(OR(C896="",G896=""),"",C896*G896)</f>
        <v>13.84625</v>
      </c>
    </row>
    <row r="897" customFormat="false" ht="15" hidden="false" customHeight="true" outlineLevel="0" collapsed="false">
      <c r="A897" s="17" t="s">
        <v>300</v>
      </c>
      <c r="B897" s="18" t="str">
        <f aca="false">IFERROR(VLOOKUP(A897,NOMENCLATOR!$A:$E,2,0),"")</f>
        <v>Ulei de alune</v>
      </c>
      <c r="C897" s="19" t="n">
        <v>30</v>
      </c>
      <c r="D897" s="20" t="str">
        <f aca="false">IFERROR(VLOOKUP(A897,NOMENCLATOR!$A:$E,3,0),"")</f>
        <v>ML</v>
      </c>
      <c r="E897" s="21" t="n">
        <f aca="false">IFERROR(VLOOKUP(A897,NOMENCLATOR!$A:$E,4,0),"")</f>
        <v>0.0169</v>
      </c>
      <c r="F897" s="21" t="n">
        <f aca="false">IF(OR(C897="",E897=""),"",C897*E897)</f>
        <v>0.507</v>
      </c>
      <c r="G897" s="22" t="n">
        <f aca="false">IFERROR(VLOOKUP(A897,NOMENCLATOR!$A:$E,5,0),"")</f>
        <v>0.0169</v>
      </c>
      <c r="H897" s="22" t="n">
        <f aca="false">IF(OR(C897="",G897=""),"",C897*G897)</f>
        <v>0.507</v>
      </c>
    </row>
    <row r="898" customFormat="false" ht="15" hidden="false" customHeight="true" outlineLevel="0" collapsed="false">
      <c r="A898" s="17" t="s">
        <v>246</v>
      </c>
      <c r="B898" s="18" t="str">
        <f aca="false">IFERROR(VLOOKUP(A898,NOMENCLATOR!$A:$E,2,0),"")</f>
        <v>Punga Alba Pui 15x15</v>
      </c>
      <c r="C898" s="19" t="n">
        <v>1</v>
      </c>
      <c r="D898" s="20" t="str">
        <f aca="false">IFERROR(VLOOKUP(A898,NOMENCLATOR!$A:$E,3,0),"")</f>
        <v>EA</v>
      </c>
      <c r="E898" s="21" t="n">
        <f aca="false">IFERROR(VLOOKUP(A898,NOMENCLATOR!$A:$E,4,0),"")</f>
        <v>0.127</v>
      </c>
      <c r="F898" s="21" t="n">
        <f aca="false">IF(OR(C898="",E898=""),"",C898*E898)</f>
        <v>0.127</v>
      </c>
      <c r="G898" s="22" t="n">
        <f aca="false">IFERROR(VLOOKUP(A898,NOMENCLATOR!$A:$E,5,0),"")</f>
        <v>0.127</v>
      </c>
      <c r="H898" s="22" t="n">
        <f aca="false">IF(OR(C898="",G898=""),"",C898*G898)</f>
        <v>0.127</v>
      </c>
    </row>
    <row r="899" customFormat="false" ht="15" hidden="false" customHeight="true" outlineLevel="0" collapsed="false">
      <c r="A899" s="23" t="str">
        <f aca="false">IF(A894="","",A894)</f>
        <v>HOMESTYLE CRISPY 5 (300G) new D</v>
      </c>
      <c r="B899" s="24"/>
      <c r="C899" s="24"/>
      <c r="D899" s="24"/>
      <c r="E899" s="24"/>
      <c r="F899" s="25" t="n">
        <f aca="false">IF(A894="","",SUM(F896:F898))</f>
        <v>14.48025</v>
      </c>
      <c r="G899" s="24"/>
      <c r="H899" s="26" t="n">
        <f aca="false">IF(A894="","",SUM(H896:H898))</f>
        <v>14.48025</v>
      </c>
    </row>
    <row r="901" customFormat="false" ht="15" hidden="false" customHeight="true" outlineLevel="0" collapsed="false">
      <c r="A901" s="12" t="s">
        <v>417</v>
      </c>
      <c r="B901" s="13"/>
      <c r="C901" s="13"/>
      <c r="D901" s="13"/>
      <c r="E901" s="13"/>
      <c r="F901" s="14" t="s">
        <v>389</v>
      </c>
      <c r="G901" s="13"/>
      <c r="H901" s="15"/>
    </row>
    <row r="902" customFormat="false" ht="15" hidden="false" customHeight="true" outlineLevel="0" collapsed="false">
      <c r="A902" s="16" t="s">
        <v>316</v>
      </c>
      <c r="B902" s="16" t="s">
        <v>317</v>
      </c>
      <c r="C902" s="16" t="s">
        <v>318</v>
      </c>
      <c r="D902" s="16" t="s">
        <v>4</v>
      </c>
      <c r="E902" s="16" t="s">
        <v>319</v>
      </c>
      <c r="F902" s="16" t="s">
        <v>320</v>
      </c>
      <c r="G902" s="16" t="s">
        <v>321</v>
      </c>
      <c r="H902" s="16" t="s">
        <v>322</v>
      </c>
    </row>
    <row r="903" customFormat="false" ht="15" hidden="false" customHeight="true" outlineLevel="0" collapsed="false">
      <c r="A903" s="17" t="s">
        <v>124</v>
      </c>
      <c r="B903" s="18" t="str">
        <f aca="false">IFERROR(VLOOKUP(A903,NOMENCLATOR!$A:$E,2,0),"")</f>
        <v>Frydays Homestyle Chick'n Tender 65g</v>
      </c>
      <c r="C903" s="19" t="n">
        <v>20</v>
      </c>
      <c r="D903" s="20" t="str">
        <f aca="false">IFERROR(VLOOKUP(A903,NOMENCLATOR!$A:$E,3,0),"")</f>
        <v>EA</v>
      </c>
      <c r="E903" s="21" t="n">
        <f aca="false">IFERROR(VLOOKUP(A903,NOMENCLATOR!$A:$E,4,0),"")</f>
        <v>2.76925</v>
      </c>
      <c r="F903" s="21" t="n">
        <f aca="false">IF(OR(C903="",E903=""),"",C903*E903)</f>
        <v>55.385</v>
      </c>
      <c r="G903" s="22" t="n">
        <f aca="false">IFERROR(VLOOKUP(A903,NOMENCLATOR!$A:$E,5,0),"")</f>
        <v>2.76925</v>
      </c>
      <c r="H903" s="22" t="n">
        <f aca="false">IF(OR(C903="",G903=""),"",C903*G903)</f>
        <v>55.385</v>
      </c>
    </row>
    <row r="904" customFormat="false" ht="15" hidden="false" customHeight="true" outlineLevel="0" collapsed="false">
      <c r="A904" s="17" t="s">
        <v>300</v>
      </c>
      <c r="B904" s="18" t="str">
        <f aca="false">IFERROR(VLOOKUP(A904,NOMENCLATOR!$A:$E,2,0),"")</f>
        <v>Ulei de alune</v>
      </c>
      <c r="C904" s="19" t="n">
        <v>120</v>
      </c>
      <c r="D904" s="20" t="str">
        <f aca="false">IFERROR(VLOOKUP(A904,NOMENCLATOR!$A:$E,3,0),"")</f>
        <v>ML</v>
      </c>
      <c r="E904" s="21" t="n">
        <f aca="false">IFERROR(VLOOKUP(A904,NOMENCLATOR!$A:$E,4,0),"")</f>
        <v>0.0169</v>
      </c>
      <c r="F904" s="21" t="n">
        <f aca="false">IF(OR(C904="",E904=""),"",C904*E904)</f>
        <v>2.028</v>
      </c>
      <c r="G904" s="22" t="n">
        <f aca="false">IFERROR(VLOOKUP(A904,NOMENCLATOR!$A:$E,5,0),"")</f>
        <v>0.0169</v>
      </c>
      <c r="H904" s="22" t="n">
        <f aca="false">IF(OR(C904="",G904=""),"",C904*G904)</f>
        <v>2.028</v>
      </c>
    </row>
    <row r="905" customFormat="false" ht="15" hidden="false" customHeight="true" outlineLevel="0" collapsed="false">
      <c r="A905" s="17" t="s">
        <v>44</v>
      </c>
      <c r="B905" s="18" t="str">
        <f aca="false">IFERROR(VLOOKUP(A905,NOMENCLATOR!$A:$E,2,0),"")</f>
        <v>Ambalaj Crispy FRY 300x148x70 (T+M+S)</v>
      </c>
      <c r="C905" s="19" t="n">
        <v>1</v>
      </c>
      <c r="D905" s="20" t="str">
        <f aca="false">IFERROR(VLOOKUP(A905,NOMENCLATOR!$A:$E,3,0),"")</f>
        <v>EA</v>
      </c>
      <c r="E905" s="21" t="n">
        <f aca="false">IFERROR(VLOOKUP(A905,NOMENCLATOR!$A:$E,4,0),"")</f>
        <v>2.06</v>
      </c>
      <c r="F905" s="21" t="n">
        <f aca="false">IF(OR(C905="",E905=""),"",C905*E905)</f>
        <v>2.06</v>
      </c>
      <c r="G905" s="22" t="n">
        <f aca="false">IFERROR(VLOOKUP(A905,NOMENCLATOR!$A:$E,5,0),"")</f>
        <v>2.06</v>
      </c>
      <c r="H905" s="22" t="n">
        <f aca="false">IF(OR(C905="",G905=""),"",C905*G905)</f>
        <v>2.06</v>
      </c>
    </row>
    <row r="906" customFormat="false" ht="15" hidden="false" customHeight="true" outlineLevel="0" collapsed="false">
      <c r="A906" s="23" t="str">
        <f aca="false">IF(A901="","",A901)</f>
        <v>PACK HOMESTYLE CRISPY 20 (1200G) new</v>
      </c>
      <c r="B906" s="24"/>
      <c r="C906" s="24"/>
      <c r="D906" s="24"/>
      <c r="E906" s="24"/>
      <c r="F906" s="25" t="n">
        <f aca="false">IF(A901="","",SUM(F903:F905))</f>
        <v>59.473</v>
      </c>
      <c r="G906" s="24"/>
      <c r="H906" s="26" t="n">
        <f aca="false">IF(A901="","",SUM(H903:H905))</f>
        <v>59.473</v>
      </c>
    </row>
    <row r="908" customFormat="false" ht="15" hidden="false" customHeight="true" outlineLevel="0" collapsed="false">
      <c r="A908" s="12" t="s">
        <v>418</v>
      </c>
      <c r="B908" s="13"/>
      <c r="C908" s="13"/>
      <c r="D908" s="13"/>
      <c r="E908" s="13"/>
      <c r="F908" s="14" t="s">
        <v>389</v>
      </c>
      <c r="G908" s="13"/>
      <c r="H908" s="15"/>
    </row>
    <row r="909" customFormat="false" ht="15" hidden="false" customHeight="true" outlineLevel="0" collapsed="false">
      <c r="A909" s="16" t="s">
        <v>316</v>
      </c>
      <c r="B909" s="16" t="s">
        <v>317</v>
      </c>
      <c r="C909" s="16" t="s">
        <v>318</v>
      </c>
      <c r="D909" s="16" t="s">
        <v>4</v>
      </c>
      <c r="E909" s="16" t="s">
        <v>319</v>
      </c>
      <c r="F909" s="16" t="s">
        <v>320</v>
      </c>
      <c r="G909" s="16" t="s">
        <v>321</v>
      </c>
      <c r="H909" s="16" t="s">
        <v>322</v>
      </c>
    </row>
    <row r="910" customFormat="false" ht="15" hidden="false" customHeight="true" outlineLevel="0" collapsed="false">
      <c r="A910" s="17" t="s">
        <v>124</v>
      </c>
      <c r="B910" s="18" t="str">
        <f aca="false">IFERROR(VLOOKUP(A910,NOMENCLATOR!$A:$E,2,0),"")</f>
        <v>Frydays Homestyle Chick'n Tender 65g</v>
      </c>
      <c r="C910" s="19" t="n">
        <v>20</v>
      </c>
      <c r="D910" s="20" t="str">
        <f aca="false">IFERROR(VLOOKUP(A910,NOMENCLATOR!$A:$E,3,0),"")</f>
        <v>EA</v>
      </c>
      <c r="E910" s="21" t="n">
        <f aca="false">IFERROR(VLOOKUP(A910,NOMENCLATOR!$A:$E,4,0),"")</f>
        <v>2.76925</v>
      </c>
      <c r="F910" s="21" t="n">
        <f aca="false">IF(OR(C910="",E910=""),"",C910*E910)</f>
        <v>55.385</v>
      </c>
      <c r="G910" s="22" t="n">
        <f aca="false">IFERROR(VLOOKUP(A910,NOMENCLATOR!$A:$E,5,0),"")</f>
        <v>2.76925</v>
      </c>
      <c r="H910" s="22" t="n">
        <f aca="false">IF(OR(C910="",G910=""),"",C910*G910)</f>
        <v>55.385</v>
      </c>
    </row>
    <row r="911" customFormat="false" ht="15" hidden="false" customHeight="true" outlineLevel="0" collapsed="false">
      <c r="A911" s="17" t="s">
        <v>300</v>
      </c>
      <c r="B911" s="18" t="str">
        <f aca="false">IFERROR(VLOOKUP(A911,NOMENCLATOR!$A:$E,2,0),"")</f>
        <v>Ulei de alune</v>
      </c>
      <c r="C911" s="19" t="n">
        <v>120</v>
      </c>
      <c r="D911" s="20" t="str">
        <f aca="false">IFERROR(VLOOKUP(A911,NOMENCLATOR!$A:$E,3,0),"")</f>
        <v>ML</v>
      </c>
      <c r="E911" s="21" t="n">
        <f aca="false">IFERROR(VLOOKUP(A911,NOMENCLATOR!$A:$E,4,0),"")</f>
        <v>0.0169</v>
      </c>
      <c r="F911" s="21" t="n">
        <f aca="false">IF(OR(C911="",E911=""),"",C911*E911)</f>
        <v>2.028</v>
      </c>
      <c r="G911" s="22" t="n">
        <f aca="false">IFERROR(VLOOKUP(A911,NOMENCLATOR!$A:$E,5,0),"")</f>
        <v>0.0169</v>
      </c>
      <c r="H911" s="22" t="n">
        <f aca="false">IF(OR(C911="",G911=""),"",C911*G911)</f>
        <v>2.028</v>
      </c>
    </row>
    <row r="912" customFormat="false" ht="15" hidden="false" customHeight="true" outlineLevel="0" collapsed="false">
      <c r="A912" s="17" t="s">
        <v>44</v>
      </c>
      <c r="B912" s="18" t="str">
        <f aca="false">IFERROR(VLOOKUP(A912,NOMENCLATOR!$A:$E,2,0),"")</f>
        <v>Ambalaj Crispy FRY 300x148x70 (T+M+S)</v>
      </c>
      <c r="C912" s="19" t="n">
        <v>1</v>
      </c>
      <c r="D912" s="20" t="str">
        <f aca="false">IFERROR(VLOOKUP(A912,NOMENCLATOR!$A:$E,3,0),"")</f>
        <v>EA</v>
      </c>
      <c r="E912" s="21" t="n">
        <f aca="false">IFERROR(VLOOKUP(A912,NOMENCLATOR!$A:$E,4,0),"")</f>
        <v>2.06</v>
      </c>
      <c r="F912" s="21" t="n">
        <f aca="false">IF(OR(C912="",E912=""),"",C912*E912)</f>
        <v>2.06</v>
      </c>
      <c r="G912" s="22" t="n">
        <f aca="false">IFERROR(VLOOKUP(A912,NOMENCLATOR!$A:$E,5,0),"")</f>
        <v>2.06</v>
      </c>
      <c r="H912" s="22" t="n">
        <f aca="false">IF(OR(C912="",G912=""),"",C912*G912)</f>
        <v>2.06</v>
      </c>
    </row>
    <row r="913" customFormat="false" ht="15" hidden="false" customHeight="true" outlineLevel="0" collapsed="false">
      <c r="A913" s="23" t="str">
        <f aca="false">IF(A908="","",A908)</f>
        <v>PACK HOMESTYLE CRISPY 20 (1200G) new D</v>
      </c>
      <c r="B913" s="24"/>
      <c r="C913" s="24"/>
      <c r="D913" s="24"/>
      <c r="E913" s="24"/>
      <c r="F913" s="25" t="n">
        <f aca="false">IF(A908="","",SUM(F910:F912))</f>
        <v>59.473</v>
      </c>
      <c r="G913" s="24"/>
      <c r="H913" s="26" t="n">
        <f aca="false">IF(A908="","",SUM(H910:H912))</f>
        <v>59.473</v>
      </c>
    </row>
    <row r="915" customFormat="false" ht="15" hidden="false" customHeight="true" outlineLevel="0" collapsed="false">
      <c r="A915" s="12" t="s">
        <v>419</v>
      </c>
      <c r="B915" s="13"/>
      <c r="C915" s="13"/>
      <c r="D915" s="13"/>
      <c r="E915" s="13"/>
      <c r="F915" s="14" t="s">
        <v>389</v>
      </c>
      <c r="G915" s="13"/>
      <c r="H915" s="15"/>
    </row>
    <row r="916" customFormat="false" ht="15" hidden="false" customHeight="true" outlineLevel="0" collapsed="false">
      <c r="A916" s="16" t="s">
        <v>316</v>
      </c>
      <c r="B916" s="16" t="s">
        <v>317</v>
      </c>
      <c r="C916" s="16" t="s">
        <v>318</v>
      </c>
      <c r="D916" s="16" t="s">
        <v>4</v>
      </c>
      <c r="E916" s="16" t="s">
        <v>319</v>
      </c>
      <c r="F916" s="16" t="s">
        <v>320</v>
      </c>
      <c r="G916" s="16" t="s">
        <v>321</v>
      </c>
      <c r="H916" s="16" t="s">
        <v>322</v>
      </c>
    </row>
    <row r="917" customFormat="false" ht="15" hidden="false" customHeight="true" outlineLevel="0" collapsed="false">
      <c r="A917" s="17" t="s">
        <v>54</v>
      </c>
      <c r="B917" s="18" t="str">
        <f aca="false">IFERROR(VLOOKUP(A917,NOMENCLATOR!$A:$E,2,0),"")</f>
        <v>Aripioare de pui nepicante</v>
      </c>
      <c r="C917" s="19" t="n">
        <v>30</v>
      </c>
      <c r="D917" s="20" t="str">
        <f aca="false">IFERROR(VLOOKUP(A917,NOMENCLATOR!$A:$E,3,0),"")</f>
        <v>EA</v>
      </c>
      <c r="E917" s="21" t="n">
        <f aca="false">IFERROR(VLOOKUP(A917,NOMENCLATOR!$A:$E,4,0),"")</f>
        <v>1.39123</v>
      </c>
      <c r="F917" s="21" t="n">
        <f aca="false">IF(OR(C917="",E917=""),"",C917*E917)</f>
        <v>41.7369</v>
      </c>
      <c r="G917" s="22" t="n">
        <f aca="false">IFERROR(VLOOKUP(A917,NOMENCLATOR!$A:$E,5,0),"")</f>
        <v>1.39123</v>
      </c>
      <c r="H917" s="22" t="n">
        <f aca="false">IF(OR(C917="",G917=""),"",C917*G917)</f>
        <v>41.7369</v>
      </c>
    </row>
    <row r="918" customFormat="false" ht="15" hidden="false" customHeight="true" outlineLevel="0" collapsed="false">
      <c r="A918" s="17" t="s">
        <v>300</v>
      </c>
      <c r="B918" s="18" t="str">
        <f aca="false">IFERROR(VLOOKUP(A918,NOMENCLATOR!$A:$E,2,0),"")</f>
        <v>Ulei de alune</v>
      </c>
      <c r="C918" s="19" t="n">
        <v>120</v>
      </c>
      <c r="D918" s="20" t="str">
        <f aca="false">IFERROR(VLOOKUP(A918,NOMENCLATOR!$A:$E,3,0),"")</f>
        <v>ML</v>
      </c>
      <c r="E918" s="21" t="n">
        <f aca="false">IFERROR(VLOOKUP(A918,NOMENCLATOR!$A:$E,4,0),"")</f>
        <v>0.0169</v>
      </c>
      <c r="F918" s="21" t="n">
        <f aca="false">IF(OR(C918="",E918=""),"",C918*E918)</f>
        <v>2.028</v>
      </c>
      <c r="G918" s="22" t="n">
        <f aca="false">IFERROR(VLOOKUP(A918,NOMENCLATOR!$A:$E,5,0),"")</f>
        <v>0.0169</v>
      </c>
      <c r="H918" s="22" t="n">
        <f aca="false">IF(OR(C918="",G918=""),"",C918*G918)</f>
        <v>2.028</v>
      </c>
    </row>
    <row r="919" customFormat="false" ht="15" hidden="false" customHeight="true" outlineLevel="0" collapsed="false">
      <c r="A919" s="17" t="s">
        <v>44</v>
      </c>
      <c r="B919" s="18" t="str">
        <f aca="false">IFERROR(VLOOKUP(A919,NOMENCLATOR!$A:$E,2,0),"")</f>
        <v>Ambalaj Crispy FRY 300x148x70 (T+M+S)</v>
      </c>
      <c r="C919" s="19" t="n">
        <v>1</v>
      </c>
      <c r="D919" s="20" t="str">
        <f aca="false">IFERROR(VLOOKUP(A919,NOMENCLATOR!$A:$E,3,0),"")</f>
        <v>EA</v>
      </c>
      <c r="E919" s="21" t="n">
        <f aca="false">IFERROR(VLOOKUP(A919,NOMENCLATOR!$A:$E,4,0),"")</f>
        <v>2.06</v>
      </c>
      <c r="F919" s="21" t="n">
        <f aca="false">IF(OR(C919="",E919=""),"",C919*E919)</f>
        <v>2.06</v>
      </c>
      <c r="G919" s="22" t="n">
        <f aca="false">IFERROR(VLOOKUP(A919,NOMENCLATOR!$A:$E,5,0),"")</f>
        <v>2.06</v>
      </c>
      <c r="H919" s="22" t="n">
        <f aca="false">IF(OR(C919="",G919=""),"",C919*G919)</f>
        <v>2.06</v>
      </c>
    </row>
    <row r="920" customFormat="false" ht="15" hidden="false" customHeight="true" outlineLevel="0" collapsed="false">
      <c r="A920" s="23" t="str">
        <f aca="false">IF(A915="","",A915)</f>
        <v>PACK COUNTRY WINGS 30 (900G) new</v>
      </c>
      <c r="B920" s="24"/>
      <c r="C920" s="24"/>
      <c r="D920" s="24"/>
      <c r="E920" s="24"/>
      <c r="F920" s="25" t="n">
        <f aca="false">IF(A915="","",SUM(F917:F919))</f>
        <v>45.8249</v>
      </c>
      <c r="G920" s="24"/>
      <c r="H920" s="26" t="n">
        <f aca="false">IF(A915="","",SUM(H917:H919))</f>
        <v>45.8249</v>
      </c>
    </row>
    <row r="922" customFormat="false" ht="15" hidden="false" customHeight="true" outlineLevel="0" collapsed="false">
      <c r="A922" s="12" t="s">
        <v>420</v>
      </c>
      <c r="B922" s="13"/>
      <c r="C922" s="13"/>
      <c r="D922" s="13"/>
      <c r="E922" s="13"/>
      <c r="F922" s="14" t="s">
        <v>389</v>
      </c>
      <c r="G922" s="13"/>
      <c r="H922" s="15"/>
    </row>
    <row r="923" customFormat="false" ht="15" hidden="false" customHeight="true" outlineLevel="0" collapsed="false">
      <c r="A923" s="16" t="s">
        <v>316</v>
      </c>
      <c r="B923" s="16" t="s">
        <v>317</v>
      </c>
      <c r="C923" s="16" t="s">
        <v>318</v>
      </c>
      <c r="D923" s="16" t="s">
        <v>4</v>
      </c>
      <c r="E923" s="16" t="s">
        <v>319</v>
      </c>
      <c r="F923" s="16" t="s">
        <v>320</v>
      </c>
      <c r="G923" s="16" t="s">
        <v>321</v>
      </c>
      <c r="H923" s="16" t="s">
        <v>322</v>
      </c>
    </row>
    <row r="924" customFormat="false" ht="15" hidden="false" customHeight="true" outlineLevel="0" collapsed="false">
      <c r="A924" s="17" t="s">
        <v>54</v>
      </c>
      <c r="B924" s="18" t="str">
        <f aca="false">IFERROR(VLOOKUP(A924,NOMENCLATOR!$A:$E,2,0),"")</f>
        <v>Aripioare de pui nepicante</v>
      </c>
      <c r="C924" s="19" t="n">
        <v>30</v>
      </c>
      <c r="D924" s="20" t="str">
        <f aca="false">IFERROR(VLOOKUP(A924,NOMENCLATOR!$A:$E,3,0),"")</f>
        <v>EA</v>
      </c>
      <c r="E924" s="21" t="n">
        <f aca="false">IFERROR(VLOOKUP(A924,NOMENCLATOR!$A:$E,4,0),"")</f>
        <v>1.39123</v>
      </c>
      <c r="F924" s="21" t="n">
        <f aca="false">IF(OR(C924="",E924=""),"",C924*E924)</f>
        <v>41.7369</v>
      </c>
      <c r="G924" s="22" t="n">
        <f aca="false">IFERROR(VLOOKUP(A924,NOMENCLATOR!$A:$E,5,0),"")</f>
        <v>1.39123</v>
      </c>
      <c r="H924" s="22" t="n">
        <f aca="false">IF(OR(C924="",G924=""),"",C924*G924)</f>
        <v>41.7369</v>
      </c>
    </row>
    <row r="925" customFormat="false" ht="15" hidden="false" customHeight="true" outlineLevel="0" collapsed="false">
      <c r="A925" s="17" t="s">
        <v>300</v>
      </c>
      <c r="B925" s="18" t="str">
        <f aca="false">IFERROR(VLOOKUP(A925,NOMENCLATOR!$A:$E,2,0),"")</f>
        <v>Ulei de alune</v>
      </c>
      <c r="C925" s="19" t="n">
        <v>120</v>
      </c>
      <c r="D925" s="20" t="str">
        <f aca="false">IFERROR(VLOOKUP(A925,NOMENCLATOR!$A:$E,3,0),"")</f>
        <v>ML</v>
      </c>
      <c r="E925" s="21" t="n">
        <f aca="false">IFERROR(VLOOKUP(A925,NOMENCLATOR!$A:$E,4,0),"")</f>
        <v>0.0169</v>
      </c>
      <c r="F925" s="21" t="n">
        <f aca="false">IF(OR(C925="",E925=""),"",C925*E925)</f>
        <v>2.028</v>
      </c>
      <c r="G925" s="22" t="n">
        <f aca="false">IFERROR(VLOOKUP(A925,NOMENCLATOR!$A:$E,5,0),"")</f>
        <v>0.0169</v>
      </c>
      <c r="H925" s="22" t="n">
        <f aca="false">IF(OR(C925="",G925=""),"",C925*G925)</f>
        <v>2.028</v>
      </c>
    </row>
    <row r="926" customFormat="false" ht="15" hidden="false" customHeight="true" outlineLevel="0" collapsed="false">
      <c r="A926" s="17" t="s">
        <v>44</v>
      </c>
      <c r="B926" s="18" t="str">
        <f aca="false">IFERROR(VLOOKUP(A926,NOMENCLATOR!$A:$E,2,0),"")</f>
        <v>Ambalaj Crispy FRY 300x148x70 (T+M+S)</v>
      </c>
      <c r="C926" s="19" t="n">
        <v>1</v>
      </c>
      <c r="D926" s="20" t="str">
        <f aca="false">IFERROR(VLOOKUP(A926,NOMENCLATOR!$A:$E,3,0),"")</f>
        <v>EA</v>
      </c>
      <c r="E926" s="21" t="n">
        <f aca="false">IFERROR(VLOOKUP(A926,NOMENCLATOR!$A:$E,4,0),"")</f>
        <v>2.06</v>
      </c>
      <c r="F926" s="21" t="n">
        <f aca="false">IF(OR(C926="",E926=""),"",C926*E926)</f>
        <v>2.06</v>
      </c>
      <c r="G926" s="22" t="n">
        <f aca="false">IFERROR(VLOOKUP(A926,NOMENCLATOR!$A:$E,5,0),"")</f>
        <v>2.06</v>
      </c>
      <c r="H926" s="22" t="n">
        <f aca="false">IF(OR(C926="",G926=""),"",C926*G926)</f>
        <v>2.06</v>
      </c>
    </row>
    <row r="927" customFormat="false" ht="15" hidden="false" customHeight="true" outlineLevel="0" collapsed="false">
      <c r="A927" s="23" t="str">
        <f aca="false">IF(A922="","",A922)</f>
        <v>PACK COUNTRY WINGS 30 (900G) new D</v>
      </c>
      <c r="B927" s="24"/>
      <c r="C927" s="24"/>
      <c r="D927" s="24"/>
      <c r="E927" s="24"/>
      <c r="F927" s="25" t="n">
        <f aca="false">IF(A922="","",SUM(F924:F926))</f>
        <v>45.8249</v>
      </c>
      <c r="G927" s="24"/>
      <c r="H927" s="26" t="n">
        <f aca="false">IF(A922="","",SUM(H924:H926))</f>
        <v>45.8249</v>
      </c>
    </row>
    <row r="929" customFormat="false" ht="15" hidden="false" customHeight="true" outlineLevel="0" collapsed="false">
      <c r="A929" s="12" t="s">
        <v>421</v>
      </c>
      <c r="B929" s="13"/>
      <c r="C929" s="13"/>
      <c r="D929" s="13"/>
      <c r="E929" s="13"/>
      <c r="F929" s="14" t="s">
        <v>389</v>
      </c>
      <c r="G929" s="13"/>
      <c r="H929" s="15"/>
    </row>
    <row r="930" customFormat="false" ht="15" hidden="false" customHeight="true" outlineLevel="0" collapsed="false">
      <c r="A930" s="16" t="s">
        <v>316</v>
      </c>
      <c r="B930" s="16" t="s">
        <v>317</v>
      </c>
      <c r="C930" s="16" t="s">
        <v>318</v>
      </c>
      <c r="D930" s="16" t="s">
        <v>4</v>
      </c>
      <c r="E930" s="16" t="s">
        <v>319</v>
      </c>
      <c r="F930" s="16" t="s">
        <v>320</v>
      </c>
      <c r="G930" s="16" t="s">
        <v>321</v>
      </c>
      <c r="H930" s="16" t="s">
        <v>322</v>
      </c>
    </row>
    <row r="931" customFormat="false" ht="15" hidden="false" customHeight="true" outlineLevel="0" collapsed="false">
      <c r="A931" s="17" t="s">
        <v>10</v>
      </c>
      <c r="B931" s="18" t="str">
        <f aca="false">IFERROR(VLOOKUP(A931,NOMENCLATOR!$A:$E,2,0),"")</f>
        <v>1.000 EA Aripioare de pui picante</v>
      </c>
      <c r="C931" s="19" t="n">
        <v>30</v>
      </c>
      <c r="D931" s="20" t="str">
        <f aca="false">IFERROR(VLOOKUP(A931,NOMENCLATOR!$A:$E,3,0),"")</f>
        <v>EA</v>
      </c>
      <c r="E931" s="21" t="n">
        <f aca="false">IFERROR(VLOOKUP(A931,NOMENCLATOR!$A:$E,4,0),"")</f>
        <v>1.50443</v>
      </c>
      <c r="F931" s="21" t="n">
        <f aca="false">IF(OR(C931="",E931=""),"",C931*E931)</f>
        <v>45.1329</v>
      </c>
      <c r="G931" s="22" t="n">
        <f aca="false">IFERROR(VLOOKUP(A931,NOMENCLATOR!$A:$E,5,0),"")</f>
        <v>1.50443</v>
      </c>
      <c r="H931" s="22" t="n">
        <f aca="false">IF(OR(C931="",G931=""),"",C931*G931)</f>
        <v>45.1329</v>
      </c>
    </row>
    <row r="932" customFormat="false" ht="15" hidden="false" customHeight="true" outlineLevel="0" collapsed="false">
      <c r="A932" s="17" t="s">
        <v>300</v>
      </c>
      <c r="B932" s="18" t="str">
        <f aca="false">IFERROR(VLOOKUP(A932,NOMENCLATOR!$A:$E,2,0),"")</f>
        <v>Ulei de alune</v>
      </c>
      <c r="C932" s="19" t="n">
        <v>120</v>
      </c>
      <c r="D932" s="20" t="str">
        <f aca="false">IFERROR(VLOOKUP(A932,NOMENCLATOR!$A:$E,3,0),"")</f>
        <v>ML</v>
      </c>
      <c r="E932" s="21" t="n">
        <f aca="false">IFERROR(VLOOKUP(A932,NOMENCLATOR!$A:$E,4,0),"")</f>
        <v>0.0169</v>
      </c>
      <c r="F932" s="21" t="n">
        <f aca="false">IF(OR(C932="",E932=""),"",C932*E932)</f>
        <v>2.028</v>
      </c>
      <c r="G932" s="22" t="n">
        <f aca="false">IFERROR(VLOOKUP(A932,NOMENCLATOR!$A:$E,5,0),"")</f>
        <v>0.0169</v>
      </c>
      <c r="H932" s="22" t="n">
        <f aca="false">IF(OR(C932="",G932=""),"",C932*G932)</f>
        <v>2.028</v>
      </c>
    </row>
    <row r="933" customFormat="false" ht="15" hidden="false" customHeight="true" outlineLevel="0" collapsed="false">
      <c r="A933" s="17" t="s">
        <v>44</v>
      </c>
      <c r="B933" s="18" t="str">
        <f aca="false">IFERROR(VLOOKUP(A933,NOMENCLATOR!$A:$E,2,0),"")</f>
        <v>Ambalaj Crispy FRY 300x148x70 (T+M+S)</v>
      </c>
      <c r="C933" s="19" t="n">
        <v>1</v>
      </c>
      <c r="D933" s="20" t="str">
        <f aca="false">IFERROR(VLOOKUP(A933,NOMENCLATOR!$A:$E,3,0),"")</f>
        <v>EA</v>
      </c>
      <c r="E933" s="21" t="n">
        <f aca="false">IFERROR(VLOOKUP(A933,NOMENCLATOR!$A:$E,4,0),"")</f>
        <v>2.06</v>
      </c>
      <c r="F933" s="21" t="n">
        <f aca="false">IF(OR(C933="",E933=""),"",C933*E933)</f>
        <v>2.06</v>
      </c>
      <c r="G933" s="22" t="n">
        <f aca="false">IFERROR(VLOOKUP(A933,NOMENCLATOR!$A:$E,5,0),"")</f>
        <v>2.06</v>
      </c>
      <c r="H933" s="22" t="n">
        <f aca="false">IF(OR(C933="",G933=""),"",C933*G933)</f>
        <v>2.06</v>
      </c>
    </row>
    <row r="934" customFormat="false" ht="15" hidden="false" customHeight="true" outlineLevel="0" collapsed="false">
      <c r="A934" s="17" t="s">
        <v>278</v>
      </c>
      <c r="B934" s="18" t="str">
        <f aca="false">IFERROR(VLOOKUP(A934,NOMENCLATOR!$A:$E,2,0),"")</f>
        <v>Servetele umede</v>
      </c>
      <c r="C934" s="19" t="n">
        <v>1</v>
      </c>
      <c r="D934" s="20" t="str">
        <f aca="false">IFERROR(VLOOKUP(A934,NOMENCLATOR!$A:$E,3,0),"")</f>
        <v>EA</v>
      </c>
      <c r="E934" s="21" t="n">
        <f aca="false">IFERROR(VLOOKUP(A934,NOMENCLATOR!$A:$E,4,0),"")</f>
        <v>0.198</v>
      </c>
      <c r="F934" s="21" t="n">
        <f aca="false">IF(OR(C934="",E934=""),"",C934*E934)</f>
        <v>0.198</v>
      </c>
      <c r="G934" s="22" t="n">
        <f aca="false">IFERROR(VLOOKUP(A934,NOMENCLATOR!$A:$E,5,0),"")</f>
        <v>0.198</v>
      </c>
      <c r="H934" s="22" t="n">
        <f aca="false">IF(OR(C934="",G934=""),"",C934*G934)</f>
        <v>0.198</v>
      </c>
    </row>
    <row r="935" customFormat="false" ht="15" hidden="false" customHeight="true" outlineLevel="0" collapsed="false">
      <c r="A935" s="23" t="str">
        <f aca="false">IF(A929="","",A929)</f>
        <v>PACK COUNTRY HOT WINGS 30 (990G) new</v>
      </c>
      <c r="B935" s="24"/>
      <c r="C935" s="24"/>
      <c r="D935" s="24"/>
      <c r="E935" s="24"/>
      <c r="F935" s="25" t="n">
        <f aca="false">IF(A929="","",SUM(F931:F934))</f>
        <v>49.4189</v>
      </c>
      <c r="G935" s="24"/>
      <c r="H935" s="26" t="n">
        <f aca="false">IF(A929="","",SUM(H931:H934))</f>
        <v>49.4189</v>
      </c>
    </row>
    <row r="937" customFormat="false" ht="15" hidden="false" customHeight="true" outlineLevel="0" collapsed="false">
      <c r="A937" s="12" t="s">
        <v>422</v>
      </c>
      <c r="B937" s="13"/>
      <c r="C937" s="13"/>
      <c r="D937" s="13"/>
      <c r="E937" s="13"/>
      <c r="F937" s="14" t="s">
        <v>389</v>
      </c>
      <c r="G937" s="13"/>
      <c r="H937" s="15"/>
    </row>
    <row r="938" customFormat="false" ht="15" hidden="false" customHeight="true" outlineLevel="0" collapsed="false">
      <c r="A938" s="16" t="s">
        <v>316</v>
      </c>
      <c r="B938" s="16" t="s">
        <v>317</v>
      </c>
      <c r="C938" s="16" t="s">
        <v>318</v>
      </c>
      <c r="D938" s="16" t="s">
        <v>4</v>
      </c>
      <c r="E938" s="16" t="s">
        <v>319</v>
      </c>
      <c r="F938" s="16" t="s">
        <v>320</v>
      </c>
      <c r="G938" s="16" t="s">
        <v>321</v>
      </c>
      <c r="H938" s="16" t="s">
        <v>322</v>
      </c>
    </row>
    <row r="939" customFormat="false" ht="15" hidden="false" customHeight="true" outlineLevel="0" collapsed="false">
      <c r="A939" s="17" t="s">
        <v>10</v>
      </c>
      <c r="B939" s="18" t="str">
        <f aca="false">IFERROR(VLOOKUP(A939,NOMENCLATOR!$A:$E,2,0),"")</f>
        <v>1.000 EA Aripioare de pui picante</v>
      </c>
      <c r="C939" s="19" t="n">
        <v>30</v>
      </c>
      <c r="D939" s="20" t="str">
        <f aca="false">IFERROR(VLOOKUP(A939,NOMENCLATOR!$A:$E,3,0),"")</f>
        <v>EA</v>
      </c>
      <c r="E939" s="21" t="n">
        <f aca="false">IFERROR(VLOOKUP(A939,NOMENCLATOR!$A:$E,4,0),"")</f>
        <v>1.50443</v>
      </c>
      <c r="F939" s="21" t="n">
        <f aca="false">IF(OR(C939="",E939=""),"",C939*E939)</f>
        <v>45.1329</v>
      </c>
      <c r="G939" s="22" t="n">
        <f aca="false">IFERROR(VLOOKUP(A939,NOMENCLATOR!$A:$E,5,0),"")</f>
        <v>1.50443</v>
      </c>
      <c r="H939" s="22" t="n">
        <f aca="false">IF(OR(C939="",G939=""),"",C939*G939)</f>
        <v>45.1329</v>
      </c>
    </row>
    <row r="940" customFormat="false" ht="15" hidden="false" customHeight="true" outlineLevel="0" collapsed="false">
      <c r="A940" s="17" t="s">
        <v>300</v>
      </c>
      <c r="B940" s="18" t="str">
        <f aca="false">IFERROR(VLOOKUP(A940,NOMENCLATOR!$A:$E,2,0),"")</f>
        <v>Ulei de alune</v>
      </c>
      <c r="C940" s="19" t="n">
        <v>120</v>
      </c>
      <c r="D940" s="20" t="str">
        <f aca="false">IFERROR(VLOOKUP(A940,NOMENCLATOR!$A:$E,3,0),"")</f>
        <v>ML</v>
      </c>
      <c r="E940" s="21" t="n">
        <f aca="false">IFERROR(VLOOKUP(A940,NOMENCLATOR!$A:$E,4,0),"")</f>
        <v>0.0169</v>
      </c>
      <c r="F940" s="21" t="n">
        <f aca="false">IF(OR(C940="",E940=""),"",C940*E940)</f>
        <v>2.028</v>
      </c>
      <c r="G940" s="22" t="n">
        <f aca="false">IFERROR(VLOOKUP(A940,NOMENCLATOR!$A:$E,5,0),"")</f>
        <v>0.0169</v>
      </c>
      <c r="H940" s="22" t="n">
        <f aca="false">IF(OR(C940="",G940=""),"",C940*G940)</f>
        <v>2.028</v>
      </c>
    </row>
    <row r="941" customFormat="false" ht="15" hidden="false" customHeight="true" outlineLevel="0" collapsed="false">
      <c r="A941" s="17" t="s">
        <v>44</v>
      </c>
      <c r="B941" s="18" t="str">
        <f aca="false">IFERROR(VLOOKUP(A941,NOMENCLATOR!$A:$E,2,0),"")</f>
        <v>Ambalaj Crispy FRY 300x148x70 (T+M+S)</v>
      </c>
      <c r="C941" s="19" t="n">
        <v>1</v>
      </c>
      <c r="D941" s="20" t="str">
        <f aca="false">IFERROR(VLOOKUP(A941,NOMENCLATOR!$A:$E,3,0),"")</f>
        <v>EA</v>
      </c>
      <c r="E941" s="21" t="n">
        <f aca="false">IFERROR(VLOOKUP(A941,NOMENCLATOR!$A:$E,4,0),"")</f>
        <v>2.06</v>
      </c>
      <c r="F941" s="21" t="n">
        <f aca="false">IF(OR(C941="",E941=""),"",C941*E941)</f>
        <v>2.06</v>
      </c>
      <c r="G941" s="22" t="n">
        <f aca="false">IFERROR(VLOOKUP(A941,NOMENCLATOR!$A:$E,5,0),"")</f>
        <v>2.06</v>
      </c>
      <c r="H941" s="22" t="n">
        <f aca="false">IF(OR(C941="",G941=""),"",C941*G941)</f>
        <v>2.06</v>
      </c>
    </row>
    <row r="942" customFormat="false" ht="15" hidden="false" customHeight="true" outlineLevel="0" collapsed="false">
      <c r="A942" s="17" t="s">
        <v>278</v>
      </c>
      <c r="B942" s="18" t="str">
        <f aca="false">IFERROR(VLOOKUP(A942,NOMENCLATOR!$A:$E,2,0),"")</f>
        <v>Servetele umede</v>
      </c>
      <c r="C942" s="19" t="n">
        <v>1</v>
      </c>
      <c r="D942" s="20" t="str">
        <f aca="false">IFERROR(VLOOKUP(A942,NOMENCLATOR!$A:$E,3,0),"")</f>
        <v>EA</v>
      </c>
      <c r="E942" s="21" t="n">
        <f aca="false">IFERROR(VLOOKUP(A942,NOMENCLATOR!$A:$E,4,0),"")</f>
        <v>0.198</v>
      </c>
      <c r="F942" s="21" t="n">
        <f aca="false">IF(OR(C942="",E942=""),"",C942*E942)</f>
        <v>0.198</v>
      </c>
      <c r="G942" s="22" t="n">
        <f aca="false">IFERROR(VLOOKUP(A942,NOMENCLATOR!$A:$E,5,0),"")</f>
        <v>0.198</v>
      </c>
      <c r="H942" s="22" t="n">
        <f aca="false">IF(OR(C942="",G942=""),"",C942*G942)</f>
        <v>0.198</v>
      </c>
    </row>
    <row r="943" customFormat="false" ht="15" hidden="false" customHeight="true" outlineLevel="0" collapsed="false">
      <c r="A943" s="23" t="str">
        <f aca="false">IF(A937="","",A937)</f>
        <v>PACK COUNTRY HOT WINGS 30 (990G) new D</v>
      </c>
      <c r="B943" s="24"/>
      <c r="C943" s="24"/>
      <c r="D943" s="24"/>
      <c r="E943" s="24"/>
      <c r="F943" s="25" t="n">
        <f aca="false">IF(A937="","",SUM(F939:F942))</f>
        <v>49.4189</v>
      </c>
      <c r="G943" s="24"/>
      <c r="H943" s="26" t="n">
        <f aca="false">IF(A937="","",SUM(H939:H942))</f>
        <v>49.4189</v>
      </c>
    </row>
    <row r="945" customFormat="false" ht="15" hidden="false" customHeight="true" outlineLevel="0" collapsed="false">
      <c r="A945" s="12" t="s">
        <v>423</v>
      </c>
      <c r="B945" s="13"/>
      <c r="C945" s="13"/>
      <c r="D945" s="13"/>
      <c r="E945" s="13"/>
      <c r="F945" s="14" t="s">
        <v>424</v>
      </c>
      <c r="G945" s="13"/>
      <c r="H945" s="15"/>
    </row>
    <row r="946" customFormat="false" ht="15" hidden="false" customHeight="true" outlineLevel="0" collapsed="false">
      <c r="A946" s="16" t="s">
        <v>316</v>
      </c>
      <c r="B946" s="16" t="s">
        <v>317</v>
      </c>
      <c r="C946" s="16" t="s">
        <v>318</v>
      </c>
      <c r="D946" s="16" t="s">
        <v>4</v>
      </c>
      <c r="E946" s="16" t="s">
        <v>319</v>
      </c>
      <c r="F946" s="16" t="s">
        <v>320</v>
      </c>
      <c r="G946" s="16" t="s">
        <v>321</v>
      </c>
      <c r="H946" s="16" t="s">
        <v>322</v>
      </c>
    </row>
    <row r="947" customFormat="false" ht="15" hidden="false" customHeight="true" outlineLevel="0" collapsed="false">
      <c r="A947" s="17" t="s">
        <v>92</v>
      </c>
      <c r="B947" s="18" t="str">
        <f aca="false">IFERROR(VLOOKUP(A947,NOMENCLATOR!$A:$E,2,0),"")</f>
        <v>Cartofi congelati</v>
      </c>
      <c r="C947" s="19" t="n">
        <v>243</v>
      </c>
      <c r="D947" s="20" t="str">
        <f aca="false">IFERROR(VLOOKUP(A947,NOMENCLATOR!$A:$E,3,0),"")</f>
        <v>GM</v>
      </c>
      <c r="E947" s="21" t="n">
        <f aca="false">IFERROR(VLOOKUP(A947,NOMENCLATOR!$A:$E,4,0),"")</f>
        <v>0.01244</v>
      </c>
      <c r="F947" s="21" t="n">
        <f aca="false">IF(OR(C947="",E947=""),"",C947*E947)</f>
        <v>3.02292</v>
      </c>
      <c r="G947" s="22" t="n">
        <f aca="false">IFERROR(VLOOKUP(A947,NOMENCLATOR!$A:$E,5,0),"")</f>
        <v>0.01244</v>
      </c>
      <c r="H947" s="22" t="n">
        <f aca="false">IF(OR(C947="",G947=""),"",C947*G947)</f>
        <v>3.02292</v>
      </c>
    </row>
    <row r="948" customFormat="false" ht="15" hidden="false" customHeight="true" outlineLevel="0" collapsed="false">
      <c r="A948" s="17" t="s">
        <v>300</v>
      </c>
      <c r="B948" s="18" t="str">
        <f aca="false">IFERROR(VLOOKUP(A948,NOMENCLATOR!$A:$E,2,0),"")</f>
        <v>Ulei de alune</v>
      </c>
      <c r="C948" s="19" t="n">
        <v>18.28</v>
      </c>
      <c r="D948" s="20" t="str">
        <f aca="false">IFERROR(VLOOKUP(A948,NOMENCLATOR!$A:$E,3,0),"")</f>
        <v>ML</v>
      </c>
      <c r="E948" s="21" t="n">
        <f aca="false">IFERROR(VLOOKUP(A948,NOMENCLATOR!$A:$E,4,0),"")</f>
        <v>0.0169</v>
      </c>
      <c r="F948" s="21" t="n">
        <f aca="false">IF(OR(C948="",E948=""),"",C948*E948)</f>
        <v>0.308932</v>
      </c>
      <c r="G948" s="22" t="n">
        <f aca="false">IFERROR(VLOOKUP(A948,NOMENCLATOR!$A:$E,5,0),"")</f>
        <v>0.0169</v>
      </c>
      <c r="H948" s="22" t="n">
        <f aca="false">IF(OR(C948="",G948=""),"",C948*G948)</f>
        <v>0.308932</v>
      </c>
    </row>
    <row r="949" customFormat="false" ht="15" hidden="false" customHeight="true" outlineLevel="0" collapsed="false">
      <c r="A949" s="17" t="s">
        <v>182</v>
      </c>
      <c r="B949" s="18" t="str">
        <f aca="false">IFERROR(VLOOKUP(A949,NOMENCLATOR!$A:$E,2,0),"")</f>
        <v>PAHAR CARTOFI FRY 12OZ - 85MM 2026</v>
      </c>
      <c r="C949" s="19" t="n">
        <v>1</v>
      </c>
      <c r="D949" s="20" t="str">
        <f aca="false">IFERROR(VLOOKUP(A949,NOMENCLATOR!$A:$E,3,0),"")</f>
        <v>EA</v>
      </c>
      <c r="E949" s="21" t="n">
        <f aca="false">IFERROR(VLOOKUP(A949,NOMENCLATOR!$A:$E,4,0),"")</f>
        <v>0.453</v>
      </c>
      <c r="F949" s="21" t="n">
        <f aca="false">IF(OR(C949="",E949=""),"",C949*E949)</f>
        <v>0.453</v>
      </c>
      <c r="G949" s="22" t="n">
        <f aca="false">IFERROR(VLOOKUP(A949,NOMENCLATOR!$A:$E,5,0),"")</f>
        <v>0.453</v>
      </c>
      <c r="H949" s="22" t="n">
        <f aca="false">IF(OR(C949="",G949=""),"",C949*G949)</f>
        <v>0.453</v>
      </c>
    </row>
    <row r="950" customFormat="false" ht="15" hidden="false" customHeight="true" outlineLevel="0" collapsed="false">
      <c r="A950" s="23" t="str">
        <f aca="false">IF(A945="","",A945)</f>
        <v>REALLY CRUNCHY FRIES 170G</v>
      </c>
      <c r="B950" s="24"/>
      <c r="C950" s="24"/>
      <c r="D950" s="24"/>
      <c r="E950" s="24"/>
      <c r="F950" s="25" t="n">
        <f aca="false">IF(A945="","",SUM(F947:F949))</f>
        <v>3.784852</v>
      </c>
      <c r="G950" s="24"/>
      <c r="H950" s="26" t="n">
        <f aca="false">IF(A945="","",SUM(H947:H949))</f>
        <v>3.784852</v>
      </c>
    </row>
    <row r="952" customFormat="false" ht="15" hidden="false" customHeight="true" outlineLevel="0" collapsed="false">
      <c r="A952" s="12" t="s">
        <v>425</v>
      </c>
      <c r="B952" s="13"/>
      <c r="C952" s="13"/>
      <c r="D952" s="13"/>
      <c r="E952" s="13"/>
      <c r="F952" s="14" t="s">
        <v>424</v>
      </c>
      <c r="G952" s="13"/>
      <c r="H952" s="15"/>
    </row>
    <row r="953" customFormat="false" ht="15" hidden="false" customHeight="true" outlineLevel="0" collapsed="false">
      <c r="A953" s="16" t="s">
        <v>316</v>
      </c>
      <c r="B953" s="16" t="s">
        <v>317</v>
      </c>
      <c r="C953" s="16" t="s">
        <v>318</v>
      </c>
      <c r="D953" s="16" t="s">
        <v>4</v>
      </c>
      <c r="E953" s="16" t="s">
        <v>319</v>
      </c>
      <c r="F953" s="16" t="s">
        <v>320</v>
      </c>
      <c r="G953" s="16" t="s">
        <v>321</v>
      </c>
      <c r="H953" s="16" t="s">
        <v>322</v>
      </c>
    </row>
    <row r="954" customFormat="false" ht="15" hidden="false" customHeight="true" outlineLevel="0" collapsed="false">
      <c r="A954" s="17" t="s">
        <v>166</v>
      </c>
      <c r="B954" s="18" t="str">
        <f aca="false">IFERROR(VLOOKUP(A954,NOMENCLATOR!$A:$E,2,0),"")</f>
        <v>LW CRISSCUTS SKIN-ON</v>
      </c>
      <c r="C954" s="19" t="n">
        <v>243</v>
      </c>
      <c r="D954" s="20" t="str">
        <f aca="false">IFERROR(VLOOKUP(A954,NOMENCLATOR!$A:$E,3,0),"")</f>
        <v>GM</v>
      </c>
      <c r="E954" s="21" t="n">
        <f aca="false">IFERROR(VLOOKUP(A954,NOMENCLATOR!$A:$E,4,0),"")</f>
        <v>0.01418</v>
      </c>
      <c r="F954" s="21" t="n">
        <f aca="false">IF(OR(C954="",E954=""),"",C954*E954)</f>
        <v>3.44574</v>
      </c>
      <c r="G954" s="22" t="n">
        <f aca="false">IFERROR(VLOOKUP(A954,NOMENCLATOR!$A:$E,5,0),"")</f>
        <v>0.01418</v>
      </c>
      <c r="H954" s="22" t="n">
        <f aca="false">IF(OR(C954="",G954=""),"",C954*G954)</f>
        <v>3.44574</v>
      </c>
    </row>
    <row r="955" customFormat="false" ht="15" hidden="false" customHeight="true" outlineLevel="0" collapsed="false">
      <c r="A955" s="17" t="s">
        <v>182</v>
      </c>
      <c r="B955" s="18" t="str">
        <f aca="false">IFERROR(VLOOKUP(A955,NOMENCLATOR!$A:$E,2,0),"")</f>
        <v>PAHAR CARTOFI FRY 12OZ - 85MM 2026</v>
      </c>
      <c r="C955" s="19" t="n">
        <v>1</v>
      </c>
      <c r="D955" s="20" t="str">
        <f aca="false">IFERROR(VLOOKUP(A955,NOMENCLATOR!$A:$E,3,0),"")</f>
        <v>EA</v>
      </c>
      <c r="E955" s="21" t="n">
        <f aca="false">IFERROR(VLOOKUP(A955,NOMENCLATOR!$A:$E,4,0),"")</f>
        <v>0.453</v>
      </c>
      <c r="F955" s="21" t="n">
        <f aca="false">IF(OR(C955="",E955=""),"",C955*E955)</f>
        <v>0.453</v>
      </c>
      <c r="G955" s="22" t="n">
        <f aca="false">IFERROR(VLOOKUP(A955,NOMENCLATOR!$A:$E,5,0),"")</f>
        <v>0.453</v>
      </c>
      <c r="H955" s="22" t="n">
        <f aca="false">IF(OR(C955="",G955=""),"",C955*G955)</f>
        <v>0.453</v>
      </c>
    </row>
    <row r="956" customFormat="false" ht="15" hidden="false" customHeight="true" outlineLevel="0" collapsed="false">
      <c r="A956" s="17" t="s">
        <v>300</v>
      </c>
      <c r="B956" s="18" t="str">
        <f aca="false">IFERROR(VLOOKUP(A956,NOMENCLATOR!$A:$E,2,0),"")</f>
        <v>Ulei de alune</v>
      </c>
      <c r="C956" s="19" t="n">
        <v>18.28</v>
      </c>
      <c r="D956" s="20" t="str">
        <f aca="false">IFERROR(VLOOKUP(A956,NOMENCLATOR!$A:$E,3,0),"")</f>
        <v>ML</v>
      </c>
      <c r="E956" s="21" t="n">
        <f aca="false">IFERROR(VLOOKUP(A956,NOMENCLATOR!$A:$E,4,0),"")</f>
        <v>0.0169</v>
      </c>
      <c r="F956" s="21" t="n">
        <f aca="false">IF(OR(C956="",E956=""),"",C956*E956)</f>
        <v>0.308932</v>
      </c>
      <c r="G956" s="22" t="n">
        <f aca="false">IFERROR(VLOOKUP(A956,NOMENCLATOR!$A:$E,5,0),"")</f>
        <v>0.0169</v>
      </c>
      <c r="H956" s="22" t="n">
        <f aca="false">IF(OR(C956="",G956=""),"",C956*G956)</f>
        <v>0.308932</v>
      </c>
    </row>
    <row r="957" customFormat="false" ht="15" hidden="false" customHeight="true" outlineLevel="0" collapsed="false">
      <c r="A957" s="23" t="str">
        <f aca="false">IF(A952="","",A952)</f>
        <v>CARTOFI CRISS CUT 140G new</v>
      </c>
      <c r="B957" s="24"/>
      <c r="C957" s="24"/>
      <c r="D957" s="24"/>
      <c r="E957" s="24"/>
      <c r="F957" s="25" t="n">
        <f aca="false">IF(A952="","",SUM(F954:F956))</f>
        <v>4.207672</v>
      </c>
      <c r="G957" s="24"/>
      <c r="H957" s="26" t="n">
        <f aca="false">IF(A952="","",SUM(H954:H956))</f>
        <v>4.207672</v>
      </c>
    </row>
    <row r="959" customFormat="false" ht="15" hidden="false" customHeight="true" outlineLevel="0" collapsed="false">
      <c r="A959" s="12" t="s">
        <v>426</v>
      </c>
      <c r="B959" s="13"/>
      <c r="C959" s="13"/>
      <c r="D959" s="13"/>
      <c r="E959" s="13"/>
      <c r="F959" s="14" t="s">
        <v>424</v>
      </c>
      <c r="G959" s="13"/>
      <c r="H959" s="15"/>
    </row>
    <row r="960" customFormat="false" ht="15" hidden="false" customHeight="true" outlineLevel="0" collapsed="false">
      <c r="A960" s="16" t="s">
        <v>316</v>
      </c>
      <c r="B960" s="16" t="s">
        <v>317</v>
      </c>
      <c r="C960" s="16" t="s">
        <v>318</v>
      </c>
      <c r="D960" s="16" t="s">
        <v>4</v>
      </c>
      <c r="E960" s="16" t="s">
        <v>319</v>
      </c>
      <c r="F960" s="16" t="s">
        <v>320</v>
      </c>
      <c r="G960" s="16" t="s">
        <v>321</v>
      </c>
      <c r="H960" s="16" t="s">
        <v>322</v>
      </c>
    </row>
    <row r="961" customFormat="false" ht="15" hidden="false" customHeight="true" outlineLevel="0" collapsed="false">
      <c r="A961" s="17" t="s">
        <v>166</v>
      </c>
      <c r="B961" s="18" t="str">
        <f aca="false">IFERROR(VLOOKUP(A961,NOMENCLATOR!$A:$E,2,0),"")</f>
        <v>LW CRISSCUTS SKIN-ON</v>
      </c>
      <c r="C961" s="19" t="n">
        <v>243</v>
      </c>
      <c r="D961" s="20" t="str">
        <f aca="false">IFERROR(VLOOKUP(A961,NOMENCLATOR!$A:$E,3,0),"")</f>
        <v>GM</v>
      </c>
      <c r="E961" s="21" t="n">
        <f aca="false">IFERROR(VLOOKUP(A961,NOMENCLATOR!$A:$E,4,0),"")</f>
        <v>0.01418</v>
      </c>
      <c r="F961" s="21" t="n">
        <f aca="false">IF(OR(C961="",E961=""),"",C961*E961)</f>
        <v>3.44574</v>
      </c>
      <c r="G961" s="22" t="n">
        <f aca="false">IFERROR(VLOOKUP(A961,NOMENCLATOR!$A:$E,5,0),"")</f>
        <v>0.01418</v>
      </c>
      <c r="H961" s="22" t="n">
        <f aca="false">IF(OR(C961="",G961=""),"",C961*G961)</f>
        <v>3.44574</v>
      </c>
    </row>
    <row r="962" customFormat="false" ht="15" hidden="false" customHeight="true" outlineLevel="0" collapsed="false">
      <c r="A962" s="17" t="s">
        <v>182</v>
      </c>
      <c r="B962" s="18" t="str">
        <f aca="false">IFERROR(VLOOKUP(A962,NOMENCLATOR!$A:$E,2,0),"")</f>
        <v>PAHAR CARTOFI FRY 12OZ - 85MM 2026</v>
      </c>
      <c r="C962" s="19" t="n">
        <v>1</v>
      </c>
      <c r="D962" s="20" t="str">
        <f aca="false">IFERROR(VLOOKUP(A962,NOMENCLATOR!$A:$E,3,0),"")</f>
        <v>EA</v>
      </c>
      <c r="E962" s="21" t="n">
        <f aca="false">IFERROR(VLOOKUP(A962,NOMENCLATOR!$A:$E,4,0),"")</f>
        <v>0.453</v>
      </c>
      <c r="F962" s="21" t="n">
        <f aca="false">IF(OR(C962="",E962=""),"",C962*E962)</f>
        <v>0.453</v>
      </c>
      <c r="G962" s="22" t="n">
        <f aca="false">IFERROR(VLOOKUP(A962,NOMENCLATOR!$A:$E,5,0),"")</f>
        <v>0.453</v>
      </c>
      <c r="H962" s="22" t="n">
        <f aca="false">IF(OR(C962="",G962=""),"",C962*G962)</f>
        <v>0.453</v>
      </c>
    </row>
    <row r="963" customFormat="false" ht="15" hidden="false" customHeight="true" outlineLevel="0" collapsed="false">
      <c r="A963" s="17" t="s">
        <v>300</v>
      </c>
      <c r="B963" s="18" t="str">
        <f aca="false">IFERROR(VLOOKUP(A963,NOMENCLATOR!$A:$E,2,0),"")</f>
        <v>Ulei de alune</v>
      </c>
      <c r="C963" s="19" t="n">
        <v>18.281</v>
      </c>
      <c r="D963" s="20" t="str">
        <f aca="false">IFERROR(VLOOKUP(A963,NOMENCLATOR!$A:$E,3,0),"")</f>
        <v>ML</v>
      </c>
      <c r="E963" s="21" t="n">
        <f aca="false">IFERROR(VLOOKUP(A963,NOMENCLATOR!$A:$E,4,0),"")</f>
        <v>0.0169</v>
      </c>
      <c r="F963" s="21" t="n">
        <f aca="false">IF(OR(C963="",E963=""),"",C963*E963)</f>
        <v>0.3089489</v>
      </c>
      <c r="G963" s="22" t="n">
        <f aca="false">IFERROR(VLOOKUP(A963,NOMENCLATOR!$A:$E,5,0),"")</f>
        <v>0.0169</v>
      </c>
      <c r="H963" s="22" t="n">
        <f aca="false">IF(OR(C963="",G963=""),"",C963*G963)</f>
        <v>0.3089489</v>
      </c>
    </row>
    <row r="964" customFormat="false" ht="15" hidden="false" customHeight="true" outlineLevel="0" collapsed="false">
      <c r="A964" s="23" t="str">
        <f aca="false">IF(A959="","",A959)</f>
        <v>CARTOFI CRISS CUT D</v>
      </c>
      <c r="B964" s="24"/>
      <c r="C964" s="24"/>
      <c r="D964" s="24"/>
      <c r="E964" s="24"/>
      <c r="F964" s="25" t="n">
        <f aca="false">IF(A959="","",SUM(F961:F963))</f>
        <v>4.2076889</v>
      </c>
      <c r="G964" s="24"/>
      <c r="H964" s="26" t="n">
        <f aca="false">IF(A959="","",SUM(H961:H963))</f>
        <v>4.2076889</v>
      </c>
    </row>
    <row r="966" customFormat="false" ht="15" hidden="false" customHeight="true" outlineLevel="0" collapsed="false">
      <c r="A966" s="12" t="s">
        <v>427</v>
      </c>
      <c r="B966" s="13"/>
      <c r="C966" s="13"/>
      <c r="D966" s="13"/>
      <c r="E966" s="13"/>
      <c r="F966" s="14" t="s">
        <v>424</v>
      </c>
      <c r="G966" s="13"/>
      <c r="H966" s="15"/>
    </row>
    <row r="967" customFormat="false" ht="15" hidden="false" customHeight="true" outlineLevel="0" collapsed="false">
      <c r="A967" s="16" t="s">
        <v>316</v>
      </c>
      <c r="B967" s="16" t="s">
        <v>317</v>
      </c>
      <c r="C967" s="16" t="s">
        <v>318</v>
      </c>
      <c r="D967" s="16" t="s">
        <v>4</v>
      </c>
      <c r="E967" s="16" t="s">
        <v>319</v>
      </c>
      <c r="F967" s="16" t="s">
        <v>320</v>
      </c>
      <c r="G967" s="16" t="s">
        <v>321</v>
      </c>
      <c r="H967" s="16" t="s">
        <v>322</v>
      </c>
    </row>
    <row r="968" customFormat="false" ht="15" hidden="false" customHeight="true" outlineLevel="0" collapsed="false">
      <c r="A968" s="17" t="s">
        <v>92</v>
      </c>
      <c r="B968" s="18" t="str">
        <f aca="false">IFERROR(VLOOKUP(A968,NOMENCLATOR!$A:$E,2,0),"")</f>
        <v>Cartofi congelati</v>
      </c>
      <c r="C968" s="19" t="n">
        <v>160</v>
      </c>
      <c r="D968" s="20" t="str">
        <f aca="false">IFERROR(VLOOKUP(A968,NOMENCLATOR!$A:$E,3,0),"")</f>
        <v>GM</v>
      </c>
      <c r="E968" s="21" t="n">
        <f aca="false">IFERROR(VLOOKUP(A968,NOMENCLATOR!$A:$E,4,0),"")</f>
        <v>0.01244</v>
      </c>
      <c r="F968" s="21" t="n">
        <f aca="false">IF(OR(C968="",E968=""),"",C968*E968)</f>
        <v>1.9904</v>
      </c>
      <c r="G968" s="22" t="n">
        <f aca="false">IFERROR(VLOOKUP(A968,NOMENCLATOR!$A:$E,5,0),"")</f>
        <v>0.01244</v>
      </c>
      <c r="H968" s="22" t="n">
        <f aca="false">IF(OR(C968="",G968=""),"",C968*G968)</f>
        <v>1.9904</v>
      </c>
    </row>
    <row r="969" customFormat="false" ht="15" hidden="false" customHeight="true" outlineLevel="0" collapsed="false">
      <c r="A969" s="17" t="s">
        <v>104</v>
      </c>
      <c r="B969" s="18" t="str">
        <f aca="false">IFERROR(VLOOKUP(A969,NOMENCLATOR!$A:$E,2,0),"")</f>
        <v>CUTIE CARTOFI FRYDAY 112G 2024</v>
      </c>
      <c r="C969" s="19" t="n">
        <v>1</v>
      </c>
      <c r="D969" s="20" t="str">
        <f aca="false">IFERROR(VLOOKUP(A969,NOMENCLATOR!$A:$E,3,0),"")</f>
        <v>EA</v>
      </c>
      <c r="E969" s="21" t="n">
        <f aca="false">IFERROR(VLOOKUP(A969,NOMENCLATOR!$A:$E,4,0),"")</f>
        <v>0.182</v>
      </c>
      <c r="F969" s="21" t="n">
        <f aca="false">IF(OR(C969="",E969=""),"",C969*E969)</f>
        <v>0.182</v>
      </c>
      <c r="G969" s="22" t="n">
        <f aca="false">IFERROR(VLOOKUP(A969,NOMENCLATOR!$A:$E,5,0),"")</f>
        <v>0.182</v>
      </c>
      <c r="H969" s="22" t="n">
        <f aca="false">IF(OR(C969="",G969=""),"",C969*G969)</f>
        <v>0.182</v>
      </c>
    </row>
    <row r="970" customFormat="false" ht="15" hidden="false" customHeight="true" outlineLevel="0" collapsed="false">
      <c r="A970" s="17" t="s">
        <v>300</v>
      </c>
      <c r="B970" s="18" t="str">
        <f aca="false">IFERROR(VLOOKUP(A970,NOMENCLATOR!$A:$E,2,0),"")</f>
        <v>Ulei de alune</v>
      </c>
      <c r="C970" s="19" t="n">
        <v>12</v>
      </c>
      <c r="D970" s="20" t="str">
        <f aca="false">IFERROR(VLOOKUP(A970,NOMENCLATOR!$A:$E,3,0),"")</f>
        <v>ML</v>
      </c>
      <c r="E970" s="21" t="n">
        <f aca="false">IFERROR(VLOOKUP(A970,NOMENCLATOR!$A:$E,4,0),"")</f>
        <v>0.0169</v>
      </c>
      <c r="F970" s="21" t="n">
        <f aca="false">IF(OR(C970="",E970=""),"",C970*E970)</f>
        <v>0.2028</v>
      </c>
      <c r="G970" s="22" t="n">
        <f aca="false">IFERROR(VLOOKUP(A970,NOMENCLATOR!$A:$E,5,0),"")</f>
        <v>0.0169</v>
      </c>
      <c r="H970" s="22" t="n">
        <f aca="false">IF(OR(C970="",G970=""),"",C970*G970)</f>
        <v>0.2028</v>
      </c>
    </row>
    <row r="971" customFormat="false" ht="15" hidden="false" customHeight="true" outlineLevel="0" collapsed="false">
      <c r="A971" s="23" t="str">
        <f aca="false">IF(A966="","",A966)</f>
        <v>Cartofi prajiti in ulei de alune 112g D New</v>
      </c>
      <c r="B971" s="24"/>
      <c r="C971" s="24"/>
      <c r="D971" s="24"/>
      <c r="E971" s="24"/>
      <c r="F971" s="25" t="n">
        <f aca="false">IF(A966="","",SUM(F968:F970))</f>
        <v>2.3752</v>
      </c>
      <c r="G971" s="24"/>
      <c r="H971" s="26" t="n">
        <f aca="false">IF(A966="","",SUM(H968:H970))</f>
        <v>2.3752</v>
      </c>
    </row>
    <row r="973" customFormat="false" ht="15" hidden="false" customHeight="true" outlineLevel="0" collapsed="false">
      <c r="A973" s="12" t="s">
        <v>428</v>
      </c>
      <c r="B973" s="13"/>
      <c r="C973" s="13"/>
      <c r="D973" s="13"/>
      <c r="E973" s="13"/>
      <c r="F973" s="14" t="s">
        <v>424</v>
      </c>
      <c r="G973" s="13"/>
      <c r="H973" s="15"/>
    </row>
    <row r="974" customFormat="false" ht="15" hidden="false" customHeight="true" outlineLevel="0" collapsed="false">
      <c r="A974" s="16" t="s">
        <v>316</v>
      </c>
      <c r="B974" s="16" t="s">
        <v>317</v>
      </c>
      <c r="C974" s="16" t="s">
        <v>318</v>
      </c>
      <c r="D974" s="16" t="s">
        <v>4</v>
      </c>
      <c r="E974" s="16" t="s">
        <v>319</v>
      </c>
      <c r="F974" s="16" t="s">
        <v>320</v>
      </c>
      <c r="G974" s="16" t="s">
        <v>321</v>
      </c>
      <c r="H974" s="16" t="s">
        <v>322</v>
      </c>
    </row>
    <row r="975" customFormat="false" ht="15" hidden="false" customHeight="true" outlineLevel="0" collapsed="false">
      <c r="A975" s="17" t="s">
        <v>106</v>
      </c>
      <c r="B975" s="18" t="str">
        <f aca="false">IFERROR(VLOOKUP(A975,NOMENCLATOR!$A:$E,2,0),"")</f>
        <v>CUTIE CARTOFI FRYDAY 150G 2024</v>
      </c>
      <c r="C975" s="19" t="n">
        <v>1</v>
      </c>
      <c r="D975" s="20" t="str">
        <f aca="false">IFERROR(VLOOKUP(A975,NOMENCLATOR!$A:$E,3,0),"")</f>
        <v>EA</v>
      </c>
      <c r="E975" s="21" t="n">
        <f aca="false">IFERROR(VLOOKUP(A975,NOMENCLATOR!$A:$E,4,0),"")</f>
        <v>0.24</v>
      </c>
      <c r="F975" s="21" t="n">
        <f aca="false">IF(OR(C975="",E975=""),"",C975*E975)</f>
        <v>0.24</v>
      </c>
      <c r="G975" s="22" t="n">
        <f aca="false">IFERROR(VLOOKUP(A975,NOMENCLATOR!$A:$E,5,0),"")</f>
        <v>0.24</v>
      </c>
      <c r="H975" s="22" t="n">
        <f aca="false">IF(OR(C975="",G975=""),"",C975*G975)</f>
        <v>0.24</v>
      </c>
    </row>
    <row r="976" customFormat="false" ht="15" hidden="false" customHeight="true" outlineLevel="0" collapsed="false">
      <c r="A976" s="17" t="s">
        <v>300</v>
      </c>
      <c r="B976" s="18" t="str">
        <f aca="false">IFERROR(VLOOKUP(A976,NOMENCLATOR!$A:$E,2,0),"")</f>
        <v>Ulei de alune</v>
      </c>
      <c r="C976" s="19" t="n">
        <v>40.2</v>
      </c>
      <c r="D976" s="20" t="str">
        <f aca="false">IFERROR(VLOOKUP(A976,NOMENCLATOR!$A:$E,3,0),"")</f>
        <v>ML</v>
      </c>
      <c r="E976" s="21" t="n">
        <f aca="false">IFERROR(VLOOKUP(A976,NOMENCLATOR!$A:$E,4,0),"")</f>
        <v>0.0169</v>
      </c>
      <c r="F976" s="21" t="n">
        <f aca="false">IF(OR(C976="",E976=""),"",C976*E976)</f>
        <v>0.67938</v>
      </c>
      <c r="G976" s="22" t="n">
        <f aca="false">IFERROR(VLOOKUP(A976,NOMENCLATOR!$A:$E,5,0),"")</f>
        <v>0.0169</v>
      </c>
      <c r="H976" s="22" t="n">
        <f aca="false">IF(OR(C976="",G976=""),"",C976*G976)</f>
        <v>0.67938</v>
      </c>
    </row>
    <row r="977" customFormat="false" ht="15" hidden="false" customHeight="true" outlineLevel="0" collapsed="false">
      <c r="A977" s="17" t="s">
        <v>92</v>
      </c>
      <c r="B977" s="18" t="str">
        <f aca="false">IFERROR(VLOOKUP(A977,NOMENCLATOR!$A:$E,2,0),"")</f>
        <v>Cartofi congelati</v>
      </c>
      <c r="C977" s="19" t="n">
        <v>300</v>
      </c>
      <c r="D977" s="20" t="str">
        <f aca="false">IFERROR(VLOOKUP(A977,NOMENCLATOR!$A:$E,3,0),"")</f>
        <v>GM</v>
      </c>
      <c r="E977" s="21" t="n">
        <f aca="false">IFERROR(VLOOKUP(A977,NOMENCLATOR!$A:$E,4,0),"")</f>
        <v>0.01244</v>
      </c>
      <c r="F977" s="21" t="n">
        <f aca="false">IF(OR(C977="",E977=""),"",C977*E977)</f>
        <v>3.732</v>
      </c>
      <c r="G977" s="22" t="n">
        <f aca="false">IFERROR(VLOOKUP(A977,NOMENCLATOR!$A:$E,5,0),"")</f>
        <v>0.01244</v>
      </c>
      <c r="H977" s="22" t="n">
        <f aca="false">IF(OR(C977="",G977=""),"",C977*G977)</f>
        <v>3.732</v>
      </c>
    </row>
    <row r="978" customFormat="false" ht="15" hidden="false" customHeight="true" outlineLevel="0" collapsed="false">
      <c r="A978" s="23" t="str">
        <f aca="false">IF(A973="","",A973)</f>
        <v>Cartofi prajiti in ulei de alune 150g D New</v>
      </c>
      <c r="B978" s="24"/>
      <c r="C978" s="24"/>
      <c r="D978" s="24"/>
      <c r="E978" s="24"/>
      <c r="F978" s="25" t="n">
        <f aca="false">IF(A973="","",SUM(F975:F977))</f>
        <v>4.65138</v>
      </c>
      <c r="G978" s="24"/>
      <c r="H978" s="26" t="n">
        <f aca="false">IF(A973="","",SUM(H975:H977))</f>
        <v>4.65138</v>
      </c>
    </row>
    <row r="980" customFormat="false" ht="15" hidden="false" customHeight="true" outlineLevel="0" collapsed="false">
      <c r="A980" s="12" t="s">
        <v>429</v>
      </c>
      <c r="B980" s="13"/>
      <c r="C980" s="13"/>
      <c r="D980" s="13"/>
      <c r="E980" s="13"/>
      <c r="F980" s="14" t="s">
        <v>424</v>
      </c>
      <c r="G980" s="13"/>
      <c r="H980" s="15"/>
    </row>
    <row r="981" customFormat="false" ht="15" hidden="false" customHeight="true" outlineLevel="0" collapsed="false">
      <c r="A981" s="16" t="s">
        <v>316</v>
      </c>
      <c r="B981" s="16" t="s">
        <v>317</v>
      </c>
      <c r="C981" s="16" t="s">
        <v>318</v>
      </c>
      <c r="D981" s="16" t="s">
        <v>4</v>
      </c>
      <c r="E981" s="16" t="s">
        <v>319</v>
      </c>
      <c r="F981" s="16" t="s">
        <v>320</v>
      </c>
      <c r="G981" s="16" t="s">
        <v>321</v>
      </c>
      <c r="H981" s="16" t="s">
        <v>322</v>
      </c>
    </row>
    <row r="982" customFormat="false" ht="15" hidden="false" customHeight="true" outlineLevel="0" collapsed="false">
      <c r="A982" s="17" t="s">
        <v>92</v>
      </c>
      <c r="B982" s="18" t="str">
        <f aca="false">IFERROR(VLOOKUP(A982,NOMENCLATOR!$A:$E,2,0),"")</f>
        <v>Cartofi congelati</v>
      </c>
      <c r="C982" s="19" t="n">
        <v>358</v>
      </c>
      <c r="D982" s="20" t="str">
        <f aca="false">IFERROR(VLOOKUP(A982,NOMENCLATOR!$A:$E,3,0),"")</f>
        <v>GM</v>
      </c>
      <c r="E982" s="21" t="n">
        <f aca="false">IFERROR(VLOOKUP(A982,NOMENCLATOR!$A:$E,4,0),"")</f>
        <v>0.01244</v>
      </c>
      <c r="F982" s="21" t="n">
        <f aca="false">IF(OR(C982="",E982=""),"",C982*E982)</f>
        <v>4.45352</v>
      </c>
      <c r="G982" s="22" t="n">
        <f aca="false">IFERROR(VLOOKUP(A982,NOMENCLATOR!$A:$E,5,0),"")</f>
        <v>0.01244</v>
      </c>
      <c r="H982" s="22" t="n">
        <f aca="false">IF(OR(C982="",G982=""),"",C982*G982)</f>
        <v>4.45352</v>
      </c>
    </row>
    <row r="983" customFormat="false" ht="15" hidden="false" customHeight="true" outlineLevel="0" collapsed="false">
      <c r="A983" s="17" t="s">
        <v>108</v>
      </c>
      <c r="B983" s="18" t="str">
        <f aca="false">IFERROR(VLOOKUP(A983,NOMENCLATOR!$A:$E,2,0),"")</f>
        <v>CUTIE CARTOFI FRYDAY 250G 2024</v>
      </c>
      <c r="C983" s="19" t="n">
        <v>1</v>
      </c>
      <c r="D983" s="20" t="str">
        <f aca="false">IFERROR(VLOOKUP(A983,NOMENCLATOR!$A:$E,3,0),"")</f>
        <v>EA</v>
      </c>
      <c r="E983" s="21" t="n">
        <f aca="false">IFERROR(VLOOKUP(A983,NOMENCLATOR!$A:$E,4,0),"")</f>
        <v>0.35</v>
      </c>
      <c r="F983" s="21" t="n">
        <f aca="false">IF(OR(C983="",E983=""),"",C983*E983)</f>
        <v>0.35</v>
      </c>
      <c r="G983" s="22" t="n">
        <f aca="false">IFERROR(VLOOKUP(A983,NOMENCLATOR!$A:$E,5,0),"")</f>
        <v>0.35</v>
      </c>
      <c r="H983" s="22" t="n">
        <f aca="false">IF(OR(C983="",G983=""),"",C983*G983)</f>
        <v>0.35</v>
      </c>
    </row>
    <row r="984" customFormat="false" ht="15" hidden="false" customHeight="true" outlineLevel="0" collapsed="false">
      <c r="A984" s="17" t="s">
        <v>300</v>
      </c>
      <c r="B984" s="18" t="str">
        <f aca="false">IFERROR(VLOOKUP(A984,NOMENCLATOR!$A:$E,2,0),"")</f>
        <v>Ulei de alune</v>
      </c>
      <c r="C984" s="19" t="n">
        <v>27</v>
      </c>
      <c r="D984" s="20" t="str">
        <f aca="false">IFERROR(VLOOKUP(A984,NOMENCLATOR!$A:$E,3,0),"")</f>
        <v>ML</v>
      </c>
      <c r="E984" s="21" t="n">
        <f aca="false">IFERROR(VLOOKUP(A984,NOMENCLATOR!$A:$E,4,0),"")</f>
        <v>0.0169</v>
      </c>
      <c r="F984" s="21" t="n">
        <f aca="false">IF(OR(C984="",E984=""),"",C984*E984)</f>
        <v>0.4563</v>
      </c>
      <c r="G984" s="22" t="n">
        <f aca="false">IFERROR(VLOOKUP(A984,NOMENCLATOR!$A:$E,5,0),"")</f>
        <v>0.0169</v>
      </c>
      <c r="H984" s="22" t="n">
        <f aca="false">IF(OR(C984="",G984=""),"",C984*G984)</f>
        <v>0.4563</v>
      </c>
    </row>
    <row r="985" customFormat="false" ht="15" hidden="false" customHeight="true" outlineLevel="0" collapsed="false">
      <c r="A985" s="23" t="str">
        <f aca="false">IF(A980="","",A980)</f>
        <v>Cartofi prajiti in ulei de alune SuperSize 250g D New</v>
      </c>
      <c r="B985" s="24"/>
      <c r="C985" s="24"/>
      <c r="D985" s="24"/>
      <c r="E985" s="24"/>
      <c r="F985" s="25" t="n">
        <f aca="false">IF(A980="","",SUM(F982:F984))</f>
        <v>5.25982</v>
      </c>
      <c r="G985" s="24"/>
      <c r="H985" s="26" t="n">
        <f aca="false">IF(A980="","",SUM(H982:H984))</f>
        <v>5.25982</v>
      </c>
    </row>
    <row r="987" customFormat="false" ht="15" hidden="false" customHeight="true" outlineLevel="0" collapsed="false">
      <c r="A987" s="12" t="s">
        <v>430</v>
      </c>
      <c r="B987" s="13"/>
      <c r="C987" s="13"/>
      <c r="D987" s="13"/>
      <c r="E987" s="13"/>
      <c r="F987" s="14" t="s">
        <v>431</v>
      </c>
      <c r="G987" s="13"/>
      <c r="H987" s="15"/>
    </row>
    <row r="988" customFormat="false" ht="15" hidden="false" customHeight="true" outlineLevel="0" collapsed="false">
      <c r="A988" s="16" t="s">
        <v>316</v>
      </c>
      <c r="B988" s="16" t="s">
        <v>317</v>
      </c>
      <c r="C988" s="16" t="s">
        <v>318</v>
      </c>
      <c r="D988" s="16" t="s">
        <v>4</v>
      </c>
      <c r="E988" s="16" t="s">
        <v>319</v>
      </c>
      <c r="F988" s="16" t="s">
        <v>320</v>
      </c>
      <c r="G988" s="16" t="s">
        <v>321</v>
      </c>
      <c r="H988" s="16" t="s">
        <v>322</v>
      </c>
    </row>
    <row r="989" customFormat="false" ht="15" hidden="false" customHeight="true" outlineLevel="0" collapsed="false">
      <c r="A989" s="17" t="s">
        <v>168</v>
      </c>
      <c r="B989" s="18" t="str">
        <f aca="false">IFERROR(VLOOKUP(A989,NOMENCLATOR!$A:$E,2,0),"")</f>
        <v>Mac&amp;Cheese Bites RAW</v>
      </c>
      <c r="C989" s="19" t="n">
        <v>7</v>
      </c>
      <c r="D989" s="20" t="str">
        <f aca="false">IFERROR(VLOOKUP(A989,NOMENCLATOR!$A:$E,3,0),"")</f>
        <v>EA</v>
      </c>
      <c r="E989" s="21" t="n">
        <f aca="false">IFERROR(VLOOKUP(A989,NOMENCLATOR!$A:$E,4,0),"")</f>
        <v>0.76286</v>
      </c>
      <c r="F989" s="21" t="n">
        <f aca="false">IF(OR(C989="",E989=""),"",C989*E989)</f>
        <v>5.34002</v>
      </c>
      <c r="G989" s="22" t="n">
        <f aca="false">IFERROR(VLOOKUP(A989,NOMENCLATOR!$A:$E,5,0),"")</f>
        <v>0.76286</v>
      </c>
      <c r="H989" s="22" t="n">
        <f aca="false">IF(OR(C989="",G989=""),"",C989*G989)</f>
        <v>5.34002</v>
      </c>
    </row>
    <row r="990" customFormat="false" ht="15" hidden="false" customHeight="true" outlineLevel="0" collapsed="false">
      <c r="A990" s="17" t="s">
        <v>300</v>
      </c>
      <c r="B990" s="18" t="str">
        <f aca="false">IFERROR(VLOOKUP(A990,NOMENCLATOR!$A:$E,2,0),"")</f>
        <v>Ulei de alune</v>
      </c>
      <c r="C990" s="19" t="n">
        <v>21</v>
      </c>
      <c r="D990" s="20" t="str">
        <f aca="false">IFERROR(VLOOKUP(A990,NOMENCLATOR!$A:$E,3,0),"")</f>
        <v>ML</v>
      </c>
      <c r="E990" s="21" t="n">
        <f aca="false">IFERROR(VLOOKUP(A990,NOMENCLATOR!$A:$E,4,0),"")</f>
        <v>0.0169</v>
      </c>
      <c r="F990" s="21" t="n">
        <f aca="false">IF(OR(C990="",E990=""),"",C990*E990)</f>
        <v>0.3549</v>
      </c>
      <c r="G990" s="22" t="n">
        <f aca="false">IFERROR(VLOOKUP(A990,NOMENCLATOR!$A:$E,5,0),"")</f>
        <v>0.0169</v>
      </c>
      <c r="H990" s="22" t="n">
        <f aca="false">IF(OR(C990="",G990=""),"",C990*G990)</f>
        <v>0.3549</v>
      </c>
    </row>
    <row r="991" customFormat="false" ht="15" hidden="false" customHeight="true" outlineLevel="0" collapsed="false">
      <c r="A991" s="17" t="s">
        <v>246</v>
      </c>
      <c r="B991" s="18" t="str">
        <f aca="false">IFERROR(VLOOKUP(A991,NOMENCLATOR!$A:$E,2,0),"")</f>
        <v>Punga Alba Pui 15x15</v>
      </c>
      <c r="C991" s="19" t="n">
        <v>1</v>
      </c>
      <c r="D991" s="20" t="str">
        <f aca="false">IFERROR(VLOOKUP(A991,NOMENCLATOR!$A:$E,3,0),"")</f>
        <v>EA</v>
      </c>
      <c r="E991" s="21" t="n">
        <f aca="false">IFERROR(VLOOKUP(A991,NOMENCLATOR!$A:$E,4,0),"")</f>
        <v>0.127</v>
      </c>
      <c r="F991" s="21" t="n">
        <f aca="false">IF(OR(C991="",E991=""),"",C991*E991)</f>
        <v>0.127</v>
      </c>
      <c r="G991" s="22" t="n">
        <f aca="false">IFERROR(VLOOKUP(A991,NOMENCLATOR!$A:$E,5,0),"")</f>
        <v>0.127</v>
      </c>
      <c r="H991" s="22" t="n">
        <f aca="false">IF(OR(C991="",G991=""),"",C991*G991)</f>
        <v>0.127</v>
      </c>
    </row>
    <row r="992" customFormat="false" ht="15" hidden="false" customHeight="true" outlineLevel="0" collapsed="false">
      <c r="A992" s="23" t="str">
        <f aca="false">IF(A987="","",A987)</f>
        <v>MAC &amp; CHEESY BITES NEW</v>
      </c>
      <c r="B992" s="24"/>
      <c r="C992" s="24"/>
      <c r="D992" s="24"/>
      <c r="E992" s="24"/>
      <c r="F992" s="25" t="n">
        <f aca="false">IF(A987="","",SUM(F989:F991))</f>
        <v>5.82192</v>
      </c>
      <c r="G992" s="24"/>
      <c r="H992" s="26" t="n">
        <f aca="false">IF(A987="","",SUM(H989:H991))</f>
        <v>5.82192</v>
      </c>
    </row>
    <row r="994" customFormat="false" ht="15" hidden="false" customHeight="true" outlineLevel="0" collapsed="false">
      <c r="A994" s="12" t="s">
        <v>432</v>
      </c>
      <c r="B994" s="13"/>
      <c r="C994" s="13"/>
      <c r="D994" s="13"/>
      <c r="E994" s="13"/>
      <c r="F994" s="14" t="s">
        <v>431</v>
      </c>
      <c r="G994" s="13"/>
      <c r="H994" s="15"/>
    </row>
    <row r="995" customFormat="false" ht="15" hidden="false" customHeight="true" outlineLevel="0" collapsed="false">
      <c r="A995" s="16" t="s">
        <v>316</v>
      </c>
      <c r="B995" s="16" t="s">
        <v>317</v>
      </c>
      <c r="C995" s="16" t="s">
        <v>318</v>
      </c>
      <c r="D995" s="16" t="s">
        <v>4</v>
      </c>
      <c r="E995" s="16" t="s">
        <v>319</v>
      </c>
      <c r="F995" s="16" t="s">
        <v>320</v>
      </c>
      <c r="G995" s="16" t="s">
        <v>321</v>
      </c>
      <c r="H995" s="16" t="s">
        <v>322</v>
      </c>
    </row>
    <row r="996" customFormat="false" ht="15" hidden="false" customHeight="true" outlineLevel="0" collapsed="false">
      <c r="A996" s="17" t="s">
        <v>168</v>
      </c>
      <c r="B996" s="18" t="str">
        <f aca="false">IFERROR(VLOOKUP(A996,NOMENCLATOR!$A:$E,2,0),"")</f>
        <v>Mac&amp;Cheese Bites RAW</v>
      </c>
      <c r="C996" s="19" t="n">
        <v>7</v>
      </c>
      <c r="D996" s="20" t="str">
        <f aca="false">IFERROR(VLOOKUP(A996,NOMENCLATOR!$A:$E,3,0),"")</f>
        <v>EA</v>
      </c>
      <c r="E996" s="21" t="n">
        <f aca="false">IFERROR(VLOOKUP(A996,NOMENCLATOR!$A:$E,4,0),"")</f>
        <v>0.76286</v>
      </c>
      <c r="F996" s="21" t="n">
        <f aca="false">IF(OR(C996="",E996=""),"",C996*E996)</f>
        <v>5.34002</v>
      </c>
      <c r="G996" s="22" t="n">
        <f aca="false">IFERROR(VLOOKUP(A996,NOMENCLATOR!$A:$E,5,0),"")</f>
        <v>0.76286</v>
      </c>
      <c r="H996" s="22" t="n">
        <f aca="false">IF(OR(C996="",G996=""),"",C996*G996)</f>
        <v>5.34002</v>
      </c>
    </row>
    <row r="997" customFormat="false" ht="15" hidden="false" customHeight="true" outlineLevel="0" collapsed="false">
      <c r="A997" s="17" t="s">
        <v>300</v>
      </c>
      <c r="B997" s="18" t="str">
        <f aca="false">IFERROR(VLOOKUP(A997,NOMENCLATOR!$A:$E,2,0),"")</f>
        <v>Ulei de alune</v>
      </c>
      <c r="C997" s="19" t="n">
        <v>21</v>
      </c>
      <c r="D997" s="20" t="str">
        <f aca="false">IFERROR(VLOOKUP(A997,NOMENCLATOR!$A:$E,3,0),"")</f>
        <v>ML</v>
      </c>
      <c r="E997" s="21" t="n">
        <f aca="false">IFERROR(VLOOKUP(A997,NOMENCLATOR!$A:$E,4,0),"")</f>
        <v>0.0169</v>
      </c>
      <c r="F997" s="21" t="n">
        <f aca="false">IF(OR(C997="",E997=""),"",C997*E997)</f>
        <v>0.3549</v>
      </c>
      <c r="G997" s="22" t="n">
        <f aca="false">IFERROR(VLOOKUP(A997,NOMENCLATOR!$A:$E,5,0),"")</f>
        <v>0.0169</v>
      </c>
      <c r="H997" s="22" t="n">
        <f aca="false">IF(OR(C997="",G997=""),"",C997*G997)</f>
        <v>0.3549</v>
      </c>
    </row>
    <row r="998" customFormat="false" ht="15" hidden="false" customHeight="true" outlineLevel="0" collapsed="false">
      <c r="A998" s="17" t="s">
        <v>246</v>
      </c>
      <c r="B998" s="18" t="str">
        <f aca="false">IFERROR(VLOOKUP(A998,NOMENCLATOR!$A:$E,2,0),"")</f>
        <v>Punga Alba Pui 15x15</v>
      </c>
      <c r="C998" s="19" t="n">
        <v>1</v>
      </c>
      <c r="D998" s="20" t="str">
        <f aca="false">IFERROR(VLOOKUP(A998,NOMENCLATOR!$A:$E,3,0),"")</f>
        <v>EA</v>
      </c>
      <c r="E998" s="21" t="n">
        <f aca="false">IFERROR(VLOOKUP(A998,NOMENCLATOR!$A:$E,4,0),"")</f>
        <v>0.127</v>
      </c>
      <c r="F998" s="21" t="n">
        <f aca="false">IF(OR(C998="",E998=""),"",C998*E998)</f>
        <v>0.127</v>
      </c>
      <c r="G998" s="22" t="n">
        <f aca="false">IFERROR(VLOOKUP(A998,NOMENCLATOR!$A:$E,5,0),"")</f>
        <v>0.127</v>
      </c>
      <c r="H998" s="22" t="n">
        <f aca="false">IF(OR(C998="",G998=""),"",C998*G998)</f>
        <v>0.127</v>
      </c>
    </row>
    <row r="999" customFormat="false" ht="15" hidden="false" customHeight="true" outlineLevel="0" collapsed="false">
      <c r="A999" s="23" t="str">
        <f aca="false">IF(A994="","",A994)</f>
        <v>MAC &amp; CHEESY BITES NEW D</v>
      </c>
      <c r="B999" s="24"/>
      <c r="C999" s="24"/>
      <c r="D999" s="24"/>
      <c r="E999" s="24"/>
      <c r="F999" s="25" t="n">
        <f aca="false">IF(A994="","",SUM(F996:F998))</f>
        <v>5.82192</v>
      </c>
      <c r="G999" s="24"/>
      <c r="H999" s="26" t="n">
        <f aca="false">IF(A994="","",SUM(H996:H998))</f>
        <v>5.82192</v>
      </c>
    </row>
    <row r="1001" customFormat="false" ht="15" hidden="false" customHeight="true" outlineLevel="0" collapsed="false">
      <c r="A1001" s="12" t="s">
        <v>433</v>
      </c>
      <c r="B1001" s="13"/>
      <c r="C1001" s="13"/>
      <c r="D1001" s="13"/>
      <c r="E1001" s="13"/>
      <c r="F1001" s="14" t="s">
        <v>431</v>
      </c>
      <c r="G1001" s="13"/>
      <c r="H1001" s="15"/>
    </row>
    <row r="1002" customFormat="false" ht="15" hidden="false" customHeight="true" outlineLevel="0" collapsed="false">
      <c r="A1002" s="16" t="s">
        <v>316</v>
      </c>
      <c r="B1002" s="16" t="s">
        <v>317</v>
      </c>
      <c r="C1002" s="16" t="s">
        <v>318</v>
      </c>
      <c r="D1002" s="16" t="s">
        <v>4</v>
      </c>
      <c r="E1002" s="16" t="s">
        <v>319</v>
      </c>
      <c r="F1002" s="16" t="s">
        <v>320</v>
      </c>
      <c r="G1002" s="16" t="s">
        <v>321</v>
      </c>
      <c r="H1002" s="16" t="s">
        <v>322</v>
      </c>
    </row>
    <row r="1003" customFormat="false" ht="15" hidden="false" customHeight="true" outlineLevel="0" collapsed="false">
      <c r="A1003" s="17" t="s">
        <v>238</v>
      </c>
      <c r="B1003" s="18" t="str">
        <f aca="false">IFERROR(VLOOKUP(A1003,NOMENCLATOR!$A:$E,2,0),"")</f>
        <v>Prep Salata Coleslaw</v>
      </c>
      <c r="C1003" s="19" t="n">
        <v>125</v>
      </c>
      <c r="D1003" s="20" t="str">
        <f aca="false">IFERROR(VLOOKUP(A1003,NOMENCLATOR!$A:$E,3,0),"")</f>
        <v>GM</v>
      </c>
      <c r="E1003" s="21" t="n">
        <f aca="false">IFERROR(VLOOKUP(A1003,NOMENCLATOR!$A:$E,4,0),"")</f>
        <v>0.01894</v>
      </c>
      <c r="F1003" s="21" t="n">
        <f aca="false">IF(OR(C1003="",E1003=""),"",C1003*E1003)</f>
        <v>2.3675</v>
      </c>
      <c r="G1003" s="22" t="n">
        <f aca="false">IFERROR(VLOOKUP(A1003,NOMENCLATOR!$A:$E,5,0),"")</f>
        <v>0.01894</v>
      </c>
      <c r="H1003" s="22" t="n">
        <f aca="false">IF(OR(C1003="",G1003=""),"",C1003*G1003)</f>
        <v>2.3675</v>
      </c>
    </row>
    <row r="1004" customFormat="false" ht="15" hidden="false" customHeight="true" outlineLevel="0" collapsed="false">
      <c r="A1004" s="17" t="s">
        <v>66</v>
      </c>
      <c r="B1004" s="18" t="str">
        <f aca="false">IFERROR(VLOOKUP(A1004,NOMENCLATOR!$A:$E,2,0),"")</f>
        <v>BOL SALATA COLESLAW CIRIY226AE1311 Y226 FRYDAY</v>
      </c>
      <c r="C1004" s="19" t="n">
        <v>1</v>
      </c>
      <c r="D1004" s="20" t="str">
        <f aca="false">IFERROR(VLOOKUP(A1004,NOMENCLATOR!$A:$E,3,0),"")</f>
        <v>EA</v>
      </c>
      <c r="E1004" s="21" t="n">
        <f aca="false">IFERROR(VLOOKUP(A1004,NOMENCLATOR!$A:$E,4,0),"")</f>
        <v>0.438</v>
      </c>
      <c r="F1004" s="21" t="n">
        <f aca="false">IF(OR(C1004="",E1004=""),"",C1004*E1004)</f>
        <v>0.438</v>
      </c>
      <c r="G1004" s="22" t="n">
        <f aca="false">IFERROR(VLOOKUP(A1004,NOMENCLATOR!$A:$E,5,0),"")</f>
        <v>0.438</v>
      </c>
      <c r="H1004" s="22" t="n">
        <f aca="false">IF(OR(C1004="",G1004=""),"",C1004*G1004)</f>
        <v>0.438</v>
      </c>
    </row>
    <row r="1005" customFormat="false" ht="15" hidden="false" customHeight="true" outlineLevel="0" collapsed="false">
      <c r="A1005" s="17" t="s">
        <v>78</v>
      </c>
      <c r="B1005" s="18" t="str">
        <f aca="false">IFERROR(VLOOKUP(A1005,NOMENCLATOR!$A:$E,2,0),"")</f>
        <v>CAPAC BOL SALATA COLESLAW LIRISL95S LID Y226 FRYDAY</v>
      </c>
      <c r="C1005" s="19" t="n">
        <v>1</v>
      </c>
      <c r="D1005" s="20" t="str">
        <f aca="false">IFERROR(VLOOKUP(A1005,NOMENCLATOR!$A:$E,3,0),"")</f>
        <v>EA</v>
      </c>
      <c r="E1005" s="21" t="n">
        <f aca="false">IFERROR(VLOOKUP(A1005,NOMENCLATOR!$A:$E,4,0),"")</f>
        <v>0.427</v>
      </c>
      <c r="F1005" s="21" t="n">
        <f aca="false">IF(OR(C1005="",E1005=""),"",C1005*E1005)</f>
        <v>0.427</v>
      </c>
      <c r="G1005" s="22" t="n">
        <f aca="false">IFERROR(VLOOKUP(A1005,NOMENCLATOR!$A:$E,5,0),"")</f>
        <v>0.427</v>
      </c>
      <c r="H1005" s="22" t="n">
        <f aca="false">IF(OR(C1005="",G1005=""),"",C1005*G1005)</f>
        <v>0.427</v>
      </c>
    </row>
    <row r="1006" customFormat="false" ht="15" hidden="false" customHeight="true" outlineLevel="0" collapsed="false">
      <c r="A1006" s="17" t="s">
        <v>126</v>
      </c>
      <c r="B1006" s="18" t="str">
        <f aca="false">IFERROR(VLOOKUP(A1006,NOMENCLATOR!$A:$E,2,0),"")</f>
        <v>Furculita Rosie</v>
      </c>
      <c r="C1006" s="19" t="n">
        <v>1</v>
      </c>
      <c r="D1006" s="20" t="str">
        <f aca="false">IFERROR(VLOOKUP(A1006,NOMENCLATOR!$A:$E,3,0),"")</f>
        <v>EA</v>
      </c>
      <c r="E1006" s="21" t="n">
        <f aca="false">IFERROR(VLOOKUP(A1006,NOMENCLATOR!$A:$E,4,0),"")</f>
        <v>0.27</v>
      </c>
      <c r="F1006" s="21" t="n">
        <f aca="false">IF(OR(C1006="",E1006=""),"",C1006*E1006)</f>
        <v>0.27</v>
      </c>
      <c r="G1006" s="22" t="n">
        <f aca="false">IFERROR(VLOOKUP(A1006,NOMENCLATOR!$A:$E,5,0),"")</f>
        <v>0.27</v>
      </c>
      <c r="H1006" s="22" t="n">
        <f aca="false">IF(OR(C1006="",G1006=""),"",C1006*G1006)</f>
        <v>0.27</v>
      </c>
    </row>
    <row r="1007" customFormat="false" ht="15" hidden="false" customHeight="true" outlineLevel="0" collapsed="false">
      <c r="A1007" s="23" t="str">
        <f aca="false">IF(A1001="","",A1001)</f>
        <v>SALATA COLESLAW NEW</v>
      </c>
      <c r="B1007" s="24"/>
      <c r="C1007" s="24"/>
      <c r="D1007" s="24"/>
      <c r="E1007" s="24"/>
      <c r="F1007" s="25" t="n">
        <f aca="false">IF(A1001="","",SUM(F1003:F1006))</f>
        <v>3.5025</v>
      </c>
      <c r="G1007" s="24"/>
      <c r="H1007" s="26" t="n">
        <f aca="false">IF(A1001="","",SUM(H1003:H1006))</f>
        <v>3.5025</v>
      </c>
    </row>
    <row r="1009" customFormat="false" ht="15" hidden="false" customHeight="true" outlineLevel="0" collapsed="false">
      <c r="A1009" s="12" t="s">
        <v>434</v>
      </c>
      <c r="B1009" s="13"/>
      <c r="C1009" s="13"/>
      <c r="D1009" s="13"/>
      <c r="E1009" s="13"/>
      <c r="F1009" s="14" t="s">
        <v>431</v>
      </c>
      <c r="G1009" s="13"/>
      <c r="H1009" s="15"/>
    </row>
    <row r="1010" customFormat="false" ht="15" hidden="false" customHeight="true" outlineLevel="0" collapsed="false">
      <c r="A1010" s="16" t="s">
        <v>316</v>
      </c>
      <c r="B1010" s="16" t="s">
        <v>317</v>
      </c>
      <c r="C1010" s="16" t="s">
        <v>318</v>
      </c>
      <c r="D1010" s="16" t="s">
        <v>4</v>
      </c>
      <c r="E1010" s="16" t="s">
        <v>319</v>
      </c>
      <c r="F1010" s="16" t="s">
        <v>320</v>
      </c>
      <c r="G1010" s="16" t="s">
        <v>321</v>
      </c>
      <c r="H1010" s="16" t="s">
        <v>322</v>
      </c>
    </row>
    <row r="1011" customFormat="false" ht="15" hidden="false" customHeight="true" outlineLevel="0" collapsed="false">
      <c r="A1011" s="17" t="s">
        <v>238</v>
      </c>
      <c r="B1011" s="18" t="str">
        <f aca="false">IFERROR(VLOOKUP(A1011,NOMENCLATOR!$A:$E,2,0),"")</f>
        <v>Prep Salata Coleslaw</v>
      </c>
      <c r="C1011" s="19" t="n">
        <v>125</v>
      </c>
      <c r="D1011" s="20" t="str">
        <f aca="false">IFERROR(VLOOKUP(A1011,NOMENCLATOR!$A:$E,3,0),"")</f>
        <v>GM</v>
      </c>
      <c r="E1011" s="21" t="n">
        <f aca="false">IFERROR(VLOOKUP(A1011,NOMENCLATOR!$A:$E,4,0),"")</f>
        <v>0.01894</v>
      </c>
      <c r="F1011" s="21" t="n">
        <f aca="false">IF(OR(C1011="",E1011=""),"",C1011*E1011)</f>
        <v>2.3675</v>
      </c>
      <c r="G1011" s="22" t="n">
        <f aca="false">IFERROR(VLOOKUP(A1011,NOMENCLATOR!$A:$E,5,0),"")</f>
        <v>0.01894</v>
      </c>
      <c r="H1011" s="22" t="n">
        <f aca="false">IF(OR(C1011="",G1011=""),"",C1011*G1011)</f>
        <v>2.3675</v>
      </c>
    </row>
    <row r="1012" customFormat="false" ht="15" hidden="false" customHeight="true" outlineLevel="0" collapsed="false">
      <c r="A1012" s="17" t="s">
        <v>66</v>
      </c>
      <c r="B1012" s="18" t="str">
        <f aca="false">IFERROR(VLOOKUP(A1012,NOMENCLATOR!$A:$E,2,0),"")</f>
        <v>BOL SALATA COLESLAW CIRIY226AE1311 Y226 FRYDAY</v>
      </c>
      <c r="C1012" s="19" t="n">
        <v>1</v>
      </c>
      <c r="D1012" s="20" t="str">
        <f aca="false">IFERROR(VLOOKUP(A1012,NOMENCLATOR!$A:$E,3,0),"")</f>
        <v>EA</v>
      </c>
      <c r="E1012" s="21" t="n">
        <f aca="false">IFERROR(VLOOKUP(A1012,NOMENCLATOR!$A:$E,4,0),"")</f>
        <v>0.438</v>
      </c>
      <c r="F1012" s="21" t="n">
        <f aca="false">IF(OR(C1012="",E1012=""),"",C1012*E1012)</f>
        <v>0.438</v>
      </c>
      <c r="G1012" s="22" t="n">
        <f aca="false">IFERROR(VLOOKUP(A1012,NOMENCLATOR!$A:$E,5,0),"")</f>
        <v>0.438</v>
      </c>
      <c r="H1012" s="22" t="n">
        <f aca="false">IF(OR(C1012="",G1012=""),"",C1012*G1012)</f>
        <v>0.438</v>
      </c>
    </row>
    <row r="1013" customFormat="false" ht="15" hidden="false" customHeight="true" outlineLevel="0" collapsed="false">
      <c r="A1013" s="17" t="s">
        <v>78</v>
      </c>
      <c r="B1013" s="18" t="str">
        <f aca="false">IFERROR(VLOOKUP(A1013,NOMENCLATOR!$A:$E,2,0),"")</f>
        <v>CAPAC BOL SALATA COLESLAW LIRISL95S LID Y226 FRYDAY</v>
      </c>
      <c r="C1013" s="19" t="n">
        <v>1</v>
      </c>
      <c r="D1013" s="20" t="str">
        <f aca="false">IFERROR(VLOOKUP(A1013,NOMENCLATOR!$A:$E,3,0),"")</f>
        <v>EA</v>
      </c>
      <c r="E1013" s="21" t="n">
        <f aca="false">IFERROR(VLOOKUP(A1013,NOMENCLATOR!$A:$E,4,0),"")</f>
        <v>0.427</v>
      </c>
      <c r="F1013" s="21" t="n">
        <f aca="false">IF(OR(C1013="",E1013=""),"",C1013*E1013)</f>
        <v>0.427</v>
      </c>
      <c r="G1013" s="22" t="n">
        <f aca="false">IFERROR(VLOOKUP(A1013,NOMENCLATOR!$A:$E,5,0),"")</f>
        <v>0.427</v>
      </c>
      <c r="H1013" s="22" t="n">
        <f aca="false">IF(OR(C1013="",G1013=""),"",C1013*G1013)</f>
        <v>0.427</v>
      </c>
    </row>
    <row r="1014" customFormat="false" ht="15" hidden="false" customHeight="true" outlineLevel="0" collapsed="false">
      <c r="A1014" s="17" t="s">
        <v>126</v>
      </c>
      <c r="B1014" s="18" t="str">
        <f aca="false">IFERROR(VLOOKUP(A1014,NOMENCLATOR!$A:$E,2,0),"")</f>
        <v>Furculita Rosie</v>
      </c>
      <c r="C1014" s="19" t="n">
        <v>1</v>
      </c>
      <c r="D1014" s="20" t="str">
        <f aca="false">IFERROR(VLOOKUP(A1014,NOMENCLATOR!$A:$E,3,0),"")</f>
        <v>EA</v>
      </c>
      <c r="E1014" s="21" t="n">
        <f aca="false">IFERROR(VLOOKUP(A1014,NOMENCLATOR!$A:$E,4,0),"")</f>
        <v>0.27</v>
      </c>
      <c r="F1014" s="21" t="n">
        <f aca="false">IF(OR(C1014="",E1014=""),"",C1014*E1014)</f>
        <v>0.27</v>
      </c>
      <c r="G1014" s="22" t="n">
        <f aca="false">IFERROR(VLOOKUP(A1014,NOMENCLATOR!$A:$E,5,0),"")</f>
        <v>0.27</v>
      </c>
      <c r="H1014" s="22" t="n">
        <f aca="false">IF(OR(C1014="",G1014=""),"",C1014*G1014)</f>
        <v>0.27</v>
      </c>
    </row>
    <row r="1015" customFormat="false" ht="15" hidden="false" customHeight="true" outlineLevel="0" collapsed="false">
      <c r="A1015" s="23" t="str">
        <f aca="false">IF(A1009="","",A1009)</f>
        <v>SALATA COLESLAW NEW D</v>
      </c>
      <c r="B1015" s="24"/>
      <c r="C1015" s="24"/>
      <c r="D1015" s="24"/>
      <c r="E1015" s="24"/>
      <c r="F1015" s="25" t="n">
        <f aca="false">IF(A1009="","",SUM(F1011:F1014))</f>
        <v>3.5025</v>
      </c>
      <c r="G1015" s="24"/>
      <c r="H1015" s="26" t="n">
        <f aca="false">IF(A1009="","",SUM(H1011:H1014))</f>
        <v>3.5025</v>
      </c>
    </row>
    <row r="1017" customFormat="false" ht="15" hidden="false" customHeight="true" outlineLevel="0" collapsed="false">
      <c r="A1017" s="12" t="s">
        <v>435</v>
      </c>
      <c r="B1017" s="13"/>
      <c r="C1017" s="13"/>
      <c r="D1017" s="13"/>
      <c r="E1017" s="13"/>
      <c r="F1017" s="14" t="s">
        <v>431</v>
      </c>
      <c r="G1017" s="13"/>
      <c r="H1017" s="15"/>
    </row>
    <row r="1018" customFormat="false" ht="15" hidden="false" customHeight="true" outlineLevel="0" collapsed="false">
      <c r="A1018" s="16" t="s">
        <v>316</v>
      </c>
      <c r="B1018" s="16" t="s">
        <v>317</v>
      </c>
      <c r="C1018" s="16" t="s">
        <v>318</v>
      </c>
      <c r="D1018" s="16" t="s">
        <v>4</v>
      </c>
      <c r="E1018" s="16" t="s">
        <v>319</v>
      </c>
      <c r="F1018" s="16" t="s">
        <v>320</v>
      </c>
      <c r="G1018" s="16" t="s">
        <v>321</v>
      </c>
      <c r="H1018" s="16" t="s">
        <v>322</v>
      </c>
    </row>
    <row r="1019" customFormat="false" ht="15" hidden="false" customHeight="true" outlineLevel="0" collapsed="false">
      <c r="A1019" s="17" t="s">
        <v>56</v>
      </c>
      <c r="B1019" s="18" t="str">
        <f aca="false">IFERROR(VLOOKUP(A1019,NOMENCLATOR!$A:$E,2,0),"")</f>
        <v>Bacon (raw)</v>
      </c>
      <c r="C1019" s="19" t="n">
        <v>10</v>
      </c>
      <c r="D1019" s="20" t="str">
        <f aca="false">IFERROR(VLOOKUP(A1019,NOMENCLATOR!$A:$E,3,0),"")</f>
        <v>GM</v>
      </c>
      <c r="E1019" s="21" t="n">
        <f aca="false">IFERROR(VLOOKUP(A1019,NOMENCLATOR!$A:$E,4,0),"")</f>
        <v>0.04896</v>
      </c>
      <c r="F1019" s="21" t="n">
        <f aca="false">IF(OR(C1019="",E1019=""),"",C1019*E1019)</f>
        <v>0.4896</v>
      </c>
      <c r="G1019" s="22" t="n">
        <f aca="false">IFERROR(VLOOKUP(A1019,NOMENCLATOR!$A:$E,5,0),"")</f>
        <v>0.04896</v>
      </c>
      <c r="H1019" s="22" t="n">
        <f aca="false">IF(OR(C1019="",G1019=""),"",C1019*G1019)</f>
        <v>0.4896</v>
      </c>
    </row>
    <row r="1020" customFormat="false" ht="15" hidden="false" customHeight="true" outlineLevel="0" collapsed="false">
      <c r="A1020" s="23" t="str">
        <f aca="false">IF(A1017="","",A1017)</f>
        <v>ADD Bacon new</v>
      </c>
      <c r="B1020" s="24"/>
      <c r="C1020" s="24"/>
      <c r="D1020" s="24"/>
      <c r="E1020" s="24"/>
      <c r="F1020" s="25" t="n">
        <f aca="false">IF(A1017="","",SUM(F1019:F1019))</f>
        <v>0.4896</v>
      </c>
      <c r="G1020" s="24"/>
      <c r="H1020" s="26" t="n">
        <f aca="false">IF(A1017="","",SUM(H1019:H1019))</f>
        <v>0.4896</v>
      </c>
    </row>
    <row r="1022" customFormat="false" ht="15" hidden="false" customHeight="true" outlineLevel="0" collapsed="false">
      <c r="A1022" s="12" t="s">
        <v>436</v>
      </c>
      <c r="B1022" s="13"/>
      <c r="C1022" s="13"/>
      <c r="D1022" s="13"/>
      <c r="E1022" s="13"/>
      <c r="F1022" s="14" t="s">
        <v>431</v>
      </c>
      <c r="G1022" s="13"/>
      <c r="H1022" s="15"/>
    </row>
    <row r="1023" customFormat="false" ht="15" hidden="false" customHeight="true" outlineLevel="0" collapsed="false">
      <c r="A1023" s="16" t="s">
        <v>316</v>
      </c>
      <c r="B1023" s="16" t="s">
        <v>317</v>
      </c>
      <c r="C1023" s="16" t="s">
        <v>318</v>
      </c>
      <c r="D1023" s="16" t="s">
        <v>4</v>
      </c>
      <c r="E1023" s="16" t="s">
        <v>319</v>
      </c>
      <c r="F1023" s="16" t="s">
        <v>320</v>
      </c>
      <c r="G1023" s="16" t="s">
        <v>321</v>
      </c>
      <c r="H1023" s="16" t="s">
        <v>322</v>
      </c>
    </row>
    <row r="1024" customFormat="false" ht="15" hidden="false" customHeight="true" outlineLevel="0" collapsed="false">
      <c r="A1024" s="17" t="s">
        <v>56</v>
      </c>
      <c r="B1024" s="18" t="str">
        <f aca="false">IFERROR(VLOOKUP(A1024,NOMENCLATOR!$A:$E,2,0),"")</f>
        <v>Bacon (raw)</v>
      </c>
      <c r="C1024" s="19" t="n">
        <v>10</v>
      </c>
      <c r="D1024" s="20" t="str">
        <f aca="false">IFERROR(VLOOKUP(A1024,NOMENCLATOR!$A:$E,3,0),"")</f>
        <v>GM</v>
      </c>
      <c r="E1024" s="21" t="n">
        <f aca="false">IFERROR(VLOOKUP(A1024,NOMENCLATOR!$A:$E,4,0),"")</f>
        <v>0.04896</v>
      </c>
      <c r="F1024" s="21" t="n">
        <f aca="false">IF(OR(C1024="",E1024=""),"",C1024*E1024)</f>
        <v>0.4896</v>
      </c>
      <c r="G1024" s="22" t="n">
        <f aca="false">IFERROR(VLOOKUP(A1024,NOMENCLATOR!$A:$E,5,0),"")</f>
        <v>0.04896</v>
      </c>
      <c r="H1024" s="22" t="n">
        <f aca="false">IF(OR(C1024="",G1024=""),"",C1024*G1024)</f>
        <v>0.4896</v>
      </c>
    </row>
    <row r="1025" customFormat="false" ht="15" hidden="false" customHeight="true" outlineLevel="0" collapsed="false">
      <c r="A1025" s="23" t="str">
        <f aca="false">IF(A1022="","",A1022)</f>
        <v>ADD Bacon new D</v>
      </c>
      <c r="B1025" s="24"/>
      <c r="C1025" s="24"/>
      <c r="D1025" s="24"/>
      <c r="E1025" s="24"/>
      <c r="F1025" s="25" t="n">
        <f aca="false">IF(A1022="","",SUM(F1024:F1024))</f>
        <v>0.4896</v>
      </c>
      <c r="G1025" s="24"/>
      <c r="H1025" s="26" t="n">
        <f aca="false">IF(A1022="","",SUM(H1024:H1024))</f>
        <v>0.4896</v>
      </c>
    </row>
    <row r="1027" customFormat="false" ht="15" hidden="false" customHeight="true" outlineLevel="0" collapsed="false">
      <c r="A1027" s="12" t="s">
        <v>437</v>
      </c>
      <c r="B1027" s="13"/>
      <c r="C1027" s="13"/>
      <c r="D1027" s="13"/>
      <c r="E1027" s="13"/>
      <c r="F1027" s="14" t="s">
        <v>431</v>
      </c>
      <c r="G1027" s="13"/>
      <c r="H1027" s="15"/>
    </row>
    <row r="1028" customFormat="false" ht="15" hidden="false" customHeight="true" outlineLevel="0" collapsed="false">
      <c r="A1028" s="16" t="s">
        <v>316</v>
      </c>
      <c r="B1028" s="16" t="s">
        <v>317</v>
      </c>
      <c r="C1028" s="16" t="s">
        <v>318</v>
      </c>
      <c r="D1028" s="16" t="s">
        <v>4</v>
      </c>
      <c r="E1028" s="16" t="s">
        <v>319</v>
      </c>
      <c r="F1028" s="16" t="s">
        <v>320</v>
      </c>
      <c r="G1028" s="16" t="s">
        <v>321</v>
      </c>
      <c r="H1028" s="16" t="s">
        <v>322</v>
      </c>
    </row>
    <row r="1029" customFormat="false" ht="15" hidden="false" customHeight="true" outlineLevel="0" collapsed="false">
      <c r="A1029" s="17" t="s">
        <v>68</v>
      </c>
      <c r="B1029" s="18" t="str">
        <f aca="false">IFERROR(VLOOKUP(A1029,NOMENCLATOR!$A:$E,2,0),"")</f>
        <v>Branza cheddar felii 2026</v>
      </c>
      <c r="C1029" s="19" t="n">
        <v>1</v>
      </c>
      <c r="D1029" s="20" t="str">
        <f aca="false">IFERROR(VLOOKUP(A1029,NOMENCLATOR!$A:$E,3,0),"")</f>
        <v>EA</v>
      </c>
      <c r="E1029" s="21" t="n">
        <f aca="false">IFERROR(VLOOKUP(A1029,NOMENCLATOR!$A:$E,4,0),"")</f>
        <v>0.61567</v>
      </c>
      <c r="F1029" s="21" t="n">
        <f aca="false">IF(OR(C1029="",E1029=""),"",C1029*E1029)</f>
        <v>0.61567</v>
      </c>
      <c r="G1029" s="22" t="n">
        <f aca="false">IFERROR(VLOOKUP(A1029,NOMENCLATOR!$A:$E,5,0),"")</f>
        <v>0.61567</v>
      </c>
      <c r="H1029" s="22" t="n">
        <f aca="false">IF(OR(C1029="",G1029=""),"",C1029*G1029)</f>
        <v>0.61567</v>
      </c>
    </row>
    <row r="1030" customFormat="false" ht="15" hidden="false" customHeight="true" outlineLevel="0" collapsed="false">
      <c r="A1030" s="23" t="str">
        <f aca="false">IF(A1027="","",A1027)</f>
        <v>ADD FELIE CHEDDAR new</v>
      </c>
      <c r="B1030" s="24"/>
      <c r="C1030" s="24"/>
      <c r="D1030" s="24"/>
      <c r="E1030" s="24"/>
      <c r="F1030" s="25" t="n">
        <f aca="false">IF(A1027="","",SUM(F1029:F1029))</f>
        <v>0.61567</v>
      </c>
      <c r="G1030" s="24"/>
      <c r="H1030" s="26" t="n">
        <f aca="false">IF(A1027="","",SUM(H1029:H1029))</f>
        <v>0.61567</v>
      </c>
    </row>
    <row r="1032" customFormat="false" ht="15" hidden="false" customHeight="true" outlineLevel="0" collapsed="false">
      <c r="A1032" s="12" t="s">
        <v>438</v>
      </c>
      <c r="B1032" s="13"/>
      <c r="C1032" s="13"/>
      <c r="D1032" s="13"/>
      <c r="E1032" s="13"/>
      <c r="F1032" s="14" t="s">
        <v>431</v>
      </c>
      <c r="G1032" s="13"/>
      <c r="H1032" s="15"/>
    </row>
    <row r="1033" customFormat="false" ht="15" hidden="false" customHeight="true" outlineLevel="0" collapsed="false">
      <c r="A1033" s="16" t="s">
        <v>316</v>
      </c>
      <c r="B1033" s="16" t="s">
        <v>317</v>
      </c>
      <c r="C1033" s="16" t="s">
        <v>318</v>
      </c>
      <c r="D1033" s="16" t="s">
        <v>4</v>
      </c>
      <c r="E1033" s="16" t="s">
        <v>319</v>
      </c>
      <c r="F1033" s="16" t="s">
        <v>320</v>
      </c>
      <c r="G1033" s="16" t="s">
        <v>321</v>
      </c>
      <c r="H1033" s="16" t="s">
        <v>322</v>
      </c>
    </row>
    <row r="1034" customFormat="false" ht="15" hidden="false" customHeight="true" outlineLevel="0" collapsed="false">
      <c r="A1034" s="17" t="s">
        <v>68</v>
      </c>
      <c r="B1034" s="18" t="str">
        <f aca="false">IFERROR(VLOOKUP(A1034,NOMENCLATOR!$A:$E,2,0),"")</f>
        <v>Branza cheddar felii 2026</v>
      </c>
      <c r="C1034" s="19" t="n">
        <v>1</v>
      </c>
      <c r="D1034" s="20" t="str">
        <f aca="false">IFERROR(VLOOKUP(A1034,NOMENCLATOR!$A:$E,3,0),"")</f>
        <v>EA</v>
      </c>
      <c r="E1034" s="21" t="n">
        <f aca="false">IFERROR(VLOOKUP(A1034,NOMENCLATOR!$A:$E,4,0),"")</f>
        <v>0.61567</v>
      </c>
      <c r="F1034" s="21" t="n">
        <f aca="false">IF(OR(C1034="",E1034=""),"",C1034*E1034)</f>
        <v>0.61567</v>
      </c>
      <c r="G1034" s="22" t="n">
        <f aca="false">IFERROR(VLOOKUP(A1034,NOMENCLATOR!$A:$E,5,0),"")</f>
        <v>0.61567</v>
      </c>
      <c r="H1034" s="22" t="n">
        <f aca="false">IF(OR(C1034="",G1034=""),"",C1034*G1034)</f>
        <v>0.61567</v>
      </c>
    </row>
    <row r="1035" customFormat="false" ht="15" hidden="false" customHeight="true" outlineLevel="0" collapsed="false">
      <c r="A1035" s="23" t="str">
        <f aca="false">IF(A1032="","",A1032)</f>
        <v>ADD Felie Cheddar new D</v>
      </c>
      <c r="B1035" s="24"/>
      <c r="C1035" s="24"/>
      <c r="D1035" s="24"/>
      <c r="E1035" s="24"/>
      <c r="F1035" s="25" t="n">
        <f aca="false">IF(A1032="","",SUM(F1034:F1034))</f>
        <v>0.61567</v>
      </c>
      <c r="G1035" s="24"/>
      <c r="H1035" s="26" t="n">
        <f aca="false">IF(A1032="","",SUM(H1034:H1034))</f>
        <v>0.61567</v>
      </c>
    </row>
    <row r="1037" customFormat="false" ht="15" hidden="false" customHeight="true" outlineLevel="0" collapsed="false">
      <c r="A1037" s="12" t="s">
        <v>439</v>
      </c>
      <c r="B1037" s="13"/>
      <c r="C1037" s="13"/>
      <c r="D1037" s="13"/>
      <c r="E1037" s="13"/>
      <c r="F1037" s="14" t="s">
        <v>431</v>
      </c>
      <c r="G1037" s="13"/>
      <c r="H1037" s="15"/>
    </row>
    <row r="1038" customFormat="false" ht="15" hidden="false" customHeight="true" outlineLevel="0" collapsed="false">
      <c r="A1038" s="16" t="s">
        <v>316</v>
      </c>
      <c r="B1038" s="16" t="s">
        <v>317</v>
      </c>
      <c r="C1038" s="16" t="s">
        <v>318</v>
      </c>
      <c r="D1038" s="16" t="s">
        <v>4</v>
      </c>
      <c r="E1038" s="16" t="s">
        <v>319</v>
      </c>
      <c r="F1038" s="16" t="s">
        <v>320</v>
      </c>
      <c r="G1038" s="16" t="s">
        <v>321</v>
      </c>
      <c r="H1038" s="16" t="s">
        <v>322</v>
      </c>
    </row>
    <row r="1039" customFormat="false" ht="15" hidden="false" customHeight="true" outlineLevel="0" collapsed="false">
      <c r="A1039" s="17" t="s">
        <v>256</v>
      </c>
      <c r="B1039" s="18" t="str">
        <f aca="false">IFERROR(VLOOKUP(A1039,NOMENCLATOR!$A:$E,2,0),"")</f>
        <v>PUNGA TO GO FRD+PEPSI 26X17X33</v>
      </c>
      <c r="C1039" s="19" t="n">
        <v>1</v>
      </c>
      <c r="D1039" s="20" t="str">
        <f aca="false">IFERROR(VLOOKUP(A1039,NOMENCLATOR!$A:$E,3,0),"")</f>
        <v>EA</v>
      </c>
      <c r="E1039" s="21" t="n">
        <f aca="false">IFERROR(VLOOKUP(A1039,NOMENCLATOR!$A:$E,4,0),"")</f>
        <v>0.939</v>
      </c>
      <c r="F1039" s="21" t="n">
        <f aca="false">IF(OR(C1039="",E1039=""),"",C1039*E1039)</f>
        <v>0.939</v>
      </c>
      <c r="G1039" s="22" t="n">
        <f aca="false">IFERROR(VLOOKUP(A1039,NOMENCLATOR!$A:$E,5,0),"")</f>
        <v>0.939</v>
      </c>
      <c r="H1039" s="22" t="n">
        <f aca="false">IF(OR(C1039="",G1039=""),"",C1039*G1039)</f>
        <v>0.939</v>
      </c>
    </row>
    <row r="1040" customFormat="false" ht="15" hidden="false" customHeight="true" outlineLevel="0" collapsed="false">
      <c r="A1040" s="23" t="str">
        <f aca="false">IF(A1037="","",A1037)</f>
        <v>Punga</v>
      </c>
      <c r="B1040" s="24"/>
      <c r="C1040" s="24"/>
      <c r="D1040" s="24"/>
      <c r="E1040" s="24"/>
      <c r="F1040" s="25" t="n">
        <f aca="false">IF(A1037="","",SUM(F1039:F1039))</f>
        <v>0.939</v>
      </c>
      <c r="G1040" s="24"/>
      <c r="H1040" s="26" t="n">
        <f aca="false">IF(A1037="","",SUM(H1039:H1039))</f>
        <v>0.939</v>
      </c>
    </row>
    <row r="1042" customFormat="false" ht="15" hidden="false" customHeight="true" outlineLevel="0" collapsed="false">
      <c r="A1042" s="12" t="s">
        <v>440</v>
      </c>
      <c r="B1042" s="13"/>
      <c r="C1042" s="13"/>
      <c r="D1042" s="13"/>
      <c r="E1042" s="13"/>
      <c r="F1042" s="14" t="s">
        <v>431</v>
      </c>
      <c r="G1042" s="13"/>
      <c r="H1042" s="15"/>
    </row>
    <row r="1043" customFormat="false" ht="15" hidden="false" customHeight="true" outlineLevel="0" collapsed="false">
      <c r="A1043" s="16" t="s">
        <v>316</v>
      </c>
      <c r="B1043" s="16" t="s">
        <v>317</v>
      </c>
      <c r="C1043" s="16" t="s">
        <v>318</v>
      </c>
      <c r="D1043" s="16" t="s">
        <v>4</v>
      </c>
      <c r="E1043" s="16" t="s">
        <v>319</v>
      </c>
      <c r="F1043" s="16" t="s">
        <v>320</v>
      </c>
      <c r="G1043" s="16" t="s">
        <v>321</v>
      </c>
      <c r="H1043" s="16" t="s">
        <v>322</v>
      </c>
    </row>
    <row r="1044" customFormat="false" ht="15" hidden="false" customHeight="true" outlineLevel="0" collapsed="false">
      <c r="A1044" s="17" t="s">
        <v>250</v>
      </c>
      <c r="B1044" s="18" t="str">
        <f aca="false">IFERROR(VLOOKUP(A1044,NOMENCLATOR!$A:$E,2,0),"")</f>
        <v>PUNGA FRYDAY PEPSI 23X10X30</v>
      </c>
      <c r="C1044" s="19" t="n">
        <v>1</v>
      </c>
      <c r="D1044" s="20" t="str">
        <f aca="false">IFERROR(VLOOKUP(A1044,NOMENCLATOR!$A:$E,3,0),"")</f>
        <v>EA</v>
      </c>
      <c r="E1044" s="21" t="n">
        <f aca="false">IFERROR(VLOOKUP(A1044,NOMENCLATOR!$A:$E,4,0),"")</f>
        <v>0.529</v>
      </c>
      <c r="F1044" s="21" t="n">
        <f aca="false">IF(OR(C1044="",E1044=""),"",C1044*E1044)</f>
        <v>0.529</v>
      </c>
      <c r="G1044" s="22" t="n">
        <f aca="false">IFERROR(VLOOKUP(A1044,NOMENCLATOR!$A:$E,5,0),"")</f>
        <v>0.529</v>
      </c>
      <c r="H1044" s="22" t="n">
        <f aca="false">IF(OR(C1044="",G1044=""),"",C1044*G1044)</f>
        <v>0.529</v>
      </c>
    </row>
    <row r="1045" customFormat="false" ht="15" hidden="false" customHeight="true" outlineLevel="0" collapsed="false">
      <c r="A1045" s="23" t="str">
        <f aca="false">IF(A1042="","",A1042)</f>
        <v>Punga Mica</v>
      </c>
      <c r="B1045" s="24"/>
      <c r="C1045" s="24"/>
      <c r="D1045" s="24"/>
      <c r="E1045" s="24"/>
      <c r="F1045" s="25" t="n">
        <f aca="false">IF(A1042="","",SUM(F1044:F1044))</f>
        <v>0.529</v>
      </c>
      <c r="G1045" s="24"/>
      <c r="H1045" s="26" t="n">
        <f aca="false">IF(A1042="","",SUM(H1044:H1044))</f>
        <v>0.529</v>
      </c>
    </row>
    <row r="1047" customFormat="false" ht="15" hidden="false" customHeight="true" outlineLevel="0" collapsed="false">
      <c r="A1047" s="12" t="s">
        <v>441</v>
      </c>
      <c r="B1047" s="13"/>
      <c r="C1047" s="13"/>
      <c r="D1047" s="13"/>
      <c r="E1047" s="13"/>
      <c r="F1047" s="14" t="s">
        <v>431</v>
      </c>
      <c r="G1047" s="13"/>
      <c r="H1047" s="15"/>
    </row>
    <row r="1048" customFormat="false" ht="15" hidden="false" customHeight="true" outlineLevel="0" collapsed="false">
      <c r="A1048" s="16" t="s">
        <v>316</v>
      </c>
      <c r="B1048" s="16" t="s">
        <v>317</v>
      </c>
      <c r="C1048" s="16" t="s">
        <v>318</v>
      </c>
      <c r="D1048" s="16" t="s">
        <v>4</v>
      </c>
      <c r="E1048" s="16" t="s">
        <v>319</v>
      </c>
      <c r="F1048" s="16" t="s">
        <v>320</v>
      </c>
      <c r="G1048" s="16" t="s">
        <v>321</v>
      </c>
      <c r="H1048" s="16" t="s">
        <v>322</v>
      </c>
    </row>
    <row r="1049" customFormat="false" ht="15" hidden="false" customHeight="true" outlineLevel="0" collapsed="false">
      <c r="A1049" s="17" t="s">
        <v>250</v>
      </c>
      <c r="B1049" s="18" t="str">
        <f aca="false">IFERROR(VLOOKUP(A1049,NOMENCLATOR!$A:$E,2,0),"")</f>
        <v>PUNGA FRYDAY PEPSI 23X10X30</v>
      </c>
      <c r="C1049" s="19" t="n">
        <v>1</v>
      </c>
      <c r="D1049" s="20" t="str">
        <f aca="false">IFERROR(VLOOKUP(A1049,NOMENCLATOR!$A:$E,3,0),"")</f>
        <v>EA</v>
      </c>
      <c r="E1049" s="21" t="n">
        <f aca="false">IFERROR(VLOOKUP(A1049,NOMENCLATOR!$A:$E,4,0),"")</f>
        <v>0.529</v>
      </c>
      <c r="F1049" s="21" t="n">
        <f aca="false">IF(OR(C1049="",E1049=""),"",C1049*E1049)</f>
        <v>0.529</v>
      </c>
      <c r="G1049" s="22" t="n">
        <f aca="false">IFERROR(VLOOKUP(A1049,NOMENCLATOR!$A:$E,5,0),"")</f>
        <v>0.529</v>
      </c>
      <c r="H1049" s="22" t="n">
        <f aca="false">IF(OR(C1049="",G1049=""),"",C1049*G1049)</f>
        <v>0.529</v>
      </c>
    </row>
    <row r="1050" customFormat="false" ht="15" hidden="false" customHeight="true" outlineLevel="0" collapsed="false">
      <c r="A1050" s="23" t="str">
        <f aca="false">IF(A1047="","",A1047)</f>
        <v>Punga Mica D</v>
      </c>
      <c r="B1050" s="24"/>
      <c r="C1050" s="24"/>
      <c r="D1050" s="24"/>
      <c r="E1050" s="24"/>
      <c r="F1050" s="25" t="n">
        <f aca="false">IF(A1047="","",SUM(F1049:F1049))</f>
        <v>0.529</v>
      </c>
      <c r="G1050" s="24"/>
      <c r="H1050" s="26" t="n">
        <f aca="false">IF(A1047="","",SUM(H1049:H1049))</f>
        <v>0.529</v>
      </c>
    </row>
    <row r="1052" customFormat="false" ht="15" hidden="false" customHeight="true" outlineLevel="0" collapsed="false">
      <c r="A1052" s="12" t="s">
        <v>442</v>
      </c>
      <c r="B1052" s="13"/>
      <c r="C1052" s="13"/>
      <c r="D1052" s="13"/>
      <c r="E1052" s="13"/>
      <c r="F1052" s="14" t="s">
        <v>431</v>
      </c>
      <c r="G1052" s="13"/>
      <c r="H1052" s="15"/>
    </row>
    <row r="1053" customFormat="false" ht="15" hidden="false" customHeight="true" outlineLevel="0" collapsed="false">
      <c r="A1053" s="16" t="s">
        <v>316</v>
      </c>
      <c r="B1053" s="16" t="s">
        <v>317</v>
      </c>
      <c r="C1053" s="16" t="s">
        <v>318</v>
      </c>
      <c r="D1053" s="16" t="s">
        <v>4</v>
      </c>
      <c r="E1053" s="16" t="s">
        <v>319</v>
      </c>
      <c r="F1053" s="16" t="s">
        <v>320</v>
      </c>
      <c r="G1053" s="16" t="s">
        <v>321</v>
      </c>
      <c r="H1053" s="16" t="s">
        <v>322</v>
      </c>
    </row>
    <row r="1054" customFormat="false" ht="15" hidden="false" customHeight="true" outlineLevel="0" collapsed="false">
      <c r="A1054" s="17" t="s">
        <v>270</v>
      </c>
      <c r="B1054" s="18" t="str">
        <f aca="false">IFERROR(VLOOKUP(A1054,NOMENCLATOR!$A:$E,2,0),"")</f>
        <v>Sacosa mare to go FRD 32X16.5X34</v>
      </c>
      <c r="C1054" s="19" t="n">
        <v>1</v>
      </c>
      <c r="D1054" s="20" t="str">
        <f aca="false">IFERROR(VLOOKUP(A1054,NOMENCLATOR!$A:$E,3,0),"")</f>
        <v>EA</v>
      </c>
      <c r="E1054" s="21" t="n">
        <f aca="false">IFERROR(VLOOKUP(A1054,NOMENCLATOR!$A:$E,4,0),"")</f>
        <v>0.765</v>
      </c>
      <c r="F1054" s="21" t="n">
        <f aca="false">IF(OR(C1054="",E1054=""),"",C1054*E1054)</f>
        <v>0.765</v>
      </c>
      <c r="G1054" s="22" t="n">
        <f aca="false">IFERROR(VLOOKUP(A1054,NOMENCLATOR!$A:$E,5,0),"")</f>
        <v>0.765</v>
      </c>
      <c r="H1054" s="22" t="n">
        <f aca="false">IF(OR(C1054="",G1054=""),"",C1054*G1054)</f>
        <v>0.765</v>
      </c>
    </row>
    <row r="1055" customFormat="false" ht="15" hidden="false" customHeight="true" outlineLevel="0" collapsed="false">
      <c r="A1055" s="23" t="str">
        <f aca="false">IF(A1052="","",A1052)</f>
        <v>Sacosa</v>
      </c>
      <c r="B1055" s="24"/>
      <c r="C1055" s="24"/>
      <c r="D1055" s="24"/>
      <c r="E1055" s="24"/>
      <c r="F1055" s="25" t="n">
        <f aca="false">IF(A1052="","",SUM(F1054:F1054))</f>
        <v>0.765</v>
      </c>
      <c r="G1055" s="24"/>
      <c r="H1055" s="26" t="n">
        <f aca="false">IF(A1052="","",SUM(H1054:H1054))</f>
        <v>0.765</v>
      </c>
    </row>
    <row r="1057" customFormat="false" ht="15" hidden="false" customHeight="true" outlineLevel="0" collapsed="false">
      <c r="A1057" s="12" t="s">
        <v>443</v>
      </c>
      <c r="B1057" s="13"/>
      <c r="C1057" s="13"/>
      <c r="D1057" s="13"/>
      <c r="E1057" s="13"/>
      <c r="F1057" s="14" t="s">
        <v>431</v>
      </c>
      <c r="G1057" s="13"/>
      <c r="H1057" s="15"/>
    </row>
    <row r="1058" customFormat="false" ht="15" hidden="false" customHeight="true" outlineLevel="0" collapsed="false">
      <c r="A1058" s="16" t="s">
        <v>316</v>
      </c>
      <c r="B1058" s="16" t="s">
        <v>317</v>
      </c>
      <c r="C1058" s="16" t="s">
        <v>318</v>
      </c>
      <c r="D1058" s="16" t="s">
        <v>4</v>
      </c>
      <c r="E1058" s="16" t="s">
        <v>319</v>
      </c>
      <c r="F1058" s="16" t="s">
        <v>320</v>
      </c>
      <c r="G1058" s="16" t="s">
        <v>321</v>
      </c>
      <c r="H1058" s="16" t="s">
        <v>322</v>
      </c>
    </row>
    <row r="1059" customFormat="false" ht="15" hidden="false" customHeight="true" outlineLevel="0" collapsed="false">
      <c r="A1059" s="17" t="s">
        <v>270</v>
      </c>
      <c r="B1059" s="18" t="str">
        <f aca="false">IFERROR(VLOOKUP(A1059,NOMENCLATOR!$A:$E,2,0),"")</f>
        <v>Sacosa mare to go FRD 32X16.5X34</v>
      </c>
      <c r="C1059" s="19" t="n">
        <v>1</v>
      </c>
      <c r="D1059" s="20" t="str">
        <f aca="false">IFERROR(VLOOKUP(A1059,NOMENCLATOR!$A:$E,3,0),"")</f>
        <v>EA</v>
      </c>
      <c r="E1059" s="21" t="n">
        <f aca="false">IFERROR(VLOOKUP(A1059,NOMENCLATOR!$A:$E,4,0),"")</f>
        <v>0.765</v>
      </c>
      <c r="F1059" s="21" t="n">
        <f aca="false">IF(OR(C1059="",E1059=""),"",C1059*E1059)</f>
        <v>0.765</v>
      </c>
      <c r="G1059" s="22" t="n">
        <f aca="false">IFERROR(VLOOKUP(A1059,NOMENCLATOR!$A:$E,5,0),"")</f>
        <v>0.765</v>
      </c>
      <c r="H1059" s="22" t="n">
        <f aca="false">IF(OR(C1059="",G1059=""),"",C1059*G1059)</f>
        <v>0.765</v>
      </c>
    </row>
    <row r="1060" customFormat="false" ht="15" hidden="false" customHeight="true" outlineLevel="0" collapsed="false">
      <c r="A1060" s="23" t="str">
        <f aca="false">IF(A1057="","",A1057)</f>
        <v>Sacosa D</v>
      </c>
      <c r="B1060" s="24"/>
      <c r="C1060" s="24"/>
      <c r="D1060" s="24"/>
      <c r="E1060" s="24"/>
      <c r="F1060" s="25" t="n">
        <f aca="false">IF(A1057="","",SUM(F1059:F1059))</f>
        <v>0.765</v>
      </c>
      <c r="G1060" s="24"/>
      <c r="H1060" s="26" t="n">
        <f aca="false">IF(A1057="","",SUM(H1059:H1059))</f>
        <v>0.765</v>
      </c>
    </row>
    <row r="1062" customFormat="false" ht="15" hidden="false" customHeight="true" outlineLevel="0" collapsed="false">
      <c r="A1062" s="12" t="s">
        <v>444</v>
      </c>
      <c r="B1062" s="13"/>
      <c r="C1062" s="13"/>
      <c r="D1062" s="13"/>
      <c r="E1062" s="13"/>
      <c r="F1062" s="14" t="s">
        <v>431</v>
      </c>
      <c r="G1062" s="13"/>
      <c r="H1062" s="15"/>
    </row>
    <row r="1063" customFormat="false" ht="15" hidden="false" customHeight="true" outlineLevel="0" collapsed="false">
      <c r="A1063" s="16" t="s">
        <v>316</v>
      </c>
      <c r="B1063" s="16" t="s">
        <v>317</v>
      </c>
      <c r="C1063" s="16" t="s">
        <v>318</v>
      </c>
      <c r="D1063" s="16" t="s">
        <v>4</v>
      </c>
      <c r="E1063" s="16" t="s">
        <v>319</v>
      </c>
      <c r="F1063" s="16" t="s">
        <v>320</v>
      </c>
      <c r="G1063" s="16" t="s">
        <v>321</v>
      </c>
      <c r="H1063" s="16" t="s">
        <v>322</v>
      </c>
    </row>
    <row r="1064" customFormat="false" ht="15" hidden="false" customHeight="true" outlineLevel="0" collapsed="false">
      <c r="A1064" s="17" t="s">
        <v>154</v>
      </c>
      <c r="B1064" s="18" t="str">
        <f aca="false">IFERROR(VLOOKUP(A1064,NOMENCLATOR!$A:$E,2,0),"")</f>
        <v>Jalapenos (raw)</v>
      </c>
      <c r="C1064" s="19" t="n">
        <v>6</v>
      </c>
      <c r="D1064" s="20" t="str">
        <f aca="false">IFERROR(VLOOKUP(A1064,NOMENCLATOR!$A:$E,3,0),"")</f>
        <v>GM</v>
      </c>
      <c r="E1064" s="21" t="n">
        <f aca="false">IFERROR(VLOOKUP(A1064,NOMENCLATOR!$A:$E,4,0),"")</f>
        <v>0.04117</v>
      </c>
      <c r="F1064" s="21" t="n">
        <f aca="false">IF(OR(C1064="",E1064=""),"",C1064*E1064)</f>
        <v>0.24702</v>
      </c>
      <c r="G1064" s="22" t="n">
        <f aca="false">IFERROR(VLOOKUP(A1064,NOMENCLATOR!$A:$E,5,0),"")</f>
        <v>0.04117</v>
      </c>
      <c r="H1064" s="22" t="n">
        <f aca="false">IF(OR(C1064="",G1064=""),"",C1064*G1064)</f>
        <v>0.24702</v>
      </c>
    </row>
    <row r="1065" customFormat="false" ht="15" hidden="false" customHeight="true" outlineLevel="0" collapsed="false">
      <c r="A1065" s="23" t="str">
        <f aca="false">IF(A1062="","",A1062)</f>
        <v>ADD JALAPENO new</v>
      </c>
      <c r="B1065" s="24"/>
      <c r="C1065" s="24"/>
      <c r="D1065" s="24"/>
      <c r="E1065" s="24"/>
      <c r="F1065" s="25" t="n">
        <f aca="false">IF(A1062="","",SUM(F1064:F1064))</f>
        <v>0.24702</v>
      </c>
      <c r="G1065" s="24"/>
      <c r="H1065" s="26" t="n">
        <f aca="false">IF(A1062="","",SUM(H1064:H1064))</f>
        <v>0.24702</v>
      </c>
    </row>
    <row r="1067" customFormat="false" ht="15" hidden="false" customHeight="true" outlineLevel="0" collapsed="false">
      <c r="A1067" s="12" t="s">
        <v>445</v>
      </c>
      <c r="B1067" s="13"/>
      <c r="C1067" s="13"/>
      <c r="D1067" s="13"/>
      <c r="E1067" s="13"/>
      <c r="F1067" s="14" t="s">
        <v>431</v>
      </c>
      <c r="G1067" s="13"/>
      <c r="H1067" s="15"/>
    </row>
    <row r="1068" customFormat="false" ht="15" hidden="false" customHeight="true" outlineLevel="0" collapsed="false">
      <c r="A1068" s="16" t="s">
        <v>316</v>
      </c>
      <c r="B1068" s="16" t="s">
        <v>317</v>
      </c>
      <c r="C1068" s="16" t="s">
        <v>318</v>
      </c>
      <c r="D1068" s="16" t="s">
        <v>4</v>
      </c>
      <c r="E1068" s="16" t="s">
        <v>319</v>
      </c>
      <c r="F1068" s="16" t="s">
        <v>320</v>
      </c>
      <c r="G1068" s="16" t="s">
        <v>321</v>
      </c>
      <c r="H1068" s="16" t="s">
        <v>322</v>
      </c>
    </row>
    <row r="1069" customFormat="false" ht="15" hidden="false" customHeight="true" outlineLevel="0" collapsed="false">
      <c r="A1069" s="17" t="s">
        <v>154</v>
      </c>
      <c r="B1069" s="18" t="str">
        <f aca="false">IFERROR(VLOOKUP(A1069,NOMENCLATOR!$A:$E,2,0),"")</f>
        <v>Jalapenos (raw)</v>
      </c>
      <c r="C1069" s="19" t="n">
        <v>6</v>
      </c>
      <c r="D1069" s="20" t="str">
        <f aca="false">IFERROR(VLOOKUP(A1069,NOMENCLATOR!$A:$E,3,0),"")</f>
        <v>GM</v>
      </c>
      <c r="E1069" s="21" t="n">
        <f aca="false">IFERROR(VLOOKUP(A1069,NOMENCLATOR!$A:$E,4,0),"")</f>
        <v>0.04117</v>
      </c>
      <c r="F1069" s="21" t="n">
        <f aca="false">IF(OR(C1069="",E1069=""),"",C1069*E1069)</f>
        <v>0.24702</v>
      </c>
      <c r="G1069" s="22" t="n">
        <f aca="false">IFERROR(VLOOKUP(A1069,NOMENCLATOR!$A:$E,5,0),"")</f>
        <v>0.04117</v>
      </c>
      <c r="H1069" s="22" t="n">
        <f aca="false">IF(OR(C1069="",G1069=""),"",C1069*G1069)</f>
        <v>0.24702</v>
      </c>
    </row>
    <row r="1070" customFormat="false" ht="15" hidden="false" customHeight="true" outlineLevel="0" collapsed="false">
      <c r="A1070" s="23" t="str">
        <f aca="false">IF(A1067="","",A1067)</f>
        <v>ADD JALAPENO new D</v>
      </c>
      <c r="B1070" s="24"/>
      <c r="C1070" s="24"/>
      <c r="D1070" s="24"/>
      <c r="E1070" s="24"/>
      <c r="F1070" s="25" t="n">
        <f aca="false">IF(A1067="","",SUM(F1069:F1069))</f>
        <v>0.24702</v>
      </c>
      <c r="G1070" s="24"/>
      <c r="H1070" s="26" t="n">
        <f aca="false">IF(A1067="","",SUM(H1069:H1069))</f>
        <v>0.24702</v>
      </c>
    </row>
    <row r="1072" customFormat="false" ht="15" hidden="false" customHeight="true" outlineLevel="0" collapsed="false">
      <c r="A1072" s="12" t="s">
        <v>446</v>
      </c>
      <c r="B1072" s="13"/>
      <c r="C1072" s="13"/>
      <c r="D1072" s="13"/>
      <c r="E1072" s="13"/>
      <c r="F1072" s="14" t="s">
        <v>431</v>
      </c>
      <c r="G1072" s="13"/>
      <c r="H1072" s="15"/>
    </row>
    <row r="1073" customFormat="false" ht="15" hidden="false" customHeight="true" outlineLevel="0" collapsed="false">
      <c r="A1073" s="16" t="s">
        <v>316</v>
      </c>
      <c r="B1073" s="16" t="s">
        <v>317</v>
      </c>
      <c r="C1073" s="16" t="s">
        <v>318</v>
      </c>
      <c r="D1073" s="16" t="s">
        <v>4</v>
      </c>
      <c r="E1073" s="16" t="s">
        <v>319</v>
      </c>
      <c r="F1073" s="16" t="s">
        <v>320</v>
      </c>
      <c r="G1073" s="16" t="s">
        <v>321</v>
      </c>
      <c r="H1073" s="16" t="s">
        <v>322</v>
      </c>
    </row>
    <row r="1074" customFormat="false" ht="15" hidden="false" customHeight="true" outlineLevel="0" collapsed="false">
      <c r="A1074" s="17" t="s">
        <v>124</v>
      </c>
      <c r="B1074" s="18" t="str">
        <f aca="false">IFERROR(VLOOKUP(A1074,NOMENCLATOR!$A:$E,2,0),"")</f>
        <v>Frydays Homestyle Chick'n Tender 65g</v>
      </c>
      <c r="C1074" s="19" t="n">
        <v>1</v>
      </c>
      <c r="D1074" s="20" t="str">
        <f aca="false">IFERROR(VLOOKUP(A1074,NOMENCLATOR!$A:$E,3,0),"")</f>
        <v>EA</v>
      </c>
      <c r="E1074" s="21" t="n">
        <f aca="false">IFERROR(VLOOKUP(A1074,NOMENCLATOR!$A:$E,4,0),"")</f>
        <v>2.76925</v>
      </c>
      <c r="F1074" s="21" t="n">
        <f aca="false">IF(OR(C1074="",E1074=""),"",C1074*E1074)</f>
        <v>2.76925</v>
      </c>
      <c r="G1074" s="22" t="n">
        <f aca="false">IFERROR(VLOOKUP(A1074,NOMENCLATOR!$A:$E,5,0),"")</f>
        <v>2.76925</v>
      </c>
      <c r="H1074" s="22" t="n">
        <f aca="false">IF(OR(C1074="",G1074=""),"",C1074*G1074)</f>
        <v>2.76925</v>
      </c>
    </row>
    <row r="1075" customFormat="false" ht="15" hidden="false" customHeight="true" outlineLevel="0" collapsed="false">
      <c r="A1075" s="17" t="s">
        <v>300</v>
      </c>
      <c r="B1075" s="18" t="str">
        <f aca="false">IFERROR(VLOOKUP(A1075,NOMENCLATOR!$A:$E,2,0),"")</f>
        <v>Ulei de alune</v>
      </c>
      <c r="C1075" s="19" t="n">
        <v>6</v>
      </c>
      <c r="D1075" s="20" t="str">
        <f aca="false">IFERROR(VLOOKUP(A1075,NOMENCLATOR!$A:$E,3,0),"")</f>
        <v>ML</v>
      </c>
      <c r="E1075" s="21" t="n">
        <f aca="false">IFERROR(VLOOKUP(A1075,NOMENCLATOR!$A:$E,4,0),"")</f>
        <v>0.0169</v>
      </c>
      <c r="F1075" s="21" t="n">
        <f aca="false">IF(OR(C1075="",E1075=""),"",C1075*E1075)</f>
        <v>0.1014</v>
      </c>
      <c r="G1075" s="22" t="n">
        <f aca="false">IFERROR(VLOOKUP(A1075,NOMENCLATOR!$A:$E,5,0),"")</f>
        <v>0.0169</v>
      </c>
      <c r="H1075" s="22" t="n">
        <f aca="false">IF(OR(C1075="",G1075=""),"",C1075*G1075)</f>
        <v>0.1014</v>
      </c>
    </row>
    <row r="1076" customFormat="false" ht="15" hidden="false" customHeight="true" outlineLevel="0" collapsed="false">
      <c r="A1076" s="23" t="str">
        <f aca="false">IF(A1072="","",A1072)</f>
        <v>EXTRA HOMESTYLE CRISPY new</v>
      </c>
      <c r="B1076" s="24"/>
      <c r="C1076" s="24"/>
      <c r="D1076" s="24"/>
      <c r="E1076" s="24"/>
      <c r="F1076" s="25" t="n">
        <f aca="false">IF(A1072="","",SUM(F1074:F1075))</f>
        <v>2.87065</v>
      </c>
      <c r="G1076" s="24"/>
      <c r="H1076" s="26" t="n">
        <f aca="false">IF(A1072="","",SUM(H1074:H1075))</f>
        <v>2.87065</v>
      </c>
    </row>
    <row r="1078" customFormat="false" ht="15" hidden="false" customHeight="true" outlineLevel="0" collapsed="false">
      <c r="A1078" s="12" t="s">
        <v>447</v>
      </c>
      <c r="B1078" s="13"/>
      <c r="C1078" s="13"/>
      <c r="D1078" s="13"/>
      <c r="E1078" s="13"/>
      <c r="F1078" s="14" t="s">
        <v>431</v>
      </c>
      <c r="G1078" s="13"/>
      <c r="H1078" s="15"/>
    </row>
    <row r="1079" customFormat="false" ht="15" hidden="false" customHeight="true" outlineLevel="0" collapsed="false">
      <c r="A1079" s="16" t="s">
        <v>316</v>
      </c>
      <c r="B1079" s="16" t="s">
        <v>317</v>
      </c>
      <c r="C1079" s="16" t="s">
        <v>318</v>
      </c>
      <c r="D1079" s="16" t="s">
        <v>4</v>
      </c>
      <c r="E1079" s="16" t="s">
        <v>319</v>
      </c>
      <c r="F1079" s="16" t="s">
        <v>320</v>
      </c>
      <c r="G1079" s="16" t="s">
        <v>321</v>
      </c>
      <c r="H1079" s="16" t="s">
        <v>322</v>
      </c>
    </row>
    <row r="1080" customFormat="false" ht="15" hidden="false" customHeight="true" outlineLevel="0" collapsed="false">
      <c r="A1080" s="17" t="s">
        <v>124</v>
      </c>
      <c r="B1080" s="18" t="str">
        <f aca="false">IFERROR(VLOOKUP(A1080,NOMENCLATOR!$A:$E,2,0),"")</f>
        <v>Frydays Homestyle Chick'n Tender 65g</v>
      </c>
      <c r="C1080" s="19" t="n">
        <v>1</v>
      </c>
      <c r="D1080" s="20" t="str">
        <f aca="false">IFERROR(VLOOKUP(A1080,NOMENCLATOR!$A:$E,3,0),"")</f>
        <v>EA</v>
      </c>
      <c r="E1080" s="21" t="n">
        <f aca="false">IFERROR(VLOOKUP(A1080,NOMENCLATOR!$A:$E,4,0),"")</f>
        <v>2.76925</v>
      </c>
      <c r="F1080" s="21" t="n">
        <f aca="false">IF(OR(C1080="",E1080=""),"",C1080*E1080)</f>
        <v>2.76925</v>
      </c>
      <c r="G1080" s="22" t="n">
        <f aca="false">IFERROR(VLOOKUP(A1080,NOMENCLATOR!$A:$E,5,0),"")</f>
        <v>2.76925</v>
      </c>
      <c r="H1080" s="22" t="n">
        <f aca="false">IF(OR(C1080="",G1080=""),"",C1080*G1080)</f>
        <v>2.76925</v>
      </c>
    </row>
    <row r="1081" customFormat="false" ht="15" hidden="false" customHeight="true" outlineLevel="0" collapsed="false">
      <c r="A1081" s="17" t="s">
        <v>300</v>
      </c>
      <c r="B1081" s="18" t="str">
        <f aca="false">IFERROR(VLOOKUP(A1081,NOMENCLATOR!$A:$E,2,0),"")</f>
        <v>Ulei de alune</v>
      </c>
      <c r="C1081" s="19" t="n">
        <v>6</v>
      </c>
      <c r="D1081" s="20" t="str">
        <f aca="false">IFERROR(VLOOKUP(A1081,NOMENCLATOR!$A:$E,3,0),"")</f>
        <v>ML</v>
      </c>
      <c r="E1081" s="21" t="n">
        <f aca="false">IFERROR(VLOOKUP(A1081,NOMENCLATOR!$A:$E,4,0),"")</f>
        <v>0.0169</v>
      </c>
      <c r="F1081" s="21" t="n">
        <f aca="false">IF(OR(C1081="",E1081=""),"",C1081*E1081)</f>
        <v>0.1014</v>
      </c>
      <c r="G1081" s="22" t="n">
        <f aca="false">IFERROR(VLOOKUP(A1081,NOMENCLATOR!$A:$E,5,0),"")</f>
        <v>0.0169</v>
      </c>
      <c r="H1081" s="22" t="n">
        <f aca="false">IF(OR(C1081="",G1081=""),"",C1081*G1081)</f>
        <v>0.1014</v>
      </c>
    </row>
    <row r="1082" customFormat="false" ht="15" hidden="false" customHeight="true" outlineLevel="0" collapsed="false">
      <c r="A1082" s="23" t="str">
        <f aca="false">IF(A1078="","",A1078)</f>
        <v>EXTRA HOMESTYLE CRISPY new D</v>
      </c>
      <c r="B1082" s="24"/>
      <c r="C1082" s="24"/>
      <c r="D1082" s="24"/>
      <c r="E1082" s="24"/>
      <c r="F1082" s="25" t="n">
        <f aca="false">IF(A1078="","",SUM(F1080:F1081))</f>
        <v>2.87065</v>
      </c>
      <c r="G1082" s="24"/>
      <c r="H1082" s="26" t="n">
        <f aca="false">IF(A1078="","",SUM(H1080:H1081))</f>
        <v>2.87065</v>
      </c>
    </row>
    <row r="1084" customFormat="false" ht="15" hidden="false" customHeight="true" outlineLevel="0" collapsed="false">
      <c r="A1084" s="12" t="s">
        <v>448</v>
      </c>
      <c r="B1084" s="13"/>
      <c r="C1084" s="13"/>
      <c r="D1084" s="13"/>
      <c r="E1084" s="13"/>
      <c r="F1084" s="14" t="s">
        <v>431</v>
      </c>
      <c r="G1084" s="13"/>
      <c r="H1084" s="15"/>
    </row>
    <row r="1085" customFormat="false" ht="15" hidden="false" customHeight="true" outlineLevel="0" collapsed="false">
      <c r="A1085" s="16" t="s">
        <v>316</v>
      </c>
      <c r="B1085" s="16" t="s">
        <v>317</v>
      </c>
      <c r="C1085" s="16" t="s">
        <v>318</v>
      </c>
      <c r="D1085" s="16" t="s">
        <v>4</v>
      </c>
      <c r="E1085" s="16" t="s">
        <v>319</v>
      </c>
      <c r="F1085" s="16" t="s">
        <v>320</v>
      </c>
      <c r="G1085" s="16" t="s">
        <v>321</v>
      </c>
      <c r="H1085" s="16" t="s">
        <v>322</v>
      </c>
    </row>
    <row r="1086" customFormat="false" ht="15" hidden="false" customHeight="true" outlineLevel="0" collapsed="false">
      <c r="A1086" s="17" t="s">
        <v>248</v>
      </c>
      <c r="B1086" s="18" t="str">
        <f aca="false">IFERROR(VLOOKUP(A1086,NOMENCLATOR!$A:$E,2,0),"")</f>
        <v>Punga Fry Shaker</v>
      </c>
      <c r="C1086" s="19" t="n">
        <v>1</v>
      </c>
      <c r="D1086" s="20" t="str">
        <f aca="false">IFERROR(VLOOKUP(A1086,NOMENCLATOR!$A:$E,3,0),"")</f>
        <v>EA</v>
      </c>
      <c r="E1086" s="21" t="n">
        <f aca="false">IFERROR(VLOOKUP(A1086,NOMENCLATOR!$A:$E,4,0),"")</f>
        <v>0.319</v>
      </c>
      <c r="F1086" s="21" t="n">
        <f aca="false">IF(OR(C1086="",E1086=""),"",C1086*E1086)</f>
        <v>0.319</v>
      </c>
      <c r="G1086" s="22" t="n">
        <f aca="false">IFERROR(VLOOKUP(A1086,NOMENCLATOR!$A:$E,5,0),"")</f>
        <v>0.319</v>
      </c>
      <c r="H1086" s="22" t="n">
        <f aca="false">IF(OR(C1086="",G1086=""),"",C1086*G1086)</f>
        <v>0.319</v>
      </c>
    </row>
    <row r="1087" customFormat="false" ht="15" hidden="false" customHeight="true" outlineLevel="0" collapsed="false">
      <c r="A1087" s="17" t="s">
        <v>230</v>
      </c>
      <c r="B1087" s="18" t="str">
        <f aca="false">IFERROR(VLOOKUP(A1087,NOMENCLATOR!$A:$E,2,0),"")</f>
        <v>PLIC CONDIMENTE PARMESAN [3G] FRY</v>
      </c>
      <c r="C1087" s="19" t="n">
        <v>1</v>
      </c>
      <c r="D1087" s="20" t="str">
        <f aca="false">IFERROR(VLOOKUP(A1087,NOMENCLATOR!$A:$E,3,0),"")</f>
        <v>EA</v>
      </c>
      <c r="E1087" s="21" t="n">
        <f aca="false">IFERROR(VLOOKUP(A1087,NOMENCLATOR!$A:$E,4,0),"")</f>
        <v>0.446</v>
      </c>
      <c r="F1087" s="21" t="n">
        <f aca="false">IF(OR(C1087="",E1087=""),"",C1087*E1087)</f>
        <v>0.446</v>
      </c>
      <c r="G1087" s="22" t="n">
        <f aca="false">IFERROR(VLOOKUP(A1087,NOMENCLATOR!$A:$E,5,0),"")</f>
        <v>0.446</v>
      </c>
      <c r="H1087" s="22" t="n">
        <f aca="false">IF(OR(C1087="",G1087=""),"",C1087*G1087)</f>
        <v>0.446</v>
      </c>
    </row>
    <row r="1088" customFormat="false" ht="15" hidden="false" customHeight="true" outlineLevel="0" collapsed="false">
      <c r="A1088" s="23" t="str">
        <f aca="false">IF(A1084="","",A1084)</f>
        <v>Fry Shaker Parmezan &amp; Usturoi</v>
      </c>
      <c r="B1088" s="24"/>
      <c r="C1088" s="24"/>
      <c r="D1088" s="24"/>
      <c r="E1088" s="24"/>
      <c r="F1088" s="25" t="n">
        <f aca="false">IF(A1084="","",SUM(F1086:F1087))</f>
        <v>0.765</v>
      </c>
      <c r="G1088" s="24"/>
      <c r="H1088" s="26" t="n">
        <f aca="false">IF(A1084="","",SUM(H1086:H1087))</f>
        <v>0.765</v>
      </c>
    </row>
    <row r="1090" customFormat="false" ht="15" hidden="false" customHeight="true" outlineLevel="0" collapsed="false">
      <c r="A1090" s="12" t="s">
        <v>449</v>
      </c>
      <c r="B1090" s="13"/>
      <c r="C1090" s="13"/>
      <c r="D1090" s="13"/>
      <c r="E1090" s="13"/>
      <c r="F1090" s="14" t="s">
        <v>431</v>
      </c>
      <c r="G1090" s="13"/>
      <c r="H1090" s="15"/>
    </row>
    <row r="1091" customFormat="false" ht="15" hidden="false" customHeight="true" outlineLevel="0" collapsed="false">
      <c r="A1091" s="16" t="s">
        <v>316</v>
      </c>
      <c r="B1091" s="16" t="s">
        <v>317</v>
      </c>
      <c r="C1091" s="16" t="s">
        <v>318</v>
      </c>
      <c r="D1091" s="16" t="s">
        <v>4</v>
      </c>
      <c r="E1091" s="16" t="s">
        <v>319</v>
      </c>
      <c r="F1091" s="16" t="s">
        <v>320</v>
      </c>
      <c r="G1091" s="16" t="s">
        <v>321</v>
      </c>
      <c r="H1091" s="16" t="s">
        <v>322</v>
      </c>
    </row>
    <row r="1092" customFormat="false" ht="15" hidden="false" customHeight="true" outlineLevel="0" collapsed="false">
      <c r="A1092" s="17" t="s">
        <v>248</v>
      </c>
      <c r="B1092" s="18" t="str">
        <f aca="false">IFERROR(VLOOKUP(A1092,NOMENCLATOR!$A:$E,2,0),"")</f>
        <v>Punga Fry Shaker</v>
      </c>
      <c r="C1092" s="19" t="n">
        <v>1</v>
      </c>
      <c r="D1092" s="20" t="str">
        <f aca="false">IFERROR(VLOOKUP(A1092,NOMENCLATOR!$A:$E,3,0),"")</f>
        <v>EA</v>
      </c>
      <c r="E1092" s="21" t="n">
        <f aca="false">IFERROR(VLOOKUP(A1092,NOMENCLATOR!$A:$E,4,0),"")</f>
        <v>0.319</v>
      </c>
      <c r="F1092" s="21" t="n">
        <f aca="false">IF(OR(C1092="",E1092=""),"",C1092*E1092)</f>
        <v>0.319</v>
      </c>
      <c r="G1092" s="22" t="n">
        <f aca="false">IFERROR(VLOOKUP(A1092,NOMENCLATOR!$A:$E,5,0),"")</f>
        <v>0.319</v>
      </c>
      <c r="H1092" s="22" t="n">
        <f aca="false">IF(OR(C1092="",G1092=""),"",C1092*G1092)</f>
        <v>0.319</v>
      </c>
    </row>
    <row r="1093" customFormat="false" ht="15" hidden="false" customHeight="true" outlineLevel="0" collapsed="false">
      <c r="A1093" s="17" t="s">
        <v>230</v>
      </c>
      <c r="B1093" s="18" t="str">
        <f aca="false">IFERROR(VLOOKUP(A1093,NOMENCLATOR!$A:$E,2,0),"")</f>
        <v>PLIC CONDIMENTE PARMESAN [3G] FRY</v>
      </c>
      <c r="C1093" s="19" t="n">
        <v>1</v>
      </c>
      <c r="D1093" s="20" t="str">
        <f aca="false">IFERROR(VLOOKUP(A1093,NOMENCLATOR!$A:$E,3,0),"")</f>
        <v>EA</v>
      </c>
      <c r="E1093" s="21" t="n">
        <f aca="false">IFERROR(VLOOKUP(A1093,NOMENCLATOR!$A:$E,4,0),"")</f>
        <v>0.446</v>
      </c>
      <c r="F1093" s="21" t="n">
        <f aca="false">IF(OR(C1093="",E1093=""),"",C1093*E1093)</f>
        <v>0.446</v>
      </c>
      <c r="G1093" s="22" t="n">
        <f aca="false">IFERROR(VLOOKUP(A1093,NOMENCLATOR!$A:$E,5,0),"")</f>
        <v>0.446</v>
      </c>
      <c r="H1093" s="22" t="n">
        <f aca="false">IF(OR(C1093="",G1093=""),"",C1093*G1093)</f>
        <v>0.446</v>
      </c>
    </row>
    <row r="1094" customFormat="false" ht="15" hidden="false" customHeight="true" outlineLevel="0" collapsed="false">
      <c r="A1094" s="23" t="str">
        <f aca="false">IF(A1090="","",A1090)</f>
        <v>Fry Shaker Parmezan &amp; Usturoi D</v>
      </c>
      <c r="B1094" s="24"/>
      <c r="C1094" s="24"/>
      <c r="D1094" s="24"/>
      <c r="E1094" s="24"/>
      <c r="F1094" s="25" t="n">
        <f aca="false">IF(A1090="","",SUM(F1092:F1093))</f>
        <v>0.765</v>
      </c>
      <c r="G1094" s="24"/>
      <c r="H1094" s="26" t="n">
        <f aca="false">IF(A1090="","",SUM(H1092:H1093))</f>
        <v>0.765</v>
      </c>
    </row>
    <row r="1096" customFormat="false" ht="15" hidden="false" customHeight="true" outlineLevel="0" collapsed="false">
      <c r="A1096" s="12" t="s">
        <v>450</v>
      </c>
      <c r="B1096" s="13"/>
      <c r="C1096" s="13"/>
      <c r="D1096" s="13"/>
      <c r="E1096" s="13"/>
      <c r="F1096" s="14" t="s">
        <v>431</v>
      </c>
      <c r="G1096" s="13"/>
      <c r="H1096" s="15"/>
    </row>
    <row r="1097" customFormat="false" ht="15" hidden="false" customHeight="true" outlineLevel="0" collapsed="false">
      <c r="A1097" s="16" t="s">
        <v>316</v>
      </c>
      <c r="B1097" s="16" t="s">
        <v>317</v>
      </c>
      <c r="C1097" s="16" t="s">
        <v>318</v>
      </c>
      <c r="D1097" s="16" t="s">
        <v>4</v>
      </c>
      <c r="E1097" s="16" t="s">
        <v>319</v>
      </c>
      <c r="F1097" s="16" t="s">
        <v>320</v>
      </c>
      <c r="G1097" s="16" t="s">
        <v>321</v>
      </c>
      <c r="H1097" s="16" t="s">
        <v>322</v>
      </c>
    </row>
    <row r="1098" customFormat="false" ht="15" hidden="false" customHeight="true" outlineLevel="0" collapsed="false">
      <c r="A1098" s="17" t="s">
        <v>248</v>
      </c>
      <c r="B1098" s="18" t="str">
        <f aca="false">IFERROR(VLOOKUP(A1098,NOMENCLATOR!$A:$E,2,0),"")</f>
        <v>Punga Fry Shaker</v>
      </c>
      <c r="C1098" s="19" t="n">
        <v>1</v>
      </c>
      <c r="D1098" s="20" t="str">
        <f aca="false">IFERROR(VLOOKUP(A1098,NOMENCLATOR!$A:$E,3,0),"")</f>
        <v>EA</v>
      </c>
      <c r="E1098" s="21" t="n">
        <f aca="false">IFERROR(VLOOKUP(A1098,NOMENCLATOR!$A:$E,4,0),"")</f>
        <v>0.319</v>
      </c>
      <c r="F1098" s="21" t="n">
        <f aca="false">IF(OR(C1098="",E1098=""),"",C1098*E1098)</f>
        <v>0.319</v>
      </c>
      <c r="G1098" s="22" t="n">
        <f aca="false">IFERROR(VLOOKUP(A1098,NOMENCLATOR!$A:$E,5,0),"")</f>
        <v>0.319</v>
      </c>
      <c r="H1098" s="22" t="n">
        <f aca="false">IF(OR(C1098="",G1098=""),"",C1098*G1098)</f>
        <v>0.319</v>
      </c>
    </row>
    <row r="1099" customFormat="false" ht="15" hidden="false" customHeight="true" outlineLevel="0" collapsed="false">
      <c r="A1099" s="17" t="s">
        <v>228</v>
      </c>
      <c r="B1099" s="18" t="str">
        <f aca="false">IFERROR(VLOOKUP(A1099,NOMENCLATOR!$A:$E,2,0),"")</f>
        <v>PLIC CONDIMENTE CAJUN [3G] FRY</v>
      </c>
      <c r="C1099" s="19" t="n">
        <v>1</v>
      </c>
      <c r="D1099" s="20" t="str">
        <f aca="false">IFERROR(VLOOKUP(A1099,NOMENCLATOR!$A:$E,3,0),"")</f>
        <v>EA</v>
      </c>
      <c r="E1099" s="21" t="n">
        <f aca="false">IFERROR(VLOOKUP(A1099,NOMENCLATOR!$A:$E,4,0),"")</f>
        <v>0.172</v>
      </c>
      <c r="F1099" s="21" t="n">
        <f aca="false">IF(OR(C1099="",E1099=""),"",C1099*E1099)</f>
        <v>0.172</v>
      </c>
      <c r="G1099" s="22" t="n">
        <f aca="false">IFERROR(VLOOKUP(A1099,NOMENCLATOR!$A:$E,5,0),"")</f>
        <v>0.172</v>
      </c>
      <c r="H1099" s="22" t="n">
        <f aca="false">IF(OR(C1099="",G1099=""),"",C1099*G1099)</f>
        <v>0.172</v>
      </c>
    </row>
    <row r="1100" customFormat="false" ht="15" hidden="false" customHeight="true" outlineLevel="0" collapsed="false">
      <c r="A1100" s="23" t="str">
        <f aca="false">IF(A1096="","",A1096)</f>
        <v>Fry Shaker Cajun</v>
      </c>
      <c r="B1100" s="24"/>
      <c r="C1100" s="24"/>
      <c r="D1100" s="24"/>
      <c r="E1100" s="24"/>
      <c r="F1100" s="25" t="n">
        <f aca="false">IF(A1096="","",SUM(F1098:F1099))</f>
        <v>0.491</v>
      </c>
      <c r="G1100" s="24"/>
      <c r="H1100" s="26" t="n">
        <f aca="false">IF(A1096="","",SUM(H1098:H1099))</f>
        <v>0.491</v>
      </c>
    </row>
    <row r="1102" customFormat="false" ht="15" hidden="false" customHeight="true" outlineLevel="0" collapsed="false">
      <c r="A1102" s="12" t="s">
        <v>451</v>
      </c>
      <c r="B1102" s="13"/>
      <c r="C1102" s="13"/>
      <c r="D1102" s="13"/>
      <c r="E1102" s="13"/>
      <c r="F1102" s="14" t="s">
        <v>431</v>
      </c>
      <c r="G1102" s="13"/>
      <c r="H1102" s="15"/>
    </row>
    <row r="1103" customFormat="false" ht="15" hidden="false" customHeight="true" outlineLevel="0" collapsed="false">
      <c r="A1103" s="16" t="s">
        <v>316</v>
      </c>
      <c r="B1103" s="16" t="s">
        <v>317</v>
      </c>
      <c r="C1103" s="16" t="s">
        <v>318</v>
      </c>
      <c r="D1103" s="16" t="s">
        <v>4</v>
      </c>
      <c r="E1103" s="16" t="s">
        <v>319</v>
      </c>
      <c r="F1103" s="16" t="s">
        <v>320</v>
      </c>
      <c r="G1103" s="16" t="s">
        <v>321</v>
      </c>
      <c r="H1103" s="16" t="s">
        <v>322</v>
      </c>
    </row>
    <row r="1104" customFormat="false" ht="15" hidden="false" customHeight="true" outlineLevel="0" collapsed="false">
      <c r="A1104" s="17" t="s">
        <v>248</v>
      </c>
      <c r="B1104" s="18" t="str">
        <f aca="false">IFERROR(VLOOKUP(A1104,NOMENCLATOR!$A:$E,2,0),"")</f>
        <v>Punga Fry Shaker</v>
      </c>
      <c r="C1104" s="19" t="n">
        <v>1</v>
      </c>
      <c r="D1104" s="20" t="str">
        <f aca="false">IFERROR(VLOOKUP(A1104,NOMENCLATOR!$A:$E,3,0),"")</f>
        <v>EA</v>
      </c>
      <c r="E1104" s="21" t="n">
        <f aca="false">IFERROR(VLOOKUP(A1104,NOMENCLATOR!$A:$E,4,0),"")</f>
        <v>0.319</v>
      </c>
      <c r="F1104" s="21" t="n">
        <f aca="false">IF(OR(C1104="",E1104=""),"",C1104*E1104)</f>
        <v>0.319</v>
      </c>
      <c r="G1104" s="22" t="n">
        <f aca="false">IFERROR(VLOOKUP(A1104,NOMENCLATOR!$A:$E,5,0),"")</f>
        <v>0.319</v>
      </c>
      <c r="H1104" s="22" t="n">
        <f aca="false">IF(OR(C1104="",G1104=""),"",C1104*G1104)</f>
        <v>0.319</v>
      </c>
    </row>
    <row r="1105" customFormat="false" ht="15" hidden="false" customHeight="true" outlineLevel="0" collapsed="false">
      <c r="A1105" s="17" t="s">
        <v>228</v>
      </c>
      <c r="B1105" s="18" t="str">
        <f aca="false">IFERROR(VLOOKUP(A1105,NOMENCLATOR!$A:$E,2,0),"")</f>
        <v>PLIC CONDIMENTE CAJUN [3G] FRY</v>
      </c>
      <c r="C1105" s="19" t="n">
        <v>1</v>
      </c>
      <c r="D1105" s="20" t="str">
        <f aca="false">IFERROR(VLOOKUP(A1105,NOMENCLATOR!$A:$E,3,0),"")</f>
        <v>EA</v>
      </c>
      <c r="E1105" s="21" t="n">
        <f aca="false">IFERROR(VLOOKUP(A1105,NOMENCLATOR!$A:$E,4,0),"")</f>
        <v>0.172</v>
      </c>
      <c r="F1105" s="21" t="n">
        <f aca="false">IF(OR(C1105="",E1105=""),"",C1105*E1105)</f>
        <v>0.172</v>
      </c>
      <c r="G1105" s="22" t="n">
        <f aca="false">IFERROR(VLOOKUP(A1105,NOMENCLATOR!$A:$E,5,0),"")</f>
        <v>0.172</v>
      </c>
      <c r="H1105" s="22" t="n">
        <f aca="false">IF(OR(C1105="",G1105=""),"",C1105*G1105)</f>
        <v>0.172</v>
      </c>
    </row>
    <row r="1106" customFormat="false" ht="15" hidden="false" customHeight="true" outlineLevel="0" collapsed="false">
      <c r="A1106" s="23" t="str">
        <f aca="false">IF(A1102="","",A1102)</f>
        <v>Fry Shaker Cajun D</v>
      </c>
      <c r="B1106" s="24"/>
      <c r="C1106" s="24"/>
      <c r="D1106" s="24"/>
      <c r="E1106" s="24"/>
      <c r="F1106" s="25" t="n">
        <f aca="false">IF(A1102="","",SUM(F1104:F1105))</f>
        <v>0.491</v>
      </c>
      <c r="G1106" s="24"/>
      <c r="H1106" s="26" t="n">
        <f aca="false">IF(A1102="","",SUM(H1104:H1105))</f>
        <v>0.491</v>
      </c>
    </row>
    <row r="1108" customFormat="false" ht="15" hidden="false" customHeight="true" outlineLevel="0" collapsed="false">
      <c r="A1108" s="12" t="s">
        <v>452</v>
      </c>
      <c r="B1108" s="13"/>
      <c r="C1108" s="13"/>
      <c r="D1108" s="13"/>
      <c r="E1108" s="13"/>
      <c r="F1108" s="14" t="s">
        <v>453</v>
      </c>
      <c r="G1108" s="13"/>
      <c r="H1108" s="15"/>
    </row>
    <row r="1109" customFormat="false" ht="15" hidden="false" customHeight="true" outlineLevel="0" collapsed="false">
      <c r="A1109" s="16" t="s">
        <v>316</v>
      </c>
      <c r="B1109" s="16" t="s">
        <v>317</v>
      </c>
      <c r="C1109" s="16" t="s">
        <v>318</v>
      </c>
      <c r="D1109" s="16" t="s">
        <v>4</v>
      </c>
      <c r="E1109" s="16" t="s">
        <v>319</v>
      </c>
      <c r="F1109" s="16" t="s">
        <v>320</v>
      </c>
      <c r="G1109" s="16" t="s">
        <v>321</v>
      </c>
      <c r="H1109" s="16" t="s">
        <v>322</v>
      </c>
    </row>
    <row r="1110" customFormat="false" ht="15" hidden="false" customHeight="true" outlineLevel="0" collapsed="false">
      <c r="A1110" s="17" t="s">
        <v>266</v>
      </c>
      <c r="B1110" s="18" t="str">
        <f aca="false">IFERROR(VLOOKUP(A1110,NOMENCLATOR!$A:$E,2,0),"")</f>
        <v>RTS - Sos Truffle Mayo 25ml</v>
      </c>
      <c r="C1110" s="19" t="n">
        <v>1</v>
      </c>
      <c r="D1110" s="20" t="str">
        <f aca="false">IFERROR(VLOOKUP(A1110,NOMENCLATOR!$A:$E,3,0),"")</f>
        <v>EA</v>
      </c>
      <c r="E1110" s="21" t="n">
        <f aca="false">IFERROR(VLOOKUP(A1110,NOMENCLATOR!$A:$E,4,0),"")</f>
        <v>2.272</v>
      </c>
      <c r="F1110" s="21" t="n">
        <f aca="false">IF(OR(C1110="",E1110=""),"",C1110*E1110)</f>
        <v>2.272</v>
      </c>
      <c r="G1110" s="22" t="n">
        <f aca="false">IFERROR(VLOOKUP(A1110,NOMENCLATOR!$A:$E,5,0),"")</f>
        <v>2.272</v>
      </c>
      <c r="H1110" s="22" t="n">
        <f aca="false">IF(OR(C1110="",G1110=""),"",C1110*G1110)</f>
        <v>2.272</v>
      </c>
    </row>
    <row r="1111" customFormat="false" ht="15" hidden="false" customHeight="true" outlineLevel="0" collapsed="false">
      <c r="A1111" s="23" t="str">
        <f aca="false">IF(A1108="","",A1108)</f>
        <v>Sos Truffle Mayo NEW</v>
      </c>
      <c r="B1111" s="24"/>
      <c r="C1111" s="24"/>
      <c r="D1111" s="24"/>
      <c r="E1111" s="24"/>
      <c r="F1111" s="25" t="n">
        <f aca="false">IF(A1108="","",SUM(F1110:F1110))</f>
        <v>2.272</v>
      </c>
      <c r="G1111" s="24"/>
      <c r="H1111" s="26" t="n">
        <f aca="false">IF(A1108="","",SUM(H1110:H1110))</f>
        <v>2.272</v>
      </c>
    </row>
    <row r="1113" customFormat="false" ht="15" hidden="false" customHeight="true" outlineLevel="0" collapsed="false">
      <c r="A1113" s="12" t="s">
        <v>454</v>
      </c>
      <c r="B1113" s="13"/>
      <c r="C1113" s="13"/>
      <c r="D1113" s="13"/>
      <c r="E1113" s="13"/>
      <c r="F1113" s="14" t="s">
        <v>453</v>
      </c>
      <c r="G1113" s="13"/>
      <c r="H1113" s="15"/>
    </row>
    <row r="1114" customFormat="false" ht="15" hidden="false" customHeight="true" outlineLevel="0" collapsed="false">
      <c r="A1114" s="16" t="s">
        <v>316</v>
      </c>
      <c r="B1114" s="16" t="s">
        <v>317</v>
      </c>
      <c r="C1114" s="16" t="s">
        <v>318</v>
      </c>
      <c r="D1114" s="16" t="s">
        <v>4</v>
      </c>
      <c r="E1114" s="16" t="s">
        <v>319</v>
      </c>
      <c r="F1114" s="16" t="s">
        <v>320</v>
      </c>
      <c r="G1114" s="16" t="s">
        <v>321</v>
      </c>
      <c r="H1114" s="16" t="s">
        <v>322</v>
      </c>
    </row>
    <row r="1115" customFormat="false" ht="15" hidden="false" customHeight="true" outlineLevel="0" collapsed="false">
      <c r="A1115" s="17" t="s">
        <v>266</v>
      </c>
      <c r="B1115" s="18" t="str">
        <f aca="false">IFERROR(VLOOKUP(A1115,NOMENCLATOR!$A:$E,2,0),"")</f>
        <v>RTS - Sos Truffle Mayo 25ml</v>
      </c>
      <c r="C1115" s="19" t="n">
        <v>1</v>
      </c>
      <c r="D1115" s="20" t="str">
        <f aca="false">IFERROR(VLOOKUP(A1115,NOMENCLATOR!$A:$E,3,0),"")</f>
        <v>EA</v>
      </c>
      <c r="E1115" s="21" t="n">
        <f aca="false">IFERROR(VLOOKUP(A1115,NOMENCLATOR!$A:$E,4,0),"")</f>
        <v>2.272</v>
      </c>
      <c r="F1115" s="21" t="n">
        <f aca="false">IF(OR(C1115="",E1115=""),"",C1115*E1115)</f>
        <v>2.272</v>
      </c>
      <c r="G1115" s="22" t="n">
        <f aca="false">IFERROR(VLOOKUP(A1115,NOMENCLATOR!$A:$E,5,0),"")</f>
        <v>2.272</v>
      </c>
      <c r="H1115" s="22" t="n">
        <f aca="false">IF(OR(C1115="",G1115=""),"",C1115*G1115)</f>
        <v>2.272</v>
      </c>
    </row>
    <row r="1116" customFormat="false" ht="15" hidden="false" customHeight="true" outlineLevel="0" collapsed="false">
      <c r="A1116" s="23" t="str">
        <f aca="false">IF(A1113="","",A1113)</f>
        <v>Sos Truffle Mayo NEW D</v>
      </c>
      <c r="B1116" s="24"/>
      <c r="C1116" s="24"/>
      <c r="D1116" s="24"/>
      <c r="E1116" s="24"/>
      <c r="F1116" s="25" t="n">
        <f aca="false">IF(A1113="","",SUM(F1115:F1115))</f>
        <v>2.272</v>
      </c>
      <c r="G1116" s="24"/>
      <c r="H1116" s="26" t="n">
        <f aca="false">IF(A1113="","",SUM(H1115:H1115))</f>
        <v>2.272</v>
      </c>
    </row>
    <row r="1118" customFormat="false" ht="15" hidden="false" customHeight="true" outlineLevel="0" collapsed="false">
      <c r="A1118" s="12" t="s">
        <v>455</v>
      </c>
      <c r="B1118" s="13"/>
      <c r="C1118" s="13"/>
      <c r="D1118" s="13"/>
      <c r="E1118" s="13"/>
      <c r="F1118" s="14" t="s">
        <v>453</v>
      </c>
      <c r="G1118" s="13"/>
      <c r="H1118" s="15"/>
    </row>
    <row r="1119" customFormat="false" ht="15" hidden="false" customHeight="true" outlineLevel="0" collapsed="false">
      <c r="A1119" s="16" t="s">
        <v>316</v>
      </c>
      <c r="B1119" s="16" t="s">
        <v>317</v>
      </c>
      <c r="C1119" s="16" t="s">
        <v>318</v>
      </c>
      <c r="D1119" s="16" t="s">
        <v>4</v>
      </c>
      <c r="E1119" s="16" t="s">
        <v>319</v>
      </c>
      <c r="F1119" s="16" t="s">
        <v>320</v>
      </c>
      <c r="G1119" s="16" t="s">
        <v>321</v>
      </c>
      <c r="H1119" s="16" t="s">
        <v>322</v>
      </c>
    </row>
    <row r="1120" customFormat="false" ht="15" hidden="false" customHeight="true" outlineLevel="0" collapsed="false">
      <c r="A1120" s="17" t="s">
        <v>264</v>
      </c>
      <c r="B1120" s="18" t="str">
        <f aca="false">IFERROR(VLOOKUP(A1120,NOMENCLATOR!$A:$E,2,0),"")</f>
        <v>RTS - Sos Samurai 25ml</v>
      </c>
      <c r="C1120" s="19" t="n">
        <v>1</v>
      </c>
      <c r="D1120" s="20" t="str">
        <f aca="false">IFERROR(VLOOKUP(A1120,NOMENCLATOR!$A:$E,3,0),"")</f>
        <v>EA</v>
      </c>
      <c r="E1120" s="21" t="n">
        <f aca="false">IFERROR(VLOOKUP(A1120,NOMENCLATOR!$A:$E,4,0),"")</f>
        <v>2.112</v>
      </c>
      <c r="F1120" s="21" t="n">
        <f aca="false">IF(OR(C1120="",E1120=""),"",C1120*E1120)</f>
        <v>2.112</v>
      </c>
      <c r="G1120" s="22" t="n">
        <f aca="false">IFERROR(VLOOKUP(A1120,NOMENCLATOR!$A:$E,5,0),"")</f>
        <v>2.112</v>
      </c>
      <c r="H1120" s="22" t="n">
        <f aca="false">IF(OR(C1120="",G1120=""),"",C1120*G1120)</f>
        <v>2.112</v>
      </c>
    </row>
    <row r="1121" customFormat="false" ht="15" hidden="false" customHeight="true" outlineLevel="0" collapsed="false">
      <c r="A1121" s="23" t="str">
        <f aca="false">IF(A1118="","",A1118)</f>
        <v>Sos Samurai NEW</v>
      </c>
      <c r="B1121" s="24"/>
      <c r="C1121" s="24"/>
      <c r="D1121" s="24"/>
      <c r="E1121" s="24"/>
      <c r="F1121" s="25" t="n">
        <f aca="false">IF(A1118="","",SUM(F1120:F1120))</f>
        <v>2.112</v>
      </c>
      <c r="G1121" s="24"/>
      <c r="H1121" s="26" t="n">
        <f aca="false">IF(A1118="","",SUM(H1120:H1120))</f>
        <v>2.112</v>
      </c>
    </row>
    <row r="1123" customFormat="false" ht="15" hidden="false" customHeight="true" outlineLevel="0" collapsed="false">
      <c r="A1123" s="12" t="s">
        <v>456</v>
      </c>
      <c r="B1123" s="13"/>
      <c r="C1123" s="13"/>
      <c r="D1123" s="13"/>
      <c r="E1123" s="13"/>
      <c r="F1123" s="14" t="s">
        <v>453</v>
      </c>
      <c r="G1123" s="13"/>
      <c r="H1123" s="15"/>
    </row>
    <row r="1124" customFormat="false" ht="15" hidden="false" customHeight="true" outlineLevel="0" collapsed="false">
      <c r="A1124" s="16" t="s">
        <v>316</v>
      </c>
      <c r="B1124" s="16" t="s">
        <v>317</v>
      </c>
      <c r="C1124" s="16" t="s">
        <v>318</v>
      </c>
      <c r="D1124" s="16" t="s">
        <v>4</v>
      </c>
      <c r="E1124" s="16" t="s">
        <v>319</v>
      </c>
      <c r="F1124" s="16" t="s">
        <v>320</v>
      </c>
      <c r="G1124" s="16" t="s">
        <v>321</v>
      </c>
      <c r="H1124" s="16" t="s">
        <v>322</v>
      </c>
    </row>
    <row r="1125" customFormat="false" ht="15" hidden="false" customHeight="true" outlineLevel="0" collapsed="false">
      <c r="A1125" s="17" t="s">
        <v>264</v>
      </c>
      <c r="B1125" s="18" t="str">
        <f aca="false">IFERROR(VLOOKUP(A1125,NOMENCLATOR!$A:$E,2,0),"")</f>
        <v>RTS - Sos Samurai 25ml</v>
      </c>
      <c r="C1125" s="19" t="n">
        <v>1</v>
      </c>
      <c r="D1125" s="20" t="str">
        <f aca="false">IFERROR(VLOOKUP(A1125,NOMENCLATOR!$A:$E,3,0),"")</f>
        <v>EA</v>
      </c>
      <c r="E1125" s="21" t="n">
        <f aca="false">IFERROR(VLOOKUP(A1125,NOMENCLATOR!$A:$E,4,0),"")</f>
        <v>2.112</v>
      </c>
      <c r="F1125" s="21" t="n">
        <f aca="false">IF(OR(C1125="",E1125=""),"",C1125*E1125)</f>
        <v>2.112</v>
      </c>
      <c r="G1125" s="22" t="n">
        <f aca="false">IFERROR(VLOOKUP(A1125,NOMENCLATOR!$A:$E,5,0),"")</f>
        <v>2.112</v>
      </c>
      <c r="H1125" s="22" t="n">
        <f aca="false">IF(OR(C1125="",G1125=""),"",C1125*G1125)</f>
        <v>2.112</v>
      </c>
    </row>
    <row r="1126" customFormat="false" ht="15" hidden="false" customHeight="true" outlineLevel="0" collapsed="false">
      <c r="A1126" s="23" t="str">
        <f aca="false">IF(A1123="","",A1123)</f>
        <v>Sos Samurai NEW D</v>
      </c>
      <c r="B1126" s="24"/>
      <c r="C1126" s="24"/>
      <c r="D1126" s="24"/>
      <c r="E1126" s="24"/>
      <c r="F1126" s="25" t="n">
        <f aca="false">IF(A1123="","",SUM(F1125:F1125))</f>
        <v>2.112</v>
      </c>
      <c r="G1126" s="24"/>
      <c r="H1126" s="26" t="n">
        <f aca="false">IF(A1123="","",SUM(H1125:H1125))</f>
        <v>2.112</v>
      </c>
    </row>
    <row r="1128" customFormat="false" ht="15" hidden="false" customHeight="true" outlineLevel="0" collapsed="false">
      <c r="A1128" s="12" t="s">
        <v>457</v>
      </c>
      <c r="B1128" s="13"/>
      <c r="C1128" s="13"/>
      <c r="D1128" s="13"/>
      <c r="E1128" s="13"/>
      <c r="F1128" s="14" t="s">
        <v>453</v>
      </c>
      <c r="G1128" s="13"/>
      <c r="H1128" s="15"/>
    </row>
    <row r="1129" customFormat="false" ht="15" hidden="false" customHeight="true" outlineLevel="0" collapsed="false">
      <c r="A1129" s="16" t="s">
        <v>316</v>
      </c>
      <c r="B1129" s="16" t="s">
        <v>317</v>
      </c>
      <c r="C1129" s="16" t="s">
        <v>318</v>
      </c>
      <c r="D1129" s="16" t="s">
        <v>4</v>
      </c>
      <c r="E1129" s="16" t="s">
        <v>319</v>
      </c>
      <c r="F1129" s="16" t="s">
        <v>320</v>
      </c>
      <c r="G1129" s="16" t="s">
        <v>321</v>
      </c>
      <c r="H1129" s="16" t="s">
        <v>322</v>
      </c>
    </row>
    <row r="1130" customFormat="false" ht="15" hidden="false" customHeight="true" outlineLevel="0" collapsed="false">
      <c r="A1130" s="17" t="s">
        <v>268</v>
      </c>
      <c r="B1130" s="18" t="str">
        <f aca="false">IFERROR(VLOOKUP(A1130,NOMENCLATOR!$A:$E,2,0),"")</f>
        <v>RTS - Sos Usturoi 25ml</v>
      </c>
      <c r="C1130" s="19" t="n">
        <v>1</v>
      </c>
      <c r="D1130" s="20" t="str">
        <f aca="false">IFERROR(VLOOKUP(A1130,NOMENCLATOR!$A:$E,3,0),"")</f>
        <v>EA</v>
      </c>
      <c r="E1130" s="21" t="n">
        <f aca="false">IFERROR(VLOOKUP(A1130,NOMENCLATOR!$A:$E,4,0),"")</f>
        <v>1.984</v>
      </c>
      <c r="F1130" s="21" t="n">
        <f aca="false">IF(OR(C1130="",E1130=""),"",C1130*E1130)</f>
        <v>1.984</v>
      </c>
      <c r="G1130" s="22" t="n">
        <f aca="false">IFERROR(VLOOKUP(A1130,NOMENCLATOR!$A:$E,5,0),"")</f>
        <v>1.984</v>
      </c>
      <c r="H1130" s="22" t="n">
        <f aca="false">IF(OR(C1130="",G1130=""),"",C1130*G1130)</f>
        <v>1.984</v>
      </c>
    </row>
    <row r="1131" customFormat="false" ht="15" hidden="false" customHeight="true" outlineLevel="0" collapsed="false">
      <c r="A1131" s="23" t="str">
        <f aca="false">IF(A1128="","",A1128)</f>
        <v>Sos Usturoi NEW</v>
      </c>
      <c r="B1131" s="24"/>
      <c r="C1131" s="24"/>
      <c r="D1131" s="24"/>
      <c r="E1131" s="24"/>
      <c r="F1131" s="25" t="n">
        <f aca="false">IF(A1128="","",SUM(F1130:F1130))</f>
        <v>1.984</v>
      </c>
      <c r="G1131" s="24"/>
      <c r="H1131" s="26" t="n">
        <f aca="false">IF(A1128="","",SUM(H1130:H1130))</f>
        <v>1.984</v>
      </c>
    </row>
    <row r="1133" customFormat="false" ht="15" hidden="false" customHeight="true" outlineLevel="0" collapsed="false">
      <c r="A1133" s="12" t="s">
        <v>458</v>
      </c>
      <c r="B1133" s="13"/>
      <c r="C1133" s="13"/>
      <c r="D1133" s="13"/>
      <c r="E1133" s="13"/>
      <c r="F1133" s="14" t="s">
        <v>453</v>
      </c>
      <c r="G1133" s="13"/>
      <c r="H1133" s="15"/>
    </row>
    <row r="1134" customFormat="false" ht="15" hidden="false" customHeight="true" outlineLevel="0" collapsed="false">
      <c r="A1134" s="16" t="s">
        <v>316</v>
      </c>
      <c r="B1134" s="16" t="s">
        <v>317</v>
      </c>
      <c r="C1134" s="16" t="s">
        <v>318</v>
      </c>
      <c r="D1134" s="16" t="s">
        <v>4</v>
      </c>
      <c r="E1134" s="16" t="s">
        <v>319</v>
      </c>
      <c r="F1134" s="16" t="s">
        <v>320</v>
      </c>
      <c r="G1134" s="16" t="s">
        <v>321</v>
      </c>
      <c r="H1134" s="16" t="s">
        <v>322</v>
      </c>
    </row>
    <row r="1135" customFormat="false" ht="15" hidden="false" customHeight="true" outlineLevel="0" collapsed="false">
      <c r="A1135" s="17" t="s">
        <v>268</v>
      </c>
      <c r="B1135" s="18" t="str">
        <f aca="false">IFERROR(VLOOKUP(A1135,NOMENCLATOR!$A:$E,2,0),"")</f>
        <v>RTS - Sos Usturoi 25ml</v>
      </c>
      <c r="C1135" s="19" t="n">
        <v>1</v>
      </c>
      <c r="D1135" s="20" t="str">
        <f aca="false">IFERROR(VLOOKUP(A1135,NOMENCLATOR!$A:$E,3,0),"")</f>
        <v>EA</v>
      </c>
      <c r="E1135" s="21" t="n">
        <f aca="false">IFERROR(VLOOKUP(A1135,NOMENCLATOR!$A:$E,4,0),"")</f>
        <v>1.984</v>
      </c>
      <c r="F1135" s="21" t="n">
        <f aca="false">IF(OR(C1135="",E1135=""),"",C1135*E1135)</f>
        <v>1.984</v>
      </c>
      <c r="G1135" s="22" t="n">
        <f aca="false">IFERROR(VLOOKUP(A1135,NOMENCLATOR!$A:$E,5,0),"")</f>
        <v>1.984</v>
      </c>
      <c r="H1135" s="22" t="n">
        <f aca="false">IF(OR(C1135="",G1135=""),"",C1135*G1135)</f>
        <v>1.984</v>
      </c>
    </row>
    <row r="1136" customFormat="false" ht="15" hidden="false" customHeight="true" outlineLevel="0" collapsed="false">
      <c r="A1136" s="23" t="str">
        <f aca="false">IF(A1133="","",A1133)</f>
        <v>Sos Usturoi NEW D</v>
      </c>
      <c r="B1136" s="24"/>
      <c r="C1136" s="24"/>
      <c r="D1136" s="24"/>
      <c r="E1136" s="24"/>
      <c r="F1136" s="25" t="n">
        <f aca="false">IF(A1133="","",SUM(F1135:F1135))</f>
        <v>1.984</v>
      </c>
      <c r="G1136" s="24"/>
      <c r="H1136" s="26" t="n">
        <f aca="false">IF(A1133="","",SUM(H1135:H1135))</f>
        <v>1.984</v>
      </c>
    </row>
    <row r="1138" customFormat="false" ht="15" hidden="false" customHeight="true" outlineLevel="0" collapsed="false">
      <c r="A1138" s="12" t="s">
        <v>459</v>
      </c>
      <c r="B1138" s="13"/>
      <c r="C1138" s="13"/>
      <c r="D1138" s="13"/>
      <c r="E1138" s="13"/>
      <c r="F1138" s="14" t="s">
        <v>453</v>
      </c>
      <c r="G1138" s="13"/>
      <c r="H1138" s="15"/>
    </row>
    <row r="1139" customFormat="false" ht="15" hidden="false" customHeight="true" outlineLevel="0" collapsed="false">
      <c r="A1139" s="16" t="s">
        <v>316</v>
      </c>
      <c r="B1139" s="16" t="s">
        <v>317</v>
      </c>
      <c r="C1139" s="16" t="s">
        <v>318</v>
      </c>
      <c r="D1139" s="16" t="s">
        <v>4</v>
      </c>
      <c r="E1139" s="16" t="s">
        <v>319</v>
      </c>
      <c r="F1139" s="16" t="s">
        <v>320</v>
      </c>
      <c r="G1139" s="16" t="s">
        <v>321</v>
      </c>
      <c r="H1139" s="16" t="s">
        <v>322</v>
      </c>
    </row>
    <row r="1140" customFormat="false" ht="15" hidden="false" customHeight="true" outlineLevel="0" collapsed="false">
      <c r="A1140" s="17" t="s">
        <v>282</v>
      </c>
      <c r="B1140" s="18" t="str">
        <f aca="false">IFERROR(VLOOKUP(A1140,NOMENCLATOR!$A:$E,2,0),"")</f>
        <v>Sos Cheddar BIB</v>
      </c>
      <c r="C1140" s="19" t="n">
        <v>40</v>
      </c>
      <c r="D1140" s="20" t="str">
        <f aca="false">IFERROR(VLOOKUP(A1140,NOMENCLATOR!$A:$E,3,0),"")</f>
        <v>GM</v>
      </c>
      <c r="E1140" s="21" t="n">
        <f aca="false">IFERROR(VLOOKUP(A1140,NOMENCLATOR!$A:$E,4,0),"")</f>
        <v>0.04507</v>
      </c>
      <c r="F1140" s="21" t="n">
        <f aca="false">IF(OR(C1140="",E1140=""),"",C1140*E1140)</f>
        <v>1.8028</v>
      </c>
      <c r="G1140" s="22" t="n">
        <f aca="false">IFERROR(VLOOKUP(A1140,NOMENCLATOR!$A:$E,5,0),"")</f>
        <v>0.04507</v>
      </c>
      <c r="H1140" s="22" t="n">
        <f aca="false">IF(OR(C1140="",G1140=""),"",C1140*G1140)</f>
        <v>1.8028</v>
      </c>
    </row>
    <row r="1141" customFormat="false" ht="15" hidden="false" customHeight="true" outlineLevel="0" collapsed="false">
      <c r="A1141" s="17" t="s">
        <v>288</v>
      </c>
      <c r="B1141" s="18" t="str">
        <f aca="false">IFERROR(VLOOKUP(A1141,NOMENCLATOR!$A:$E,2,0),"")</f>
        <v>Sosiera neagra 50ml</v>
      </c>
      <c r="C1141" s="19" t="n">
        <v>1</v>
      </c>
      <c r="D1141" s="20" t="str">
        <f aca="false">IFERROR(VLOOKUP(A1141,NOMENCLATOR!$A:$E,3,0),"")</f>
        <v>EA</v>
      </c>
      <c r="E1141" s="21" t="n">
        <f aca="false">IFERROR(VLOOKUP(A1141,NOMENCLATOR!$A:$E,4,0),"")</f>
        <v>0.176</v>
      </c>
      <c r="F1141" s="21" t="n">
        <f aca="false">IF(OR(C1141="",E1141=""),"",C1141*E1141)</f>
        <v>0.176</v>
      </c>
      <c r="G1141" s="22" t="n">
        <f aca="false">IFERROR(VLOOKUP(A1141,NOMENCLATOR!$A:$E,5,0),"")</f>
        <v>0.176</v>
      </c>
      <c r="H1141" s="22" t="n">
        <f aca="false">IF(OR(C1141="",G1141=""),"",C1141*G1141)</f>
        <v>0.176</v>
      </c>
    </row>
    <row r="1142" customFormat="false" ht="15" hidden="false" customHeight="true" outlineLevel="0" collapsed="false">
      <c r="A1142" s="17" t="s">
        <v>90</v>
      </c>
      <c r="B1142" s="18" t="str">
        <f aca="false">IFERROR(VLOOKUP(A1142,NOMENCLATOR!$A:$E,2,0),"")</f>
        <v>Capac sosiera 50ml</v>
      </c>
      <c r="C1142" s="19" t="n">
        <v>1</v>
      </c>
      <c r="D1142" s="20" t="str">
        <f aca="false">IFERROR(VLOOKUP(A1142,NOMENCLATOR!$A:$E,3,0),"")</f>
        <v>EA</v>
      </c>
      <c r="E1142" s="21" t="n">
        <f aca="false">IFERROR(VLOOKUP(A1142,NOMENCLATOR!$A:$E,4,0),"")</f>
        <v>0.045</v>
      </c>
      <c r="F1142" s="21" t="n">
        <f aca="false">IF(OR(C1142="",E1142=""),"",C1142*E1142)</f>
        <v>0.045</v>
      </c>
      <c r="G1142" s="22" t="n">
        <f aca="false">IFERROR(VLOOKUP(A1142,NOMENCLATOR!$A:$E,5,0),"")</f>
        <v>0.045</v>
      </c>
      <c r="H1142" s="22" t="n">
        <f aca="false">IF(OR(C1142="",G1142=""),"",C1142*G1142)</f>
        <v>0.045</v>
      </c>
    </row>
    <row r="1143" customFormat="false" ht="15" hidden="false" customHeight="true" outlineLevel="0" collapsed="false">
      <c r="A1143" s="23" t="str">
        <f aca="false">IF(A1138="","",A1138)</f>
        <v>Side Cheddar 40 ml D NEW</v>
      </c>
      <c r="B1143" s="24"/>
      <c r="C1143" s="24"/>
      <c r="D1143" s="24"/>
      <c r="E1143" s="24"/>
      <c r="F1143" s="25" t="n">
        <f aca="false">IF(A1138="","",SUM(F1140:F1142))</f>
        <v>2.0238</v>
      </c>
      <c r="G1143" s="24"/>
      <c r="H1143" s="26" t="n">
        <f aca="false">IF(A1138="","",SUM(H1140:H1142))</f>
        <v>2.0238</v>
      </c>
    </row>
    <row r="1145" customFormat="false" ht="15" hidden="false" customHeight="true" outlineLevel="0" collapsed="false">
      <c r="A1145" s="12" t="s">
        <v>460</v>
      </c>
      <c r="B1145" s="13"/>
      <c r="C1145" s="13"/>
      <c r="D1145" s="13"/>
      <c r="E1145" s="13"/>
      <c r="F1145" s="14" t="s">
        <v>453</v>
      </c>
      <c r="G1145" s="13"/>
      <c r="H1145" s="15"/>
    </row>
    <row r="1146" customFormat="false" ht="15" hidden="false" customHeight="true" outlineLevel="0" collapsed="false">
      <c r="A1146" s="16" t="s">
        <v>316</v>
      </c>
      <c r="B1146" s="16" t="s">
        <v>317</v>
      </c>
      <c r="C1146" s="16" t="s">
        <v>318</v>
      </c>
      <c r="D1146" s="16" t="s">
        <v>4</v>
      </c>
      <c r="E1146" s="16" t="s">
        <v>319</v>
      </c>
      <c r="F1146" s="16" t="s">
        <v>320</v>
      </c>
      <c r="G1146" s="16" t="s">
        <v>321</v>
      </c>
      <c r="H1146" s="16" t="s">
        <v>322</v>
      </c>
    </row>
    <row r="1147" customFormat="false" ht="15" hidden="false" customHeight="true" outlineLevel="0" collapsed="false">
      <c r="A1147" s="17" t="s">
        <v>282</v>
      </c>
      <c r="B1147" s="18" t="str">
        <f aca="false">IFERROR(VLOOKUP(A1147,NOMENCLATOR!$A:$E,2,0),"")</f>
        <v>Sos Cheddar BIB</v>
      </c>
      <c r="C1147" s="19" t="n">
        <v>40</v>
      </c>
      <c r="D1147" s="20" t="str">
        <f aca="false">IFERROR(VLOOKUP(A1147,NOMENCLATOR!$A:$E,3,0),"")</f>
        <v>GM</v>
      </c>
      <c r="E1147" s="21" t="n">
        <f aca="false">IFERROR(VLOOKUP(A1147,NOMENCLATOR!$A:$E,4,0),"")</f>
        <v>0.04507</v>
      </c>
      <c r="F1147" s="21" t="n">
        <f aca="false">IF(OR(C1147="",E1147=""),"",C1147*E1147)</f>
        <v>1.8028</v>
      </c>
      <c r="G1147" s="22" t="n">
        <f aca="false">IFERROR(VLOOKUP(A1147,NOMENCLATOR!$A:$E,5,0),"")</f>
        <v>0.04507</v>
      </c>
      <c r="H1147" s="22" t="n">
        <f aca="false">IF(OR(C1147="",G1147=""),"",C1147*G1147)</f>
        <v>1.8028</v>
      </c>
    </row>
    <row r="1148" customFormat="false" ht="15" hidden="false" customHeight="true" outlineLevel="0" collapsed="false">
      <c r="A1148" s="17" t="s">
        <v>288</v>
      </c>
      <c r="B1148" s="18" t="str">
        <f aca="false">IFERROR(VLOOKUP(A1148,NOMENCLATOR!$A:$E,2,0),"")</f>
        <v>Sosiera neagra 50ml</v>
      </c>
      <c r="C1148" s="19" t="n">
        <v>1</v>
      </c>
      <c r="D1148" s="20" t="str">
        <f aca="false">IFERROR(VLOOKUP(A1148,NOMENCLATOR!$A:$E,3,0),"")</f>
        <v>EA</v>
      </c>
      <c r="E1148" s="21" t="n">
        <f aca="false">IFERROR(VLOOKUP(A1148,NOMENCLATOR!$A:$E,4,0),"")</f>
        <v>0.176</v>
      </c>
      <c r="F1148" s="21" t="n">
        <f aca="false">IF(OR(C1148="",E1148=""),"",C1148*E1148)</f>
        <v>0.176</v>
      </c>
      <c r="G1148" s="22" t="n">
        <f aca="false">IFERROR(VLOOKUP(A1148,NOMENCLATOR!$A:$E,5,0),"")</f>
        <v>0.176</v>
      </c>
      <c r="H1148" s="22" t="n">
        <f aca="false">IF(OR(C1148="",G1148=""),"",C1148*G1148)</f>
        <v>0.176</v>
      </c>
    </row>
    <row r="1149" customFormat="false" ht="15" hidden="false" customHeight="true" outlineLevel="0" collapsed="false">
      <c r="A1149" s="17" t="s">
        <v>90</v>
      </c>
      <c r="B1149" s="18" t="str">
        <f aca="false">IFERROR(VLOOKUP(A1149,NOMENCLATOR!$A:$E,2,0),"")</f>
        <v>Capac sosiera 50ml</v>
      </c>
      <c r="C1149" s="19" t="n">
        <v>1</v>
      </c>
      <c r="D1149" s="20" t="str">
        <f aca="false">IFERROR(VLOOKUP(A1149,NOMENCLATOR!$A:$E,3,0),"")</f>
        <v>EA</v>
      </c>
      <c r="E1149" s="21" t="n">
        <f aca="false">IFERROR(VLOOKUP(A1149,NOMENCLATOR!$A:$E,4,0),"")</f>
        <v>0.045</v>
      </c>
      <c r="F1149" s="21" t="n">
        <f aca="false">IF(OR(C1149="",E1149=""),"",C1149*E1149)</f>
        <v>0.045</v>
      </c>
      <c r="G1149" s="22" t="n">
        <f aca="false">IFERROR(VLOOKUP(A1149,NOMENCLATOR!$A:$E,5,0),"")</f>
        <v>0.045</v>
      </c>
      <c r="H1149" s="22" t="n">
        <f aca="false">IF(OR(C1149="",G1149=""),"",C1149*G1149)</f>
        <v>0.045</v>
      </c>
    </row>
    <row r="1150" customFormat="false" ht="15" hidden="false" customHeight="true" outlineLevel="0" collapsed="false">
      <c r="A1150" s="23" t="str">
        <f aca="false">IF(A1145="","",A1145)</f>
        <v>Side Cheddar 40 ml D NEW D</v>
      </c>
      <c r="B1150" s="24"/>
      <c r="C1150" s="24"/>
      <c r="D1150" s="24"/>
      <c r="E1150" s="24"/>
      <c r="F1150" s="25" t="n">
        <f aca="false">IF(A1145="","",SUM(F1147:F1149))</f>
        <v>2.0238</v>
      </c>
      <c r="G1150" s="24"/>
      <c r="H1150" s="26" t="n">
        <f aca="false">IF(A1145="","",SUM(H1147:H1149))</f>
        <v>2.0238</v>
      </c>
    </row>
    <row r="1152" customFormat="false" ht="15" hidden="false" customHeight="true" outlineLevel="0" collapsed="false">
      <c r="A1152" s="12" t="s">
        <v>461</v>
      </c>
      <c r="B1152" s="13"/>
      <c r="C1152" s="13"/>
      <c r="D1152" s="13"/>
      <c r="E1152" s="13"/>
      <c r="F1152" s="14" t="s">
        <v>453</v>
      </c>
      <c r="G1152" s="13"/>
      <c r="H1152" s="15"/>
    </row>
    <row r="1153" customFormat="false" ht="15" hidden="false" customHeight="true" outlineLevel="0" collapsed="false">
      <c r="A1153" s="16" t="s">
        <v>316</v>
      </c>
      <c r="B1153" s="16" t="s">
        <v>317</v>
      </c>
      <c r="C1153" s="16" t="s">
        <v>318</v>
      </c>
      <c r="D1153" s="16" t="s">
        <v>4</v>
      </c>
      <c r="E1153" s="16" t="s">
        <v>319</v>
      </c>
      <c r="F1153" s="16" t="s">
        <v>320</v>
      </c>
      <c r="G1153" s="16" t="s">
        <v>321</v>
      </c>
      <c r="H1153" s="16" t="s">
        <v>322</v>
      </c>
    </row>
    <row r="1154" customFormat="false" ht="15" hidden="false" customHeight="true" outlineLevel="0" collapsed="false">
      <c r="A1154" s="17" t="s">
        <v>284</v>
      </c>
      <c r="B1154" s="18" t="str">
        <f aca="false">IFERROR(VLOOKUP(A1154,NOMENCLATOR!$A:$E,2,0),"")</f>
        <v>Sos FryRanch</v>
      </c>
      <c r="C1154" s="19" t="n">
        <v>40</v>
      </c>
      <c r="D1154" s="20" t="str">
        <f aca="false">IFERROR(VLOOKUP(A1154,NOMENCLATOR!$A:$E,3,0),"")</f>
        <v>GM</v>
      </c>
      <c r="E1154" s="21" t="n">
        <f aca="false">IFERROR(VLOOKUP(A1154,NOMENCLATOR!$A:$E,4,0),"")</f>
        <v>0.02613</v>
      </c>
      <c r="F1154" s="21" t="n">
        <f aca="false">IF(OR(C1154="",E1154=""),"",C1154*E1154)</f>
        <v>1.0452</v>
      </c>
      <c r="G1154" s="22" t="n">
        <f aca="false">IFERROR(VLOOKUP(A1154,NOMENCLATOR!$A:$E,5,0),"")</f>
        <v>0.02613</v>
      </c>
      <c r="H1154" s="22" t="n">
        <f aca="false">IF(OR(C1154="",G1154=""),"",C1154*G1154)</f>
        <v>1.0452</v>
      </c>
    </row>
    <row r="1155" customFormat="false" ht="15" hidden="false" customHeight="true" outlineLevel="0" collapsed="false">
      <c r="A1155" s="17" t="s">
        <v>288</v>
      </c>
      <c r="B1155" s="18" t="str">
        <f aca="false">IFERROR(VLOOKUP(A1155,NOMENCLATOR!$A:$E,2,0),"")</f>
        <v>Sosiera neagra 50ml</v>
      </c>
      <c r="C1155" s="19" t="n">
        <v>1</v>
      </c>
      <c r="D1155" s="20" t="str">
        <f aca="false">IFERROR(VLOOKUP(A1155,NOMENCLATOR!$A:$E,3,0),"")</f>
        <v>EA</v>
      </c>
      <c r="E1155" s="21" t="n">
        <f aca="false">IFERROR(VLOOKUP(A1155,NOMENCLATOR!$A:$E,4,0),"")</f>
        <v>0.176</v>
      </c>
      <c r="F1155" s="21" t="n">
        <f aca="false">IF(OR(C1155="",E1155=""),"",C1155*E1155)</f>
        <v>0.176</v>
      </c>
      <c r="G1155" s="22" t="n">
        <f aca="false">IFERROR(VLOOKUP(A1155,NOMENCLATOR!$A:$E,5,0),"")</f>
        <v>0.176</v>
      </c>
      <c r="H1155" s="22" t="n">
        <f aca="false">IF(OR(C1155="",G1155=""),"",C1155*G1155)</f>
        <v>0.176</v>
      </c>
    </row>
    <row r="1156" customFormat="false" ht="15" hidden="false" customHeight="true" outlineLevel="0" collapsed="false">
      <c r="A1156" s="17" t="s">
        <v>90</v>
      </c>
      <c r="B1156" s="18" t="str">
        <f aca="false">IFERROR(VLOOKUP(A1156,NOMENCLATOR!$A:$E,2,0),"")</f>
        <v>Capac sosiera 50ml</v>
      </c>
      <c r="C1156" s="19" t="n">
        <v>1</v>
      </c>
      <c r="D1156" s="20" t="str">
        <f aca="false">IFERROR(VLOOKUP(A1156,NOMENCLATOR!$A:$E,3,0),"")</f>
        <v>EA</v>
      </c>
      <c r="E1156" s="21" t="n">
        <f aca="false">IFERROR(VLOOKUP(A1156,NOMENCLATOR!$A:$E,4,0),"")</f>
        <v>0.045</v>
      </c>
      <c r="F1156" s="21" t="n">
        <f aca="false">IF(OR(C1156="",E1156=""),"",C1156*E1156)</f>
        <v>0.045</v>
      </c>
      <c r="G1156" s="22" t="n">
        <f aca="false">IFERROR(VLOOKUP(A1156,NOMENCLATOR!$A:$E,5,0),"")</f>
        <v>0.045</v>
      </c>
      <c r="H1156" s="22" t="n">
        <f aca="false">IF(OR(C1156="",G1156=""),"",C1156*G1156)</f>
        <v>0.045</v>
      </c>
    </row>
    <row r="1157" customFormat="false" ht="15" hidden="false" customHeight="true" outlineLevel="0" collapsed="false">
      <c r="A1157" s="23" t="str">
        <f aca="false">IF(A1152="","",A1152)</f>
        <v>SIDE FRYRANCH 40G NEW</v>
      </c>
      <c r="B1157" s="24"/>
      <c r="C1157" s="24"/>
      <c r="D1157" s="24"/>
      <c r="E1157" s="24"/>
      <c r="F1157" s="25" t="n">
        <f aca="false">IF(A1152="","",SUM(F1154:F1156))</f>
        <v>1.2662</v>
      </c>
      <c r="G1157" s="24"/>
      <c r="H1157" s="26" t="n">
        <f aca="false">IF(A1152="","",SUM(H1154:H1156))</f>
        <v>1.2662</v>
      </c>
    </row>
    <row r="1159" customFormat="false" ht="15" hidden="false" customHeight="true" outlineLevel="0" collapsed="false">
      <c r="A1159" s="12" t="s">
        <v>462</v>
      </c>
      <c r="B1159" s="13"/>
      <c r="C1159" s="13"/>
      <c r="D1159" s="13"/>
      <c r="E1159" s="13"/>
      <c r="F1159" s="14" t="s">
        <v>453</v>
      </c>
      <c r="G1159" s="13"/>
      <c r="H1159" s="15"/>
    </row>
    <row r="1160" customFormat="false" ht="15" hidden="false" customHeight="true" outlineLevel="0" collapsed="false">
      <c r="A1160" s="16" t="s">
        <v>316</v>
      </c>
      <c r="B1160" s="16" t="s">
        <v>317</v>
      </c>
      <c r="C1160" s="16" t="s">
        <v>318</v>
      </c>
      <c r="D1160" s="16" t="s">
        <v>4</v>
      </c>
      <c r="E1160" s="16" t="s">
        <v>319</v>
      </c>
      <c r="F1160" s="16" t="s">
        <v>320</v>
      </c>
      <c r="G1160" s="16" t="s">
        <v>321</v>
      </c>
      <c r="H1160" s="16" t="s">
        <v>322</v>
      </c>
    </row>
    <row r="1161" customFormat="false" ht="15" hidden="false" customHeight="true" outlineLevel="0" collapsed="false">
      <c r="A1161" s="17" t="s">
        <v>284</v>
      </c>
      <c r="B1161" s="18" t="str">
        <f aca="false">IFERROR(VLOOKUP(A1161,NOMENCLATOR!$A:$E,2,0),"")</f>
        <v>Sos FryRanch</v>
      </c>
      <c r="C1161" s="19" t="n">
        <v>40</v>
      </c>
      <c r="D1161" s="20" t="str">
        <f aca="false">IFERROR(VLOOKUP(A1161,NOMENCLATOR!$A:$E,3,0),"")</f>
        <v>GM</v>
      </c>
      <c r="E1161" s="21" t="n">
        <f aca="false">IFERROR(VLOOKUP(A1161,NOMENCLATOR!$A:$E,4,0),"")</f>
        <v>0.02613</v>
      </c>
      <c r="F1161" s="21" t="n">
        <f aca="false">IF(OR(C1161="",E1161=""),"",C1161*E1161)</f>
        <v>1.0452</v>
      </c>
      <c r="G1161" s="22" t="n">
        <f aca="false">IFERROR(VLOOKUP(A1161,NOMENCLATOR!$A:$E,5,0),"")</f>
        <v>0.02613</v>
      </c>
      <c r="H1161" s="22" t="n">
        <f aca="false">IF(OR(C1161="",G1161=""),"",C1161*G1161)</f>
        <v>1.0452</v>
      </c>
    </row>
    <row r="1162" customFormat="false" ht="15" hidden="false" customHeight="true" outlineLevel="0" collapsed="false">
      <c r="A1162" s="17" t="s">
        <v>288</v>
      </c>
      <c r="B1162" s="18" t="str">
        <f aca="false">IFERROR(VLOOKUP(A1162,NOMENCLATOR!$A:$E,2,0),"")</f>
        <v>Sosiera neagra 50ml</v>
      </c>
      <c r="C1162" s="19" t="n">
        <v>1</v>
      </c>
      <c r="D1162" s="20" t="str">
        <f aca="false">IFERROR(VLOOKUP(A1162,NOMENCLATOR!$A:$E,3,0),"")</f>
        <v>EA</v>
      </c>
      <c r="E1162" s="21" t="n">
        <f aca="false">IFERROR(VLOOKUP(A1162,NOMENCLATOR!$A:$E,4,0),"")</f>
        <v>0.176</v>
      </c>
      <c r="F1162" s="21" t="n">
        <f aca="false">IF(OR(C1162="",E1162=""),"",C1162*E1162)</f>
        <v>0.176</v>
      </c>
      <c r="G1162" s="22" t="n">
        <f aca="false">IFERROR(VLOOKUP(A1162,NOMENCLATOR!$A:$E,5,0),"")</f>
        <v>0.176</v>
      </c>
      <c r="H1162" s="22" t="n">
        <f aca="false">IF(OR(C1162="",G1162=""),"",C1162*G1162)</f>
        <v>0.176</v>
      </c>
    </row>
    <row r="1163" customFormat="false" ht="15" hidden="false" customHeight="true" outlineLevel="0" collapsed="false">
      <c r="A1163" s="17" t="s">
        <v>90</v>
      </c>
      <c r="B1163" s="18" t="str">
        <f aca="false">IFERROR(VLOOKUP(A1163,NOMENCLATOR!$A:$E,2,0),"")</f>
        <v>Capac sosiera 50ml</v>
      </c>
      <c r="C1163" s="19" t="n">
        <v>1</v>
      </c>
      <c r="D1163" s="20" t="str">
        <f aca="false">IFERROR(VLOOKUP(A1163,NOMENCLATOR!$A:$E,3,0),"")</f>
        <v>EA</v>
      </c>
      <c r="E1163" s="21" t="n">
        <f aca="false">IFERROR(VLOOKUP(A1163,NOMENCLATOR!$A:$E,4,0),"")</f>
        <v>0.045</v>
      </c>
      <c r="F1163" s="21" t="n">
        <f aca="false">IF(OR(C1163="",E1163=""),"",C1163*E1163)</f>
        <v>0.045</v>
      </c>
      <c r="G1163" s="22" t="n">
        <f aca="false">IFERROR(VLOOKUP(A1163,NOMENCLATOR!$A:$E,5,0),"")</f>
        <v>0.045</v>
      </c>
      <c r="H1163" s="22" t="n">
        <f aca="false">IF(OR(C1163="",G1163=""),"",C1163*G1163)</f>
        <v>0.045</v>
      </c>
    </row>
    <row r="1164" customFormat="false" ht="15" hidden="false" customHeight="true" outlineLevel="0" collapsed="false">
      <c r="A1164" s="23" t="str">
        <f aca="false">IF(A1159="","",A1159)</f>
        <v>SIDE FRYRANCH 40G NEW D</v>
      </c>
      <c r="B1164" s="24"/>
      <c r="C1164" s="24"/>
      <c r="D1164" s="24"/>
      <c r="E1164" s="24"/>
      <c r="F1164" s="25" t="n">
        <f aca="false">IF(A1159="","",SUM(F1161:F1163))</f>
        <v>1.2662</v>
      </c>
      <c r="G1164" s="24"/>
      <c r="H1164" s="26" t="n">
        <f aca="false">IF(A1159="","",SUM(H1161:H1163))</f>
        <v>1.2662</v>
      </c>
    </row>
    <row r="1166" customFormat="false" ht="15" hidden="false" customHeight="true" outlineLevel="0" collapsed="false">
      <c r="A1166" s="12" t="s">
        <v>463</v>
      </c>
      <c r="B1166" s="13"/>
      <c r="C1166" s="13"/>
      <c r="D1166" s="13"/>
      <c r="E1166" s="13"/>
      <c r="F1166" s="14" t="s">
        <v>453</v>
      </c>
      <c r="G1166" s="13"/>
      <c r="H1166" s="15"/>
    </row>
    <row r="1167" customFormat="false" ht="15" hidden="false" customHeight="true" outlineLevel="0" collapsed="false">
      <c r="A1167" s="16" t="s">
        <v>316</v>
      </c>
      <c r="B1167" s="16" t="s">
        <v>317</v>
      </c>
      <c r="C1167" s="16" t="s">
        <v>318</v>
      </c>
      <c r="D1167" s="16" t="s">
        <v>4</v>
      </c>
      <c r="E1167" s="16" t="s">
        <v>319</v>
      </c>
      <c r="F1167" s="16" t="s">
        <v>320</v>
      </c>
      <c r="G1167" s="16" t="s">
        <v>321</v>
      </c>
      <c r="H1167" s="16" t="s">
        <v>322</v>
      </c>
    </row>
    <row r="1168" customFormat="false" ht="15" hidden="false" customHeight="true" outlineLevel="0" collapsed="false">
      <c r="A1168" s="17" t="s">
        <v>142</v>
      </c>
      <c r="B1168" s="18" t="str">
        <f aca="false">IFERROR(VLOOKUP(A1168,NOMENCLATOR!$A:$E,2,0),"")</f>
        <v>HEINZ KETCHUP SASCHET 200X10ML</v>
      </c>
      <c r="C1168" s="19" t="n">
        <v>1</v>
      </c>
      <c r="D1168" s="20" t="str">
        <f aca="false">IFERROR(VLOOKUP(A1168,NOMENCLATOR!$A:$E,3,0),"")</f>
        <v>EA</v>
      </c>
      <c r="E1168" s="21" t="n">
        <f aca="false">IFERROR(VLOOKUP(A1168,NOMENCLATOR!$A:$E,4,0),"")</f>
        <v>0.452</v>
      </c>
      <c r="F1168" s="21" t="n">
        <f aca="false">IF(OR(C1168="",E1168=""),"",C1168*E1168)</f>
        <v>0.452</v>
      </c>
      <c r="G1168" s="22" t="n">
        <f aca="false">IFERROR(VLOOKUP(A1168,NOMENCLATOR!$A:$E,5,0),"")</f>
        <v>0.452</v>
      </c>
      <c r="H1168" s="22" t="n">
        <f aca="false">IF(OR(C1168="",G1168=""),"",C1168*G1168)</f>
        <v>0.452</v>
      </c>
    </row>
    <row r="1169" customFormat="false" ht="15" hidden="false" customHeight="true" outlineLevel="0" collapsed="false">
      <c r="A1169" s="23" t="str">
        <f aca="false">IF(A1166="","",A1166)</f>
        <v>Sos Ketchup 10ml NEW</v>
      </c>
      <c r="B1169" s="24"/>
      <c r="C1169" s="24"/>
      <c r="D1169" s="24"/>
      <c r="E1169" s="24"/>
      <c r="F1169" s="25" t="n">
        <f aca="false">IF(A1166="","",SUM(F1168:F1168))</f>
        <v>0.452</v>
      </c>
      <c r="G1169" s="24"/>
      <c r="H1169" s="26" t="n">
        <f aca="false">IF(A1166="","",SUM(H1168:H1168))</f>
        <v>0.452</v>
      </c>
    </row>
    <row r="1171" customFormat="false" ht="15" hidden="false" customHeight="true" outlineLevel="0" collapsed="false">
      <c r="A1171" s="12" t="s">
        <v>464</v>
      </c>
      <c r="B1171" s="13"/>
      <c r="C1171" s="13"/>
      <c r="D1171" s="13"/>
      <c r="E1171" s="13"/>
      <c r="F1171" s="14" t="s">
        <v>453</v>
      </c>
      <c r="G1171" s="13"/>
      <c r="H1171" s="15"/>
    </row>
    <row r="1172" customFormat="false" ht="15" hidden="false" customHeight="true" outlineLevel="0" collapsed="false">
      <c r="A1172" s="16" t="s">
        <v>316</v>
      </c>
      <c r="B1172" s="16" t="s">
        <v>317</v>
      </c>
      <c r="C1172" s="16" t="s">
        <v>318</v>
      </c>
      <c r="D1172" s="16" t="s">
        <v>4</v>
      </c>
      <c r="E1172" s="16" t="s">
        <v>319</v>
      </c>
      <c r="F1172" s="16" t="s">
        <v>320</v>
      </c>
      <c r="G1172" s="16" t="s">
        <v>321</v>
      </c>
      <c r="H1172" s="16" t="s">
        <v>322</v>
      </c>
    </row>
    <row r="1173" customFormat="false" ht="15" hidden="false" customHeight="true" outlineLevel="0" collapsed="false">
      <c r="A1173" s="17" t="s">
        <v>142</v>
      </c>
      <c r="B1173" s="18" t="str">
        <f aca="false">IFERROR(VLOOKUP(A1173,NOMENCLATOR!$A:$E,2,0),"")</f>
        <v>HEINZ KETCHUP SASCHET 200X10ML</v>
      </c>
      <c r="C1173" s="19" t="n">
        <v>1</v>
      </c>
      <c r="D1173" s="20" t="str">
        <f aca="false">IFERROR(VLOOKUP(A1173,NOMENCLATOR!$A:$E,3,0),"")</f>
        <v>EA</v>
      </c>
      <c r="E1173" s="21" t="n">
        <f aca="false">IFERROR(VLOOKUP(A1173,NOMENCLATOR!$A:$E,4,0),"")</f>
        <v>0.452</v>
      </c>
      <c r="F1173" s="21" t="n">
        <f aca="false">IF(OR(C1173="",E1173=""),"",C1173*E1173)</f>
        <v>0.452</v>
      </c>
      <c r="G1173" s="22" t="n">
        <f aca="false">IFERROR(VLOOKUP(A1173,NOMENCLATOR!$A:$E,5,0),"")</f>
        <v>0.452</v>
      </c>
      <c r="H1173" s="22" t="n">
        <f aca="false">IF(OR(C1173="",G1173=""),"",C1173*G1173)</f>
        <v>0.452</v>
      </c>
    </row>
    <row r="1174" customFormat="false" ht="15" hidden="false" customHeight="true" outlineLevel="0" collapsed="false">
      <c r="A1174" s="23" t="str">
        <f aca="false">IF(A1171="","",A1171)</f>
        <v>Sos Ketchup 10ml NEW D</v>
      </c>
      <c r="B1174" s="24"/>
      <c r="C1174" s="24"/>
      <c r="D1174" s="24"/>
      <c r="E1174" s="24"/>
      <c r="F1174" s="25" t="n">
        <f aca="false">IF(A1171="","",SUM(F1173:F1173))</f>
        <v>0.452</v>
      </c>
      <c r="G1174" s="24"/>
      <c r="H1174" s="26" t="n">
        <f aca="false">IF(A1171="","",SUM(H1173:H1173))</f>
        <v>0.452</v>
      </c>
    </row>
    <row r="1176" customFormat="false" ht="15" hidden="false" customHeight="true" outlineLevel="0" collapsed="false">
      <c r="A1176" s="12" t="s">
        <v>465</v>
      </c>
      <c r="B1176" s="13"/>
      <c r="C1176" s="13"/>
      <c r="D1176" s="13"/>
      <c r="E1176" s="13"/>
      <c r="F1176" s="14" t="s">
        <v>453</v>
      </c>
      <c r="G1176" s="13"/>
      <c r="H1176" s="15"/>
    </row>
    <row r="1177" customFormat="false" ht="15" hidden="false" customHeight="true" outlineLevel="0" collapsed="false">
      <c r="A1177" s="16" t="s">
        <v>316</v>
      </c>
      <c r="B1177" s="16" t="s">
        <v>317</v>
      </c>
      <c r="C1177" s="16" t="s">
        <v>318</v>
      </c>
      <c r="D1177" s="16" t="s">
        <v>4</v>
      </c>
      <c r="E1177" s="16" t="s">
        <v>319</v>
      </c>
      <c r="F1177" s="16" t="s">
        <v>320</v>
      </c>
      <c r="G1177" s="16" t="s">
        <v>321</v>
      </c>
      <c r="H1177" s="16" t="s">
        <v>322</v>
      </c>
    </row>
    <row r="1178" customFormat="false" ht="15" hidden="false" customHeight="true" outlineLevel="0" collapsed="false">
      <c r="A1178" s="17" t="s">
        <v>144</v>
      </c>
      <c r="B1178" s="18" t="str">
        <f aca="false">IFERROR(VLOOKUP(A1178,NOMENCLATOR!$A:$E,2,0),"")</f>
        <v>HEINZ MAYONNAISE SASCHET 200X100ML</v>
      </c>
      <c r="C1178" s="19" t="n">
        <v>1</v>
      </c>
      <c r="D1178" s="20" t="str">
        <f aca="false">IFERROR(VLOOKUP(A1178,NOMENCLATOR!$A:$E,3,0),"")</f>
        <v>EA</v>
      </c>
      <c r="E1178" s="21" t="n">
        <f aca="false">IFERROR(VLOOKUP(A1178,NOMENCLATOR!$A:$E,4,0),"")</f>
        <v>0.45</v>
      </c>
      <c r="F1178" s="21" t="n">
        <f aca="false">IF(OR(C1178="",E1178=""),"",C1178*E1178)</f>
        <v>0.45</v>
      </c>
      <c r="G1178" s="22" t="n">
        <f aca="false">IFERROR(VLOOKUP(A1178,NOMENCLATOR!$A:$E,5,0),"")</f>
        <v>0.45</v>
      </c>
      <c r="H1178" s="22" t="n">
        <f aca="false">IF(OR(C1178="",G1178=""),"",C1178*G1178)</f>
        <v>0.45</v>
      </c>
    </row>
    <row r="1179" customFormat="false" ht="15" hidden="false" customHeight="true" outlineLevel="0" collapsed="false">
      <c r="A1179" s="23" t="str">
        <f aca="false">IF(A1176="","",A1176)</f>
        <v>Sos Mayoneza 10ml NEW</v>
      </c>
      <c r="B1179" s="24"/>
      <c r="C1179" s="24"/>
      <c r="D1179" s="24"/>
      <c r="E1179" s="24"/>
      <c r="F1179" s="25" t="n">
        <f aca="false">IF(A1176="","",SUM(F1178:F1178))</f>
        <v>0.45</v>
      </c>
      <c r="G1179" s="24"/>
      <c r="H1179" s="26" t="n">
        <f aca="false">IF(A1176="","",SUM(H1178:H1178))</f>
        <v>0.45</v>
      </c>
    </row>
    <row r="1181" customFormat="false" ht="15" hidden="false" customHeight="true" outlineLevel="0" collapsed="false">
      <c r="A1181" s="12" t="s">
        <v>466</v>
      </c>
      <c r="B1181" s="13"/>
      <c r="C1181" s="13"/>
      <c r="D1181" s="13"/>
      <c r="E1181" s="13"/>
      <c r="F1181" s="14" t="s">
        <v>453</v>
      </c>
      <c r="G1181" s="13"/>
      <c r="H1181" s="15"/>
    </row>
    <row r="1182" customFormat="false" ht="15" hidden="false" customHeight="true" outlineLevel="0" collapsed="false">
      <c r="A1182" s="16" t="s">
        <v>316</v>
      </c>
      <c r="B1182" s="16" t="s">
        <v>317</v>
      </c>
      <c r="C1182" s="16" t="s">
        <v>318</v>
      </c>
      <c r="D1182" s="16" t="s">
        <v>4</v>
      </c>
      <c r="E1182" s="16" t="s">
        <v>319</v>
      </c>
      <c r="F1182" s="16" t="s">
        <v>320</v>
      </c>
      <c r="G1182" s="16" t="s">
        <v>321</v>
      </c>
      <c r="H1182" s="16" t="s">
        <v>322</v>
      </c>
    </row>
    <row r="1183" customFormat="false" ht="15" hidden="false" customHeight="true" outlineLevel="0" collapsed="false">
      <c r="A1183" s="17" t="s">
        <v>144</v>
      </c>
      <c r="B1183" s="18" t="str">
        <f aca="false">IFERROR(VLOOKUP(A1183,NOMENCLATOR!$A:$E,2,0),"")</f>
        <v>HEINZ MAYONNAISE SASCHET 200X100ML</v>
      </c>
      <c r="C1183" s="19" t="n">
        <v>1</v>
      </c>
      <c r="D1183" s="20" t="str">
        <f aca="false">IFERROR(VLOOKUP(A1183,NOMENCLATOR!$A:$E,3,0),"")</f>
        <v>EA</v>
      </c>
      <c r="E1183" s="21" t="n">
        <f aca="false">IFERROR(VLOOKUP(A1183,NOMENCLATOR!$A:$E,4,0),"")</f>
        <v>0.45</v>
      </c>
      <c r="F1183" s="21" t="n">
        <f aca="false">IF(OR(C1183="",E1183=""),"",C1183*E1183)</f>
        <v>0.45</v>
      </c>
      <c r="G1183" s="22" t="n">
        <f aca="false">IFERROR(VLOOKUP(A1183,NOMENCLATOR!$A:$E,5,0),"")</f>
        <v>0.45</v>
      </c>
      <c r="H1183" s="22" t="n">
        <f aca="false">IF(OR(C1183="",G1183=""),"",C1183*G1183)</f>
        <v>0.45</v>
      </c>
    </row>
    <row r="1184" customFormat="false" ht="15" hidden="false" customHeight="true" outlineLevel="0" collapsed="false">
      <c r="A1184" s="23" t="str">
        <f aca="false">IF(A1181="","",A1181)</f>
        <v>Sos Mayoneza 10ml NEW D</v>
      </c>
      <c r="B1184" s="24"/>
      <c r="C1184" s="24"/>
      <c r="D1184" s="24"/>
      <c r="E1184" s="24"/>
      <c r="F1184" s="25" t="n">
        <f aca="false">IF(A1181="","",SUM(F1183:F1183))</f>
        <v>0.45</v>
      </c>
      <c r="G1184" s="24"/>
      <c r="H1184" s="26" t="n">
        <f aca="false">IF(A1181="","",SUM(H1183:H1183))</f>
        <v>0.45</v>
      </c>
    </row>
    <row r="1186" customFormat="false" ht="15" hidden="false" customHeight="true" outlineLevel="0" collapsed="false">
      <c r="A1186" s="12" t="s">
        <v>467</v>
      </c>
      <c r="B1186" s="13"/>
      <c r="C1186" s="13"/>
      <c r="D1186" s="13"/>
      <c r="E1186" s="13"/>
      <c r="F1186" s="14" t="s">
        <v>453</v>
      </c>
      <c r="G1186" s="13"/>
      <c r="H1186" s="15"/>
    </row>
    <row r="1187" customFormat="false" ht="15" hidden="false" customHeight="true" outlineLevel="0" collapsed="false">
      <c r="A1187" s="16" t="s">
        <v>316</v>
      </c>
      <c r="B1187" s="16" t="s">
        <v>317</v>
      </c>
      <c r="C1187" s="16" t="s">
        <v>318</v>
      </c>
      <c r="D1187" s="16" t="s">
        <v>4</v>
      </c>
      <c r="E1187" s="16" t="s">
        <v>319</v>
      </c>
      <c r="F1187" s="16" t="s">
        <v>320</v>
      </c>
      <c r="G1187" s="16" t="s">
        <v>321</v>
      </c>
      <c r="H1187" s="16" t="s">
        <v>322</v>
      </c>
    </row>
    <row r="1188" customFormat="false" ht="15" hidden="false" customHeight="true" outlineLevel="0" collapsed="false">
      <c r="A1188" s="17" t="s">
        <v>12</v>
      </c>
      <c r="B1188" s="18" t="str">
        <f aca="false">IFERROR(VLOOKUP(A1188,NOMENCLATOR!$A:$E,2,0),"")</f>
        <v>1.000 EA Barbecue Sauce 100 x 25g</v>
      </c>
      <c r="C1188" s="19" t="n">
        <v>1</v>
      </c>
      <c r="D1188" s="20" t="str">
        <f aca="false">IFERROR(VLOOKUP(A1188,NOMENCLATOR!$A:$E,3,0),"")</f>
        <v>EA</v>
      </c>
      <c r="E1188" s="21" t="n">
        <f aca="false">IFERROR(VLOOKUP(A1188,NOMENCLATOR!$A:$E,4,0),"")</f>
        <v>1.082</v>
      </c>
      <c r="F1188" s="21" t="n">
        <f aca="false">IF(OR(C1188="",E1188=""),"",C1188*E1188)</f>
        <v>1.082</v>
      </c>
      <c r="G1188" s="22" t="n">
        <f aca="false">IFERROR(VLOOKUP(A1188,NOMENCLATOR!$A:$E,5,0),"")</f>
        <v>1.082</v>
      </c>
      <c r="H1188" s="22" t="n">
        <f aca="false">IF(OR(C1188="",G1188=""),"",C1188*G1188)</f>
        <v>1.082</v>
      </c>
    </row>
    <row r="1189" customFormat="false" ht="15" hidden="false" customHeight="true" outlineLevel="0" collapsed="false">
      <c r="A1189" s="23" t="str">
        <f aca="false">IF(A1186="","",A1186)</f>
        <v>Sos Barbeque 25G NEW</v>
      </c>
      <c r="B1189" s="24"/>
      <c r="C1189" s="24"/>
      <c r="D1189" s="24"/>
      <c r="E1189" s="24"/>
      <c r="F1189" s="25" t="n">
        <f aca="false">IF(A1186="","",SUM(F1188:F1188))</f>
        <v>1.082</v>
      </c>
      <c r="G1189" s="24"/>
      <c r="H1189" s="26" t="n">
        <f aca="false">IF(A1186="","",SUM(H1188:H1188))</f>
        <v>1.082</v>
      </c>
    </row>
    <row r="1191" customFormat="false" ht="15" hidden="false" customHeight="true" outlineLevel="0" collapsed="false">
      <c r="A1191" s="12" t="s">
        <v>468</v>
      </c>
      <c r="B1191" s="13"/>
      <c r="C1191" s="13"/>
      <c r="D1191" s="13"/>
      <c r="E1191" s="13"/>
      <c r="F1191" s="14" t="s">
        <v>453</v>
      </c>
      <c r="G1191" s="13"/>
      <c r="H1191" s="15"/>
    </row>
    <row r="1192" customFormat="false" ht="15" hidden="false" customHeight="true" outlineLevel="0" collapsed="false">
      <c r="A1192" s="16" t="s">
        <v>316</v>
      </c>
      <c r="B1192" s="16" t="s">
        <v>317</v>
      </c>
      <c r="C1192" s="16" t="s">
        <v>318</v>
      </c>
      <c r="D1192" s="16" t="s">
        <v>4</v>
      </c>
      <c r="E1192" s="16" t="s">
        <v>319</v>
      </c>
      <c r="F1192" s="16" t="s">
        <v>320</v>
      </c>
      <c r="G1192" s="16" t="s">
        <v>321</v>
      </c>
      <c r="H1192" s="16" t="s">
        <v>322</v>
      </c>
    </row>
    <row r="1193" customFormat="false" ht="15" hidden="false" customHeight="true" outlineLevel="0" collapsed="false">
      <c r="A1193" s="17" t="s">
        <v>12</v>
      </c>
      <c r="B1193" s="18" t="str">
        <f aca="false">IFERROR(VLOOKUP(A1193,NOMENCLATOR!$A:$E,2,0),"")</f>
        <v>1.000 EA Barbecue Sauce 100 x 25g</v>
      </c>
      <c r="C1193" s="19" t="n">
        <v>1</v>
      </c>
      <c r="D1193" s="20" t="str">
        <f aca="false">IFERROR(VLOOKUP(A1193,NOMENCLATOR!$A:$E,3,0),"")</f>
        <v>EA</v>
      </c>
      <c r="E1193" s="21" t="n">
        <f aca="false">IFERROR(VLOOKUP(A1193,NOMENCLATOR!$A:$E,4,0),"")</f>
        <v>1.082</v>
      </c>
      <c r="F1193" s="21" t="n">
        <f aca="false">IF(OR(C1193="",E1193=""),"",C1193*E1193)</f>
        <v>1.082</v>
      </c>
      <c r="G1193" s="22" t="n">
        <f aca="false">IFERROR(VLOOKUP(A1193,NOMENCLATOR!$A:$E,5,0),"")</f>
        <v>1.082</v>
      </c>
      <c r="H1193" s="22" t="n">
        <f aca="false">IF(OR(C1193="",G1193=""),"",C1193*G1193)</f>
        <v>1.082</v>
      </c>
    </row>
    <row r="1194" customFormat="false" ht="15" hidden="false" customHeight="true" outlineLevel="0" collapsed="false">
      <c r="A1194" s="23" t="str">
        <f aca="false">IF(A1191="","",A1191)</f>
        <v>Sos Barbeque 25G NEW D</v>
      </c>
      <c r="B1194" s="24"/>
      <c r="C1194" s="24"/>
      <c r="D1194" s="24"/>
      <c r="E1194" s="24"/>
      <c r="F1194" s="25" t="n">
        <f aca="false">IF(A1191="","",SUM(F1193:F1193))</f>
        <v>1.082</v>
      </c>
      <c r="G1194" s="24"/>
      <c r="H1194" s="26" t="n">
        <f aca="false">IF(A1191="","",SUM(H1193:H1193))</f>
        <v>1.082</v>
      </c>
    </row>
    <row r="1196" customFormat="false" ht="15" hidden="false" customHeight="true" outlineLevel="0" collapsed="false">
      <c r="A1196" s="12" t="s">
        <v>469</v>
      </c>
      <c r="B1196" s="13"/>
      <c r="C1196" s="13"/>
      <c r="D1196" s="13"/>
      <c r="E1196" s="13"/>
      <c r="F1196" s="14" t="s">
        <v>453</v>
      </c>
      <c r="G1196" s="13"/>
      <c r="H1196" s="15"/>
    </row>
    <row r="1197" customFormat="false" ht="15" hidden="false" customHeight="true" outlineLevel="0" collapsed="false">
      <c r="A1197" s="16" t="s">
        <v>316</v>
      </c>
      <c r="B1197" s="16" t="s">
        <v>317</v>
      </c>
      <c r="C1197" s="16" t="s">
        <v>318</v>
      </c>
      <c r="D1197" s="16" t="s">
        <v>4</v>
      </c>
      <c r="E1197" s="16" t="s">
        <v>319</v>
      </c>
      <c r="F1197" s="16" t="s">
        <v>320</v>
      </c>
      <c r="G1197" s="16" t="s">
        <v>321</v>
      </c>
      <c r="H1197" s="16" t="s">
        <v>322</v>
      </c>
    </row>
    <row r="1198" customFormat="false" ht="15" hidden="false" customHeight="true" outlineLevel="0" collapsed="false">
      <c r="A1198" s="17" t="s">
        <v>140</v>
      </c>
      <c r="B1198" s="18" t="str">
        <f aca="false">IFERROR(VLOOKUP(A1198,NOMENCLATOR!$A:$E,2,0),"")</f>
        <v>HEINZ HONEY MUSTARD DIPPOT 100X25G</v>
      </c>
      <c r="C1198" s="19" t="n">
        <v>1</v>
      </c>
      <c r="D1198" s="20" t="str">
        <f aca="false">IFERROR(VLOOKUP(A1198,NOMENCLATOR!$A:$E,3,0),"")</f>
        <v>EA</v>
      </c>
      <c r="E1198" s="21" t="n">
        <f aca="false">IFERROR(VLOOKUP(A1198,NOMENCLATOR!$A:$E,4,0),"")</f>
        <v>1.43</v>
      </c>
      <c r="F1198" s="21" t="n">
        <f aca="false">IF(OR(C1198="",E1198=""),"",C1198*E1198)</f>
        <v>1.43</v>
      </c>
      <c r="G1198" s="22" t="n">
        <f aca="false">IFERROR(VLOOKUP(A1198,NOMENCLATOR!$A:$E,5,0),"")</f>
        <v>1.43</v>
      </c>
      <c r="H1198" s="22" t="n">
        <f aca="false">IF(OR(C1198="",G1198=""),"",C1198*G1198)</f>
        <v>1.43</v>
      </c>
    </row>
    <row r="1199" customFormat="false" ht="15" hidden="false" customHeight="true" outlineLevel="0" collapsed="false">
      <c r="A1199" s="23" t="str">
        <f aca="false">IF(A1196="","",A1196)</f>
        <v>Sos HONEY MUSTARD 25G NEW</v>
      </c>
      <c r="B1199" s="24"/>
      <c r="C1199" s="24"/>
      <c r="D1199" s="24"/>
      <c r="E1199" s="24"/>
      <c r="F1199" s="25" t="n">
        <f aca="false">IF(A1196="","",SUM(F1198:F1198))</f>
        <v>1.43</v>
      </c>
      <c r="G1199" s="24"/>
      <c r="H1199" s="26" t="n">
        <f aca="false">IF(A1196="","",SUM(H1198:H1198))</f>
        <v>1.43</v>
      </c>
    </row>
    <row r="1201" customFormat="false" ht="15" hidden="false" customHeight="true" outlineLevel="0" collapsed="false">
      <c r="A1201" s="12" t="s">
        <v>470</v>
      </c>
      <c r="B1201" s="13"/>
      <c r="C1201" s="13"/>
      <c r="D1201" s="13"/>
      <c r="E1201" s="13"/>
      <c r="F1201" s="14" t="s">
        <v>453</v>
      </c>
      <c r="G1201" s="13"/>
      <c r="H1201" s="15"/>
    </row>
    <row r="1202" customFormat="false" ht="15" hidden="false" customHeight="true" outlineLevel="0" collapsed="false">
      <c r="A1202" s="16" t="s">
        <v>316</v>
      </c>
      <c r="B1202" s="16" t="s">
        <v>317</v>
      </c>
      <c r="C1202" s="16" t="s">
        <v>318</v>
      </c>
      <c r="D1202" s="16" t="s">
        <v>4</v>
      </c>
      <c r="E1202" s="16" t="s">
        <v>319</v>
      </c>
      <c r="F1202" s="16" t="s">
        <v>320</v>
      </c>
      <c r="G1202" s="16" t="s">
        <v>321</v>
      </c>
      <c r="H1202" s="16" t="s">
        <v>322</v>
      </c>
    </row>
    <row r="1203" customFormat="false" ht="15" hidden="false" customHeight="true" outlineLevel="0" collapsed="false">
      <c r="A1203" s="17" t="s">
        <v>140</v>
      </c>
      <c r="B1203" s="18" t="str">
        <f aca="false">IFERROR(VLOOKUP(A1203,NOMENCLATOR!$A:$E,2,0),"")</f>
        <v>HEINZ HONEY MUSTARD DIPPOT 100X25G</v>
      </c>
      <c r="C1203" s="19" t="n">
        <v>1</v>
      </c>
      <c r="D1203" s="20" t="str">
        <f aca="false">IFERROR(VLOOKUP(A1203,NOMENCLATOR!$A:$E,3,0),"")</f>
        <v>EA</v>
      </c>
      <c r="E1203" s="21" t="n">
        <f aca="false">IFERROR(VLOOKUP(A1203,NOMENCLATOR!$A:$E,4,0),"")</f>
        <v>1.43</v>
      </c>
      <c r="F1203" s="21" t="n">
        <f aca="false">IF(OR(C1203="",E1203=""),"",C1203*E1203)</f>
        <v>1.43</v>
      </c>
      <c r="G1203" s="22" t="n">
        <f aca="false">IFERROR(VLOOKUP(A1203,NOMENCLATOR!$A:$E,5,0),"")</f>
        <v>1.43</v>
      </c>
      <c r="H1203" s="22" t="n">
        <f aca="false">IF(OR(C1203="",G1203=""),"",C1203*G1203)</f>
        <v>1.43</v>
      </c>
    </row>
    <row r="1204" customFormat="false" ht="15" hidden="false" customHeight="true" outlineLevel="0" collapsed="false">
      <c r="A1204" s="23" t="str">
        <f aca="false">IF(A1201="","",A1201)</f>
        <v>Sos HONEY MUSTARD 25G NEW D</v>
      </c>
      <c r="B1204" s="24"/>
      <c r="C1204" s="24"/>
      <c r="D1204" s="24"/>
      <c r="E1204" s="24"/>
      <c r="F1204" s="25" t="n">
        <f aca="false">IF(A1201="","",SUM(F1203:F1203))</f>
        <v>1.43</v>
      </c>
      <c r="G1204" s="24"/>
      <c r="H1204" s="26" t="n">
        <f aca="false">IF(A1201="","",SUM(H1203:H1203))</f>
        <v>1.43</v>
      </c>
    </row>
    <row r="1206" customFormat="false" ht="15" hidden="false" customHeight="true" outlineLevel="0" collapsed="false">
      <c r="A1206" s="12" t="s">
        <v>471</v>
      </c>
      <c r="B1206" s="13"/>
      <c r="C1206" s="13"/>
      <c r="D1206" s="13"/>
      <c r="E1206" s="13"/>
      <c r="F1206" s="14" t="s">
        <v>453</v>
      </c>
      <c r="G1206" s="13"/>
      <c r="H1206" s="15"/>
    </row>
    <row r="1207" customFormat="false" ht="15" hidden="false" customHeight="true" outlineLevel="0" collapsed="false">
      <c r="A1207" s="16" t="s">
        <v>316</v>
      </c>
      <c r="B1207" s="16" t="s">
        <v>317</v>
      </c>
      <c r="C1207" s="16" t="s">
        <v>318</v>
      </c>
      <c r="D1207" s="16" t="s">
        <v>4</v>
      </c>
      <c r="E1207" s="16" t="s">
        <v>319</v>
      </c>
      <c r="F1207" s="16" t="s">
        <v>320</v>
      </c>
      <c r="G1207" s="16" t="s">
        <v>321</v>
      </c>
      <c r="H1207" s="16" t="s">
        <v>322</v>
      </c>
    </row>
    <row r="1208" customFormat="false" ht="15" hidden="false" customHeight="true" outlineLevel="0" collapsed="false">
      <c r="A1208" s="17" t="s">
        <v>146</v>
      </c>
      <c r="B1208" s="18" t="str">
        <f aca="false">IFERROR(VLOOKUP(A1208,NOMENCLATOR!$A:$E,2,0),"")</f>
        <v>HEINZ SWEET CHILLY DIPPOT 100X25G</v>
      </c>
      <c r="C1208" s="19" t="n">
        <v>1</v>
      </c>
      <c r="D1208" s="20" t="str">
        <f aca="false">IFERROR(VLOOKUP(A1208,NOMENCLATOR!$A:$E,3,0),"")</f>
        <v>EA</v>
      </c>
      <c r="E1208" s="21" t="n">
        <f aca="false">IFERROR(VLOOKUP(A1208,NOMENCLATOR!$A:$E,4,0),"")</f>
        <v>1.43</v>
      </c>
      <c r="F1208" s="21" t="n">
        <f aca="false">IF(OR(C1208="",E1208=""),"",C1208*E1208)</f>
        <v>1.43</v>
      </c>
      <c r="G1208" s="22" t="n">
        <f aca="false">IFERROR(VLOOKUP(A1208,NOMENCLATOR!$A:$E,5,0),"")</f>
        <v>1.43</v>
      </c>
      <c r="H1208" s="22" t="n">
        <f aca="false">IF(OR(C1208="",G1208=""),"",C1208*G1208)</f>
        <v>1.43</v>
      </c>
    </row>
    <row r="1209" customFormat="false" ht="15" hidden="false" customHeight="true" outlineLevel="0" collapsed="false">
      <c r="A1209" s="23" t="str">
        <f aca="false">IF(A1206="","",A1206)</f>
        <v>Sos SWEET CHILLI 25G NEW</v>
      </c>
      <c r="B1209" s="24"/>
      <c r="C1209" s="24"/>
      <c r="D1209" s="24"/>
      <c r="E1209" s="24"/>
      <c r="F1209" s="25" t="n">
        <f aca="false">IF(A1206="","",SUM(F1208:F1208))</f>
        <v>1.43</v>
      </c>
      <c r="G1209" s="24"/>
      <c r="H1209" s="26" t="n">
        <f aca="false">IF(A1206="","",SUM(H1208:H1208))</f>
        <v>1.43</v>
      </c>
    </row>
    <row r="1211" customFormat="false" ht="15" hidden="false" customHeight="true" outlineLevel="0" collapsed="false">
      <c r="A1211" s="12" t="s">
        <v>472</v>
      </c>
      <c r="B1211" s="13"/>
      <c r="C1211" s="13"/>
      <c r="D1211" s="13"/>
      <c r="E1211" s="13"/>
      <c r="F1211" s="14" t="s">
        <v>453</v>
      </c>
      <c r="G1211" s="13"/>
      <c r="H1211" s="15"/>
    </row>
    <row r="1212" customFormat="false" ht="15" hidden="false" customHeight="true" outlineLevel="0" collapsed="false">
      <c r="A1212" s="16" t="s">
        <v>316</v>
      </c>
      <c r="B1212" s="16" t="s">
        <v>317</v>
      </c>
      <c r="C1212" s="16" t="s">
        <v>318</v>
      </c>
      <c r="D1212" s="16" t="s">
        <v>4</v>
      </c>
      <c r="E1212" s="16" t="s">
        <v>319</v>
      </c>
      <c r="F1212" s="16" t="s">
        <v>320</v>
      </c>
      <c r="G1212" s="16" t="s">
        <v>321</v>
      </c>
      <c r="H1212" s="16" t="s">
        <v>322</v>
      </c>
    </row>
    <row r="1213" customFormat="false" ht="15" hidden="false" customHeight="true" outlineLevel="0" collapsed="false">
      <c r="A1213" s="17" t="s">
        <v>146</v>
      </c>
      <c r="B1213" s="18" t="str">
        <f aca="false">IFERROR(VLOOKUP(A1213,NOMENCLATOR!$A:$E,2,0),"")</f>
        <v>HEINZ SWEET CHILLY DIPPOT 100X25G</v>
      </c>
      <c r="C1213" s="19" t="n">
        <v>1</v>
      </c>
      <c r="D1213" s="20" t="str">
        <f aca="false">IFERROR(VLOOKUP(A1213,NOMENCLATOR!$A:$E,3,0),"")</f>
        <v>EA</v>
      </c>
      <c r="E1213" s="21" t="n">
        <f aca="false">IFERROR(VLOOKUP(A1213,NOMENCLATOR!$A:$E,4,0),"")</f>
        <v>1.43</v>
      </c>
      <c r="F1213" s="21" t="n">
        <f aca="false">IF(OR(C1213="",E1213=""),"",C1213*E1213)</f>
        <v>1.43</v>
      </c>
      <c r="G1213" s="22" t="n">
        <f aca="false">IFERROR(VLOOKUP(A1213,NOMENCLATOR!$A:$E,5,0),"")</f>
        <v>1.43</v>
      </c>
      <c r="H1213" s="22" t="n">
        <f aca="false">IF(OR(C1213="",G1213=""),"",C1213*G1213)</f>
        <v>1.43</v>
      </c>
    </row>
    <row r="1214" customFormat="false" ht="15" hidden="false" customHeight="true" outlineLevel="0" collapsed="false">
      <c r="A1214" s="23" t="str">
        <f aca="false">IF(A1211="","",A1211)</f>
        <v>Sos SWEET CHILLI 25G NEW D</v>
      </c>
      <c r="B1214" s="24"/>
      <c r="C1214" s="24"/>
      <c r="D1214" s="24"/>
      <c r="E1214" s="24"/>
      <c r="F1214" s="25" t="n">
        <f aca="false">IF(A1211="","",SUM(F1213:F1213))</f>
        <v>1.43</v>
      </c>
      <c r="G1214" s="24"/>
      <c r="H1214" s="26" t="n">
        <f aca="false">IF(A1211="","",SUM(H1213:H1213))</f>
        <v>1.43</v>
      </c>
    </row>
    <row r="1216" customFormat="false" ht="15" hidden="false" customHeight="true" outlineLevel="0" collapsed="false">
      <c r="A1216" s="12" t="s">
        <v>473</v>
      </c>
      <c r="B1216" s="13"/>
      <c r="C1216" s="13"/>
      <c r="D1216" s="13"/>
      <c r="E1216" s="13"/>
      <c r="F1216" s="14" t="s">
        <v>453</v>
      </c>
      <c r="G1216" s="13"/>
      <c r="H1216" s="15"/>
    </row>
    <row r="1217" customFormat="false" ht="15" hidden="false" customHeight="true" outlineLevel="0" collapsed="false">
      <c r="A1217" s="16" t="s">
        <v>316</v>
      </c>
      <c r="B1217" s="16" t="s">
        <v>317</v>
      </c>
      <c r="C1217" s="16" t="s">
        <v>318</v>
      </c>
      <c r="D1217" s="16" t="s">
        <v>4</v>
      </c>
      <c r="E1217" s="16" t="s">
        <v>319</v>
      </c>
      <c r="F1217" s="16" t="s">
        <v>320</v>
      </c>
      <c r="G1217" s="16" t="s">
        <v>321</v>
      </c>
      <c r="H1217" s="16" t="s">
        <v>322</v>
      </c>
    </row>
    <row r="1218" customFormat="false" ht="15" hidden="false" customHeight="true" outlineLevel="0" collapsed="false">
      <c r="A1218" s="17" t="s">
        <v>142</v>
      </c>
      <c r="B1218" s="18" t="str">
        <f aca="false">IFERROR(VLOOKUP(A1218,NOMENCLATOR!$A:$E,2,0),"")</f>
        <v>HEINZ KETCHUP SASCHET 200X10ML</v>
      </c>
      <c r="C1218" s="19" t="n">
        <v>2</v>
      </c>
      <c r="D1218" s="20" t="str">
        <f aca="false">IFERROR(VLOOKUP(A1218,NOMENCLATOR!$A:$E,3,0),"")</f>
        <v>EA</v>
      </c>
      <c r="E1218" s="21" t="n">
        <f aca="false">IFERROR(VLOOKUP(A1218,NOMENCLATOR!$A:$E,4,0),"")</f>
        <v>0.452</v>
      </c>
      <c r="F1218" s="21" t="n">
        <f aca="false">IF(OR(C1218="",E1218=""),"",C1218*E1218)</f>
        <v>0.904</v>
      </c>
      <c r="G1218" s="22" t="n">
        <f aca="false">IFERROR(VLOOKUP(A1218,NOMENCLATOR!$A:$E,5,0),"")</f>
        <v>0.452</v>
      </c>
      <c r="H1218" s="22" t="n">
        <f aca="false">IF(OR(C1218="",G1218=""),"",C1218*G1218)</f>
        <v>0.904</v>
      </c>
    </row>
    <row r="1219" customFormat="false" ht="15" hidden="false" customHeight="true" outlineLevel="0" collapsed="false">
      <c r="A1219" s="23" t="str">
        <f aca="false">IF(A1216="","",A1216)</f>
        <v>2X Sos Ketchup 10ml D NEW</v>
      </c>
      <c r="B1219" s="24"/>
      <c r="C1219" s="24"/>
      <c r="D1219" s="24"/>
      <c r="E1219" s="24"/>
      <c r="F1219" s="25" t="n">
        <f aca="false">IF(A1216="","",SUM(F1218:F1218))</f>
        <v>0.904</v>
      </c>
      <c r="G1219" s="24"/>
      <c r="H1219" s="26" t="n">
        <f aca="false">IF(A1216="","",SUM(H1218:H1218))</f>
        <v>0.904</v>
      </c>
    </row>
    <row r="1221" customFormat="false" ht="15" hidden="false" customHeight="true" outlineLevel="0" collapsed="false">
      <c r="A1221" s="12" t="s">
        <v>474</v>
      </c>
      <c r="B1221" s="13"/>
      <c r="C1221" s="13"/>
      <c r="D1221" s="13"/>
      <c r="E1221" s="13"/>
      <c r="F1221" s="14" t="s">
        <v>453</v>
      </c>
      <c r="G1221" s="13"/>
      <c r="H1221" s="15"/>
    </row>
    <row r="1222" customFormat="false" ht="15" hidden="false" customHeight="true" outlineLevel="0" collapsed="false">
      <c r="A1222" s="16" t="s">
        <v>316</v>
      </c>
      <c r="B1222" s="16" t="s">
        <v>317</v>
      </c>
      <c r="C1222" s="16" t="s">
        <v>318</v>
      </c>
      <c r="D1222" s="16" t="s">
        <v>4</v>
      </c>
      <c r="E1222" s="16" t="s">
        <v>319</v>
      </c>
      <c r="F1222" s="16" t="s">
        <v>320</v>
      </c>
      <c r="G1222" s="16" t="s">
        <v>321</v>
      </c>
      <c r="H1222" s="16" t="s">
        <v>322</v>
      </c>
    </row>
    <row r="1223" customFormat="false" ht="15" hidden="false" customHeight="true" outlineLevel="0" collapsed="false">
      <c r="A1223" s="17" t="s">
        <v>184</v>
      </c>
      <c r="B1223" s="18" t="str">
        <f aca="false">IFERROR(VLOOKUP(A1223,NOMENCLATOR!$A:$E,2,0),"")</f>
        <v>Pahar Carton Chedar Dip 130ml</v>
      </c>
      <c r="C1223" s="19" t="n">
        <v>1</v>
      </c>
      <c r="D1223" s="20" t="str">
        <f aca="false">IFERROR(VLOOKUP(A1223,NOMENCLATOR!$A:$E,3,0),"")</f>
        <v>EA</v>
      </c>
      <c r="E1223" s="21" t="n">
        <f aca="false">IFERROR(VLOOKUP(A1223,NOMENCLATOR!$A:$E,4,0),"")</f>
        <v>0.335</v>
      </c>
      <c r="F1223" s="21" t="n">
        <f aca="false">IF(OR(C1223="",E1223=""),"",C1223*E1223)</f>
        <v>0.335</v>
      </c>
      <c r="G1223" s="22" t="n">
        <f aca="false">IFERROR(VLOOKUP(A1223,NOMENCLATOR!$A:$E,5,0),"")</f>
        <v>0.335</v>
      </c>
      <c r="H1223" s="22" t="n">
        <f aca="false">IF(OR(C1223="",G1223=""),"",C1223*G1223)</f>
        <v>0.335</v>
      </c>
    </row>
    <row r="1224" customFormat="false" ht="15" hidden="false" customHeight="true" outlineLevel="0" collapsed="false">
      <c r="A1224" s="17" t="s">
        <v>90</v>
      </c>
      <c r="B1224" s="18" t="str">
        <f aca="false">IFERROR(VLOOKUP(A1224,NOMENCLATOR!$A:$E,2,0),"")</f>
        <v>Capac sosiera 50ml</v>
      </c>
      <c r="C1224" s="19" t="n">
        <v>1</v>
      </c>
      <c r="D1224" s="20" t="str">
        <f aca="false">IFERROR(VLOOKUP(A1224,NOMENCLATOR!$A:$E,3,0),"")</f>
        <v>EA</v>
      </c>
      <c r="E1224" s="21" t="n">
        <f aca="false">IFERROR(VLOOKUP(A1224,NOMENCLATOR!$A:$E,4,0),"")</f>
        <v>0.045</v>
      </c>
      <c r="F1224" s="21" t="n">
        <f aca="false">IF(OR(C1224="",E1224=""),"",C1224*E1224)</f>
        <v>0.045</v>
      </c>
      <c r="G1224" s="22" t="n">
        <f aca="false">IFERROR(VLOOKUP(A1224,NOMENCLATOR!$A:$E,5,0),"")</f>
        <v>0.045</v>
      </c>
      <c r="H1224" s="22" t="n">
        <f aca="false">IF(OR(C1224="",G1224=""),"",C1224*G1224)</f>
        <v>0.045</v>
      </c>
    </row>
    <row r="1225" customFormat="false" ht="15" hidden="false" customHeight="true" outlineLevel="0" collapsed="false">
      <c r="A1225" s="17" t="s">
        <v>282</v>
      </c>
      <c r="B1225" s="18" t="str">
        <f aca="false">IFERROR(VLOOKUP(A1225,NOMENCLATOR!$A:$E,2,0),"")</f>
        <v>Sos Cheddar BIB</v>
      </c>
      <c r="C1225" s="19" t="n">
        <v>100</v>
      </c>
      <c r="D1225" s="20" t="str">
        <f aca="false">IFERROR(VLOOKUP(A1225,NOMENCLATOR!$A:$E,3,0),"")</f>
        <v>GM</v>
      </c>
      <c r="E1225" s="21" t="n">
        <f aca="false">IFERROR(VLOOKUP(A1225,NOMENCLATOR!$A:$E,4,0),"")</f>
        <v>0.04507</v>
      </c>
      <c r="F1225" s="21" t="n">
        <f aca="false">IF(OR(C1225="",E1225=""),"",C1225*E1225)</f>
        <v>4.507</v>
      </c>
      <c r="G1225" s="22" t="n">
        <f aca="false">IFERROR(VLOOKUP(A1225,NOMENCLATOR!$A:$E,5,0),"")</f>
        <v>0.04507</v>
      </c>
      <c r="H1225" s="22" t="n">
        <f aca="false">IF(OR(C1225="",G1225=""),"",C1225*G1225)</f>
        <v>4.507</v>
      </c>
    </row>
    <row r="1226" customFormat="false" ht="15" hidden="false" customHeight="true" outlineLevel="0" collapsed="false">
      <c r="A1226" s="23" t="str">
        <f aca="false">IF(A1221="","",A1221)</f>
        <v>DIP N Cheddar 100 ML D NEW</v>
      </c>
      <c r="B1226" s="24"/>
      <c r="C1226" s="24"/>
      <c r="D1226" s="24"/>
      <c r="E1226" s="24"/>
      <c r="F1226" s="25" t="n">
        <f aca="false">IF(A1221="","",SUM(F1223:F1225))</f>
        <v>4.887</v>
      </c>
      <c r="G1226" s="24"/>
      <c r="H1226" s="26" t="n">
        <f aca="false">IF(A1221="","",SUM(H1223:H1225))</f>
        <v>4.887</v>
      </c>
    </row>
    <row r="1228" customFormat="false" ht="15" hidden="false" customHeight="true" outlineLevel="0" collapsed="false">
      <c r="A1228" s="12" t="s">
        <v>475</v>
      </c>
      <c r="B1228" s="13"/>
      <c r="C1228" s="13"/>
      <c r="D1228" s="13"/>
      <c r="E1228" s="13"/>
      <c r="F1228" s="14" t="s">
        <v>453</v>
      </c>
      <c r="G1228" s="13"/>
      <c r="H1228" s="15"/>
    </row>
    <row r="1229" customFormat="false" ht="15" hidden="false" customHeight="true" outlineLevel="0" collapsed="false">
      <c r="A1229" s="16" t="s">
        <v>316</v>
      </c>
      <c r="B1229" s="16" t="s">
        <v>317</v>
      </c>
      <c r="C1229" s="16" t="s">
        <v>318</v>
      </c>
      <c r="D1229" s="16" t="s">
        <v>4</v>
      </c>
      <c r="E1229" s="16" t="s">
        <v>319</v>
      </c>
      <c r="F1229" s="16" t="s">
        <v>320</v>
      </c>
      <c r="G1229" s="16" t="s">
        <v>321</v>
      </c>
      <c r="H1229" s="16" t="s">
        <v>322</v>
      </c>
    </row>
    <row r="1230" customFormat="false" ht="15" hidden="false" customHeight="true" outlineLevel="0" collapsed="false">
      <c r="A1230" s="17" t="s">
        <v>184</v>
      </c>
      <c r="B1230" s="18" t="str">
        <f aca="false">IFERROR(VLOOKUP(A1230,NOMENCLATOR!$A:$E,2,0),"")</f>
        <v>Pahar Carton Chedar Dip 130ml</v>
      </c>
      <c r="C1230" s="19" t="n">
        <v>1</v>
      </c>
      <c r="D1230" s="20" t="str">
        <f aca="false">IFERROR(VLOOKUP(A1230,NOMENCLATOR!$A:$E,3,0),"")</f>
        <v>EA</v>
      </c>
      <c r="E1230" s="21" t="n">
        <f aca="false">IFERROR(VLOOKUP(A1230,NOMENCLATOR!$A:$E,4,0),"")</f>
        <v>0.335</v>
      </c>
      <c r="F1230" s="21" t="n">
        <f aca="false">IF(OR(C1230="",E1230=""),"",C1230*E1230)</f>
        <v>0.335</v>
      </c>
      <c r="G1230" s="22" t="n">
        <f aca="false">IFERROR(VLOOKUP(A1230,NOMENCLATOR!$A:$E,5,0),"")</f>
        <v>0.335</v>
      </c>
      <c r="H1230" s="22" t="n">
        <f aca="false">IF(OR(C1230="",G1230=""),"",C1230*G1230)</f>
        <v>0.335</v>
      </c>
    </row>
    <row r="1231" customFormat="false" ht="15" hidden="false" customHeight="true" outlineLevel="0" collapsed="false">
      <c r="A1231" s="17" t="s">
        <v>90</v>
      </c>
      <c r="B1231" s="18" t="str">
        <f aca="false">IFERROR(VLOOKUP(A1231,NOMENCLATOR!$A:$E,2,0),"")</f>
        <v>Capac sosiera 50ml</v>
      </c>
      <c r="C1231" s="19" t="n">
        <v>1</v>
      </c>
      <c r="D1231" s="20" t="str">
        <f aca="false">IFERROR(VLOOKUP(A1231,NOMENCLATOR!$A:$E,3,0),"")</f>
        <v>EA</v>
      </c>
      <c r="E1231" s="21" t="n">
        <f aca="false">IFERROR(VLOOKUP(A1231,NOMENCLATOR!$A:$E,4,0),"")</f>
        <v>0.045</v>
      </c>
      <c r="F1231" s="21" t="n">
        <f aca="false">IF(OR(C1231="",E1231=""),"",C1231*E1231)</f>
        <v>0.045</v>
      </c>
      <c r="G1231" s="22" t="n">
        <f aca="false">IFERROR(VLOOKUP(A1231,NOMENCLATOR!$A:$E,5,0),"")</f>
        <v>0.045</v>
      </c>
      <c r="H1231" s="22" t="n">
        <f aca="false">IF(OR(C1231="",G1231=""),"",C1231*G1231)</f>
        <v>0.045</v>
      </c>
    </row>
    <row r="1232" customFormat="false" ht="15" hidden="false" customHeight="true" outlineLevel="0" collapsed="false">
      <c r="A1232" s="17" t="s">
        <v>282</v>
      </c>
      <c r="B1232" s="18" t="str">
        <f aca="false">IFERROR(VLOOKUP(A1232,NOMENCLATOR!$A:$E,2,0),"")</f>
        <v>Sos Cheddar BIB</v>
      </c>
      <c r="C1232" s="19" t="n">
        <v>100</v>
      </c>
      <c r="D1232" s="20" t="str">
        <f aca="false">IFERROR(VLOOKUP(A1232,NOMENCLATOR!$A:$E,3,0),"")</f>
        <v>GM</v>
      </c>
      <c r="E1232" s="21" t="n">
        <f aca="false">IFERROR(VLOOKUP(A1232,NOMENCLATOR!$A:$E,4,0),"")</f>
        <v>0.04507</v>
      </c>
      <c r="F1232" s="21" t="n">
        <f aca="false">IF(OR(C1232="",E1232=""),"",C1232*E1232)</f>
        <v>4.507</v>
      </c>
      <c r="G1232" s="22" t="n">
        <f aca="false">IFERROR(VLOOKUP(A1232,NOMENCLATOR!$A:$E,5,0),"")</f>
        <v>0.04507</v>
      </c>
      <c r="H1232" s="22" t="n">
        <f aca="false">IF(OR(C1232="",G1232=""),"",C1232*G1232)</f>
        <v>4.507</v>
      </c>
    </row>
    <row r="1233" customFormat="false" ht="15" hidden="false" customHeight="true" outlineLevel="0" collapsed="false">
      <c r="A1233" s="23" t="str">
        <f aca="false">IF(A1228="","",A1228)</f>
        <v>DIP N Cheddar 100 ML D NEW D</v>
      </c>
      <c r="B1233" s="24"/>
      <c r="C1233" s="24"/>
      <c r="D1233" s="24"/>
      <c r="E1233" s="24"/>
      <c r="F1233" s="25" t="n">
        <f aca="false">IF(A1228="","",SUM(F1230:F1232))</f>
        <v>4.887</v>
      </c>
      <c r="G1233" s="24"/>
      <c r="H1233" s="26" t="n">
        <f aca="false">IF(A1228="","",SUM(H1230:H1232))</f>
        <v>4.887</v>
      </c>
    </row>
    <row r="1235" customFormat="false" ht="15" hidden="false" customHeight="true" outlineLevel="0" collapsed="false">
      <c r="A1235" s="12" t="s">
        <v>476</v>
      </c>
      <c r="B1235" s="13"/>
      <c r="C1235" s="13"/>
      <c r="D1235" s="13"/>
      <c r="E1235" s="13"/>
      <c r="F1235" s="14" t="s">
        <v>453</v>
      </c>
      <c r="G1235" s="13"/>
      <c r="H1235" s="15"/>
    </row>
    <row r="1236" customFormat="false" ht="15" hidden="false" customHeight="true" outlineLevel="0" collapsed="false">
      <c r="A1236" s="16" t="s">
        <v>316</v>
      </c>
      <c r="B1236" s="16" t="s">
        <v>317</v>
      </c>
      <c r="C1236" s="16" t="s">
        <v>318</v>
      </c>
      <c r="D1236" s="16" t="s">
        <v>4</v>
      </c>
      <c r="E1236" s="16" t="s">
        <v>319</v>
      </c>
      <c r="F1236" s="16" t="s">
        <v>320</v>
      </c>
      <c r="G1236" s="16" t="s">
        <v>321</v>
      </c>
      <c r="H1236" s="16" t="s">
        <v>322</v>
      </c>
    </row>
    <row r="1237" customFormat="false" ht="15" hidden="false" customHeight="true" outlineLevel="0" collapsed="false">
      <c r="A1237" s="17" t="s">
        <v>284</v>
      </c>
      <c r="B1237" s="18" t="str">
        <f aca="false">IFERROR(VLOOKUP(A1237,NOMENCLATOR!$A:$E,2,0),"")</f>
        <v>Sos FryRanch</v>
      </c>
      <c r="C1237" s="19" t="n">
        <v>100</v>
      </c>
      <c r="D1237" s="20" t="str">
        <f aca="false">IFERROR(VLOOKUP(A1237,NOMENCLATOR!$A:$E,3,0),"")</f>
        <v>GM</v>
      </c>
      <c r="E1237" s="21" t="n">
        <f aca="false">IFERROR(VLOOKUP(A1237,NOMENCLATOR!$A:$E,4,0),"")</f>
        <v>0.02613</v>
      </c>
      <c r="F1237" s="21" t="n">
        <f aca="false">IF(OR(C1237="",E1237=""),"",C1237*E1237)</f>
        <v>2.613</v>
      </c>
      <c r="G1237" s="22" t="n">
        <f aca="false">IFERROR(VLOOKUP(A1237,NOMENCLATOR!$A:$E,5,0),"")</f>
        <v>0.02613</v>
      </c>
      <c r="H1237" s="22" t="n">
        <f aca="false">IF(OR(C1237="",G1237=""),"",C1237*G1237)</f>
        <v>2.613</v>
      </c>
    </row>
    <row r="1238" customFormat="false" ht="15" hidden="false" customHeight="true" outlineLevel="0" collapsed="false">
      <c r="A1238" s="17" t="s">
        <v>186</v>
      </c>
      <c r="B1238" s="18" t="str">
        <f aca="false">IFERROR(VLOOKUP(A1238,NOMENCLATOR!$A:$E,2,0),"")</f>
        <v>Pahar Carton Dip'n FRY RANCH 130ml</v>
      </c>
      <c r="C1238" s="19" t="n">
        <v>1</v>
      </c>
      <c r="D1238" s="20" t="str">
        <f aca="false">IFERROR(VLOOKUP(A1238,NOMENCLATOR!$A:$E,3,0),"")</f>
        <v>EA</v>
      </c>
      <c r="E1238" s="21" t="n">
        <f aca="false">IFERROR(VLOOKUP(A1238,NOMENCLATOR!$A:$E,4,0),"")</f>
        <v>0.335</v>
      </c>
      <c r="F1238" s="21" t="n">
        <f aca="false">IF(OR(C1238="",E1238=""),"",C1238*E1238)</f>
        <v>0.335</v>
      </c>
      <c r="G1238" s="22" t="n">
        <f aca="false">IFERROR(VLOOKUP(A1238,NOMENCLATOR!$A:$E,5,0),"")</f>
        <v>0.335</v>
      </c>
      <c r="H1238" s="22" t="n">
        <f aca="false">IF(OR(C1238="",G1238=""),"",C1238*G1238)</f>
        <v>0.335</v>
      </c>
    </row>
    <row r="1239" customFormat="false" ht="15" hidden="false" customHeight="true" outlineLevel="0" collapsed="false">
      <c r="A1239" s="17" t="s">
        <v>90</v>
      </c>
      <c r="B1239" s="18" t="str">
        <f aca="false">IFERROR(VLOOKUP(A1239,NOMENCLATOR!$A:$E,2,0),"")</f>
        <v>Capac sosiera 50ml</v>
      </c>
      <c r="C1239" s="19" t="n">
        <v>1</v>
      </c>
      <c r="D1239" s="20" t="str">
        <f aca="false">IFERROR(VLOOKUP(A1239,NOMENCLATOR!$A:$E,3,0),"")</f>
        <v>EA</v>
      </c>
      <c r="E1239" s="21" t="n">
        <f aca="false">IFERROR(VLOOKUP(A1239,NOMENCLATOR!$A:$E,4,0),"")</f>
        <v>0.045</v>
      </c>
      <c r="F1239" s="21" t="n">
        <f aca="false">IF(OR(C1239="",E1239=""),"",C1239*E1239)</f>
        <v>0.045</v>
      </c>
      <c r="G1239" s="22" t="n">
        <f aca="false">IFERROR(VLOOKUP(A1239,NOMENCLATOR!$A:$E,5,0),"")</f>
        <v>0.045</v>
      </c>
      <c r="H1239" s="22" t="n">
        <f aca="false">IF(OR(C1239="",G1239=""),"",C1239*G1239)</f>
        <v>0.045</v>
      </c>
    </row>
    <row r="1240" customFormat="false" ht="15" hidden="false" customHeight="true" outlineLevel="0" collapsed="false">
      <c r="A1240" s="23" t="str">
        <f aca="false">IF(A1235="","",A1235)</f>
        <v>DIP N FRYRANCH 100G NEW</v>
      </c>
      <c r="B1240" s="24"/>
      <c r="C1240" s="24"/>
      <c r="D1240" s="24"/>
      <c r="E1240" s="24"/>
      <c r="F1240" s="25" t="n">
        <f aca="false">IF(A1235="","",SUM(F1237:F1239))</f>
        <v>2.993</v>
      </c>
      <c r="G1240" s="24"/>
      <c r="H1240" s="26" t="n">
        <f aca="false">IF(A1235="","",SUM(H1237:H1239))</f>
        <v>2.993</v>
      </c>
    </row>
    <row r="1242" customFormat="false" ht="15" hidden="false" customHeight="true" outlineLevel="0" collapsed="false">
      <c r="A1242" s="12" t="s">
        <v>477</v>
      </c>
      <c r="B1242" s="13"/>
      <c r="C1242" s="13"/>
      <c r="D1242" s="13"/>
      <c r="E1242" s="13"/>
      <c r="F1242" s="14" t="s">
        <v>453</v>
      </c>
      <c r="G1242" s="13"/>
      <c r="H1242" s="15"/>
    </row>
    <row r="1243" customFormat="false" ht="15" hidden="false" customHeight="true" outlineLevel="0" collapsed="false">
      <c r="A1243" s="16" t="s">
        <v>316</v>
      </c>
      <c r="B1243" s="16" t="s">
        <v>317</v>
      </c>
      <c r="C1243" s="16" t="s">
        <v>318</v>
      </c>
      <c r="D1243" s="16" t="s">
        <v>4</v>
      </c>
      <c r="E1243" s="16" t="s">
        <v>319</v>
      </c>
      <c r="F1243" s="16" t="s">
        <v>320</v>
      </c>
      <c r="G1243" s="16" t="s">
        <v>321</v>
      </c>
      <c r="H1243" s="16" t="s">
        <v>322</v>
      </c>
    </row>
    <row r="1244" customFormat="false" ht="15" hidden="false" customHeight="true" outlineLevel="0" collapsed="false">
      <c r="A1244" s="17" t="s">
        <v>284</v>
      </c>
      <c r="B1244" s="18" t="str">
        <f aca="false">IFERROR(VLOOKUP(A1244,NOMENCLATOR!$A:$E,2,0),"")</f>
        <v>Sos FryRanch</v>
      </c>
      <c r="C1244" s="19" t="n">
        <v>100</v>
      </c>
      <c r="D1244" s="20" t="str">
        <f aca="false">IFERROR(VLOOKUP(A1244,NOMENCLATOR!$A:$E,3,0),"")</f>
        <v>GM</v>
      </c>
      <c r="E1244" s="21" t="n">
        <f aca="false">IFERROR(VLOOKUP(A1244,NOMENCLATOR!$A:$E,4,0),"")</f>
        <v>0.02613</v>
      </c>
      <c r="F1244" s="21" t="n">
        <f aca="false">IF(OR(C1244="",E1244=""),"",C1244*E1244)</f>
        <v>2.613</v>
      </c>
      <c r="G1244" s="22" t="n">
        <f aca="false">IFERROR(VLOOKUP(A1244,NOMENCLATOR!$A:$E,5,0),"")</f>
        <v>0.02613</v>
      </c>
      <c r="H1244" s="22" t="n">
        <f aca="false">IF(OR(C1244="",G1244=""),"",C1244*G1244)</f>
        <v>2.613</v>
      </c>
    </row>
    <row r="1245" customFormat="false" ht="15" hidden="false" customHeight="true" outlineLevel="0" collapsed="false">
      <c r="A1245" s="17" t="s">
        <v>186</v>
      </c>
      <c r="B1245" s="18" t="str">
        <f aca="false">IFERROR(VLOOKUP(A1245,NOMENCLATOR!$A:$E,2,0),"")</f>
        <v>Pahar Carton Dip'n FRY RANCH 130ml</v>
      </c>
      <c r="C1245" s="19" t="n">
        <v>1</v>
      </c>
      <c r="D1245" s="20" t="str">
        <f aca="false">IFERROR(VLOOKUP(A1245,NOMENCLATOR!$A:$E,3,0),"")</f>
        <v>EA</v>
      </c>
      <c r="E1245" s="21" t="n">
        <f aca="false">IFERROR(VLOOKUP(A1245,NOMENCLATOR!$A:$E,4,0),"")</f>
        <v>0.335</v>
      </c>
      <c r="F1245" s="21" t="n">
        <f aca="false">IF(OR(C1245="",E1245=""),"",C1245*E1245)</f>
        <v>0.335</v>
      </c>
      <c r="G1245" s="22" t="n">
        <f aca="false">IFERROR(VLOOKUP(A1245,NOMENCLATOR!$A:$E,5,0),"")</f>
        <v>0.335</v>
      </c>
      <c r="H1245" s="22" t="n">
        <f aca="false">IF(OR(C1245="",G1245=""),"",C1245*G1245)</f>
        <v>0.335</v>
      </c>
    </row>
    <row r="1246" customFormat="false" ht="15" hidden="false" customHeight="true" outlineLevel="0" collapsed="false">
      <c r="A1246" s="17" t="s">
        <v>90</v>
      </c>
      <c r="B1246" s="18" t="str">
        <f aca="false">IFERROR(VLOOKUP(A1246,NOMENCLATOR!$A:$E,2,0),"")</f>
        <v>Capac sosiera 50ml</v>
      </c>
      <c r="C1246" s="19" t="n">
        <v>1</v>
      </c>
      <c r="D1246" s="20" t="str">
        <f aca="false">IFERROR(VLOOKUP(A1246,NOMENCLATOR!$A:$E,3,0),"")</f>
        <v>EA</v>
      </c>
      <c r="E1246" s="21" t="n">
        <f aca="false">IFERROR(VLOOKUP(A1246,NOMENCLATOR!$A:$E,4,0),"")</f>
        <v>0.045</v>
      </c>
      <c r="F1246" s="21" t="n">
        <f aca="false">IF(OR(C1246="",E1246=""),"",C1246*E1246)</f>
        <v>0.045</v>
      </c>
      <c r="G1246" s="22" t="n">
        <f aca="false">IFERROR(VLOOKUP(A1246,NOMENCLATOR!$A:$E,5,0),"")</f>
        <v>0.045</v>
      </c>
      <c r="H1246" s="22" t="n">
        <f aca="false">IF(OR(C1246="",G1246=""),"",C1246*G1246)</f>
        <v>0.045</v>
      </c>
    </row>
    <row r="1247" customFormat="false" ht="15" hidden="false" customHeight="true" outlineLevel="0" collapsed="false">
      <c r="A1247" s="23" t="str">
        <f aca="false">IF(A1242="","",A1242)</f>
        <v>DIP N FRYRANCH 100G NEW D</v>
      </c>
      <c r="B1247" s="24"/>
      <c r="C1247" s="24"/>
      <c r="D1247" s="24"/>
      <c r="E1247" s="24"/>
      <c r="F1247" s="25" t="n">
        <f aca="false">IF(A1242="","",SUM(F1244:F1246))</f>
        <v>2.993</v>
      </c>
      <c r="G1247" s="24"/>
      <c r="H1247" s="26" t="n">
        <f aca="false">IF(A1242="","",SUM(H1244:H1246))</f>
        <v>2.993</v>
      </c>
    </row>
    <row r="1249" customFormat="false" ht="15" hidden="false" customHeight="true" outlineLevel="0" collapsed="false">
      <c r="A1249" s="12" t="s">
        <v>478</v>
      </c>
      <c r="B1249" s="13"/>
      <c r="C1249" s="13"/>
      <c r="D1249" s="13"/>
      <c r="E1249" s="13"/>
      <c r="F1249" s="14" t="s">
        <v>453</v>
      </c>
      <c r="G1249" s="13"/>
      <c r="H1249" s="15"/>
    </row>
    <row r="1250" customFormat="false" ht="15" hidden="false" customHeight="true" outlineLevel="0" collapsed="false">
      <c r="A1250" s="16" t="s">
        <v>316</v>
      </c>
      <c r="B1250" s="16" t="s">
        <v>317</v>
      </c>
      <c r="C1250" s="16" t="s">
        <v>318</v>
      </c>
      <c r="D1250" s="16" t="s">
        <v>4</v>
      </c>
      <c r="E1250" s="16" t="s">
        <v>319</v>
      </c>
      <c r="F1250" s="16" t="s">
        <v>320</v>
      </c>
      <c r="G1250" s="16" t="s">
        <v>321</v>
      </c>
      <c r="H1250" s="16" t="s">
        <v>322</v>
      </c>
    </row>
    <row r="1251" customFormat="false" ht="15" hidden="false" customHeight="true" outlineLevel="0" collapsed="false">
      <c r="A1251" s="17" t="s">
        <v>284</v>
      </c>
      <c r="B1251" s="18" t="str">
        <f aca="false">IFERROR(VLOOKUP(A1251,NOMENCLATOR!$A:$E,2,0),"")</f>
        <v>Sos FryRanch</v>
      </c>
      <c r="C1251" s="19" t="n">
        <v>250</v>
      </c>
      <c r="D1251" s="20" t="str">
        <f aca="false">IFERROR(VLOOKUP(A1251,NOMENCLATOR!$A:$E,3,0),"")</f>
        <v>GM</v>
      </c>
      <c r="E1251" s="21" t="n">
        <f aca="false">IFERROR(VLOOKUP(A1251,NOMENCLATOR!$A:$E,4,0),"")</f>
        <v>0.02613</v>
      </c>
      <c r="F1251" s="21" t="n">
        <f aca="false">IF(OR(C1251="",E1251=""),"",C1251*E1251)</f>
        <v>6.5325</v>
      </c>
      <c r="G1251" s="22" t="n">
        <f aca="false">IFERROR(VLOOKUP(A1251,NOMENCLATOR!$A:$E,5,0),"")</f>
        <v>0.02613</v>
      </c>
      <c r="H1251" s="22" t="n">
        <f aca="false">IF(OR(C1251="",G1251=""),"",C1251*G1251)</f>
        <v>6.5325</v>
      </c>
    </row>
    <row r="1252" customFormat="false" ht="15" hidden="false" customHeight="true" outlineLevel="0" collapsed="false">
      <c r="A1252" s="17" t="s">
        <v>194</v>
      </c>
      <c r="B1252" s="18" t="str">
        <f aca="false">IFERROR(VLOOKUP(A1252,NOMENCLATOR!$A:$E,2,0),"")</f>
        <v>PAHAR DIN CARTON [300ML/12OZ] FRY RANCH CGRBA7991 DP12N</v>
      </c>
      <c r="C1252" s="19" t="n">
        <v>1</v>
      </c>
      <c r="D1252" s="20" t="str">
        <f aca="false">IFERROR(VLOOKUP(A1252,NOMENCLATOR!$A:$E,3,0),"")</f>
        <v>EA</v>
      </c>
      <c r="E1252" s="21" t="n">
        <f aca="false">IFERROR(VLOOKUP(A1252,NOMENCLATOR!$A:$E,4,0),"")</f>
        <v>0.277</v>
      </c>
      <c r="F1252" s="21" t="n">
        <f aca="false">IF(OR(C1252="",E1252=""),"",C1252*E1252)</f>
        <v>0.277</v>
      </c>
      <c r="G1252" s="22" t="n">
        <f aca="false">IFERROR(VLOOKUP(A1252,NOMENCLATOR!$A:$E,5,0),"")</f>
        <v>0.277</v>
      </c>
      <c r="H1252" s="22" t="n">
        <f aca="false">IF(OR(C1252="",G1252=""),"",C1252*G1252)</f>
        <v>0.277</v>
      </c>
    </row>
    <row r="1253" customFormat="false" ht="15" hidden="false" customHeight="true" outlineLevel="0" collapsed="false">
      <c r="A1253" s="17" t="s">
        <v>86</v>
      </c>
      <c r="B1253" s="18" t="str">
        <f aca="false">IFERROR(VLOOKUP(A1253,NOMENCLATOR!$A:$E,2,0),"")</f>
        <v>CAPAC PENTRU PAHAR CARTON CL90 - 0.35-0.4-0.5 ML</v>
      </c>
      <c r="C1253" s="19" t="n">
        <v>1</v>
      </c>
      <c r="D1253" s="20" t="str">
        <f aca="false">IFERROR(VLOOKUP(A1253,NOMENCLATOR!$A:$E,3,0),"")</f>
        <v>EA</v>
      </c>
      <c r="E1253" s="21" t="n">
        <f aca="false">IFERROR(VLOOKUP(A1253,NOMENCLATOR!$A:$E,4,0),"")</f>
        <v>0.116</v>
      </c>
      <c r="F1253" s="21" t="n">
        <f aca="false">IF(OR(C1253="",E1253=""),"",C1253*E1253)</f>
        <v>0.116</v>
      </c>
      <c r="G1253" s="22" t="n">
        <f aca="false">IFERROR(VLOOKUP(A1253,NOMENCLATOR!$A:$E,5,0),"")</f>
        <v>0.116</v>
      </c>
      <c r="H1253" s="22" t="n">
        <f aca="false">IF(OR(C1253="",G1253=""),"",C1253*G1253)</f>
        <v>0.116</v>
      </c>
    </row>
    <row r="1254" customFormat="false" ht="15" hidden="false" customHeight="true" outlineLevel="0" collapsed="false">
      <c r="A1254" s="23" t="str">
        <f aca="false">IF(A1249="","",A1249)</f>
        <v>DIP N FRYRANCH 250G NEW</v>
      </c>
      <c r="B1254" s="24"/>
      <c r="C1254" s="24"/>
      <c r="D1254" s="24"/>
      <c r="E1254" s="24"/>
      <c r="F1254" s="25" t="n">
        <f aca="false">IF(A1249="","",SUM(F1251:F1253))</f>
        <v>6.9255</v>
      </c>
      <c r="G1254" s="24"/>
      <c r="H1254" s="26" t="n">
        <f aca="false">IF(A1249="","",SUM(H1251:H1253))</f>
        <v>6.9255</v>
      </c>
    </row>
    <row r="1256" customFormat="false" ht="15" hidden="false" customHeight="true" outlineLevel="0" collapsed="false">
      <c r="A1256" s="12" t="s">
        <v>479</v>
      </c>
      <c r="B1256" s="13"/>
      <c r="C1256" s="13"/>
      <c r="D1256" s="13"/>
      <c r="E1256" s="13"/>
      <c r="F1256" s="14" t="s">
        <v>453</v>
      </c>
      <c r="G1256" s="13"/>
      <c r="H1256" s="15"/>
    </row>
    <row r="1257" customFormat="false" ht="15" hidden="false" customHeight="true" outlineLevel="0" collapsed="false">
      <c r="A1257" s="16" t="s">
        <v>316</v>
      </c>
      <c r="B1257" s="16" t="s">
        <v>317</v>
      </c>
      <c r="C1257" s="16" t="s">
        <v>318</v>
      </c>
      <c r="D1257" s="16" t="s">
        <v>4</v>
      </c>
      <c r="E1257" s="16" t="s">
        <v>319</v>
      </c>
      <c r="F1257" s="16" t="s">
        <v>320</v>
      </c>
      <c r="G1257" s="16" t="s">
        <v>321</v>
      </c>
      <c r="H1257" s="16" t="s">
        <v>322</v>
      </c>
    </row>
    <row r="1258" customFormat="false" ht="15" hidden="false" customHeight="true" outlineLevel="0" collapsed="false">
      <c r="A1258" s="17" t="s">
        <v>284</v>
      </c>
      <c r="B1258" s="18" t="str">
        <f aca="false">IFERROR(VLOOKUP(A1258,NOMENCLATOR!$A:$E,2,0),"")</f>
        <v>Sos FryRanch</v>
      </c>
      <c r="C1258" s="19" t="n">
        <v>250</v>
      </c>
      <c r="D1258" s="20" t="str">
        <f aca="false">IFERROR(VLOOKUP(A1258,NOMENCLATOR!$A:$E,3,0),"")</f>
        <v>GM</v>
      </c>
      <c r="E1258" s="21" t="n">
        <f aca="false">IFERROR(VLOOKUP(A1258,NOMENCLATOR!$A:$E,4,0),"")</f>
        <v>0.02613</v>
      </c>
      <c r="F1258" s="21" t="n">
        <f aca="false">IF(OR(C1258="",E1258=""),"",C1258*E1258)</f>
        <v>6.5325</v>
      </c>
      <c r="G1258" s="22" t="n">
        <f aca="false">IFERROR(VLOOKUP(A1258,NOMENCLATOR!$A:$E,5,0),"")</f>
        <v>0.02613</v>
      </c>
      <c r="H1258" s="22" t="n">
        <f aca="false">IF(OR(C1258="",G1258=""),"",C1258*G1258)</f>
        <v>6.5325</v>
      </c>
    </row>
    <row r="1259" customFormat="false" ht="15" hidden="false" customHeight="true" outlineLevel="0" collapsed="false">
      <c r="A1259" s="17" t="s">
        <v>194</v>
      </c>
      <c r="B1259" s="18" t="str">
        <f aca="false">IFERROR(VLOOKUP(A1259,NOMENCLATOR!$A:$E,2,0),"")</f>
        <v>PAHAR DIN CARTON [300ML/12OZ] FRY RANCH CGRBA7991 DP12N</v>
      </c>
      <c r="C1259" s="19" t="n">
        <v>1</v>
      </c>
      <c r="D1259" s="20" t="str">
        <f aca="false">IFERROR(VLOOKUP(A1259,NOMENCLATOR!$A:$E,3,0),"")</f>
        <v>EA</v>
      </c>
      <c r="E1259" s="21" t="n">
        <f aca="false">IFERROR(VLOOKUP(A1259,NOMENCLATOR!$A:$E,4,0),"")</f>
        <v>0.277</v>
      </c>
      <c r="F1259" s="21" t="n">
        <f aca="false">IF(OR(C1259="",E1259=""),"",C1259*E1259)</f>
        <v>0.277</v>
      </c>
      <c r="G1259" s="22" t="n">
        <f aca="false">IFERROR(VLOOKUP(A1259,NOMENCLATOR!$A:$E,5,0),"")</f>
        <v>0.277</v>
      </c>
      <c r="H1259" s="22" t="n">
        <f aca="false">IF(OR(C1259="",G1259=""),"",C1259*G1259)</f>
        <v>0.277</v>
      </c>
    </row>
    <row r="1260" customFormat="false" ht="15" hidden="false" customHeight="true" outlineLevel="0" collapsed="false">
      <c r="A1260" s="17" t="s">
        <v>86</v>
      </c>
      <c r="B1260" s="18" t="str">
        <f aca="false">IFERROR(VLOOKUP(A1260,NOMENCLATOR!$A:$E,2,0),"")</f>
        <v>CAPAC PENTRU PAHAR CARTON CL90 - 0.35-0.4-0.5 ML</v>
      </c>
      <c r="C1260" s="19" t="n">
        <v>1</v>
      </c>
      <c r="D1260" s="20" t="str">
        <f aca="false">IFERROR(VLOOKUP(A1260,NOMENCLATOR!$A:$E,3,0),"")</f>
        <v>EA</v>
      </c>
      <c r="E1260" s="21" t="n">
        <f aca="false">IFERROR(VLOOKUP(A1260,NOMENCLATOR!$A:$E,4,0),"")</f>
        <v>0.116</v>
      </c>
      <c r="F1260" s="21" t="n">
        <f aca="false">IF(OR(C1260="",E1260=""),"",C1260*E1260)</f>
        <v>0.116</v>
      </c>
      <c r="G1260" s="22" t="n">
        <f aca="false">IFERROR(VLOOKUP(A1260,NOMENCLATOR!$A:$E,5,0),"")</f>
        <v>0.116</v>
      </c>
      <c r="H1260" s="22" t="n">
        <f aca="false">IF(OR(C1260="",G1260=""),"",C1260*G1260)</f>
        <v>0.116</v>
      </c>
    </row>
    <row r="1261" customFormat="false" ht="15" hidden="false" customHeight="true" outlineLevel="0" collapsed="false">
      <c r="A1261" s="23" t="str">
        <f aca="false">IF(A1256="","",A1256)</f>
        <v>DIP N FRYRANCH 250G NEW D</v>
      </c>
      <c r="B1261" s="24"/>
      <c r="C1261" s="24"/>
      <c r="D1261" s="24"/>
      <c r="E1261" s="24"/>
      <c r="F1261" s="25" t="n">
        <f aca="false">IF(A1256="","",SUM(F1258:F1260))</f>
        <v>6.9255</v>
      </c>
      <c r="G1261" s="24"/>
      <c r="H1261" s="26" t="n">
        <f aca="false">IF(A1256="","",SUM(H1258:H1260))</f>
        <v>6.9255</v>
      </c>
    </row>
    <row r="1263" customFormat="false" ht="15" hidden="false" customHeight="true" outlineLevel="0" collapsed="false">
      <c r="A1263" s="12" t="s">
        <v>480</v>
      </c>
      <c r="B1263" s="13"/>
      <c r="C1263" s="13"/>
      <c r="D1263" s="13"/>
      <c r="E1263" s="13"/>
      <c r="F1263" s="14" t="s">
        <v>453</v>
      </c>
      <c r="G1263" s="13"/>
      <c r="H1263" s="15"/>
    </row>
    <row r="1264" customFormat="false" ht="15" hidden="false" customHeight="true" outlineLevel="0" collapsed="false">
      <c r="A1264" s="16" t="s">
        <v>316</v>
      </c>
      <c r="B1264" s="16" t="s">
        <v>317</v>
      </c>
      <c r="C1264" s="16" t="s">
        <v>318</v>
      </c>
      <c r="D1264" s="16" t="s">
        <v>4</v>
      </c>
      <c r="E1264" s="16" t="s">
        <v>319</v>
      </c>
      <c r="F1264" s="16" t="s">
        <v>320</v>
      </c>
      <c r="G1264" s="16" t="s">
        <v>321</v>
      </c>
      <c r="H1264" s="16" t="s">
        <v>322</v>
      </c>
    </row>
    <row r="1265" customFormat="false" ht="15" hidden="false" customHeight="true" outlineLevel="0" collapsed="false">
      <c r="A1265" s="17" t="s">
        <v>284</v>
      </c>
      <c r="B1265" s="18" t="str">
        <f aca="false">IFERROR(VLOOKUP(A1265,NOMENCLATOR!$A:$E,2,0),"")</f>
        <v>Sos FryRanch</v>
      </c>
      <c r="C1265" s="19" t="n">
        <v>400</v>
      </c>
      <c r="D1265" s="20" t="str">
        <f aca="false">IFERROR(VLOOKUP(A1265,NOMENCLATOR!$A:$E,3,0),"")</f>
        <v>GM</v>
      </c>
      <c r="E1265" s="21" t="n">
        <f aca="false">IFERROR(VLOOKUP(A1265,NOMENCLATOR!$A:$E,4,0),"")</f>
        <v>0.02613</v>
      </c>
      <c r="F1265" s="21" t="n">
        <f aca="false">IF(OR(C1265="",E1265=""),"",C1265*E1265)</f>
        <v>10.452</v>
      </c>
      <c r="G1265" s="22" t="n">
        <f aca="false">IFERROR(VLOOKUP(A1265,NOMENCLATOR!$A:$E,5,0),"")</f>
        <v>0.02613</v>
      </c>
      <c r="H1265" s="22" t="n">
        <f aca="false">IF(OR(C1265="",G1265=""),"",C1265*G1265)</f>
        <v>10.452</v>
      </c>
    </row>
    <row r="1266" customFormat="false" ht="15" hidden="false" customHeight="true" outlineLevel="0" collapsed="false">
      <c r="A1266" s="17" t="s">
        <v>196</v>
      </c>
      <c r="B1266" s="18" t="str">
        <f aca="false">IFERROR(VLOOKUP(A1266,NOMENCLATOR!$A:$E,2,0),"")</f>
        <v>PAHAR DIN CARTON [400ML/16OZ] FRY RANCH CGRBA7992 DP16T</v>
      </c>
      <c r="C1266" s="19" t="n">
        <v>1</v>
      </c>
      <c r="D1266" s="20" t="str">
        <f aca="false">IFERROR(VLOOKUP(A1266,NOMENCLATOR!$A:$E,3,0),"")</f>
        <v>EA</v>
      </c>
      <c r="E1266" s="21" t="n">
        <f aca="false">IFERROR(VLOOKUP(A1266,NOMENCLATOR!$A:$E,4,0),"")</f>
        <v>0.328</v>
      </c>
      <c r="F1266" s="21" t="n">
        <f aca="false">IF(OR(C1266="",E1266=""),"",C1266*E1266)</f>
        <v>0.328</v>
      </c>
      <c r="G1266" s="22" t="n">
        <f aca="false">IFERROR(VLOOKUP(A1266,NOMENCLATOR!$A:$E,5,0),"")</f>
        <v>0.328</v>
      </c>
      <c r="H1266" s="22" t="n">
        <f aca="false">IF(OR(C1266="",G1266=""),"",C1266*G1266)</f>
        <v>0.328</v>
      </c>
    </row>
    <row r="1267" customFormat="false" ht="15" hidden="false" customHeight="true" outlineLevel="0" collapsed="false">
      <c r="A1267" s="17" t="s">
        <v>86</v>
      </c>
      <c r="B1267" s="18" t="str">
        <f aca="false">IFERROR(VLOOKUP(A1267,NOMENCLATOR!$A:$E,2,0),"")</f>
        <v>CAPAC PENTRU PAHAR CARTON CL90 - 0.35-0.4-0.5 ML</v>
      </c>
      <c r="C1267" s="19" t="n">
        <v>1</v>
      </c>
      <c r="D1267" s="20" t="str">
        <f aca="false">IFERROR(VLOOKUP(A1267,NOMENCLATOR!$A:$E,3,0),"")</f>
        <v>EA</v>
      </c>
      <c r="E1267" s="21" t="n">
        <f aca="false">IFERROR(VLOOKUP(A1267,NOMENCLATOR!$A:$E,4,0),"")</f>
        <v>0.116</v>
      </c>
      <c r="F1267" s="21" t="n">
        <f aca="false">IF(OR(C1267="",E1267=""),"",C1267*E1267)</f>
        <v>0.116</v>
      </c>
      <c r="G1267" s="22" t="n">
        <f aca="false">IFERROR(VLOOKUP(A1267,NOMENCLATOR!$A:$E,5,0),"")</f>
        <v>0.116</v>
      </c>
      <c r="H1267" s="22" t="n">
        <f aca="false">IF(OR(C1267="",G1267=""),"",C1267*G1267)</f>
        <v>0.116</v>
      </c>
    </row>
    <row r="1268" customFormat="false" ht="15" hidden="false" customHeight="true" outlineLevel="0" collapsed="false">
      <c r="A1268" s="23" t="str">
        <f aca="false">IF(A1263="","",A1263)</f>
        <v>DIP N FRYRANCH 400G NEW</v>
      </c>
      <c r="B1268" s="24"/>
      <c r="C1268" s="24"/>
      <c r="D1268" s="24"/>
      <c r="E1268" s="24"/>
      <c r="F1268" s="25" t="n">
        <f aca="false">IF(A1263="","",SUM(F1265:F1267))</f>
        <v>10.896</v>
      </c>
      <c r="G1268" s="24"/>
      <c r="H1268" s="26" t="n">
        <f aca="false">IF(A1263="","",SUM(H1265:H1267))</f>
        <v>10.896</v>
      </c>
    </row>
    <row r="1270" customFormat="false" ht="15" hidden="false" customHeight="true" outlineLevel="0" collapsed="false">
      <c r="A1270" s="12" t="s">
        <v>481</v>
      </c>
      <c r="B1270" s="13"/>
      <c r="C1270" s="13"/>
      <c r="D1270" s="13"/>
      <c r="E1270" s="13"/>
      <c r="F1270" s="14" t="s">
        <v>453</v>
      </c>
      <c r="G1270" s="13"/>
      <c r="H1270" s="15"/>
    </row>
    <row r="1271" customFormat="false" ht="15" hidden="false" customHeight="true" outlineLevel="0" collapsed="false">
      <c r="A1271" s="16" t="s">
        <v>316</v>
      </c>
      <c r="B1271" s="16" t="s">
        <v>317</v>
      </c>
      <c r="C1271" s="16" t="s">
        <v>318</v>
      </c>
      <c r="D1271" s="16" t="s">
        <v>4</v>
      </c>
      <c r="E1271" s="16" t="s">
        <v>319</v>
      </c>
      <c r="F1271" s="16" t="s">
        <v>320</v>
      </c>
      <c r="G1271" s="16" t="s">
        <v>321</v>
      </c>
      <c r="H1271" s="16" t="s">
        <v>322</v>
      </c>
    </row>
    <row r="1272" customFormat="false" ht="15" hidden="false" customHeight="true" outlineLevel="0" collapsed="false">
      <c r="A1272" s="17" t="s">
        <v>284</v>
      </c>
      <c r="B1272" s="18" t="str">
        <f aca="false">IFERROR(VLOOKUP(A1272,NOMENCLATOR!$A:$E,2,0),"")</f>
        <v>Sos FryRanch</v>
      </c>
      <c r="C1272" s="19" t="n">
        <v>400</v>
      </c>
      <c r="D1272" s="20" t="str">
        <f aca="false">IFERROR(VLOOKUP(A1272,NOMENCLATOR!$A:$E,3,0),"")</f>
        <v>GM</v>
      </c>
      <c r="E1272" s="21" t="n">
        <f aca="false">IFERROR(VLOOKUP(A1272,NOMENCLATOR!$A:$E,4,0),"")</f>
        <v>0.02613</v>
      </c>
      <c r="F1272" s="21" t="n">
        <f aca="false">IF(OR(C1272="",E1272=""),"",C1272*E1272)</f>
        <v>10.452</v>
      </c>
      <c r="G1272" s="22" t="n">
        <f aca="false">IFERROR(VLOOKUP(A1272,NOMENCLATOR!$A:$E,5,0),"")</f>
        <v>0.02613</v>
      </c>
      <c r="H1272" s="22" t="n">
        <f aca="false">IF(OR(C1272="",G1272=""),"",C1272*G1272)</f>
        <v>10.452</v>
      </c>
    </row>
    <row r="1273" customFormat="false" ht="15" hidden="false" customHeight="true" outlineLevel="0" collapsed="false">
      <c r="A1273" s="17" t="s">
        <v>196</v>
      </c>
      <c r="B1273" s="18" t="str">
        <f aca="false">IFERROR(VLOOKUP(A1273,NOMENCLATOR!$A:$E,2,0),"")</f>
        <v>PAHAR DIN CARTON [400ML/16OZ] FRY RANCH CGRBA7992 DP16T</v>
      </c>
      <c r="C1273" s="19" t="n">
        <v>1</v>
      </c>
      <c r="D1273" s="20" t="str">
        <f aca="false">IFERROR(VLOOKUP(A1273,NOMENCLATOR!$A:$E,3,0),"")</f>
        <v>EA</v>
      </c>
      <c r="E1273" s="21" t="n">
        <f aca="false">IFERROR(VLOOKUP(A1273,NOMENCLATOR!$A:$E,4,0),"")</f>
        <v>0.328</v>
      </c>
      <c r="F1273" s="21" t="n">
        <f aca="false">IF(OR(C1273="",E1273=""),"",C1273*E1273)</f>
        <v>0.328</v>
      </c>
      <c r="G1273" s="22" t="n">
        <f aca="false">IFERROR(VLOOKUP(A1273,NOMENCLATOR!$A:$E,5,0),"")</f>
        <v>0.328</v>
      </c>
      <c r="H1273" s="22" t="n">
        <f aca="false">IF(OR(C1273="",G1273=""),"",C1273*G1273)</f>
        <v>0.328</v>
      </c>
    </row>
    <row r="1274" customFormat="false" ht="15" hidden="false" customHeight="true" outlineLevel="0" collapsed="false">
      <c r="A1274" s="17" t="s">
        <v>86</v>
      </c>
      <c r="B1274" s="18" t="str">
        <f aca="false">IFERROR(VLOOKUP(A1274,NOMENCLATOR!$A:$E,2,0),"")</f>
        <v>CAPAC PENTRU PAHAR CARTON CL90 - 0.35-0.4-0.5 ML</v>
      </c>
      <c r="C1274" s="19" t="n">
        <v>1</v>
      </c>
      <c r="D1274" s="20" t="str">
        <f aca="false">IFERROR(VLOOKUP(A1274,NOMENCLATOR!$A:$E,3,0),"")</f>
        <v>EA</v>
      </c>
      <c r="E1274" s="21" t="n">
        <f aca="false">IFERROR(VLOOKUP(A1274,NOMENCLATOR!$A:$E,4,0),"")</f>
        <v>0.116</v>
      </c>
      <c r="F1274" s="21" t="n">
        <f aca="false">IF(OR(C1274="",E1274=""),"",C1274*E1274)</f>
        <v>0.116</v>
      </c>
      <c r="G1274" s="22" t="n">
        <f aca="false">IFERROR(VLOOKUP(A1274,NOMENCLATOR!$A:$E,5,0),"")</f>
        <v>0.116</v>
      </c>
      <c r="H1274" s="22" t="n">
        <f aca="false">IF(OR(C1274="",G1274=""),"",C1274*G1274)</f>
        <v>0.116</v>
      </c>
    </row>
    <row r="1275" customFormat="false" ht="15" hidden="false" customHeight="true" outlineLevel="0" collapsed="false">
      <c r="A1275" s="23" t="str">
        <f aca="false">IF(A1270="","",A1270)</f>
        <v>DIP N FRYRANCH 400G NEW D</v>
      </c>
      <c r="B1275" s="24"/>
      <c r="C1275" s="24"/>
      <c r="D1275" s="24"/>
      <c r="E1275" s="24"/>
      <c r="F1275" s="25" t="n">
        <f aca="false">IF(A1270="","",SUM(F1272:F1274))</f>
        <v>10.896</v>
      </c>
      <c r="G1275" s="24"/>
      <c r="H1275" s="26" t="n">
        <f aca="false">IF(A1270="","",SUM(H1272:H1274))</f>
        <v>10.896</v>
      </c>
    </row>
    <row r="1277" customFormat="false" ht="15" hidden="false" customHeight="true" outlineLevel="0" collapsed="false">
      <c r="A1277" s="12" t="s">
        <v>482</v>
      </c>
      <c r="B1277" s="13"/>
      <c r="C1277" s="13"/>
      <c r="D1277" s="13"/>
      <c r="E1277" s="13"/>
      <c r="F1277" s="14" t="s">
        <v>453</v>
      </c>
      <c r="G1277" s="13"/>
      <c r="H1277" s="15"/>
    </row>
    <row r="1278" customFormat="false" ht="15" hidden="false" customHeight="true" outlineLevel="0" collapsed="false">
      <c r="A1278" s="16" t="s">
        <v>316</v>
      </c>
      <c r="B1278" s="16" t="s">
        <v>317</v>
      </c>
      <c r="C1278" s="16" t="s">
        <v>318</v>
      </c>
      <c r="D1278" s="16" t="s">
        <v>4</v>
      </c>
      <c r="E1278" s="16" t="s">
        <v>319</v>
      </c>
      <c r="F1278" s="16" t="s">
        <v>320</v>
      </c>
      <c r="G1278" s="16" t="s">
        <v>321</v>
      </c>
      <c r="H1278" s="16" t="s">
        <v>322</v>
      </c>
    </row>
    <row r="1279" customFormat="false" ht="15" hidden="false" customHeight="true" outlineLevel="0" collapsed="false">
      <c r="A1279" s="17" t="s">
        <v>298</v>
      </c>
      <c r="B1279" s="18" t="str">
        <f aca="false">IFERROR(VLOOKUP(A1279,NOMENCLATOR!$A:$E,2,0),"")</f>
        <v>Truffle Mayonaise 10L</v>
      </c>
      <c r="C1279" s="19" t="n">
        <v>100</v>
      </c>
      <c r="D1279" s="20" t="str">
        <f aca="false">IFERROR(VLOOKUP(A1279,NOMENCLATOR!$A:$E,3,0),"")</f>
        <v>ML</v>
      </c>
      <c r="E1279" s="21" t="n">
        <f aca="false">IFERROR(VLOOKUP(A1279,NOMENCLATOR!$A:$E,4,0),"")</f>
        <v>0.03506</v>
      </c>
      <c r="F1279" s="21" t="n">
        <f aca="false">IF(OR(C1279="",E1279=""),"",C1279*E1279)</f>
        <v>3.506</v>
      </c>
      <c r="G1279" s="22" t="n">
        <f aca="false">IFERROR(VLOOKUP(A1279,NOMENCLATOR!$A:$E,5,0),"")</f>
        <v>0.03506</v>
      </c>
      <c r="H1279" s="22" t="n">
        <f aca="false">IF(OR(C1279="",G1279=""),"",C1279*G1279)</f>
        <v>3.506</v>
      </c>
    </row>
    <row r="1280" customFormat="false" ht="15" hidden="false" customHeight="true" outlineLevel="0" collapsed="false">
      <c r="A1280" s="17" t="s">
        <v>188</v>
      </c>
      <c r="B1280" s="18" t="str">
        <f aca="false">IFERROR(VLOOKUP(A1280,NOMENCLATOR!$A:$E,2,0),"")</f>
        <v>Pahar Carton Dip'n Truffle 130ml</v>
      </c>
      <c r="C1280" s="19" t="n">
        <v>1</v>
      </c>
      <c r="D1280" s="20" t="str">
        <f aca="false">IFERROR(VLOOKUP(A1280,NOMENCLATOR!$A:$E,3,0),"")</f>
        <v>EA</v>
      </c>
      <c r="E1280" s="21" t="n">
        <f aca="false">IFERROR(VLOOKUP(A1280,NOMENCLATOR!$A:$E,4,0),"")</f>
        <v>0.335</v>
      </c>
      <c r="F1280" s="21" t="n">
        <f aca="false">IF(OR(C1280="",E1280=""),"",C1280*E1280)</f>
        <v>0.335</v>
      </c>
      <c r="G1280" s="22" t="n">
        <f aca="false">IFERROR(VLOOKUP(A1280,NOMENCLATOR!$A:$E,5,0),"")</f>
        <v>0.335</v>
      </c>
      <c r="H1280" s="22" t="n">
        <f aca="false">IF(OR(C1280="",G1280=""),"",C1280*G1280)</f>
        <v>0.335</v>
      </c>
    </row>
    <row r="1281" customFormat="false" ht="15" hidden="false" customHeight="true" outlineLevel="0" collapsed="false">
      <c r="A1281" s="17" t="s">
        <v>90</v>
      </c>
      <c r="B1281" s="18" t="str">
        <f aca="false">IFERROR(VLOOKUP(A1281,NOMENCLATOR!$A:$E,2,0),"")</f>
        <v>Capac sosiera 50ml</v>
      </c>
      <c r="C1281" s="19" t="n">
        <v>1</v>
      </c>
      <c r="D1281" s="20" t="str">
        <f aca="false">IFERROR(VLOOKUP(A1281,NOMENCLATOR!$A:$E,3,0),"")</f>
        <v>EA</v>
      </c>
      <c r="E1281" s="21" t="n">
        <f aca="false">IFERROR(VLOOKUP(A1281,NOMENCLATOR!$A:$E,4,0),"")</f>
        <v>0.045</v>
      </c>
      <c r="F1281" s="21" t="n">
        <f aca="false">IF(OR(C1281="",E1281=""),"",C1281*E1281)</f>
        <v>0.045</v>
      </c>
      <c r="G1281" s="22" t="n">
        <f aca="false">IFERROR(VLOOKUP(A1281,NOMENCLATOR!$A:$E,5,0),"")</f>
        <v>0.045</v>
      </c>
      <c r="H1281" s="22" t="n">
        <f aca="false">IF(OR(C1281="",G1281=""),"",C1281*G1281)</f>
        <v>0.045</v>
      </c>
    </row>
    <row r="1282" customFormat="false" ht="15" hidden="false" customHeight="true" outlineLevel="0" collapsed="false">
      <c r="A1282" s="23" t="str">
        <f aca="false">IF(A1277="","",A1277)</f>
        <v>DIP N TRUFFLE 100G NEW</v>
      </c>
      <c r="B1282" s="24"/>
      <c r="C1282" s="24"/>
      <c r="D1282" s="24"/>
      <c r="E1282" s="24"/>
      <c r="F1282" s="25" t="n">
        <f aca="false">IF(A1277="","",SUM(F1279:F1281))</f>
        <v>3.886</v>
      </c>
      <c r="G1282" s="24"/>
      <c r="H1282" s="26" t="n">
        <f aca="false">IF(A1277="","",SUM(H1279:H1281))</f>
        <v>3.886</v>
      </c>
    </row>
    <row r="1284" customFormat="false" ht="15" hidden="false" customHeight="true" outlineLevel="0" collapsed="false">
      <c r="A1284" s="12" t="s">
        <v>483</v>
      </c>
      <c r="B1284" s="13"/>
      <c r="C1284" s="13"/>
      <c r="D1284" s="13"/>
      <c r="E1284" s="13"/>
      <c r="F1284" s="14" t="s">
        <v>453</v>
      </c>
      <c r="G1284" s="13"/>
      <c r="H1284" s="15"/>
    </row>
    <row r="1285" customFormat="false" ht="15" hidden="false" customHeight="true" outlineLevel="0" collapsed="false">
      <c r="A1285" s="16" t="s">
        <v>316</v>
      </c>
      <c r="B1285" s="16" t="s">
        <v>317</v>
      </c>
      <c r="C1285" s="16" t="s">
        <v>318</v>
      </c>
      <c r="D1285" s="16" t="s">
        <v>4</v>
      </c>
      <c r="E1285" s="16" t="s">
        <v>319</v>
      </c>
      <c r="F1285" s="16" t="s">
        <v>320</v>
      </c>
      <c r="G1285" s="16" t="s">
        <v>321</v>
      </c>
      <c r="H1285" s="16" t="s">
        <v>322</v>
      </c>
    </row>
    <row r="1286" customFormat="false" ht="15" hidden="false" customHeight="true" outlineLevel="0" collapsed="false">
      <c r="A1286" s="17" t="s">
        <v>298</v>
      </c>
      <c r="B1286" s="18" t="str">
        <f aca="false">IFERROR(VLOOKUP(A1286,NOMENCLATOR!$A:$E,2,0),"")</f>
        <v>Truffle Mayonaise 10L</v>
      </c>
      <c r="C1286" s="19" t="n">
        <v>100</v>
      </c>
      <c r="D1286" s="20" t="str">
        <f aca="false">IFERROR(VLOOKUP(A1286,NOMENCLATOR!$A:$E,3,0),"")</f>
        <v>ML</v>
      </c>
      <c r="E1286" s="21" t="n">
        <f aca="false">IFERROR(VLOOKUP(A1286,NOMENCLATOR!$A:$E,4,0),"")</f>
        <v>0.03506</v>
      </c>
      <c r="F1286" s="21" t="n">
        <f aca="false">IF(OR(C1286="",E1286=""),"",C1286*E1286)</f>
        <v>3.506</v>
      </c>
      <c r="G1286" s="22" t="n">
        <f aca="false">IFERROR(VLOOKUP(A1286,NOMENCLATOR!$A:$E,5,0),"")</f>
        <v>0.03506</v>
      </c>
      <c r="H1286" s="22" t="n">
        <f aca="false">IF(OR(C1286="",G1286=""),"",C1286*G1286)</f>
        <v>3.506</v>
      </c>
    </row>
    <row r="1287" customFormat="false" ht="15" hidden="false" customHeight="true" outlineLevel="0" collapsed="false">
      <c r="A1287" s="17" t="s">
        <v>188</v>
      </c>
      <c r="B1287" s="18" t="str">
        <f aca="false">IFERROR(VLOOKUP(A1287,NOMENCLATOR!$A:$E,2,0),"")</f>
        <v>Pahar Carton Dip'n Truffle 130ml</v>
      </c>
      <c r="C1287" s="19" t="n">
        <v>1</v>
      </c>
      <c r="D1287" s="20" t="str">
        <f aca="false">IFERROR(VLOOKUP(A1287,NOMENCLATOR!$A:$E,3,0),"")</f>
        <v>EA</v>
      </c>
      <c r="E1287" s="21" t="n">
        <f aca="false">IFERROR(VLOOKUP(A1287,NOMENCLATOR!$A:$E,4,0),"")</f>
        <v>0.335</v>
      </c>
      <c r="F1287" s="21" t="n">
        <f aca="false">IF(OR(C1287="",E1287=""),"",C1287*E1287)</f>
        <v>0.335</v>
      </c>
      <c r="G1287" s="22" t="n">
        <f aca="false">IFERROR(VLOOKUP(A1287,NOMENCLATOR!$A:$E,5,0),"")</f>
        <v>0.335</v>
      </c>
      <c r="H1287" s="22" t="n">
        <f aca="false">IF(OR(C1287="",G1287=""),"",C1287*G1287)</f>
        <v>0.335</v>
      </c>
    </row>
    <row r="1288" customFormat="false" ht="15" hidden="false" customHeight="true" outlineLevel="0" collapsed="false">
      <c r="A1288" s="17" t="s">
        <v>90</v>
      </c>
      <c r="B1288" s="18" t="str">
        <f aca="false">IFERROR(VLOOKUP(A1288,NOMENCLATOR!$A:$E,2,0),"")</f>
        <v>Capac sosiera 50ml</v>
      </c>
      <c r="C1288" s="19" t="n">
        <v>1</v>
      </c>
      <c r="D1288" s="20" t="str">
        <f aca="false">IFERROR(VLOOKUP(A1288,NOMENCLATOR!$A:$E,3,0),"")</f>
        <v>EA</v>
      </c>
      <c r="E1288" s="21" t="n">
        <f aca="false">IFERROR(VLOOKUP(A1288,NOMENCLATOR!$A:$E,4,0),"")</f>
        <v>0.045</v>
      </c>
      <c r="F1288" s="21" t="n">
        <f aca="false">IF(OR(C1288="",E1288=""),"",C1288*E1288)</f>
        <v>0.045</v>
      </c>
      <c r="G1288" s="22" t="n">
        <f aca="false">IFERROR(VLOOKUP(A1288,NOMENCLATOR!$A:$E,5,0),"")</f>
        <v>0.045</v>
      </c>
      <c r="H1288" s="22" t="n">
        <f aca="false">IF(OR(C1288="",G1288=""),"",C1288*G1288)</f>
        <v>0.045</v>
      </c>
    </row>
    <row r="1289" customFormat="false" ht="15" hidden="false" customHeight="true" outlineLevel="0" collapsed="false">
      <c r="A1289" s="23" t="str">
        <f aca="false">IF(A1284="","",A1284)</f>
        <v>DIP N TRUFFLE 100G NEW D</v>
      </c>
      <c r="B1289" s="24"/>
      <c r="C1289" s="24"/>
      <c r="D1289" s="24"/>
      <c r="E1289" s="24"/>
      <c r="F1289" s="25" t="n">
        <f aca="false">IF(A1284="","",SUM(F1286:F1288))</f>
        <v>3.886</v>
      </c>
      <c r="G1289" s="24"/>
      <c r="H1289" s="26" t="n">
        <f aca="false">IF(A1284="","",SUM(H1286:H1288))</f>
        <v>3.886</v>
      </c>
    </row>
    <row r="1291" customFormat="false" ht="15" hidden="false" customHeight="true" outlineLevel="0" collapsed="false">
      <c r="A1291" s="12" t="s">
        <v>484</v>
      </c>
      <c r="B1291" s="13"/>
      <c r="C1291" s="13"/>
      <c r="D1291" s="13"/>
      <c r="E1291" s="13"/>
      <c r="F1291" s="14" t="s">
        <v>485</v>
      </c>
      <c r="G1291" s="13"/>
      <c r="H1291" s="15"/>
    </row>
    <row r="1292" customFormat="false" ht="15" hidden="false" customHeight="true" outlineLevel="0" collapsed="false">
      <c r="A1292" s="16" t="s">
        <v>316</v>
      </c>
      <c r="B1292" s="16" t="s">
        <v>317</v>
      </c>
      <c r="C1292" s="16" t="s">
        <v>318</v>
      </c>
      <c r="D1292" s="16" t="s">
        <v>4</v>
      </c>
      <c r="E1292" s="16" t="s">
        <v>319</v>
      </c>
      <c r="F1292" s="16" t="s">
        <v>320</v>
      </c>
      <c r="G1292" s="16" t="s">
        <v>321</v>
      </c>
      <c r="H1292" s="16" t="s">
        <v>322</v>
      </c>
    </row>
    <row r="1293" customFormat="false" ht="15" hidden="false" customHeight="true" outlineLevel="0" collapsed="false">
      <c r="A1293" s="17" t="s">
        <v>226</v>
      </c>
      <c r="B1293" s="18" t="str">
        <f aca="false">IFERROR(VLOOKUP(A1293,NOMENCLATOR!$A:$E,2,0),"")</f>
        <v>PLACINTA MAR CARAMEL. 70G</v>
      </c>
      <c r="C1293" s="19" t="n">
        <v>1</v>
      </c>
      <c r="D1293" s="20" t="str">
        <f aca="false">IFERROR(VLOOKUP(A1293,NOMENCLATOR!$A:$E,3,0),"")</f>
        <v>EA</v>
      </c>
      <c r="E1293" s="21" t="n">
        <f aca="false">IFERROR(VLOOKUP(A1293,NOMENCLATOR!$A:$E,4,0),"")</f>
        <v>1.543</v>
      </c>
      <c r="F1293" s="21" t="n">
        <f aca="false">IF(OR(C1293="",E1293=""),"",C1293*E1293)</f>
        <v>1.543</v>
      </c>
      <c r="G1293" s="22" t="n">
        <f aca="false">IFERROR(VLOOKUP(A1293,NOMENCLATOR!$A:$E,5,0),"")</f>
        <v>1.543</v>
      </c>
      <c r="H1293" s="22" t="n">
        <f aca="false">IF(OR(C1293="",G1293=""),"",C1293*G1293)</f>
        <v>1.543</v>
      </c>
    </row>
    <row r="1294" customFormat="false" ht="15" hidden="false" customHeight="true" outlineLevel="0" collapsed="false">
      <c r="A1294" s="17" t="s">
        <v>300</v>
      </c>
      <c r="B1294" s="18" t="str">
        <f aca="false">IFERROR(VLOOKUP(A1294,NOMENCLATOR!$A:$E,2,0),"")</f>
        <v>Ulei de alune</v>
      </c>
      <c r="C1294" s="19" t="n">
        <v>50</v>
      </c>
      <c r="D1294" s="20" t="str">
        <f aca="false">IFERROR(VLOOKUP(A1294,NOMENCLATOR!$A:$E,3,0),"")</f>
        <v>ML</v>
      </c>
      <c r="E1294" s="21" t="n">
        <f aca="false">IFERROR(VLOOKUP(A1294,NOMENCLATOR!$A:$E,4,0),"")</f>
        <v>0.0169</v>
      </c>
      <c r="F1294" s="21" t="n">
        <f aca="false">IF(OR(C1294="",E1294=""),"",C1294*E1294)</f>
        <v>0.845</v>
      </c>
      <c r="G1294" s="22" t="n">
        <f aca="false">IFERROR(VLOOKUP(A1294,NOMENCLATOR!$A:$E,5,0),"")</f>
        <v>0.0169</v>
      </c>
      <c r="H1294" s="22" t="n">
        <f aca="false">IF(OR(C1294="",G1294=""),"",C1294*G1294)</f>
        <v>0.845</v>
      </c>
    </row>
    <row r="1295" customFormat="false" ht="15" hidden="false" customHeight="true" outlineLevel="0" collapsed="false">
      <c r="A1295" s="17" t="s">
        <v>110</v>
      </c>
      <c r="B1295" s="18" t="str">
        <f aca="false">IFERROR(VLOOKUP(A1295,NOMENCLATOR!$A:$E,2,0),"")</f>
        <v>CUTIE CARTON FRYPIE APPLE TOFFEFE FRYDAY</v>
      </c>
      <c r="C1295" s="19" t="n">
        <v>1</v>
      </c>
      <c r="D1295" s="20" t="str">
        <f aca="false">IFERROR(VLOOKUP(A1295,NOMENCLATOR!$A:$E,3,0),"")</f>
        <v>EA</v>
      </c>
      <c r="E1295" s="21" t="n">
        <f aca="false">IFERROR(VLOOKUP(A1295,NOMENCLATOR!$A:$E,4,0),"")</f>
        <v>1.28</v>
      </c>
      <c r="F1295" s="21" t="n">
        <f aca="false">IF(OR(C1295="",E1295=""),"",C1295*E1295)</f>
        <v>1.28</v>
      </c>
      <c r="G1295" s="22" t="n">
        <f aca="false">IFERROR(VLOOKUP(A1295,NOMENCLATOR!$A:$E,5,0),"")</f>
        <v>1.28</v>
      </c>
      <c r="H1295" s="22" t="n">
        <f aca="false">IF(OR(C1295="",G1295=""),"",C1295*G1295)</f>
        <v>1.28</v>
      </c>
    </row>
    <row r="1296" customFormat="false" ht="15" hidden="false" customHeight="true" outlineLevel="0" collapsed="false">
      <c r="A1296" s="23" t="str">
        <f aca="false">IF(A1291="","",A1291)</f>
        <v>APPLE TOFFEE FRYPIE</v>
      </c>
      <c r="B1296" s="24"/>
      <c r="C1296" s="24"/>
      <c r="D1296" s="24"/>
      <c r="E1296" s="24"/>
      <c r="F1296" s="25" t="n">
        <f aca="false">IF(A1291="","",SUM(F1293:F1295))</f>
        <v>3.668</v>
      </c>
      <c r="G1296" s="24"/>
      <c r="H1296" s="26" t="n">
        <f aca="false">IF(A1291="","",SUM(H1293:H1295))</f>
        <v>3.668</v>
      </c>
    </row>
    <row r="1298" customFormat="false" ht="15" hidden="false" customHeight="true" outlineLevel="0" collapsed="false">
      <c r="A1298" s="12" t="s">
        <v>486</v>
      </c>
      <c r="B1298" s="13"/>
      <c r="C1298" s="13"/>
      <c r="D1298" s="13"/>
      <c r="E1298" s="13"/>
      <c r="F1298" s="14" t="s">
        <v>485</v>
      </c>
      <c r="G1298" s="13"/>
      <c r="H1298" s="15"/>
    </row>
    <row r="1299" customFormat="false" ht="15" hidden="false" customHeight="true" outlineLevel="0" collapsed="false">
      <c r="A1299" s="16" t="s">
        <v>316</v>
      </c>
      <c r="B1299" s="16" t="s">
        <v>317</v>
      </c>
      <c r="C1299" s="16" t="s">
        <v>318</v>
      </c>
      <c r="D1299" s="16" t="s">
        <v>4</v>
      </c>
      <c r="E1299" s="16" t="s">
        <v>319</v>
      </c>
      <c r="F1299" s="16" t="s">
        <v>320</v>
      </c>
      <c r="G1299" s="16" t="s">
        <v>321</v>
      </c>
      <c r="H1299" s="16" t="s">
        <v>322</v>
      </c>
    </row>
    <row r="1300" customFormat="false" ht="15" hidden="false" customHeight="true" outlineLevel="0" collapsed="false">
      <c r="A1300" s="17" t="s">
        <v>226</v>
      </c>
      <c r="B1300" s="18" t="str">
        <f aca="false">IFERROR(VLOOKUP(A1300,NOMENCLATOR!$A:$E,2,0),"")</f>
        <v>PLACINTA MAR CARAMEL. 70G</v>
      </c>
      <c r="C1300" s="19" t="n">
        <v>1</v>
      </c>
      <c r="D1300" s="20" t="str">
        <f aca="false">IFERROR(VLOOKUP(A1300,NOMENCLATOR!$A:$E,3,0),"")</f>
        <v>EA</v>
      </c>
      <c r="E1300" s="21" t="n">
        <f aca="false">IFERROR(VLOOKUP(A1300,NOMENCLATOR!$A:$E,4,0),"")</f>
        <v>1.543</v>
      </c>
      <c r="F1300" s="21" t="n">
        <f aca="false">IF(OR(C1300="",E1300=""),"",C1300*E1300)</f>
        <v>1.543</v>
      </c>
      <c r="G1300" s="22" t="n">
        <f aca="false">IFERROR(VLOOKUP(A1300,NOMENCLATOR!$A:$E,5,0),"")</f>
        <v>1.543</v>
      </c>
      <c r="H1300" s="22" t="n">
        <f aca="false">IF(OR(C1300="",G1300=""),"",C1300*G1300)</f>
        <v>1.543</v>
      </c>
    </row>
    <row r="1301" customFormat="false" ht="15" hidden="false" customHeight="true" outlineLevel="0" collapsed="false">
      <c r="A1301" s="17" t="s">
        <v>300</v>
      </c>
      <c r="B1301" s="18" t="str">
        <f aca="false">IFERROR(VLOOKUP(A1301,NOMENCLATOR!$A:$E,2,0),"")</f>
        <v>Ulei de alune</v>
      </c>
      <c r="C1301" s="19" t="n">
        <v>50</v>
      </c>
      <c r="D1301" s="20" t="str">
        <f aca="false">IFERROR(VLOOKUP(A1301,NOMENCLATOR!$A:$E,3,0),"")</f>
        <v>ML</v>
      </c>
      <c r="E1301" s="21" t="n">
        <f aca="false">IFERROR(VLOOKUP(A1301,NOMENCLATOR!$A:$E,4,0),"")</f>
        <v>0.0169</v>
      </c>
      <c r="F1301" s="21" t="n">
        <f aca="false">IF(OR(C1301="",E1301=""),"",C1301*E1301)</f>
        <v>0.845</v>
      </c>
      <c r="G1301" s="22" t="n">
        <f aca="false">IFERROR(VLOOKUP(A1301,NOMENCLATOR!$A:$E,5,0),"")</f>
        <v>0.0169</v>
      </c>
      <c r="H1301" s="22" t="n">
        <f aca="false">IF(OR(C1301="",G1301=""),"",C1301*G1301)</f>
        <v>0.845</v>
      </c>
    </row>
    <row r="1302" customFormat="false" ht="15" hidden="false" customHeight="true" outlineLevel="0" collapsed="false">
      <c r="A1302" s="17" t="s">
        <v>110</v>
      </c>
      <c r="B1302" s="18" t="str">
        <f aca="false">IFERROR(VLOOKUP(A1302,NOMENCLATOR!$A:$E,2,0),"")</f>
        <v>CUTIE CARTON FRYPIE APPLE TOFFEFE FRYDAY</v>
      </c>
      <c r="C1302" s="19" t="n">
        <v>1</v>
      </c>
      <c r="D1302" s="20" t="str">
        <f aca="false">IFERROR(VLOOKUP(A1302,NOMENCLATOR!$A:$E,3,0),"")</f>
        <v>EA</v>
      </c>
      <c r="E1302" s="21" t="n">
        <f aca="false">IFERROR(VLOOKUP(A1302,NOMENCLATOR!$A:$E,4,0),"")</f>
        <v>1.28</v>
      </c>
      <c r="F1302" s="21" t="n">
        <f aca="false">IF(OR(C1302="",E1302=""),"",C1302*E1302)</f>
        <v>1.28</v>
      </c>
      <c r="G1302" s="22" t="n">
        <f aca="false">IFERROR(VLOOKUP(A1302,NOMENCLATOR!$A:$E,5,0),"")</f>
        <v>1.28</v>
      </c>
      <c r="H1302" s="22" t="n">
        <f aca="false">IF(OR(C1302="",G1302=""),"",C1302*G1302)</f>
        <v>1.28</v>
      </c>
    </row>
    <row r="1303" customFormat="false" ht="15" hidden="false" customHeight="true" outlineLevel="0" collapsed="false">
      <c r="A1303" s="23" t="str">
        <f aca="false">IF(A1298="","",A1298)</f>
        <v>APPLE TOFFEE FRYPIE D</v>
      </c>
      <c r="B1303" s="24"/>
      <c r="C1303" s="24"/>
      <c r="D1303" s="24"/>
      <c r="E1303" s="24"/>
      <c r="F1303" s="25" t="n">
        <f aca="false">IF(A1298="","",SUM(F1300:F1302))</f>
        <v>3.668</v>
      </c>
      <c r="G1303" s="24"/>
      <c r="H1303" s="26" t="n">
        <f aca="false">IF(A1298="","",SUM(H1300:H1302))</f>
        <v>3.668</v>
      </c>
    </row>
    <row r="1305" customFormat="false" ht="15" hidden="false" customHeight="true" outlineLevel="0" collapsed="false">
      <c r="A1305" s="12" t="s">
        <v>487</v>
      </c>
      <c r="B1305" s="13"/>
      <c r="C1305" s="13"/>
      <c r="D1305" s="13"/>
      <c r="E1305" s="13"/>
      <c r="F1305" s="14" t="s">
        <v>485</v>
      </c>
      <c r="G1305" s="13"/>
      <c r="H1305" s="15"/>
    </row>
    <row r="1306" customFormat="false" ht="15" hidden="false" customHeight="true" outlineLevel="0" collapsed="false">
      <c r="A1306" s="16" t="s">
        <v>316</v>
      </c>
      <c r="B1306" s="16" t="s">
        <v>317</v>
      </c>
      <c r="C1306" s="16" t="s">
        <v>318</v>
      </c>
      <c r="D1306" s="16" t="s">
        <v>4</v>
      </c>
      <c r="E1306" s="16" t="s">
        <v>319</v>
      </c>
      <c r="F1306" s="16" t="s">
        <v>320</v>
      </c>
      <c r="G1306" s="16" t="s">
        <v>321</v>
      </c>
      <c r="H1306" s="16" t="s">
        <v>322</v>
      </c>
    </row>
    <row r="1307" customFormat="false" ht="15" hidden="false" customHeight="true" outlineLevel="0" collapsed="false">
      <c r="A1307" s="17" t="s">
        <v>98</v>
      </c>
      <c r="B1307" s="18" t="str">
        <f aca="false">IFERROR(VLOOKUP(A1307,NOMENCLATOR!$A:$E,2,0),"")</f>
        <v>CHIFLA CARTOF 3.5inch 53G x 72</v>
      </c>
      <c r="C1307" s="19" t="n">
        <v>1</v>
      </c>
      <c r="D1307" s="20" t="str">
        <f aca="false">IFERROR(VLOOKUP(A1307,NOMENCLATOR!$A:$E,3,0),"")</f>
        <v>EA</v>
      </c>
      <c r="E1307" s="21" t="n">
        <f aca="false">IFERROR(VLOOKUP(A1307,NOMENCLATOR!$A:$E,4,0),"")</f>
        <v>2.4</v>
      </c>
      <c r="F1307" s="21" t="n">
        <f aca="false">IF(OR(C1307="",E1307=""),"",C1307*E1307)</f>
        <v>2.4</v>
      </c>
      <c r="G1307" s="22" t="n">
        <f aca="false">IFERROR(VLOOKUP(A1307,NOMENCLATOR!$A:$E,5,0),"")</f>
        <v>2.4</v>
      </c>
      <c r="H1307" s="22" t="n">
        <f aca="false">IF(OR(C1307="",G1307=""),"",C1307*G1307)</f>
        <v>2.4</v>
      </c>
    </row>
    <row r="1308" customFormat="false" ht="15" hidden="false" customHeight="true" outlineLevel="0" collapsed="false">
      <c r="A1308" s="17" t="s">
        <v>178</v>
      </c>
      <c r="B1308" s="18" t="str">
        <f aca="false">IFERROR(VLOOKUP(A1308,NOMENCLATOR!$A:$E,2,0),"")</f>
        <v>Nutella (raw)</v>
      </c>
      <c r="C1308" s="19" t="n">
        <v>35</v>
      </c>
      <c r="D1308" s="20" t="str">
        <f aca="false">IFERROR(VLOOKUP(A1308,NOMENCLATOR!$A:$E,3,0),"")</f>
        <v>GM</v>
      </c>
      <c r="E1308" s="21" t="n">
        <f aca="false">IFERROR(VLOOKUP(A1308,NOMENCLATOR!$A:$E,4,0),"")</f>
        <v>0.03666</v>
      </c>
      <c r="F1308" s="21" t="n">
        <f aca="false">IF(OR(C1308="",E1308=""),"",C1308*E1308)</f>
        <v>1.2831</v>
      </c>
      <c r="G1308" s="22" t="n">
        <f aca="false">IFERROR(VLOOKUP(A1308,NOMENCLATOR!$A:$E,5,0),"")</f>
        <v>0.03666</v>
      </c>
      <c r="H1308" s="22" t="n">
        <f aca="false">IF(OR(C1308="",G1308=""),"",C1308*G1308)</f>
        <v>1.2831</v>
      </c>
    </row>
    <row r="1309" customFormat="false" ht="15" hidden="false" customHeight="true" outlineLevel="0" collapsed="false">
      <c r="A1309" s="17" t="s">
        <v>134</v>
      </c>
      <c r="B1309" s="18" t="str">
        <f aca="false">IFERROR(VLOOKUP(A1309,NOMENCLATOR!$A:$E,2,0),"")</f>
        <v>Hartie Burger Fryday</v>
      </c>
      <c r="C1309" s="19" t="n">
        <v>1</v>
      </c>
      <c r="D1309" s="20" t="str">
        <f aca="false">IFERROR(VLOOKUP(A1309,NOMENCLATOR!$A:$E,3,0),"")</f>
        <v>EA</v>
      </c>
      <c r="E1309" s="21" t="n">
        <f aca="false">IFERROR(VLOOKUP(A1309,NOMENCLATOR!$A:$E,4,0),"")</f>
        <v>0.115</v>
      </c>
      <c r="F1309" s="21" t="n">
        <f aca="false">IF(OR(C1309="",E1309=""),"",C1309*E1309)</f>
        <v>0.115</v>
      </c>
      <c r="G1309" s="22" t="n">
        <f aca="false">IFERROR(VLOOKUP(A1309,NOMENCLATOR!$A:$E,5,0),"")</f>
        <v>0.115</v>
      </c>
      <c r="H1309" s="22" t="n">
        <f aca="false">IF(OR(C1309="",G1309=""),"",C1309*G1309)</f>
        <v>0.115</v>
      </c>
    </row>
    <row r="1310" customFormat="false" ht="15" hidden="false" customHeight="true" outlineLevel="0" collapsed="false">
      <c r="A1310" s="23" t="str">
        <f aca="false">IF(A1305="","",A1305)</f>
        <v>Nutella Burger NEW</v>
      </c>
      <c r="B1310" s="24"/>
      <c r="C1310" s="24"/>
      <c r="D1310" s="24"/>
      <c r="E1310" s="24"/>
      <c r="F1310" s="25" t="n">
        <f aca="false">IF(A1305="","",SUM(F1307:F1309))</f>
        <v>3.7981</v>
      </c>
      <c r="G1310" s="24"/>
      <c r="H1310" s="26" t="n">
        <f aca="false">IF(A1305="","",SUM(H1307:H1309))</f>
        <v>3.7981</v>
      </c>
    </row>
    <row r="1312" customFormat="false" ht="15" hidden="false" customHeight="true" outlineLevel="0" collapsed="false">
      <c r="A1312" s="12" t="s">
        <v>488</v>
      </c>
      <c r="B1312" s="13"/>
      <c r="C1312" s="13"/>
      <c r="D1312" s="13"/>
      <c r="E1312" s="13"/>
      <c r="F1312" s="14" t="s">
        <v>485</v>
      </c>
      <c r="G1312" s="13"/>
      <c r="H1312" s="15"/>
    </row>
    <row r="1313" customFormat="false" ht="15" hidden="false" customHeight="true" outlineLevel="0" collapsed="false">
      <c r="A1313" s="16" t="s">
        <v>316</v>
      </c>
      <c r="B1313" s="16" t="s">
        <v>317</v>
      </c>
      <c r="C1313" s="16" t="s">
        <v>318</v>
      </c>
      <c r="D1313" s="16" t="s">
        <v>4</v>
      </c>
      <c r="E1313" s="16" t="s">
        <v>319</v>
      </c>
      <c r="F1313" s="16" t="s">
        <v>320</v>
      </c>
      <c r="G1313" s="16" t="s">
        <v>321</v>
      </c>
      <c r="H1313" s="16" t="s">
        <v>322</v>
      </c>
    </row>
    <row r="1314" customFormat="false" ht="15" hidden="false" customHeight="true" outlineLevel="0" collapsed="false">
      <c r="A1314" s="17" t="s">
        <v>98</v>
      </c>
      <c r="B1314" s="18" t="str">
        <f aca="false">IFERROR(VLOOKUP(A1314,NOMENCLATOR!$A:$E,2,0),"")</f>
        <v>CHIFLA CARTOF 3.5inch 53G x 72</v>
      </c>
      <c r="C1314" s="19" t="n">
        <v>1</v>
      </c>
      <c r="D1314" s="20" t="str">
        <f aca="false">IFERROR(VLOOKUP(A1314,NOMENCLATOR!$A:$E,3,0),"")</f>
        <v>EA</v>
      </c>
      <c r="E1314" s="21" t="n">
        <f aca="false">IFERROR(VLOOKUP(A1314,NOMENCLATOR!$A:$E,4,0),"")</f>
        <v>2.4</v>
      </c>
      <c r="F1314" s="21" t="n">
        <f aca="false">IF(OR(C1314="",E1314=""),"",C1314*E1314)</f>
        <v>2.4</v>
      </c>
      <c r="G1314" s="22" t="n">
        <f aca="false">IFERROR(VLOOKUP(A1314,NOMENCLATOR!$A:$E,5,0),"")</f>
        <v>2.4</v>
      </c>
      <c r="H1314" s="22" t="n">
        <f aca="false">IF(OR(C1314="",G1314=""),"",C1314*G1314)</f>
        <v>2.4</v>
      </c>
    </row>
    <row r="1315" customFormat="false" ht="15" hidden="false" customHeight="true" outlineLevel="0" collapsed="false">
      <c r="A1315" s="17" t="s">
        <v>178</v>
      </c>
      <c r="B1315" s="18" t="str">
        <f aca="false">IFERROR(VLOOKUP(A1315,NOMENCLATOR!$A:$E,2,0),"")</f>
        <v>Nutella (raw)</v>
      </c>
      <c r="C1315" s="19" t="n">
        <v>35</v>
      </c>
      <c r="D1315" s="20" t="str">
        <f aca="false">IFERROR(VLOOKUP(A1315,NOMENCLATOR!$A:$E,3,0),"")</f>
        <v>GM</v>
      </c>
      <c r="E1315" s="21" t="n">
        <f aca="false">IFERROR(VLOOKUP(A1315,NOMENCLATOR!$A:$E,4,0),"")</f>
        <v>0.03666</v>
      </c>
      <c r="F1315" s="21" t="n">
        <f aca="false">IF(OR(C1315="",E1315=""),"",C1315*E1315)</f>
        <v>1.2831</v>
      </c>
      <c r="G1315" s="22" t="n">
        <f aca="false">IFERROR(VLOOKUP(A1315,NOMENCLATOR!$A:$E,5,0),"")</f>
        <v>0.03666</v>
      </c>
      <c r="H1315" s="22" t="n">
        <f aca="false">IF(OR(C1315="",G1315=""),"",C1315*G1315)</f>
        <v>1.2831</v>
      </c>
    </row>
    <row r="1316" customFormat="false" ht="15" hidden="false" customHeight="true" outlineLevel="0" collapsed="false">
      <c r="A1316" s="17" t="s">
        <v>134</v>
      </c>
      <c r="B1316" s="18" t="str">
        <f aca="false">IFERROR(VLOOKUP(A1316,NOMENCLATOR!$A:$E,2,0),"")</f>
        <v>Hartie Burger Fryday</v>
      </c>
      <c r="C1316" s="19" t="n">
        <v>1</v>
      </c>
      <c r="D1316" s="20" t="str">
        <f aca="false">IFERROR(VLOOKUP(A1316,NOMENCLATOR!$A:$E,3,0),"")</f>
        <v>EA</v>
      </c>
      <c r="E1316" s="21" t="n">
        <f aca="false">IFERROR(VLOOKUP(A1316,NOMENCLATOR!$A:$E,4,0),"")</f>
        <v>0.115</v>
      </c>
      <c r="F1316" s="21" t="n">
        <f aca="false">IF(OR(C1316="",E1316=""),"",C1316*E1316)</f>
        <v>0.115</v>
      </c>
      <c r="G1316" s="22" t="n">
        <f aca="false">IFERROR(VLOOKUP(A1316,NOMENCLATOR!$A:$E,5,0),"")</f>
        <v>0.115</v>
      </c>
      <c r="H1316" s="22" t="n">
        <f aca="false">IF(OR(C1316="",G1316=""),"",C1316*G1316)</f>
        <v>0.115</v>
      </c>
    </row>
    <row r="1317" customFormat="false" ht="15" hidden="false" customHeight="true" outlineLevel="0" collapsed="false">
      <c r="A1317" s="23" t="str">
        <f aca="false">IF(A1312="","",A1312)</f>
        <v>Nutella Burger NEW D</v>
      </c>
      <c r="B1317" s="24"/>
      <c r="C1317" s="24"/>
      <c r="D1317" s="24"/>
      <c r="E1317" s="24"/>
      <c r="F1317" s="25" t="n">
        <f aca="false">IF(A1312="","",SUM(F1314:F1316))</f>
        <v>3.7981</v>
      </c>
      <c r="G1317" s="24"/>
      <c r="H1317" s="26" t="n">
        <f aca="false">IF(A1312="","",SUM(H1314:H1316))</f>
        <v>3.7981</v>
      </c>
    </row>
    <row r="1319" customFormat="false" ht="15" hidden="false" customHeight="true" outlineLevel="0" collapsed="false">
      <c r="A1319" s="12" t="s">
        <v>489</v>
      </c>
      <c r="B1319" s="13"/>
      <c r="C1319" s="13"/>
      <c r="D1319" s="13"/>
      <c r="E1319" s="13"/>
      <c r="F1319" s="14" t="s">
        <v>485</v>
      </c>
      <c r="G1319" s="13"/>
      <c r="H1319" s="15"/>
    </row>
    <row r="1320" customFormat="false" ht="15" hidden="false" customHeight="true" outlineLevel="0" collapsed="false">
      <c r="A1320" s="16" t="s">
        <v>316</v>
      </c>
      <c r="B1320" s="16" t="s">
        <v>317</v>
      </c>
      <c r="C1320" s="16" t="s">
        <v>318</v>
      </c>
      <c r="D1320" s="16" t="s">
        <v>4</v>
      </c>
      <c r="E1320" s="16" t="s">
        <v>319</v>
      </c>
      <c r="F1320" s="16" t="s">
        <v>320</v>
      </c>
      <c r="G1320" s="16" t="s">
        <v>321</v>
      </c>
      <c r="H1320" s="16" t="s">
        <v>322</v>
      </c>
    </row>
    <row r="1321" customFormat="false" ht="15" hidden="false" customHeight="true" outlineLevel="0" collapsed="false">
      <c r="A1321" s="17" t="s">
        <v>98</v>
      </c>
      <c r="B1321" s="18" t="str">
        <f aca="false">IFERROR(VLOOKUP(A1321,NOMENCLATOR!$A:$E,2,0),"")</f>
        <v>CHIFLA CARTOF 3.5inch 53G x 72</v>
      </c>
      <c r="C1321" s="19" t="n">
        <v>1</v>
      </c>
      <c r="D1321" s="20" t="str">
        <f aca="false">IFERROR(VLOOKUP(A1321,NOMENCLATOR!$A:$E,3,0),"")</f>
        <v>EA</v>
      </c>
      <c r="E1321" s="21" t="n">
        <f aca="false">IFERROR(VLOOKUP(A1321,NOMENCLATOR!$A:$E,4,0),"")</f>
        <v>2.4</v>
      </c>
      <c r="F1321" s="21" t="n">
        <f aca="false">IF(OR(C1321="",E1321=""),"",C1321*E1321)</f>
        <v>2.4</v>
      </c>
      <c r="G1321" s="22" t="n">
        <f aca="false">IFERROR(VLOOKUP(A1321,NOMENCLATOR!$A:$E,5,0),"")</f>
        <v>2.4</v>
      </c>
      <c r="H1321" s="22" t="n">
        <f aca="false">IF(OR(C1321="",G1321=""),"",C1321*G1321)</f>
        <v>2.4</v>
      </c>
    </row>
    <row r="1322" customFormat="false" ht="15" hidden="false" customHeight="true" outlineLevel="0" collapsed="false">
      <c r="A1322" s="17" t="s">
        <v>178</v>
      </c>
      <c r="B1322" s="18" t="str">
        <f aca="false">IFERROR(VLOOKUP(A1322,NOMENCLATOR!$A:$E,2,0),"")</f>
        <v>Nutella (raw)</v>
      </c>
      <c r="C1322" s="19" t="n">
        <v>35</v>
      </c>
      <c r="D1322" s="20" t="str">
        <f aca="false">IFERROR(VLOOKUP(A1322,NOMENCLATOR!$A:$E,3,0),"")</f>
        <v>GM</v>
      </c>
      <c r="E1322" s="21" t="n">
        <f aca="false">IFERROR(VLOOKUP(A1322,NOMENCLATOR!$A:$E,4,0),"")</f>
        <v>0.03666</v>
      </c>
      <c r="F1322" s="21" t="n">
        <f aca="false">IF(OR(C1322="",E1322=""),"",C1322*E1322)</f>
        <v>1.2831</v>
      </c>
      <c r="G1322" s="22" t="n">
        <f aca="false">IFERROR(VLOOKUP(A1322,NOMENCLATOR!$A:$E,5,0),"")</f>
        <v>0.03666</v>
      </c>
      <c r="H1322" s="22" t="n">
        <f aca="false">IF(OR(C1322="",G1322=""),"",C1322*G1322)</f>
        <v>1.2831</v>
      </c>
    </row>
    <row r="1323" customFormat="false" ht="15" hidden="false" customHeight="true" outlineLevel="0" collapsed="false">
      <c r="A1323" s="17" t="s">
        <v>134</v>
      </c>
      <c r="B1323" s="18" t="str">
        <f aca="false">IFERROR(VLOOKUP(A1323,NOMENCLATOR!$A:$E,2,0),"")</f>
        <v>Hartie Burger Fryday</v>
      </c>
      <c r="C1323" s="19" t="n">
        <v>1</v>
      </c>
      <c r="D1323" s="20" t="str">
        <f aca="false">IFERROR(VLOOKUP(A1323,NOMENCLATOR!$A:$E,3,0),"")</f>
        <v>EA</v>
      </c>
      <c r="E1323" s="21" t="n">
        <f aca="false">IFERROR(VLOOKUP(A1323,NOMENCLATOR!$A:$E,4,0),"")</f>
        <v>0.115</v>
      </c>
      <c r="F1323" s="21" t="n">
        <f aca="false">IF(OR(C1323="",E1323=""),"",C1323*E1323)</f>
        <v>0.115</v>
      </c>
      <c r="G1323" s="22" t="n">
        <f aca="false">IFERROR(VLOOKUP(A1323,NOMENCLATOR!$A:$E,5,0),"")</f>
        <v>0.115</v>
      </c>
      <c r="H1323" s="22" t="n">
        <f aca="false">IF(OR(C1323="",G1323=""),"",C1323*G1323)</f>
        <v>0.115</v>
      </c>
    </row>
    <row r="1324" customFormat="false" ht="15" hidden="false" customHeight="true" outlineLevel="0" collapsed="false">
      <c r="A1324" s="17" t="s">
        <v>74</v>
      </c>
      <c r="B1324" s="18" t="str">
        <f aca="false">IFERROR(VLOOKUP(A1324,NOMENCLATOR!$A:$E,2,0),"")</f>
        <v>BULINA CAPSUNI 2025</v>
      </c>
      <c r="C1324" s="19" t="n">
        <v>1</v>
      </c>
      <c r="D1324" s="20" t="str">
        <f aca="false">IFERROR(VLOOKUP(A1324,NOMENCLATOR!$A:$E,3,0),"")</f>
        <v>EA</v>
      </c>
      <c r="E1324" s="21" t="n">
        <f aca="false">IFERROR(VLOOKUP(A1324,NOMENCLATOR!$A:$E,4,0),"")</f>
        <v>0.045</v>
      </c>
      <c r="F1324" s="21" t="n">
        <f aca="false">IF(OR(C1324="",E1324=""),"",C1324*E1324)</f>
        <v>0.045</v>
      </c>
      <c r="G1324" s="22" t="n">
        <f aca="false">IFERROR(VLOOKUP(A1324,NOMENCLATOR!$A:$E,5,0),"")</f>
        <v>0.045</v>
      </c>
      <c r="H1324" s="22" t="n">
        <f aca="false">IF(OR(C1324="",G1324=""),"",C1324*G1324)</f>
        <v>0.045</v>
      </c>
    </row>
    <row r="1325" customFormat="false" ht="15" hidden="false" customHeight="true" outlineLevel="0" collapsed="false">
      <c r="A1325" s="17" t="s">
        <v>308</v>
      </c>
      <c r="B1325" s="18" t="str">
        <f aca="false">IFERROR(VLOOKUP(A1325,NOMENCLATOR!$A:$E,2,0),"")</f>
        <v>Y-Capsuni Feliate</v>
      </c>
      <c r="C1325" s="19" t="n">
        <v>20</v>
      </c>
      <c r="D1325" s="20" t="str">
        <f aca="false">IFERROR(VLOOKUP(A1325,NOMENCLATOR!$A:$E,3,0),"")</f>
        <v>GM</v>
      </c>
      <c r="E1325" s="21" t="n">
        <f aca="false">IFERROR(VLOOKUP(A1325,NOMENCLATOR!$A:$E,4,0),"")</f>
        <v>0.034</v>
      </c>
      <c r="F1325" s="21" t="n">
        <f aca="false">IF(OR(C1325="",E1325=""),"",C1325*E1325)</f>
        <v>0.68</v>
      </c>
      <c r="G1325" s="22" t="n">
        <f aca="false">IFERROR(VLOOKUP(A1325,NOMENCLATOR!$A:$E,5,0),"")</f>
        <v>0.034</v>
      </c>
      <c r="H1325" s="22" t="n">
        <f aca="false">IF(OR(C1325="",G1325=""),"",C1325*G1325)</f>
        <v>0.68</v>
      </c>
    </row>
    <row r="1326" customFormat="false" ht="15" hidden="false" customHeight="true" outlineLevel="0" collapsed="false">
      <c r="A1326" s="23" t="str">
        <f aca="false">IF(A1319="","",A1319)</f>
        <v>Nutella Burger Capsuni NEW</v>
      </c>
      <c r="B1326" s="24"/>
      <c r="C1326" s="24"/>
      <c r="D1326" s="24"/>
      <c r="E1326" s="24"/>
      <c r="F1326" s="25" t="n">
        <f aca="false">IF(A1319="","",SUM(F1321:F1325))</f>
        <v>4.5231</v>
      </c>
      <c r="G1326" s="24"/>
      <c r="H1326" s="26" t="n">
        <f aca="false">IF(A1319="","",SUM(H1321:H1325))</f>
        <v>4.5231</v>
      </c>
    </row>
    <row r="1328" customFormat="false" ht="15" hidden="false" customHeight="true" outlineLevel="0" collapsed="false">
      <c r="A1328" s="12" t="s">
        <v>490</v>
      </c>
      <c r="B1328" s="13"/>
      <c r="C1328" s="13"/>
      <c r="D1328" s="13"/>
      <c r="E1328" s="13"/>
      <c r="F1328" s="14" t="s">
        <v>485</v>
      </c>
      <c r="G1328" s="13"/>
      <c r="H1328" s="15"/>
    </row>
    <row r="1329" customFormat="false" ht="15" hidden="false" customHeight="true" outlineLevel="0" collapsed="false">
      <c r="A1329" s="16" t="s">
        <v>316</v>
      </c>
      <c r="B1329" s="16" t="s">
        <v>317</v>
      </c>
      <c r="C1329" s="16" t="s">
        <v>318</v>
      </c>
      <c r="D1329" s="16" t="s">
        <v>4</v>
      </c>
      <c r="E1329" s="16" t="s">
        <v>319</v>
      </c>
      <c r="F1329" s="16" t="s">
        <v>320</v>
      </c>
      <c r="G1329" s="16" t="s">
        <v>321</v>
      </c>
      <c r="H1329" s="16" t="s">
        <v>322</v>
      </c>
    </row>
    <row r="1330" customFormat="false" ht="15" hidden="false" customHeight="true" outlineLevel="0" collapsed="false">
      <c r="A1330" s="17" t="s">
        <v>98</v>
      </c>
      <c r="B1330" s="18" t="str">
        <f aca="false">IFERROR(VLOOKUP(A1330,NOMENCLATOR!$A:$E,2,0),"")</f>
        <v>CHIFLA CARTOF 3.5inch 53G x 72</v>
      </c>
      <c r="C1330" s="19" t="n">
        <v>1</v>
      </c>
      <c r="D1330" s="20" t="str">
        <f aca="false">IFERROR(VLOOKUP(A1330,NOMENCLATOR!$A:$E,3,0),"")</f>
        <v>EA</v>
      </c>
      <c r="E1330" s="21" t="n">
        <f aca="false">IFERROR(VLOOKUP(A1330,NOMENCLATOR!$A:$E,4,0),"")</f>
        <v>2.4</v>
      </c>
      <c r="F1330" s="21" t="n">
        <f aca="false">IF(OR(C1330="",E1330=""),"",C1330*E1330)</f>
        <v>2.4</v>
      </c>
      <c r="G1330" s="22" t="n">
        <f aca="false">IFERROR(VLOOKUP(A1330,NOMENCLATOR!$A:$E,5,0),"")</f>
        <v>2.4</v>
      </c>
      <c r="H1330" s="22" t="n">
        <f aca="false">IF(OR(C1330="",G1330=""),"",C1330*G1330)</f>
        <v>2.4</v>
      </c>
    </row>
    <row r="1331" customFormat="false" ht="15" hidden="false" customHeight="true" outlineLevel="0" collapsed="false">
      <c r="A1331" s="17" t="s">
        <v>178</v>
      </c>
      <c r="B1331" s="18" t="str">
        <f aca="false">IFERROR(VLOOKUP(A1331,NOMENCLATOR!$A:$E,2,0),"")</f>
        <v>Nutella (raw)</v>
      </c>
      <c r="C1331" s="19" t="n">
        <v>35</v>
      </c>
      <c r="D1331" s="20" t="str">
        <f aca="false">IFERROR(VLOOKUP(A1331,NOMENCLATOR!$A:$E,3,0),"")</f>
        <v>GM</v>
      </c>
      <c r="E1331" s="21" t="n">
        <f aca="false">IFERROR(VLOOKUP(A1331,NOMENCLATOR!$A:$E,4,0),"")</f>
        <v>0.03666</v>
      </c>
      <c r="F1331" s="21" t="n">
        <f aca="false">IF(OR(C1331="",E1331=""),"",C1331*E1331)</f>
        <v>1.2831</v>
      </c>
      <c r="G1331" s="22" t="n">
        <f aca="false">IFERROR(VLOOKUP(A1331,NOMENCLATOR!$A:$E,5,0),"")</f>
        <v>0.03666</v>
      </c>
      <c r="H1331" s="22" t="n">
        <f aca="false">IF(OR(C1331="",G1331=""),"",C1331*G1331)</f>
        <v>1.2831</v>
      </c>
    </row>
    <row r="1332" customFormat="false" ht="15" hidden="false" customHeight="true" outlineLevel="0" collapsed="false">
      <c r="A1332" s="17" t="s">
        <v>134</v>
      </c>
      <c r="B1332" s="18" t="str">
        <f aca="false">IFERROR(VLOOKUP(A1332,NOMENCLATOR!$A:$E,2,0),"")</f>
        <v>Hartie Burger Fryday</v>
      </c>
      <c r="C1332" s="19" t="n">
        <v>1</v>
      </c>
      <c r="D1332" s="20" t="str">
        <f aca="false">IFERROR(VLOOKUP(A1332,NOMENCLATOR!$A:$E,3,0),"")</f>
        <v>EA</v>
      </c>
      <c r="E1332" s="21" t="n">
        <f aca="false">IFERROR(VLOOKUP(A1332,NOMENCLATOR!$A:$E,4,0),"")</f>
        <v>0.115</v>
      </c>
      <c r="F1332" s="21" t="n">
        <f aca="false">IF(OR(C1332="",E1332=""),"",C1332*E1332)</f>
        <v>0.115</v>
      </c>
      <c r="G1332" s="22" t="n">
        <f aca="false">IFERROR(VLOOKUP(A1332,NOMENCLATOR!$A:$E,5,0),"")</f>
        <v>0.115</v>
      </c>
      <c r="H1332" s="22" t="n">
        <f aca="false">IF(OR(C1332="",G1332=""),"",C1332*G1332)</f>
        <v>0.115</v>
      </c>
    </row>
    <row r="1333" customFormat="false" ht="15" hidden="false" customHeight="true" outlineLevel="0" collapsed="false">
      <c r="A1333" s="17" t="s">
        <v>74</v>
      </c>
      <c r="B1333" s="18" t="str">
        <f aca="false">IFERROR(VLOOKUP(A1333,NOMENCLATOR!$A:$E,2,0),"")</f>
        <v>BULINA CAPSUNI 2025</v>
      </c>
      <c r="C1333" s="19" t="n">
        <v>1</v>
      </c>
      <c r="D1333" s="20" t="str">
        <f aca="false">IFERROR(VLOOKUP(A1333,NOMENCLATOR!$A:$E,3,0),"")</f>
        <v>EA</v>
      </c>
      <c r="E1333" s="21" t="n">
        <f aca="false">IFERROR(VLOOKUP(A1333,NOMENCLATOR!$A:$E,4,0),"")</f>
        <v>0.045</v>
      </c>
      <c r="F1333" s="21" t="n">
        <f aca="false">IF(OR(C1333="",E1333=""),"",C1333*E1333)</f>
        <v>0.045</v>
      </c>
      <c r="G1333" s="22" t="n">
        <f aca="false">IFERROR(VLOOKUP(A1333,NOMENCLATOR!$A:$E,5,0),"")</f>
        <v>0.045</v>
      </c>
      <c r="H1333" s="22" t="n">
        <f aca="false">IF(OR(C1333="",G1333=""),"",C1333*G1333)</f>
        <v>0.045</v>
      </c>
    </row>
    <row r="1334" customFormat="false" ht="15" hidden="false" customHeight="true" outlineLevel="0" collapsed="false">
      <c r="A1334" s="17" t="s">
        <v>308</v>
      </c>
      <c r="B1334" s="18" t="str">
        <f aca="false">IFERROR(VLOOKUP(A1334,NOMENCLATOR!$A:$E,2,0),"")</f>
        <v>Y-Capsuni Feliate</v>
      </c>
      <c r="C1334" s="19" t="n">
        <v>20</v>
      </c>
      <c r="D1334" s="20" t="str">
        <f aca="false">IFERROR(VLOOKUP(A1334,NOMENCLATOR!$A:$E,3,0),"")</f>
        <v>GM</v>
      </c>
      <c r="E1334" s="21" t="n">
        <f aca="false">IFERROR(VLOOKUP(A1334,NOMENCLATOR!$A:$E,4,0),"")</f>
        <v>0.034</v>
      </c>
      <c r="F1334" s="21" t="n">
        <f aca="false">IF(OR(C1334="",E1334=""),"",C1334*E1334)</f>
        <v>0.68</v>
      </c>
      <c r="G1334" s="22" t="n">
        <f aca="false">IFERROR(VLOOKUP(A1334,NOMENCLATOR!$A:$E,5,0),"")</f>
        <v>0.034</v>
      </c>
      <c r="H1334" s="22" t="n">
        <f aca="false">IF(OR(C1334="",G1334=""),"",C1334*G1334)</f>
        <v>0.68</v>
      </c>
    </row>
    <row r="1335" customFormat="false" ht="15" hidden="false" customHeight="true" outlineLevel="0" collapsed="false">
      <c r="A1335" s="23" t="str">
        <f aca="false">IF(A1328="","",A1328)</f>
        <v>Nutella Burger Capsuni NEW D</v>
      </c>
      <c r="B1335" s="24"/>
      <c r="C1335" s="24"/>
      <c r="D1335" s="24"/>
      <c r="E1335" s="24"/>
      <c r="F1335" s="25" t="n">
        <f aca="false">IF(A1328="","",SUM(F1330:F1334))</f>
        <v>4.5231</v>
      </c>
      <c r="G1335" s="24"/>
      <c r="H1335" s="26" t="n">
        <f aca="false">IF(A1328="","",SUM(H1330:H1334))</f>
        <v>4.5231</v>
      </c>
    </row>
    <row r="1337" customFormat="false" ht="15" hidden="false" customHeight="true" outlineLevel="0" collapsed="false">
      <c r="A1337" s="12" t="s">
        <v>491</v>
      </c>
      <c r="B1337" s="13"/>
      <c r="C1337" s="13"/>
      <c r="D1337" s="13"/>
      <c r="E1337" s="13"/>
      <c r="F1337" s="14" t="s">
        <v>485</v>
      </c>
      <c r="G1337" s="13"/>
      <c r="H1337" s="15"/>
    </row>
    <row r="1338" customFormat="false" ht="15" hidden="false" customHeight="true" outlineLevel="0" collapsed="false">
      <c r="A1338" s="16" t="s">
        <v>316</v>
      </c>
      <c r="B1338" s="16" t="s">
        <v>317</v>
      </c>
      <c r="C1338" s="16" t="s">
        <v>318</v>
      </c>
      <c r="D1338" s="16" t="s">
        <v>4</v>
      </c>
      <c r="E1338" s="16" t="s">
        <v>319</v>
      </c>
      <c r="F1338" s="16" t="s">
        <v>320</v>
      </c>
      <c r="G1338" s="16" t="s">
        <v>321</v>
      </c>
      <c r="H1338" s="16" t="s">
        <v>322</v>
      </c>
    </row>
    <row r="1339" customFormat="false" ht="15" hidden="false" customHeight="true" outlineLevel="0" collapsed="false">
      <c r="A1339" s="17" t="s">
        <v>98</v>
      </c>
      <c r="B1339" s="18" t="str">
        <f aca="false">IFERROR(VLOOKUP(A1339,NOMENCLATOR!$A:$E,2,0),"")</f>
        <v>CHIFLA CARTOF 3.5inch 53G x 72</v>
      </c>
      <c r="C1339" s="19" t="n">
        <v>1</v>
      </c>
      <c r="D1339" s="20" t="str">
        <f aca="false">IFERROR(VLOOKUP(A1339,NOMENCLATOR!$A:$E,3,0),"")</f>
        <v>EA</v>
      </c>
      <c r="E1339" s="21" t="n">
        <f aca="false">IFERROR(VLOOKUP(A1339,NOMENCLATOR!$A:$E,4,0),"")</f>
        <v>2.4</v>
      </c>
      <c r="F1339" s="21" t="n">
        <f aca="false">IF(OR(C1339="",E1339=""),"",C1339*E1339)</f>
        <v>2.4</v>
      </c>
      <c r="G1339" s="22" t="n">
        <f aca="false">IFERROR(VLOOKUP(A1339,NOMENCLATOR!$A:$E,5,0),"")</f>
        <v>2.4</v>
      </c>
      <c r="H1339" s="22" t="n">
        <f aca="false">IF(OR(C1339="",G1339=""),"",C1339*G1339)</f>
        <v>2.4</v>
      </c>
    </row>
    <row r="1340" customFormat="false" ht="15" hidden="false" customHeight="true" outlineLevel="0" collapsed="false">
      <c r="A1340" s="17" t="s">
        <v>178</v>
      </c>
      <c r="B1340" s="18" t="str">
        <f aca="false">IFERROR(VLOOKUP(A1340,NOMENCLATOR!$A:$E,2,0),"")</f>
        <v>Nutella (raw)</v>
      </c>
      <c r="C1340" s="19" t="n">
        <v>35</v>
      </c>
      <c r="D1340" s="20" t="str">
        <f aca="false">IFERROR(VLOOKUP(A1340,NOMENCLATOR!$A:$E,3,0),"")</f>
        <v>GM</v>
      </c>
      <c r="E1340" s="21" t="n">
        <f aca="false">IFERROR(VLOOKUP(A1340,NOMENCLATOR!$A:$E,4,0),"")</f>
        <v>0.03666</v>
      </c>
      <c r="F1340" s="21" t="n">
        <f aca="false">IF(OR(C1340="",E1340=""),"",C1340*E1340)</f>
        <v>1.2831</v>
      </c>
      <c r="G1340" s="22" t="n">
        <f aca="false">IFERROR(VLOOKUP(A1340,NOMENCLATOR!$A:$E,5,0),"")</f>
        <v>0.03666</v>
      </c>
      <c r="H1340" s="22" t="n">
        <f aca="false">IF(OR(C1340="",G1340=""),"",C1340*G1340)</f>
        <v>1.2831</v>
      </c>
    </row>
    <row r="1341" customFormat="false" ht="15" hidden="false" customHeight="true" outlineLevel="0" collapsed="false">
      <c r="A1341" s="17" t="s">
        <v>134</v>
      </c>
      <c r="B1341" s="18" t="str">
        <f aca="false">IFERROR(VLOOKUP(A1341,NOMENCLATOR!$A:$E,2,0),"")</f>
        <v>Hartie Burger Fryday</v>
      </c>
      <c r="C1341" s="19" t="n">
        <v>1</v>
      </c>
      <c r="D1341" s="20" t="str">
        <f aca="false">IFERROR(VLOOKUP(A1341,NOMENCLATOR!$A:$E,3,0),"")</f>
        <v>EA</v>
      </c>
      <c r="E1341" s="21" t="n">
        <f aca="false">IFERROR(VLOOKUP(A1341,NOMENCLATOR!$A:$E,4,0),"")</f>
        <v>0.115</v>
      </c>
      <c r="F1341" s="21" t="n">
        <f aca="false">IF(OR(C1341="",E1341=""),"",C1341*E1341)</f>
        <v>0.115</v>
      </c>
      <c r="G1341" s="22" t="n">
        <f aca="false">IFERROR(VLOOKUP(A1341,NOMENCLATOR!$A:$E,5,0),"")</f>
        <v>0.115</v>
      </c>
      <c r="H1341" s="22" t="n">
        <f aca="false">IF(OR(C1341="",G1341=""),"",C1341*G1341)</f>
        <v>0.115</v>
      </c>
    </row>
    <row r="1342" customFormat="false" ht="15" hidden="false" customHeight="true" outlineLevel="0" collapsed="false">
      <c r="A1342" s="17" t="s">
        <v>306</v>
      </c>
      <c r="B1342" s="18" t="str">
        <f aca="false">IFERROR(VLOOKUP(A1342,NOMENCLATOR!$A:$E,2,0),"")</f>
        <v>Y-Banane Feliate</v>
      </c>
      <c r="C1342" s="19" t="n">
        <v>20</v>
      </c>
      <c r="D1342" s="20" t="str">
        <f aca="false">IFERROR(VLOOKUP(A1342,NOMENCLATOR!$A:$E,3,0),"")</f>
        <v>GM</v>
      </c>
      <c r="E1342" s="21" t="n">
        <f aca="false">IFERROR(VLOOKUP(A1342,NOMENCLATOR!$A:$E,4,0),"")</f>
        <v>0.014</v>
      </c>
      <c r="F1342" s="21" t="n">
        <f aca="false">IF(OR(C1342="",E1342=""),"",C1342*E1342)</f>
        <v>0.28</v>
      </c>
      <c r="G1342" s="22" t="n">
        <f aca="false">IFERROR(VLOOKUP(A1342,NOMENCLATOR!$A:$E,5,0),"")</f>
        <v>0.014</v>
      </c>
      <c r="H1342" s="22" t="n">
        <f aca="false">IF(OR(C1342="",G1342=""),"",C1342*G1342)</f>
        <v>0.28</v>
      </c>
    </row>
    <row r="1343" customFormat="false" ht="15" hidden="false" customHeight="true" outlineLevel="0" collapsed="false">
      <c r="A1343" s="17" t="s">
        <v>72</v>
      </c>
      <c r="B1343" s="18" t="str">
        <f aca="false">IFERROR(VLOOKUP(A1343,NOMENCLATOR!$A:$E,2,0),"")</f>
        <v>BULINA BANANE 2025</v>
      </c>
      <c r="C1343" s="19" t="n">
        <v>1</v>
      </c>
      <c r="D1343" s="20" t="str">
        <f aca="false">IFERROR(VLOOKUP(A1343,NOMENCLATOR!$A:$E,3,0),"")</f>
        <v>EA</v>
      </c>
      <c r="E1343" s="21" t="n">
        <f aca="false">IFERROR(VLOOKUP(A1343,NOMENCLATOR!$A:$E,4,0),"")</f>
        <v>0.045</v>
      </c>
      <c r="F1343" s="21" t="n">
        <f aca="false">IF(OR(C1343="",E1343=""),"",C1343*E1343)</f>
        <v>0.045</v>
      </c>
      <c r="G1343" s="22" t="n">
        <f aca="false">IFERROR(VLOOKUP(A1343,NOMENCLATOR!$A:$E,5,0),"")</f>
        <v>0.045</v>
      </c>
      <c r="H1343" s="22" t="n">
        <f aca="false">IF(OR(C1343="",G1343=""),"",C1343*G1343)</f>
        <v>0.045</v>
      </c>
    </row>
    <row r="1344" customFormat="false" ht="15" hidden="false" customHeight="true" outlineLevel="0" collapsed="false">
      <c r="A1344" s="23" t="str">
        <f aca="false">IF(A1337="","",A1337)</f>
        <v>Nutella Burger Banane NEW</v>
      </c>
      <c r="B1344" s="24"/>
      <c r="C1344" s="24"/>
      <c r="D1344" s="24"/>
      <c r="E1344" s="24"/>
      <c r="F1344" s="25" t="n">
        <f aca="false">IF(A1337="","",SUM(F1339:F1343))</f>
        <v>4.1231</v>
      </c>
      <c r="G1344" s="24"/>
      <c r="H1344" s="26" t="n">
        <f aca="false">IF(A1337="","",SUM(H1339:H1343))</f>
        <v>4.1231</v>
      </c>
    </row>
    <row r="1346" customFormat="false" ht="15" hidden="false" customHeight="true" outlineLevel="0" collapsed="false">
      <c r="A1346" s="12" t="s">
        <v>492</v>
      </c>
      <c r="B1346" s="13"/>
      <c r="C1346" s="13"/>
      <c r="D1346" s="13"/>
      <c r="E1346" s="13"/>
      <c r="F1346" s="14" t="s">
        <v>485</v>
      </c>
      <c r="G1346" s="13"/>
      <c r="H1346" s="15"/>
    </row>
    <row r="1347" customFormat="false" ht="15" hidden="false" customHeight="true" outlineLevel="0" collapsed="false">
      <c r="A1347" s="16" t="s">
        <v>316</v>
      </c>
      <c r="B1347" s="16" t="s">
        <v>317</v>
      </c>
      <c r="C1347" s="16" t="s">
        <v>318</v>
      </c>
      <c r="D1347" s="16" t="s">
        <v>4</v>
      </c>
      <c r="E1347" s="16" t="s">
        <v>319</v>
      </c>
      <c r="F1347" s="16" t="s">
        <v>320</v>
      </c>
      <c r="G1347" s="16" t="s">
        <v>321</v>
      </c>
      <c r="H1347" s="16" t="s">
        <v>322</v>
      </c>
    </row>
    <row r="1348" customFormat="false" ht="15" hidden="false" customHeight="true" outlineLevel="0" collapsed="false">
      <c r="A1348" s="17" t="s">
        <v>98</v>
      </c>
      <c r="B1348" s="18" t="str">
        <f aca="false">IFERROR(VLOOKUP(A1348,NOMENCLATOR!$A:$E,2,0),"")</f>
        <v>CHIFLA CARTOF 3.5inch 53G x 72</v>
      </c>
      <c r="C1348" s="19" t="n">
        <v>1</v>
      </c>
      <c r="D1348" s="20" t="str">
        <f aca="false">IFERROR(VLOOKUP(A1348,NOMENCLATOR!$A:$E,3,0),"")</f>
        <v>EA</v>
      </c>
      <c r="E1348" s="21" t="n">
        <f aca="false">IFERROR(VLOOKUP(A1348,NOMENCLATOR!$A:$E,4,0),"")</f>
        <v>2.4</v>
      </c>
      <c r="F1348" s="21" t="n">
        <f aca="false">IF(OR(C1348="",E1348=""),"",C1348*E1348)</f>
        <v>2.4</v>
      </c>
      <c r="G1348" s="22" t="n">
        <f aca="false">IFERROR(VLOOKUP(A1348,NOMENCLATOR!$A:$E,5,0),"")</f>
        <v>2.4</v>
      </c>
      <c r="H1348" s="22" t="n">
        <f aca="false">IF(OR(C1348="",G1348=""),"",C1348*G1348)</f>
        <v>2.4</v>
      </c>
    </row>
    <row r="1349" customFormat="false" ht="15" hidden="false" customHeight="true" outlineLevel="0" collapsed="false">
      <c r="A1349" s="17" t="s">
        <v>178</v>
      </c>
      <c r="B1349" s="18" t="str">
        <f aca="false">IFERROR(VLOOKUP(A1349,NOMENCLATOR!$A:$E,2,0),"")</f>
        <v>Nutella (raw)</v>
      </c>
      <c r="C1349" s="19" t="n">
        <v>35</v>
      </c>
      <c r="D1349" s="20" t="str">
        <f aca="false">IFERROR(VLOOKUP(A1349,NOMENCLATOR!$A:$E,3,0),"")</f>
        <v>GM</v>
      </c>
      <c r="E1349" s="21" t="n">
        <f aca="false">IFERROR(VLOOKUP(A1349,NOMENCLATOR!$A:$E,4,0),"")</f>
        <v>0.03666</v>
      </c>
      <c r="F1349" s="21" t="n">
        <f aca="false">IF(OR(C1349="",E1349=""),"",C1349*E1349)</f>
        <v>1.2831</v>
      </c>
      <c r="G1349" s="22" t="n">
        <f aca="false">IFERROR(VLOOKUP(A1349,NOMENCLATOR!$A:$E,5,0),"")</f>
        <v>0.03666</v>
      </c>
      <c r="H1349" s="22" t="n">
        <f aca="false">IF(OR(C1349="",G1349=""),"",C1349*G1349)</f>
        <v>1.2831</v>
      </c>
    </row>
    <row r="1350" customFormat="false" ht="15" hidden="false" customHeight="true" outlineLevel="0" collapsed="false">
      <c r="A1350" s="17" t="s">
        <v>134</v>
      </c>
      <c r="B1350" s="18" t="str">
        <f aca="false">IFERROR(VLOOKUP(A1350,NOMENCLATOR!$A:$E,2,0),"")</f>
        <v>Hartie Burger Fryday</v>
      </c>
      <c r="C1350" s="19" t="n">
        <v>1</v>
      </c>
      <c r="D1350" s="20" t="str">
        <f aca="false">IFERROR(VLOOKUP(A1350,NOMENCLATOR!$A:$E,3,0),"")</f>
        <v>EA</v>
      </c>
      <c r="E1350" s="21" t="n">
        <f aca="false">IFERROR(VLOOKUP(A1350,NOMENCLATOR!$A:$E,4,0),"")</f>
        <v>0.115</v>
      </c>
      <c r="F1350" s="21" t="n">
        <f aca="false">IF(OR(C1350="",E1350=""),"",C1350*E1350)</f>
        <v>0.115</v>
      </c>
      <c r="G1350" s="22" t="n">
        <f aca="false">IFERROR(VLOOKUP(A1350,NOMENCLATOR!$A:$E,5,0),"")</f>
        <v>0.115</v>
      </c>
      <c r="H1350" s="22" t="n">
        <f aca="false">IF(OR(C1350="",G1350=""),"",C1350*G1350)</f>
        <v>0.115</v>
      </c>
    </row>
    <row r="1351" customFormat="false" ht="15" hidden="false" customHeight="true" outlineLevel="0" collapsed="false">
      <c r="A1351" s="17" t="s">
        <v>306</v>
      </c>
      <c r="B1351" s="18" t="str">
        <f aca="false">IFERROR(VLOOKUP(A1351,NOMENCLATOR!$A:$E,2,0),"")</f>
        <v>Y-Banane Feliate</v>
      </c>
      <c r="C1351" s="19" t="n">
        <v>20</v>
      </c>
      <c r="D1351" s="20" t="str">
        <f aca="false">IFERROR(VLOOKUP(A1351,NOMENCLATOR!$A:$E,3,0),"")</f>
        <v>GM</v>
      </c>
      <c r="E1351" s="21" t="n">
        <f aca="false">IFERROR(VLOOKUP(A1351,NOMENCLATOR!$A:$E,4,0),"")</f>
        <v>0.014</v>
      </c>
      <c r="F1351" s="21" t="n">
        <f aca="false">IF(OR(C1351="",E1351=""),"",C1351*E1351)</f>
        <v>0.28</v>
      </c>
      <c r="G1351" s="22" t="n">
        <f aca="false">IFERROR(VLOOKUP(A1351,NOMENCLATOR!$A:$E,5,0),"")</f>
        <v>0.014</v>
      </c>
      <c r="H1351" s="22" t="n">
        <f aca="false">IF(OR(C1351="",G1351=""),"",C1351*G1351)</f>
        <v>0.28</v>
      </c>
    </row>
    <row r="1352" customFormat="false" ht="15" hidden="false" customHeight="true" outlineLevel="0" collapsed="false">
      <c r="A1352" s="17" t="s">
        <v>72</v>
      </c>
      <c r="B1352" s="18" t="str">
        <f aca="false">IFERROR(VLOOKUP(A1352,NOMENCLATOR!$A:$E,2,0),"")</f>
        <v>BULINA BANANE 2025</v>
      </c>
      <c r="C1352" s="19" t="n">
        <v>1</v>
      </c>
      <c r="D1352" s="20" t="str">
        <f aca="false">IFERROR(VLOOKUP(A1352,NOMENCLATOR!$A:$E,3,0),"")</f>
        <v>EA</v>
      </c>
      <c r="E1352" s="21" t="n">
        <f aca="false">IFERROR(VLOOKUP(A1352,NOMENCLATOR!$A:$E,4,0),"")</f>
        <v>0.045</v>
      </c>
      <c r="F1352" s="21" t="n">
        <f aca="false">IF(OR(C1352="",E1352=""),"",C1352*E1352)</f>
        <v>0.045</v>
      </c>
      <c r="G1352" s="22" t="n">
        <f aca="false">IFERROR(VLOOKUP(A1352,NOMENCLATOR!$A:$E,5,0),"")</f>
        <v>0.045</v>
      </c>
      <c r="H1352" s="22" t="n">
        <f aca="false">IF(OR(C1352="",G1352=""),"",C1352*G1352)</f>
        <v>0.045</v>
      </c>
    </row>
    <row r="1353" customFormat="false" ht="15" hidden="false" customHeight="true" outlineLevel="0" collapsed="false">
      <c r="A1353" s="23" t="str">
        <f aca="false">IF(A1346="","",A1346)</f>
        <v>Nutella Burger Banane NEW D</v>
      </c>
      <c r="B1353" s="24"/>
      <c r="C1353" s="24"/>
      <c r="D1353" s="24"/>
      <c r="E1353" s="24"/>
      <c r="F1353" s="25" t="n">
        <f aca="false">IF(A1346="","",SUM(F1348:F1352))</f>
        <v>4.1231</v>
      </c>
      <c r="G1353" s="24"/>
      <c r="H1353" s="26" t="n">
        <f aca="false">IF(A1346="","",SUM(H1348:H1352))</f>
        <v>4.1231</v>
      </c>
    </row>
    <row r="1355" customFormat="false" ht="15" hidden="false" customHeight="true" outlineLevel="0" collapsed="false">
      <c r="A1355" s="12" t="s">
        <v>493</v>
      </c>
      <c r="B1355" s="13"/>
      <c r="C1355" s="13"/>
      <c r="D1355" s="13"/>
      <c r="E1355" s="13"/>
      <c r="F1355" s="14" t="s">
        <v>485</v>
      </c>
      <c r="G1355" s="13"/>
      <c r="H1355" s="15"/>
    </row>
    <row r="1356" customFormat="false" ht="15" hidden="false" customHeight="true" outlineLevel="0" collapsed="false">
      <c r="A1356" s="16" t="s">
        <v>316</v>
      </c>
      <c r="B1356" s="16" t="s">
        <v>317</v>
      </c>
      <c r="C1356" s="16" t="s">
        <v>318</v>
      </c>
      <c r="D1356" s="16" t="s">
        <v>4</v>
      </c>
      <c r="E1356" s="16" t="s">
        <v>319</v>
      </c>
      <c r="F1356" s="16" t="s">
        <v>320</v>
      </c>
      <c r="G1356" s="16" t="s">
        <v>321</v>
      </c>
      <c r="H1356" s="16" t="s">
        <v>322</v>
      </c>
    </row>
    <row r="1357" customFormat="false" ht="15" hidden="false" customHeight="true" outlineLevel="0" collapsed="false">
      <c r="A1357" s="17" t="s">
        <v>14</v>
      </c>
      <c r="B1357" s="18" t="str">
        <f aca="false">IFERROR(VLOOKUP(A1357,NOMENCLATOR!$A:$E,2,0),"")</f>
        <v>1.000 EA BASE - Milkshake 2021</v>
      </c>
      <c r="C1357" s="19" t="n">
        <v>1</v>
      </c>
      <c r="D1357" s="20" t="str">
        <f aca="false">IFERROR(VLOOKUP(A1357,NOMENCLATOR!$A:$E,3,0),"")</f>
        <v>EA</v>
      </c>
      <c r="E1357" s="21" t="n">
        <f aca="false">IFERROR(VLOOKUP(A1357,NOMENCLATOR!$A:$E,4,0),"")</f>
        <v>5.151</v>
      </c>
      <c r="F1357" s="21" t="n">
        <f aca="false">IF(OR(C1357="",E1357=""),"",C1357*E1357)</f>
        <v>5.151</v>
      </c>
      <c r="G1357" s="22" t="n">
        <f aca="false">IFERROR(VLOOKUP(A1357,NOMENCLATOR!$A:$E,5,0),"")</f>
        <v>5.151</v>
      </c>
      <c r="H1357" s="22" t="n">
        <f aca="false">IF(OR(C1357="",G1357=""),"",C1357*G1357)</f>
        <v>5.151</v>
      </c>
    </row>
    <row r="1358" customFormat="false" ht="15" hidden="false" customHeight="true" outlineLevel="0" collapsed="false">
      <c r="A1358" s="17" t="s">
        <v>164</v>
      </c>
      <c r="B1358" s="18" t="str">
        <f aca="false">IFERROR(VLOOKUP(A1358,NOMENCLATOR!$A:$E,2,0),"")</f>
        <v>LOTUS-BISCOFF CREMA TARTINABILA 3KG</v>
      </c>
      <c r="C1358" s="19" t="n">
        <v>30</v>
      </c>
      <c r="D1358" s="20" t="str">
        <f aca="false">IFERROR(VLOOKUP(A1358,NOMENCLATOR!$A:$E,3,0),"")</f>
        <v>GM</v>
      </c>
      <c r="E1358" s="21" t="n">
        <f aca="false">IFERROR(VLOOKUP(A1358,NOMENCLATOR!$A:$E,4,0),"")</f>
        <v>0.0503</v>
      </c>
      <c r="F1358" s="21" t="n">
        <f aca="false">IF(OR(C1358="",E1358=""),"",C1358*E1358)</f>
        <v>1.509</v>
      </c>
      <c r="G1358" s="22" t="n">
        <f aca="false">IFERROR(VLOOKUP(A1358,NOMENCLATOR!$A:$E,5,0),"")</f>
        <v>0.0503</v>
      </c>
      <c r="H1358" s="22" t="n">
        <f aca="false">IF(OR(C1358="",G1358=""),"",C1358*G1358)</f>
        <v>1.509</v>
      </c>
    </row>
    <row r="1359" customFormat="false" ht="15" hidden="false" customHeight="true" outlineLevel="0" collapsed="false">
      <c r="A1359" s="23" t="str">
        <f aca="false">IF(A1355="","",A1355)</f>
        <v>Milkshake Biscoff NEW</v>
      </c>
      <c r="B1359" s="24"/>
      <c r="C1359" s="24"/>
      <c r="D1359" s="24"/>
      <c r="E1359" s="24"/>
      <c r="F1359" s="25" t="n">
        <f aca="false">IF(A1355="","",SUM(F1357:F1358))</f>
        <v>6.66</v>
      </c>
      <c r="G1359" s="24"/>
      <c r="H1359" s="26" t="n">
        <f aca="false">IF(A1355="","",SUM(H1357:H1358))</f>
        <v>6.66</v>
      </c>
    </row>
    <row r="1361" customFormat="false" ht="15" hidden="false" customHeight="true" outlineLevel="0" collapsed="false">
      <c r="A1361" s="12" t="s">
        <v>494</v>
      </c>
      <c r="B1361" s="13"/>
      <c r="C1361" s="13"/>
      <c r="D1361" s="13"/>
      <c r="E1361" s="13"/>
      <c r="F1361" s="14" t="s">
        <v>485</v>
      </c>
      <c r="G1361" s="13"/>
      <c r="H1361" s="15"/>
    </row>
    <row r="1362" customFormat="false" ht="15" hidden="false" customHeight="true" outlineLevel="0" collapsed="false">
      <c r="A1362" s="16" t="s">
        <v>316</v>
      </c>
      <c r="B1362" s="16" t="s">
        <v>317</v>
      </c>
      <c r="C1362" s="16" t="s">
        <v>318</v>
      </c>
      <c r="D1362" s="16" t="s">
        <v>4</v>
      </c>
      <c r="E1362" s="16" t="s">
        <v>319</v>
      </c>
      <c r="F1362" s="16" t="s">
        <v>320</v>
      </c>
      <c r="G1362" s="16" t="s">
        <v>321</v>
      </c>
      <c r="H1362" s="16" t="s">
        <v>322</v>
      </c>
    </row>
    <row r="1363" customFormat="false" ht="15" hidden="false" customHeight="true" outlineLevel="0" collapsed="false">
      <c r="A1363" s="17" t="s">
        <v>14</v>
      </c>
      <c r="B1363" s="18" t="str">
        <f aca="false">IFERROR(VLOOKUP(A1363,NOMENCLATOR!$A:$E,2,0),"")</f>
        <v>1.000 EA BASE - Milkshake 2021</v>
      </c>
      <c r="C1363" s="19" t="n">
        <v>1</v>
      </c>
      <c r="D1363" s="20" t="str">
        <f aca="false">IFERROR(VLOOKUP(A1363,NOMENCLATOR!$A:$E,3,0),"")</f>
        <v>EA</v>
      </c>
      <c r="E1363" s="21" t="n">
        <f aca="false">IFERROR(VLOOKUP(A1363,NOMENCLATOR!$A:$E,4,0),"")</f>
        <v>5.151</v>
      </c>
      <c r="F1363" s="21" t="n">
        <f aca="false">IF(OR(C1363="",E1363=""),"",C1363*E1363)</f>
        <v>5.151</v>
      </c>
      <c r="G1363" s="22" t="n">
        <f aca="false">IFERROR(VLOOKUP(A1363,NOMENCLATOR!$A:$E,5,0),"")</f>
        <v>5.151</v>
      </c>
      <c r="H1363" s="22" t="n">
        <f aca="false">IF(OR(C1363="",G1363=""),"",C1363*G1363)</f>
        <v>5.151</v>
      </c>
    </row>
    <row r="1364" customFormat="false" ht="15" hidden="false" customHeight="true" outlineLevel="0" collapsed="false">
      <c r="A1364" s="17" t="s">
        <v>48</v>
      </c>
      <c r="B1364" s="18" t="str">
        <f aca="false">IFERROR(VLOOKUP(A1364,NOMENCLATOR!$A:$E,2,0),"")</f>
        <v>APPLE CINNAMON TOPPING WITH DICES</v>
      </c>
      <c r="C1364" s="19" t="n">
        <v>80</v>
      </c>
      <c r="D1364" s="20" t="str">
        <f aca="false">IFERROR(VLOOKUP(A1364,NOMENCLATOR!$A:$E,3,0),"")</f>
        <v>GM</v>
      </c>
      <c r="E1364" s="21" t="n">
        <f aca="false">IFERROR(VLOOKUP(A1364,NOMENCLATOR!$A:$E,4,0),"")</f>
        <v>0.01883</v>
      </c>
      <c r="F1364" s="21" t="n">
        <f aca="false">IF(OR(C1364="",E1364=""),"",C1364*E1364)</f>
        <v>1.5064</v>
      </c>
      <c r="G1364" s="22" t="n">
        <f aca="false">IFERROR(VLOOKUP(A1364,NOMENCLATOR!$A:$E,5,0),"")</f>
        <v>0.01883</v>
      </c>
      <c r="H1364" s="22" t="n">
        <f aca="false">IF(OR(C1364="",G1364=""),"",C1364*G1364)</f>
        <v>1.5064</v>
      </c>
    </row>
    <row r="1365" customFormat="false" ht="15" hidden="false" customHeight="true" outlineLevel="0" collapsed="false">
      <c r="A1365" s="23" t="str">
        <f aca="false">IF(A1361="","",A1361)</f>
        <v>Milkshake Apple Cinnamon NEW</v>
      </c>
      <c r="B1365" s="24"/>
      <c r="C1365" s="24"/>
      <c r="D1365" s="24"/>
      <c r="E1365" s="24"/>
      <c r="F1365" s="25" t="n">
        <f aca="false">IF(A1361="","",SUM(F1363:F1364))</f>
        <v>6.6574</v>
      </c>
      <c r="G1365" s="24"/>
      <c r="H1365" s="26" t="n">
        <f aca="false">IF(A1361="","",SUM(H1363:H1364))</f>
        <v>6.6574</v>
      </c>
    </row>
    <row r="1367" customFormat="false" ht="15" hidden="false" customHeight="true" outlineLevel="0" collapsed="false">
      <c r="A1367" s="12" t="s">
        <v>495</v>
      </c>
      <c r="B1367" s="13"/>
      <c r="C1367" s="13"/>
      <c r="D1367" s="13"/>
      <c r="E1367" s="13"/>
      <c r="F1367" s="14" t="s">
        <v>485</v>
      </c>
      <c r="G1367" s="13"/>
      <c r="H1367" s="15"/>
    </row>
    <row r="1368" customFormat="false" ht="15" hidden="false" customHeight="true" outlineLevel="0" collapsed="false">
      <c r="A1368" s="16" t="s">
        <v>316</v>
      </c>
      <c r="B1368" s="16" t="s">
        <v>317</v>
      </c>
      <c r="C1368" s="16" t="s">
        <v>318</v>
      </c>
      <c r="D1368" s="16" t="s">
        <v>4</v>
      </c>
      <c r="E1368" s="16" t="s">
        <v>319</v>
      </c>
      <c r="F1368" s="16" t="s">
        <v>320</v>
      </c>
      <c r="G1368" s="16" t="s">
        <v>321</v>
      </c>
      <c r="H1368" s="16" t="s">
        <v>322</v>
      </c>
    </row>
    <row r="1369" customFormat="false" ht="15" hidden="false" customHeight="true" outlineLevel="0" collapsed="false">
      <c r="A1369" s="17" t="s">
        <v>14</v>
      </c>
      <c r="B1369" s="18" t="str">
        <f aca="false">IFERROR(VLOOKUP(A1369,NOMENCLATOR!$A:$E,2,0),"")</f>
        <v>1.000 EA BASE - Milkshake 2021</v>
      </c>
      <c r="C1369" s="19" t="n">
        <v>1</v>
      </c>
      <c r="D1369" s="20" t="str">
        <f aca="false">IFERROR(VLOOKUP(A1369,NOMENCLATOR!$A:$E,3,0),"")</f>
        <v>EA</v>
      </c>
      <c r="E1369" s="21" t="n">
        <f aca="false">IFERROR(VLOOKUP(A1369,NOMENCLATOR!$A:$E,4,0),"")</f>
        <v>5.151</v>
      </c>
      <c r="F1369" s="21" t="n">
        <f aca="false">IF(OR(C1369="",E1369=""),"",C1369*E1369)</f>
        <v>5.151</v>
      </c>
      <c r="G1369" s="22" t="n">
        <f aca="false">IFERROR(VLOOKUP(A1369,NOMENCLATOR!$A:$E,5,0),"")</f>
        <v>5.151</v>
      </c>
      <c r="H1369" s="22" t="n">
        <f aca="false">IF(OR(C1369="",G1369=""),"",C1369*G1369)</f>
        <v>5.151</v>
      </c>
    </row>
    <row r="1370" customFormat="false" ht="15" hidden="false" customHeight="true" outlineLevel="0" collapsed="false">
      <c r="A1370" s="23" t="str">
        <f aca="false">IF(A1367="","",A1367)</f>
        <v>Milkshake Vanilie NEW</v>
      </c>
      <c r="B1370" s="24"/>
      <c r="C1370" s="24"/>
      <c r="D1370" s="24"/>
      <c r="E1370" s="24"/>
      <c r="F1370" s="25" t="n">
        <f aca="false">IF(A1367="","",SUM(F1369:F1369))</f>
        <v>5.151</v>
      </c>
      <c r="G1370" s="24"/>
      <c r="H1370" s="26" t="n">
        <f aca="false">IF(A1367="","",SUM(H1369:H1369))</f>
        <v>5.151</v>
      </c>
    </row>
    <row r="1372" customFormat="false" ht="15" hidden="false" customHeight="true" outlineLevel="0" collapsed="false">
      <c r="A1372" s="12" t="s">
        <v>496</v>
      </c>
      <c r="B1372" s="13"/>
      <c r="C1372" s="13"/>
      <c r="D1372" s="13"/>
      <c r="E1372" s="13"/>
      <c r="F1372" s="14" t="s">
        <v>485</v>
      </c>
      <c r="G1372" s="13"/>
      <c r="H1372" s="15"/>
    </row>
    <row r="1373" customFormat="false" ht="15" hidden="false" customHeight="true" outlineLevel="0" collapsed="false">
      <c r="A1373" s="16" t="s">
        <v>316</v>
      </c>
      <c r="B1373" s="16" t="s">
        <v>317</v>
      </c>
      <c r="C1373" s="16" t="s">
        <v>318</v>
      </c>
      <c r="D1373" s="16" t="s">
        <v>4</v>
      </c>
      <c r="E1373" s="16" t="s">
        <v>319</v>
      </c>
      <c r="F1373" s="16" t="s">
        <v>320</v>
      </c>
      <c r="G1373" s="16" t="s">
        <v>321</v>
      </c>
      <c r="H1373" s="16" t="s">
        <v>322</v>
      </c>
    </row>
    <row r="1374" customFormat="false" ht="15" hidden="false" customHeight="true" outlineLevel="0" collapsed="false">
      <c r="A1374" s="17" t="s">
        <v>14</v>
      </c>
      <c r="B1374" s="18" t="str">
        <f aca="false">IFERROR(VLOOKUP(A1374,NOMENCLATOR!$A:$E,2,0),"")</f>
        <v>1.000 EA BASE - Milkshake 2021</v>
      </c>
      <c r="C1374" s="19" t="n">
        <v>1</v>
      </c>
      <c r="D1374" s="20" t="str">
        <f aca="false">IFERROR(VLOOKUP(A1374,NOMENCLATOR!$A:$E,3,0),"")</f>
        <v>EA</v>
      </c>
      <c r="E1374" s="21" t="n">
        <f aca="false">IFERROR(VLOOKUP(A1374,NOMENCLATOR!$A:$E,4,0),"")</f>
        <v>5.151</v>
      </c>
      <c r="F1374" s="21" t="n">
        <f aca="false">IF(OR(C1374="",E1374=""),"",C1374*E1374)</f>
        <v>5.151</v>
      </c>
      <c r="G1374" s="22" t="n">
        <f aca="false">IFERROR(VLOOKUP(A1374,NOMENCLATOR!$A:$E,5,0),"")</f>
        <v>5.151</v>
      </c>
      <c r="H1374" s="22" t="n">
        <f aca="false">IF(OR(C1374="",G1374=""),"",C1374*G1374)</f>
        <v>5.151</v>
      </c>
    </row>
    <row r="1375" customFormat="false" ht="15" hidden="false" customHeight="true" outlineLevel="0" collapsed="false">
      <c r="A1375" s="17" t="s">
        <v>216</v>
      </c>
      <c r="B1375" s="18" t="str">
        <f aca="false">IFERROR(VLOOKUP(A1375,NOMENCLATOR!$A:$E,2,0),"")</f>
        <v>Piure Banane Monin</v>
      </c>
      <c r="C1375" s="19" t="n">
        <v>15</v>
      </c>
      <c r="D1375" s="20" t="str">
        <f aca="false">IFERROR(VLOOKUP(A1375,NOMENCLATOR!$A:$E,3,0),"")</f>
        <v>ML</v>
      </c>
      <c r="E1375" s="21" t="n">
        <f aca="false">IFERROR(VLOOKUP(A1375,NOMENCLATOR!$A:$E,4,0),"")</f>
        <v>0.08747</v>
      </c>
      <c r="F1375" s="21" t="n">
        <f aca="false">IF(OR(C1375="",E1375=""),"",C1375*E1375)</f>
        <v>1.31205</v>
      </c>
      <c r="G1375" s="22" t="n">
        <f aca="false">IFERROR(VLOOKUP(A1375,NOMENCLATOR!$A:$E,5,0),"")</f>
        <v>0.08747</v>
      </c>
      <c r="H1375" s="22" t="n">
        <f aca="false">IF(OR(C1375="",G1375=""),"",C1375*G1375)</f>
        <v>1.31205</v>
      </c>
    </row>
    <row r="1376" customFormat="false" ht="15" hidden="false" customHeight="true" outlineLevel="0" collapsed="false">
      <c r="A1376" s="23" t="str">
        <f aca="false">IF(A1372="","",A1372)</f>
        <v>Milkshake Banane NEW</v>
      </c>
      <c r="B1376" s="24"/>
      <c r="C1376" s="24"/>
      <c r="D1376" s="24"/>
      <c r="E1376" s="24"/>
      <c r="F1376" s="25" t="n">
        <f aca="false">IF(A1372="","",SUM(F1374:F1375))</f>
        <v>6.46305</v>
      </c>
      <c r="G1376" s="24"/>
      <c r="H1376" s="26" t="n">
        <f aca="false">IF(A1372="","",SUM(H1374:H1375))</f>
        <v>6.46305</v>
      </c>
    </row>
    <row r="1378" customFormat="false" ht="15" hidden="false" customHeight="true" outlineLevel="0" collapsed="false">
      <c r="A1378" s="12" t="s">
        <v>497</v>
      </c>
      <c r="B1378" s="13"/>
      <c r="C1378" s="13"/>
      <c r="D1378" s="13"/>
      <c r="E1378" s="13"/>
      <c r="F1378" s="14" t="s">
        <v>485</v>
      </c>
      <c r="G1378" s="13"/>
      <c r="H1378" s="15"/>
    </row>
    <row r="1379" customFormat="false" ht="15" hidden="false" customHeight="true" outlineLevel="0" collapsed="false">
      <c r="A1379" s="16" t="s">
        <v>316</v>
      </c>
      <c r="B1379" s="16" t="s">
        <v>317</v>
      </c>
      <c r="C1379" s="16" t="s">
        <v>318</v>
      </c>
      <c r="D1379" s="16" t="s">
        <v>4</v>
      </c>
      <c r="E1379" s="16" t="s">
        <v>319</v>
      </c>
      <c r="F1379" s="16" t="s">
        <v>320</v>
      </c>
      <c r="G1379" s="16" t="s">
        <v>321</v>
      </c>
      <c r="H1379" s="16" t="s">
        <v>322</v>
      </c>
    </row>
    <row r="1380" customFormat="false" ht="15" hidden="false" customHeight="true" outlineLevel="0" collapsed="false">
      <c r="A1380" s="17" t="s">
        <v>14</v>
      </c>
      <c r="B1380" s="18" t="str">
        <f aca="false">IFERROR(VLOOKUP(A1380,NOMENCLATOR!$A:$E,2,0),"")</f>
        <v>1.000 EA BASE - Milkshake 2021</v>
      </c>
      <c r="C1380" s="19" t="n">
        <v>1</v>
      </c>
      <c r="D1380" s="20" t="str">
        <f aca="false">IFERROR(VLOOKUP(A1380,NOMENCLATOR!$A:$E,3,0),"")</f>
        <v>EA</v>
      </c>
      <c r="E1380" s="21" t="n">
        <f aca="false">IFERROR(VLOOKUP(A1380,NOMENCLATOR!$A:$E,4,0),"")</f>
        <v>5.151</v>
      </c>
      <c r="F1380" s="21" t="n">
        <f aca="false">IF(OR(C1380="",E1380=""),"",C1380*E1380)</f>
        <v>5.151</v>
      </c>
      <c r="G1380" s="22" t="n">
        <f aca="false">IFERROR(VLOOKUP(A1380,NOMENCLATOR!$A:$E,5,0),"")</f>
        <v>5.151</v>
      </c>
      <c r="H1380" s="22" t="n">
        <f aca="false">IF(OR(C1380="",G1380=""),"",C1380*G1380)</f>
        <v>5.151</v>
      </c>
    </row>
    <row r="1381" customFormat="false" ht="15" hidden="false" customHeight="true" outlineLevel="0" collapsed="false">
      <c r="A1381" s="17" t="s">
        <v>218</v>
      </c>
      <c r="B1381" s="18" t="str">
        <f aca="false">IFERROR(VLOOKUP(A1381,NOMENCLATOR!$A:$E,2,0),"")</f>
        <v>Piure Capsuni Monin</v>
      </c>
      <c r="C1381" s="19" t="n">
        <v>15</v>
      </c>
      <c r="D1381" s="20" t="str">
        <f aca="false">IFERROR(VLOOKUP(A1381,NOMENCLATOR!$A:$E,3,0),"")</f>
        <v>ML</v>
      </c>
      <c r="E1381" s="21" t="n">
        <f aca="false">IFERROR(VLOOKUP(A1381,NOMENCLATOR!$A:$E,4,0),"")</f>
        <v>0.08747</v>
      </c>
      <c r="F1381" s="21" t="n">
        <f aca="false">IF(OR(C1381="",E1381=""),"",C1381*E1381)</f>
        <v>1.31205</v>
      </c>
      <c r="G1381" s="22" t="n">
        <f aca="false">IFERROR(VLOOKUP(A1381,NOMENCLATOR!$A:$E,5,0),"")</f>
        <v>0.08747</v>
      </c>
      <c r="H1381" s="22" t="n">
        <f aca="false">IF(OR(C1381="",G1381=""),"",C1381*G1381)</f>
        <v>1.31205</v>
      </c>
    </row>
    <row r="1382" customFormat="false" ht="15" hidden="false" customHeight="true" outlineLevel="0" collapsed="false">
      <c r="A1382" s="23" t="str">
        <f aca="false">IF(A1378="","",A1378)</f>
        <v>Milkshake Capsuni NEW</v>
      </c>
      <c r="B1382" s="24"/>
      <c r="C1382" s="24"/>
      <c r="D1382" s="24"/>
      <c r="E1382" s="24"/>
      <c r="F1382" s="25" t="n">
        <f aca="false">IF(A1378="","",SUM(F1380:F1381))</f>
        <v>6.46305</v>
      </c>
      <c r="G1382" s="24"/>
      <c r="H1382" s="26" t="n">
        <f aca="false">IF(A1378="","",SUM(H1380:H1381))</f>
        <v>6.46305</v>
      </c>
    </row>
    <row r="1384" customFormat="false" ht="15" hidden="false" customHeight="true" outlineLevel="0" collapsed="false">
      <c r="A1384" s="12" t="s">
        <v>498</v>
      </c>
      <c r="B1384" s="13"/>
      <c r="C1384" s="13"/>
      <c r="D1384" s="13"/>
      <c r="E1384" s="13"/>
      <c r="F1384" s="14" t="s">
        <v>485</v>
      </c>
      <c r="G1384" s="13"/>
      <c r="H1384" s="15"/>
    </row>
    <row r="1385" customFormat="false" ht="15" hidden="false" customHeight="true" outlineLevel="0" collapsed="false">
      <c r="A1385" s="16" t="s">
        <v>316</v>
      </c>
      <c r="B1385" s="16" t="s">
        <v>317</v>
      </c>
      <c r="C1385" s="16" t="s">
        <v>318</v>
      </c>
      <c r="D1385" s="16" t="s">
        <v>4</v>
      </c>
      <c r="E1385" s="16" t="s">
        <v>319</v>
      </c>
      <c r="F1385" s="16" t="s">
        <v>320</v>
      </c>
      <c r="G1385" s="16" t="s">
        <v>321</v>
      </c>
      <c r="H1385" s="16" t="s">
        <v>322</v>
      </c>
    </row>
    <row r="1386" customFormat="false" ht="15" hidden="false" customHeight="true" outlineLevel="0" collapsed="false">
      <c r="A1386" s="17" t="s">
        <v>14</v>
      </c>
      <c r="B1386" s="18" t="str">
        <f aca="false">IFERROR(VLOOKUP(A1386,NOMENCLATOR!$A:$E,2,0),"")</f>
        <v>1.000 EA BASE - Milkshake 2021</v>
      </c>
      <c r="C1386" s="19" t="n">
        <v>1</v>
      </c>
      <c r="D1386" s="20" t="str">
        <f aca="false">IFERROR(VLOOKUP(A1386,NOMENCLATOR!$A:$E,3,0),"")</f>
        <v>EA</v>
      </c>
      <c r="E1386" s="21" t="n">
        <f aca="false">IFERROR(VLOOKUP(A1386,NOMENCLATOR!$A:$E,4,0),"")</f>
        <v>5.151</v>
      </c>
      <c r="F1386" s="21" t="n">
        <f aca="false">IF(OR(C1386="",E1386=""),"",C1386*E1386)</f>
        <v>5.151</v>
      </c>
      <c r="G1386" s="22" t="n">
        <f aca="false">IFERROR(VLOOKUP(A1386,NOMENCLATOR!$A:$E,5,0),"")</f>
        <v>5.151</v>
      </c>
      <c r="H1386" s="22" t="n">
        <f aca="false">IF(OR(C1386="",G1386=""),"",C1386*G1386)</f>
        <v>5.151</v>
      </c>
    </row>
    <row r="1387" customFormat="false" ht="15" hidden="false" customHeight="true" outlineLevel="0" collapsed="false">
      <c r="A1387" s="17" t="s">
        <v>178</v>
      </c>
      <c r="B1387" s="18" t="str">
        <f aca="false">IFERROR(VLOOKUP(A1387,NOMENCLATOR!$A:$E,2,0),"")</f>
        <v>Nutella (raw)</v>
      </c>
      <c r="C1387" s="19" t="n">
        <v>25</v>
      </c>
      <c r="D1387" s="20" t="str">
        <f aca="false">IFERROR(VLOOKUP(A1387,NOMENCLATOR!$A:$E,3,0),"")</f>
        <v>GM</v>
      </c>
      <c r="E1387" s="21" t="n">
        <f aca="false">IFERROR(VLOOKUP(A1387,NOMENCLATOR!$A:$E,4,0),"")</f>
        <v>0.03666</v>
      </c>
      <c r="F1387" s="21" t="n">
        <f aca="false">IF(OR(C1387="",E1387=""),"",C1387*E1387)</f>
        <v>0.9165</v>
      </c>
      <c r="G1387" s="22" t="n">
        <f aca="false">IFERROR(VLOOKUP(A1387,NOMENCLATOR!$A:$E,5,0),"")</f>
        <v>0.03666</v>
      </c>
      <c r="H1387" s="22" t="n">
        <f aca="false">IF(OR(C1387="",G1387=""),"",C1387*G1387)</f>
        <v>0.9165</v>
      </c>
    </row>
    <row r="1388" customFormat="false" ht="15" hidden="false" customHeight="true" outlineLevel="0" collapsed="false">
      <c r="A1388" s="23" t="str">
        <f aca="false">IF(A1384="","",A1384)</f>
        <v>Milkshake Ciocolata NEW</v>
      </c>
      <c r="B1388" s="24"/>
      <c r="C1388" s="24"/>
      <c r="D1388" s="24"/>
      <c r="E1388" s="24"/>
      <c r="F1388" s="25" t="n">
        <f aca="false">IF(A1384="","",SUM(F1386:F1387))</f>
        <v>6.0675</v>
      </c>
      <c r="G1388" s="24"/>
      <c r="H1388" s="26" t="n">
        <f aca="false">IF(A1384="","",SUM(H1386:H1387))</f>
        <v>6.0675</v>
      </c>
    </row>
    <row r="1390" customFormat="false" ht="15" hidden="false" customHeight="true" outlineLevel="0" collapsed="false">
      <c r="A1390" s="12" t="s">
        <v>499</v>
      </c>
      <c r="B1390" s="13"/>
      <c r="C1390" s="13"/>
      <c r="D1390" s="13"/>
      <c r="E1390" s="13"/>
      <c r="F1390" s="14" t="s">
        <v>485</v>
      </c>
      <c r="G1390" s="13"/>
      <c r="H1390" s="15"/>
    </row>
    <row r="1391" customFormat="false" ht="15" hidden="false" customHeight="true" outlineLevel="0" collapsed="false">
      <c r="A1391" s="16" t="s">
        <v>316</v>
      </c>
      <c r="B1391" s="16" t="s">
        <v>317</v>
      </c>
      <c r="C1391" s="16" t="s">
        <v>318</v>
      </c>
      <c r="D1391" s="16" t="s">
        <v>4</v>
      </c>
      <c r="E1391" s="16" t="s">
        <v>319</v>
      </c>
      <c r="F1391" s="16" t="s">
        <v>320</v>
      </c>
      <c r="G1391" s="16" t="s">
        <v>321</v>
      </c>
      <c r="H1391" s="16" t="s">
        <v>322</v>
      </c>
    </row>
    <row r="1392" customFormat="false" ht="15" hidden="false" customHeight="true" outlineLevel="0" collapsed="false">
      <c r="A1392" s="17" t="s">
        <v>226</v>
      </c>
      <c r="B1392" s="18" t="str">
        <f aca="false">IFERROR(VLOOKUP(A1392,NOMENCLATOR!$A:$E,2,0),"")</f>
        <v>PLACINTA MAR CARAMEL. 70G</v>
      </c>
      <c r="C1392" s="19" t="n">
        <v>2</v>
      </c>
      <c r="D1392" s="20" t="str">
        <f aca="false">IFERROR(VLOOKUP(A1392,NOMENCLATOR!$A:$E,3,0),"")</f>
        <v>EA</v>
      </c>
      <c r="E1392" s="21" t="n">
        <f aca="false">IFERROR(VLOOKUP(A1392,NOMENCLATOR!$A:$E,4,0),"")</f>
        <v>1.543</v>
      </c>
      <c r="F1392" s="21" t="n">
        <f aca="false">IF(OR(C1392="",E1392=""),"",C1392*E1392)</f>
        <v>3.086</v>
      </c>
      <c r="G1392" s="22" t="n">
        <f aca="false">IFERROR(VLOOKUP(A1392,NOMENCLATOR!$A:$E,5,0),"")</f>
        <v>1.543</v>
      </c>
      <c r="H1392" s="22" t="n">
        <f aca="false">IF(OR(C1392="",G1392=""),"",C1392*G1392)</f>
        <v>3.086</v>
      </c>
    </row>
    <row r="1393" customFormat="false" ht="15" hidden="false" customHeight="true" outlineLevel="0" collapsed="false">
      <c r="A1393" s="17" t="s">
        <v>300</v>
      </c>
      <c r="B1393" s="18" t="str">
        <f aca="false">IFERROR(VLOOKUP(A1393,NOMENCLATOR!$A:$E,2,0),"")</f>
        <v>Ulei de alune</v>
      </c>
      <c r="C1393" s="19" t="n">
        <v>100</v>
      </c>
      <c r="D1393" s="20" t="str">
        <f aca="false">IFERROR(VLOOKUP(A1393,NOMENCLATOR!$A:$E,3,0),"")</f>
        <v>ML</v>
      </c>
      <c r="E1393" s="21" t="n">
        <f aca="false">IFERROR(VLOOKUP(A1393,NOMENCLATOR!$A:$E,4,0),"")</f>
        <v>0.0169</v>
      </c>
      <c r="F1393" s="21" t="n">
        <f aca="false">IF(OR(C1393="",E1393=""),"",C1393*E1393)</f>
        <v>1.69</v>
      </c>
      <c r="G1393" s="22" t="n">
        <f aca="false">IFERROR(VLOOKUP(A1393,NOMENCLATOR!$A:$E,5,0),"")</f>
        <v>0.0169</v>
      </c>
      <c r="H1393" s="22" t="n">
        <f aca="false">IF(OR(C1393="",G1393=""),"",C1393*G1393)</f>
        <v>1.69</v>
      </c>
    </row>
    <row r="1394" customFormat="false" ht="15" hidden="false" customHeight="true" outlineLevel="0" collapsed="false">
      <c r="A1394" s="17" t="s">
        <v>110</v>
      </c>
      <c r="B1394" s="18" t="str">
        <f aca="false">IFERROR(VLOOKUP(A1394,NOMENCLATOR!$A:$E,2,0),"")</f>
        <v>CUTIE CARTON FRYPIE APPLE TOFFEFE FRYDAY</v>
      </c>
      <c r="C1394" s="19" t="n">
        <v>2</v>
      </c>
      <c r="D1394" s="20" t="str">
        <f aca="false">IFERROR(VLOOKUP(A1394,NOMENCLATOR!$A:$E,3,0),"")</f>
        <v>EA</v>
      </c>
      <c r="E1394" s="21" t="n">
        <f aca="false">IFERROR(VLOOKUP(A1394,NOMENCLATOR!$A:$E,4,0),"")</f>
        <v>1.28</v>
      </c>
      <c r="F1394" s="21" t="n">
        <f aca="false">IF(OR(C1394="",E1394=""),"",C1394*E1394)</f>
        <v>2.56</v>
      </c>
      <c r="G1394" s="22" t="n">
        <f aca="false">IFERROR(VLOOKUP(A1394,NOMENCLATOR!$A:$E,5,0),"")</f>
        <v>1.28</v>
      </c>
      <c r="H1394" s="22" t="n">
        <f aca="false">IF(OR(C1394="",G1394=""),"",C1394*G1394)</f>
        <v>2.56</v>
      </c>
    </row>
    <row r="1395" customFormat="false" ht="15" hidden="false" customHeight="true" outlineLevel="0" collapsed="false">
      <c r="A1395" s="23" t="str">
        <f aca="false">IF(A1390="","",A1390)</f>
        <v>APPLE TOFFEE FRYPIE 2X</v>
      </c>
      <c r="B1395" s="24"/>
      <c r="C1395" s="24"/>
      <c r="D1395" s="24"/>
      <c r="E1395" s="24"/>
      <c r="F1395" s="25" t="n">
        <f aca="false">IF(A1390="","",SUM(F1392:F1394))</f>
        <v>7.336</v>
      </c>
      <c r="G1395" s="24"/>
      <c r="H1395" s="26" t="n">
        <f aca="false">IF(A1390="","",SUM(H1392:H1394))</f>
        <v>7.336</v>
      </c>
    </row>
    <row r="1397" customFormat="false" ht="15" hidden="false" customHeight="true" outlineLevel="0" collapsed="false">
      <c r="A1397" s="12" t="s">
        <v>500</v>
      </c>
      <c r="B1397" s="13"/>
      <c r="C1397" s="13"/>
      <c r="D1397" s="13"/>
      <c r="E1397" s="13"/>
      <c r="F1397" s="14" t="s">
        <v>485</v>
      </c>
      <c r="G1397" s="13"/>
      <c r="H1397" s="15"/>
    </row>
    <row r="1398" customFormat="false" ht="15" hidden="false" customHeight="true" outlineLevel="0" collapsed="false">
      <c r="A1398" s="16" t="s">
        <v>316</v>
      </c>
      <c r="B1398" s="16" t="s">
        <v>317</v>
      </c>
      <c r="C1398" s="16" t="s">
        <v>318</v>
      </c>
      <c r="D1398" s="16" t="s">
        <v>4</v>
      </c>
      <c r="E1398" s="16" t="s">
        <v>319</v>
      </c>
      <c r="F1398" s="16" t="s">
        <v>320</v>
      </c>
      <c r="G1398" s="16" t="s">
        <v>321</v>
      </c>
      <c r="H1398" s="16" t="s">
        <v>322</v>
      </c>
    </row>
    <row r="1399" customFormat="false" ht="15" hidden="false" customHeight="true" outlineLevel="0" collapsed="false">
      <c r="A1399" s="17" t="s">
        <v>226</v>
      </c>
      <c r="B1399" s="18" t="str">
        <f aca="false">IFERROR(VLOOKUP(A1399,NOMENCLATOR!$A:$E,2,0),"")</f>
        <v>PLACINTA MAR CARAMEL. 70G</v>
      </c>
      <c r="C1399" s="19" t="n">
        <v>2</v>
      </c>
      <c r="D1399" s="20" t="str">
        <f aca="false">IFERROR(VLOOKUP(A1399,NOMENCLATOR!$A:$E,3,0),"")</f>
        <v>EA</v>
      </c>
      <c r="E1399" s="21" t="n">
        <f aca="false">IFERROR(VLOOKUP(A1399,NOMENCLATOR!$A:$E,4,0),"")</f>
        <v>1.543</v>
      </c>
      <c r="F1399" s="21" t="n">
        <f aca="false">IF(OR(C1399="",E1399=""),"",C1399*E1399)</f>
        <v>3.086</v>
      </c>
      <c r="G1399" s="22" t="n">
        <f aca="false">IFERROR(VLOOKUP(A1399,NOMENCLATOR!$A:$E,5,0),"")</f>
        <v>1.543</v>
      </c>
      <c r="H1399" s="22" t="n">
        <f aca="false">IF(OR(C1399="",G1399=""),"",C1399*G1399)</f>
        <v>3.086</v>
      </c>
    </row>
    <row r="1400" customFormat="false" ht="15" hidden="false" customHeight="true" outlineLevel="0" collapsed="false">
      <c r="A1400" s="17" t="s">
        <v>300</v>
      </c>
      <c r="B1400" s="18" t="str">
        <f aca="false">IFERROR(VLOOKUP(A1400,NOMENCLATOR!$A:$E,2,0),"")</f>
        <v>Ulei de alune</v>
      </c>
      <c r="C1400" s="19" t="n">
        <v>100</v>
      </c>
      <c r="D1400" s="20" t="str">
        <f aca="false">IFERROR(VLOOKUP(A1400,NOMENCLATOR!$A:$E,3,0),"")</f>
        <v>ML</v>
      </c>
      <c r="E1400" s="21" t="n">
        <f aca="false">IFERROR(VLOOKUP(A1400,NOMENCLATOR!$A:$E,4,0),"")</f>
        <v>0.0169</v>
      </c>
      <c r="F1400" s="21" t="n">
        <f aca="false">IF(OR(C1400="",E1400=""),"",C1400*E1400)</f>
        <v>1.69</v>
      </c>
      <c r="G1400" s="22" t="n">
        <f aca="false">IFERROR(VLOOKUP(A1400,NOMENCLATOR!$A:$E,5,0),"")</f>
        <v>0.0169</v>
      </c>
      <c r="H1400" s="22" t="n">
        <f aca="false">IF(OR(C1400="",G1400=""),"",C1400*G1400)</f>
        <v>1.69</v>
      </c>
    </row>
    <row r="1401" customFormat="false" ht="15" hidden="false" customHeight="true" outlineLevel="0" collapsed="false">
      <c r="A1401" s="17" t="s">
        <v>110</v>
      </c>
      <c r="B1401" s="18" t="str">
        <f aca="false">IFERROR(VLOOKUP(A1401,NOMENCLATOR!$A:$E,2,0),"")</f>
        <v>CUTIE CARTON FRYPIE APPLE TOFFEFE FRYDAY</v>
      </c>
      <c r="C1401" s="19" t="n">
        <v>2</v>
      </c>
      <c r="D1401" s="20" t="str">
        <f aca="false">IFERROR(VLOOKUP(A1401,NOMENCLATOR!$A:$E,3,0),"")</f>
        <v>EA</v>
      </c>
      <c r="E1401" s="21" t="n">
        <f aca="false">IFERROR(VLOOKUP(A1401,NOMENCLATOR!$A:$E,4,0),"")</f>
        <v>1.28</v>
      </c>
      <c r="F1401" s="21" t="n">
        <f aca="false">IF(OR(C1401="",E1401=""),"",C1401*E1401)</f>
        <v>2.56</v>
      </c>
      <c r="G1401" s="22" t="n">
        <f aca="false">IFERROR(VLOOKUP(A1401,NOMENCLATOR!$A:$E,5,0),"")</f>
        <v>1.28</v>
      </c>
      <c r="H1401" s="22" t="n">
        <f aca="false">IF(OR(C1401="",G1401=""),"",C1401*G1401)</f>
        <v>2.56</v>
      </c>
    </row>
    <row r="1402" customFormat="false" ht="15" hidden="false" customHeight="true" outlineLevel="0" collapsed="false">
      <c r="A1402" s="23" t="str">
        <f aca="false">IF(A1397="","",A1397)</f>
        <v>APPLE TOFFEE FRYPIE 2X D</v>
      </c>
      <c r="B1402" s="24"/>
      <c r="C1402" s="24"/>
      <c r="D1402" s="24"/>
      <c r="E1402" s="24"/>
      <c r="F1402" s="25" t="n">
        <f aca="false">IF(A1397="","",SUM(F1399:F1401))</f>
        <v>7.336</v>
      </c>
      <c r="G1402" s="24"/>
      <c r="H1402" s="26" t="n">
        <f aca="false">IF(A1397="","",SUM(H1399:H1401))</f>
        <v>7.336</v>
      </c>
    </row>
    <row r="1404" customFormat="false" ht="15" hidden="false" customHeight="true" outlineLevel="0" collapsed="false">
      <c r="A1404" s="12" t="s">
        <v>501</v>
      </c>
      <c r="B1404" s="13"/>
      <c r="C1404" s="13"/>
      <c r="D1404" s="13"/>
      <c r="E1404" s="13"/>
      <c r="F1404" s="14" t="s">
        <v>485</v>
      </c>
      <c r="G1404" s="13"/>
      <c r="H1404" s="15"/>
    </row>
    <row r="1405" customFormat="false" ht="15" hidden="false" customHeight="true" outlineLevel="0" collapsed="false">
      <c r="A1405" s="16" t="s">
        <v>316</v>
      </c>
      <c r="B1405" s="16" t="s">
        <v>317</v>
      </c>
      <c r="C1405" s="16" t="s">
        <v>318</v>
      </c>
      <c r="D1405" s="16" t="s">
        <v>4</v>
      </c>
      <c r="E1405" s="16" t="s">
        <v>319</v>
      </c>
      <c r="F1405" s="16" t="s">
        <v>320</v>
      </c>
      <c r="G1405" s="16" t="s">
        <v>321</v>
      </c>
      <c r="H1405" s="16" t="s">
        <v>322</v>
      </c>
    </row>
    <row r="1406" customFormat="false" ht="15" hidden="false" customHeight="true" outlineLevel="0" collapsed="false">
      <c r="A1406" s="17" t="s">
        <v>178</v>
      </c>
      <c r="B1406" s="18" t="str">
        <f aca="false">IFERROR(VLOOKUP(A1406,NOMENCLATOR!$A:$E,2,0),"")</f>
        <v>Nutella (raw)</v>
      </c>
      <c r="C1406" s="19" t="n">
        <v>22.5</v>
      </c>
      <c r="D1406" s="20" t="str">
        <f aca="false">IFERROR(VLOOKUP(A1406,NOMENCLATOR!$A:$E,3,0),"")</f>
        <v>GM</v>
      </c>
      <c r="E1406" s="21" t="n">
        <f aca="false">IFERROR(VLOOKUP(A1406,NOMENCLATOR!$A:$E,4,0),"")</f>
        <v>0.03666</v>
      </c>
      <c r="F1406" s="21" t="n">
        <f aca="false">IF(OR(C1406="",E1406=""),"",C1406*E1406)</f>
        <v>0.82485</v>
      </c>
      <c r="G1406" s="22" t="n">
        <f aca="false">IFERROR(VLOOKUP(A1406,NOMENCLATOR!$A:$E,5,0),"")</f>
        <v>0.03666</v>
      </c>
      <c r="H1406" s="22" t="n">
        <f aca="false">IF(OR(C1406="",G1406=""),"",C1406*G1406)</f>
        <v>0.82485</v>
      </c>
    </row>
    <row r="1407" customFormat="false" ht="15" hidden="false" customHeight="true" outlineLevel="0" collapsed="false">
      <c r="A1407" s="23" t="str">
        <f aca="false">IF(A1404="","",A1404)</f>
        <v>ADD-ON NUTELLA NEW</v>
      </c>
      <c r="B1407" s="24"/>
      <c r="C1407" s="24"/>
      <c r="D1407" s="24"/>
      <c r="E1407" s="24"/>
      <c r="F1407" s="25" t="n">
        <f aca="false">IF(A1404="","",SUM(F1406:F1406))</f>
        <v>0.82485</v>
      </c>
      <c r="G1407" s="24"/>
      <c r="H1407" s="26" t="n">
        <f aca="false">IF(A1404="","",SUM(H1406:H1406))</f>
        <v>0.82485</v>
      </c>
    </row>
    <row r="1409" customFormat="false" ht="15" hidden="false" customHeight="true" outlineLevel="0" collapsed="false">
      <c r="A1409" s="12" t="s">
        <v>502</v>
      </c>
      <c r="B1409" s="13"/>
      <c r="C1409" s="13"/>
      <c r="D1409" s="13"/>
      <c r="E1409" s="13"/>
      <c r="F1409" s="14" t="s">
        <v>485</v>
      </c>
      <c r="G1409" s="13"/>
      <c r="H1409" s="15"/>
    </row>
    <row r="1410" customFormat="false" ht="15" hidden="false" customHeight="true" outlineLevel="0" collapsed="false">
      <c r="A1410" s="16" t="s">
        <v>316</v>
      </c>
      <c r="B1410" s="16" t="s">
        <v>317</v>
      </c>
      <c r="C1410" s="16" t="s">
        <v>318</v>
      </c>
      <c r="D1410" s="16" t="s">
        <v>4</v>
      </c>
      <c r="E1410" s="16" t="s">
        <v>319</v>
      </c>
      <c r="F1410" s="16" t="s">
        <v>320</v>
      </c>
      <c r="G1410" s="16" t="s">
        <v>321</v>
      </c>
      <c r="H1410" s="16" t="s">
        <v>322</v>
      </c>
    </row>
    <row r="1411" customFormat="false" ht="15" hidden="false" customHeight="true" outlineLevel="0" collapsed="false">
      <c r="A1411" s="17" t="s">
        <v>306</v>
      </c>
      <c r="B1411" s="18" t="str">
        <f aca="false">IFERROR(VLOOKUP(A1411,NOMENCLATOR!$A:$E,2,0),"")</f>
        <v>Y-Banane Feliate</v>
      </c>
      <c r="C1411" s="19" t="n">
        <v>20</v>
      </c>
      <c r="D1411" s="20" t="str">
        <f aca="false">IFERROR(VLOOKUP(A1411,NOMENCLATOR!$A:$E,3,0),"")</f>
        <v>GM</v>
      </c>
      <c r="E1411" s="21" t="n">
        <f aca="false">IFERROR(VLOOKUP(A1411,NOMENCLATOR!$A:$E,4,0),"")</f>
        <v>0.014</v>
      </c>
      <c r="F1411" s="21" t="n">
        <f aca="false">IF(OR(C1411="",E1411=""),"",C1411*E1411)</f>
        <v>0.28</v>
      </c>
      <c r="G1411" s="22" t="n">
        <f aca="false">IFERROR(VLOOKUP(A1411,NOMENCLATOR!$A:$E,5,0),"")</f>
        <v>0.014</v>
      </c>
      <c r="H1411" s="22" t="n">
        <f aca="false">IF(OR(C1411="",G1411=""),"",C1411*G1411)</f>
        <v>0.28</v>
      </c>
    </row>
    <row r="1412" customFormat="false" ht="15" hidden="false" customHeight="true" outlineLevel="0" collapsed="false">
      <c r="A1412" s="23" t="str">
        <f aca="false">IF(A1409="","",A1409)</f>
        <v>ADD-ON BANANE NEW</v>
      </c>
      <c r="B1412" s="24"/>
      <c r="C1412" s="24"/>
      <c r="D1412" s="24"/>
      <c r="E1412" s="24"/>
      <c r="F1412" s="25" t="n">
        <f aca="false">IF(A1409="","",SUM(F1411:F1411))</f>
        <v>0.28</v>
      </c>
      <c r="G1412" s="24"/>
      <c r="H1412" s="26" t="n">
        <f aca="false">IF(A1409="","",SUM(H1411:H1411))</f>
        <v>0.28</v>
      </c>
    </row>
    <row r="1414" customFormat="false" ht="15" hidden="false" customHeight="true" outlineLevel="0" collapsed="false">
      <c r="A1414" s="12" t="s">
        <v>503</v>
      </c>
      <c r="B1414" s="13"/>
      <c r="C1414" s="13"/>
      <c r="D1414" s="13"/>
      <c r="E1414" s="13"/>
      <c r="F1414" s="14" t="s">
        <v>485</v>
      </c>
      <c r="G1414" s="13"/>
      <c r="H1414" s="15"/>
    </row>
    <row r="1415" customFormat="false" ht="15" hidden="false" customHeight="true" outlineLevel="0" collapsed="false">
      <c r="A1415" s="16" t="s">
        <v>316</v>
      </c>
      <c r="B1415" s="16" t="s">
        <v>317</v>
      </c>
      <c r="C1415" s="16" t="s">
        <v>318</v>
      </c>
      <c r="D1415" s="16" t="s">
        <v>4</v>
      </c>
      <c r="E1415" s="16" t="s">
        <v>319</v>
      </c>
      <c r="F1415" s="16" t="s">
        <v>320</v>
      </c>
      <c r="G1415" s="16" t="s">
        <v>321</v>
      </c>
      <c r="H1415" s="16" t="s">
        <v>322</v>
      </c>
    </row>
    <row r="1416" customFormat="false" ht="15" hidden="false" customHeight="true" outlineLevel="0" collapsed="false">
      <c r="A1416" s="17" t="s">
        <v>164</v>
      </c>
      <c r="B1416" s="18" t="str">
        <f aca="false">IFERROR(VLOOKUP(A1416,NOMENCLATOR!$A:$E,2,0),"")</f>
        <v>LOTUS-BISCOFF CREMA TARTINABILA 3KG</v>
      </c>
      <c r="C1416" s="19" t="n">
        <v>30</v>
      </c>
      <c r="D1416" s="20" t="str">
        <f aca="false">IFERROR(VLOOKUP(A1416,NOMENCLATOR!$A:$E,3,0),"")</f>
        <v>GM</v>
      </c>
      <c r="E1416" s="21" t="n">
        <f aca="false">IFERROR(VLOOKUP(A1416,NOMENCLATOR!$A:$E,4,0),"")</f>
        <v>0.0503</v>
      </c>
      <c r="F1416" s="21" t="n">
        <f aca="false">IF(OR(C1416="",E1416=""),"",C1416*E1416)</f>
        <v>1.509</v>
      </c>
      <c r="G1416" s="22" t="n">
        <f aca="false">IFERROR(VLOOKUP(A1416,NOMENCLATOR!$A:$E,5,0),"")</f>
        <v>0.0503</v>
      </c>
      <c r="H1416" s="22" t="n">
        <f aca="false">IF(OR(C1416="",G1416=""),"",C1416*G1416)</f>
        <v>1.509</v>
      </c>
    </row>
    <row r="1417" customFormat="false" ht="15" hidden="false" customHeight="true" outlineLevel="0" collapsed="false">
      <c r="A1417" s="23" t="str">
        <f aca="false">IF(A1414="","",A1414)</f>
        <v>Topping Biscoff</v>
      </c>
      <c r="B1417" s="24"/>
      <c r="C1417" s="24"/>
      <c r="D1417" s="24"/>
      <c r="E1417" s="24"/>
      <c r="F1417" s="25" t="n">
        <f aca="false">IF(A1414="","",SUM(F1416:F1416))</f>
        <v>1.509</v>
      </c>
      <c r="G1417" s="24"/>
      <c r="H1417" s="26" t="n">
        <f aca="false">IF(A1414="","",SUM(H1416:H1416))</f>
        <v>1.509</v>
      </c>
    </row>
    <row r="1419" customFormat="false" ht="15" hidden="false" customHeight="true" outlineLevel="0" collapsed="false">
      <c r="A1419" s="12" t="s">
        <v>504</v>
      </c>
      <c r="B1419" s="13"/>
      <c r="C1419" s="13"/>
      <c r="D1419" s="13"/>
      <c r="E1419" s="13"/>
      <c r="F1419" s="14" t="s">
        <v>485</v>
      </c>
      <c r="G1419" s="13"/>
      <c r="H1419" s="15"/>
    </row>
    <row r="1420" customFormat="false" ht="15" hidden="false" customHeight="true" outlineLevel="0" collapsed="false">
      <c r="A1420" s="16" t="s">
        <v>316</v>
      </c>
      <c r="B1420" s="16" t="s">
        <v>317</v>
      </c>
      <c r="C1420" s="16" t="s">
        <v>318</v>
      </c>
      <c r="D1420" s="16" t="s">
        <v>4</v>
      </c>
      <c r="E1420" s="16" t="s">
        <v>319</v>
      </c>
      <c r="F1420" s="16" t="s">
        <v>320</v>
      </c>
      <c r="G1420" s="16" t="s">
        <v>321</v>
      </c>
      <c r="H1420" s="16" t="s">
        <v>322</v>
      </c>
    </row>
    <row r="1421" customFormat="false" ht="15" hidden="false" customHeight="true" outlineLevel="0" collapsed="false">
      <c r="A1421" s="17" t="s">
        <v>294</v>
      </c>
      <c r="B1421" s="18" t="str">
        <f aca="false">IFERROR(VLOOKUP(A1421,NOMENCLATOR!$A:$E,2,0),"")</f>
        <v>Topping Oreo Crunch (raw)</v>
      </c>
      <c r="C1421" s="19" t="n">
        <v>20</v>
      </c>
      <c r="D1421" s="20" t="str">
        <f aca="false">IFERROR(VLOOKUP(A1421,NOMENCLATOR!$A:$E,3,0),"")</f>
        <v>GM</v>
      </c>
      <c r="E1421" s="21" t="n">
        <f aca="false">IFERROR(VLOOKUP(A1421,NOMENCLATOR!$A:$E,4,0),"")</f>
        <v>0.09475</v>
      </c>
      <c r="F1421" s="21" t="n">
        <f aca="false">IF(OR(C1421="",E1421=""),"",C1421*E1421)</f>
        <v>1.895</v>
      </c>
      <c r="G1421" s="22" t="n">
        <f aca="false">IFERROR(VLOOKUP(A1421,NOMENCLATOR!$A:$E,5,0),"")</f>
        <v>0.09475</v>
      </c>
      <c r="H1421" s="22" t="n">
        <f aca="false">IF(OR(C1421="",G1421=""),"",C1421*G1421)</f>
        <v>1.895</v>
      </c>
    </row>
    <row r="1422" customFormat="false" ht="15" hidden="false" customHeight="true" outlineLevel="0" collapsed="false">
      <c r="A1422" s="23" t="str">
        <f aca="false">IF(A1419="","",A1419)</f>
        <v>topping OREO</v>
      </c>
      <c r="B1422" s="24"/>
      <c r="C1422" s="24"/>
      <c r="D1422" s="24"/>
      <c r="E1422" s="24"/>
      <c r="F1422" s="25" t="n">
        <f aca="false">IF(A1419="","",SUM(F1421:F1421))</f>
        <v>1.895</v>
      </c>
      <c r="G1422" s="24"/>
      <c r="H1422" s="26" t="n">
        <f aca="false">IF(A1419="","",SUM(H1421:H1421))</f>
        <v>1.895</v>
      </c>
    </row>
    <row r="1424" customFormat="false" ht="15" hidden="false" customHeight="true" outlineLevel="0" collapsed="false">
      <c r="A1424" s="12" t="s">
        <v>505</v>
      </c>
      <c r="B1424" s="13"/>
      <c r="C1424" s="13"/>
      <c r="D1424" s="13"/>
      <c r="E1424" s="13"/>
      <c r="F1424" s="14" t="s">
        <v>485</v>
      </c>
      <c r="G1424" s="13"/>
      <c r="H1424" s="15"/>
    </row>
    <row r="1425" customFormat="false" ht="15" hidden="false" customHeight="true" outlineLevel="0" collapsed="false">
      <c r="A1425" s="16" t="s">
        <v>316</v>
      </c>
      <c r="B1425" s="16" t="s">
        <v>317</v>
      </c>
      <c r="C1425" s="16" t="s">
        <v>318</v>
      </c>
      <c r="D1425" s="16" t="s">
        <v>4</v>
      </c>
      <c r="E1425" s="16" t="s">
        <v>319</v>
      </c>
      <c r="F1425" s="16" t="s">
        <v>320</v>
      </c>
      <c r="G1425" s="16" t="s">
        <v>321</v>
      </c>
      <c r="H1425" s="16" t="s">
        <v>322</v>
      </c>
    </row>
    <row r="1426" customFormat="false" ht="15" hidden="false" customHeight="true" outlineLevel="0" collapsed="false">
      <c r="A1426" s="17" t="s">
        <v>33</v>
      </c>
      <c r="B1426" s="18" t="str">
        <f aca="false">IFERROR(VLOOKUP(A1426,NOMENCLATOR!$A:$E,2,0),"")</f>
        <v>1.000 EA Topping KitKat Crunch (raw)</v>
      </c>
      <c r="C1426" s="19" t="n">
        <v>20</v>
      </c>
      <c r="D1426" s="20" t="str">
        <f aca="false">IFERROR(VLOOKUP(A1426,NOMENCLATOR!$A:$E,3,0),"")</f>
        <v>GM</v>
      </c>
      <c r="E1426" s="21" t="n">
        <f aca="false">IFERROR(VLOOKUP(A1426,NOMENCLATOR!$A:$E,4,0),"")</f>
        <v>0.0686</v>
      </c>
      <c r="F1426" s="21" t="n">
        <f aca="false">IF(OR(C1426="",E1426=""),"",C1426*E1426)</f>
        <v>1.372</v>
      </c>
      <c r="G1426" s="22" t="n">
        <f aca="false">IFERROR(VLOOKUP(A1426,NOMENCLATOR!$A:$E,5,0),"")</f>
        <v>0.0686</v>
      </c>
      <c r="H1426" s="22" t="n">
        <f aca="false">IF(OR(C1426="",G1426=""),"",C1426*G1426)</f>
        <v>1.372</v>
      </c>
    </row>
    <row r="1427" customFormat="false" ht="15" hidden="false" customHeight="true" outlineLevel="0" collapsed="false">
      <c r="A1427" s="23" t="str">
        <f aca="false">IF(A1424="","",A1424)</f>
        <v>topping KITKAT NEW</v>
      </c>
      <c r="B1427" s="24"/>
      <c r="C1427" s="24"/>
      <c r="D1427" s="24"/>
      <c r="E1427" s="24"/>
      <c r="F1427" s="25" t="n">
        <f aca="false">IF(A1424="","",SUM(F1426:F1426))</f>
        <v>1.372</v>
      </c>
      <c r="G1427" s="24"/>
      <c r="H1427" s="26" t="n">
        <f aca="false">IF(A1424="","",SUM(H1426:H1426))</f>
        <v>1.372</v>
      </c>
    </row>
    <row r="1429" customFormat="false" ht="15" hidden="false" customHeight="true" outlineLevel="0" collapsed="false">
      <c r="A1429" s="12" t="s">
        <v>506</v>
      </c>
      <c r="B1429" s="13"/>
      <c r="C1429" s="13"/>
      <c r="D1429" s="13"/>
      <c r="E1429" s="13"/>
      <c r="F1429" s="14" t="s">
        <v>485</v>
      </c>
      <c r="G1429" s="13"/>
      <c r="H1429" s="15"/>
    </row>
    <row r="1430" customFormat="false" ht="15" hidden="false" customHeight="true" outlineLevel="0" collapsed="false">
      <c r="A1430" s="16" t="s">
        <v>316</v>
      </c>
      <c r="B1430" s="16" t="s">
        <v>317</v>
      </c>
      <c r="C1430" s="16" t="s">
        <v>318</v>
      </c>
      <c r="D1430" s="16" t="s">
        <v>4</v>
      </c>
      <c r="E1430" s="16" t="s">
        <v>319</v>
      </c>
      <c r="F1430" s="16" t="s">
        <v>320</v>
      </c>
      <c r="G1430" s="16" t="s">
        <v>321</v>
      </c>
      <c r="H1430" s="16" t="s">
        <v>322</v>
      </c>
    </row>
    <row r="1431" customFormat="false" ht="15" hidden="false" customHeight="true" outlineLevel="0" collapsed="false">
      <c r="A1431" s="17" t="s">
        <v>48</v>
      </c>
      <c r="B1431" s="18" t="str">
        <f aca="false">IFERROR(VLOOKUP(A1431,NOMENCLATOR!$A:$E,2,0),"")</f>
        <v>APPLE CINNAMON TOPPING WITH DICES</v>
      </c>
      <c r="C1431" s="19" t="n">
        <v>40</v>
      </c>
      <c r="D1431" s="20" t="str">
        <f aca="false">IFERROR(VLOOKUP(A1431,NOMENCLATOR!$A:$E,3,0),"")</f>
        <v>GM</v>
      </c>
      <c r="E1431" s="21" t="n">
        <f aca="false">IFERROR(VLOOKUP(A1431,NOMENCLATOR!$A:$E,4,0),"")</f>
        <v>0.01883</v>
      </c>
      <c r="F1431" s="21" t="n">
        <f aca="false">IF(OR(C1431="",E1431=""),"",C1431*E1431)</f>
        <v>0.7532</v>
      </c>
      <c r="G1431" s="22" t="n">
        <f aca="false">IFERROR(VLOOKUP(A1431,NOMENCLATOR!$A:$E,5,0),"")</f>
        <v>0.01883</v>
      </c>
      <c r="H1431" s="22" t="n">
        <f aca="false">IF(OR(C1431="",G1431=""),"",C1431*G1431)</f>
        <v>0.7532</v>
      </c>
    </row>
    <row r="1432" customFormat="false" ht="15" hidden="false" customHeight="true" outlineLevel="0" collapsed="false">
      <c r="A1432" s="23" t="str">
        <f aca="false">IF(A1429="","",A1429)</f>
        <v>topping APPLE CINAMON NEW</v>
      </c>
      <c r="B1432" s="24"/>
      <c r="C1432" s="24"/>
      <c r="D1432" s="24"/>
      <c r="E1432" s="24"/>
      <c r="F1432" s="25" t="n">
        <f aca="false">IF(A1429="","",SUM(F1431:F1431))</f>
        <v>0.7532</v>
      </c>
      <c r="G1432" s="24"/>
      <c r="H1432" s="26" t="n">
        <f aca="false">IF(A1429="","",SUM(H1431:H1431))</f>
        <v>0.7532</v>
      </c>
    </row>
    <row r="1434" customFormat="false" ht="15" hidden="false" customHeight="true" outlineLevel="0" collapsed="false">
      <c r="A1434" s="12" t="s">
        <v>507</v>
      </c>
      <c r="B1434" s="13"/>
      <c r="C1434" s="13"/>
      <c r="D1434" s="13"/>
      <c r="E1434" s="13"/>
      <c r="F1434" s="14" t="s">
        <v>485</v>
      </c>
      <c r="G1434" s="13"/>
      <c r="H1434" s="15"/>
    </row>
    <row r="1435" customFormat="false" ht="15" hidden="false" customHeight="true" outlineLevel="0" collapsed="false">
      <c r="A1435" s="16" t="s">
        <v>316</v>
      </c>
      <c r="B1435" s="16" t="s">
        <v>317</v>
      </c>
      <c r="C1435" s="16" t="s">
        <v>318</v>
      </c>
      <c r="D1435" s="16" t="s">
        <v>4</v>
      </c>
      <c r="E1435" s="16" t="s">
        <v>319</v>
      </c>
      <c r="F1435" s="16" t="s">
        <v>320</v>
      </c>
      <c r="G1435" s="16" t="s">
        <v>321</v>
      </c>
      <c r="H1435" s="16" t="s">
        <v>322</v>
      </c>
    </row>
    <row r="1436" customFormat="false" ht="15" hidden="false" customHeight="true" outlineLevel="0" collapsed="false">
      <c r="A1436" s="17" t="s">
        <v>178</v>
      </c>
      <c r="B1436" s="18" t="str">
        <f aca="false">IFERROR(VLOOKUP(A1436,NOMENCLATOR!$A:$E,2,0),"")</f>
        <v>Nutella (raw)</v>
      </c>
      <c r="C1436" s="19" t="n">
        <v>25</v>
      </c>
      <c r="D1436" s="20" t="str">
        <f aca="false">IFERROR(VLOOKUP(A1436,NOMENCLATOR!$A:$E,3,0),"")</f>
        <v>GM</v>
      </c>
      <c r="E1436" s="21" t="n">
        <f aca="false">IFERROR(VLOOKUP(A1436,NOMENCLATOR!$A:$E,4,0),"")</f>
        <v>0.03666</v>
      </c>
      <c r="F1436" s="21" t="n">
        <f aca="false">IF(OR(C1436="",E1436=""),"",C1436*E1436)</f>
        <v>0.9165</v>
      </c>
      <c r="G1436" s="22" t="n">
        <f aca="false">IFERROR(VLOOKUP(A1436,NOMENCLATOR!$A:$E,5,0),"")</f>
        <v>0.03666</v>
      </c>
      <c r="H1436" s="22" t="n">
        <f aca="false">IF(OR(C1436="",G1436=""),"",C1436*G1436)</f>
        <v>0.9165</v>
      </c>
    </row>
    <row r="1437" customFormat="false" ht="15" hidden="false" customHeight="true" outlineLevel="0" collapsed="false">
      <c r="A1437" s="23" t="str">
        <f aca="false">IF(A1434="","",A1434)</f>
        <v>add NUTELLA milkshake NEW</v>
      </c>
      <c r="B1437" s="24"/>
      <c r="C1437" s="24"/>
      <c r="D1437" s="24"/>
      <c r="E1437" s="24"/>
      <c r="F1437" s="25" t="n">
        <f aca="false">IF(A1434="","",SUM(F1436:F1436))</f>
        <v>0.9165</v>
      </c>
      <c r="G1437" s="24"/>
      <c r="H1437" s="26" t="n">
        <f aca="false">IF(A1434="","",SUM(H1436:H1436))</f>
        <v>0.9165</v>
      </c>
    </row>
    <row r="1439" customFormat="false" ht="15" hidden="false" customHeight="true" outlineLevel="0" collapsed="false">
      <c r="A1439" s="12" t="s">
        <v>508</v>
      </c>
      <c r="B1439" s="13"/>
      <c r="C1439" s="13"/>
      <c r="D1439" s="13"/>
      <c r="E1439" s="13"/>
      <c r="F1439" s="14" t="s">
        <v>485</v>
      </c>
      <c r="G1439" s="13"/>
      <c r="H1439" s="15"/>
    </row>
    <row r="1440" customFormat="false" ht="15" hidden="false" customHeight="true" outlineLevel="0" collapsed="false">
      <c r="A1440" s="16" t="s">
        <v>316</v>
      </c>
      <c r="B1440" s="16" t="s">
        <v>317</v>
      </c>
      <c r="C1440" s="16" t="s">
        <v>318</v>
      </c>
      <c r="D1440" s="16" t="s">
        <v>4</v>
      </c>
      <c r="E1440" s="16" t="s">
        <v>319</v>
      </c>
      <c r="F1440" s="16" t="s">
        <v>320</v>
      </c>
      <c r="G1440" s="16" t="s">
        <v>321</v>
      </c>
      <c r="H1440" s="16" t="s">
        <v>322</v>
      </c>
    </row>
    <row r="1441" customFormat="false" ht="15" hidden="false" customHeight="true" outlineLevel="0" collapsed="false">
      <c r="A1441" s="17" t="s">
        <v>308</v>
      </c>
      <c r="B1441" s="18" t="str">
        <f aca="false">IFERROR(VLOOKUP(A1441,NOMENCLATOR!$A:$E,2,0),"")</f>
        <v>Y-Capsuni Feliate</v>
      </c>
      <c r="C1441" s="19" t="n">
        <v>20</v>
      </c>
      <c r="D1441" s="20" t="str">
        <f aca="false">IFERROR(VLOOKUP(A1441,NOMENCLATOR!$A:$E,3,0),"")</f>
        <v>GM</v>
      </c>
      <c r="E1441" s="21" t="n">
        <f aca="false">IFERROR(VLOOKUP(A1441,NOMENCLATOR!$A:$E,4,0),"")</f>
        <v>0.034</v>
      </c>
      <c r="F1441" s="21" t="n">
        <f aca="false">IF(OR(C1441="",E1441=""),"",C1441*E1441)</f>
        <v>0.68</v>
      </c>
      <c r="G1441" s="22" t="n">
        <f aca="false">IFERROR(VLOOKUP(A1441,NOMENCLATOR!$A:$E,5,0),"")</f>
        <v>0.034</v>
      </c>
      <c r="H1441" s="22" t="n">
        <f aca="false">IF(OR(C1441="",G1441=""),"",C1441*G1441)</f>
        <v>0.68</v>
      </c>
    </row>
    <row r="1442" customFormat="false" ht="15" hidden="false" customHeight="true" outlineLevel="0" collapsed="false">
      <c r="A1442" s="23" t="str">
        <f aca="false">IF(A1439="","",A1439)</f>
        <v>ADD-ON CAPSUNI NEW</v>
      </c>
      <c r="B1442" s="24"/>
      <c r="C1442" s="24"/>
      <c r="D1442" s="24"/>
      <c r="E1442" s="24"/>
      <c r="F1442" s="25" t="n">
        <f aca="false">IF(A1439="","",SUM(F1441:F1441))</f>
        <v>0.68</v>
      </c>
      <c r="G1442" s="24"/>
      <c r="H1442" s="26" t="n">
        <f aca="false">IF(A1439="","",SUM(H1441:H1441))</f>
        <v>0.68</v>
      </c>
    </row>
    <row r="1444" customFormat="false" ht="15" hidden="false" customHeight="true" outlineLevel="0" collapsed="false">
      <c r="A1444" s="12" t="s">
        <v>509</v>
      </c>
      <c r="B1444" s="13"/>
      <c r="C1444" s="13"/>
      <c r="D1444" s="13"/>
      <c r="E1444" s="13"/>
      <c r="F1444" s="14" t="s">
        <v>485</v>
      </c>
      <c r="G1444" s="13"/>
      <c r="H1444" s="15"/>
    </row>
    <row r="1445" customFormat="false" ht="15" hidden="false" customHeight="true" outlineLevel="0" collapsed="false">
      <c r="A1445" s="16" t="s">
        <v>316</v>
      </c>
      <c r="B1445" s="16" t="s">
        <v>317</v>
      </c>
      <c r="C1445" s="16" t="s">
        <v>318</v>
      </c>
      <c r="D1445" s="16" t="s">
        <v>4</v>
      </c>
      <c r="E1445" s="16" t="s">
        <v>319</v>
      </c>
      <c r="F1445" s="16" t="s">
        <v>320</v>
      </c>
      <c r="G1445" s="16" t="s">
        <v>321</v>
      </c>
      <c r="H1445" s="16" t="s">
        <v>322</v>
      </c>
    </row>
    <row r="1446" customFormat="false" ht="15" hidden="false" customHeight="true" outlineLevel="0" collapsed="false">
      <c r="A1446" s="17" t="s">
        <v>16</v>
      </c>
      <c r="B1446" s="18" t="str">
        <f aca="false">IFERROR(VLOOKUP(A1446,NOMENCLATOR!$A:$E,2,0),"")</f>
        <v>1.000 EA BASE - Milkshake 2026</v>
      </c>
      <c r="C1446" s="19" t="n">
        <v>1</v>
      </c>
      <c r="D1446" s="20" t="str">
        <f aca="false">IFERROR(VLOOKUP(A1446,NOMENCLATOR!$A:$E,3,0),"")</f>
        <v>EA</v>
      </c>
      <c r="E1446" s="21" t="n">
        <f aca="false">IFERROR(VLOOKUP(A1446,NOMENCLATOR!$A:$E,4,0),"")</f>
        <v>3.115</v>
      </c>
      <c r="F1446" s="21" t="n">
        <f aca="false">IF(OR(C1446="",E1446=""),"",C1446*E1446)</f>
        <v>3.115</v>
      </c>
      <c r="G1446" s="22" t="n">
        <f aca="false">IFERROR(VLOOKUP(A1446,NOMENCLATOR!$A:$E,5,0),"")</f>
        <v>3.115</v>
      </c>
      <c r="H1446" s="22" t="n">
        <f aca="false">IF(OR(C1446="",G1446=""),"",C1446*G1446)</f>
        <v>3.115</v>
      </c>
    </row>
    <row r="1447" customFormat="false" ht="15" hidden="false" customHeight="true" outlineLevel="0" collapsed="false">
      <c r="A1447" s="23" t="str">
        <f aca="false">IF(A1444="","",A1444)</f>
        <v>Milkshake Vanilie 200G</v>
      </c>
      <c r="B1447" s="24"/>
      <c r="C1447" s="24"/>
      <c r="D1447" s="24"/>
      <c r="E1447" s="24"/>
      <c r="F1447" s="25" t="n">
        <f aca="false">IF(A1444="","",SUM(F1446:F1446))</f>
        <v>3.115</v>
      </c>
      <c r="G1447" s="24"/>
      <c r="H1447" s="26" t="n">
        <f aca="false">IF(A1444="","",SUM(H1446:H1446))</f>
        <v>3.115</v>
      </c>
    </row>
    <row r="1449" customFormat="false" ht="15" hidden="false" customHeight="true" outlineLevel="0" collapsed="false">
      <c r="A1449" s="12" t="s">
        <v>510</v>
      </c>
      <c r="B1449" s="13"/>
      <c r="C1449" s="13"/>
      <c r="D1449" s="13"/>
      <c r="E1449" s="13"/>
      <c r="F1449" s="14" t="s">
        <v>485</v>
      </c>
      <c r="G1449" s="13"/>
      <c r="H1449" s="15"/>
    </row>
    <row r="1450" customFormat="false" ht="15" hidden="false" customHeight="true" outlineLevel="0" collapsed="false">
      <c r="A1450" s="16" t="s">
        <v>316</v>
      </c>
      <c r="B1450" s="16" t="s">
        <v>317</v>
      </c>
      <c r="C1450" s="16" t="s">
        <v>318</v>
      </c>
      <c r="D1450" s="16" t="s">
        <v>4</v>
      </c>
      <c r="E1450" s="16" t="s">
        <v>319</v>
      </c>
      <c r="F1450" s="16" t="s">
        <v>320</v>
      </c>
      <c r="G1450" s="16" t="s">
        <v>321</v>
      </c>
      <c r="H1450" s="16" t="s">
        <v>322</v>
      </c>
    </row>
    <row r="1451" customFormat="false" ht="15" hidden="false" customHeight="true" outlineLevel="0" collapsed="false">
      <c r="A1451" s="17" t="s">
        <v>18</v>
      </c>
      <c r="B1451" s="18" t="str">
        <f aca="false">IFERROR(VLOOKUP(A1451,NOMENCLATOR!$A:$E,2,0),"")</f>
        <v>1.000 EA BASE - Milkshake CAN</v>
      </c>
      <c r="C1451" s="19" t="n">
        <v>1</v>
      </c>
      <c r="D1451" s="20" t="str">
        <f aca="false">IFERROR(VLOOKUP(A1451,NOMENCLATOR!$A:$E,3,0),"")</f>
        <v>EA</v>
      </c>
      <c r="E1451" s="21" t="n">
        <f aca="false">IFERROR(VLOOKUP(A1451,NOMENCLATOR!$A:$E,4,0),"")</f>
        <v>5.216</v>
      </c>
      <c r="F1451" s="21" t="n">
        <f aca="false">IF(OR(C1451="",E1451=""),"",C1451*E1451)</f>
        <v>5.216</v>
      </c>
      <c r="G1451" s="22" t="n">
        <f aca="false">IFERROR(VLOOKUP(A1451,NOMENCLATOR!$A:$E,5,0),"")</f>
        <v>5.216</v>
      </c>
      <c r="H1451" s="22" t="n">
        <f aca="false">IF(OR(C1451="",G1451=""),"",C1451*G1451)</f>
        <v>5.216</v>
      </c>
    </row>
    <row r="1452" customFormat="false" ht="15" hidden="false" customHeight="true" outlineLevel="0" collapsed="false">
      <c r="A1452" s="23" t="str">
        <f aca="false">IF(A1449="","",A1449)</f>
        <v>Milkshake Vanilie 200G D</v>
      </c>
      <c r="B1452" s="24"/>
      <c r="C1452" s="24"/>
      <c r="D1452" s="24"/>
      <c r="E1452" s="24"/>
      <c r="F1452" s="25" t="n">
        <f aca="false">IF(A1449="","",SUM(F1451:F1451))</f>
        <v>5.216</v>
      </c>
      <c r="G1452" s="24"/>
      <c r="H1452" s="26" t="n">
        <f aca="false">IF(A1449="","",SUM(H1451:H1451))</f>
        <v>5.216</v>
      </c>
    </row>
    <row r="1454" customFormat="false" ht="15" hidden="false" customHeight="true" outlineLevel="0" collapsed="false">
      <c r="A1454" s="12" t="s">
        <v>511</v>
      </c>
      <c r="B1454" s="13"/>
      <c r="C1454" s="13"/>
      <c r="D1454" s="13"/>
      <c r="E1454" s="13"/>
      <c r="F1454" s="14" t="s">
        <v>485</v>
      </c>
      <c r="G1454" s="13"/>
      <c r="H1454" s="15"/>
    </row>
    <row r="1455" customFormat="false" ht="15" hidden="false" customHeight="true" outlineLevel="0" collapsed="false">
      <c r="A1455" s="16" t="s">
        <v>316</v>
      </c>
      <c r="B1455" s="16" t="s">
        <v>317</v>
      </c>
      <c r="C1455" s="16" t="s">
        <v>318</v>
      </c>
      <c r="D1455" s="16" t="s">
        <v>4</v>
      </c>
      <c r="E1455" s="16" t="s">
        <v>319</v>
      </c>
      <c r="F1455" s="16" t="s">
        <v>320</v>
      </c>
      <c r="G1455" s="16" t="s">
        <v>321</v>
      </c>
      <c r="H1455" s="16" t="s">
        <v>322</v>
      </c>
    </row>
    <row r="1456" customFormat="false" ht="15" hidden="false" customHeight="true" outlineLevel="0" collapsed="false">
      <c r="A1456" s="17" t="s">
        <v>16</v>
      </c>
      <c r="B1456" s="18" t="str">
        <f aca="false">IFERROR(VLOOKUP(A1456,NOMENCLATOR!$A:$E,2,0),"")</f>
        <v>1.000 EA BASE - Milkshake 2026</v>
      </c>
      <c r="C1456" s="19" t="n">
        <v>1</v>
      </c>
      <c r="D1456" s="20" t="str">
        <f aca="false">IFERROR(VLOOKUP(A1456,NOMENCLATOR!$A:$E,3,0),"")</f>
        <v>EA</v>
      </c>
      <c r="E1456" s="21" t="n">
        <f aca="false">IFERROR(VLOOKUP(A1456,NOMENCLATOR!$A:$E,4,0),"")</f>
        <v>3.115</v>
      </c>
      <c r="F1456" s="21" t="n">
        <f aca="false">IF(OR(C1456="",E1456=""),"",C1456*E1456)</f>
        <v>3.115</v>
      </c>
      <c r="G1456" s="22" t="n">
        <f aca="false">IFERROR(VLOOKUP(A1456,NOMENCLATOR!$A:$E,5,0),"")</f>
        <v>3.115</v>
      </c>
      <c r="H1456" s="22" t="n">
        <f aca="false">IF(OR(C1456="",G1456=""),"",C1456*G1456)</f>
        <v>3.115</v>
      </c>
    </row>
    <row r="1457" customFormat="false" ht="15" hidden="false" customHeight="true" outlineLevel="0" collapsed="false">
      <c r="A1457" s="17" t="s">
        <v>178</v>
      </c>
      <c r="B1457" s="18" t="str">
        <f aca="false">IFERROR(VLOOKUP(A1457,NOMENCLATOR!$A:$E,2,0),"")</f>
        <v>Nutella (raw)</v>
      </c>
      <c r="C1457" s="19" t="n">
        <v>25</v>
      </c>
      <c r="D1457" s="20" t="str">
        <f aca="false">IFERROR(VLOOKUP(A1457,NOMENCLATOR!$A:$E,3,0),"")</f>
        <v>GM</v>
      </c>
      <c r="E1457" s="21" t="n">
        <f aca="false">IFERROR(VLOOKUP(A1457,NOMENCLATOR!$A:$E,4,0),"")</f>
        <v>0.03666</v>
      </c>
      <c r="F1457" s="21" t="n">
        <f aca="false">IF(OR(C1457="",E1457=""),"",C1457*E1457)</f>
        <v>0.9165</v>
      </c>
      <c r="G1457" s="22" t="n">
        <f aca="false">IFERROR(VLOOKUP(A1457,NOMENCLATOR!$A:$E,5,0),"")</f>
        <v>0.03666</v>
      </c>
      <c r="H1457" s="22" t="n">
        <f aca="false">IF(OR(C1457="",G1457=""),"",C1457*G1457)</f>
        <v>0.9165</v>
      </c>
    </row>
    <row r="1458" customFormat="false" ht="15" hidden="false" customHeight="true" outlineLevel="0" collapsed="false">
      <c r="A1458" s="23" t="str">
        <f aca="false">IF(A1454="","",A1454)</f>
        <v>Milkshake Ciocolata 200G</v>
      </c>
      <c r="B1458" s="24"/>
      <c r="C1458" s="24"/>
      <c r="D1458" s="24"/>
      <c r="E1458" s="24"/>
      <c r="F1458" s="25" t="n">
        <f aca="false">IF(A1454="","",SUM(F1456:F1457))</f>
        <v>4.0315</v>
      </c>
      <c r="G1458" s="24"/>
      <c r="H1458" s="26" t="n">
        <f aca="false">IF(A1454="","",SUM(H1456:H1457))</f>
        <v>4.0315</v>
      </c>
    </row>
    <row r="1460" customFormat="false" ht="15" hidden="false" customHeight="true" outlineLevel="0" collapsed="false">
      <c r="A1460" s="12" t="s">
        <v>512</v>
      </c>
      <c r="B1460" s="13"/>
      <c r="C1460" s="13"/>
      <c r="D1460" s="13"/>
      <c r="E1460" s="13"/>
      <c r="F1460" s="14" t="s">
        <v>485</v>
      </c>
      <c r="G1460" s="13"/>
      <c r="H1460" s="15"/>
    </row>
    <row r="1461" customFormat="false" ht="15" hidden="false" customHeight="true" outlineLevel="0" collapsed="false">
      <c r="A1461" s="16" t="s">
        <v>316</v>
      </c>
      <c r="B1461" s="16" t="s">
        <v>317</v>
      </c>
      <c r="C1461" s="16" t="s">
        <v>318</v>
      </c>
      <c r="D1461" s="16" t="s">
        <v>4</v>
      </c>
      <c r="E1461" s="16" t="s">
        <v>319</v>
      </c>
      <c r="F1461" s="16" t="s">
        <v>320</v>
      </c>
      <c r="G1461" s="16" t="s">
        <v>321</v>
      </c>
      <c r="H1461" s="16" t="s">
        <v>322</v>
      </c>
    </row>
    <row r="1462" customFormat="false" ht="15" hidden="false" customHeight="true" outlineLevel="0" collapsed="false">
      <c r="A1462" s="17" t="s">
        <v>18</v>
      </c>
      <c r="B1462" s="18" t="str">
        <f aca="false">IFERROR(VLOOKUP(A1462,NOMENCLATOR!$A:$E,2,0),"")</f>
        <v>1.000 EA BASE - Milkshake CAN</v>
      </c>
      <c r="C1462" s="19" t="n">
        <v>1</v>
      </c>
      <c r="D1462" s="20" t="str">
        <f aca="false">IFERROR(VLOOKUP(A1462,NOMENCLATOR!$A:$E,3,0),"")</f>
        <v>EA</v>
      </c>
      <c r="E1462" s="21" t="n">
        <f aca="false">IFERROR(VLOOKUP(A1462,NOMENCLATOR!$A:$E,4,0),"")</f>
        <v>5.216</v>
      </c>
      <c r="F1462" s="21" t="n">
        <f aca="false">IF(OR(C1462="",E1462=""),"",C1462*E1462)</f>
        <v>5.216</v>
      </c>
      <c r="G1462" s="22" t="n">
        <f aca="false">IFERROR(VLOOKUP(A1462,NOMENCLATOR!$A:$E,5,0),"")</f>
        <v>5.216</v>
      </c>
      <c r="H1462" s="22" t="n">
        <f aca="false">IF(OR(C1462="",G1462=""),"",C1462*G1462)</f>
        <v>5.216</v>
      </c>
    </row>
    <row r="1463" customFormat="false" ht="15" hidden="false" customHeight="true" outlineLevel="0" collapsed="false">
      <c r="A1463" s="17" t="s">
        <v>178</v>
      </c>
      <c r="B1463" s="18" t="str">
        <f aca="false">IFERROR(VLOOKUP(A1463,NOMENCLATOR!$A:$E,2,0),"")</f>
        <v>Nutella (raw)</v>
      </c>
      <c r="C1463" s="19" t="n">
        <v>25</v>
      </c>
      <c r="D1463" s="20" t="str">
        <f aca="false">IFERROR(VLOOKUP(A1463,NOMENCLATOR!$A:$E,3,0),"")</f>
        <v>GM</v>
      </c>
      <c r="E1463" s="21" t="n">
        <f aca="false">IFERROR(VLOOKUP(A1463,NOMENCLATOR!$A:$E,4,0),"")</f>
        <v>0.03666</v>
      </c>
      <c r="F1463" s="21" t="n">
        <f aca="false">IF(OR(C1463="",E1463=""),"",C1463*E1463)</f>
        <v>0.9165</v>
      </c>
      <c r="G1463" s="22" t="n">
        <f aca="false">IFERROR(VLOOKUP(A1463,NOMENCLATOR!$A:$E,5,0),"")</f>
        <v>0.03666</v>
      </c>
      <c r="H1463" s="22" t="n">
        <f aca="false">IF(OR(C1463="",G1463=""),"",C1463*G1463)</f>
        <v>0.9165</v>
      </c>
    </row>
    <row r="1464" customFormat="false" ht="15" hidden="false" customHeight="true" outlineLevel="0" collapsed="false">
      <c r="A1464" s="23" t="str">
        <f aca="false">IF(A1460="","",A1460)</f>
        <v>Milkshake Ciocolata 200G D</v>
      </c>
      <c r="B1464" s="24"/>
      <c r="C1464" s="24"/>
      <c r="D1464" s="24"/>
      <c r="E1464" s="24"/>
      <c r="F1464" s="25" t="n">
        <f aca="false">IF(A1460="","",SUM(F1462:F1463))</f>
        <v>6.1325</v>
      </c>
      <c r="G1464" s="24"/>
      <c r="H1464" s="26" t="n">
        <f aca="false">IF(A1460="","",SUM(H1462:H1463))</f>
        <v>6.1325</v>
      </c>
    </row>
    <row r="1466" customFormat="false" ht="15" hidden="false" customHeight="true" outlineLevel="0" collapsed="false">
      <c r="A1466" s="12" t="s">
        <v>513</v>
      </c>
      <c r="B1466" s="13"/>
      <c r="C1466" s="13"/>
      <c r="D1466" s="13"/>
      <c r="E1466" s="13"/>
      <c r="F1466" s="14" t="s">
        <v>485</v>
      </c>
      <c r="G1466" s="13"/>
      <c r="H1466" s="15"/>
    </row>
    <row r="1467" customFormat="false" ht="15" hidden="false" customHeight="true" outlineLevel="0" collapsed="false">
      <c r="A1467" s="16" t="s">
        <v>316</v>
      </c>
      <c r="B1467" s="16" t="s">
        <v>317</v>
      </c>
      <c r="C1467" s="16" t="s">
        <v>318</v>
      </c>
      <c r="D1467" s="16" t="s">
        <v>4</v>
      </c>
      <c r="E1467" s="16" t="s">
        <v>319</v>
      </c>
      <c r="F1467" s="16" t="s">
        <v>320</v>
      </c>
      <c r="G1467" s="16" t="s">
        <v>321</v>
      </c>
      <c r="H1467" s="16" t="s">
        <v>322</v>
      </c>
    </row>
    <row r="1468" customFormat="false" ht="15" hidden="false" customHeight="true" outlineLevel="0" collapsed="false">
      <c r="A1468" s="17" t="s">
        <v>16</v>
      </c>
      <c r="B1468" s="18" t="str">
        <f aca="false">IFERROR(VLOOKUP(A1468,NOMENCLATOR!$A:$E,2,0),"")</f>
        <v>1.000 EA BASE - Milkshake 2026</v>
      </c>
      <c r="C1468" s="19" t="n">
        <v>1</v>
      </c>
      <c r="D1468" s="20" t="str">
        <f aca="false">IFERROR(VLOOKUP(A1468,NOMENCLATOR!$A:$E,3,0),"")</f>
        <v>EA</v>
      </c>
      <c r="E1468" s="21" t="n">
        <f aca="false">IFERROR(VLOOKUP(A1468,NOMENCLATOR!$A:$E,4,0),"")</f>
        <v>3.115</v>
      </c>
      <c r="F1468" s="21" t="n">
        <f aca="false">IF(OR(C1468="",E1468=""),"",C1468*E1468)</f>
        <v>3.115</v>
      </c>
      <c r="G1468" s="22" t="n">
        <f aca="false">IFERROR(VLOOKUP(A1468,NOMENCLATOR!$A:$E,5,0),"")</f>
        <v>3.115</v>
      </c>
      <c r="H1468" s="22" t="n">
        <f aca="false">IF(OR(C1468="",G1468=""),"",C1468*G1468)</f>
        <v>3.115</v>
      </c>
    </row>
    <row r="1469" customFormat="false" ht="15" hidden="false" customHeight="true" outlineLevel="0" collapsed="false">
      <c r="A1469" s="17" t="s">
        <v>218</v>
      </c>
      <c r="B1469" s="18" t="str">
        <f aca="false">IFERROR(VLOOKUP(A1469,NOMENCLATOR!$A:$E,2,0),"")</f>
        <v>Piure Capsuni Monin</v>
      </c>
      <c r="C1469" s="19" t="n">
        <v>15</v>
      </c>
      <c r="D1469" s="20" t="str">
        <f aca="false">IFERROR(VLOOKUP(A1469,NOMENCLATOR!$A:$E,3,0),"")</f>
        <v>ML</v>
      </c>
      <c r="E1469" s="21" t="n">
        <f aca="false">IFERROR(VLOOKUP(A1469,NOMENCLATOR!$A:$E,4,0),"")</f>
        <v>0.08747</v>
      </c>
      <c r="F1469" s="21" t="n">
        <f aca="false">IF(OR(C1469="",E1469=""),"",C1469*E1469)</f>
        <v>1.31205</v>
      </c>
      <c r="G1469" s="22" t="n">
        <f aca="false">IFERROR(VLOOKUP(A1469,NOMENCLATOR!$A:$E,5,0),"")</f>
        <v>0.08747</v>
      </c>
      <c r="H1469" s="22" t="n">
        <f aca="false">IF(OR(C1469="",G1469=""),"",C1469*G1469)</f>
        <v>1.31205</v>
      </c>
    </row>
    <row r="1470" customFormat="false" ht="15" hidden="false" customHeight="true" outlineLevel="0" collapsed="false">
      <c r="A1470" s="23" t="str">
        <f aca="false">IF(A1466="","",A1466)</f>
        <v>Milkshake Capsuni 200G</v>
      </c>
      <c r="B1470" s="24"/>
      <c r="C1470" s="24"/>
      <c r="D1470" s="24"/>
      <c r="E1470" s="24"/>
      <c r="F1470" s="25" t="n">
        <f aca="false">IF(A1466="","",SUM(F1468:F1469))</f>
        <v>4.42705</v>
      </c>
      <c r="G1470" s="24"/>
      <c r="H1470" s="26" t="n">
        <f aca="false">IF(A1466="","",SUM(H1468:H1469))</f>
        <v>4.42705</v>
      </c>
    </row>
    <row r="1472" customFormat="false" ht="15" hidden="false" customHeight="true" outlineLevel="0" collapsed="false">
      <c r="A1472" s="12" t="s">
        <v>514</v>
      </c>
      <c r="B1472" s="13"/>
      <c r="C1472" s="13"/>
      <c r="D1472" s="13"/>
      <c r="E1472" s="13"/>
      <c r="F1472" s="14" t="s">
        <v>485</v>
      </c>
      <c r="G1472" s="13"/>
      <c r="H1472" s="15"/>
    </row>
    <row r="1473" customFormat="false" ht="15" hidden="false" customHeight="true" outlineLevel="0" collapsed="false">
      <c r="A1473" s="16" t="s">
        <v>316</v>
      </c>
      <c r="B1473" s="16" t="s">
        <v>317</v>
      </c>
      <c r="C1473" s="16" t="s">
        <v>318</v>
      </c>
      <c r="D1473" s="16" t="s">
        <v>4</v>
      </c>
      <c r="E1473" s="16" t="s">
        <v>319</v>
      </c>
      <c r="F1473" s="16" t="s">
        <v>320</v>
      </c>
      <c r="G1473" s="16" t="s">
        <v>321</v>
      </c>
      <c r="H1473" s="16" t="s">
        <v>322</v>
      </c>
    </row>
    <row r="1474" customFormat="false" ht="15" hidden="false" customHeight="true" outlineLevel="0" collapsed="false">
      <c r="A1474" s="17" t="s">
        <v>18</v>
      </c>
      <c r="B1474" s="18" t="str">
        <f aca="false">IFERROR(VLOOKUP(A1474,NOMENCLATOR!$A:$E,2,0),"")</f>
        <v>1.000 EA BASE - Milkshake CAN</v>
      </c>
      <c r="C1474" s="19" t="n">
        <v>1</v>
      </c>
      <c r="D1474" s="20" t="str">
        <f aca="false">IFERROR(VLOOKUP(A1474,NOMENCLATOR!$A:$E,3,0),"")</f>
        <v>EA</v>
      </c>
      <c r="E1474" s="21" t="n">
        <f aca="false">IFERROR(VLOOKUP(A1474,NOMENCLATOR!$A:$E,4,0),"")</f>
        <v>5.216</v>
      </c>
      <c r="F1474" s="21" t="n">
        <f aca="false">IF(OR(C1474="",E1474=""),"",C1474*E1474)</f>
        <v>5.216</v>
      </c>
      <c r="G1474" s="22" t="n">
        <f aca="false">IFERROR(VLOOKUP(A1474,NOMENCLATOR!$A:$E,5,0),"")</f>
        <v>5.216</v>
      </c>
      <c r="H1474" s="22" t="n">
        <f aca="false">IF(OR(C1474="",G1474=""),"",C1474*G1474)</f>
        <v>5.216</v>
      </c>
    </row>
    <row r="1475" customFormat="false" ht="15" hidden="false" customHeight="true" outlineLevel="0" collapsed="false">
      <c r="A1475" s="17" t="s">
        <v>218</v>
      </c>
      <c r="B1475" s="18" t="str">
        <f aca="false">IFERROR(VLOOKUP(A1475,NOMENCLATOR!$A:$E,2,0),"")</f>
        <v>Piure Capsuni Monin</v>
      </c>
      <c r="C1475" s="19" t="n">
        <v>15</v>
      </c>
      <c r="D1475" s="20" t="str">
        <f aca="false">IFERROR(VLOOKUP(A1475,NOMENCLATOR!$A:$E,3,0),"")</f>
        <v>ML</v>
      </c>
      <c r="E1475" s="21" t="n">
        <f aca="false">IFERROR(VLOOKUP(A1475,NOMENCLATOR!$A:$E,4,0),"")</f>
        <v>0.08747</v>
      </c>
      <c r="F1475" s="21" t="n">
        <f aca="false">IF(OR(C1475="",E1475=""),"",C1475*E1475)</f>
        <v>1.31205</v>
      </c>
      <c r="G1475" s="22" t="n">
        <f aca="false">IFERROR(VLOOKUP(A1475,NOMENCLATOR!$A:$E,5,0),"")</f>
        <v>0.08747</v>
      </c>
      <c r="H1475" s="22" t="n">
        <f aca="false">IF(OR(C1475="",G1475=""),"",C1475*G1475)</f>
        <v>1.31205</v>
      </c>
    </row>
    <row r="1476" customFormat="false" ht="15" hidden="false" customHeight="true" outlineLevel="0" collapsed="false">
      <c r="A1476" s="23" t="str">
        <f aca="false">IF(A1472="","",A1472)</f>
        <v>Milkshake Capsuni 200G D</v>
      </c>
      <c r="B1476" s="24"/>
      <c r="C1476" s="24"/>
      <c r="D1476" s="24"/>
      <c r="E1476" s="24"/>
      <c r="F1476" s="25" t="n">
        <f aca="false">IF(A1472="","",SUM(F1474:F1475))</f>
        <v>6.52805</v>
      </c>
      <c r="G1476" s="24"/>
      <c r="H1476" s="26" t="n">
        <f aca="false">IF(A1472="","",SUM(H1474:H1475))</f>
        <v>6.52805</v>
      </c>
    </row>
    <row r="1478" customFormat="false" ht="15" hidden="false" customHeight="true" outlineLevel="0" collapsed="false">
      <c r="A1478" s="12" t="s">
        <v>515</v>
      </c>
      <c r="B1478" s="13"/>
      <c r="C1478" s="13"/>
      <c r="D1478" s="13"/>
      <c r="E1478" s="13"/>
      <c r="F1478" s="14" t="s">
        <v>485</v>
      </c>
      <c r="G1478" s="13"/>
      <c r="H1478" s="15"/>
    </row>
    <row r="1479" customFormat="false" ht="15" hidden="false" customHeight="true" outlineLevel="0" collapsed="false">
      <c r="A1479" s="16" t="s">
        <v>316</v>
      </c>
      <c r="B1479" s="16" t="s">
        <v>317</v>
      </c>
      <c r="C1479" s="16" t="s">
        <v>318</v>
      </c>
      <c r="D1479" s="16" t="s">
        <v>4</v>
      </c>
      <c r="E1479" s="16" t="s">
        <v>319</v>
      </c>
      <c r="F1479" s="16" t="s">
        <v>320</v>
      </c>
      <c r="G1479" s="16" t="s">
        <v>321</v>
      </c>
      <c r="H1479" s="16" t="s">
        <v>322</v>
      </c>
    </row>
    <row r="1480" customFormat="false" ht="15" hidden="false" customHeight="true" outlineLevel="0" collapsed="false">
      <c r="A1480" s="17" t="s">
        <v>16</v>
      </c>
      <c r="B1480" s="18" t="str">
        <f aca="false">IFERROR(VLOOKUP(A1480,NOMENCLATOR!$A:$E,2,0),"")</f>
        <v>1.000 EA BASE - Milkshake 2026</v>
      </c>
      <c r="C1480" s="19" t="n">
        <v>1</v>
      </c>
      <c r="D1480" s="20" t="str">
        <f aca="false">IFERROR(VLOOKUP(A1480,NOMENCLATOR!$A:$E,3,0),"")</f>
        <v>EA</v>
      </c>
      <c r="E1480" s="21" t="n">
        <f aca="false">IFERROR(VLOOKUP(A1480,NOMENCLATOR!$A:$E,4,0),"")</f>
        <v>3.115</v>
      </c>
      <c r="F1480" s="21" t="n">
        <f aca="false">IF(OR(C1480="",E1480=""),"",C1480*E1480)</f>
        <v>3.115</v>
      </c>
      <c r="G1480" s="22" t="n">
        <f aca="false">IFERROR(VLOOKUP(A1480,NOMENCLATOR!$A:$E,5,0),"")</f>
        <v>3.115</v>
      </c>
      <c r="H1480" s="22" t="n">
        <f aca="false">IF(OR(C1480="",G1480=""),"",C1480*G1480)</f>
        <v>3.115</v>
      </c>
    </row>
    <row r="1481" customFormat="false" ht="15" hidden="false" customHeight="true" outlineLevel="0" collapsed="false">
      <c r="A1481" s="17" t="s">
        <v>216</v>
      </c>
      <c r="B1481" s="18" t="str">
        <f aca="false">IFERROR(VLOOKUP(A1481,NOMENCLATOR!$A:$E,2,0),"")</f>
        <v>Piure Banane Monin</v>
      </c>
      <c r="C1481" s="19" t="n">
        <v>15</v>
      </c>
      <c r="D1481" s="20" t="str">
        <f aca="false">IFERROR(VLOOKUP(A1481,NOMENCLATOR!$A:$E,3,0),"")</f>
        <v>ML</v>
      </c>
      <c r="E1481" s="21" t="n">
        <f aca="false">IFERROR(VLOOKUP(A1481,NOMENCLATOR!$A:$E,4,0),"")</f>
        <v>0.08747</v>
      </c>
      <c r="F1481" s="21" t="n">
        <f aca="false">IF(OR(C1481="",E1481=""),"",C1481*E1481)</f>
        <v>1.31205</v>
      </c>
      <c r="G1481" s="22" t="n">
        <f aca="false">IFERROR(VLOOKUP(A1481,NOMENCLATOR!$A:$E,5,0),"")</f>
        <v>0.08747</v>
      </c>
      <c r="H1481" s="22" t="n">
        <f aca="false">IF(OR(C1481="",G1481=""),"",C1481*G1481)</f>
        <v>1.31205</v>
      </c>
    </row>
    <row r="1482" customFormat="false" ht="15" hidden="false" customHeight="true" outlineLevel="0" collapsed="false">
      <c r="A1482" s="23" t="str">
        <f aca="false">IF(A1478="","",A1478)</f>
        <v>Milkshake Banane 200G</v>
      </c>
      <c r="B1482" s="24"/>
      <c r="C1482" s="24"/>
      <c r="D1482" s="24"/>
      <c r="E1482" s="24"/>
      <c r="F1482" s="25" t="n">
        <f aca="false">IF(A1478="","",SUM(F1480:F1481))</f>
        <v>4.42705</v>
      </c>
      <c r="G1482" s="24"/>
      <c r="H1482" s="26" t="n">
        <f aca="false">IF(A1478="","",SUM(H1480:H1481))</f>
        <v>4.42705</v>
      </c>
    </row>
    <row r="1484" customFormat="false" ht="15" hidden="false" customHeight="true" outlineLevel="0" collapsed="false">
      <c r="A1484" s="12" t="s">
        <v>516</v>
      </c>
      <c r="B1484" s="13"/>
      <c r="C1484" s="13"/>
      <c r="D1484" s="13"/>
      <c r="E1484" s="13"/>
      <c r="F1484" s="14" t="s">
        <v>485</v>
      </c>
      <c r="G1484" s="13"/>
      <c r="H1484" s="15"/>
    </row>
    <row r="1485" customFormat="false" ht="15" hidden="false" customHeight="true" outlineLevel="0" collapsed="false">
      <c r="A1485" s="16" t="s">
        <v>316</v>
      </c>
      <c r="B1485" s="16" t="s">
        <v>317</v>
      </c>
      <c r="C1485" s="16" t="s">
        <v>318</v>
      </c>
      <c r="D1485" s="16" t="s">
        <v>4</v>
      </c>
      <c r="E1485" s="16" t="s">
        <v>319</v>
      </c>
      <c r="F1485" s="16" t="s">
        <v>320</v>
      </c>
      <c r="G1485" s="16" t="s">
        <v>321</v>
      </c>
      <c r="H1485" s="16" t="s">
        <v>322</v>
      </c>
    </row>
    <row r="1486" customFormat="false" ht="15" hidden="false" customHeight="true" outlineLevel="0" collapsed="false">
      <c r="A1486" s="17" t="s">
        <v>18</v>
      </c>
      <c r="B1486" s="18" t="str">
        <f aca="false">IFERROR(VLOOKUP(A1486,NOMENCLATOR!$A:$E,2,0),"")</f>
        <v>1.000 EA BASE - Milkshake CAN</v>
      </c>
      <c r="C1486" s="19" t="n">
        <v>1</v>
      </c>
      <c r="D1486" s="20" t="str">
        <f aca="false">IFERROR(VLOOKUP(A1486,NOMENCLATOR!$A:$E,3,0),"")</f>
        <v>EA</v>
      </c>
      <c r="E1486" s="21" t="n">
        <f aca="false">IFERROR(VLOOKUP(A1486,NOMENCLATOR!$A:$E,4,0),"")</f>
        <v>5.216</v>
      </c>
      <c r="F1486" s="21" t="n">
        <f aca="false">IF(OR(C1486="",E1486=""),"",C1486*E1486)</f>
        <v>5.216</v>
      </c>
      <c r="G1486" s="22" t="n">
        <f aca="false">IFERROR(VLOOKUP(A1486,NOMENCLATOR!$A:$E,5,0),"")</f>
        <v>5.216</v>
      </c>
      <c r="H1486" s="22" t="n">
        <f aca="false">IF(OR(C1486="",G1486=""),"",C1486*G1486)</f>
        <v>5.216</v>
      </c>
    </row>
    <row r="1487" customFormat="false" ht="15" hidden="false" customHeight="true" outlineLevel="0" collapsed="false">
      <c r="A1487" s="17" t="s">
        <v>164</v>
      </c>
      <c r="B1487" s="18" t="str">
        <f aca="false">IFERROR(VLOOKUP(A1487,NOMENCLATOR!$A:$E,2,0),"")</f>
        <v>LOTUS-BISCOFF CREMA TARTINABILA 3KG</v>
      </c>
      <c r="C1487" s="19" t="n">
        <v>30</v>
      </c>
      <c r="D1487" s="20" t="str">
        <f aca="false">IFERROR(VLOOKUP(A1487,NOMENCLATOR!$A:$E,3,0),"")</f>
        <v>GM</v>
      </c>
      <c r="E1487" s="21" t="n">
        <f aca="false">IFERROR(VLOOKUP(A1487,NOMENCLATOR!$A:$E,4,0),"")</f>
        <v>0.0503</v>
      </c>
      <c r="F1487" s="21" t="n">
        <f aca="false">IF(OR(C1487="",E1487=""),"",C1487*E1487)</f>
        <v>1.509</v>
      </c>
      <c r="G1487" s="22" t="n">
        <f aca="false">IFERROR(VLOOKUP(A1487,NOMENCLATOR!$A:$E,5,0),"")</f>
        <v>0.0503</v>
      </c>
      <c r="H1487" s="22" t="n">
        <f aca="false">IF(OR(C1487="",G1487=""),"",C1487*G1487)</f>
        <v>1.509</v>
      </c>
    </row>
    <row r="1488" customFormat="false" ht="15" hidden="false" customHeight="true" outlineLevel="0" collapsed="false">
      <c r="A1488" s="23" t="str">
        <f aca="false">IF(A1484="","",A1484)</f>
        <v>Milkshake Biscoff 210G D</v>
      </c>
      <c r="B1488" s="24"/>
      <c r="C1488" s="24"/>
      <c r="D1488" s="24"/>
      <c r="E1488" s="24"/>
      <c r="F1488" s="25" t="n">
        <f aca="false">IF(A1484="","",SUM(F1486:F1487))</f>
        <v>6.725</v>
      </c>
      <c r="G1488" s="24"/>
      <c r="H1488" s="26" t="n">
        <f aca="false">IF(A1484="","",SUM(H1486:H1487))</f>
        <v>6.725</v>
      </c>
    </row>
    <row r="1490" customFormat="false" ht="15" hidden="false" customHeight="true" outlineLevel="0" collapsed="false">
      <c r="A1490" s="12" t="s">
        <v>517</v>
      </c>
      <c r="B1490" s="13"/>
      <c r="C1490" s="13"/>
      <c r="D1490" s="13"/>
      <c r="E1490" s="13"/>
      <c r="F1490" s="14" t="s">
        <v>485</v>
      </c>
      <c r="G1490" s="13"/>
      <c r="H1490" s="15"/>
    </row>
    <row r="1491" customFormat="false" ht="15" hidden="false" customHeight="true" outlineLevel="0" collapsed="false">
      <c r="A1491" s="16" t="s">
        <v>316</v>
      </c>
      <c r="B1491" s="16" t="s">
        <v>317</v>
      </c>
      <c r="C1491" s="16" t="s">
        <v>318</v>
      </c>
      <c r="D1491" s="16" t="s">
        <v>4</v>
      </c>
      <c r="E1491" s="16" t="s">
        <v>319</v>
      </c>
      <c r="F1491" s="16" t="s">
        <v>320</v>
      </c>
      <c r="G1491" s="16" t="s">
        <v>321</v>
      </c>
      <c r="H1491" s="16" t="s">
        <v>322</v>
      </c>
    </row>
    <row r="1492" customFormat="false" ht="15" hidden="false" customHeight="true" outlineLevel="0" collapsed="false">
      <c r="A1492" s="17" t="s">
        <v>16</v>
      </c>
      <c r="B1492" s="18" t="str">
        <f aca="false">IFERROR(VLOOKUP(A1492,NOMENCLATOR!$A:$E,2,0),"")</f>
        <v>1.000 EA BASE - Milkshake 2026</v>
      </c>
      <c r="C1492" s="19" t="n">
        <v>1</v>
      </c>
      <c r="D1492" s="20" t="str">
        <f aca="false">IFERROR(VLOOKUP(A1492,NOMENCLATOR!$A:$E,3,0),"")</f>
        <v>EA</v>
      </c>
      <c r="E1492" s="21" t="n">
        <f aca="false">IFERROR(VLOOKUP(A1492,NOMENCLATOR!$A:$E,4,0),"")</f>
        <v>3.115</v>
      </c>
      <c r="F1492" s="21" t="n">
        <f aca="false">IF(OR(C1492="",E1492=""),"",C1492*E1492)</f>
        <v>3.115</v>
      </c>
      <c r="G1492" s="22" t="n">
        <f aca="false">IFERROR(VLOOKUP(A1492,NOMENCLATOR!$A:$E,5,0),"")</f>
        <v>3.115</v>
      </c>
      <c r="H1492" s="22" t="n">
        <f aca="false">IF(OR(C1492="",G1492=""),"",C1492*G1492)</f>
        <v>3.115</v>
      </c>
    </row>
    <row r="1493" customFormat="false" ht="15" hidden="false" customHeight="true" outlineLevel="0" collapsed="false">
      <c r="A1493" s="17" t="s">
        <v>48</v>
      </c>
      <c r="B1493" s="18" t="str">
        <f aca="false">IFERROR(VLOOKUP(A1493,NOMENCLATOR!$A:$E,2,0),"")</f>
        <v>APPLE CINNAMON TOPPING WITH DICES</v>
      </c>
      <c r="C1493" s="19" t="n">
        <v>40</v>
      </c>
      <c r="D1493" s="20" t="str">
        <f aca="false">IFERROR(VLOOKUP(A1493,NOMENCLATOR!$A:$E,3,0),"")</f>
        <v>GM</v>
      </c>
      <c r="E1493" s="21" t="n">
        <f aca="false">IFERROR(VLOOKUP(A1493,NOMENCLATOR!$A:$E,4,0),"")</f>
        <v>0.01883</v>
      </c>
      <c r="F1493" s="21" t="n">
        <f aca="false">IF(OR(C1493="",E1493=""),"",C1493*E1493)</f>
        <v>0.7532</v>
      </c>
      <c r="G1493" s="22" t="n">
        <f aca="false">IFERROR(VLOOKUP(A1493,NOMENCLATOR!$A:$E,5,0),"")</f>
        <v>0.01883</v>
      </c>
      <c r="H1493" s="22" t="n">
        <f aca="false">IF(OR(C1493="",G1493=""),"",C1493*G1493)</f>
        <v>0.7532</v>
      </c>
    </row>
    <row r="1494" customFormat="false" ht="15" hidden="false" customHeight="true" outlineLevel="0" collapsed="false">
      <c r="A1494" s="23" t="str">
        <f aca="false">IF(A1490="","",A1490)</f>
        <v>Milkshake Apple Cinnamon 220G</v>
      </c>
      <c r="B1494" s="24"/>
      <c r="C1494" s="24"/>
      <c r="D1494" s="24"/>
      <c r="E1494" s="24"/>
      <c r="F1494" s="25" t="n">
        <f aca="false">IF(A1490="","",SUM(F1492:F1493))</f>
        <v>3.8682</v>
      </c>
      <c r="G1494" s="24"/>
      <c r="H1494" s="26" t="n">
        <f aca="false">IF(A1490="","",SUM(H1492:H1493))</f>
        <v>3.8682</v>
      </c>
    </row>
    <row r="1496" customFormat="false" ht="15" hidden="false" customHeight="true" outlineLevel="0" collapsed="false">
      <c r="A1496" s="12" t="s">
        <v>518</v>
      </c>
      <c r="B1496" s="13"/>
      <c r="C1496" s="13"/>
      <c r="D1496" s="13"/>
      <c r="E1496" s="13"/>
      <c r="F1496" s="14" t="s">
        <v>485</v>
      </c>
      <c r="G1496" s="13"/>
      <c r="H1496" s="15"/>
    </row>
    <row r="1497" customFormat="false" ht="15" hidden="false" customHeight="true" outlineLevel="0" collapsed="false">
      <c r="A1497" s="16" t="s">
        <v>316</v>
      </c>
      <c r="B1497" s="16" t="s">
        <v>317</v>
      </c>
      <c r="C1497" s="16" t="s">
        <v>318</v>
      </c>
      <c r="D1497" s="16" t="s">
        <v>4</v>
      </c>
      <c r="E1497" s="16" t="s">
        <v>319</v>
      </c>
      <c r="F1497" s="16" t="s">
        <v>320</v>
      </c>
      <c r="G1497" s="16" t="s">
        <v>321</v>
      </c>
      <c r="H1497" s="16" t="s">
        <v>322</v>
      </c>
    </row>
    <row r="1498" customFormat="false" ht="15" hidden="false" customHeight="true" outlineLevel="0" collapsed="false">
      <c r="A1498" s="17" t="s">
        <v>18</v>
      </c>
      <c r="B1498" s="18" t="str">
        <f aca="false">IFERROR(VLOOKUP(A1498,NOMENCLATOR!$A:$E,2,0),"")</f>
        <v>1.000 EA BASE - Milkshake CAN</v>
      </c>
      <c r="C1498" s="19" t="n">
        <v>1</v>
      </c>
      <c r="D1498" s="20" t="str">
        <f aca="false">IFERROR(VLOOKUP(A1498,NOMENCLATOR!$A:$E,3,0),"")</f>
        <v>EA</v>
      </c>
      <c r="E1498" s="21" t="n">
        <f aca="false">IFERROR(VLOOKUP(A1498,NOMENCLATOR!$A:$E,4,0),"")</f>
        <v>5.216</v>
      </c>
      <c r="F1498" s="21" t="n">
        <f aca="false">IF(OR(C1498="",E1498=""),"",C1498*E1498)</f>
        <v>5.216</v>
      </c>
      <c r="G1498" s="22" t="n">
        <f aca="false">IFERROR(VLOOKUP(A1498,NOMENCLATOR!$A:$E,5,0),"")</f>
        <v>5.216</v>
      </c>
      <c r="H1498" s="22" t="n">
        <f aca="false">IF(OR(C1498="",G1498=""),"",C1498*G1498)</f>
        <v>5.216</v>
      </c>
    </row>
    <row r="1499" customFormat="false" ht="15" hidden="false" customHeight="true" outlineLevel="0" collapsed="false">
      <c r="A1499" s="17" t="s">
        <v>48</v>
      </c>
      <c r="B1499" s="18" t="str">
        <f aca="false">IFERROR(VLOOKUP(A1499,NOMENCLATOR!$A:$E,2,0),"")</f>
        <v>APPLE CINNAMON TOPPING WITH DICES</v>
      </c>
      <c r="C1499" s="19" t="n">
        <v>40</v>
      </c>
      <c r="D1499" s="20" t="str">
        <f aca="false">IFERROR(VLOOKUP(A1499,NOMENCLATOR!$A:$E,3,0),"")</f>
        <v>GM</v>
      </c>
      <c r="E1499" s="21" t="n">
        <f aca="false">IFERROR(VLOOKUP(A1499,NOMENCLATOR!$A:$E,4,0),"")</f>
        <v>0.01883</v>
      </c>
      <c r="F1499" s="21" t="n">
        <f aca="false">IF(OR(C1499="",E1499=""),"",C1499*E1499)</f>
        <v>0.7532</v>
      </c>
      <c r="G1499" s="22" t="n">
        <f aca="false">IFERROR(VLOOKUP(A1499,NOMENCLATOR!$A:$E,5,0),"")</f>
        <v>0.01883</v>
      </c>
      <c r="H1499" s="22" t="n">
        <f aca="false">IF(OR(C1499="",G1499=""),"",C1499*G1499)</f>
        <v>0.7532</v>
      </c>
    </row>
    <row r="1500" customFormat="false" ht="15" hidden="false" customHeight="true" outlineLevel="0" collapsed="false">
      <c r="A1500" s="23" t="str">
        <f aca="false">IF(A1496="","",A1496)</f>
        <v>Milkshake Apple Cinnamon 220G D</v>
      </c>
      <c r="B1500" s="24"/>
      <c r="C1500" s="24"/>
      <c r="D1500" s="24"/>
      <c r="E1500" s="24"/>
      <c r="F1500" s="25" t="n">
        <f aca="false">IF(A1496="","",SUM(F1498:F1499))</f>
        <v>5.9692</v>
      </c>
      <c r="G1500" s="24"/>
      <c r="H1500" s="26" t="n">
        <f aca="false">IF(A1496="","",SUM(H1498:H1499))</f>
        <v>5.9692</v>
      </c>
    </row>
    <row r="1502" customFormat="false" ht="15" hidden="false" customHeight="true" outlineLevel="0" collapsed="false">
      <c r="A1502" s="12" t="s">
        <v>519</v>
      </c>
      <c r="B1502" s="13"/>
      <c r="C1502" s="13"/>
      <c r="D1502" s="13"/>
      <c r="E1502" s="13"/>
      <c r="F1502" s="14" t="s">
        <v>485</v>
      </c>
      <c r="G1502" s="13"/>
      <c r="H1502" s="15"/>
    </row>
    <row r="1503" customFormat="false" ht="15" hidden="false" customHeight="true" outlineLevel="0" collapsed="false">
      <c r="A1503" s="16" t="s">
        <v>316</v>
      </c>
      <c r="B1503" s="16" t="s">
        <v>317</v>
      </c>
      <c r="C1503" s="16" t="s">
        <v>318</v>
      </c>
      <c r="D1503" s="16" t="s">
        <v>4</v>
      </c>
      <c r="E1503" s="16" t="s">
        <v>319</v>
      </c>
      <c r="F1503" s="16" t="s">
        <v>320</v>
      </c>
      <c r="G1503" s="16" t="s">
        <v>321</v>
      </c>
      <c r="H1503" s="16" t="s">
        <v>322</v>
      </c>
    </row>
    <row r="1504" customFormat="false" ht="15" hidden="false" customHeight="true" outlineLevel="0" collapsed="false">
      <c r="A1504" s="17" t="s">
        <v>18</v>
      </c>
      <c r="B1504" s="18" t="str">
        <f aca="false">IFERROR(VLOOKUP(A1504,NOMENCLATOR!$A:$E,2,0),"")</f>
        <v>1.000 EA BASE - Milkshake CAN</v>
      </c>
      <c r="C1504" s="19" t="n">
        <v>1</v>
      </c>
      <c r="D1504" s="20" t="str">
        <f aca="false">IFERROR(VLOOKUP(A1504,NOMENCLATOR!$A:$E,3,0),"")</f>
        <v>EA</v>
      </c>
      <c r="E1504" s="21" t="n">
        <f aca="false">IFERROR(VLOOKUP(A1504,NOMENCLATOR!$A:$E,4,0),"")</f>
        <v>5.216</v>
      </c>
      <c r="F1504" s="21" t="n">
        <f aca="false">IF(OR(C1504="",E1504=""),"",C1504*E1504)</f>
        <v>5.216</v>
      </c>
      <c r="G1504" s="22" t="n">
        <f aca="false">IFERROR(VLOOKUP(A1504,NOMENCLATOR!$A:$E,5,0),"")</f>
        <v>5.216</v>
      </c>
      <c r="H1504" s="22" t="n">
        <f aca="false">IF(OR(C1504="",G1504=""),"",C1504*G1504)</f>
        <v>5.216</v>
      </c>
    </row>
    <row r="1505" customFormat="false" ht="15" hidden="false" customHeight="true" outlineLevel="0" collapsed="false">
      <c r="A1505" s="23" t="str">
        <f aca="false">IF(A1502="","",A1502)</f>
        <v>Milkshake Cirese 200G (DOZA)</v>
      </c>
      <c r="B1505" s="24"/>
      <c r="C1505" s="24"/>
      <c r="D1505" s="24"/>
      <c r="E1505" s="24"/>
      <c r="F1505" s="25" t="n">
        <f aca="false">IF(A1502="","",SUM(F1504:F1504))</f>
        <v>5.216</v>
      </c>
      <c r="G1505" s="24"/>
      <c r="H1505" s="26" t="n">
        <f aca="false">IF(A1502="","",SUM(H1504:H1504))</f>
        <v>5.216</v>
      </c>
    </row>
    <row r="1507" customFormat="false" ht="15" hidden="false" customHeight="true" outlineLevel="0" collapsed="false">
      <c r="A1507" s="12" t="s">
        <v>520</v>
      </c>
      <c r="B1507" s="13"/>
      <c r="C1507" s="13"/>
      <c r="D1507" s="13"/>
      <c r="E1507" s="13"/>
      <c r="F1507" s="14" t="s">
        <v>485</v>
      </c>
      <c r="G1507" s="13"/>
      <c r="H1507" s="15"/>
    </row>
    <row r="1508" customFormat="false" ht="15" hidden="false" customHeight="true" outlineLevel="0" collapsed="false">
      <c r="A1508" s="16" t="s">
        <v>316</v>
      </c>
      <c r="B1508" s="16" t="s">
        <v>317</v>
      </c>
      <c r="C1508" s="16" t="s">
        <v>318</v>
      </c>
      <c r="D1508" s="16" t="s">
        <v>4</v>
      </c>
      <c r="E1508" s="16" t="s">
        <v>319</v>
      </c>
      <c r="F1508" s="16" t="s">
        <v>320</v>
      </c>
      <c r="G1508" s="16" t="s">
        <v>321</v>
      </c>
      <c r="H1508" s="16" t="s">
        <v>322</v>
      </c>
    </row>
    <row r="1509" customFormat="false" ht="15" hidden="false" customHeight="true" outlineLevel="0" collapsed="false">
      <c r="A1509" s="17" t="s">
        <v>18</v>
      </c>
      <c r="B1509" s="18" t="str">
        <f aca="false">IFERROR(VLOOKUP(A1509,NOMENCLATOR!$A:$E,2,0),"")</f>
        <v>1.000 EA BASE - Milkshake CAN</v>
      </c>
      <c r="C1509" s="19" t="n">
        <v>1</v>
      </c>
      <c r="D1509" s="20" t="str">
        <f aca="false">IFERROR(VLOOKUP(A1509,NOMENCLATOR!$A:$E,3,0),"")</f>
        <v>EA</v>
      </c>
      <c r="E1509" s="21" t="n">
        <f aca="false">IFERROR(VLOOKUP(A1509,NOMENCLATOR!$A:$E,4,0),"")</f>
        <v>5.216</v>
      </c>
      <c r="F1509" s="21" t="n">
        <f aca="false">IF(OR(C1509="",E1509=""),"",C1509*E1509)</f>
        <v>5.216</v>
      </c>
      <c r="G1509" s="22" t="n">
        <f aca="false">IFERROR(VLOOKUP(A1509,NOMENCLATOR!$A:$E,5,0),"")</f>
        <v>5.216</v>
      </c>
      <c r="H1509" s="22" t="n">
        <f aca="false">IF(OR(C1509="",G1509=""),"",C1509*G1509)</f>
        <v>5.216</v>
      </c>
    </row>
    <row r="1510" customFormat="false" ht="15" hidden="false" customHeight="true" outlineLevel="0" collapsed="false">
      <c r="A1510" s="23" t="str">
        <f aca="false">IF(A1507="","",A1507)</f>
        <v>Milkshake Fructul Pasiunii 200G (Doza )</v>
      </c>
      <c r="B1510" s="24"/>
      <c r="C1510" s="24"/>
      <c r="D1510" s="24"/>
      <c r="E1510" s="24"/>
      <c r="F1510" s="25" t="n">
        <f aca="false">IF(A1507="","",SUM(F1509:F1509))</f>
        <v>5.216</v>
      </c>
      <c r="G1510" s="24"/>
      <c r="H1510" s="26" t="n">
        <f aca="false">IF(A1507="","",SUM(H1509:H1509))</f>
        <v>5.216</v>
      </c>
    </row>
    <row r="1512" customFormat="false" ht="15" hidden="false" customHeight="true" outlineLevel="0" collapsed="false">
      <c r="A1512" s="12" t="s">
        <v>521</v>
      </c>
      <c r="B1512" s="13"/>
      <c r="C1512" s="13"/>
      <c r="D1512" s="13"/>
      <c r="E1512" s="13"/>
      <c r="F1512" s="14" t="s">
        <v>485</v>
      </c>
      <c r="G1512" s="13"/>
      <c r="H1512" s="15"/>
    </row>
    <row r="1513" customFormat="false" ht="15" hidden="false" customHeight="true" outlineLevel="0" collapsed="false">
      <c r="A1513" s="16" t="s">
        <v>316</v>
      </c>
      <c r="B1513" s="16" t="s">
        <v>317</v>
      </c>
      <c r="C1513" s="16" t="s">
        <v>318</v>
      </c>
      <c r="D1513" s="16" t="s">
        <v>4</v>
      </c>
      <c r="E1513" s="16" t="s">
        <v>319</v>
      </c>
      <c r="F1513" s="16" t="s">
        <v>320</v>
      </c>
      <c r="G1513" s="16" t="s">
        <v>321</v>
      </c>
      <c r="H1513" s="16" t="s">
        <v>322</v>
      </c>
    </row>
    <row r="1514" customFormat="false" ht="15" hidden="false" customHeight="true" outlineLevel="0" collapsed="false">
      <c r="A1514" s="17" t="s">
        <v>200</v>
      </c>
      <c r="B1514" s="18" t="str">
        <f aca="false">IFERROR(VLOOKUP(A1514,NOMENCLATOR!$A:$E,2,0),"")</f>
        <v>Pahar Storm</v>
      </c>
      <c r="C1514" s="19" t="n">
        <v>1</v>
      </c>
      <c r="D1514" s="20" t="str">
        <f aca="false">IFERROR(VLOOKUP(A1514,NOMENCLATOR!$A:$E,3,0),"")</f>
        <v>EA</v>
      </c>
      <c r="E1514" s="21" t="n">
        <f aca="false">IFERROR(VLOOKUP(A1514,NOMENCLATOR!$A:$E,4,0),"")</f>
        <v>0.782</v>
      </c>
      <c r="F1514" s="21" t="n">
        <f aca="false">IF(OR(C1514="",E1514=""),"",C1514*E1514)</f>
        <v>0.782</v>
      </c>
      <c r="G1514" s="22" t="n">
        <f aca="false">IFERROR(VLOOKUP(A1514,NOMENCLATOR!$A:$E,5,0),"")</f>
        <v>0.782</v>
      </c>
      <c r="H1514" s="22" t="n">
        <f aca="false">IF(OR(C1514="",G1514=""),"",C1514*G1514)</f>
        <v>0.782</v>
      </c>
    </row>
    <row r="1515" customFormat="false" ht="15" hidden="false" customHeight="true" outlineLevel="0" collapsed="false">
      <c r="A1515" s="17" t="s">
        <v>160</v>
      </c>
      <c r="B1515" s="18" t="str">
        <f aca="false">IFERROR(VLOOKUP(A1515,NOMENCLATOR!$A:$E,2,0),"")</f>
        <v>Lapte UHT 7.5%</v>
      </c>
      <c r="C1515" s="19" t="n">
        <v>140</v>
      </c>
      <c r="D1515" s="20" t="str">
        <f aca="false">IFERROR(VLOOKUP(A1515,NOMENCLATOR!$A:$E,3,0),"")</f>
        <v>GM</v>
      </c>
      <c r="E1515" s="21" t="n">
        <f aca="false">IFERROR(VLOOKUP(A1515,NOMENCLATOR!$A:$E,4,0),"")</f>
        <v>0.01816</v>
      </c>
      <c r="F1515" s="21" t="n">
        <f aca="false">IF(OR(C1515="",E1515=""),"",C1515*E1515)</f>
        <v>2.5424</v>
      </c>
      <c r="G1515" s="22" t="n">
        <f aca="false">IFERROR(VLOOKUP(A1515,NOMENCLATOR!$A:$E,5,0),"")</f>
        <v>0.01816</v>
      </c>
      <c r="H1515" s="22" t="n">
        <f aca="false">IF(OR(C1515="",G1515=""),"",C1515*G1515)</f>
        <v>2.5424</v>
      </c>
    </row>
    <row r="1516" customFormat="false" ht="15" hidden="false" customHeight="true" outlineLevel="0" collapsed="false">
      <c r="A1516" s="17" t="s">
        <v>226</v>
      </c>
      <c r="B1516" s="18" t="str">
        <f aca="false">IFERROR(VLOOKUP(A1516,NOMENCLATOR!$A:$E,2,0),"")</f>
        <v>PLACINTA MAR CARAMEL. 70G</v>
      </c>
      <c r="C1516" s="19" t="n">
        <v>1</v>
      </c>
      <c r="D1516" s="20" t="str">
        <f aca="false">IFERROR(VLOOKUP(A1516,NOMENCLATOR!$A:$E,3,0),"")</f>
        <v>EA</v>
      </c>
      <c r="E1516" s="21" t="n">
        <f aca="false">IFERROR(VLOOKUP(A1516,NOMENCLATOR!$A:$E,4,0),"")</f>
        <v>1.543</v>
      </c>
      <c r="F1516" s="21" t="n">
        <f aca="false">IF(OR(C1516="",E1516=""),"",C1516*E1516)</f>
        <v>1.543</v>
      </c>
      <c r="G1516" s="22" t="n">
        <f aca="false">IFERROR(VLOOKUP(A1516,NOMENCLATOR!$A:$E,5,0),"")</f>
        <v>1.543</v>
      </c>
      <c r="H1516" s="22" t="n">
        <f aca="false">IF(OR(C1516="",G1516=""),"",C1516*G1516)</f>
        <v>1.543</v>
      </c>
    </row>
    <row r="1517" customFormat="false" ht="15" hidden="false" customHeight="true" outlineLevel="0" collapsed="false">
      <c r="A1517" s="17" t="s">
        <v>202</v>
      </c>
      <c r="B1517" s="18" t="str">
        <f aca="false">IFERROR(VLOOKUP(A1517,NOMENCLATOR!$A:$E,2,0),"")</f>
        <v>Pai 12 mm</v>
      </c>
      <c r="C1517" s="19" t="n">
        <v>1</v>
      </c>
      <c r="D1517" s="20" t="str">
        <f aca="false">IFERROR(VLOOKUP(A1517,NOMENCLATOR!$A:$E,3,0),"")</f>
        <v>EA</v>
      </c>
      <c r="E1517" s="21" t="n">
        <f aca="false">IFERROR(VLOOKUP(A1517,NOMENCLATOR!$A:$E,4,0),"")</f>
        <v>0.296</v>
      </c>
      <c r="F1517" s="21" t="n">
        <f aca="false">IF(OR(C1517="",E1517=""),"",C1517*E1517)</f>
        <v>0.296</v>
      </c>
      <c r="G1517" s="22" t="n">
        <f aca="false">IFERROR(VLOOKUP(A1517,NOMENCLATOR!$A:$E,5,0),"")</f>
        <v>0.296</v>
      </c>
      <c r="H1517" s="22" t="n">
        <f aca="false">IF(OR(C1517="",G1517=""),"",C1517*G1517)</f>
        <v>0.296</v>
      </c>
    </row>
    <row r="1518" customFormat="false" ht="15" hidden="false" customHeight="true" outlineLevel="0" collapsed="false">
      <c r="A1518" s="23" t="str">
        <f aca="false">IF(A1512="","",A1512)</f>
        <v>ApfelStorm X Toffee</v>
      </c>
      <c r="B1518" s="24"/>
      <c r="C1518" s="24"/>
      <c r="D1518" s="24"/>
      <c r="E1518" s="24"/>
      <c r="F1518" s="25" t="n">
        <f aca="false">IF(A1512="","",SUM(F1514:F1517))</f>
        <v>5.1634</v>
      </c>
      <c r="G1518" s="24"/>
      <c r="H1518" s="26" t="n">
        <f aca="false">IF(A1512="","",SUM(H1514:H1517))</f>
        <v>5.1634</v>
      </c>
    </row>
    <row r="1520" customFormat="false" ht="15" hidden="false" customHeight="true" outlineLevel="0" collapsed="false">
      <c r="A1520" s="12" t="s">
        <v>522</v>
      </c>
      <c r="B1520" s="13"/>
      <c r="C1520" s="13"/>
      <c r="D1520" s="13"/>
      <c r="E1520" s="13"/>
      <c r="F1520" s="14" t="s">
        <v>523</v>
      </c>
      <c r="G1520" s="13"/>
      <c r="H1520" s="15"/>
    </row>
    <row r="1521" customFormat="false" ht="15" hidden="false" customHeight="true" outlineLevel="0" collapsed="false">
      <c r="A1521" s="16" t="s">
        <v>316</v>
      </c>
      <c r="B1521" s="16" t="s">
        <v>317</v>
      </c>
      <c r="C1521" s="16" t="s">
        <v>318</v>
      </c>
      <c r="D1521" s="16" t="s">
        <v>4</v>
      </c>
      <c r="E1521" s="16" t="s">
        <v>319</v>
      </c>
      <c r="F1521" s="16" t="s">
        <v>320</v>
      </c>
      <c r="G1521" s="16" t="s">
        <v>321</v>
      </c>
      <c r="H1521" s="16" t="s">
        <v>322</v>
      </c>
    </row>
    <row r="1522" customFormat="false" ht="15" hidden="false" customHeight="true" outlineLevel="0" collapsed="false">
      <c r="A1522" s="17" t="s">
        <v>60</v>
      </c>
      <c r="B1522" s="18" t="str">
        <f aca="false">IFERROR(VLOOKUP(A1522,NOMENCLATOR!$A:$E,2,0),"")</f>
        <v>BASE - Soft Drinks 250ml</v>
      </c>
      <c r="C1522" s="19" t="n">
        <v>1</v>
      </c>
      <c r="D1522" s="20" t="str">
        <f aca="false">IFERROR(VLOOKUP(A1522,NOMENCLATOR!$A:$E,3,0),"")</f>
        <v>EA</v>
      </c>
      <c r="E1522" s="21" t="n">
        <f aca="false">IFERROR(VLOOKUP(A1522,NOMENCLATOR!$A:$E,4,0),"")</f>
        <v>0.649</v>
      </c>
      <c r="F1522" s="21" t="n">
        <f aca="false">IF(OR(C1522="",E1522=""),"",C1522*E1522)</f>
        <v>0.649</v>
      </c>
      <c r="G1522" s="22" t="n">
        <f aca="false">IFERROR(VLOOKUP(A1522,NOMENCLATOR!$A:$E,5,0),"")</f>
        <v>0.649</v>
      </c>
      <c r="H1522" s="22" t="n">
        <f aca="false">IF(OR(C1522="",G1522=""),"",C1522*G1522)</f>
        <v>0.649</v>
      </c>
    </row>
    <row r="1523" customFormat="false" ht="15" hidden="false" customHeight="true" outlineLevel="0" collapsed="false">
      <c r="A1523" s="17" t="s">
        <v>40</v>
      </c>
      <c r="B1523" s="18" t="str">
        <f aca="false">IFERROR(VLOOKUP(A1523,NOMENCLATOR!$A:$E,2,0),"")</f>
        <v>7UP ZERO BIB</v>
      </c>
      <c r="C1523" s="19" t="n">
        <v>41.66</v>
      </c>
      <c r="D1523" s="20" t="str">
        <f aca="false">IFERROR(VLOOKUP(A1523,NOMENCLATOR!$A:$E,3,0),"")</f>
        <v>ML</v>
      </c>
      <c r="E1523" s="21" t="n">
        <f aca="false">IFERROR(VLOOKUP(A1523,NOMENCLATOR!$A:$E,4,0),"")</f>
        <v>0.04494</v>
      </c>
      <c r="F1523" s="21" t="n">
        <f aca="false">IF(OR(C1523="",E1523=""),"",C1523*E1523)</f>
        <v>1.8722004</v>
      </c>
      <c r="G1523" s="22" t="n">
        <f aca="false">IFERROR(VLOOKUP(A1523,NOMENCLATOR!$A:$E,5,0),"")</f>
        <v>0.04494</v>
      </c>
      <c r="H1523" s="22" t="n">
        <f aca="false">IF(OR(C1523="",G1523=""),"",C1523*G1523)</f>
        <v>1.8722004</v>
      </c>
    </row>
    <row r="1524" customFormat="false" ht="15" hidden="false" customHeight="true" outlineLevel="0" collapsed="false">
      <c r="A1524" s="23" t="str">
        <f aca="false">IF(A1520="","",A1520)</f>
        <v>Suc PET 250ml new</v>
      </c>
      <c r="B1524" s="24"/>
      <c r="C1524" s="24"/>
      <c r="D1524" s="24"/>
      <c r="E1524" s="24"/>
      <c r="F1524" s="25" t="n">
        <f aca="false">IF(A1520="","",SUM(F1522:F1523))</f>
        <v>2.5212004</v>
      </c>
      <c r="G1524" s="24"/>
      <c r="H1524" s="26" t="n">
        <f aca="false">IF(A1520="","",SUM(H1522:H1523))</f>
        <v>2.5212004</v>
      </c>
    </row>
    <row r="1526" customFormat="false" ht="15" hidden="false" customHeight="true" outlineLevel="0" collapsed="false">
      <c r="A1526" s="12" t="s">
        <v>524</v>
      </c>
      <c r="B1526" s="13"/>
      <c r="C1526" s="13"/>
      <c r="D1526" s="13"/>
      <c r="E1526" s="13"/>
      <c r="F1526" s="14" t="s">
        <v>523</v>
      </c>
      <c r="G1526" s="13"/>
      <c r="H1526" s="15"/>
    </row>
    <row r="1527" customFormat="false" ht="15" hidden="false" customHeight="true" outlineLevel="0" collapsed="false">
      <c r="A1527" s="16" t="s">
        <v>316</v>
      </c>
      <c r="B1527" s="16" t="s">
        <v>317</v>
      </c>
      <c r="C1527" s="16" t="s">
        <v>318</v>
      </c>
      <c r="D1527" s="16" t="s">
        <v>4</v>
      </c>
      <c r="E1527" s="16" t="s">
        <v>319</v>
      </c>
      <c r="F1527" s="16" t="s">
        <v>320</v>
      </c>
      <c r="G1527" s="16" t="s">
        <v>321</v>
      </c>
      <c r="H1527" s="16" t="s">
        <v>322</v>
      </c>
    </row>
    <row r="1528" customFormat="false" ht="15" hidden="false" customHeight="true" outlineLevel="0" collapsed="false">
      <c r="A1528" s="17" t="s">
        <v>58</v>
      </c>
      <c r="B1528" s="18" t="str">
        <f aca="false">IFERROR(VLOOKUP(A1528,NOMENCLATOR!$A:$E,2,0),"")</f>
        <v>BASE - Pepsi Soft Drinks 500 ml</v>
      </c>
      <c r="C1528" s="19" t="n">
        <v>1</v>
      </c>
      <c r="D1528" s="20" t="str">
        <f aca="false">IFERROR(VLOOKUP(A1528,NOMENCLATOR!$A:$E,3,0),"")</f>
        <v>EA</v>
      </c>
      <c r="E1528" s="21" t="n">
        <f aca="false">IFERROR(VLOOKUP(A1528,NOMENCLATOR!$A:$E,4,0),"")</f>
        <v>0.805</v>
      </c>
      <c r="F1528" s="21" t="n">
        <f aca="false">IF(OR(C1528="",E1528=""),"",C1528*E1528)</f>
        <v>0.805</v>
      </c>
      <c r="G1528" s="22" t="n">
        <f aca="false">IFERROR(VLOOKUP(A1528,NOMENCLATOR!$A:$E,5,0),"")</f>
        <v>0.805</v>
      </c>
      <c r="H1528" s="22" t="n">
        <f aca="false">IF(OR(C1528="",G1528=""),"",C1528*G1528)</f>
        <v>0.805</v>
      </c>
    </row>
    <row r="1529" customFormat="false" ht="15" hidden="false" customHeight="true" outlineLevel="0" collapsed="false">
      <c r="A1529" s="17" t="s">
        <v>40</v>
      </c>
      <c r="B1529" s="18" t="str">
        <f aca="false">IFERROR(VLOOKUP(A1529,NOMENCLATOR!$A:$E,2,0),"")</f>
        <v>7UP ZERO BIB</v>
      </c>
      <c r="C1529" s="19" t="n">
        <v>83.32</v>
      </c>
      <c r="D1529" s="20" t="str">
        <f aca="false">IFERROR(VLOOKUP(A1529,NOMENCLATOR!$A:$E,3,0),"")</f>
        <v>ML</v>
      </c>
      <c r="E1529" s="21" t="n">
        <f aca="false">IFERROR(VLOOKUP(A1529,NOMENCLATOR!$A:$E,4,0),"")</f>
        <v>0.04494</v>
      </c>
      <c r="F1529" s="21" t="n">
        <f aca="false">IF(OR(C1529="",E1529=""),"",C1529*E1529)</f>
        <v>3.7444008</v>
      </c>
      <c r="G1529" s="22" t="n">
        <f aca="false">IFERROR(VLOOKUP(A1529,NOMENCLATOR!$A:$E,5,0),"")</f>
        <v>0.04494</v>
      </c>
      <c r="H1529" s="22" t="n">
        <f aca="false">IF(OR(C1529="",G1529=""),"",C1529*G1529)</f>
        <v>3.7444008</v>
      </c>
    </row>
    <row r="1530" customFormat="false" ht="15" hidden="false" customHeight="true" outlineLevel="0" collapsed="false">
      <c r="A1530" s="23" t="str">
        <f aca="false">IF(A1526="","",A1526)</f>
        <v>Suc PET 500ml new</v>
      </c>
      <c r="B1530" s="24"/>
      <c r="C1530" s="24"/>
      <c r="D1530" s="24"/>
      <c r="E1530" s="24"/>
      <c r="F1530" s="25" t="n">
        <f aca="false">IF(A1526="","",SUM(F1528:F1529))</f>
        <v>4.5494008</v>
      </c>
      <c r="G1530" s="24"/>
      <c r="H1530" s="26" t="n">
        <f aca="false">IF(A1526="","",SUM(H1528:H1529))</f>
        <v>4.5494008</v>
      </c>
    </row>
    <row r="1532" customFormat="false" ht="15" hidden="false" customHeight="true" outlineLevel="0" collapsed="false">
      <c r="A1532" s="12" t="s">
        <v>525</v>
      </c>
      <c r="B1532" s="13"/>
      <c r="C1532" s="13"/>
      <c r="D1532" s="13"/>
      <c r="E1532" s="13"/>
      <c r="F1532" s="14" t="s">
        <v>523</v>
      </c>
      <c r="G1532" s="13"/>
      <c r="H1532" s="15"/>
    </row>
    <row r="1533" customFormat="false" ht="15" hidden="false" customHeight="true" outlineLevel="0" collapsed="false">
      <c r="A1533" s="16" t="s">
        <v>316</v>
      </c>
      <c r="B1533" s="16" t="s">
        <v>317</v>
      </c>
      <c r="C1533" s="16" t="s">
        <v>318</v>
      </c>
      <c r="D1533" s="16" t="s">
        <v>4</v>
      </c>
      <c r="E1533" s="16" t="s">
        <v>319</v>
      </c>
      <c r="F1533" s="16" t="s">
        <v>320</v>
      </c>
      <c r="G1533" s="16" t="s">
        <v>321</v>
      </c>
      <c r="H1533" s="16" t="s">
        <v>322</v>
      </c>
    </row>
    <row r="1534" customFormat="false" ht="15" hidden="false" customHeight="true" outlineLevel="0" collapsed="false">
      <c r="A1534" s="17" t="s">
        <v>7</v>
      </c>
      <c r="B1534" s="18" t="str">
        <f aca="false">IFERROR(VLOOKUP(A1534,NOMENCLATOR!$A:$E,2,0),"")</f>
        <v>1.000 EA Aqua Carpatica Plata (raw)</v>
      </c>
      <c r="C1534" s="19" t="n">
        <v>1</v>
      </c>
      <c r="D1534" s="20" t="str">
        <f aca="false">IFERROR(VLOOKUP(A1534,NOMENCLATOR!$A:$E,3,0),"")</f>
        <v>EA</v>
      </c>
      <c r="E1534" s="21" t="n">
        <f aca="false">IFERROR(VLOOKUP(A1534,NOMENCLATOR!$A:$E,4,0),"")</f>
        <v>2.75</v>
      </c>
      <c r="F1534" s="21" t="n">
        <f aca="false">IF(OR(C1534="",E1534=""),"",C1534*E1534)</f>
        <v>2.75</v>
      </c>
      <c r="G1534" s="22" t="n">
        <f aca="false">IFERROR(VLOOKUP(A1534,NOMENCLATOR!$A:$E,5,0),"")</f>
        <v>2.75</v>
      </c>
      <c r="H1534" s="22" t="n">
        <f aca="false">IF(OR(C1534="",G1534=""),"",C1534*G1534)</f>
        <v>2.75</v>
      </c>
    </row>
    <row r="1535" customFormat="false" ht="15" hidden="false" customHeight="true" outlineLevel="0" collapsed="false">
      <c r="A1535" s="23" t="str">
        <f aca="false">IF(A1532="","",A1532)</f>
        <v>Apa Plata AQUA CARPATICA new</v>
      </c>
      <c r="B1535" s="24"/>
      <c r="C1535" s="24"/>
      <c r="D1535" s="24"/>
      <c r="E1535" s="24"/>
      <c r="F1535" s="25" t="n">
        <f aca="false">IF(A1532="","",SUM(F1534:F1534))</f>
        <v>2.75</v>
      </c>
      <c r="G1535" s="24"/>
      <c r="H1535" s="26" t="n">
        <f aca="false">IF(A1532="","",SUM(H1534:H1534))</f>
        <v>2.75</v>
      </c>
    </row>
    <row r="1537" customFormat="false" ht="15" hidden="false" customHeight="true" outlineLevel="0" collapsed="false">
      <c r="A1537" s="12" t="s">
        <v>526</v>
      </c>
      <c r="B1537" s="13"/>
      <c r="C1537" s="13"/>
      <c r="D1537" s="13"/>
      <c r="E1537" s="13"/>
      <c r="F1537" s="14" t="s">
        <v>523</v>
      </c>
      <c r="G1537" s="13"/>
      <c r="H1537" s="15"/>
    </row>
    <row r="1538" customFormat="false" ht="15" hidden="false" customHeight="true" outlineLevel="0" collapsed="false">
      <c r="A1538" s="16" t="s">
        <v>316</v>
      </c>
      <c r="B1538" s="16" t="s">
        <v>317</v>
      </c>
      <c r="C1538" s="16" t="s">
        <v>318</v>
      </c>
      <c r="D1538" s="16" t="s">
        <v>4</v>
      </c>
      <c r="E1538" s="16" t="s">
        <v>319</v>
      </c>
      <c r="F1538" s="16" t="s">
        <v>320</v>
      </c>
      <c r="G1538" s="16" t="s">
        <v>321</v>
      </c>
      <c r="H1538" s="16" t="s">
        <v>322</v>
      </c>
    </row>
    <row r="1539" customFormat="false" ht="15" hidden="false" customHeight="true" outlineLevel="0" collapsed="false">
      <c r="A1539" s="17" t="s">
        <v>7</v>
      </c>
      <c r="B1539" s="18" t="str">
        <f aca="false">IFERROR(VLOOKUP(A1539,NOMENCLATOR!$A:$E,2,0),"")</f>
        <v>1.000 EA Aqua Carpatica Plata (raw)</v>
      </c>
      <c r="C1539" s="19" t="n">
        <v>1</v>
      </c>
      <c r="D1539" s="20" t="str">
        <f aca="false">IFERROR(VLOOKUP(A1539,NOMENCLATOR!$A:$E,3,0),"")</f>
        <v>EA</v>
      </c>
      <c r="E1539" s="21" t="n">
        <f aca="false">IFERROR(VLOOKUP(A1539,NOMENCLATOR!$A:$E,4,0),"")</f>
        <v>2.75</v>
      </c>
      <c r="F1539" s="21" t="n">
        <f aca="false">IF(OR(C1539="",E1539=""),"",C1539*E1539)</f>
        <v>2.75</v>
      </c>
      <c r="G1539" s="22" t="n">
        <f aca="false">IFERROR(VLOOKUP(A1539,NOMENCLATOR!$A:$E,5,0),"")</f>
        <v>2.75</v>
      </c>
      <c r="H1539" s="22" t="n">
        <f aca="false">IF(OR(C1539="",G1539=""),"",C1539*G1539)</f>
        <v>2.75</v>
      </c>
    </row>
    <row r="1540" customFormat="false" ht="15" hidden="false" customHeight="true" outlineLevel="0" collapsed="false">
      <c r="A1540" s="23" t="str">
        <f aca="false">IF(A1537="","",A1537)</f>
        <v>Apa Plata AQUA CARPATICA new D</v>
      </c>
      <c r="B1540" s="24"/>
      <c r="C1540" s="24"/>
      <c r="D1540" s="24"/>
      <c r="E1540" s="24"/>
      <c r="F1540" s="25" t="n">
        <f aca="false">IF(A1537="","",SUM(F1539:F1539))</f>
        <v>2.75</v>
      </c>
      <c r="G1540" s="24"/>
      <c r="H1540" s="26" t="n">
        <f aca="false">IF(A1537="","",SUM(H1539:H1539))</f>
        <v>2.75</v>
      </c>
    </row>
    <row r="1542" customFormat="false" ht="15" hidden="false" customHeight="true" outlineLevel="0" collapsed="false">
      <c r="A1542" s="12" t="s">
        <v>527</v>
      </c>
      <c r="B1542" s="13"/>
      <c r="C1542" s="13"/>
      <c r="D1542" s="13"/>
      <c r="E1542" s="13"/>
      <c r="F1542" s="14" t="s">
        <v>523</v>
      </c>
      <c r="G1542" s="13"/>
      <c r="H1542" s="15"/>
    </row>
    <row r="1543" customFormat="false" ht="15" hidden="false" customHeight="true" outlineLevel="0" collapsed="false">
      <c r="A1543" s="16" t="s">
        <v>316</v>
      </c>
      <c r="B1543" s="16" t="s">
        <v>317</v>
      </c>
      <c r="C1543" s="16" t="s">
        <v>318</v>
      </c>
      <c r="D1543" s="16" t="s">
        <v>4</v>
      </c>
      <c r="E1543" s="16" t="s">
        <v>319</v>
      </c>
      <c r="F1543" s="16" t="s">
        <v>320</v>
      </c>
      <c r="G1543" s="16" t="s">
        <v>321</v>
      </c>
      <c r="H1543" s="16" t="s">
        <v>322</v>
      </c>
    </row>
    <row r="1544" customFormat="false" ht="15" hidden="false" customHeight="true" outlineLevel="0" collapsed="false">
      <c r="A1544" s="17" t="s">
        <v>50</v>
      </c>
      <c r="B1544" s="18" t="str">
        <f aca="false">IFERROR(VLOOKUP(A1544,NOMENCLATOR!$A:$E,2,0),"")</f>
        <v>Aqua Carpatica Minerala (raw)</v>
      </c>
      <c r="C1544" s="19" t="n">
        <v>1</v>
      </c>
      <c r="D1544" s="20" t="str">
        <f aca="false">IFERROR(VLOOKUP(A1544,NOMENCLATOR!$A:$E,3,0),"")</f>
        <v>EA</v>
      </c>
      <c r="E1544" s="21" t="n">
        <f aca="false">IFERROR(VLOOKUP(A1544,NOMENCLATOR!$A:$E,4,0),"")</f>
        <v>2.75</v>
      </c>
      <c r="F1544" s="21" t="n">
        <f aca="false">IF(OR(C1544="",E1544=""),"",C1544*E1544)</f>
        <v>2.75</v>
      </c>
      <c r="G1544" s="22" t="n">
        <f aca="false">IFERROR(VLOOKUP(A1544,NOMENCLATOR!$A:$E,5,0),"")</f>
        <v>2.75</v>
      </c>
      <c r="H1544" s="22" t="n">
        <f aca="false">IF(OR(C1544="",G1544=""),"",C1544*G1544)</f>
        <v>2.75</v>
      </c>
    </row>
    <row r="1545" customFormat="false" ht="15" hidden="false" customHeight="true" outlineLevel="0" collapsed="false">
      <c r="A1545" s="23" t="str">
        <f aca="false">IF(A1542="","",A1542)</f>
        <v>Apa Minerala AQUA CARPATICA new</v>
      </c>
      <c r="B1545" s="24"/>
      <c r="C1545" s="24"/>
      <c r="D1545" s="24"/>
      <c r="E1545" s="24"/>
      <c r="F1545" s="25" t="n">
        <f aca="false">IF(A1542="","",SUM(F1544:F1544))</f>
        <v>2.75</v>
      </c>
      <c r="G1545" s="24"/>
      <c r="H1545" s="26" t="n">
        <f aca="false">IF(A1542="","",SUM(H1544:H1544))</f>
        <v>2.75</v>
      </c>
    </row>
    <row r="1547" customFormat="false" ht="15" hidden="false" customHeight="true" outlineLevel="0" collapsed="false">
      <c r="A1547" s="12" t="s">
        <v>528</v>
      </c>
      <c r="B1547" s="13"/>
      <c r="C1547" s="13"/>
      <c r="D1547" s="13"/>
      <c r="E1547" s="13"/>
      <c r="F1547" s="14" t="s">
        <v>523</v>
      </c>
      <c r="G1547" s="13"/>
      <c r="H1547" s="15"/>
    </row>
    <row r="1548" customFormat="false" ht="15" hidden="false" customHeight="true" outlineLevel="0" collapsed="false">
      <c r="A1548" s="16" t="s">
        <v>316</v>
      </c>
      <c r="B1548" s="16" t="s">
        <v>317</v>
      </c>
      <c r="C1548" s="16" t="s">
        <v>318</v>
      </c>
      <c r="D1548" s="16" t="s">
        <v>4</v>
      </c>
      <c r="E1548" s="16" t="s">
        <v>319</v>
      </c>
      <c r="F1548" s="16" t="s">
        <v>320</v>
      </c>
      <c r="G1548" s="16" t="s">
        <v>321</v>
      </c>
      <c r="H1548" s="16" t="s">
        <v>322</v>
      </c>
    </row>
    <row r="1549" customFormat="false" ht="15" hidden="false" customHeight="true" outlineLevel="0" collapsed="false">
      <c r="A1549" s="17" t="s">
        <v>50</v>
      </c>
      <c r="B1549" s="18" t="str">
        <f aca="false">IFERROR(VLOOKUP(A1549,NOMENCLATOR!$A:$E,2,0),"")</f>
        <v>Aqua Carpatica Minerala (raw)</v>
      </c>
      <c r="C1549" s="19" t="n">
        <v>1</v>
      </c>
      <c r="D1549" s="20" t="str">
        <f aca="false">IFERROR(VLOOKUP(A1549,NOMENCLATOR!$A:$E,3,0),"")</f>
        <v>EA</v>
      </c>
      <c r="E1549" s="21" t="n">
        <f aca="false">IFERROR(VLOOKUP(A1549,NOMENCLATOR!$A:$E,4,0),"")</f>
        <v>2.75</v>
      </c>
      <c r="F1549" s="21" t="n">
        <f aca="false">IF(OR(C1549="",E1549=""),"",C1549*E1549)</f>
        <v>2.75</v>
      </c>
      <c r="G1549" s="22" t="n">
        <f aca="false">IFERROR(VLOOKUP(A1549,NOMENCLATOR!$A:$E,5,0),"")</f>
        <v>2.75</v>
      </c>
      <c r="H1549" s="22" t="n">
        <f aca="false">IF(OR(C1549="",G1549=""),"",C1549*G1549)</f>
        <v>2.75</v>
      </c>
    </row>
    <row r="1550" customFormat="false" ht="15" hidden="false" customHeight="true" outlineLevel="0" collapsed="false">
      <c r="A1550" s="23" t="str">
        <f aca="false">IF(A1547="","",A1547)</f>
        <v>Apa Minerala AQUA CARPATICA new D</v>
      </c>
      <c r="B1550" s="24"/>
      <c r="C1550" s="24"/>
      <c r="D1550" s="24"/>
      <c r="E1550" s="24"/>
      <c r="F1550" s="25" t="n">
        <f aca="false">IF(A1547="","",SUM(F1549:F1549))</f>
        <v>2.75</v>
      </c>
      <c r="G1550" s="24"/>
      <c r="H1550" s="26" t="n">
        <f aca="false">IF(A1547="","",SUM(H1549:H1549))</f>
        <v>2.75</v>
      </c>
    </row>
    <row r="1552" customFormat="false" ht="15" hidden="false" customHeight="true" outlineLevel="0" collapsed="false">
      <c r="A1552" s="12" t="s">
        <v>529</v>
      </c>
      <c r="B1552" s="13"/>
      <c r="C1552" s="13"/>
      <c r="D1552" s="13"/>
      <c r="E1552" s="13"/>
      <c r="F1552" s="14" t="s">
        <v>523</v>
      </c>
      <c r="G1552" s="13"/>
      <c r="H1552" s="15"/>
    </row>
    <row r="1553" customFormat="false" ht="15" hidden="false" customHeight="true" outlineLevel="0" collapsed="false">
      <c r="A1553" s="16" t="s">
        <v>316</v>
      </c>
      <c r="B1553" s="16" t="s">
        <v>317</v>
      </c>
      <c r="C1553" s="16" t="s">
        <v>318</v>
      </c>
      <c r="D1553" s="16" t="s">
        <v>4</v>
      </c>
      <c r="E1553" s="16" t="s">
        <v>319</v>
      </c>
      <c r="F1553" s="16" t="s">
        <v>320</v>
      </c>
      <c r="G1553" s="16" t="s">
        <v>321</v>
      </c>
      <c r="H1553" s="16" t="s">
        <v>322</v>
      </c>
    </row>
    <row r="1554" customFormat="false" ht="15" hidden="false" customHeight="true" outlineLevel="0" collapsed="false">
      <c r="A1554" s="17" t="s">
        <v>240</v>
      </c>
      <c r="B1554" s="18" t="str">
        <f aca="false">IFERROR(VLOOKUP(A1554,NOMENCLATOR!$A:$E,2,0),"")</f>
        <v>Prigat Portocale (raw)</v>
      </c>
      <c r="C1554" s="19" t="n">
        <v>1</v>
      </c>
      <c r="D1554" s="20" t="str">
        <f aca="false">IFERROR(VLOOKUP(A1554,NOMENCLATOR!$A:$E,3,0),"")</f>
        <v>EA</v>
      </c>
      <c r="E1554" s="21" t="n">
        <f aca="false">IFERROR(VLOOKUP(A1554,NOMENCLATOR!$A:$E,4,0),"")</f>
        <v>4.17</v>
      </c>
      <c r="F1554" s="21" t="n">
        <f aca="false">IF(OR(C1554="",E1554=""),"",C1554*E1554)</f>
        <v>4.17</v>
      </c>
      <c r="G1554" s="22" t="n">
        <f aca="false">IFERROR(VLOOKUP(A1554,NOMENCLATOR!$A:$E,5,0),"")</f>
        <v>4.17</v>
      </c>
      <c r="H1554" s="22" t="n">
        <f aca="false">IF(OR(C1554="",G1554=""),"",C1554*G1554)</f>
        <v>4.17</v>
      </c>
    </row>
    <row r="1555" customFormat="false" ht="15" hidden="false" customHeight="true" outlineLevel="0" collapsed="false">
      <c r="A1555" s="23" t="str">
        <f aca="false">IF(A1552="","",A1552)</f>
        <v>Prigat Portocale new</v>
      </c>
      <c r="B1555" s="24"/>
      <c r="C1555" s="24"/>
      <c r="D1555" s="24"/>
      <c r="E1555" s="24"/>
      <c r="F1555" s="25" t="n">
        <f aca="false">IF(A1552="","",SUM(F1554:F1554))</f>
        <v>4.17</v>
      </c>
      <c r="G1555" s="24"/>
      <c r="H1555" s="26" t="n">
        <f aca="false">IF(A1552="","",SUM(H1554:H1554))</f>
        <v>4.17</v>
      </c>
    </row>
    <row r="1557" customFormat="false" ht="15" hidden="false" customHeight="true" outlineLevel="0" collapsed="false">
      <c r="A1557" s="12" t="s">
        <v>530</v>
      </c>
      <c r="B1557" s="13"/>
      <c r="C1557" s="13"/>
      <c r="D1557" s="13"/>
      <c r="E1557" s="13"/>
      <c r="F1557" s="14" t="s">
        <v>523</v>
      </c>
      <c r="G1557" s="13"/>
      <c r="H1557" s="15"/>
    </row>
    <row r="1558" customFormat="false" ht="15" hidden="false" customHeight="true" outlineLevel="0" collapsed="false">
      <c r="A1558" s="16" t="s">
        <v>316</v>
      </c>
      <c r="B1558" s="16" t="s">
        <v>317</v>
      </c>
      <c r="C1558" s="16" t="s">
        <v>318</v>
      </c>
      <c r="D1558" s="16" t="s">
        <v>4</v>
      </c>
      <c r="E1558" s="16" t="s">
        <v>319</v>
      </c>
      <c r="F1558" s="16" t="s">
        <v>320</v>
      </c>
      <c r="G1558" s="16" t="s">
        <v>321</v>
      </c>
      <c r="H1558" s="16" t="s">
        <v>322</v>
      </c>
    </row>
    <row r="1559" customFormat="false" ht="15" hidden="false" customHeight="true" outlineLevel="0" collapsed="false">
      <c r="A1559" s="17" t="s">
        <v>240</v>
      </c>
      <c r="B1559" s="18" t="str">
        <f aca="false">IFERROR(VLOOKUP(A1559,NOMENCLATOR!$A:$E,2,0),"")</f>
        <v>Prigat Portocale (raw)</v>
      </c>
      <c r="C1559" s="19" t="n">
        <v>1</v>
      </c>
      <c r="D1559" s="20" t="str">
        <f aca="false">IFERROR(VLOOKUP(A1559,NOMENCLATOR!$A:$E,3,0),"")</f>
        <v>EA</v>
      </c>
      <c r="E1559" s="21" t="n">
        <f aca="false">IFERROR(VLOOKUP(A1559,NOMENCLATOR!$A:$E,4,0),"")</f>
        <v>4.17</v>
      </c>
      <c r="F1559" s="21" t="n">
        <f aca="false">IF(OR(C1559="",E1559=""),"",C1559*E1559)</f>
        <v>4.17</v>
      </c>
      <c r="G1559" s="22" t="n">
        <f aca="false">IFERROR(VLOOKUP(A1559,NOMENCLATOR!$A:$E,5,0),"")</f>
        <v>4.17</v>
      </c>
      <c r="H1559" s="22" t="n">
        <f aca="false">IF(OR(C1559="",G1559=""),"",C1559*G1559)</f>
        <v>4.17</v>
      </c>
    </row>
    <row r="1560" customFormat="false" ht="15" hidden="false" customHeight="true" outlineLevel="0" collapsed="false">
      <c r="A1560" s="23" t="str">
        <f aca="false">IF(A1557="","",A1557)</f>
        <v>Prigat Portocale new D</v>
      </c>
      <c r="B1560" s="24"/>
      <c r="C1560" s="24"/>
      <c r="D1560" s="24"/>
      <c r="E1560" s="24"/>
      <c r="F1560" s="25" t="n">
        <f aca="false">IF(A1557="","",SUM(F1559:F1559))</f>
        <v>4.17</v>
      </c>
      <c r="G1560" s="24"/>
      <c r="H1560" s="26" t="n">
        <f aca="false">IF(A1557="","",SUM(H1559:H1559))</f>
        <v>4.17</v>
      </c>
    </row>
    <row r="1562" customFormat="false" ht="15" hidden="false" customHeight="true" outlineLevel="0" collapsed="false">
      <c r="A1562" s="12" t="s">
        <v>531</v>
      </c>
      <c r="B1562" s="13"/>
      <c r="C1562" s="13"/>
      <c r="D1562" s="13"/>
      <c r="E1562" s="13"/>
      <c r="F1562" s="14" t="s">
        <v>523</v>
      </c>
      <c r="G1562" s="13"/>
      <c r="H1562" s="15"/>
    </row>
    <row r="1563" customFormat="false" ht="15" hidden="false" customHeight="true" outlineLevel="0" collapsed="false">
      <c r="A1563" s="16" t="s">
        <v>316</v>
      </c>
      <c r="B1563" s="16" t="s">
        <v>317</v>
      </c>
      <c r="C1563" s="16" t="s">
        <v>318</v>
      </c>
      <c r="D1563" s="16" t="s">
        <v>4</v>
      </c>
      <c r="E1563" s="16" t="s">
        <v>319</v>
      </c>
      <c r="F1563" s="16" t="s">
        <v>320</v>
      </c>
      <c r="G1563" s="16" t="s">
        <v>321</v>
      </c>
      <c r="H1563" s="16" t="s">
        <v>322</v>
      </c>
    </row>
    <row r="1564" customFormat="false" ht="15" hidden="false" customHeight="true" outlineLevel="0" collapsed="false">
      <c r="A1564" s="17" t="s">
        <v>122</v>
      </c>
      <c r="B1564" s="18" t="str">
        <f aca="false">IFERROR(VLOOKUP(A1564,NOMENCLATOR!$A:$E,2,0),"")</f>
        <v>DR PEPPER DOZA 0.33L</v>
      </c>
      <c r="C1564" s="19" t="n">
        <v>1</v>
      </c>
      <c r="D1564" s="20" t="str">
        <f aca="false">IFERROR(VLOOKUP(A1564,NOMENCLATOR!$A:$E,3,0),"")</f>
        <v>EA</v>
      </c>
      <c r="E1564" s="21" t="n">
        <f aca="false">IFERROR(VLOOKUP(A1564,NOMENCLATOR!$A:$E,4,0),"")</f>
        <v>3.64</v>
      </c>
      <c r="F1564" s="21" t="n">
        <f aca="false">IF(OR(C1564="",E1564=""),"",C1564*E1564)</f>
        <v>3.64</v>
      </c>
      <c r="G1564" s="22" t="n">
        <f aca="false">IFERROR(VLOOKUP(A1564,NOMENCLATOR!$A:$E,5,0),"")</f>
        <v>3.64</v>
      </c>
      <c r="H1564" s="22" t="n">
        <f aca="false">IF(OR(C1564="",G1564=""),"",C1564*G1564)</f>
        <v>3.64</v>
      </c>
    </row>
    <row r="1565" customFormat="false" ht="15" hidden="false" customHeight="true" outlineLevel="0" collapsed="false">
      <c r="A1565" s="23" t="str">
        <f aca="false">IF(A1562="","",A1562)</f>
        <v>Dr Pepper new</v>
      </c>
      <c r="B1565" s="24"/>
      <c r="C1565" s="24"/>
      <c r="D1565" s="24"/>
      <c r="E1565" s="24"/>
      <c r="F1565" s="25" t="n">
        <f aca="false">IF(A1562="","",SUM(F1564:F1564))</f>
        <v>3.64</v>
      </c>
      <c r="G1565" s="24"/>
      <c r="H1565" s="26" t="n">
        <f aca="false">IF(A1562="","",SUM(H1564:H1564))</f>
        <v>3.64</v>
      </c>
    </row>
    <row r="1567" customFormat="false" ht="15" hidden="false" customHeight="true" outlineLevel="0" collapsed="false">
      <c r="A1567" s="12" t="s">
        <v>532</v>
      </c>
      <c r="B1567" s="13"/>
      <c r="C1567" s="13"/>
      <c r="D1567" s="13"/>
      <c r="E1567" s="13"/>
      <c r="F1567" s="14" t="s">
        <v>523</v>
      </c>
      <c r="G1567" s="13"/>
      <c r="H1567" s="15"/>
    </row>
    <row r="1568" customFormat="false" ht="15" hidden="false" customHeight="true" outlineLevel="0" collapsed="false">
      <c r="A1568" s="16" t="s">
        <v>316</v>
      </c>
      <c r="B1568" s="16" t="s">
        <v>317</v>
      </c>
      <c r="C1568" s="16" t="s">
        <v>318</v>
      </c>
      <c r="D1568" s="16" t="s">
        <v>4</v>
      </c>
      <c r="E1568" s="16" t="s">
        <v>319</v>
      </c>
      <c r="F1568" s="16" t="s">
        <v>320</v>
      </c>
      <c r="G1568" s="16" t="s">
        <v>321</v>
      </c>
      <c r="H1568" s="16" t="s">
        <v>322</v>
      </c>
    </row>
    <row r="1569" customFormat="false" ht="15" hidden="false" customHeight="true" outlineLevel="0" collapsed="false">
      <c r="A1569" s="17" t="s">
        <v>122</v>
      </c>
      <c r="B1569" s="18" t="str">
        <f aca="false">IFERROR(VLOOKUP(A1569,NOMENCLATOR!$A:$E,2,0),"")</f>
        <v>DR PEPPER DOZA 0.33L</v>
      </c>
      <c r="C1569" s="19" t="n">
        <v>1</v>
      </c>
      <c r="D1569" s="20" t="str">
        <f aca="false">IFERROR(VLOOKUP(A1569,NOMENCLATOR!$A:$E,3,0),"")</f>
        <v>EA</v>
      </c>
      <c r="E1569" s="21" t="n">
        <f aca="false">IFERROR(VLOOKUP(A1569,NOMENCLATOR!$A:$E,4,0),"")</f>
        <v>3.64</v>
      </c>
      <c r="F1569" s="21" t="n">
        <f aca="false">IF(OR(C1569="",E1569=""),"",C1569*E1569)</f>
        <v>3.64</v>
      </c>
      <c r="G1569" s="22" t="n">
        <f aca="false">IFERROR(VLOOKUP(A1569,NOMENCLATOR!$A:$E,5,0),"")</f>
        <v>3.64</v>
      </c>
      <c r="H1569" s="22" t="n">
        <f aca="false">IF(OR(C1569="",G1569=""),"",C1569*G1569)</f>
        <v>3.64</v>
      </c>
    </row>
    <row r="1570" customFormat="false" ht="15" hidden="false" customHeight="true" outlineLevel="0" collapsed="false">
      <c r="A1570" s="23" t="str">
        <f aca="false">IF(A1567="","",A1567)</f>
        <v>Dr Pepper new D</v>
      </c>
      <c r="B1570" s="24"/>
      <c r="C1570" s="24"/>
      <c r="D1570" s="24"/>
      <c r="E1570" s="24"/>
      <c r="F1570" s="25" t="n">
        <f aca="false">IF(A1567="","",SUM(F1569:F1569))</f>
        <v>3.64</v>
      </c>
      <c r="G1570" s="24"/>
      <c r="H1570" s="26" t="n">
        <f aca="false">IF(A1567="","",SUM(H1569:H1569))</f>
        <v>3.64</v>
      </c>
    </row>
    <row r="1572" customFormat="false" ht="15" hidden="false" customHeight="true" outlineLevel="0" collapsed="false">
      <c r="A1572" s="12" t="s">
        <v>533</v>
      </c>
      <c r="B1572" s="13"/>
      <c r="C1572" s="13"/>
      <c r="D1572" s="13"/>
      <c r="E1572" s="13"/>
      <c r="F1572" s="14" t="s">
        <v>523</v>
      </c>
      <c r="G1572" s="13"/>
      <c r="H1572" s="15"/>
    </row>
    <row r="1573" customFormat="false" ht="15" hidden="false" customHeight="true" outlineLevel="0" collapsed="false">
      <c r="A1573" s="16" t="s">
        <v>316</v>
      </c>
      <c r="B1573" s="16" t="s">
        <v>317</v>
      </c>
      <c r="C1573" s="16" t="s">
        <v>318</v>
      </c>
      <c r="D1573" s="16" t="s">
        <v>4</v>
      </c>
      <c r="E1573" s="16" t="s">
        <v>319</v>
      </c>
      <c r="F1573" s="16" t="s">
        <v>320</v>
      </c>
      <c r="G1573" s="16" t="s">
        <v>321</v>
      </c>
      <c r="H1573" s="16" t="s">
        <v>322</v>
      </c>
    </row>
    <row r="1574" customFormat="false" ht="15" hidden="false" customHeight="true" outlineLevel="0" collapsed="false">
      <c r="A1574" s="17" t="s">
        <v>258</v>
      </c>
      <c r="B1574" s="18" t="str">
        <f aca="false">IFERROR(VLOOKUP(A1574,NOMENCLATOR!$A:$E,2,0),"")</f>
        <v>Redbull (raw)</v>
      </c>
      <c r="C1574" s="19" t="n">
        <v>1</v>
      </c>
      <c r="D1574" s="20" t="str">
        <f aca="false">IFERROR(VLOOKUP(A1574,NOMENCLATOR!$A:$E,3,0),"")</f>
        <v>EA</v>
      </c>
      <c r="E1574" s="21" t="n">
        <f aca="false">IFERROR(VLOOKUP(A1574,NOMENCLATOR!$A:$E,4,0),"")</f>
        <v>6.08</v>
      </c>
      <c r="F1574" s="21" t="n">
        <f aca="false">IF(OR(C1574="",E1574=""),"",C1574*E1574)</f>
        <v>6.08</v>
      </c>
      <c r="G1574" s="22" t="n">
        <f aca="false">IFERROR(VLOOKUP(A1574,NOMENCLATOR!$A:$E,5,0),"")</f>
        <v>6.08</v>
      </c>
      <c r="H1574" s="22" t="n">
        <f aca="false">IF(OR(C1574="",G1574=""),"",C1574*G1574)</f>
        <v>6.08</v>
      </c>
    </row>
    <row r="1575" customFormat="false" ht="15" hidden="false" customHeight="true" outlineLevel="0" collapsed="false">
      <c r="A1575" s="23" t="str">
        <f aca="false">IF(A1572="","",A1572)</f>
        <v>Red Bull new</v>
      </c>
      <c r="B1575" s="24"/>
      <c r="C1575" s="24"/>
      <c r="D1575" s="24"/>
      <c r="E1575" s="24"/>
      <c r="F1575" s="25" t="n">
        <f aca="false">IF(A1572="","",SUM(F1574:F1574))</f>
        <v>6.08</v>
      </c>
      <c r="G1575" s="24"/>
      <c r="H1575" s="26" t="n">
        <f aca="false">IF(A1572="","",SUM(H1574:H1574))</f>
        <v>6.08</v>
      </c>
    </row>
    <row r="1577" customFormat="false" ht="15" hidden="false" customHeight="true" outlineLevel="0" collapsed="false">
      <c r="A1577" s="12" t="s">
        <v>534</v>
      </c>
      <c r="B1577" s="13"/>
      <c r="C1577" s="13"/>
      <c r="D1577" s="13"/>
      <c r="E1577" s="13"/>
      <c r="F1577" s="14" t="s">
        <v>523</v>
      </c>
      <c r="G1577" s="13"/>
      <c r="H1577" s="15"/>
    </row>
    <row r="1578" customFormat="false" ht="15" hidden="false" customHeight="true" outlineLevel="0" collapsed="false">
      <c r="A1578" s="16" t="s">
        <v>316</v>
      </c>
      <c r="B1578" s="16" t="s">
        <v>317</v>
      </c>
      <c r="C1578" s="16" t="s">
        <v>318</v>
      </c>
      <c r="D1578" s="16" t="s">
        <v>4</v>
      </c>
      <c r="E1578" s="16" t="s">
        <v>319</v>
      </c>
      <c r="F1578" s="16" t="s">
        <v>320</v>
      </c>
      <c r="G1578" s="16" t="s">
        <v>321</v>
      </c>
      <c r="H1578" s="16" t="s">
        <v>322</v>
      </c>
    </row>
    <row r="1579" customFormat="false" ht="15" hidden="false" customHeight="true" outlineLevel="0" collapsed="false">
      <c r="A1579" s="17" t="s">
        <v>258</v>
      </c>
      <c r="B1579" s="18" t="str">
        <f aca="false">IFERROR(VLOOKUP(A1579,NOMENCLATOR!$A:$E,2,0),"")</f>
        <v>Redbull (raw)</v>
      </c>
      <c r="C1579" s="19" t="n">
        <v>1</v>
      </c>
      <c r="D1579" s="20" t="str">
        <f aca="false">IFERROR(VLOOKUP(A1579,NOMENCLATOR!$A:$E,3,0),"")</f>
        <v>EA</v>
      </c>
      <c r="E1579" s="21" t="n">
        <f aca="false">IFERROR(VLOOKUP(A1579,NOMENCLATOR!$A:$E,4,0),"")</f>
        <v>6.08</v>
      </c>
      <c r="F1579" s="21" t="n">
        <f aca="false">IF(OR(C1579="",E1579=""),"",C1579*E1579)</f>
        <v>6.08</v>
      </c>
      <c r="G1579" s="22" t="n">
        <f aca="false">IFERROR(VLOOKUP(A1579,NOMENCLATOR!$A:$E,5,0),"")</f>
        <v>6.08</v>
      </c>
      <c r="H1579" s="22" t="n">
        <f aca="false">IF(OR(C1579="",G1579=""),"",C1579*G1579)</f>
        <v>6.08</v>
      </c>
    </row>
    <row r="1580" customFormat="false" ht="15" hidden="false" customHeight="true" outlineLevel="0" collapsed="false">
      <c r="A1580" s="23" t="str">
        <f aca="false">IF(A1577="","",A1577)</f>
        <v>Red Bull new D</v>
      </c>
      <c r="B1580" s="24"/>
      <c r="C1580" s="24"/>
      <c r="D1580" s="24"/>
      <c r="E1580" s="24"/>
      <c r="F1580" s="25" t="n">
        <f aca="false">IF(A1577="","",SUM(F1579:F1579))</f>
        <v>6.08</v>
      </c>
      <c r="G1580" s="24"/>
      <c r="H1580" s="26" t="n">
        <f aca="false">IF(A1577="","",SUM(H1579:H1579))</f>
        <v>6.08</v>
      </c>
    </row>
    <row r="1582" customFormat="false" ht="15" hidden="false" customHeight="true" outlineLevel="0" collapsed="false">
      <c r="A1582" s="12" t="s">
        <v>535</v>
      </c>
      <c r="B1582" s="13"/>
      <c r="C1582" s="13"/>
      <c r="D1582" s="13"/>
      <c r="E1582" s="13"/>
      <c r="F1582" s="14" t="s">
        <v>523</v>
      </c>
      <c r="G1582" s="13"/>
      <c r="H1582" s="15"/>
    </row>
    <row r="1583" customFormat="false" ht="15" hidden="false" customHeight="true" outlineLevel="0" collapsed="false">
      <c r="A1583" s="16" t="s">
        <v>316</v>
      </c>
      <c r="B1583" s="16" t="s">
        <v>317</v>
      </c>
      <c r="C1583" s="16" t="s">
        <v>318</v>
      </c>
      <c r="D1583" s="16" t="s">
        <v>4</v>
      </c>
      <c r="E1583" s="16" t="s">
        <v>319</v>
      </c>
      <c r="F1583" s="16" t="s">
        <v>320</v>
      </c>
      <c r="G1583" s="16" t="s">
        <v>321</v>
      </c>
      <c r="H1583" s="16" t="s">
        <v>322</v>
      </c>
    </row>
    <row r="1584" customFormat="false" ht="15" hidden="false" customHeight="true" outlineLevel="0" collapsed="false">
      <c r="A1584" s="17" t="s">
        <v>100</v>
      </c>
      <c r="B1584" s="18" t="str">
        <f aca="false">IFERROR(VLOOKUP(A1584,NOMENCLATOR!$A:$E,2,0),"")</f>
        <v>Corona (raw)</v>
      </c>
      <c r="C1584" s="19" t="n">
        <v>1</v>
      </c>
      <c r="D1584" s="20" t="str">
        <f aca="false">IFERROR(VLOOKUP(A1584,NOMENCLATOR!$A:$E,3,0),"")</f>
        <v>EA</v>
      </c>
      <c r="E1584" s="21" t="n">
        <f aca="false">IFERROR(VLOOKUP(A1584,NOMENCLATOR!$A:$E,4,0),"")</f>
        <v>6.97</v>
      </c>
      <c r="F1584" s="21" t="n">
        <f aca="false">IF(OR(C1584="",E1584=""),"",C1584*E1584)</f>
        <v>6.97</v>
      </c>
      <c r="G1584" s="22" t="n">
        <f aca="false">IFERROR(VLOOKUP(A1584,NOMENCLATOR!$A:$E,5,0),"")</f>
        <v>6.97</v>
      </c>
      <c r="H1584" s="22" t="n">
        <f aca="false">IF(OR(C1584="",G1584=""),"",C1584*G1584)</f>
        <v>6.97</v>
      </c>
    </row>
    <row r="1585" customFormat="false" ht="15" hidden="false" customHeight="true" outlineLevel="0" collapsed="false">
      <c r="A1585" s="23" t="str">
        <f aca="false">IF(A1582="","",A1582)</f>
        <v>Bere Corona new</v>
      </c>
      <c r="B1585" s="24"/>
      <c r="C1585" s="24"/>
      <c r="D1585" s="24"/>
      <c r="E1585" s="24"/>
      <c r="F1585" s="25" t="n">
        <f aca="false">IF(A1582="","",SUM(F1584:F1584))</f>
        <v>6.97</v>
      </c>
      <c r="G1585" s="24"/>
      <c r="H1585" s="26" t="n">
        <f aca="false">IF(A1582="","",SUM(H1584:H1584))</f>
        <v>6.97</v>
      </c>
    </row>
    <row r="1587" customFormat="false" ht="15" hidden="false" customHeight="true" outlineLevel="0" collapsed="false">
      <c r="A1587" s="12" t="s">
        <v>536</v>
      </c>
      <c r="B1587" s="13"/>
      <c r="C1587" s="13"/>
      <c r="D1587" s="13"/>
      <c r="E1587" s="13"/>
      <c r="F1587" s="14" t="s">
        <v>523</v>
      </c>
      <c r="G1587" s="13"/>
      <c r="H1587" s="15"/>
    </row>
    <row r="1588" customFormat="false" ht="15" hidden="false" customHeight="true" outlineLevel="0" collapsed="false">
      <c r="A1588" s="16" t="s">
        <v>316</v>
      </c>
      <c r="B1588" s="16" t="s">
        <v>317</v>
      </c>
      <c r="C1588" s="16" t="s">
        <v>318</v>
      </c>
      <c r="D1588" s="16" t="s">
        <v>4</v>
      </c>
      <c r="E1588" s="16" t="s">
        <v>319</v>
      </c>
      <c r="F1588" s="16" t="s">
        <v>320</v>
      </c>
      <c r="G1588" s="16" t="s">
        <v>321</v>
      </c>
      <c r="H1588" s="16" t="s">
        <v>322</v>
      </c>
    </row>
    <row r="1589" customFormat="false" ht="15" hidden="false" customHeight="true" outlineLevel="0" collapsed="false">
      <c r="A1589" s="17" t="s">
        <v>100</v>
      </c>
      <c r="B1589" s="18" t="str">
        <f aca="false">IFERROR(VLOOKUP(A1589,NOMENCLATOR!$A:$E,2,0),"")</f>
        <v>Corona (raw)</v>
      </c>
      <c r="C1589" s="19" t="n">
        <v>1</v>
      </c>
      <c r="D1589" s="20" t="str">
        <f aca="false">IFERROR(VLOOKUP(A1589,NOMENCLATOR!$A:$E,3,0),"")</f>
        <v>EA</v>
      </c>
      <c r="E1589" s="21" t="n">
        <f aca="false">IFERROR(VLOOKUP(A1589,NOMENCLATOR!$A:$E,4,0),"")</f>
        <v>6.97</v>
      </c>
      <c r="F1589" s="21" t="n">
        <f aca="false">IF(OR(C1589="",E1589=""),"",C1589*E1589)</f>
        <v>6.97</v>
      </c>
      <c r="G1589" s="22" t="n">
        <f aca="false">IFERROR(VLOOKUP(A1589,NOMENCLATOR!$A:$E,5,0),"")</f>
        <v>6.97</v>
      </c>
      <c r="H1589" s="22" t="n">
        <f aca="false">IF(OR(C1589="",G1589=""),"",C1589*G1589)</f>
        <v>6.97</v>
      </c>
    </row>
    <row r="1590" customFormat="false" ht="15" hidden="false" customHeight="true" outlineLevel="0" collapsed="false">
      <c r="A1590" s="23" t="str">
        <f aca="false">IF(A1587="","",A1587)</f>
        <v>Bere Corona new D</v>
      </c>
      <c r="B1590" s="24"/>
      <c r="C1590" s="24"/>
      <c r="D1590" s="24"/>
      <c r="E1590" s="24"/>
      <c r="F1590" s="25" t="n">
        <f aca="false">IF(A1587="","",SUM(F1589:F1589))</f>
        <v>6.97</v>
      </c>
      <c r="G1590" s="24"/>
      <c r="H1590" s="26" t="n">
        <f aca="false">IF(A1587="","",SUM(H1589:H1589))</f>
        <v>6.97</v>
      </c>
    </row>
    <row r="1592" customFormat="false" ht="15" hidden="false" customHeight="true" outlineLevel="0" collapsed="false">
      <c r="A1592" s="12" t="s">
        <v>537</v>
      </c>
      <c r="B1592" s="13"/>
      <c r="C1592" s="13"/>
      <c r="D1592" s="13"/>
      <c r="E1592" s="13"/>
      <c r="F1592" s="14" t="s">
        <v>523</v>
      </c>
      <c r="G1592" s="13"/>
      <c r="H1592" s="15"/>
    </row>
    <row r="1593" customFormat="false" ht="15" hidden="false" customHeight="true" outlineLevel="0" collapsed="false">
      <c r="A1593" s="16" t="s">
        <v>316</v>
      </c>
      <c r="B1593" s="16" t="s">
        <v>317</v>
      </c>
      <c r="C1593" s="16" t="s">
        <v>318</v>
      </c>
      <c r="D1593" s="16" t="s">
        <v>4</v>
      </c>
      <c r="E1593" s="16" t="s">
        <v>319</v>
      </c>
      <c r="F1593" s="16" t="s">
        <v>320</v>
      </c>
      <c r="G1593" s="16" t="s">
        <v>321</v>
      </c>
      <c r="H1593" s="16" t="s">
        <v>322</v>
      </c>
    </row>
    <row r="1594" customFormat="false" ht="15" hidden="false" customHeight="true" outlineLevel="0" collapsed="false">
      <c r="A1594" s="17" t="s">
        <v>62</v>
      </c>
      <c r="B1594" s="18" t="str">
        <f aca="false">IFERROR(VLOOKUP(A1594,NOMENCLATOR!$A:$E,2,0),"")</f>
        <v>Bere Budweiser 0.33</v>
      </c>
      <c r="C1594" s="19" t="n">
        <v>1</v>
      </c>
      <c r="D1594" s="20" t="str">
        <f aca="false">IFERROR(VLOOKUP(A1594,NOMENCLATOR!$A:$E,3,0),"")</f>
        <v>EA</v>
      </c>
      <c r="E1594" s="21" t="n">
        <f aca="false">IFERROR(VLOOKUP(A1594,NOMENCLATOR!$A:$E,4,0),"")</f>
        <v>6.23</v>
      </c>
      <c r="F1594" s="21" t="n">
        <f aca="false">IF(OR(C1594="",E1594=""),"",C1594*E1594)</f>
        <v>6.23</v>
      </c>
      <c r="G1594" s="22" t="n">
        <f aca="false">IFERROR(VLOOKUP(A1594,NOMENCLATOR!$A:$E,5,0),"")</f>
        <v>6.23</v>
      </c>
      <c r="H1594" s="22" t="n">
        <f aca="false">IF(OR(C1594="",G1594=""),"",C1594*G1594)</f>
        <v>6.23</v>
      </c>
    </row>
    <row r="1595" customFormat="false" ht="15" hidden="false" customHeight="true" outlineLevel="0" collapsed="false">
      <c r="A1595" s="23" t="str">
        <f aca="false">IF(A1592="","",A1592)</f>
        <v>Budweiser new</v>
      </c>
      <c r="B1595" s="24"/>
      <c r="C1595" s="24"/>
      <c r="D1595" s="24"/>
      <c r="E1595" s="24"/>
      <c r="F1595" s="25" t="n">
        <f aca="false">IF(A1592="","",SUM(F1594:F1594))</f>
        <v>6.23</v>
      </c>
      <c r="G1595" s="24"/>
      <c r="H1595" s="26" t="n">
        <f aca="false">IF(A1592="","",SUM(H1594:H1594))</f>
        <v>6.23</v>
      </c>
    </row>
    <row r="1597" customFormat="false" ht="15" hidden="false" customHeight="true" outlineLevel="0" collapsed="false">
      <c r="A1597" s="12" t="s">
        <v>538</v>
      </c>
      <c r="B1597" s="13"/>
      <c r="C1597" s="13"/>
      <c r="D1597" s="13"/>
      <c r="E1597" s="13"/>
      <c r="F1597" s="14" t="s">
        <v>523</v>
      </c>
      <c r="G1597" s="13"/>
      <c r="H1597" s="15"/>
    </row>
    <row r="1598" customFormat="false" ht="15" hidden="false" customHeight="true" outlineLevel="0" collapsed="false">
      <c r="A1598" s="16" t="s">
        <v>316</v>
      </c>
      <c r="B1598" s="16" t="s">
        <v>317</v>
      </c>
      <c r="C1598" s="16" t="s">
        <v>318</v>
      </c>
      <c r="D1598" s="16" t="s">
        <v>4</v>
      </c>
      <c r="E1598" s="16" t="s">
        <v>319</v>
      </c>
      <c r="F1598" s="16" t="s">
        <v>320</v>
      </c>
      <c r="G1598" s="16" t="s">
        <v>321</v>
      </c>
      <c r="H1598" s="16" t="s">
        <v>322</v>
      </c>
    </row>
    <row r="1599" customFormat="false" ht="15" hidden="false" customHeight="true" outlineLevel="0" collapsed="false">
      <c r="A1599" s="17" t="s">
        <v>62</v>
      </c>
      <c r="B1599" s="18" t="str">
        <f aca="false">IFERROR(VLOOKUP(A1599,NOMENCLATOR!$A:$E,2,0),"")</f>
        <v>Bere Budweiser 0.33</v>
      </c>
      <c r="C1599" s="19" t="n">
        <v>1</v>
      </c>
      <c r="D1599" s="20" t="str">
        <f aca="false">IFERROR(VLOOKUP(A1599,NOMENCLATOR!$A:$E,3,0),"")</f>
        <v>EA</v>
      </c>
      <c r="E1599" s="21" t="n">
        <f aca="false">IFERROR(VLOOKUP(A1599,NOMENCLATOR!$A:$E,4,0),"")</f>
        <v>6.23</v>
      </c>
      <c r="F1599" s="21" t="n">
        <f aca="false">IF(OR(C1599="",E1599=""),"",C1599*E1599)</f>
        <v>6.23</v>
      </c>
      <c r="G1599" s="22" t="n">
        <f aca="false">IFERROR(VLOOKUP(A1599,NOMENCLATOR!$A:$E,5,0),"")</f>
        <v>6.23</v>
      </c>
      <c r="H1599" s="22" t="n">
        <f aca="false">IF(OR(C1599="",G1599=""),"",C1599*G1599)</f>
        <v>6.23</v>
      </c>
    </row>
    <row r="1600" customFormat="false" ht="15" hidden="false" customHeight="true" outlineLevel="0" collapsed="false">
      <c r="A1600" s="23" t="str">
        <f aca="false">IF(A1597="","",A1597)</f>
        <v>Budweiser new D</v>
      </c>
      <c r="B1600" s="24"/>
      <c r="C1600" s="24"/>
      <c r="D1600" s="24"/>
      <c r="E1600" s="24"/>
      <c r="F1600" s="25" t="n">
        <f aca="false">IF(A1597="","",SUM(F1599:F1599))</f>
        <v>6.23</v>
      </c>
      <c r="G1600" s="24"/>
      <c r="H1600" s="26" t="n">
        <f aca="false">IF(A1597="","",SUM(H1599:H1599))</f>
        <v>6.23</v>
      </c>
    </row>
    <row r="1602" customFormat="false" ht="15" hidden="false" customHeight="true" outlineLevel="0" collapsed="false">
      <c r="A1602" s="12" t="s">
        <v>539</v>
      </c>
      <c r="B1602" s="13"/>
      <c r="C1602" s="13"/>
      <c r="D1602" s="13"/>
      <c r="E1602" s="13"/>
      <c r="F1602" s="14" t="s">
        <v>523</v>
      </c>
      <c r="G1602" s="13"/>
      <c r="H1602" s="15"/>
    </row>
    <row r="1603" customFormat="false" ht="15" hidden="false" customHeight="true" outlineLevel="0" collapsed="false">
      <c r="A1603" s="16" t="s">
        <v>316</v>
      </c>
      <c r="B1603" s="16" t="s">
        <v>317</v>
      </c>
      <c r="C1603" s="16" t="s">
        <v>318</v>
      </c>
      <c r="D1603" s="16" t="s">
        <v>4</v>
      </c>
      <c r="E1603" s="16" t="s">
        <v>319</v>
      </c>
      <c r="F1603" s="16" t="s">
        <v>320</v>
      </c>
      <c r="G1603" s="16" t="s">
        <v>321</v>
      </c>
      <c r="H1603" s="16" t="s">
        <v>322</v>
      </c>
    </row>
    <row r="1604" customFormat="false" ht="15" hidden="false" customHeight="true" outlineLevel="0" collapsed="false">
      <c r="A1604" s="17" t="s">
        <v>46</v>
      </c>
      <c r="B1604" s="18" t="str">
        <f aca="false">IFERROR(VLOOKUP(A1604,NOMENCLATOR!$A:$E,2,0),"")</f>
        <v>Apa Evian (raw)</v>
      </c>
      <c r="C1604" s="19" t="n">
        <v>1</v>
      </c>
      <c r="D1604" s="20" t="str">
        <f aca="false">IFERROR(VLOOKUP(A1604,NOMENCLATOR!$A:$E,3,0),"")</f>
        <v>EA</v>
      </c>
      <c r="E1604" s="21" t="n">
        <f aca="false">IFERROR(VLOOKUP(A1604,NOMENCLATOR!$A:$E,4,0),"")</f>
        <v>6.57</v>
      </c>
      <c r="F1604" s="21" t="n">
        <f aca="false">IF(OR(C1604="",E1604=""),"",C1604*E1604)</f>
        <v>6.57</v>
      </c>
      <c r="G1604" s="22" t="n">
        <f aca="false">IFERROR(VLOOKUP(A1604,NOMENCLATOR!$A:$E,5,0),"")</f>
        <v>6.57</v>
      </c>
      <c r="H1604" s="22" t="n">
        <f aca="false">IF(OR(C1604="",G1604=""),"",C1604*G1604)</f>
        <v>6.57</v>
      </c>
    </row>
    <row r="1605" customFormat="false" ht="15" hidden="false" customHeight="true" outlineLevel="0" collapsed="false">
      <c r="A1605" s="23" t="str">
        <f aca="false">IF(A1602="","",A1602)</f>
        <v>Apa Evian new</v>
      </c>
      <c r="B1605" s="24"/>
      <c r="C1605" s="24"/>
      <c r="D1605" s="24"/>
      <c r="E1605" s="24"/>
      <c r="F1605" s="25" t="n">
        <f aca="false">IF(A1602="","",SUM(F1604:F1604))</f>
        <v>6.57</v>
      </c>
      <c r="G1605" s="24"/>
      <c r="H1605" s="26" t="n">
        <f aca="false">IF(A1602="","",SUM(H1604:H1604))</f>
        <v>6.57</v>
      </c>
    </row>
    <row r="1607" customFormat="false" ht="15" hidden="false" customHeight="true" outlineLevel="0" collapsed="false">
      <c r="A1607" s="12" t="s">
        <v>540</v>
      </c>
      <c r="B1607" s="13"/>
      <c r="C1607" s="13"/>
      <c r="D1607" s="13"/>
      <c r="E1607" s="13"/>
      <c r="F1607" s="14" t="s">
        <v>523</v>
      </c>
      <c r="G1607" s="13"/>
      <c r="H1607" s="15"/>
    </row>
    <row r="1608" customFormat="false" ht="15" hidden="false" customHeight="true" outlineLevel="0" collapsed="false">
      <c r="A1608" s="16" t="s">
        <v>316</v>
      </c>
      <c r="B1608" s="16" t="s">
        <v>317</v>
      </c>
      <c r="C1608" s="16" t="s">
        <v>318</v>
      </c>
      <c r="D1608" s="16" t="s">
        <v>4</v>
      </c>
      <c r="E1608" s="16" t="s">
        <v>319</v>
      </c>
      <c r="F1608" s="16" t="s">
        <v>320</v>
      </c>
      <c r="G1608" s="16" t="s">
        <v>321</v>
      </c>
      <c r="H1608" s="16" t="s">
        <v>322</v>
      </c>
    </row>
    <row r="1609" customFormat="false" ht="15" hidden="false" customHeight="true" outlineLevel="0" collapsed="false">
      <c r="A1609" s="17" t="s">
        <v>46</v>
      </c>
      <c r="B1609" s="18" t="str">
        <f aca="false">IFERROR(VLOOKUP(A1609,NOMENCLATOR!$A:$E,2,0),"")</f>
        <v>Apa Evian (raw)</v>
      </c>
      <c r="C1609" s="19" t="n">
        <v>1</v>
      </c>
      <c r="D1609" s="20" t="str">
        <f aca="false">IFERROR(VLOOKUP(A1609,NOMENCLATOR!$A:$E,3,0),"")</f>
        <v>EA</v>
      </c>
      <c r="E1609" s="21" t="n">
        <f aca="false">IFERROR(VLOOKUP(A1609,NOMENCLATOR!$A:$E,4,0),"")</f>
        <v>6.57</v>
      </c>
      <c r="F1609" s="21" t="n">
        <f aca="false">IF(OR(C1609="",E1609=""),"",C1609*E1609)</f>
        <v>6.57</v>
      </c>
      <c r="G1609" s="22" t="n">
        <f aca="false">IFERROR(VLOOKUP(A1609,NOMENCLATOR!$A:$E,5,0),"")</f>
        <v>6.57</v>
      </c>
      <c r="H1609" s="22" t="n">
        <f aca="false">IF(OR(C1609="",G1609=""),"",C1609*G1609)</f>
        <v>6.57</v>
      </c>
    </row>
    <row r="1610" customFormat="false" ht="15" hidden="false" customHeight="true" outlineLevel="0" collapsed="false">
      <c r="A1610" s="23" t="str">
        <f aca="false">IF(A1607="","",A1607)</f>
        <v>Apa Evian new D</v>
      </c>
      <c r="B1610" s="24"/>
      <c r="C1610" s="24"/>
      <c r="D1610" s="24"/>
      <c r="E1610" s="24"/>
      <c r="F1610" s="25" t="n">
        <f aca="false">IF(A1607="","",SUM(F1609:F1609))</f>
        <v>6.57</v>
      </c>
      <c r="G1610" s="24"/>
      <c r="H1610" s="26" t="n">
        <f aca="false">IF(A1607="","",SUM(H1609:H1609))</f>
        <v>6.57</v>
      </c>
    </row>
    <row r="1612" customFormat="false" ht="15" hidden="false" customHeight="true" outlineLevel="0" collapsed="false">
      <c r="A1612" s="12" t="s">
        <v>541</v>
      </c>
      <c r="B1612" s="13"/>
      <c r="C1612" s="13"/>
      <c r="D1612" s="13"/>
      <c r="E1612" s="13"/>
      <c r="F1612" s="14" t="s">
        <v>523</v>
      </c>
      <c r="G1612" s="13"/>
      <c r="H1612" s="15"/>
    </row>
    <row r="1613" customFormat="false" ht="15" hidden="false" customHeight="true" outlineLevel="0" collapsed="false">
      <c r="A1613" s="16" t="s">
        <v>316</v>
      </c>
      <c r="B1613" s="16" t="s">
        <v>317</v>
      </c>
      <c r="C1613" s="16" t="s">
        <v>318</v>
      </c>
      <c r="D1613" s="16" t="s">
        <v>4</v>
      </c>
      <c r="E1613" s="16" t="s">
        <v>319</v>
      </c>
      <c r="F1613" s="16" t="s">
        <v>320</v>
      </c>
      <c r="G1613" s="16" t="s">
        <v>321</v>
      </c>
      <c r="H1613" s="16" t="s">
        <v>322</v>
      </c>
    </row>
    <row r="1614" customFormat="false" ht="15" hidden="false" customHeight="true" outlineLevel="0" collapsed="false">
      <c r="A1614" s="17" t="s">
        <v>64</v>
      </c>
      <c r="B1614" s="18" t="str">
        <f aca="false">IFERROR(VLOOKUP(A1614,NOMENCLATOR!$A:$E,2,0),"")</f>
        <v>Biogon C E290 10kg</v>
      </c>
      <c r="C1614" s="19" t="n">
        <v>2.48</v>
      </c>
      <c r="D1614" s="20" t="str">
        <f aca="false">IFERROR(VLOOKUP(A1614,NOMENCLATOR!$A:$E,3,0),"")</f>
        <v>GM</v>
      </c>
      <c r="E1614" s="21" t="n">
        <f aca="false">IFERROR(VLOOKUP(A1614,NOMENCLATOR!$A:$E,4,0),"")</f>
        <v>0.0254</v>
      </c>
      <c r="F1614" s="21" t="n">
        <f aca="false">IF(OR(C1614="",E1614=""),"",C1614*E1614)</f>
        <v>0.062992</v>
      </c>
      <c r="G1614" s="22" t="n">
        <f aca="false">IFERROR(VLOOKUP(A1614,NOMENCLATOR!$A:$E,5,0),"")</f>
        <v>0.0254</v>
      </c>
      <c r="H1614" s="22" t="n">
        <f aca="false">IF(OR(C1614="",G1614=""),"",C1614*G1614)</f>
        <v>0.062992</v>
      </c>
    </row>
    <row r="1615" customFormat="false" ht="15" hidden="false" customHeight="true" outlineLevel="0" collapsed="false">
      <c r="A1615" s="17" t="s">
        <v>198</v>
      </c>
      <c r="B1615" s="18" t="str">
        <f aca="false">IFERROR(VLOOKUP(A1615,NOMENCLATOR!$A:$E,2,0),"")</f>
        <v>PAHAR PET FRYZZZ 300-400ML</v>
      </c>
      <c r="C1615" s="19" t="n">
        <v>1</v>
      </c>
      <c r="D1615" s="20" t="str">
        <f aca="false">IFERROR(VLOOKUP(A1615,NOMENCLATOR!$A:$E,3,0),"")</f>
        <v>EA</v>
      </c>
      <c r="E1615" s="21" t="n">
        <f aca="false">IFERROR(VLOOKUP(A1615,NOMENCLATOR!$A:$E,4,0),"")</f>
        <v>0.424</v>
      </c>
      <c r="F1615" s="21" t="n">
        <f aca="false">IF(OR(C1615="",E1615=""),"",C1615*E1615)</f>
        <v>0.424</v>
      </c>
      <c r="G1615" s="22" t="n">
        <f aca="false">IFERROR(VLOOKUP(A1615,NOMENCLATOR!$A:$E,5,0),"")</f>
        <v>0.424</v>
      </c>
      <c r="H1615" s="22" t="n">
        <f aca="false">IF(OR(C1615="",G1615=""),"",C1615*G1615)</f>
        <v>0.424</v>
      </c>
    </row>
    <row r="1616" customFormat="false" ht="15" hidden="false" customHeight="true" outlineLevel="0" collapsed="false">
      <c r="A1616" s="17" t="s">
        <v>88</v>
      </c>
      <c r="B1616" s="18" t="str">
        <f aca="false">IFERROR(VLOOKUP(A1616,NOMENCLATOR!$A:$E,2,0),"")</f>
        <v>CAPAC PLAT CU ORIFICIU FRYZZZ</v>
      </c>
      <c r="C1616" s="19" t="n">
        <v>1</v>
      </c>
      <c r="D1616" s="20" t="str">
        <f aca="false">IFERROR(VLOOKUP(A1616,NOMENCLATOR!$A:$E,3,0),"")</f>
        <v>EA</v>
      </c>
      <c r="E1616" s="21" t="n">
        <f aca="false">IFERROR(VLOOKUP(A1616,NOMENCLATOR!$A:$E,4,0),"")</f>
        <v>0.106</v>
      </c>
      <c r="F1616" s="21" t="n">
        <f aca="false">IF(OR(C1616="",E1616=""),"",C1616*E1616)</f>
        <v>0.106</v>
      </c>
      <c r="G1616" s="22" t="n">
        <f aca="false">IFERROR(VLOOKUP(A1616,NOMENCLATOR!$A:$E,5,0),"")</f>
        <v>0.106</v>
      </c>
      <c r="H1616" s="22" t="n">
        <f aca="false">IF(OR(C1616="",G1616=""),"",C1616*G1616)</f>
        <v>0.106</v>
      </c>
    </row>
    <row r="1617" customFormat="false" ht="15" hidden="false" customHeight="true" outlineLevel="0" collapsed="false">
      <c r="A1617" s="17" t="s">
        <v>204</v>
      </c>
      <c r="B1617" s="18" t="str">
        <f aca="false">IFERROR(VLOOKUP(A1617,NOMENCLATOR!$A:$E,2,0),"")</f>
        <v>Pai hartie 8mm</v>
      </c>
      <c r="C1617" s="19" t="n">
        <v>1</v>
      </c>
      <c r="D1617" s="20" t="str">
        <f aca="false">IFERROR(VLOOKUP(A1617,NOMENCLATOR!$A:$E,3,0),"")</f>
        <v>EA</v>
      </c>
      <c r="E1617" s="21" t="n">
        <f aca="false">IFERROR(VLOOKUP(A1617,NOMENCLATOR!$A:$E,4,0),"")</f>
        <v>0.176</v>
      </c>
      <c r="F1617" s="21" t="n">
        <f aca="false">IF(OR(C1617="",E1617=""),"",C1617*E1617)</f>
        <v>0.176</v>
      </c>
      <c r="G1617" s="22" t="n">
        <f aca="false">IFERROR(VLOOKUP(A1617,NOMENCLATOR!$A:$E,5,0),"")</f>
        <v>0.176</v>
      </c>
      <c r="H1617" s="22" t="n">
        <f aca="false">IF(OR(C1617="",G1617=""),"",C1617*G1617)</f>
        <v>0.176</v>
      </c>
    </row>
    <row r="1618" customFormat="false" ht="15" hidden="false" customHeight="true" outlineLevel="0" collapsed="false">
      <c r="A1618" s="17" t="s">
        <v>218</v>
      </c>
      <c r="B1618" s="18" t="str">
        <f aca="false">IFERROR(VLOOKUP(A1618,NOMENCLATOR!$A:$E,2,0),"")</f>
        <v>Piure Capsuni Monin</v>
      </c>
      <c r="C1618" s="19" t="n">
        <v>30</v>
      </c>
      <c r="D1618" s="20" t="str">
        <f aca="false">IFERROR(VLOOKUP(A1618,NOMENCLATOR!$A:$E,3,0),"")</f>
        <v>ML</v>
      </c>
      <c r="E1618" s="21" t="n">
        <f aca="false">IFERROR(VLOOKUP(A1618,NOMENCLATOR!$A:$E,4,0),"")</f>
        <v>0.08747</v>
      </c>
      <c r="F1618" s="21" t="n">
        <f aca="false">IF(OR(C1618="",E1618=""),"",C1618*E1618)</f>
        <v>2.6241</v>
      </c>
      <c r="G1618" s="22" t="n">
        <f aca="false">IFERROR(VLOOKUP(A1618,NOMENCLATOR!$A:$E,5,0),"")</f>
        <v>0.08747</v>
      </c>
      <c r="H1618" s="22" t="n">
        <f aca="false">IF(OR(C1618="",G1618=""),"",C1618*G1618)</f>
        <v>2.6241</v>
      </c>
    </row>
    <row r="1619" customFormat="false" ht="15" hidden="false" customHeight="true" outlineLevel="0" collapsed="false">
      <c r="A1619" s="23" t="str">
        <f aca="false">IF(A1612="","",A1612)</f>
        <v>FRYZZZ CAPSUNI new</v>
      </c>
      <c r="B1619" s="24"/>
      <c r="C1619" s="24"/>
      <c r="D1619" s="24"/>
      <c r="E1619" s="24"/>
      <c r="F1619" s="25" t="n">
        <f aca="false">IF(A1612="","",SUM(F1614:F1618))</f>
        <v>3.393092</v>
      </c>
      <c r="G1619" s="24"/>
      <c r="H1619" s="26" t="n">
        <f aca="false">IF(A1612="","",SUM(H1614:H1618))</f>
        <v>3.393092</v>
      </c>
    </row>
    <row r="1621" customFormat="false" ht="15" hidden="false" customHeight="true" outlineLevel="0" collapsed="false">
      <c r="A1621" s="12" t="s">
        <v>542</v>
      </c>
      <c r="B1621" s="13"/>
      <c r="C1621" s="13"/>
      <c r="D1621" s="13"/>
      <c r="E1621" s="13"/>
      <c r="F1621" s="14" t="s">
        <v>523</v>
      </c>
      <c r="G1621" s="13"/>
      <c r="H1621" s="15"/>
    </row>
    <row r="1622" customFormat="false" ht="15" hidden="false" customHeight="true" outlineLevel="0" collapsed="false">
      <c r="A1622" s="16" t="s">
        <v>316</v>
      </c>
      <c r="B1622" s="16" t="s">
        <v>317</v>
      </c>
      <c r="C1622" s="16" t="s">
        <v>318</v>
      </c>
      <c r="D1622" s="16" t="s">
        <v>4</v>
      </c>
      <c r="E1622" s="16" t="s">
        <v>319</v>
      </c>
      <c r="F1622" s="16" t="s">
        <v>320</v>
      </c>
      <c r="G1622" s="16" t="s">
        <v>321</v>
      </c>
      <c r="H1622" s="16" t="s">
        <v>322</v>
      </c>
    </row>
    <row r="1623" customFormat="false" ht="15" hidden="false" customHeight="true" outlineLevel="0" collapsed="false">
      <c r="A1623" s="17" t="s">
        <v>64</v>
      </c>
      <c r="B1623" s="18" t="str">
        <f aca="false">IFERROR(VLOOKUP(A1623,NOMENCLATOR!$A:$E,2,0),"")</f>
        <v>Biogon C E290 10kg</v>
      </c>
      <c r="C1623" s="19" t="n">
        <v>2.48</v>
      </c>
      <c r="D1623" s="20" t="str">
        <f aca="false">IFERROR(VLOOKUP(A1623,NOMENCLATOR!$A:$E,3,0),"")</f>
        <v>GM</v>
      </c>
      <c r="E1623" s="21" t="n">
        <f aca="false">IFERROR(VLOOKUP(A1623,NOMENCLATOR!$A:$E,4,0),"")</f>
        <v>0.0254</v>
      </c>
      <c r="F1623" s="21" t="n">
        <f aca="false">IF(OR(C1623="",E1623=""),"",C1623*E1623)</f>
        <v>0.062992</v>
      </c>
      <c r="G1623" s="22" t="n">
        <f aca="false">IFERROR(VLOOKUP(A1623,NOMENCLATOR!$A:$E,5,0),"")</f>
        <v>0.0254</v>
      </c>
      <c r="H1623" s="22" t="n">
        <f aca="false">IF(OR(C1623="",G1623=""),"",C1623*G1623)</f>
        <v>0.062992</v>
      </c>
    </row>
    <row r="1624" customFormat="false" ht="15" hidden="false" customHeight="true" outlineLevel="0" collapsed="false">
      <c r="A1624" s="17" t="s">
        <v>198</v>
      </c>
      <c r="B1624" s="18" t="str">
        <f aca="false">IFERROR(VLOOKUP(A1624,NOMENCLATOR!$A:$E,2,0),"")</f>
        <v>PAHAR PET FRYZZZ 300-400ML</v>
      </c>
      <c r="C1624" s="19" t="n">
        <v>1</v>
      </c>
      <c r="D1624" s="20" t="str">
        <f aca="false">IFERROR(VLOOKUP(A1624,NOMENCLATOR!$A:$E,3,0),"")</f>
        <v>EA</v>
      </c>
      <c r="E1624" s="21" t="n">
        <f aca="false">IFERROR(VLOOKUP(A1624,NOMENCLATOR!$A:$E,4,0),"")</f>
        <v>0.424</v>
      </c>
      <c r="F1624" s="21" t="n">
        <f aca="false">IF(OR(C1624="",E1624=""),"",C1624*E1624)</f>
        <v>0.424</v>
      </c>
      <c r="G1624" s="22" t="n">
        <f aca="false">IFERROR(VLOOKUP(A1624,NOMENCLATOR!$A:$E,5,0),"")</f>
        <v>0.424</v>
      </c>
      <c r="H1624" s="22" t="n">
        <f aca="false">IF(OR(C1624="",G1624=""),"",C1624*G1624)</f>
        <v>0.424</v>
      </c>
    </row>
    <row r="1625" customFormat="false" ht="15" hidden="false" customHeight="true" outlineLevel="0" collapsed="false">
      <c r="A1625" s="17" t="s">
        <v>88</v>
      </c>
      <c r="B1625" s="18" t="str">
        <f aca="false">IFERROR(VLOOKUP(A1625,NOMENCLATOR!$A:$E,2,0),"")</f>
        <v>CAPAC PLAT CU ORIFICIU FRYZZZ</v>
      </c>
      <c r="C1625" s="19" t="n">
        <v>1</v>
      </c>
      <c r="D1625" s="20" t="str">
        <f aca="false">IFERROR(VLOOKUP(A1625,NOMENCLATOR!$A:$E,3,0),"")</f>
        <v>EA</v>
      </c>
      <c r="E1625" s="21" t="n">
        <f aca="false">IFERROR(VLOOKUP(A1625,NOMENCLATOR!$A:$E,4,0),"")</f>
        <v>0.106</v>
      </c>
      <c r="F1625" s="21" t="n">
        <f aca="false">IF(OR(C1625="",E1625=""),"",C1625*E1625)</f>
        <v>0.106</v>
      </c>
      <c r="G1625" s="22" t="n">
        <f aca="false">IFERROR(VLOOKUP(A1625,NOMENCLATOR!$A:$E,5,0),"")</f>
        <v>0.106</v>
      </c>
      <c r="H1625" s="22" t="n">
        <f aca="false">IF(OR(C1625="",G1625=""),"",C1625*G1625)</f>
        <v>0.106</v>
      </c>
    </row>
    <row r="1626" customFormat="false" ht="15" hidden="false" customHeight="true" outlineLevel="0" collapsed="false">
      <c r="A1626" s="17" t="s">
        <v>204</v>
      </c>
      <c r="B1626" s="18" t="str">
        <f aca="false">IFERROR(VLOOKUP(A1626,NOMENCLATOR!$A:$E,2,0),"")</f>
        <v>Pai hartie 8mm</v>
      </c>
      <c r="C1626" s="19" t="n">
        <v>1</v>
      </c>
      <c r="D1626" s="20" t="str">
        <f aca="false">IFERROR(VLOOKUP(A1626,NOMENCLATOR!$A:$E,3,0),"")</f>
        <v>EA</v>
      </c>
      <c r="E1626" s="21" t="n">
        <f aca="false">IFERROR(VLOOKUP(A1626,NOMENCLATOR!$A:$E,4,0),"")</f>
        <v>0.176</v>
      </c>
      <c r="F1626" s="21" t="n">
        <f aca="false">IF(OR(C1626="",E1626=""),"",C1626*E1626)</f>
        <v>0.176</v>
      </c>
      <c r="G1626" s="22" t="n">
        <f aca="false">IFERROR(VLOOKUP(A1626,NOMENCLATOR!$A:$E,5,0),"")</f>
        <v>0.176</v>
      </c>
      <c r="H1626" s="22" t="n">
        <f aca="false">IF(OR(C1626="",G1626=""),"",C1626*G1626)</f>
        <v>0.176</v>
      </c>
    </row>
    <row r="1627" customFormat="false" ht="15" hidden="false" customHeight="true" outlineLevel="0" collapsed="false">
      <c r="A1627" s="17" t="s">
        <v>220</v>
      </c>
      <c r="B1627" s="18" t="str">
        <f aca="false">IFERROR(VLOOKUP(A1627,NOMENCLATOR!$A:$E,2,0),"")</f>
        <v>Piure Grapefruit Monin</v>
      </c>
      <c r="C1627" s="19" t="n">
        <v>30</v>
      </c>
      <c r="D1627" s="20" t="str">
        <f aca="false">IFERROR(VLOOKUP(A1627,NOMENCLATOR!$A:$E,3,0),"")</f>
        <v>ML</v>
      </c>
      <c r="E1627" s="21" t="n">
        <f aca="false">IFERROR(VLOOKUP(A1627,NOMENCLATOR!$A:$E,4,0),"")</f>
        <v>0.08747</v>
      </c>
      <c r="F1627" s="21" t="n">
        <f aca="false">IF(OR(C1627="",E1627=""),"",C1627*E1627)</f>
        <v>2.6241</v>
      </c>
      <c r="G1627" s="22" t="n">
        <f aca="false">IFERROR(VLOOKUP(A1627,NOMENCLATOR!$A:$E,5,0),"")</f>
        <v>0.08747</v>
      </c>
      <c r="H1627" s="22" t="n">
        <f aca="false">IF(OR(C1627="",G1627=""),"",C1627*G1627)</f>
        <v>2.6241</v>
      </c>
    </row>
    <row r="1628" customFormat="false" ht="15" hidden="false" customHeight="true" outlineLevel="0" collapsed="false">
      <c r="A1628" s="23" t="str">
        <f aca="false">IF(A1621="","",A1621)</f>
        <v>FRYZZZ GRAPEFRUIT new</v>
      </c>
      <c r="B1628" s="24"/>
      <c r="C1628" s="24"/>
      <c r="D1628" s="24"/>
      <c r="E1628" s="24"/>
      <c r="F1628" s="25" t="n">
        <f aca="false">IF(A1621="","",SUM(F1623:F1627))</f>
        <v>3.393092</v>
      </c>
      <c r="G1628" s="24"/>
      <c r="H1628" s="26" t="n">
        <f aca="false">IF(A1621="","",SUM(H1623:H1627))</f>
        <v>3.393092</v>
      </c>
    </row>
    <row r="1630" customFormat="false" ht="15" hidden="false" customHeight="true" outlineLevel="0" collapsed="false">
      <c r="A1630" s="12" t="s">
        <v>543</v>
      </c>
      <c r="B1630" s="13"/>
      <c r="C1630" s="13"/>
      <c r="D1630" s="13"/>
      <c r="E1630" s="13"/>
      <c r="F1630" s="14" t="s">
        <v>523</v>
      </c>
      <c r="G1630" s="13"/>
      <c r="H1630" s="15"/>
    </row>
    <row r="1631" customFormat="false" ht="15" hidden="false" customHeight="true" outlineLevel="0" collapsed="false">
      <c r="A1631" s="16" t="s">
        <v>316</v>
      </c>
      <c r="B1631" s="16" t="s">
        <v>317</v>
      </c>
      <c r="C1631" s="16" t="s">
        <v>318</v>
      </c>
      <c r="D1631" s="16" t="s">
        <v>4</v>
      </c>
      <c r="E1631" s="16" t="s">
        <v>319</v>
      </c>
      <c r="F1631" s="16" t="s">
        <v>320</v>
      </c>
      <c r="G1631" s="16" t="s">
        <v>321</v>
      </c>
      <c r="H1631" s="16" t="s">
        <v>322</v>
      </c>
    </row>
    <row r="1632" customFormat="false" ht="15" hidden="false" customHeight="true" outlineLevel="0" collapsed="false">
      <c r="A1632" s="17" t="s">
        <v>64</v>
      </c>
      <c r="B1632" s="18" t="str">
        <f aca="false">IFERROR(VLOOKUP(A1632,NOMENCLATOR!$A:$E,2,0),"")</f>
        <v>Biogon C E290 10kg</v>
      </c>
      <c r="C1632" s="19" t="n">
        <v>2.48</v>
      </c>
      <c r="D1632" s="20" t="str">
        <f aca="false">IFERROR(VLOOKUP(A1632,NOMENCLATOR!$A:$E,3,0),"")</f>
        <v>GM</v>
      </c>
      <c r="E1632" s="21" t="n">
        <f aca="false">IFERROR(VLOOKUP(A1632,NOMENCLATOR!$A:$E,4,0),"")</f>
        <v>0.0254</v>
      </c>
      <c r="F1632" s="21" t="n">
        <f aca="false">IF(OR(C1632="",E1632=""),"",C1632*E1632)</f>
        <v>0.062992</v>
      </c>
      <c r="G1632" s="22" t="n">
        <f aca="false">IFERROR(VLOOKUP(A1632,NOMENCLATOR!$A:$E,5,0),"")</f>
        <v>0.0254</v>
      </c>
      <c r="H1632" s="22" t="n">
        <f aca="false">IF(OR(C1632="",G1632=""),"",C1632*G1632)</f>
        <v>0.062992</v>
      </c>
    </row>
    <row r="1633" customFormat="false" ht="15" hidden="false" customHeight="true" outlineLevel="0" collapsed="false">
      <c r="A1633" s="17" t="s">
        <v>198</v>
      </c>
      <c r="B1633" s="18" t="str">
        <f aca="false">IFERROR(VLOOKUP(A1633,NOMENCLATOR!$A:$E,2,0),"")</f>
        <v>PAHAR PET FRYZZZ 300-400ML</v>
      </c>
      <c r="C1633" s="19" t="n">
        <v>1</v>
      </c>
      <c r="D1633" s="20" t="str">
        <f aca="false">IFERROR(VLOOKUP(A1633,NOMENCLATOR!$A:$E,3,0),"")</f>
        <v>EA</v>
      </c>
      <c r="E1633" s="21" t="n">
        <f aca="false">IFERROR(VLOOKUP(A1633,NOMENCLATOR!$A:$E,4,0),"")</f>
        <v>0.424</v>
      </c>
      <c r="F1633" s="21" t="n">
        <f aca="false">IF(OR(C1633="",E1633=""),"",C1633*E1633)</f>
        <v>0.424</v>
      </c>
      <c r="G1633" s="22" t="n">
        <f aca="false">IFERROR(VLOOKUP(A1633,NOMENCLATOR!$A:$E,5,0),"")</f>
        <v>0.424</v>
      </c>
      <c r="H1633" s="22" t="n">
        <f aca="false">IF(OR(C1633="",G1633=""),"",C1633*G1633)</f>
        <v>0.424</v>
      </c>
    </row>
    <row r="1634" customFormat="false" ht="15" hidden="false" customHeight="true" outlineLevel="0" collapsed="false">
      <c r="A1634" s="17" t="s">
        <v>88</v>
      </c>
      <c r="B1634" s="18" t="str">
        <f aca="false">IFERROR(VLOOKUP(A1634,NOMENCLATOR!$A:$E,2,0),"")</f>
        <v>CAPAC PLAT CU ORIFICIU FRYZZZ</v>
      </c>
      <c r="C1634" s="19" t="n">
        <v>1</v>
      </c>
      <c r="D1634" s="20" t="str">
        <f aca="false">IFERROR(VLOOKUP(A1634,NOMENCLATOR!$A:$E,3,0),"")</f>
        <v>EA</v>
      </c>
      <c r="E1634" s="21" t="n">
        <f aca="false">IFERROR(VLOOKUP(A1634,NOMENCLATOR!$A:$E,4,0),"")</f>
        <v>0.106</v>
      </c>
      <c r="F1634" s="21" t="n">
        <f aca="false">IF(OR(C1634="",E1634=""),"",C1634*E1634)</f>
        <v>0.106</v>
      </c>
      <c r="G1634" s="22" t="n">
        <f aca="false">IFERROR(VLOOKUP(A1634,NOMENCLATOR!$A:$E,5,0),"")</f>
        <v>0.106</v>
      </c>
      <c r="H1634" s="22" t="n">
        <f aca="false">IF(OR(C1634="",G1634=""),"",C1634*G1634)</f>
        <v>0.106</v>
      </c>
    </row>
    <row r="1635" customFormat="false" ht="15" hidden="false" customHeight="true" outlineLevel="0" collapsed="false">
      <c r="A1635" s="17" t="s">
        <v>204</v>
      </c>
      <c r="B1635" s="18" t="str">
        <f aca="false">IFERROR(VLOOKUP(A1635,NOMENCLATOR!$A:$E,2,0),"")</f>
        <v>Pai hartie 8mm</v>
      </c>
      <c r="C1635" s="19" t="n">
        <v>1</v>
      </c>
      <c r="D1635" s="20" t="str">
        <f aca="false">IFERROR(VLOOKUP(A1635,NOMENCLATOR!$A:$E,3,0),"")</f>
        <v>EA</v>
      </c>
      <c r="E1635" s="21" t="n">
        <f aca="false">IFERROR(VLOOKUP(A1635,NOMENCLATOR!$A:$E,4,0),"")</f>
        <v>0.176</v>
      </c>
      <c r="F1635" s="21" t="n">
        <f aca="false">IF(OR(C1635="",E1635=""),"",C1635*E1635)</f>
        <v>0.176</v>
      </c>
      <c r="G1635" s="22" t="n">
        <f aca="false">IFERROR(VLOOKUP(A1635,NOMENCLATOR!$A:$E,5,0),"")</f>
        <v>0.176</v>
      </c>
      <c r="H1635" s="22" t="n">
        <f aca="false">IF(OR(C1635="",G1635=""),"",C1635*G1635)</f>
        <v>0.176</v>
      </c>
    </row>
    <row r="1636" customFormat="false" ht="15" hidden="false" customHeight="true" outlineLevel="0" collapsed="false">
      <c r="A1636" s="17" t="s">
        <v>224</v>
      </c>
      <c r="B1636" s="18" t="str">
        <f aca="false">IFERROR(VLOOKUP(A1636,NOMENCLATOR!$A:$E,2,0),"")</f>
        <v>Piure Pina Colada Monin</v>
      </c>
      <c r="C1636" s="19" t="n">
        <v>30</v>
      </c>
      <c r="D1636" s="20" t="str">
        <f aca="false">IFERROR(VLOOKUP(A1636,NOMENCLATOR!$A:$E,3,0),"")</f>
        <v>ML</v>
      </c>
      <c r="E1636" s="21" t="n">
        <f aca="false">IFERROR(VLOOKUP(A1636,NOMENCLATOR!$A:$E,4,0),"")</f>
        <v>0.08747</v>
      </c>
      <c r="F1636" s="21" t="n">
        <f aca="false">IF(OR(C1636="",E1636=""),"",C1636*E1636)</f>
        <v>2.6241</v>
      </c>
      <c r="G1636" s="22" t="n">
        <f aca="false">IFERROR(VLOOKUP(A1636,NOMENCLATOR!$A:$E,5,0),"")</f>
        <v>0.08747</v>
      </c>
      <c r="H1636" s="22" t="n">
        <f aca="false">IF(OR(C1636="",G1636=""),"",C1636*G1636)</f>
        <v>2.6241</v>
      </c>
    </row>
    <row r="1637" customFormat="false" ht="15" hidden="false" customHeight="true" outlineLevel="0" collapsed="false">
      <c r="A1637" s="23" t="str">
        <f aca="false">IF(A1630="","",A1630)</f>
        <v>FRYZZZ PINACOLADA new</v>
      </c>
      <c r="B1637" s="24"/>
      <c r="C1637" s="24"/>
      <c r="D1637" s="24"/>
      <c r="E1637" s="24"/>
      <c r="F1637" s="25" t="n">
        <f aca="false">IF(A1630="","",SUM(F1632:F1636))</f>
        <v>3.393092</v>
      </c>
      <c r="G1637" s="24"/>
      <c r="H1637" s="26" t="n">
        <f aca="false">IF(A1630="","",SUM(H1632:H1636))</f>
        <v>3.393092</v>
      </c>
    </row>
    <row r="1639" customFormat="false" ht="15" hidden="false" customHeight="true" outlineLevel="0" collapsed="false">
      <c r="A1639" s="12" t="s">
        <v>544</v>
      </c>
      <c r="B1639" s="13"/>
      <c r="C1639" s="13"/>
      <c r="D1639" s="13"/>
      <c r="E1639" s="13"/>
      <c r="F1639" s="14" t="s">
        <v>523</v>
      </c>
      <c r="G1639" s="13"/>
      <c r="H1639" s="15"/>
    </row>
    <row r="1640" customFormat="false" ht="15" hidden="false" customHeight="true" outlineLevel="0" collapsed="false">
      <c r="A1640" s="16" t="s">
        <v>316</v>
      </c>
      <c r="B1640" s="16" t="s">
        <v>317</v>
      </c>
      <c r="C1640" s="16" t="s">
        <v>318</v>
      </c>
      <c r="D1640" s="16" t="s">
        <v>4</v>
      </c>
      <c r="E1640" s="16" t="s">
        <v>319</v>
      </c>
      <c r="F1640" s="16" t="s">
        <v>320</v>
      </c>
      <c r="G1640" s="16" t="s">
        <v>321</v>
      </c>
      <c r="H1640" s="16" t="s">
        <v>322</v>
      </c>
    </row>
    <row r="1641" customFormat="false" ht="15" hidden="false" customHeight="true" outlineLevel="0" collapsed="false">
      <c r="A1641" s="17" t="s">
        <v>64</v>
      </c>
      <c r="B1641" s="18" t="str">
        <f aca="false">IFERROR(VLOOKUP(A1641,NOMENCLATOR!$A:$E,2,0),"")</f>
        <v>Biogon C E290 10kg</v>
      </c>
      <c r="C1641" s="19" t="n">
        <v>2.48</v>
      </c>
      <c r="D1641" s="20" t="str">
        <f aca="false">IFERROR(VLOOKUP(A1641,NOMENCLATOR!$A:$E,3,0),"")</f>
        <v>GM</v>
      </c>
      <c r="E1641" s="21" t="n">
        <f aca="false">IFERROR(VLOOKUP(A1641,NOMENCLATOR!$A:$E,4,0),"")</f>
        <v>0.0254</v>
      </c>
      <c r="F1641" s="21" t="n">
        <f aca="false">IF(OR(C1641="",E1641=""),"",C1641*E1641)</f>
        <v>0.062992</v>
      </c>
      <c r="G1641" s="22" t="n">
        <f aca="false">IFERROR(VLOOKUP(A1641,NOMENCLATOR!$A:$E,5,0),"")</f>
        <v>0.0254</v>
      </c>
      <c r="H1641" s="22" t="n">
        <f aca="false">IF(OR(C1641="",G1641=""),"",C1641*G1641)</f>
        <v>0.062992</v>
      </c>
    </row>
    <row r="1642" customFormat="false" ht="15" hidden="false" customHeight="true" outlineLevel="0" collapsed="false">
      <c r="A1642" s="17" t="s">
        <v>198</v>
      </c>
      <c r="B1642" s="18" t="str">
        <f aca="false">IFERROR(VLOOKUP(A1642,NOMENCLATOR!$A:$E,2,0),"")</f>
        <v>PAHAR PET FRYZZZ 300-400ML</v>
      </c>
      <c r="C1642" s="19" t="n">
        <v>1</v>
      </c>
      <c r="D1642" s="20" t="str">
        <f aca="false">IFERROR(VLOOKUP(A1642,NOMENCLATOR!$A:$E,3,0),"")</f>
        <v>EA</v>
      </c>
      <c r="E1642" s="21" t="n">
        <f aca="false">IFERROR(VLOOKUP(A1642,NOMENCLATOR!$A:$E,4,0),"")</f>
        <v>0.424</v>
      </c>
      <c r="F1642" s="21" t="n">
        <f aca="false">IF(OR(C1642="",E1642=""),"",C1642*E1642)</f>
        <v>0.424</v>
      </c>
      <c r="G1642" s="22" t="n">
        <f aca="false">IFERROR(VLOOKUP(A1642,NOMENCLATOR!$A:$E,5,0),"")</f>
        <v>0.424</v>
      </c>
      <c r="H1642" s="22" t="n">
        <f aca="false">IF(OR(C1642="",G1642=""),"",C1642*G1642)</f>
        <v>0.424</v>
      </c>
    </row>
    <row r="1643" customFormat="false" ht="15" hidden="false" customHeight="true" outlineLevel="0" collapsed="false">
      <c r="A1643" s="17" t="s">
        <v>88</v>
      </c>
      <c r="B1643" s="18" t="str">
        <f aca="false">IFERROR(VLOOKUP(A1643,NOMENCLATOR!$A:$E,2,0),"")</f>
        <v>CAPAC PLAT CU ORIFICIU FRYZZZ</v>
      </c>
      <c r="C1643" s="19" t="n">
        <v>1</v>
      </c>
      <c r="D1643" s="20" t="str">
        <f aca="false">IFERROR(VLOOKUP(A1643,NOMENCLATOR!$A:$E,3,0),"")</f>
        <v>EA</v>
      </c>
      <c r="E1643" s="21" t="n">
        <f aca="false">IFERROR(VLOOKUP(A1643,NOMENCLATOR!$A:$E,4,0),"")</f>
        <v>0.106</v>
      </c>
      <c r="F1643" s="21" t="n">
        <f aca="false">IF(OR(C1643="",E1643=""),"",C1643*E1643)</f>
        <v>0.106</v>
      </c>
      <c r="G1643" s="22" t="n">
        <f aca="false">IFERROR(VLOOKUP(A1643,NOMENCLATOR!$A:$E,5,0),"")</f>
        <v>0.106</v>
      </c>
      <c r="H1643" s="22" t="n">
        <f aca="false">IF(OR(C1643="",G1643=""),"",C1643*G1643)</f>
        <v>0.106</v>
      </c>
    </row>
    <row r="1644" customFormat="false" ht="15" hidden="false" customHeight="true" outlineLevel="0" collapsed="false">
      <c r="A1644" s="17" t="s">
        <v>204</v>
      </c>
      <c r="B1644" s="18" t="str">
        <f aca="false">IFERROR(VLOOKUP(A1644,NOMENCLATOR!$A:$E,2,0),"")</f>
        <v>Pai hartie 8mm</v>
      </c>
      <c r="C1644" s="19" t="n">
        <v>1</v>
      </c>
      <c r="D1644" s="20" t="str">
        <f aca="false">IFERROR(VLOOKUP(A1644,NOMENCLATOR!$A:$E,3,0),"")</f>
        <v>EA</v>
      </c>
      <c r="E1644" s="21" t="n">
        <f aca="false">IFERROR(VLOOKUP(A1644,NOMENCLATOR!$A:$E,4,0),"")</f>
        <v>0.176</v>
      </c>
      <c r="F1644" s="21" t="n">
        <f aca="false">IF(OR(C1644="",E1644=""),"",C1644*E1644)</f>
        <v>0.176</v>
      </c>
      <c r="G1644" s="22" t="n">
        <f aca="false">IFERROR(VLOOKUP(A1644,NOMENCLATOR!$A:$E,5,0),"")</f>
        <v>0.176</v>
      </c>
      <c r="H1644" s="22" t="n">
        <f aca="false">IF(OR(C1644="",G1644=""),"",C1644*G1644)</f>
        <v>0.176</v>
      </c>
    </row>
    <row r="1645" customFormat="false" ht="15" hidden="false" customHeight="true" outlineLevel="0" collapsed="false">
      <c r="A1645" s="17" t="s">
        <v>222</v>
      </c>
      <c r="B1645" s="18" t="str">
        <f aca="false">IFERROR(VLOOKUP(A1645,NOMENCLATOR!$A:$E,2,0),"")</f>
        <v>Piure Pepene Rosu Monin</v>
      </c>
      <c r="C1645" s="19" t="n">
        <v>30</v>
      </c>
      <c r="D1645" s="20" t="str">
        <f aca="false">IFERROR(VLOOKUP(A1645,NOMENCLATOR!$A:$E,3,0),"")</f>
        <v>ML</v>
      </c>
      <c r="E1645" s="21" t="n">
        <f aca="false">IFERROR(VLOOKUP(A1645,NOMENCLATOR!$A:$E,4,0),"")</f>
        <v>0.08747</v>
      </c>
      <c r="F1645" s="21" t="n">
        <f aca="false">IF(OR(C1645="",E1645=""),"",C1645*E1645)</f>
        <v>2.6241</v>
      </c>
      <c r="G1645" s="22" t="n">
        <f aca="false">IFERROR(VLOOKUP(A1645,NOMENCLATOR!$A:$E,5,0),"")</f>
        <v>0.08747</v>
      </c>
      <c r="H1645" s="22" t="n">
        <f aca="false">IF(OR(C1645="",G1645=""),"",C1645*G1645)</f>
        <v>2.6241</v>
      </c>
    </row>
    <row r="1646" customFormat="false" ht="15" hidden="false" customHeight="true" outlineLevel="0" collapsed="false">
      <c r="A1646" s="23" t="str">
        <f aca="false">IF(A1639="","",A1639)</f>
        <v>FRYZZZ PEPENE ROSU new</v>
      </c>
      <c r="B1646" s="24"/>
      <c r="C1646" s="24"/>
      <c r="D1646" s="24"/>
      <c r="E1646" s="24"/>
      <c r="F1646" s="25" t="n">
        <f aca="false">IF(A1639="","",SUM(F1641:F1645))</f>
        <v>3.393092</v>
      </c>
      <c r="G1646" s="24"/>
      <c r="H1646" s="26" t="n">
        <f aca="false">IF(A1639="","",SUM(H1641:H1645))</f>
        <v>3.393092</v>
      </c>
    </row>
    <row r="1648" customFormat="false" ht="15" hidden="false" customHeight="true" outlineLevel="0" collapsed="false">
      <c r="A1648" s="12" t="s">
        <v>545</v>
      </c>
      <c r="B1648" s="13"/>
      <c r="C1648" s="13"/>
      <c r="D1648" s="13"/>
      <c r="E1648" s="13"/>
      <c r="F1648" s="14" t="s">
        <v>523</v>
      </c>
      <c r="G1648" s="13"/>
      <c r="H1648" s="15"/>
    </row>
    <row r="1649" customFormat="false" ht="15" hidden="false" customHeight="true" outlineLevel="0" collapsed="false">
      <c r="A1649" s="16" t="s">
        <v>316</v>
      </c>
      <c r="B1649" s="16" t="s">
        <v>317</v>
      </c>
      <c r="C1649" s="16" t="s">
        <v>318</v>
      </c>
      <c r="D1649" s="16" t="s">
        <v>4</v>
      </c>
      <c r="E1649" s="16" t="s">
        <v>319</v>
      </c>
      <c r="F1649" s="16" t="s">
        <v>320</v>
      </c>
      <c r="G1649" s="16" t="s">
        <v>321</v>
      </c>
      <c r="H1649" s="16" t="s">
        <v>322</v>
      </c>
    </row>
    <row r="1650" customFormat="false" ht="15" hidden="false" customHeight="true" outlineLevel="0" collapsed="false">
      <c r="A1650" s="17" t="s">
        <v>212</v>
      </c>
      <c r="B1650" s="18" t="str">
        <f aca="false">IFERROR(VLOOKUP(A1650,NOMENCLATOR!$A:$E,2,0),"")</f>
        <v>PEPSI ZERO STRAWBERRY CREAM 330ML</v>
      </c>
      <c r="C1650" s="19" t="n">
        <v>1</v>
      </c>
      <c r="D1650" s="20" t="str">
        <f aca="false">IFERROR(VLOOKUP(A1650,NOMENCLATOR!$A:$E,3,0),"")</f>
        <v>EA</v>
      </c>
      <c r="E1650" s="21" t="n">
        <f aca="false">IFERROR(VLOOKUP(A1650,NOMENCLATOR!$A:$E,4,0),"")</f>
        <v>3.71</v>
      </c>
      <c r="F1650" s="21" t="n">
        <f aca="false">IF(OR(C1650="",E1650=""),"",C1650*E1650)</f>
        <v>3.71</v>
      </c>
      <c r="G1650" s="22" t="n">
        <f aca="false">IFERROR(VLOOKUP(A1650,NOMENCLATOR!$A:$E,5,0),"")</f>
        <v>3.71</v>
      </c>
      <c r="H1650" s="22" t="n">
        <f aca="false">IF(OR(C1650="",G1650=""),"",C1650*G1650)</f>
        <v>3.71</v>
      </c>
    </row>
    <row r="1651" customFormat="false" ht="15" hidden="false" customHeight="true" outlineLevel="0" collapsed="false">
      <c r="A1651" s="23" t="str">
        <f aca="false">IF(A1648="","",A1648)</f>
        <v>Pepsi cu gust de Căpșuni și Frișcă new</v>
      </c>
      <c r="B1651" s="24"/>
      <c r="C1651" s="24"/>
      <c r="D1651" s="24"/>
      <c r="E1651" s="24"/>
      <c r="F1651" s="25" t="n">
        <f aca="false">IF(A1648="","",SUM(F1650:F1650))</f>
        <v>3.71</v>
      </c>
      <c r="G1651" s="24"/>
      <c r="H1651" s="26" t="n">
        <f aca="false">IF(A1648="","",SUM(H1650:H1650))</f>
        <v>3.71</v>
      </c>
    </row>
    <row r="1653" customFormat="false" ht="15" hidden="false" customHeight="true" outlineLevel="0" collapsed="false">
      <c r="A1653" s="12" t="s">
        <v>546</v>
      </c>
      <c r="B1653" s="13"/>
      <c r="C1653" s="13"/>
      <c r="D1653" s="13"/>
      <c r="E1653" s="13"/>
      <c r="F1653" s="14" t="s">
        <v>523</v>
      </c>
      <c r="G1653" s="13"/>
      <c r="H1653" s="15"/>
    </row>
    <row r="1654" customFormat="false" ht="15" hidden="false" customHeight="true" outlineLevel="0" collapsed="false">
      <c r="A1654" s="16" t="s">
        <v>316</v>
      </c>
      <c r="B1654" s="16" t="s">
        <v>317</v>
      </c>
      <c r="C1654" s="16" t="s">
        <v>318</v>
      </c>
      <c r="D1654" s="16" t="s">
        <v>4</v>
      </c>
      <c r="E1654" s="16" t="s">
        <v>319</v>
      </c>
      <c r="F1654" s="16" t="s">
        <v>320</v>
      </c>
      <c r="G1654" s="16" t="s">
        <v>321</v>
      </c>
      <c r="H1654" s="16" t="s">
        <v>322</v>
      </c>
    </row>
    <row r="1655" customFormat="false" ht="15" hidden="false" customHeight="true" outlineLevel="0" collapsed="false">
      <c r="A1655" s="17" t="s">
        <v>212</v>
      </c>
      <c r="B1655" s="18" t="str">
        <f aca="false">IFERROR(VLOOKUP(A1655,NOMENCLATOR!$A:$E,2,0),"")</f>
        <v>PEPSI ZERO STRAWBERRY CREAM 330ML</v>
      </c>
      <c r="C1655" s="19" t="n">
        <v>1</v>
      </c>
      <c r="D1655" s="20" t="str">
        <f aca="false">IFERROR(VLOOKUP(A1655,NOMENCLATOR!$A:$E,3,0),"")</f>
        <v>EA</v>
      </c>
      <c r="E1655" s="21" t="n">
        <f aca="false">IFERROR(VLOOKUP(A1655,NOMENCLATOR!$A:$E,4,0),"")</f>
        <v>3.71</v>
      </c>
      <c r="F1655" s="21" t="n">
        <f aca="false">IF(OR(C1655="",E1655=""),"",C1655*E1655)</f>
        <v>3.71</v>
      </c>
      <c r="G1655" s="22" t="n">
        <f aca="false">IFERROR(VLOOKUP(A1655,NOMENCLATOR!$A:$E,5,0),"")</f>
        <v>3.71</v>
      </c>
      <c r="H1655" s="22" t="n">
        <f aca="false">IF(OR(C1655="",G1655=""),"",C1655*G1655)</f>
        <v>3.71</v>
      </c>
    </row>
    <row r="1656" customFormat="false" ht="15" hidden="false" customHeight="true" outlineLevel="0" collapsed="false">
      <c r="A1656" s="23" t="str">
        <f aca="false">IF(A1653="","",A1653)</f>
        <v>Pepsi cu gust de Căpșuni și Frișcă new D</v>
      </c>
      <c r="B1656" s="24"/>
      <c r="C1656" s="24"/>
      <c r="D1656" s="24"/>
      <c r="E1656" s="24"/>
      <c r="F1656" s="25" t="n">
        <f aca="false">IF(A1653="","",SUM(F1655:F1655))</f>
        <v>3.71</v>
      </c>
      <c r="G1656" s="24"/>
      <c r="H1656" s="26" t="n">
        <f aca="false">IF(A1653="","",SUM(H1655:H1655))</f>
        <v>3.71</v>
      </c>
    </row>
    <row r="1658" customFormat="false" ht="15" hidden="false" customHeight="true" outlineLevel="0" collapsed="false">
      <c r="A1658" s="12" t="s">
        <v>547</v>
      </c>
      <c r="B1658" s="13"/>
      <c r="C1658" s="13"/>
      <c r="D1658" s="13"/>
      <c r="E1658" s="13"/>
      <c r="F1658" s="14" t="s">
        <v>523</v>
      </c>
      <c r="G1658" s="13"/>
      <c r="H1658" s="15"/>
    </row>
    <row r="1659" customFormat="false" ht="15" hidden="false" customHeight="true" outlineLevel="0" collapsed="false">
      <c r="A1659" s="16" t="s">
        <v>316</v>
      </c>
      <c r="B1659" s="16" t="s">
        <v>317</v>
      </c>
      <c r="C1659" s="16" t="s">
        <v>318</v>
      </c>
      <c r="D1659" s="16" t="s">
        <v>4</v>
      </c>
      <c r="E1659" s="16" t="s">
        <v>319</v>
      </c>
      <c r="F1659" s="16" t="s">
        <v>320</v>
      </c>
      <c r="G1659" s="16" t="s">
        <v>321</v>
      </c>
      <c r="H1659" s="16" t="s">
        <v>322</v>
      </c>
    </row>
    <row r="1660" customFormat="false" ht="15" hidden="false" customHeight="true" outlineLevel="0" collapsed="false">
      <c r="A1660" s="17" t="s">
        <v>210</v>
      </c>
      <c r="B1660" s="18" t="str">
        <f aca="false">IFERROR(VLOOKUP(A1660,NOMENCLATOR!$A:$E,2,0),"")</f>
        <v>PEPSI ZERO CREAM SODA 330ML</v>
      </c>
      <c r="C1660" s="19" t="n">
        <v>1</v>
      </c>
      <c r="D1660" s="20" t="str">
        <f aca="false">IFERROR(VLOOKUP(A1660,NOMENCLATOR!$A:$E,3,0),"")</f>
        <v>EA</v>
      </c>
      <c r="E1660" s="21" t="n">
        <f aca="false">IFERROR(VLOOKUP(A1660,NOMENCLATOR!$A:$E,4,0),"")</f>
        <v>3.71</v>
      </c>
      <c r="F1660" s="21" t="n">
        <f aca="false">IF(OR(C1660="",E1660=""),"",C1660*E1660)</f>
        <v>3.71</v>
      </c>
      <c r="G1660" s="22" t="n">
        <f aca="false">IFERROR(VLOOKUP(A1660,NOMENCLATOR!$A:$E,5,0),"")</f>
        <v>3.71</v>
      </c>
      <c r="H1660" s="22" t="n">
        <f aca="false">IF(OR(C1660="",G1660=""),"",C1660*G1660)</f>
        <v>3.71</v>
      </c>
    </row>
    <row r="1661" customFormat="false" ht="15" hidden="false" customHeight="true" outlineLevel="0" collapsed="false">
      <c r="A1661" s="23" t="str">
        <f aca="false">IF(A1658="","",A1658)</f>
        <v>Pepsi cu gust de Înghețată de Vanilie new</v>
      </c>
      <c r="B1661" s="24"/>
      <c r="C1661" s="24"/>
      <c r="D1661" s="24"/>
      <c r="E1661" s="24"/>
      <c r="F1661" s="25" t="n">
        <f aca="false">IF(A1658="","",SUM(F1660:F1660))</f>
        <v>3.71</v>
      </c>
      <c r="G1661" s="24"/>
      <c r="H1661" s="26" t="n">
        <f aca="false">IF(A1658="","",SUM(H1660:H1660))</f>
        <v>3.71</v>
      </c>
    </row>
    <row r="1663" customFormat="false" ht="15" hidden="false" customHeight="true" outlineLevel="0" collapsed="false">
      <c r="A1663" s="12" t="s">
        <v>548</v>
      </c>
      <c r="B1663" s="13"/>
      <c r="C1663" s="13"/>
      <c r="D1663" s="13"/>
      <c r="E1663" s="13"/>
      <c r="F1663" s="14" t="s">
        <v>523</v>
      </c>
      <c r="G1663" s="13"/>
      <c r="H1663" s="15"/>
    </row>
    <row r="1664" customFormat="false" ht="15" hidden="false" customHeight="true" outlineLevel="0" collapsed="false">
      <c r="A1664" s="16" t="s">
        <v>316</v>
      </c>
      <c r="B1664" s="16" t="s">
        <v>317</v>
      </c>
      <c r="C1664" s="16" t="s">
        <v>318</v>
      </c>
      <c r="D1664" s="16" t="s">
        <v>4</v>
      </c>
      <c r="E1664" s="16" t="s">
        <v>319</v>
      </c>
      <c r="F1664" s="16" t="s">
        <v>320</v>
      </c>
      <c r="G1664" s="16" t="s">
        <v>321</v>
      </c>
      <c r="H1664" s="16" t="s">
        <v>322</v>
      </c>
    </row>
    <row r="1665" customFormat="false" ht="15" hidden="false" customHeight="true" outlineLevel="0" collapsed="false">
      <c r="A1665" s="17" t="s">
        <v>210</v>
      </c>
      <c r="B1665" s="18" t="str">
        <f aca="false">IFERROR(VLOOKUP(A1665,NOMENCLATOR!$A:$E,2,0),"")</f>
        <v>PEPSI ZERO CREAM SODA 330ML</v>
      </c>
      <c r="C1665" s="19" t="n">
        <v>1</v>
      </c>
      <c r="D1665" s="20" t="str">
        <f aca="false">IFERROR(VLOOKUP(A1665,NOMENCLATOR!$A:$E,3,0),"")</f>
        <v>EA</v>
      </c>
      <c r="E1665" s="21" t="n">
        <f aca="false">IFERROR(VLOOKUP(A1665,NOMENCLATOR!$A:$E,4,0),"")</f>
        <v>3.71</v>
      </c>
      <c r="F1665" s="21" t="n">
        <f aca="false">IF(OR(C1665="",E1665=""),"",C1665*E1665)</f>
        <v>3.71</v>
      </c>
      <c r="G1665" s="22" t="n">
        <f aca="false">IFERROR(VLOOKUP(A1665,NOMENCLATOR!$A:$E,5,0),"")</f>
        <v>3.71</v>
      </c>
      <c r="H1665" s="22" t="n">
        <f aca="false">IF(OR(C1665="",G1665=""),"",C1665*G1665)</f>
        <v>3.71</v>
      </c>
    </row>
    <row r="1666" customFormat="false" ht="15" hidden="false" customHeight="true" outlineLevel="0" collapsed="false">
      <c r="A1666" s="23" t="str">
        <f aca="false">IF(A1663="","",A1663)</f>
        <v>Pepsi cu gust de Înghețată de Vanilie new D</v>
      </c>
      <c r="B1666" s="24"/>
      <c r="C1666" s="24"/>
      <c r="D1666" s="24"/>
      <c r="E1666" s="24"/>
      <c r="F1666" s="25" t="n">
        <f aca="false">IF(A1663="","",SUM(F1665:F1665))</f>
        <v>3.71</v>
      </c>
      <c r="G1666" s="24"/>
      <c r="H1666" s="26" t="n">
        <f aca="false">IF(A1663="","",SUM(H1665:H1665))</f>
        <v>3.71</v>
      </c>
    </row>
    <row r="1668" customFormat="false" ht="15" hidden="false" customHeight="true" outlineLevel="0" collapsed="false">
      <c r="A1668" s="12" t="s">
        <v>549</v>
      </c>
      <c r="B1668" s="13"/>
      <c r="C1668" s="13"/>
      <c r="D1668" s="13"/>
      <c r="E1668" s="13"/>
      <c r="F1668" s="14" t="s">
        <v>523</v>
      </c>
      <c r="G1668" s="13"/>
      <c r="H1668" s="15"/>
    </row>
    <row r="1669" customFormat="false" ht="15" hidden="false" customHeight="true" outlineLevel="0" collapsed="false">
      <c r="A1669" s="16" t="s">
        <v>316</v>
      </c>
      <c r="B1669" s="16" t="s">
        <v>317</v>
      </c>
      <c r="C1669" s="16" t="s">
        <v>318</v>
      </c>
      <c r="D1669" s="16" t="s">
        <v>4</v>
      </c>
      <c r="E1669" s="16" t="s">
        <v>319</v>
      </c>
      <c r="F1669" s="16" t="s">
        <v>320</v>
      </c>
      <c r="G1669" s="16" t="s">
        <v>321</v>
      </c>
      <c r="H1669" s="16" t="s">
        <v>322</v>
      </c>
    </row>
    <row r="1670" customFormat="false" ht="15" hidden="false" customHeight="true" outlineLevel="0" collapsed="false">
      <c r="A1670" s="17" t="s">
        <v>28</v>
      </c>
      <c r="B1670" s="18" t="str">
        <f aca="false">IFERROR(VLOOKUP(A1670,NOMENCLATOR!$A:$E,2,0),"")</f>
        <v>1.000 EA Pepsi Max 0.33L PROMO FREE</v>
      </c>
      <c r="C1670" s="19" t="n">
        <v>1</v>
      </c>
      <c r="D1670" s="20" t="str">
        <f aca="false">IFERROR(VLOOKUP(A1670,NOMENCLATOR!$A:$E,3,0),"")</f>
        <v>EA</v>
      </c>
      <c r="E1670" s="21" t="n">
        <f aca="false">IFERROR(VLOOKUP(A1670,NOMENCLATOR!$A:$E,4,0),"")</f>
        <v>0.643</v>
      </c>
      <c r="F1670" s="21" t="n">
        <f aca="false">IF(OR(C1670="",E1670=""),"",C1670*E1670)</f>
        <v>0.643</v>
      </c>
      <c r="G1670" s="22" t="n">
        <f aca="false">IFERROR(VLOOKUP(A1670,NOMENCLATOR!$A:$E,5,0),"")</f>
        <v>0.643</v>
      </c>
      <c r="H1670" s="22" t="n">
        <f aca="false">IF(OR(C1670="",G1670=""),"",C1670*G1670)</f>
        <v>0.643</v>
      </c>
    </row>
    <row r="1671" customFormat="false" ht="15" hidden="false" customHeight="true" outlineLevel="0" collapsed="false">
      <c r="A1671" s="23" t="str">
        <f aca="false">IF(A1668="","",A1668)</f>
        <v>DOZA PEPSI ZERO new D</v>
      </c>
      <c r="B1671" s="24"/>
      <c r="C1671" s="24"/>
      <c r="D1671" s="24"/>
      <c r="E1671" s="24"/>
      <c r="F1671" s="25" t="n">
        <f aca="false">IF(A1668="","",SUM(F1670:F1670))</f>
        <v>0.643</v>
      </c>
      <c r="G1671" s="24"/>
      <c r="H1671" s="26" t="n">
        <f aca="false">IF(A1668="","",SUM(H1670:H1670))</f>
        <v>0.643</v>
      </c>
    </row>
    <row r="1673" customFormat="false" ht="15" hidden="false" customHeight="true" outlineLevel="0" collapsed="false">
      <c r="A1673" s="12" t="s">
        <v>550</v>
      </c>
      <c r="B1673" s="13"/>
      <c r="C1673" s="13"/>
      <c r="D1673" s="13"/>
      <c r="E1673" s="13"/>
      <c r="F1673" s="14" t="s">
        <v>523</v>
      </c>
      <c r="G1673" s="13"/>
      <c r="H1673" s="15"/>
    </row>
    <row r="1674" customFormat="false" ht="15" hidden="false" customHeight="true" outlineLevel="0" collapsed="false">
      <c r="A1674" s="16" t="s">
        <v>316</v>
      </c>
      <c r="B1674" s="16" t="s">
        <v>317</v>
      </c>
      <c r="C1674" s="16" t="s">
        <v>318</v>
      </c>
      <c r="D1674" s="16" t="s">
        <v>4</v>
      </c>
      <c r="E1674" s="16" t="s">
        <v>319</v>
      </c>
      <c r="F1674" s="16" t="s">
        <v>320</v>
      </c>
      <c r="G1674" s="16" t="s">
        <v>321</v>
      </c>
      <c r="H1674" s="16" t="s">
        <v>322</v>
      </c>
    </row>
    <row r="1675" customFormat="false" ht="15" hidden="false" customHeight="true" outlineLevel="0" collapsed="false">
      <c r="A1675" s="17" t="s">
        <v>214</v>
      </c>
      <c r="B1675" s="18" t="str">
        <f aca="false">IFERROR(VLOOKUP(A1675,NOMENCLATOR!$A:$E,2,0),"")</f>
        <v>Pepsi-Cola 0.33L</v>
      </c>
      <c r="C1675" s="19" t="n">
        <v>1</v>
      </c>
      <c r="D1675" s="20" t="str">
        <f aca="false">IFERROR(VLOOKUP(A1675,NOMENCLATOR!$A:$E,3,0),"")</f>
        <v>EA</v>
      </c>
      <c r="E1675" s="21" t="n">
        <f aca="false">IFERROR(VLOOKUP(A1675,NOMENCLATOR!$A:$E,4,0),"")</f>
        <v>1.935</v>
      </c>
      <c r="F1675" s="21" t="n">
        <f aca="false">IF(OR(C1675="",E1675=""),"",C1675*E1675)</f>
        <v>1.935</v>
      </c>
      <c r="G1675" s="22" t="n">
        <f aca="false">IFERROR(VLOOKUP(A1675,NOMENCLATOR!$A:$E,5,0),"")</f>
        <v>1.935</v>
      </c>
      <c r="H1675" s="22" t="n">
        <f aca="false">IF(OR(C1675="",G1675=""),"",C1675*G1675)</f>
        <v>1.935</v>
      </c>
    </row>
    <row r="1676" customFormat="false" ht="15" hidden="false" customHeight="true" outlineLevel="0" collapsed="false">
      <c r="A1676" s="23" t="str">
        <f aca="false">IF(A1673="","",A1673)</f>
        <v>Doza Pepsi 330ml new D</v>
      </c>
      <c r="B1676" s="24"/>
      <c r="C1676" s="24"/>
      <c r="D1676" s="24"/>
      <c r="E1676" s="24"/>
      <c r="F1676" s="25" t="n">
        <f aca="false">IF(A1673="","",SUM(F1675:F1675))</f>
        <v>1.935</v>
      </c>
      <c r="G1676" s="24"/>
      <c r="H1676" s="26" t="n">
        <f aca="false">IF(A1673="","",SUM(H1675:H1675))</f>
        <v>1.935</v>
      </c>
    </row>
    <row r="1678" customFormat="false" ht="15" hidden="false" customHeight="true" outlineLevel="0" collapsed="false">
      <c r="A1678" s="12" t="s">
        <v>551</v>
      </c>
      <c r="B1678" s="13"/>
      <c r="C1678" s="13"/>
      <c r="D1678" s="13"/>
      <c r="E1678" s="13"/>
      <c r="F1678" s="14" t="s">
        <v>552</v>
      </c>
      <c r="G1678" s="13"/>
      <c r="H1678" s="15"/>
    </row>
    <row r="1679" customFormat="false" ht="15" hidden="false" customHeight="true" outlineLevel="0" collapsed="false">
      <c r="A1679" s="16" t="s">
        <v>316</v>
      </c>
      <c r="B1679" s="16" t="s">
        <v>317</v>
      </c>
      <c r="C1679" s="16" t="s">
        <v>318</v>
      </c>
      <c r="D1679" s="16" t="s">
        <v>4</v>
      </c>
      <c r="E1679" s="16" t="s">
        <v>319</v>
      </c>
      <c r="F1679" s="16" t="s">
        <v>320</v>
      </c>
      <c r="G1679" s="16" t="s">
        <v>321</v>
      </c>
      <c r="H1679" s="16" t="s">
        <v>322</v>
      </c>
    </row>
    <row r="1680" customFormat="false" ht="15" hidden="false" customHeight="true" outlineLevel="0" collapsed="false">
      <c r="A1680" s="17" t="s">
        <v>36</v>
      </c>
      <c r="B1680" s="18" t="str">
        <f aca="false">IFERROR(VLOOKUP(A1680,NOMENCLATOR!$A:$E,2,0),"")</f>
        <v>1.000 EA Tort de ciocolata cu zmeura</v>
      </c>
      <c r="C1680" s="19" t="n">
        <v>1</v>
      </c>
      <c r="D1680" s="20" t="str">
        <f aca="false">IFERROR(VLOOKUP(A1680,NOMENCLATOR!$A:$E,3,0),"")</f>
        <v>EA</v>
      </c>
      <c r="E1680" s="21" t="n">
        <f aca="false">IFERROR(VLOOKUP(A1680,NOMENCLATOR!$A:$E,4,0),"")</f>
        <v>8.513</v>
      </c>
      <c r="F1680" s="21" t="n">
        <f aca="false">IF(OR(C1680="",E1680=""),"",C1680*E1680)</f>
        <v>8.513</v>
      </c>
      <c r="G1680" s="22" t="n">
        <f aca="false">IFERROR(VLOOKUP(A1680,NOMENCLATOR!$A:$E,5,0),"")</f>
        <v>8.513</v>
      </c>
      <c r="H1680" s="22" t="n">
        <f aca="false">IF(OR(C1680="",G1680=""),"",C1680*G1680)</f>
        <v>8.513</v>
      </c>
    </row>
    <row r="1681" customFormat="false" ht="15" hidden="false" customHeight="true" outlineLevel="0" collapsed="false">
      <c r="A1681" s="17" t="s">
        <v>126</v>
      </c>
      <c r="B1681" s="18" t="str">
        <f aca="false">IFERROR(VLOOKUP(A1681,NOMENCLATOR!$A:$E,2,0),"")</f>
        <v>Furculita Rosie</v>
      </c>
      <c r="C1681" s="19" t="n">
        <v>1</v>
      </c>
      <c r="D1681" s="20" t="str">
        <f aca="false">IFERROR(VLOOKUP(A1681,NOMENCLATOR!$A:$E,3,0),"")</f>
        <v>EA</v>
      </c>
      <c r="E1681" s="21" t="n">
        <f aca="false">IFERROR(VLOOKUP(A1681,NOMENCLATOR!$A:$E,4,0),"")</f>
        <v>0.27</v>
      </c>
      <c r="F1681" s="21" t="n">
        <f aca="false">IF(OR(C1681="",E1681=""),"",C1681*E1681)</f>
        <v>0.27</v>
      </c>
      <c r="G1681" s="22" t="n">
        <f aca="false">IFERROR(VLOOKUP(A1681,NOMENCLATOR!$A:$E,5,0),"")</f>
        <v>0.27</v>
      </c>
      <c r="H1681" s="22" t="n">
        <f aca="false">IF(OR(C1681="",G1681=""),"",C1681*G1681)</f>
        <v>0.27</v>
      </c>
    </row>
    <row r="1682" customFormat="false" ht="15" hidden="false" customHeight="true" outlineLevel="0" collapsed="false">
      <c r="A1682" s="23" t="str">
        <f aca="false">IF(A1678="","",A1678)</f>
        <v>Tort ciocolata zmeura new</v>
      </c>
      <c r="B1682" s="24"/>
      <c r="C1682" s="24"/>
      <c r="D1682" s="24"/>
      <c r="E1682" s="24"/>
      <c r="F1682" s="25" t="n">
        <f aca="false">IF(A1678="","",SUM(F1680:F1681))</f>
        <v>8.783</v>
      </c>
      <c r="G1682" s="24"/>
      <c r="H1682" s="26" t="n">
        <f aca="false">IF(A1678="","",SUM(H1680:H1681))</f>
        <v>8.783</v>
      </c>
    </row>
    <row r="1684" customFormat="false" ht="15" hidden="false" customHeight="true" outlineLevel="0" collapsed="false">
      <c r="A1684" s="12" t="s">
        <v>553</v>
      </c>
      <c r="B1684" s="13"/>
      <c r="C1684" s="13"/>
      <c r="D1684" s="13"/>
      <c r="E1684" s="13"/>
      <c r="F1684" s="14" t="s">
        <v>552</v>
      </c>
      <c r="G1684" s="13"/>
      <c r="H1684" s="15"/>
    </row>
    <row r="1685" customFormat="false" ht="15" hidden="false" customHeight="true" outlineLevel="0" collapsed="false">
      <c r="A1685" s="16" t="s">
        <v>316</v>
      </c>
      <c r="B1685" s="16" t="s">
        <v>317</v>
      </c>
      <c r="C1685" s="16" t="s">
        <v>318</v>
      </c>
      <c r="D1685" s="16" t="s">
        <v>4</v>
      </c>
      <c r="E1685" s="16" t="s">
        <v>319</v>
      </c>
      <c r="F1685" s="16" t="s">
        <v>320</v>
      </c>
      <c r="G1685" s="16" t="s">
        <v>321</v>
      </c>
      <c r="H1685" s="16" t="s">
        <v>322</v>
      </c>
    </row>
    <row r="1686" customFormat="false" ht="15" hidden="false" customHeight="true" outlineLevel="0" collapsed="false">
      <c r="A1686" s="17" t="s">
        <v>36</v>
      </c>
      <c r="B1686" s="18" t="str">
        <f aca="false">IFERROR(VLOOKUP(A1686,NOMENCLATOR!$A:$E,2,0),"")</f>
        <v>1.000 EA Tort de ciocolata cu zmeura</v>
      </c>
      <c r="C1686" s="19" t="n">
        <v>1</v>
      </c>
      <c r="D1686" s="20" t="str">
        <f aca="false">IFERROR(VLOOKUP(A1686,NOMENCLATOR!$A:$E,3,0),"")</f>
        <v>EA</v>
      </c>
      <c r="E1686" s="21" t="n">
        <f aca="false">IFERROR(VLOOKUP(A1686,NOMENCLATOR!$A:$E,4,0),"")</f>
        <v>8.513</v>
      </c>
      <c r="F1686" s="21" t="n">
        <f aca="false">IF(OR(C1686="",E1686=""),"",C1686*E1686)</f>
        <v>8.513</v>
      </c>
      <c r="G1686" s="22" t="n">
        <f aca="false">IFERROR(VLOOKUP(A1686,NOMENCLATOR!$A:$E,5,0),"")</f>
        <v>8.513</v>
      </c>
      <c r="H1686" s="22" t="n">
        <f aca="false">IF(OR(C1686="",G1686=""),"",C1686*G1686)</f>
        <v>8.513</v>
      </c>
    </row>
    <row r="1687" customFormat="false" ht="15" hidden="false" customHeight="true" outlineLevel="0" collapsed="false">
      <c r="A1687" s="17" t="s">
        <v>126</v>
      </c>
      <c r="B1687" s="18" t="str">
        <f aca="false">IFERROR(VLOOKUP(A1687,NOMENCLATOR!$A:$E,2,0),"")</f>
        <v>Furculita Rosie</v>
      </c>
      <c r="C1687" s="19" t="n">
        <v>1</v>
      </c>
      <c r="D1687" s="20" t="str">
        <f aca="false">IFERROR(VLOOKUP(A1687,NOMENCLATOR!$A:$E,3,0),"")</f>
        <v>EA</v>
      </c>
      <c r="E1687" s="21" t="n">
        <f aca="false">IFERROR(VLOOKUP(A1687,NOMENCLATOR!$A:$E,4,0),"")</f>
        <v>0.27</v>
      </c>
      <c r="F1687" s="21" t="n">
        <f aca="false">IF(OR(C1687="",E1687=""),"",C1687*E1687)</f>
        <v>0.27</v>
      </c>
      <c r="G1687" s="22" t="n">
        <f aca="false">IFERROR(VLOOKUP(A1687,NOMENCLATOR!$A:$E,5,0),"")</f>
        <v>0.27</v>
      </c>
      <c r="H1687" s="22" t="n">
        <f aca="false">IF(OR(C1687="",G1687=""),"",C1687*G1687)</f>
        <v>0.27</v>
      </c>
    </row>
    <row r="1688" customFormat="false" ht="15" hidden="false" customHeight="true" outlineLevel="0" collapsed="false">
      <c r="A1688" s="23" t="str">
        <f aca="false">IF(A1684="","",A1684)</f>
        <v>Tort ciocolata zmeura new D</v>
      </c>
      <c r="B1688" s="24"/>
      <c r="C1688" s="24"/>
      <c r="D1688" s="24"/>
      <c r="E1688" s="24"/>
      <c r="F1688" s="25" t="n">
        <f aca="false">IF(A1684="","",SUM(F1686:F1687))</f>
        <v>8.783</v>
      </c>
      <c r="G1688" s="24"/>
      <c r="H1688" s="26" t="n">
        <f aca="false">IF(A1684="","",SUM(H1686:H1687))</f>
        <v>8.783</v>
      </c>
    </row>
    <row r="1690" customFormat="false" ht="15" hidden="false" customHeight="true" outlineLevel="0" collapsed="false">
      <c r="A1690" s="12" t="s">
        <v>554</v>
      </c>
      <c r="B1690" s="13"/>
      <c r="C1690" s="13"/>
      <c r="D1690" s="13"/>
      <c r="E1690" s="13"/>
      <c r="F1690" s="14" t="s">
        <v>552</v>
      </c>
      <c r="G1690" s="13"/>
      <c r="H1690" s="15"/>
    </row>
    <row r="1691" customFormat="false" ht="15" hidden="false" customHeight="true" outlineLevel="0" collapsed="false">
      <c r="A1691" s="16" t="s">
        <v>316</v>
      </c>
      <c r="B1691" s="16" t="s">
        <v>317</v>
      </c>
      <c r="C1691" s="16" t="s">
        <v>318</v>
      </c>
      <c r="D1691" s="16" t="s">
        <v>4</v>
      </c>
      <c r="E1691" s="16" t="s">
        <v>319</v>
      </c>
      <c r="F1691" s="16" t="s">
        <v>320</v>
      </c>
      <c r="G1691" s="16" t="s">
        <v>321</v>
      </c>
      <c r="H1691" s="16" t="s">
        <v>322</v>
      </c>
    </row>
    <row r="1692" customFormat="false" ht="15" hidden="false" customHeight="true" outlineLevel="0" collapsed="false">
      <c r="A1692" s="17" t="s">
        <v>242</v>
      </c>
      <c r="B1692" s="18" t="str">
        <f aca="false">IFERROR(VLOOKUP(A1692,NOMENCLATOR!$A:$E,2,0),"")</f>
        <v>Profiterol cu ciocolata</v>
      </c>
      <c r="C1692" s="19" t="n">
        <v>1</v>
      </c>
      <c r="D1692" s="20" t="str">
        <f aca="false">IFERROR(VLOOKUP(A1692,NOMENCLATOR!$A:$E,3,0),"")</f>
        <v>EA</v>
      </c>
      <c r="E1692" s="21" t="n">
        <f aca="false">IFERROR(VLOOKUP(A1692,NOMENCLATOR!$A:$E,4,0),"")</f>
        <v>4.92</v>
      </c>
      <c r="F1692" s="21" t="n">
        <f aca="false">IF(OR(C1692="",E1692=""),"",C1692*E1692)</f>
        <v>4.92</v>
      </c>
      <c r="G1692" s="22" t="n">
        <f aca="false">IFERROR(VLOOKUP(A1692,NOMENCLATOR!$A:$E,5,0),"")</f>
        <v>4.92</v>
      </c>
      <c r="H1692" s="22" t="n">
        <f aca="false">IF(OR(C1692="",G1692=""),"",C1692*G1692)</f>
        <v>4.92</v>
      </c>
    </row>
    <row r="1693" customFormat="false" ht="15" hidden="false" customHeight="true" outlineLevel="0" collapsed="false">
      <c r="A1693" s="17" t="s">
        <v>126</v>
      </c>
      <c r="B1693" s="18" t="str">
        <f aca="false">IFERROR(VLOOKUP(A1693,NOMENCLATOR!$A:$E,2,0),"")</f>
        <v>Furculita Rosie</v>
      </c>
      <c r="C1693" s="19" t="n">
        <v>1</v>
      </c>
      <c r="D1693" s="20" t="str">
        <f aca="false">IFERROR(VLOOKUP(A1693,NOMENCLATOR!$A:$E,3,0),"")</f>
        <v>EA</v>
      </c>
      <c r="E1693" s="21" t="n">
        <f aca="false">IFERROR(VLOOKUP(A1693,NOMENCLATOR!$A:$E,4,0),"")</f>
        <v>0.27</v>
      </c>
      <c r="F1693" s="21" t="n">
        <f aca="false">IF(OR(C1693="",E1693=""),"",C1693*E1693)</f>
        <v>0.27</v>
      </c>
      <c r="G1693" s="22" t="n">
        <f aca="false">IFERROR(VLOOKUP(A1693,NOMENCLATOR!$A:$E,5,0),"")</f>
        <v>0.27</v>
      </c>
      <c r="H1693" s="22" t="n">
        <f aca="false">IF(OR(C1693="",G1693=""),"",C1693*G1693)</f>
        <v>0.27</v>
      </c>
    </row>
    <row r="1694" customFormat="false" ht="15" hidden="false" customHeight="true" outlineLevel="0" collapsed="false">
      <c r="A1694" s="23" t="str">
        <f aca="false">IF(A1690="","",A1690)</f>
        <v>Profiterol ciocolata new</v>
      </c>
      <c r="B1694" s="24"/>
      <c r="C1694" s="24"/>
      <c r="D1694" s="24"/>
      <c r="E1694" s="24"/>
      <c r="F1694" s="25" t="n">
        <f aca="false">IF(A1690="","",SUM(F1692:F1693))</f>
        <v>5.19</v>
      </c>
      <c r="G1694" s="24"/>
      <c r="H1694" s="26" t="n">
        <f aca="false">IF(A1690="","",SUM(H1692:H1693))</f>
        <v>5.19</v>
      </c>
    </row>
    <row r="1696" customFormat="false" ht="15" hidden="false" customHeight="true" outlineLevel="0" collapsed="false">
      <c r="A1696" s="12" t="s">
        <v>555</v>
      </c>
      <c r="B1696" s="13"/>
      <c r="C1696" s="13"/>
      <c r="D1696" s="13"/>
      <c r="E1696" s="13"/>
      <c r="F1696" s="14" t="s">
        <v>552</v>
      </c>
      <c r="G1696" s="13"/>
      <c r="H1696" s="15"/>
    </row>
    <row r="1697" customFormat="false" ht="15" hidden="false" customHeight="true" outlineLevel="0" collapsed="false">
      <c r="A1697" s="16" t="s">
        <v>316</v>
      </c>
      <c r="B1697" s="16" t="s">
        <v>317</v>
      </c>
      <c r="C1697" s="16" t="s">
        <v>318</v>
      </c>
      <c r="D1697" s="16" t="s">
        <v>4</v>
      </c>
      <c r="E1697" s="16" t="s">
        <v>319</v>
      </c>
      <c r="F1697" s="16" t="s">
        <v>320</v>
      </c>
      <c r="G1697" s="16" t="s">
        <v>321</v>
      </c>
      <c r="H1697" s="16" t="s">
        <v>322</v>
      </c>
    </row>
    <row r="1698" customFormat="false" ht="15" hidden="false" customHeight="true" outlineLevel="0" collapsed="false">
      <c r="A1698" s="17" t="s">
        <v>242</v>
      </c>
      <c r="B1698" s="18" t="str">
        <f aca="false">IFERROR(VLOOKUP(A1698,NOMENCLATOR!$A:$E,2,0),"")</f>
        <v>Profiterol cu ciocolata</v>
      </c>
      <c r="C1698" s="19" t="n">
        <v>1</v>
      </c>
      <c r="D1698" s="20" t="str">
        <f aca="false">IFERROR(VLOOKUP(A1698,NOMENCLATOR!$A:$E,3,0),"")</f>
        <v>EA</v>
      </c>
      <c r="E1698" s="21" t="n">
        <f aca="false">IFERROR(VLOOKUP(A1698,NOMENCLATOR!$A:$E,4,0),"")</f>
        <v>4.92</v>
      </c>
      <c r="F1698" s="21" t="n">
        <f aca="false">IF(OR(C1698="",E1698=""),"",C1698*E1698)</f>
        <v>4.92</v>
      </c>
      <c r="G1698" s="22" t="n">
        <f aca="false">IFERROR(VLOOKUP(A1698,NOMENCLATOR!$A:$E,5,0),"")</f>
        <v>4.92</v>
      </c>
      <c r="H1698" s="22" t="n">
        <f aca="false">IF(OR(C1698="",G1698=""),"",C1698*G1698)</f>
        <v>4.92</v>
      </c>
    </row>
    <row r="1699" customFormat="false" ht="15" hidden="false" customHeight="true" outlineLevel="0" collapsed="false">
      <c r="A1699" s="17" t="s">
        <v>126</v>
      </c>
      <c r="B1699" s="18" t="str">
        <f aca="false">IFERROR(VLOOKUP(A1699,NOMENCLATOR!$A:$E,2,0),"")</f>
        <v>Furculita Rosie</v>
      </c>
      <c r="C1699" s="19" t="n">
        <v>1</v>
      </c>
      <c r="D1699" s="20" t="str">
        <f aca="false">IFERROR(VLOOKUP(A1699,NOMENCLATOR!$A:$E,3,0),"")</f>
        <v>EA</v>
      </c>
      <c r="E1699" s="21" t="n">
        <f aca="false">IFERROR(VLOOKUP(A1699,NOMENCLATOR!$A:$E,4,0),"")</f>
        <v>0.27</v>
      </c>
      <c r="F1699" s="21" t="n">
        <f aca="false">IF(OR(C1699="",E1699=""),"",C1699*E1699)</f>
        <v>0.27</v>
      </c>
      <c r="G1699" s="22" t="n">
        <f aca="false">IFERROR(VLOOKUP(A1699,NOMENCLATOR!$A:$E,5,0),"")</f>
        <v>0.27</v>
      </c>
      <c r="H1699" s="22" t="n">
        <f aca="false">IF(OR(C1699="",G1699=""),"",C1699*G1699)</f>
        <v>0.27</v>
      </c>
    </row>
    <row r="1700" customFormat="false" ht="15" hidden="false" customHeight="true" outlineLevel="0" collapsed="false">
      <c r="A1700" s="23" t="str">
        <f aca="false">IF(A1696="","",A1696)</f>
        <v>Profiterol ciocolata new D</v>
      </c>
      <c r="B1700" s="24"/>
      <c r="C1700" s="24"/>
      <c r="D1700" s="24"/>
      <c r="E1700" s="24"/>
      <c r="F1700" s="25" t="n">
        <f aca="false">IF(A1696="","",SUM(F1698:F1699))</f>
        <v>5.19</v>
      </c>
      <c r="G1700" s="24"/>
      <c r="H1700" s="26" t="n">
        <f aca="false">IF(A1696="","",SUM(H1698:H1699))</f>
        <v>5.19</v>
      </c>
    </row>
    <row r="1702" customFormat="false" ht="15" hidden="false" customHeight="true" outlineLevel="0" collapsed="false">
      <c r="A1702" s="12" t="s">
        <v>556</v>
      </c>
      <c r="B1702" s="13"/>
      <c r="C1702" s="13"/>
      <c r="D1702" s="13"/>
      <c r="E1702" s="13"/>
      <c r="F1702" s="14" t="s">
        <v>552</v>
      </c>
      <c r="G1702" s="13"/>
      <c r="H1702" s="15"/>
    </row>
    <row r="1703" customFormat="false" ht="15" hidden="false" customHeight="true" outlineLevel="0" collapsed="false">
      <c r="A1703" s="16" t="s">
        <v>316</v>
      </c>
      <c r="B1703" s="16" t="s">
        <v>317</v>
      </c>
      <c r="C1703" s="16" t="s">
        <v>318</v>
      </c>
      <c r="D1703" s="16" t="s">
        <v>4</v>
      </c>
      <c r="E1703" s="16" t="s">
        <v>319</v>
      </c>
      <c r="F1703" s="16" t="s">
        <v>320</v>
      </c>
      <c r="G1703" s="16" t="s">
        <v>321</v>
      </c>
      <c r="H1703" s="16" t="s">
        <v>322</v>
      </c>
    </row>
    <row r="1704" customFormat="false" ht="15" hidden="false" customHeight="true" outlineLevel="0" collapsed="false">
      <c r="A1704" s="17" t="s">
        <v>20</v>
      </c>
      <c r="B1704" s="18" t="str">
        <f aca="false">IFERROR(VLOOKUP(A1704,NOMENCLATOR!$A:$E,2,0),"")</f>
        <v>1.000 EA CARROT CAKE</v>
      </c>
      <c r="C1704" s="19" t="n">
        <v>1</v>
      </c>
      <c r="D1704" s="20" t="str">
        <f aca="false">IFERROR(VLOOKUP(A1704,NOMENCLATOR!$A:$E,3,0),"")</f>
        <v>EA</v>
      </c>
      <c r="E1704" s="21" t="n">
        <f aca="false">IFERROR(VLOOKUP(A1704,NOMENCLATOR!$A:$E,4,0),"")</f>
        <v>8.008</v>
      </c>
      <c r="F1704" s="21" t="n">
        <f aca="false">IF(OR(C1704="",E1704=""),"",C1704*E1704)</f>
        <v>8.008</v>
      </c>
      <c r="G1704" s="22" t="n">
        <f aca="false">IFERROR(VLOOKUP(A1704,NOMENCLATOR!$A:$E,5,0),"")</f>
        <v>8.008</v>
      </c>
      <c r="H1704" s="22" t="n">
        <f aca="false">IF(OR(C1704="",G1704=""),"",C1704*G1704)</f>
        <v>8.008</v>
      </c>
    </row>
    <row r="1705" customFormat="false" ht="15" hidden="false" customHeight="true" outlineLevel="0" collapsed="false">
      <c r="A1705" s="17" t="s">
        <v>126</v>
      </c>
      <c r="B1705" s="18" t="str">
        <f aca="false">IFERROR(VLOOKUP(A1705,NOMENCLATOR!$A:$E,2,0),"")</f>
        <v>Furculita Rosie</v>
      </c>
      <c r="C1705" s="19" t="n">
        <v>1</v>
      </c>
      <c r="D1705" s="20" t="str">
        <f aca="false">IFERROR(VLOOKUP(A1705,NOMENCLATOR!$A:$E,3,0),"")</f>
        <v>EA</v>
      </c>
      <c r="E1705" s="21" t="n">
        <f aca="false">IFERROR(VLOOKUP(A1705,NOMENCLATOR!$A:$E,4,0),"")</f>
        <v>0.27</v>
      </c>
      <c r="F1705" s="21" t="n">
        <f aca="false">IF(OR(C1705="",E1705=""),"",C1705*E1705)</f>
        <v>0.27</v>
      </c>
      <c r="G1705" s="22" t="n">
        <f aca="false">IFERROR(VLOOKUP(A1705,NOMENCLATOR!$A:$E,5,0),"")</f>
        <v>0.27</v>
      </c>
      <c r="H1705" s="22" t="n">
        <f aca="false">IF(OR(C1705="",G1705=""),"",C1705*G1705)</f>
        <v>0.27</v>
      </c>
    </row>
    <row r="1706" customFormat="false" ht="15" hidden="false" customHeight="true" outlineLevel="0" collapsed="false">
      <c r="A1706" s="23" t="str">
        <f aca="false">IF(A1702="","",A1702)</f>
        <v>CARROT CAKE new</v>
      </c>
      <c r="B1706" s="24"/>
      <c r="C1706" s="24"/>
      <c r="D1706" s="24"/>
      <c r="E1706" s="24"/>
      <c r="F1706" s="25" t="n">
        <f aca="false">IF(A1702="","",SUM(F1704:F1705))</f>
        <v>8.278</v>
      </c>
      <c r="G1706" s="24"/>
      <c r="H1706" s="26" t="n">
        <f aca="false">IF(A1702="","",SUM(H1704:H1705))</f>
        <v>8.278</v>
      </c>
    </row>
    <row r="1708" customFormat="false" ht="15" hidden="false" customHeight="true" outlineLevel="0" collapsed="false">
      <c r="A1708" s="12" t="s">
        <v>557</v>
      </c>
      <c r="B1708" s="13"/>
      <c r="C1708" s="13"/>
      <c r="D1708" s="13"/>
      <c r="E1708" s="13"/>
      <c r="F1708" s="14" t="s">
        <v>552</v>
      </c>
      <c r="G1708" s="13"/>
      <c r="H1708" s="15"/>
    </row>
    <row r="1709" customFormat="false" ht="15" hidden="false" customHeight="true" outlineLevel="0" collapsed="false">
      <c r="A1709" s="16" t="s">
        <v>316</v>
      </c>
      <c r="B1709" s="16" t="s">
        <v>317</v>
      </c>
      <c r="C1709" s="16" t="s">
        <v>318</v>
      </c>
      <c r="D1709" s="16" t="s">
        <v>4</v>
      </c>
      <c r="E1709" s="16" t="s">
        <v>319</v>
      </c>
      <c r="F1709" s="16" t="s">
        <v>320</v>
      </c>
      <c r="G1709" s="16" t="s">
        <v>321</v>
      </c>
      <c r="H1709" s="16" t="s">
        <v>322</v>
      </c>
    </row>
    <row r="1710" customFormat="false" ht="15" hidden="false" customHeight="true" outlineLevel="0" collapsed="false">
      <c r="A1710" s="17" t="s">
        <v>20</v>
      </c>
      <c r="B1710" s="18" t="str">
        <f aca="false">IFERROR(VLOOKUP(A1710,NOMENCLATOR!$A:$E,2,0),"")</f>
        <v>1.000 EA CARROT CAKE</v>
      </c>
      <c r="C1710" s="19" t="n">
        <v>1</v>
      </c>
      <c r="D1710" s="20" t="str">
        <f aca="false">IFERROR(VLOOKUP(A1710,NOMENCLATOR!$A:$E,3,0),"")</f>
        <v>EA</v>
      </c>
      <c r="E1710" s="21" t="n">
        <f aca="false">IFERROR(VLOOKUP(A1710,NOMENCLATOR!$A:$E,4,0),"")</f>
        <v>8.008</v>
      </c>
      <c r="F1710" s="21" t="n">
        <f aca="false">IF(OR(C1710="",E1710=""),"",C1710*E1710)</f>
        <v>8.008</v>
      </c>
      <c r="G1710" s="22" t="n">
        <f aca="false">IFERROR(VLOOKUP(A1710,NOMENCLATOR!$A:$E,5,0),"")</f>
        <v>8.008</v>
      </c>
      <c r="H1710" s="22" t="n">
        <f aca="false">IF(OR(C1710="",G1710=""),"",C1710*G1710)</f>
        <v>8.008</v>
      </c>
    </row>
    <row r="1711" customFormat="false" ht="15" hidden="false" customHeight="true" outlineLevel="0" collapsed="false">
      <c r="A1711" s="17" t="s">
        <v>126</v>
      </c>
      <c r="B1711" s="18" t="str">
        <f aca="false">IFERROR(VLOOKUP(A1711,NOMENCLATOR!$A:$E,2,0),"")</f>
        <v>Furculita Rosie</v>
      </c>
      <c r="C1711" s="19" t="n">
        <v>1</v>
      </c>
      <c r="D1711" s="20" t="str">
        <f aca="false">IFERROR(VLOOKUP(A1711,NOMENCLATOR!$A:$E,3,0),"")</f>
        <v>EA</v>
      </c>
      <c r="E1711" s="21" t="n">
        <f aca="false">IFERROR(VLOOKUP(A1711,NOMENCLATOR!$A:$E,4,0),"")</f>
        <v>0.27</v>
      </c>
      <c r="F1711" s="21" t="n">
        <f aca="false">IF(OR(C1711="",E1711=""),"",C1711*E1711)</f>
        <v>0.27</v>
      </c>
      <c r="G1711" s="22" t="n">
        <f aca="false">IFERROR(VLOOKUP(A1711,NOMENCLATOR!$A:$E,5,0),"")</f>
        <v>0.27</v>
      </c>
      <c r="H1711" s="22" t="n">
        <f aca="false">IF(OR(C1711="",G1711=""),"",C1711*G1711)</f>
        <v>0.27</v>
      </c>
    </row>
    <row r="1712" customFormat="false" ht="15" hidden="false" customHeight="true" outlineLevel="0" collapsed="false">
      <c r="A1712" s="23" t="str">
        <f aca="false">IF(A1708="","",A1708)</f>
        <v>CARROT CAKE new D</v>
      </c>
      <c r="B1712" s="24"/>
      <c r="C1712" s="24"/>
      <c r="D1712" s="24"/>
      <c r="E1712" s="24"/>
      <c r="F1712" s="25" t="n">
        <f aca="false">IF(A1708="","",SUM(F1710:F1711))</f>
        <v>8.278</v>
      </c>
      <c r="G1712" s="24"/>
      <c r="H1712" s="26" t="n">
        <f aca="false">IF(A1708="","",SUM(H1710:H1711))</f>
        <v>8.278</v>
      </c>
    </row>
    <row r="1714" customFormat="false" ht="15" hidden="false" customHeight="true" outlineLevel="0" collapsed="false">
      <c r="A1714" s="12" t="s">
        <v>558</v>
      </c>
      <c r="B1714" s="13"/>
      <c r="C1714" s="13"/>
      <c r="D1714" s="13"/>
      <c r="E1714" s="13"/>
      <c r="F1714" s="14" t="s">
        <v>552</v>
      </c>
      <c r="G1714" s="13"/>
      <c r="H1714" s="15"/>
    </row>
    <row r="1715" customFormat="false" ht="15" hidden="false" customHeight="true" outlineLevel="0" collapsed="false">
      <c r="A1715" s="16" t="s">
        <v>316</v>
      </c>
      <c r="B1715" s="16" t="s">
        <v>317</v>
      </c>
      <c r="C1715" s="16" t="s">
        <v>318</v>
      </c>
      <c r="D1715" s="16" t="s">
        <v>4</v>
      </c>
      <c r="E1715" s="16" t="s">
        <v>319</v>
      </c>
      <c r="F1715" s="16" t="s">
        <v>320</v>
      </c>
      <c r="G1715" s="16" t="s">
        <v>321</v>
      </c>
      <c r="H1715" s="16" t="s">
        <v>322</v>
      </c>
    </row>
    <row r="1716" customFormat="false" ht="15" hidden="false" customHeight="true" outlineLevel="0" collapsed="false">
      <c r="A1716" s="17" t="s">
        <v>296</v>
      </c>
      <c r="B1716" s="18" t="str">
        <f aca="false">IFERROR(VLOOKUP(A1716,NOMENCLATOR!$A:$E,2,0),"")</f>
        <v>Tort pufos cu capsuni</v>
      </c>
      <c r="C1716" s="19" t="n">
        <v>1</v>
      </c>
      <c r="D1716" s="20" t="str">
        <f aca="false">IFERROR(VLOOKUP(A1716,NOMENCLATOR!$A:$E,3,0),"")</f>
        <v>EA</v>
      </c>
      <c r="E1716" s="21" t="n">
        <f aca="false">IFERROR(VLOOKUP(A1716,NOMENCLATOR!$A:$E,4,0),"")</f>
        <v>7.385</v>
      </c>
      <c r="F1716" s="21" t="n">
        <f aca="false">IF(OR(C1716="",E1716=""),"",C1716*E1716)</f>
        <v>7.385</v>
      </c>
      <c r="G1716" s="22" t="n">
        <f aca="false">IFERROR(VLOOKUP(A1716,NOMENCLATOR!$A:$E,5,0),"")</f>
        <v>7.385</v>
      </c>
      <c r="H1716" s="22" t="n">
        <f aca="false">IF(OR(C1716="",G1716=""),"",C1716*G1716)</f>
        <v>7.385</v>
      </c>
    </row>
    <row r="1717" customFormat="false" ht="15" hidden="false" customHeight="true" outlineLevel="0" collapsed="false">
      <c r="A1717" s="17" t="s">
        <v>126</v>
      </c>
      <c r="B1717" s="18" t="str">
        <f aca="false">IFERROR(VLOOKUP(A1717,NOMENCLATOR!$A:$E,2,0),"")</f>
        <v>Furculita Rosie</v>
      </c>
      <c r="C1717" s="19" t="n">
        <v>1</v>
      </c>
      <c r="D1717" s="20" t="str">
        <f aca="false">IFERROR(VLOOKUP(A1717,NOMENCLATOR!$A:$E,3,0),"")</f>
        <v>EA</v>
      </c>
      <c r="E1717" s="21" t="n">
        <f aca="false">IFERROR(VLOOKUP(A1717,NOMENCLATOR!$A:$E,4,0),"")</f>
        <v>0.27</v>
      </c>
      <c r="F1717" s="21" t="n">
        <f aca="false">IF(OR(C1717="",E1717=""),"",C1717*E1717)</f>
        <v>0.27</v>
      </c>
      <c r="G1717" s="22" t="n">
        <f aca="false">IFERROR(VLOOKUP(A1717,NOMENCLATOR!$A:$E,5,0),"")</f>
        <v>0.27</v>
      </c>
      <c r="H1717" s="22" t="n">
        <f aca="false">IF(OR(C1717="",G1717=""),"",C1717*G1717)</f>
        <v>0.27</v>
      </c>
    </row>
    <row r="1718" customFormat="false" ht="15" hidden="false" customHeight="true" outlineLevel="0" collapsed="false">
      <c r="A1718" s="23" t="str">
        <f aca="false">IF(A1714="","",A1714)</f>
        <v>Tort pufos capsuni new</v>
      </c>
      <c r="B1718" s="24"/>
      <c r="C1718" s="24"/>
      <c r="D1718" s="24"/>
      <c r="E1718" s="24"/>
      <c r="F1718" s="25" t="n">
        <f aca="false">IF(A1714="","",SUM(F1716:F1717))</f>
        <v>7.655</v>
      </c>
      <c r="G1718" s="24"/>
      <c r="H1718" s="26" t="n">
        <f aca="false">IF(A1714="","",SUM(H1716:H1717))</f>
        <v>7.655</v>
      </c>
    </row>
    <row r="1720" customFormat="false" ht="15" hidden="false" customHeight="true" outlineLevel="0" collapsed="false">
      <c r="A1720" s="12" t="s">
        <v>559</v>
      </c>
      <c r="B1720" s="13"/>
      <c r="C1720" s="13"/>
      <c r="D1720" s="13"/>
      <c r="E1720" s="13"/>
      <c r="F1720" s="14" t="s">
        <v>552</v>
      </c>
      <c r="G1720" s="13"/>
      <c r="H1720" s="15"/>
    </row>
    <row r="1721" customFormat="false" ht="15" hidden="false" customHeight="true" outlineLevel="0" collapsed="false">
      <c r="A1721" s="16" t="s">
        <v>316</v>
      </c>
      <c r="B1721" s="16" t="s">
        <v>317</v>
      </c>
      <c r="C1721" s="16" t="s">
        <v>318</v>
      </c>
      <c r="D1721" s="16" t="s">
        <v>4</v>
      </c>
      <c r="E1721" s="16" t="s">
        <v>319</v>
      </c>
      <c r="F1721" s="16" t="s">
        <v>320</v>
      </c>
      <c r="G1721" s="16" t="s">
        <v>321</v>
      </c>
      <c r="H1721" s="16" t="s">
        <v>322</v>
      </c>
    </row>
    <row r="1722" customFormat="false" ht="15" hidden="false" customHeight="true" outlineLevel="0" collapsed="false">
      <c r="A1722" s="17" t="s">
        <v>296</v>
      </c>
      <c r="B1722" s="18" t="str">
        <f aca="false">IFERROR(VLOOKUP(A1722,NOMENCLATOR!$A:$E,2,0),"")</f>
        <v>Tort pufos cu capsuni</v>
      </c>
      <c r="C1722" s="19" t="n">
        <v>1</v>
      </c>
      <c r="D1722" s="20" t="str">
        <f aca="false">IFERROR(VLOOKUP(A1722,NOMENCLATOR!$A:$E,3,0),"")</f>
        <v>EA</v>
      </c>
      <c r="E1722" s="21" t="n">
        <f aca="false">IFERROR(VLOOKUP(A1722,NOMENCLATOR!$A:$E,4,0),"")</f>
        <v>7.385</v>
      </c>
      <c r="F1722" s="21" t="n">
        <f aca="false">IF(OR(C1722="",E1722=""),"",C1722*E1722)</f>
        <v>7.385</v>
      </c>
      <c r="G1722" s="22" t="n">
        <f aca="false">IFERROR(VLOOKUP(A1722,NOMENCLATOR!$A:$E,5,0),"")</f>
        <v>7.385</v>
      </c>
      <c r="H1722" s="22" t="n">
        <f aca="false">IF(OR(C1722="",G1722=""),"",C1722*G1722)</f>
        <v>7.385</v>
      </c>
    </row>
    <row r="1723" customFormat="false" ht="15" hidden="false" customHeight="true" outlineLevel="0" collapsed="false">
      <c r="A1723" s="17" t="s">
        <v>126</v>
      </c>
      <c r="B1723" s="18" t="str">
        <f aca="false">IFERROR(VLOOKUP(A1723,NOMENCLATOR!$A:$E,2,0),"")</f>
        <v>Furculita Rosie</v>
      </c>
      <c r="C1723" s="19" t="n">
        <v>1</v>
      </c>
      <c r="D1723" s="20" t="str">
        <f aca="false">IFERROR(VLOOKUP(A1723,NOMENCLATOR!$A:$E,3,0),"")</f>
        <v>EA</v>
      </c>
      <c r="E1723" s="21" t="n">
        <f aca="false">IFERROR(VLOOKUP(A1723,NOMENCLATOR!$A:$E,4,0),"")</f>
        <v>0.27</v>
      </c>
      <c r="F1723" s="21" t="n">
        <f aca="false">IF(OR(C1723="",E1723=""),"",C1723*E1723)</f>
        <v>0.27</v>
      </c>
      <c r="G1723" s="22" t="n">
        <f aca="false">IFERROR(VLOOKUP(A1723,NOMENCLATOR!$A:$E,5,0),"")</f>
        <v>0.27</v>
      </c>
      <c r="H1723" s="22" t="n">
        <f aca="false">IF(OR(C1723="",G1723=""),"",C1723*G1723)</f>
        <v>0.27</v>
      </c>
    </row>
    <row r="1724" customFormat="false" ht="15" hidden="false" customHeight="true" outlineLevel="0" collapsed="false">
      <c r="A1724" s="23" t="str">
        <f aca="false">IF(A1720="","",A1720)</f>
        <v>Tort pufos capsuni new D</v>
      </c>
      <c r="B1724" s="24"/>
      <c r="C1724" s="24"/>
      <c r="D1724" s="24"/>
      <c r="E1724" s="24"/>
      <c r="F1724" s="25" t="n">
        <f aca="false">IF(A1720="","",SUM(F1722:F1723))</f>
        <v>7.655</v>
      </c>
      <c r="G1724" s="24"/>
      <c r="H1724" s="26" t="n">
        <f aca="false">IF(A1720="","",SUM(H1722:H1723))</f>
        <v>7.655</v>
      </c>
    </row>
    <row r="1726" customFormat="false" ht="15" hidden="false" customHeight="true" outlineLevel="0" collapsed="false">
      <c r="A1726" s="12" t="s">
        <v>560</v>
      </c>
      <c r="B1726" s="13"/>
      <c r="C1726" s="13"/>
      <c r="D1726" s="13"/>
      <c r="E1726" s="13"/>
      <c r="F1726" s="14" t="s">
        <v>552</v>
      </c>
      <c r="G1726" s="13"/>
      <c r="H1726" s="15"/>
    </row>
    <row r="1727" customFormat="false" ht="15" hidden="false" customHeight="true" outlineLevel="0" collapsed="false">
      <c r="A1727" s="16" t="s">
        <v>316</v>
      </c>
      <c r="B1727" s="16" t="s">
        <v>317</v>
      </c>
      <c r="C1727" s="16" t="s">
        <v>318</v>
      </c>
      <c r="D1727" s="16" t="s">
        <v>4</v>
      </c>
      <c r="E1727" s="16" t="s">
        <v>319</v>
      </c>
      <c r="F1727" s="16" t="s">
        <v>320</v>
      </c>
      <c r="G1727" s="16" t="s">
        <v>321</v>
      </c>
      <c r="H1727" s="16" t="s">
        <v>322</v>
      </c>
    </row>
    <row r="1728" customFormat="false" ht="15" hidden="false" customHeight="true" outlineLevel="0" collapsed="false">
      <c r="A1728" s="17" t="s">
        <v>234</v>
      </c>
      <c r="B1728" s="18" t="str">
        <f aca="false">IFERROR(VLOOKUP(A1728,NOMENCLATOR!$A:$E,2,0),"")</f>
        <v>Prajitura de vanilie cu bezea crocanta</v>
      </c>
      <c r="C1728" s="19" t="n">
        <v>1</v>
      </c>
      <c r="D1728" s="20" t="str">
        <f aca="false">IFERROR(VLOOKUP(A1728,NOMENCLATOR!$A:$E,3,0),"")</f>
        <v>EA</v>
      </c>
      <c r="E1728" s="21" t="n">
        <f aca="false">IFERROR(VLOOKUP(A1728,NOMENCLATOR!$A:$E,4,0),"")</f>
        <v>5.056</v>
      </c>
      <c r="F1728" s="21" t="n">
        <f aca="false">IF(OR(C1728="",E1728=""),"",C1728*E1728)</f>
        <v>5.056</v>
      </c>
      <c r="G1728" s="22" t="n">
        <f aca="false">IFERROR(VLOOKUP(A1728,NOMENCLATOR!$A:$E,5,0),"")</f>
        <v>5.056</v>
      </c>
      <c r="H1728" s="22" t="n">
        <f aca="false">IF(OR(C1728="",G1728=""),"",C1728*G1728)</f>
        <v>5.056</v>
      </c>
    </row>
    <row r="1729" customFormat="false" ht="15" hidden="false" customHeight="true" outlineLevel="0" collapsed="false">
      <c r="A1729" s="17" t="s">
        <v>126</v>
      </c>
      <c r="B1729" s="18" t="str">
        <f aca="false">IFERROR(VLOOKUP(A1729,NOMENCLATOR!$A:$E,2,0),"")</f>
        <v>Furculita Rosie</v>
      </c>
      <c r="C1729" s="19" t="n">
        <v>1</v>
      </c>
      <c r="D1729" s="20" t="str">
        <f aca="false">IFERROR(VLOOKUP(A1729,NOMENCLATOR!$A:$E,3,0),"")</f>
        <v>EA</v>
      </c>
      <c r="E1729" s="21" t="n">
        <f aca="false">IFERROR(VLOOKUP(A1729,NOMENCLATOR!$A:$E,4,0),"")</f>
        <v>0.27</v>
      </c>
      <c r="F1729" s="21" t="n">
        <f aca="false">IF(OR(C1729="",E1729=""),"",C1729*E1729)</f>
        <v>0.27</v>
      </c>
      <c r="G1729" s="22" t="n">
        <f aca="false">IFERROR(VLOOKUP(A1729,NOMENCLATOR!$A:$E,5,0),"")</f>
        <v>0.27</v>
      </c>
      <c r="H1729" s="22" t="n">
        <f aca="false">IF(OR(C1729="",G1729=""),"",C1729*G1729)</f>
        <v>0.27</v>
      </c>
    </row>
    <row r="1730" customFormat="false" ht="15" hidden="false" customHeight="true" outlineLevel="0" collapsed="false">
      <c r="A1730" s="23" t="str">
        <f aca="false">IF(A1726="","",A1726)</f>
        <v>Prajitura vanilie bezea new</v>
      </c>
      <c r="B1730" s="24"/>
      <c r="C1730" s="24"/>
      <c r="D1730" s="24"/>
      <c r="E1730" s="24"/>
      <c r="F1730" s="25" t="n">
        <f aca="false">IF(A1726="","",SUM(F1728:F1729))</f>
        <v>5.326</v>
      </c>
      <c r="G1730" s="24"/>
      <c r="H1730" s="26" t="n">
        <f aca="false">IF(A1726="","",SUM(H1728:H1729))</f>
        <v>5.326</v>
      </c>
    </row>
    <row r="1732" customFormat="false" ht="15" hidden="false" customHeight="true" outlineLevel="0" collapsed="false">
      <c r="A1732" s="12" t="s">
        <v>561</v>
      </c>
      <c r="B1732" s="13"/>
      <c r="C1732" s="13"/>
      <c r="D1732" s="13"/>
      <c r="E1732" s="13"/>
      <c r="F1732" s="14" t="s">
        <v>552</v>
      </c>
      <c r="G1732" s="13"/>
      <c r="H1732" s="15"/>
    </row>
    <row r="1733" customFormat="false" ht="15" hidden="false" customHeight="true" outlineLevel="0" collapsed="false">
      <c r="A1733" s="16" t="s">
        <v>316</v>
      </c>
      <c r="B1733" s="16" t="s">
        <v>317</v>
      </c>
      <c r="C1733" s="16" t="s">
        <v>318</v>
      </c>
      <c r="D1733" s="16" t="s">
        <v>4</v>
      </c>
      <c r="E1733" s="16" t="s">
        <v>319</v>
      </c>
      <c r="F1733" s="16" t="s">
        <v>320</v>
      </c>
      <c r="G1733" s="16" t="s">
        <v>321</v>
      </c>
      <c r="H1733" s="16" t="s">
        <v>322</v>
      </c>
    </row>
    <row r="1734" customFormat="false" ht="15" hidden="false" customHeight="true" outlineLevel="0" collapsed="false">
      <c r="A1734" s="17" t="s">
        <v>234</v>
      </c>
      <c r="B1734" s="18" t="str">
        <f aca="false">IFERROR(VLOOKUP(A1734,NOMENCLATOR!$A:$E,2,0),"")</f>
        <v>Prajitura de vanilie cu bezea crocanta</v>
      </c>
      <c r="C1734" s="19" t="n">
        <v>1</v>
      </c>
      <c r="D1734" s="20" t="str">
        <f aca="false">IFERROR(VLOOKUP(A1734,NOMENCLATOR!$A:$E,3,0),"")</f>
        <v>EA</v>
      </c>
      <c r="E1734" s="21" t="n">
        <f aca="false">IFERROR(VLOOKUP(A1734,NOMENCLATOR!$A:$E,4,0),"")</f>
        <v>5.056</v>
      </c>
      <c r="F1734" s="21" t="n">
        <f aca="false">IF(OR(C1734="",E1734=""),"",C1734*E1734)</f>
        <v>5.056</v>
      </c>
      <c r="G1734" s="22" t="n">
        <f aca="false">IFERROR(VLOOKUP(A1734,NOMENCLATOR!$A:$E,5,0),"")</f>
        <v>5.056</v>
      </c>
      <c r="H1734" s="22" t="n">
        <f aca="false">IF(OR(C1734="",G1734=""),"",C1734*G1734)</f>
        <v>5.056</v>
      </c>
    </row>
    <row r="1735" customFormat="false" ht="15" hidden="false" customHeight="true" outlineLevel="0" collapsed="false">
      <c r="A1735" s="17" t="s">
        <v>126</v>
      </c>
      <c r="B1735" s="18" t="str">
        <f aca="false">IFERROR(VLOOKUP(A1735,NOMENCLATOR!$A:$E,2,0),"")</f>
        <v>Furculita Rosie</v>
      </c>
      <c r="C1735" s="19" t="n">
        <v>1</v>
      </c>
      <c r="D1735" s="20" t="str">
        <f aca="false">IFERROR(VLOOKUP(A1735,NOMENCLATOR!$A:$E,3,0),"")</f>
        <v>EA</v>
      </c>
      <c r="E1735" s="21" t="n">
        <f aca="false">IFERROR(VLOOKUP(A1735,NOMENCLATOR!$A:$E,4,0),"")</f>
        <v>0.27</v>
      </c>
      <c r="F1735" s="21" t="n">
        <f aca="false">IF(OR(C1735="",E1735=""),"",C1735*E1735)</f>
        <v>0.27</v>
      </c>
      <c r="G1735" s="22" t="n">
        <f aca="false">IFERROR(VLOOKUP(A1735,NOMENCLATOR!$A:$E,5,0),"")</f>
        <v>0.27</v>
      </c>
      <c r="H1735" s="22" t="n">
        <f aca="false">IF(OR(C1735="",G1735=""),"",C1735*G1735)</f>
        <v>0.27</v>
      </c>
    </row>
    <row r="1736" customFormat="false" ht="15" hidden="false" customHeight="true" outlineLevel="0" collapsed="false">
      <c r="A1736" s="23" t="str">
        <f aca="false">IF(A1732="","",A1732)</f>
        <v>Prajitura vanilie bezea new D</v>
      </c>
      <c r="B1736" s="24"/>
      <c r="C1736" s="24"/>
      <c r="D1736" s="24"/>
      <c r="E1736" s="24"/>
      <c r="F1736" s="25" t="n">
        <f aca="false">IF(A1732="","",SUM(F1734:F1735))</f>
        <v>5.326</v>
      </c>
      <c r="G1736" s="24"/>
      <c r="H1736" s="26" t="n">
        <f aca="false">IF(A1732="","",SUM(H1734:H1735))</f>
        <v>5.326</v>
      </c>
    </row>
    <row r="1738" customFormat="false" ht="15" hidden="false" customHeight="true" outlineLevel="0" collapsed="false">
      <c r="A1738" s="12" t="s">
        <v>562</v>
      </c>
      <c r="B1738" s="13"/>
      <c r="C1738" s="13"/>
      <c r="D1738" s="13"/>
      <c r="E1738" s="13"/>
      <c r="F1738" s="14" t="s">
        <v>552</v>
      </c>
      <c r="G1738" s="13"/>
      <c r="H1738" s="15"/>
    </row>
    <row r="1739" customFormat="false" ht="15" hidden="false" customHeight="true" outlineLevel="0" collapsed="false">
      <c r="A1739" s="16" t="s">
        <v>316</v>
      </c>
      <c r="B1739" s="16" t="s">
        <v>317</v>
      </c>
      <c r="C1739" s="16" t="s">
        <v>318</v>
      </c>
      <c r="D1739" s="16" t="s">
        <v>4</v>
      </c>
      <c r="E1739" s="16" t="s">
        <v>319</v>
      </c>
      <c r="F1739" s="16" t="s">
        <v>320</v>
      </c>
      <c r="G1739" s="16" t="s">
        <v>321</v>
      </c>
      <c r="H1739" s="16" t="s">
        <v>322</v>
      </c>
    </row>
    <row r="1740" customFormat="false" ht="15" hidden="false" customHeight="true" outlineLevel="0" collapsed="false">
      <c r="A1740" s="17" t="s">
        <v>292</v>
      </c>
      <c r="B1740" s="18" t="str">
        <f aca="false">IFERROR(VLOOKUP(A1740,NOMENCLATOR!$A:$E,2,0),"")</f>
        <v>TIRAMISÙ pufos in pahar sticla</v>
      </c>
      <c r="C1740" s="19" t="n">
        <v>1</v>
      </c>
      <c r="D1740" s="20" t="str">
        <f aca="false">IFERROR(VLOOKUP(A1740,NOMENCLATOR!$A:$E,3,0),"")</f>
        <v>EA</v>
      </c>
      <c r="E1740" s="21" t="n">
        <f aca="false">IFERROR(VLOOKUP(A1740,NOMENCLATOR!$A:$E,4,0),"")</f>
        <v>7.485</v>
      </c>
      <c r="F1740" s="21" t="n">
        <f aca="false">IF(OR(C1740="",E1740=""),"",C1740*E1740)</f>
        <v>7.485</v>
      </c>
      <c r="G1740" s="22" t="n">
        <f aca="false">IFERROR(VLOOKUP(A1740,NOMENCLATOR!$A:$E,5,0),"")</f>
        <v>7.485</v>
      </c>
      <c r="H1740" s="22" t="n">
        <f aca="false">IF(OR(C1740="",G1740=""),"",C1740*G1740)</f>
        <v>7.485</v>
      </c>
    </row>
    <row r="1741" customFormat="false" ht="15" hidden="false" customHeight="true" outlineLevel="0" collapsed="false">
      <c r="A1741" s="17" t="s">
        <v>126</v>
      </c>
      <c r="B1741" s="18" t="str">
        <f aca="false">IFERROR(VLOOKUP(A1741,NOMENCLATOR!$A:$E,2,0),"")</f>
        <v>Furculita Rosie</v>
      </c>
      <c r="C1741" s="19" t="n">
        <v>1</v>
      </c>
      <c r="D1741" s="20" t="str">
        <f aca="false">IFERROR(VLOOKUP(A1741,NOMENCLATOR!$A:$E,3,0),"")</f>
        <v>EA</v>
      </c>
      <c r="E1741" s="21" t="n">
        <f aca="false">IFERROR(VLOOKUP(A1741,NOMENCLATOR!$A:$E,4,0),"")</f>
        <v>0.27</v>
      </c>
      <c r="F1741" s="21" t="n">
        <f aca="false">IF(OR(C1741="",E1741=""),"",C1741*E1741)</f>
        <v>0.27</v>
      </c>
      <c r="G1741" s="22" t="n">
        <f aca="false">IFERROR(VLOOKUP(A1741,NOMENCLATOR!$A:$E,5,0),"")</f>
        <v>0.27</v>
      </c>
      <c r="H1741" s="22" t="n">
        <f aca="false">IF(OR(C1741="",G1741=""),"",C1741*G1741)</f>
        <v>0.27</v>
      </c>
    </row>
    <row r="1742" customFormat="false" ht="15" hidden="false" customHeight="true" outlineLevel="0" collapsed="false">
      <c r="A1742" s="23" t="str">
        <f aca="false">IF(A1738="","",A1738)</f>
        <v>TIRAMISU new</v>
      </c>
      <c r="B1742" s="24"/>
      <c r="C1742" s="24"/>
      <c r="D1742" s="24"/>
      <c r="E1742" s="24"/>
      <c r="F1742" s="25" t="n">
        <f aca="false">IF(A1738="","",SUM(F1740:F1741))</f>
        <v>7.755</v>
      </c>
      <c r="G1742" s="24"/>
      <c r="H1742" s="26" t="n">
        <f aca="false">IF(A1738="","",SUM(H1740:H1741))</f>
        <v>7.755</v>
      </c>
    </row>
    <row r="1744" customFormat="false" ht="15" hidden="false" customHeight="true" outlineLevel="0" collapsed="false">
      <c r="A1744" s="12" t="s">
        <v>563</v>
      </c>
      <c r="B1744" s="13"/>
      <c r="C1744" s="13"/>
      <c r="D1744" s="13"/>
      <c r="E1744" s="13"/>
      <c r="F1744" s="14" t="s">
        <v>552</v>
      </c>
      <c r="G1744" s="13"/>
      <c r="H1744" s="15"/>
    </row>
    <row r="1745" customFormat="false" ht="15" hidden="false" customHeight="true" outlineLevel="0" collapsed="false">
      <c r="A1745" s="16" t="s">
        <v>316</v>
      </c>
      <c r="B1745" s="16" t="s">
        <v>317</v>
      </c>
      <c r="C1745" s="16" t="s">
        <v>318</v>
      </c>
      <c r="D1745" s="16" t="s">
        <v>4</v>
      </c>
      <c r="E1745" s="16" t="s">
        <v>319</v>
      </c>
      <c r="F1745" s="16" t="s">
        <v>320</v>
      </c>
      <c r="G1745" s="16" t="s">
        <v>321</v>
      </c>
      <c r="H1745" s="16" t="s">
        <v>322</v>
      </c>
    </row>
    <row r="1746" customFormat="false" ht="15" hidden="false" customHeight="true" outlineLevel="0" collapsed="false">
      <c r="A1746" s="17" t="s">
        <v>292</v>
      </c>
      <c r="B1746" s="18" t="str">
        <f aca="false">IFERROR(VLOOKUP(A1746,NOMENCLATOR!$A:$E,2,0),"")</f>
        <v>TIRAMISÙ pufos in pahar sticla</v>
      </c>
      <c r="C1746" s="19" t="n">
        <v>1</v>
      </c>
      <c r="D1746" s="20" t="str">
        <f aca="false">IFERROR(VLOOKUP(A1746,NOMENCLATOR!$A:$E,3,0),"")</f>
        <v>EA</v>
      </c>
      <c r="E1746" s="21" t="n">
        <f aca="false">IFERROR(VLOOKUP(A1746,NOMENCLATOR!$A:$E,4,0),"")</f>
        <v>7.485</v>
      </c>
      <c r="F1746" s="21" t="n">
        <f aca="false">IF(OR(C1746="",E1746=""),"",C1746*E1746)</f>
        <v>7.485</v>
      </c>
      <c r="G1746" s="22" t="n">
        <f aca="false">IFERROR(VLOOKUP(A1746,NOMENCLATOR!$A:$E,5,0),"")</f>
        <v>7.485</v>
      </c>
      <c r="H1746" s="22" t="n">
        <f aca="false">IF(OR(C1746="",G1746=""),"",C1746*G1746)</f>
        <v>7.485</v>
      </c>
    </row>
    <row r="1747" customFormat="false" ht="15" hidden="false" customHeight="true" outlineLevel="0" collapsed="false">
      <c r="A1747" s="17" t="s">
        <v>126</v>
      </c>
      <c r="B1747" s="18" t="str">
        <f aca="false">IFERROR(VLOOKUP(A1747,NOMENCLATOR!$A:$E,2,0),"")</f>
        <v>Furculita Rosie</v>
      </c>
      <c r="C1747" s="19" t="n">
        <v>1</v>
      </c>
      <c r="D1747" s="20" t="str">
        <f aca="false">IFERROR(VLOOKUP(A1747,NOMENCLATOR!$A:$E,3,0),"")</f>
        <v>EA</v>
      </c>
      <c r="E1747" s="21" t="n">
        <f aca="false">IFERROR(VLOOKUP(A1747,NOMENCLATOR!$A:$E,4,0),"")</f>
        <v>0.27</v>
      </c>
      <c r="F1747" s="21" t="n">
        <f aca="false">IF(OR(C1747="",E1747=""),"",C1747*E1747)</f>
        <v>0.27</v>
      </c>
      <c r="G1747" s="22" t="n">
        <f aca="false">IFERROR(VLOOKUP(A1747,NOMENCLATOR!$A:$E,5,0),"")</f>
        <v>0.27</v>
      </c>
      <c r="H1747" s="22" t="n">
        <f aca="false">IF(OR(C1747="",G1747=""),"",C1747*G1747)</f>
        <v>0.27</v>
      </c>
    </row>
    <row r="1748" customFormat="false" ht="15" hidden="false" customHeight="true" outlineLevel="0" collapsed="false">
      <c r="A1748" s="23" t="str">
        <f aca="false">IF(A1744="","",A1744)</f>
        <v>TIRAMISU new D</v>
      </c>
      <c r="B1748" s="24"/>
      <c r="C1748" s="24"/>
      <c r="D1748" s="24"/>
      <c r="E1748" s="24"/>
      <c r="F1748" s="25" t="n">
        <f aca="false">IF(A1744="","",SUM(F1746:F1747))</f>
        <v>7.755</v>
      </c>
      <c r="G1748" s="24"/>
      <c r="H1748" s="26" t="n">
        <f aca="false">IF(A1744="","",SUM(H1746:H1747))</f>
        <v>7.755</v>
      </c>
    </row>
    <row r="1750" customFormat="false" ht="15" hidden="false" customHeight="true" outlineLevel="0" collapsed="false">
      <c r="A1750" s="12" t="s">
        <v>564</v>
      </c>
      <c r="B1750" s="13"/>
      <c r="C1750" s="13"/>
      <c r="D1750" s="13"/>
      <c r="E1750" s="13"/>
      <c r="F1750" s="14" t="s">
        <v>552</v>
      </c>
      <c r="G1750" s="13"/>
      <c r="H1750" s="15"/>
    </row>
    <row r="1751" customFormat="false" ht="15" hidden="false" customHeight="true" outlineLevel="0" collapsed="false">
      <c r="A1751" s="16" t="s">
        <v>316</v>
      </c>
      <c r="B1751" s="16" t="s">
        <v>317</v>
      </c>
      <c r="C1751" s="16" t="s">
        <v>318</v>
      </c>
      <c r="D1751" s="16" t="s">
        <v>4</v>
      </c>
      <c r="E1751" s="16" t="s">
        <v>319</v>
      </c>
      <c r="F1751" s="16" t="s">
        <v>320</v>
      </c>
      <c r="G1751" s="16" t="s">
        <v>321</v>
      </c>
      <c r="H1751" s="16" t="s">
        <v>322</v>
      </c>
    </row>
    <row r="1752" customFormat="false" ht="15" hidden="false" customHeight="true" outlineLevel="0" collapsed="false">
      <c r="A1752" s="17" t="s">
        <v>232</v>
      </c>
      <c r="B1752" s="18" t="str">
        <f aca="false">IFERROR(VLOOKUP(A1752,NOMENCLATOR!$A:$E,2,0),"")</f>
        <v>Prajitura cu mascarpone si capasuni in pahar sticla</v>
      </c>
      <c r="C1752" s="19" t="n">
        <v>1</v>
      </c>
      <c r="D1752" s="20" t="str">
        <f aca="false">IFERROR(VLOOKUP(A1752,NOMENCLATOR!$A:$E,3,0),"")</f>
        <v>EA</v>
      </c>
      <c r="E1752" s="21" t="n">
        <f aca="false">IFERROR(VLOOKUP(A1752,NOMENCLATOR!$A:$E,4,0),"")</f>
        <v>9.25</v>
      </c>
      <c r="F1752" s="21" t="n">
        <f aca="false">IF(OR(C1752="",E1752=""),"",C1752*E1752)</f>
        <v>9.25</v>
      </c>
      <c r="G1752" s="22" t="n">
        <f aca="false">IFERROR(VLOOKUP(A1752,NOMENCLATOR!$A:$E,5,0),"")</f>
        <v>9.25</v>
      </c>
      <c r="H1752" s="22" t="n">
        <f aca="false">IF(OR(C1752="",G1752=""),"",C1752*G1752)</f>
        <v>9.25</v>
      </c>
    </row>
    <row r="1753" customFormat="false" ht="15" hidden="false" customHeight="true" outlineLevel="0" collapsed="false">
      <c r="A1753" s="17" t="s">
        <v>126</v>
      </c>
      <c r="B1753" s="18" t="str">
        <f aca="false">IFERROR(VLOOKUP(A1753,NOMENCLATOR!$A:$E,2,0),"")</f>
        <v>Furculita Rosie</v>
      </c>
      <c r="C1753" s="19" t="n">
        <v>1</v>
      </c>
      <c r="D1753" s="20" t="str">
        <f aca="false">IFERROR(VLOOKUP(A1753,NOMENCLATOR!$A:$E,3,0),"")</f>
        <v>EA</v>
      </c>
      <c r="E1753" s="21" t="n">
        <f aca="false">IFERROR(VLOOKUP(A1753,NOMENCLATOR!$A:$E,4,0),"")</f>
        <v>0.27</v>
      </c>
      <c r="F1753" s="21" t="n">
        <f aca="false">IF(OR(C1753="",E1753=""),"",C1753*E1753)</f>
        <v>0.27</v>
      </c>
      <c r="G1753" s="22" t="n">
        <f aca="false">IFERROR(VLOOKUP(A1753,NOMENCLATOR!$A:$E,5,0),"")</f>
        <v>0.27</v>
      </c>
      <c r="H1753" s="22" t="n">
        <f aca="false">IF(OR(C1753="",G1753=""),"",C1753*G1753)</f>
        <v>0.27</v>
      </c>
    </row>
    <row r="1754" customFormat="false" ht="15" hidden="false" customHeight="true" outlineLevel="0" collapsed="false">
      <c r="A1754" s="23" t="str">
        <f aca="false">IF(A1750="","",A1750)</f>
        <v>Prajitura mascarpone capsuni new</v>
      </c>
      <c r="B1754" s="24"/>
      <c r="C1754" s="24"/>
      <c r="D1754" s="24"/>
      <c r="E1754" s="24"/>
      <c r="F1754" s="25" t="n">
        <f aca="false">IF(A1750="","",SUM(F1752:F1753))</f>
        <v>9.52</v>
      </c>
      <c r="G1754" s="24"/>
      <c r="H1754" s="26" t="n">
        <f aca="false">IF(A1750="","",SUM(H1752:H1753))</f>
        <v>9.52</v>
      </c>
    </row>
    <row r="1756" customFormat="false" ht="15" hidden="false" customHeight="true" outlineLevel="0" collapsed="false">
      <c r="A1756" s="12" t="s">
        <v>565</v>
      </c>
      <c r="B1756" s="13"/>
      <c r="C1756" s="13"/>
      <c r="D1756" s="13"/>
      <c r="E1756" s="13"/>
      <c r="F1756" s="14" t="s">
        <v>552</v>
      </c>
      <c r="G1756" s="13"/>
      <c r="H1756" s="15"/>
    </row>
    <row r="1757" customFormat="false" ht="15" hidden="false" customHeight="true" outlineLevel="0" collapsed="false">
      <c r="A1757" s="16" t="s">
        <v>316</v>
      </c>
      <c r="B1757" s="16" t="s">
        <v>317</v>
      </c>
      <c r="C1757" s="16" t="s">
        <v>318</v>
      </c>
      <c r="D1757" s="16" t="s">
        <v>4</v>
      </c>
      <c r="E1757" s="16" t="s">
        <v>319</v>
      </c>
      <c r="F1757" s="16" t="s">
        <v>320</v>
      </c>
      <c r="G1757" s="16" t="s">
        <v>321</v>
      </c>
      <c r="H1757" s="16" t="s">
        <v>322</v>
      </c>
    </row>
    <row r="1758" customFormat="false" ht="15" hidden="false" customHeight="true" outlineLevel="0" collapsed="false">
      <c r="A1758" s="17" t="s">
        <v>232</v>
      </c>
      <c r="B1758" s="18" t="str">
        <f aca="false">IFERROR(VLOOKUP(A1758,NOMENCLATOR!$A:$E,2,0),"")</f>
        <v>Prajitura cu mascarpone si capasuni in pahar sticla</v>
      </c>
      <c r="C1758" s="19" t="n">
        <v>1</v>
      </c>
      <c r="D1758" s="20" t="str">
        <f aca="false">IFERROR(VLOOKUP(A1758,NOMENCLATOR!$A:$E,3,0),"")</f>
        <v>EA</v>
      </c>
      <c r="E1758" s="21" t="n">
        <f aca="false">IFERROR(VLOOKUP(A1758,NOMENCLATOR!$A:$E,4,0),"")</f>
        <v>9.25</v>
      </c>
      <c r="F1758" s="21" t="n">
        <f aca="false">IF(OR(C1758="",E1758=""),"",C1758*E1758)</f>
        <v>9.25</v>
      </c>
      <c r="G1758" s="22" t="n">
        <f aca="false">IFERROR(VLOOKUP(A1758,NOMENCLATOR!$A:$E,5,0),"")</f>
        <v>9.25</v>
      </c>
      <c r="H1758" s="22" t="n">
        <f aca="false">IF(OR(C1758="",G1758=""),"",C1758*G1758)</f>
        <v>9.25</v>
      </c>
    </row>
    <row r="1759" customFormat="false" ht="15" hidden="false" customHeight="true" outlineLevel="0" collapsed="false">
      <c r="A1759" s="17" t="s">
        <v>126</v>
      </c>
      <c r="B1759" s="18" t="str">
        <f aca="false">IFERROR(VLOOKUP(A1759,NOMENCLATOR!$A:$E,2,0),"")</f>
        <v>Furculita Rosie</v>
      </c>
      <c r="C1759" s="19" t="n">
        <v>1</v>
      </c>
      <c r="D1759" s="20" t="str">
        <f aca="false">IFERROR(VLOOKUP(A1759,NOMENCLATOR!$A:$E,3,0),"")</f>
        <v>EA</v>
      </c>
      <c r="E1759" s="21" t="n">
        <f aca="false">IFERROR(VLOOKUP(A1759,NOMENCLATOR!$A:$E,4,0),"")</f>
        <v>0.27</v>
      </c>
      <c r="F1759" s="21" t="n">
        <f aca="false">IF(OR(C1759="",E1759=""),"",C1759*E1759)</f>
        <v>0.27</v>
      </c>
      <c r="G1759" s="22" t="n">
        <f aca="false">IFERROR(VLOOKUP(A1759,NOMENCLATOR!$A:$E,5,0),"")</f>
        <v>0.27</v>
      </c>
      <c r="H1759" s="22" t="n">
        <f aca="false">IF(OR(C1759="",G1759=""),"",C1759*G1759)</f>
        <v>0.27</v>
      </c>
    </row>
    <row r="1760" customFormat="false" ht="15" hidden="false" customHeight="true" outlineLevel="0" collapsed="false">
      <c r="A1760" s="23" t="str">
        <f aca="false">IF(A1756="","",A1756)</f>
        <v>Prajitura mascarpone capsuni new D</v>
      </c>
      <c r="B1760" s="24"/>
      <c r="C1760" s="24"/>
      <c r="D1760" s="24"/>
      <c r="E1760" s="24"/>
      <c r="F1760" s="25" t="n">
        <f aca="false">IF(A1756="","",SUM(F1758:F1759))</f>
        <v>9.52</v>
      </c>
      <c r="G1760" s="24"/>
      <c r="H1760" s="26" t="n">
        <f aca="false">IF(A1756="","",SUM(H1758:H1759))</f>
        <v>9.52</v>
      </c>
    </row>
    <row r="1762" customFormat="false" ht="15" hidden="false" customHeight="true" outlineLevel="0" collapsed="false">
      <c r="A1762" s="12" t="s">
        <v>566</v>
      </c>
      <c r="B1762" s="13"/>
      <c r="C1762" s="13"/>
      <c r="D1762" s="13"/>
      <c r="E1762" s="13"/>
      <c r="F1762" s="14" t="s">
        <v>552</v>
      </c>
      <c r="G1762" s="13"/>
      <c r="H1762" s="15"/>
    </row>
    <row r="1763" customFormat="false" ht="15" hidden="false" customHeight="true" outlineLevel="0" collapsed="false">
      <c r="A1763" s="16" t="s">
        <v>316</v>
      </c>
      <c r="B1763" s="16" t="s">
        <v>317</v>
      </c>
      <c r="C1763" s="16" t="s">
        <v>318</v>
      </c>
      <c r="D1763" s="16" t="s">
        <v>4</v>
      </c>
      <c r="E1763" s="16" t="s">
        <v>319</v>
      </c>
      <c r="F1763" s="16" t="s">
        <v>320</v>
      </c>
      <c r="G1763" s="16" t="s">
        <v>321</v>
      </c>
      <c r="H1763" s="16" t="s">
        <v>322</v>
      </c>
    </row>
    <row r="1764" customFormat="false" ht="15" hidden="false" customHeight="true" outlineLevel="0" collapsed="false">
      <c r="A1764" s="17" t="s">
        <v>22</v>
      </c>
      <c r="B1764" s="18" t="str">
        <f aca="false">IFERROR(VLOOKUP(A1764,NOMENCLATOR!$A:$E,2,0),"")</f>
        <v>1.000 EA MARITOZZO 90 g x 12</v>
      </c>
      <c r="C1764" s="19" t="n">
        <v>1</v>
      </c>
      <c r="D1764" s="20" t="str">
        <f aca="false">IFERROR(VLOOKUP(A1764,NOMENCLATOR!$A:$E,3,0),"")</f>
        <v>EA</v>
      </c>
      <c r="E1764" s="21" t="n">
        <f aca="false">IFERROR(VLOOKUP(A1764,NOMENCLATOR!$A:$E,4,0),"")</f>
        <v>9.621</v>
      </c>
      <c r="F1764" s="21" t="n">
        <f aca="false">IF(OR(C1764="",E1764=""),"",C1764*E1764)</f>
        <v>9.621</v>
      </c>
      <c r="G1764" s="22" t="n">
        <f aca="false">IFERROR(VLOOKUP(A1764,NOMENCLATOR!$A:$E,5,0),"")</f>
        <v>9.621</v>
      </c>
      <c r="H1764" s="22" t="n">
        <f aca="false">IF(OR(C1764="",G1764=""),"",C1764*G1764)</f>
        <v>9.621</v>
      </c>
    </row>
    <row r="1765" customFormat="false" ht="15" hidden="false" customHeight="true" outlineLevel="0" collapsed="false">
      <c r="A1765" s="23" t="str">
        <f aca="false">IF(A1762="","",A1762)</f>
        <v>Prajitura Maritozzo new</v>
      </c>
      <c r="B1765" s="24"/>
      <c r="C1765" s="24"/>
      <c r="D1765" s="24"/>
      <c r="E1765" s="24"/>
      <c r="F1765" s="25" t="n">
        <f aca="false">IF(A1762="","",SUM(F1764:F1764))</f>
        <v>9.621</v>
      </c>
      <c r="G1765" s="24"/>
      <c r="H1765" s="26" t="n">
        <f aca="false">IF(A1762="","",SUM(H1764:H1764))</f>
        <v>9.621</v>
      </c>
    </row>
    <row r="1767" customFormat="false" ht="15" hidden="false" customHeight="true" outlineLevel="0" collapsed="false">
      <c r="A1767" s="12" t="s">
        <v>567</v>
      </c>
      <c r="B1767" s="13"/>
      <c r="C1767" s="13"/>
      <c r="D1767" s="13"/>
      <c r="E1767" s="13"/>
      <c r="F1767" s="14" t="s">
        <v>552</v>
      </c>
      <c r="G1767" s="13"/>
      <c r="H1767" s="15"/>
    </row>
    <row r="1768" customFormat="false" ht="15" hidden="false" customHeight="true" outlineLevel="0" collapsed="false">
      <c r="A1768" s="16" t="s">
        <v>316</v>
      </c>
      <c r="B1768" s="16" t="s">
        <v>317</v>
      </c>
      <c r="C1768" s="16" t="s">
        <v>318</v>
      </c>
      <c r="D1768" s="16" t="s">
        <v>4</v>
      </c>
      <c r="E1768" s="16" t="s">
        <v>319</v>
      </c>
      <c r="F1768" s="16" t="s">
        <v>320</v>
      </c>
      <c r="G1768" s="16" t="s">
        <v>321</v>
      </c>
      <c r="H1768" s="16" t="s">
        <v>322</v>
      </c>
    </row>
    <row r="1769" customFormat="false" ht="15" hidden="false" customHeight="true" outlineLevel="0" collapsed="false">
      <c r="A1769" s="17" t="s">
        <v>22</v>
      </c>
      <c r="B1769" s="18" t="str">
        <f aca="false">IFERROR(VLOOKUP(A1769,NOMENCLATOR!$A:$E,2,0),"")</f>
        <v>1.000 EA MARITOZZO 90 g x 12</v>
      </c>
      <c r="C1769" s="19" t="n">
        <v>1</v>
      </c>
      <c r="D1769" s="20" t="str">
        <f aca="false">IFERROR(VLOOKUP(A1769,NOMENCLATOR!$A:$E,3,0),"")</f>
        <v>EA</v>
      </c>
      <c r="E1769" s="21" t="n">
        <f aca="false">IFERROR(VLOOKUP(A1769,NOMENCLATOR!$A:$E,4,0),"")</f>
        <v>9.621</v>
      </c>
      <c r="F1769" s="21" t="n">
        <f aca="false">IF(OR(C1769="",E1769=""),"",C1769*E1769)</f>
        <v>9.621</v>
      </c>
      <c r="G1769" s="22" t="n">
        <f aca="false">IFERROR(VLOOKUP(A1769,NOMENCLATOR!$A:$E,5,0),"")</f>
        <v>9.621</v>
      </c>
      <c r="H1769" s="22" t="n">
        <f aca="false">IF(OR(C1769="",G1769=""),"",C1769*G1769)</f>
        <v>9.621</v>
      </c>
    </row>
    <row r="1770" customFormat="false" ht="15" hidden="false" customHeight="true" outlineLevel="0" collapsed="false">
      <c r="A1770" s="23" t="str">
        <f aca="false">IF(A1767="","",A1767)</f>
        <v>Prajitura Maritozzo new D</v>
      </c>
      <c r="B1770" s="24"/>
      <c r="C1770" s="24"/>
      <c r="D1770" s="24"/>
      <c r="E1770" s="24"/>
      <c r="F1770" s="25" t="n">
        <f aca="false">IF(A1767="","",SUM(F1769:F1769))</f>
        <v>9.621</v>
      </c>
      <c r="G1770" s="24"/>
      <c r="H1770" s="26" t="n">
        <f aca="false">IF(A1767="","",SUM(H1769:H1769))</f>
        <v>9.621</v>
      </c>
    </row>
    <row r="1772" customFormat="false" ht="15" hidden="false" customHeight="true" outlineLevel="0" collapsed="false">
      <c r="A1772" s="12" t="s">
        <v>568</v>
      </c>
      <c r="B1772" s="13"/>
      <c r="C1772" s="13"/>
      <c r="D1772" s="13"/>
      <c r="E1772" s="13"/>
      <c r="F1772" s="14" t="s">
        <v>552</v>
      </c>
      <c r="G1772" s="13"/>
      <c r="H1772" s="15"/>
    </row>
    <row r="1773" customFormat="false" ht="15" hidden="false" customHeight="true" outlineLevel="0" collapsed="false">
      <c r="A1773" s="16" t="s">
        <v>316</v>
      </c>
      <c r="B1773" s="16" t="s">
        <v>317</v>
      </c>
      <c r="C1773" s="16" t="s">
        <v>318</v>
      </c>
      <c r="D1773" s="16" t="s">
        <v>4</v>
      </c>
      <c r="E1773" s="16" t="s">
        <v>319</v>
      </c>
      <c r="F1773" s="16" t="s">
        <v>320</v>
      </c>
      <c r="G1773" s="16" t="s">
        <v>321</v>
      </c>
      <c r="H1773" s="16" t="s">
        <v>322</v>
      </c>
    </row>
    <row r="1774" customFormat="false" ht="15" hidden="false" customHeight="true" outlineLevel="0" collapsed="false">
      <c r="A1774" s="17" t="s">
        <v>24</v>
      </c>
      <c r="B1774" s="18" t="str">
        <f aca="false">IFERROR(VLOOKUP(A1774,NOMENCLATOR!$A:$E,2,0),"")</f>
        <v>1.000 EA MILLEFOGLIE RAW</v>
      </c>
      <c r="C1774" s="19" t="n">
        <v>1</v>
      </c>
      <c r="D1774" s="20" t="str">
        <f aca="false">IFERROR(VLOOKUP(A1774,NOMENCLATOR!$A:$E,3,0),"")</f>
        <v>EA</v>
      </c>
      <c r="E1774" s="21" t="n">
        <f aca="false">IFERROR(VLOOKUP(A1774,NOMENCLATOR!$A:$E,4,0),"")</f>
        <v>8.228</v>
      </c>
      <c r="F1774" s="21" t="n">
        <f aca="false">IF(OR(C1774="",E1774=""),"",C1774*E1774)</f>
        <v>8.228</v>
      </c>
      <c r="G1774" s="22" t="n">
        <f aca="false">IFERROR(VLOOKUP(A1774,NOMENCLATOR!$A:$E,5,0),"")</f>
        <v>8.228</v>
      </c>
      <c r="H1774" s="22" t="n">
        <f aca="false">IF(OR(C1774="",G1774=""),"",C1774*G1774)</f>
        <v>8.228</v>
      </c>
    </row>
    <row r="1775" customFormat="false" ht="15" hidden="false" customHeight="true" outlineLevel="0" collapsed="false">
      <c r="A1775" s="17" t="s">
        <v>126</v>
      </c>
      <c r="B1775" s="18" t="str">
        <f aca="false">IFERROR(VLOOKUP(A1775,NOMENCLATOR!$A:$E,2,0),"")</f>
        <v>Furculita Rosie</v>
      </c>
      <c r="C1775" s="19" t="n">
        <v>1</v>
      </c>
      <c r="D1775" s="20" t="str">
        <f aca="false">IFERROR(VLOOKUP(A1775,NOMENCLATOR!$A:$E,3,0),"")</f>
        <v>EA</v>
      </c>
      <c r="E1775" s="21" t="n">
        <f aca="false">IFERROR(VLOOKUP(A1775,NOMENCLATOR!$A:$E,4,0),"")</f>
        <v>0.27</v>
      </c>
      <c r="F1775" s="21" t="n">
        <f aca="false">IF(OR(C1775="",E1775=""),"",C1775*E1775)</f>
        <v>0.27</v>
      </c>
      <c r="G1775" s="22" t="n">
        <f aca="false">IFERROR(VLOOKUP(A1775,NOMENCLATOR!$A:$E,5,0),"")</f>
        <v>0.27</v>
      </c>
      <c r="H1775" s="22" t="n">
        <f aca="false">IF(OR(C1775="",G1775=""),"",C1775*G1775)</f>
        <v>0.27</v>
      </c>
    </row>
    <row r="1776" customFormat="false" ht="15" hidden="false" customHeight="true" outlineLevel="0" collapsed="false">
      <c r="A1776" s="23" t="str">
        <f aca="false">IF(A1772="","",A1772)</f>
        <v>Millefoglie new</v>
      </c>
      <c r="B1776" s="24"/>
      <c r="C1776" s="24"/>
      <c r="D1776" s="24"/>
      <c r="E1776" s="24"/>
      <c r="F1776" s="25" t="n">
        <f aca="false">IF(A1772="","",SUM(F1774:F1775))</f>
        <v>8.498</v>
      </c>
      <c r="G1776" s="24"/>
      <c r="H1776" s="26" t="n">
        <f aca="false">IF(A1772="","",SUM(H1774:H1775))</f>
        <v>8.498</v>
      </c>
    </row>
    <row r="1778" customFormat="false" ht="15" hidden="false" customHeight="true" outlineLevel="0" collapsed="false">
      <c r="A1778" s="12" t="s">
        <v>569</v>
      </c>
      <c r="B1778" s="13"/>
      <c r="C1778" s="13"/>
      <c r="D1778" s="13"/>
      <c r="E1778" s="13"/>
      <c r="F1778" s="14" t="s">
        <v>552</v>
      </c>
      <c r="G1778" s="13"/>
      <c r="H1778" s="15"/>
    </row>
    <row r="1779" customFormat="false" ht="15" hidden="false" customHeight="true" outlineLevel="0" collapsed="false">
      <c r="A1779" s="16" t="s">
        <v>316</v>
      </c>
      <c r="B1779" s="16" t="s">
        <v>317</v>
      </c>
      <c r="C1779" s="16" t="s">
        <v>318</v>
      </c>
      <c r="D1779" s="16" t="s">
        <v>4</v>
      </c>
      <c r="E1779" s="16" t="s">
        <v>319</v>
      </c>
      <c r="F1779" s="16" t="s">
        <v>320</v>
      </c>
      <c r="G1779" s="16" t="s">
        <v>321</v>
      </c>
      <c r="H1779" s="16" t="s">
        <v>322</v>
      </c>
    </row>
    <row r="1780" customFormat="false" ht="15" hidden="false" customHeight="true" outlineLevel="0" collapsed="false">
      <c r="A1780" s="17" t="s">
        <v>24</v>
      </c>
      <c r="B1780" s="18" t="str">
        <f aca="false">IFERROR(VLOOKUP(A1780,NOMENCLATOR!$A:$E,2,0),"")</f>
        <v>1.000 EA MILLEFOGLIE RAW</v>
      </c>
      <c r="C1780" s="19" t="n">
        <v>1</v>
      </c>
      <c r="D1780" s="20" t="str">
        <f aca="false">IFERROR(VLOOKUP(A1780,NOMENCLATOR!$A:$E,3,0),"")</f>
        <v>EA</v>
      </c>
      <c r="E1780" s="21" t="n">
        <f aca="false">IFERROR(VLOOKUP(A1780,NOMENCLATOR!$A:$E,4,0),"")</f>
        <v>8.228</v>
      </c>
      <c r="F1780" s="21" t="n">
        <f aca="false">IF(OR(C1780="",E1780=""),"",C1780*E1780)</f>
        <v>8.228</v>
      </c>
      <c r="G1780" s="22" t="n">
        <f aca="false">IFERROR(VLOOKUP(A1780,NOMENCLATOR!$A:$E,5,0),"")</f>
        <v>8.228</v>
      </c>
      <c r="H1780" s="22" t="n">
        <f aca="false">IF(OR(C1780="",G1780=""),"",C1780*G1780)</f>
        <v>8.228</v>
      </c>
    </row>
    <row r="1781" customFormat="false" ht="15" hidden="false" customHeight="true" outlineLevel="0" collapsed="false">
      <c r="A1781" s="17" t="s">
        <v>126</v>
      </c>
      <c r="B1781" s="18" t="str">
        <f aca="false">IFERROR(VLOOKUP(A1781,NOMENCLATOR!$A:$E,2,0),"")</f>
        <v>Furculita Rosie</v>
      </c>
      <c r="C1781" s="19" t="n">
        <v>1</v>
      </c>
      <c r="D1781" s="20" t="str">
        <f aca="false">IFERROR(VLOOKUP(A1781,NOMENCLATOR!$A:$E,3,0),"")</f>
        <v>EA</v>
      </c>
      <c r="E1781" s="21" t="n">
        <f aca="false">IFERROR(VLOOKUP(A1781,NOMENCLATOR!$A:$E,4,0),"")</f>
        <v>0.27</v>
      </c>
      <c r="F1781" s="21" t="n">
        <f aca="false">IF(OR(C1781="",E1781=""),"",C1781*E1781)</f>
        <v>0.27</v>
      </c>
      <c r="G1781" s="22" t="n">
        <f aca="false">IFERROR(VLOOKUP(A1781,NOMENCLATOR!$A:$E,5,0),"")</f>
        <v>0.27</v>
      </c>
      <c r="H1781" s="22" t="n">
        <f aca="false">IF(OR(C1781="",G1781=""),"",C1781*G1781)</f>
        <v>0.27</v>
      </c>
    </row>
    <row r="1782" customFormat="false" ht="15" hidden="false" customHeight="true" outlineLevel="0" collapsed="false">
      <c r="A1782" s="23" t="str">
        <f aca="false">IF(A1778="","",A1778)</f>
        <v>Millefoglie new D</v>
      </c>
      <c r="B1782" s="24"/>
      <c r="C1782" s="24"/>
      <c r="D1782" s="24"/>
      <c r="E1782" s="24"/>
      <c r="F1782" s="25" t="n">
        <f aca="false">IF(A1778="","",SUM(F1780:F1781))</f>
        <v>8.498</v>
      </c>
      <c r="G1782" s="24"/>
      <c r="H1782" s="26" t="n">
        <f aca="false">IF(A1778="","",SUM(H1780:H1781))</f>
        <v>8.498</v>
      </c>
    </row>
    <row r="1784" customFormat="false" ht="15" hidden="false" customHeight="true" outlineLevel="0" collapsed="false">
      <c r="A1784" s="12" t="s">
        <v>570</v>
      </c>
      <c r="B1784" s="13"/>
      <c r="C1784" s="13"/>
      <c r="D1784" s="13"/>
      <c r="E1784" s="13"/>
      <c r="F1784" s="14" t="s">
        <v>552</v>
      </c>
      <c r="G1784" s="13"/>
      <c r="H1784" s="15"/>
    </row>
    <row r="1785" customFormat="false" ht="15" hidden="false" customHeight="true" outlineLevel="0" collapsed="false">
      <c r="A1785" s="16" t="s">
        <v>316</v>
      </c>
      <c r="B1785" s="16" t="s">
        <v>317</v>
      </c>
      <c r="C1785" s="16" t="s">
        <v>318</v>
      </c>
      <c r="D1785" s="16" t="s">
        <v>4</v>
      </c>
      <c r="E1785" s="16" t="s">
        <v>319</v>
      </c>
      <c r="F1785" s="16" t="s">
        <v>320</v>
      </c>
      <c r="G1785" s="16" t="s">
        <v>321</v>
      </c>
      <c r="H1785" s="16" t="s">
        <v>322</v>
      </c>
    </row>
    <row r="1786" customFormat="false" ht="15" hidden="false" customHeight="true" outlineLevel="0" collapsed="false">
      <c r="A1786" s="17" t="s">
        <v>152</v>
      </c>
      <c r="B1786" s="18" t="str">
        <f aca="false">IFERROR(VLOOKUP(A1786,NOMENCLATOR!$A:$E,2,0),"")</f>
        <v>Illy Expresso Clasico 1.5 kg</v>
      </c>
      <c r="C1786" s="19" t="n">
        <v>12</v>
      </c>
      <c r="D1786" s="20" t="str">
        <f aca="false">IFERROR(VLOOKUP(A1786,NOMENCLATOR!$A:$E,3,0),"")</f>
        <v>GM</v>
      </c>
      <c r="E1786" s="21" t="n">
        <f aca="false">IFERROR(VLOOKUP(A1786,NOMENCLATOR!$A:$E,4,0),"")</f>
        <v>0.23833</v>
      </c>
      <c r="F1786" s="21" t="n">
        <f aca="false">IF(OR(C1786="",E1786=""),"",C1786*E1786)</f>
        <v>2.85996</v>
      </c>
      <c r="G1786" s="22" t="n">
        <f aca="false">IFERROR(VLOOKUP(A1786,NOMENCLATOR!$A:$E,5,0),"")</f>
        <v>0.23833</v>
      </c>
      <c r="H1786" s="22" t="n">
        <f aca="false">IF(OR(C1786="",G1786=""),"",C1786*G1786)</f>
        <v>2.85996</v>
      </c>
    </row>
    <row r="1787" customFormat="false" ht="15" hidden="false" customHeight="true" outlineLevel="0" collapsed="false">
      <c r="A1787" s="17" t="s">
        <v>180</v>
      </c>
      <c r="B1787" s="18" t="str">
        <f aca="false">IFERROR(VLOOKUP(A1787,NOMENCLATOR!$A:$E,2,0),"")</f>
        <v>Pahar cafea 4OZ</v>
      </c>
      <c r="C1787" s="19" t="n">
        <v>1</v>
      </c>
      <c r="D1787" s="20" t="str">
        <f aca="false">IFERROR(VLOOKUP(A1787,NOMENCLATOR!$A:$E,3,0),"")</f>
        <v>EA</v>
      </c>
      <c r="E1787" s="21" t="n">
        <f aca="false">IFERROR(VLOOKUP(A1787,NOMENCLATOR!$A:$E,4,0),"")</f>
        <v>0.303</v>
      </c>
      <c r="F1787" s="21" t="n">
        <f aca="false">IF(OR(C1787="",E1787=""),"",C1787*E1787)</f>
        <v>0.303</v>
      </c>
      <c r="G1787" s="22" t="n">
        <f aca="false">IFERROR(VLOOKUP(A1787,NOMENCLATOR!$A:$E,5,0),"")</f>
        <v>0.303</v>
      </c>
      <c r="H1787" s="22" t="n">
        <f aca="false">IF(OR(C1787="",G1787=""),"",C1787*G1787)</f>
        <v>0.303</v>
      </c>
    </row>
    <row r="1788" customFormat="false" ht="15" hidden="false" customHeight="true" outlineLevel="0" collapsed="false">
      <c r="A1788" s="17" t="s">
        <v>80</v>
      </c>
      <c r="B1788" s="18" t="str">
        <f aca="false">IFERROR(VLOOKUP(A1788,NOMENCLATOR!$A:$E,2,0),"")</f>
        <v>Capac din plastic negru 4oz</v>
      </c>
      <c r="C1788" s="19" t="n">
        <v>1</v>
      </c>
      <c r="D1788" s="20" t="str">
        <f aca="false">IFERROR(VLOOKUP(A1788,NOMENCLATOR!$A:$E,3,0),"")</f>
        <v>EA</v>
      </c>
      <c r="E1788" s="21" t="n">
        <f aca="false">IFERROR(VLOOKUP(A1788,NOMENCLATOR!$A:$E,4,0),"")</f>
        <v>0.119</v>
      </c>
      <c r="F1788" s="21" t="n">
        <f aca="false">IF(OR(C1788="",E1788=""),"",C1788*E1788)</f>
        <v>0.119</v>
      </c>
      <c r="G1788" s="22" t="n">
        <f aca="false">IFERROR(VLOOKUP(A1788,NOMENCLATOR!$A:$E,5,0),"")</f>
        <v>0.119</v>
      </c>
      <c r="H1788" s="22" t="n">
        <f aca="false">IF(OR(C1788="",G1788=""),"",C1788*G1788)</f>
        <v>0.119</v>
      </c>
    </row>
    <row r="1789" customFormat="false" ht="15" hidden="false" customHeight="true" outlineLevel="0" collapsed="false">
      <c r="A1789" s="17" t="s">
        <v>206</v>
      </c>
      <c r="B1789" s="18" t="str">
        <f aca="false">IFERROR(VLOOKUP(A1789,NOMENCLATOR!$A:$E,2,0),"")</f>
        <v>Paletine Lemn 14 cm</v>
      </c>
      <c r="C1789" s="19" t="n">
        <v>1</v>
      </c>
      <c r="D1789" s="20" t="str">
        <f aca="false">IFERROR(VLOOKUP(A1789,NOMENCLATOR!$A:$E,3,0),"")</f>
        <v>EA</v>
      </c>
      <c r="E1789" s="21" t="n">
        <f aca="false">IFERROR(VLOOKUP(A1789,NOMENCLATOR!$A:$E,4,0),"")</f>
        <v>0.013</v>
      </c>
      <c r="F1789" s="21" t="n">
        <f aca="false">IF(OR(C1789="",E1789=""),"",C1789*E1789)</f>
        <v>0.013</v>
      </c>
      <c r="G1789" s="22" t="n">
        <f aca="false">IFERROR(VLOOKUP(A1789,NOMENCLATOR!$A:$E,5,0),"")</f>
        <v>0.013</v>
      </c>
      <c r="H1789" s="22" t="n">
        <f aca="false">IF(OR(C1789="",G1789=""),"",C1789*G1789)</f>
        <v>0.013</v>
      </c>
    </row>
    <row r="1790" customFormat="false" ht="15" hidden="false" customHeight="true" outlineLevel="0" collapsed="false">
      <c r="A1790" s="23" t="str">
        <f aca="false">IF(A1784="","",A1784)</f>
        <v>Espresso NEW</v>
      </c>
      <c r="B1790" s="24"/>
      <c r="C1790" s="24"/>
      <c r="D1790" s="24"/>
      <c r="E1790" s="24"/>
      <c r="F1790" s="25" t="n">
        <f aca="false">IF(A1784="","",SUM(F1786:F1789))</f>
        <v>3.29496</v>
      </c>
      <c r="G1790" s="24"/>
      <c r="H1790" s="26" t="n">
        <f aca="false">IF(A1784="","",SUM(H1786:H1789))</f>
        <v>3.29496</v>
      </c>
    </row>
    <row r="1792" customFormat="false" ht="15" hidden="false" customHeight="true" outlineLevel="0" collapsed="false">
      <c r="A1792" s="12" t="s">
        <v>571</v>
      </c>
      <c r="B1792" s="13"/>
      <c r="C1792" s="13"/>
      <c r="D1792" s="13"/>
      <c r="E1792" s="13"/>
      <c r="F1792" s="14" t="s">
        <v>552</v>
      </c>
      <c r="G1792" s="13"/>
      <c r="H1792" s="15"/>
    </row>
    <row r="1793" customFormat="false" ht="15" hidden="false" customHeight="true" outlineLevel="0" collapsed="false">
      <c r="A1793" s="16" t="s">
        <v>316</v>
      </c>
      <c r="B1793" s="16" t="s">
        <v>317</v>
      </c>
      <c r="C1793" s="16" t="s">
        <v>318</v>
      </c>
      <c r="D1793" s="16" t="s">
        <v>4</v>
      </c>
      <c r="E1793" s="16" t="s">
        <v>319</v>
      </c>
      <c r="F1793" s="16" t="s">
        <v>320</v>
      </c>
      <c r="G1793" s="16" t="s">
        <v>321</v>
      </c>
      <c r="H1793" s="16" t="s">
        <v>322</v>
      </c>
    </row>
    <row r="1794" customFormat="false" ht="15" hidden="false" customHeight="true" outlineLevel="0" collapsed="false">
      <c r="A1794" s="17" t="s">
        <v>152</v>
      </c>
      <c r="B1794" s="18" t="str">
        <f aca="false">IFERROR(VLOOKUP(A1794,NOMENCLATOR!$A:$E,2,0),"")</f>
        <v>Illy Expresso Clasico 1.5 kg</v>
      </c>
      <c r="C1794" s="19" t="n">
        <v>12</v>
      </c>
      <c r="D1794" s="20" t="str">
        <f aca="false">IFERROR(VLOOKUP(A1794,NOMENCLATOR!$A:$E,3,0),"")</f>
        <v>GM</v>
      </c>
      <c r="E1794" s="21" t="n">
        <f aca="false">IFERROR(VLOOKUP(A1794,NOMENCLATOR!$A:$E,4,0),"")</f>
        <v>0.23833</v>
      </c>
      <c r="F1794" s="21" t="n">
        <f aca="false">IF(OR(C1794="",E1794=""),"",C1794*E1794)</f>
        <v>2.85996</v>
      </c>
      <c r="G1794" s="22" t="n">
        <f aca="false">IFERROR(VLOOKUP(A1794,NOMENCLATOR!$A:$E,5,0),"")</f>
        <v>0.23833</v>
      </c>
      <c r="H1794" s="22" t="n">
        <f aca="false">IF(OR(C1794="",G1794=""),"",C1794*G1794)</f>
        <v>2.85996</v>
      </c>
    </row>
    <row r="1795" customFormat="false" ht="15" hidden="false" customHeight="true" outlineLevel="0" collapsed="false">
      <c r="A1795" s="17" t="s">
        <v>180</v>
      </c>
      <c r="B1795" s="18" t="str">
        <f aca="false">IFERROR(VLOOKUP(A1795,NOMENCLATOR!$A:$E,2,0),"")</f>
        <v>Pahar cafea 4OZ</v>
      </c>
      <c r="C1795" s="19" t="n">
        <v>1</v>
      </c>
      <c r="D1795" s="20" t="str">
        <f aca="false">IFERROR(VLOOKUP(A1795,NOMENCLATOR!$A:$E,3,0),"")</f>
        <v>EA</v>
      </c>
      <c r="E1795" s="21" t="n">
        <f aca="false">IFERROR(VLOOKUP(A1795,NOMENCLATOR!$A:$E,4,0),"")</f>
        <v>0.303</v>
      </c>
      <c r="F1795" s="21" t="n">
        <f aca="false">IF(OR(C1795="",E1795=""),"",C1795*E1795)</f>
        <v>0.303</v>
      </c>
      <c r="G1795" s="22" t="n">
        <f aca="false">IFERROR(VLOOKUP(A1795,NOMENCLATOR!$A:$E,5,0),"")</f>
        <v>0.303</v>
      </c>
      <c r="H1795" s="22" t="n">
        <f aca="false">IF(OR(C1795="",G1795=""),"",C1795*G1795)</f>
        <v>0.303</v>
      </c>
    </row>
    <row r="1796" customFormat="false" ht="15" hidden="false" customHeight="true" outlineLevel="0" collapsed="false">
      <c r="A1796" s="17" t="s">
        <v>80</v>
      </c>
      <c r="B1796" s="18" t="str">
        <f aca="false">IFERROR(VLOOKUP(A1796,NOMENCLATOR!$A:$E,2,0),"")</f>
        <v>Capac din plastic negru 4oz</v>
      </c>
      <c r="C1796" s="19" t="n">
        <v>1</v>
      </c>
      <c r="D1796" s="20" t="str">
        <f aca="false">IFERROR(VLOOKUP(A1796,NOMENCLATOR!$A:$E,3,0),"")</f>
        <v>EA</v>
      </c>
      <c r="E1796" s="21" t="n">
        <f aca="false">IFERROR(VLOOKUP(A1796,NOMENCLATOR!$A:$E,4,0),"")</f>
        <v>0.119</v>
      </c>
      <c r="F1796" s="21" t="n">
        <f aca="false">IF(OR(C1796="",E1796=""),"",C1796*E1796)</f>
        <v>0.119</v>
      </c>
      <c r="G1796" s="22" t="n">
        <f aca="false">IFERROR(VLOOKUP(A1796,NOMENCLATOR!$A:$E,5,0),"")</f>
        <v>0.119</v>
      </c>
      <c r="H1796" s="22" t="n">
        <f aca="false">IF(OR(C1796="",G1796=""),"",C1796*G1796)</f>
        <v>0.119</v>
      </c>
    </row>
    <row r="1797" customFormat="false" ht="15" hidden="false" customHeight="true" outlineLevel="0" collapsed="false">
      <c r="A1797" s="17" t="s">
        <v>206</v>
      </c>
      <c r="B1797" s="18" t="str">
        <f aca="false">IFERROR(VLOOKUP(A1797,NOMENCLATOR!$A:$E,2,0),"")</f>
        <v>Paletine Lemn 14 cm</v>
      </c>
      <c r="C1797" s="19" t="n">
        <v>1</v>
      </c>
      <c r="D1797" s="20" t="str">
        <f aca="false">IFERROR(VLOOKUP(A1797,NOMENCLATOR!$A:$E,3,0),"")</f>
        <v>EA</v>
      </c>
      <c r="E1797" s="21" t="n">
        <f aca="false">IFERROR(VLOOKUP(A1797,NOMENCLATOR!$A:$E,4,0),"")</f>
        <v>0.013</v>
      </c>
      <c r="F1797" s="21" t="n">
        <f aca="false">IF(OR(C1797="",E1797=""),"",C1797*E1797)</f>
        <v>0.013</v>
      </c>
      <c r="G1797" s="22" t="n">
        <f aca="false">IFERROR(VLOOKUP(A1797,NOMENCLATOR!$A:$E,5,0),"")</f>
        <v>0.013</v>
      </c>
      <c r="H1797" s="22" t="n">
        <f aca="false">IF(OR(C1797="",G1797=""),"",C1797*G1797)</f>
        <v>0.013</v>
      </c>
    </row>
    <row r="1798" customFormat="false" ht="15" hidden="false" customHeight="true" outlineLevel="0" collapsed="false">
      <c r="A1798" s="23" t="str">
        <f aca="false">IF(A1792="","",A1792)</f>
        <v>Espresso NEW D</v>
      </c>
      <c r="B1798" s="24"/>
      <c r="C1798" s="24"/>
      <c r="D1798" s="24"/>
      <c r="E1798" s="24"/>
      <c r="F1798" s="25" t="n">
        <f aca="false">IF(A1792="","",SUM(F1794:F1797))</f>
        <v>3.29496</v>
      </c>
      <c r="G1798" s="24"/>
      <c r="H1798" s="26" t="n">
        <f aca="false">IF(A1792="","",SUM(H1794:H1797))</f>
        <v>3.29496</v>
      </c>
    </row>
    <row r="1800" customFormat="false" ht="15" hidden="false" customHeight="true" outlineLevel="0" collapsed="false">
      <c r="A1800" s="12" t="s">
        <v>572</v>
      </c>
      <c r="B1800" s="13"/>
      <c r="C1800" s="13"/>
      <c r="D1800" s="13"/>
      <c r="E1800" s="13"/>
      <c r="F1800" s="14" t="s">
        <v>552</v>
      </c>
      <c r="G1800" s="13"/>
      <c r="H1800" s="15"/>
    </row>
    <row r="1801" customFormat="false" ht="15" hidden="false" customHeight="true" outlineLevel="0" collapsed="false">
      <c r="A1801" s="16" t="s">
        <v>316</v>
      </c>
      <c r="B1801" s="16" t="s">
        <v>317</v>
      </c>
      <c r="C1801" s="16" t="s">
        <v>318</v>
      </c>
      <c r="D1801" s="16" t="s">
        <v>4</v>
      </c>
      <c r="E1801" s="16" t="s">
        <v>319</v>
      </c>
      <c r="F1801" s="16" t="s">
        <v>320</v>
      </c>
      <c r="G1801" s="16" t="s">
        <v>321</v>
      </c>
      <c r="H1801" s="16" t="s">
        <v>322</v>
      </c>
    </row>
    <row r="1802" customFormat="false" ht="15" hidden="false" customHeight="true" outlineLevel="0" collapsed="false">
      <c r="A1802" s="17" t="s">
        <v>152</v>
      </c>
      <c r="B1802" s="18" t="str">
        <f aca="false">IFERROR(VLOOKUP(A1802,NOMENCLATOR!$A:$E,2,0),"")</f>
        <v>Illy Expresso Clasico 1.5 kg</v>
      </c>
      <c r="C1802" s="19" t="n">
        <v>14</v>
      </c>
      <c r="D1802" s="20" t="str">
        <f aca="false">IFERROR(VLOOKUP(A1802,NOMENCLATOR!$A:$E,3,0),"")</f>
        <v>GM</v>
      </c>
      <c r="E1802" s="21" t="n">
        <f aca="false">IFERROR(VLOOKUP(A1802,NOMENCLATOR!$A:$E,4,0),"")</f>
        <v>0.23833</v>
      </c>
      <c r="F1802" s="21" t="n">
        <f aca="false">IF(OR(C1802="",E1802=""),"",C1802*E1802)</f>
        <v>3.33662</v>
      </c>
      <c r="G1802" s="22" t="n">
        <f aca="false">IFERROR(VLOOKUP(A1802,NOMENCLATOR!$A:$E,5,0),"")</f>
        <v>0.23833</v>
      </c>
      <c r="H1802" s="22" t="n">
        <f aca="false">IF(OR(C1802="",G1802=""),"",C1802*G1802)</f>
        <v>3.33662</v>
      </c>
    </row>
    <row r="1803" customFormat="false" ht="15" hidden="false" customHeight="true" outlineLevel="0" collapsed="false">
      <c r="A1803" s="17" t="s">
        <v>180</v>
      </c>
      <c r="B1803" s="18" t="str">
        <f aca="false">IFERROR(VLOOKUP(A1803,NOMENCLATOR!$A:$E,2,0),"")</f>
        <v>Pahar cafea 4OZ</v>
      </c>
      <c r="C1803" s="19" t="n">
        <v>1</v>
      </c>
      <c r="D1803" s="20" t="str">
        <f aca="false">IFERROR(VLOOKUP(A1803,NOMENCLATOR!$A:$E,3,0),"")</f>
        <v>EA</v>
      </c>
      <c r="E1803" s="21" t="n">
        <f aca="false">IFERROR(VLOOKUP(A1803,NOMENCLATOR!$A:$E,4,0),"")</f>
        <v>0.303</v>
      </c>
      <c r="F1803" s="21" t="n">
        <f aca="false">IF(OR(C1803="",E1803=""),"",C1803*E1803)</f>
        <v>0.303</v>
      </c>
      <c r="G1803" s="22" t="n">
        <f aca="false">IFERROR(VLOOKUP(A1803,NOMENCLATOR!$A:$E,5,0),"")</f>
        <v>0.303</v>
      </c>
      <c r="H1803" s="22" t="n">
        <f aca="false">IF(OR(C1803="",G1803=""),"",C1803*G1803)</f>
        <v>0.303</v>
      </c>
    </row>
    <row r="1804" customFormat="false" ht="15" hidden="false" customHeight="true" outlineLevel="0" collapsed="false">
      <c r="A1804" s="17" t="s">
        <v>80</v>
      </c>
      <c r="B1804" s="18" t="str">
        <f aca="false">IFERROR(VLOOKUP(A1804,NOMENCLATOR!$A:$E,2,0),"")</f>
        <v>Capac din plastic negru 4oz</v>
      </c>
      <c r="C1804" s="19" t="n">
        <v>1</v>
      </c>
      <c r="D1804" s="20" t="str">
        <f aca="false">IFERROR(VLOOKUP(A1804,NOMENCLATOR!$A:$E,3,0),"")</f>
        <v>EA</v>
      </c>
      <c r="E1804" s="21" t="n">
        <f aca="false">IFERROR(VLOOKUP(A1804,NOMENCLATOR!$A:$E,4,0),"")</f>
        <v>0.119</v>
      </c>
      <c r="F1804" s="21" t="n">
        <f aca="false">IF(OR(C1804="",E1804=""),"",C1804*E1804)</f>
        <v>0.119</v>
      </c>
      <c r="G1804" s="22" t="n">
        <f aca="false">IFERROR(VLOOKUP(A1804,NOMENCLATOR!$A:$E,5,0),"")</f>
        <v>0.119</v>
      </c>
      <c r="H1804" s="22" t="n">
        <f aca="false">IF(OR(C1804="",G1804=""),"",C1804*G1804)</f>
        <v>0.119</v>
      </c>
    </row>
    <row r="1805" customFormat="false" ht="15" hidden="false" customHeight="true" outlineLevel="0" collapsed="false">
      <c r="A1805" s="17" t="s">
        <v>206</v>
      </c>
      <c r="B1805" s="18" t="str">
        <f aca="false">IFERROR(VLOOKUP(A1805,NOMENCLATOR!$A:$E,2,0),"")</f>
        <v>Paletine Lemn 14 cm</v>
      </c>
      <c r="C1805" s="19" t="n">
        <v>1</v>
      </c>
      <c r="D1805" s="20" t="str">
        <f aca="false">IFERROR(VLOOKUP(A1805,NOMENCLATOR!$A:$E,3,0),"")</f>
        <v>EA</v>
      </c>
      <c r="E1805" s="21" t="n">
        <f aca="false">IFERROR(VLOOKUP(A1805,NOMENCLATOR!$A:$E,4,0),"")</f>
        <v>0.013</v>
      </c>
      <c r="F1805" s="21" t="n">
        <f aca="false">IF(OR(C1805="",E1805=""),"",C1805*E1805)</f>
        <v>0.013</v>
      </c>
      <c r="G1805" s="22" t="n">
        <f aca="false">IFERROR(VLOOKUP(A1805,NOMENCLATOR!$A:$E,5,0),"")</f>
        <v>0.013</v>
      </c>
      <c r="H1805" s="22" t="n">
        <f aca="false">IF(OR(C1805="",G1805=""),"",C1805*G1805)</f>
        <v>0.013</v>
      </c>
    </row>
    <row r="1806" customFormat="false" ht="15" hidden="false" customHeight="true" outlineLevel="0" collapsed="false">
      <c r="A1806" s="23" t="str">
        <f aca="false">IF(A1800="","",A1800)</f>
        <v>Espresso Grande NEw</v>
      </c>
      <c r="B1806" s="24"/>
      <c r="C1806" s="24"/>
      <c r="D1806" s="24"/>
      <c r="E1806" s="24"/>
      <c r="F1806" s="25" t="n">
        <f aca="false">IF(A1800="","",SUM(F1802:F1805))</f>
        <v>3.77162</v>
      </c>
      <c r="G1806" s="24"/>
      <c r="H1806" s="26" t="n">
        <f aca="false">IF(A1800="","",SUM(H1802:H1805))</f>
        <v>3.77162</v>
      </c>
    </row>
    <row r="1808" customFormat="false" ht="15" hidden="false" customHeight="true" outlineLevel="0" collapsed="false">
      <c r="A1808" s="12" t="s">
        <v>573</v>
      </c>
      <c r="B1808" s="13"/>
      <c r="C1808" s="13"/>
      <c r="D1808" s="13"/>
      <c r="E1808" s="13"/>
      <c r="F1808" s="14" t="s">
        <v>552</v>
      </c>
      <c r="G1808" s="13"/>
      <c r="H1808" s="15"/>
    </row>
    <row r="1809" customFormat="false" ht="15" hidden="false" customHeight="true" outlineLevel="0" collapsed="false">
      <c r="A1809" s="16" t="s">
        <v>316</v>
      </c>
      <c r="B1809" s="16" t="s">
        <v>317</v>
      </c>
      <c r="C1809" s="16" t="s">
        <v>318</v>
      </c>
      <c r="D1809" s="16" t="s">
        <v>4</v>
      </c>
      <c r="E1809" s="16" t="s">
        <v>319</v>
      </c>
      <c r="F1809" s="16" t="s">
        <v>320</v>
      </c>
      <c r="G1809" s="16" t="s">
        <v>321</v>
      </c>
      <c r="H1809" s="16" t="s">
        <v>322</v>
      </c>
    </row>
    <row r="1810" customFormat="false" ht="15" hidden="false" customHeight="true" outlineLevel="0" collapsed="false">
      <c r="A1810" s="17" t="s">
        <v>152</v>
      </c>
      <c r="B1810" s="18" t="str">
        <f aca="false">IFERROR(VLOOKUP(A1810,NOMENCLATOR!$A:$E,2,0),"")</f>
        <v>Illy Expresso Clasico 1.5 kg</v>
      </c>
      <c r="C1810" s="19" t="n">
        <v>14</v>
      </c>
      <c r="D1810" s="20" t="str">
        <f aca="false">IFERROR(VLOOKUP(A1810,NOMENCLATOR!$A:$E,3,0),"")</f>
        <v>GM</v>
      </c>
      <c r="E1810" s="21" t="n">
        <f aca="false">IFERROR(VLOOKUP(A1810,NOMENCLATOR!$A:$E,4,0),"")</f>
        <v>0.23833</v>
      </c>
      <c r="F1810" s="21" t="n">
        <f aca="false">IF(OR(C1810="",E1810=""),"",C1810*E1810)</f>
        <v>3.33662</v>
      </c>
      <c r="G1810" s="22" t="n">
        <f aca="false">IFERROR(VLOOKUP(A1810,NOMENCLATOR!$A:$E,5,0),"")</f>
        <v>0.23833</v>
      </c>
      <c r="H1810" s="22" t="n">
        <f aca="false">IF(OR(C1810="",G1810=""),"",C1810*G1810)</f>
        <v>3.33662</v>
      </c>
    </row>
    <row r="1811" customFormat="false" ht="15" hidden="false" customHeight="true" outlineLevel="0" collapsed="false">
      <c r="A1811" s="17" t="s">
        <v>180</v>
      </c>
      <c r="B1811" s="18" t="str">
        <f aca="false">IFERROR(VLOOKUP(A1811,NOMENCLATOR!$A:$E,2,0),"")</f>
        <v>Pahar cafea 4OZ</v>
      </c>
      <c r="C1811" s="19" t="n">
        <v>1</v>
      </c>
      <c r="D1811" s="20" t="str">
        <f aca="false">IFERROR(VLOOKUP(A1811,NOMENCLATOR!$A:$E,3,0),"")</f>
        <v>EA</v>
      </c>
      <c r="E1811" s="21" t="n">
        <f aca="false">IFERROR(VLOOKUP(A1811,NOMENCLATOR!$A:$E,4,0),"")</f>
        <v>0.303</v>
      </c>
      <c r="F1811" s="21" t="n">
        <f aca="false">IF(OR(C1811="",E1811=""),"",C1811*E1811)</f>
        <v>0.303</v>
      </c>
      <c r="G1811" s="22" t="n">
        <f aca="false">IFERROR(VLOOKUP(A1811,NOMENCLATOR!$A:$E,5,0),"")</f>
        <v>0.303</v>
      </c>
      <c r="H1811" s="22" t="n">
        <f aca="false">IF(OR(C1811="",G1811=""),"",C1811*G1811)</f>
        <v>0.303</v>
      </c>
    </row>
    <row r="1812" customFormat="false" ht="15" hidden="false" customHeight="true" outlineLevel="0" collapsed="false">
      <c r="A1812" s="17" t="s">
        <v>80</v>
      </c>
      <c r="B1812" s="18" t="str">
        <f aca="false">IFERROR(VLOOKUP(A1812,NOMENCLATOR!$A:$E,2,0),"")</f>
        <v>Capac din plastic negru 4oz</v>
      </c>
      <c r="C1812" s="19" t="n">
        <v>1</v>
      </c>
      <c r="D1812" s="20" t="str">
        <f aca="false">IFERROR(VLOOKUP(A1812,NOMENCLATOR!$A:$E,3,0),"")</f>
        <v>EA</v>
      </c>
      <c r="E1812" s="21" t="n">
        <f aca="false">IFERROR(VLOOKUP(A1812,NOMENCLATOR!$A:$E,4,0),"")</f>
        <v>0.119</v>
      </c>
      <c r="F1812" s="21" t="n">
        <f aca="false">IF(OR(C1812="",E1812=""),"",C1812*E1812)</f>
        <v>0.119</v>
      </c>
      <c r="G1812" s="22" t="n">
        <f aca="false">IFERROR(VLOOKUP(A1812,NOMENCLATOR!$A:$E,5,0),"")</f>
        <v>0.119</v>
      </c>
      <c r="H1812" s="22" t="n">
        <f aca="false">IF(OR(C1812="",G1812=""),"",C1812*G1812)</f>
        <v>0.119</v>
      </c>
    </row>
    <row r="1813" customFormat="false" ht="15" hidden="false" customHeight="true" outlineLevel="0" collapsed="false">
      <c r="A1813" s="17" t="s">
        <v>206</v>
      </c>
      <c r="B1813" s="18" t="str">
        <f aca="false">IFERROR(VLOOKUP(A1813,NOMENCLATOR!$A:$E,2,0),"")</f>
        <v>Paletine Lemn 14 cm</v>
      </c>
      <c r="C1813" s="19" t="n">
        <v>1</v>
      </c>
      <c r="D1813" s="20" t="str">
        <f aca="false">IFERROR(VLOOKUP(A1813,NOMENCLATOR!$A:$E,3,0),"")</f>
        <v>EA</v>
      </c>
      <c r="E1813" s="21" t="n">
        <f aca="false">IFERROR(VLOOKUP(A1813,NOMENCLATOR!$A:$E,4,0),"")</f>
        <v>0.013</v>
      </c>
      <c r="F1813" s="21" t="n">
        <f aca="false">IF(OR(C1813="",E1813=""),"",C1813*E1813)</f>
        <v>0.013</v>
      </c>
      <c r="G1813" s="22" t="n">
        <f aca="false">IFERROR(VLOOKUP(A1813,NOMENCLATOR!$A:$E,5,0),"")</f>
        <v>0.013</v>
      </c>
      <c r="H1813" s="22" t="n">
        <f aca="false">IF(OR(C1813="",G1813=""),"",C1813*G1813)</f>
        <v>0.013</v>
      </c>
    </row>
    <row r="1814" customFormat="false" ht="15" hidden="false" customHeight="true" outlineLevel="0" collapsed="false">
      <c r="A1814" s="23" t="str">
        <f aca="false">IF(A1808="","",A1808)</f>
        <v>Espresso Grande NEw D</v>
      </c>
      <c r="B1814" s="24"/>
      <c r="C1814" s="24"/>
      <c r="D1814" s="24"/>
      <c r="E1814" s="24"/>
      <c r="F1814" s="25" t="n">
        <f aca="false">IF(A1808="","",SUM(F1810:F1813))</f>
        <v>3.77162</v>
      </c>
      <c r="G1814" s="24"/>
      <c r="H1814" s="26" t="n">
        <f aca="false">IF(A1808="","",SUM(H1810:H1813))</f>
        <v>3.77162</v>
      </c>
    </row>
    <row r="1816" customFormat="false" ht="15" hidden="false" customHeight="true" outlineLevel="0" collapsed="false">
      <c r="A1816" s="12" t="s">
        <v>574</v>
      </c>
      <c r="B1816" s="13"/>
      <c r="C1816" s="13"/>
      <c r="D1816" s="13"/>
      <c r="E1816" s="13"/>
      <c r="F1816" s="14" t="s">
        <v>552</v>
      </c>
      <c r="G1816" s="13"/>
      <c r="H1816" s="15"/>
    </row>
    <row r="1817" customFormat="false" ht="15" hidden="false" customHeight="true" outlineLevel="0" collapsed="false">
      <c r="A1817" s="16" t="s">
        <v>316</v>
      </c>
      <c r="B1817" s="16" t="s">
        <v>317</v>
      </c>
      <c r="C1817" s="16" t="s">
        <v>318</v>
      </c>
      <c r="D1817" s="16" t="s">
        <v>4</v>
      </c>
      <c r="E1817" s="16" t="s">
        <v>319</v>
      </c>
      <c r="F1817" s="16" t="s">
        <v>320</v>
      </c>
      <c r="G1817" s="16" t="s">
        <v>321</v>
      </c>
      <c r="H1817" s="16" t="s">
        <v>322</v>
      </c>
    </row>
    <row r="1818" customFormat="false" ht="15" hidden="false" customHeight="true" outlineLevel="0" collapsed="false">
      <c r="A1818" s="17" t="s">
        <v>158</v>
      </c>
      <c r="B1818" s="18" t="str">
        <f aca="false">IFERROR(VLOOKUP(A1818,NOMENCLATOR!$A:$E,2,0),"")</f>
        <v>Lapte cafea</v>
      </c>
      <c r="C1818" s="19" t="n">
        <v>185</v>
      </c>
      <c r="D1818" s="20" t="str">
        <f aca="false">IFERROR(VLOOKUP(A1818,NOMENCLATOR!$A:$E,3,0),"")</f>
        <v>ML</v>
      </c>
      <c r="E1818" s="21" t="n">
        <f aca="false">IFERROR(VLOOKUP(A1818,NOMENCLATOR!$A:$E,4,0),"")</f>
        <v>0.0098</v>
      </c>
      <c r="F1818" s="21" t="n">
        <f aca="false">IF(OR(C1818="",E1818=""),"",C1818*E1818)</f>
        <v>1.813</v>
      </c>
      <c r="G1818" s="22" t="n">
        <f aca="false">IFERROR(VLOOKUP(A1818,NOMENCLATOR!$A:$E,5,0),"")</f>
        <v>0.0098</v>
      </c>
      <c r="H1818" s="22" t="n">
        <f aca="false">IF(OR(C1818="",G1818=""),"",C1818*G1818)</f>
        <v>1.813</v>
      </c>
    </row>
    <row r="1819" customFormat="false" ht="15" hidden="false" customHeight="true" outlineLevel="0" collapsed="false">
      <c r="A1819" s="17" t="s">
        <v>152</v>
      </c>
      <c r="B1819" s="18" t="str">
        <f aca="false">IFERROR(VLOOKUP(A1819,NOMENCLATOR!$A:$E,2,0),"")</f>
        <v>Illy Expresso Clasico 1.5 kg</v>
      </c>
      <c r="C1819" s="19" t="n">
        <v>12</v>
      </c>
      <c r="D1819" s="20" t="str">
        <f aca="false">IFERROR(VLOOKUP(A1819,NOMENCLATOR!$A:$E,3,0),"")</f>
        <v>GM</v>
      </c>
      <c r="E1819" s="21" t="n">
        <f aca="false">IFERROR(VLOOKUP(A1819,NOMENCLATOR!$A:$E,4,0),"")</f>
        <v>0.23833</v>
      </c>
      <c r="F1819" s="21" t="n">
        <f aca="false">IF(OR(C1819="",E1819=""),"",C1819*E1819)</f>
        <v>2.85996</v>
      </c>
      <c r="G1819" s="22" t="n">
        <f aca="false">IFERROR(VLOOKUP(A1819,NOMENCLATOR!$A:$E,5,0),"")</f>
        <v>0.23833</v>
      </c>
      <c r="H1819" s="22" t="n">
        <f aca="false">IF(OR(C1819="",G1819=""),"",C1819*G1819)</f>
        <v>2.85996</v>
      </c>
    </row>
    <row r="1820" customFormat="false" ht="15" hidden="false" customHeight="true" outlineLevel="0" collapsed="false">
      <c r="A1820" s="17" t="s">
        <v>192</v>
      </c>
      <c r="B1820" s="18" t="str">
        <f aca="false">IFERROR(VLOOKUP(A1820,NOMENCLATOR!$A:$E,2,0),"")</f>
        <v>Pahar Carton DW Fryday 350ml</v>
      </c>
      <c r="C1820" s="19" t="n">
        <v>1</v>
      </c>
      <c r="D1820" s="20" t="str">
        <f aca="false">IFERROR(VLOOKUP(A1820,NOMENCLATOR!$A:$E,3,0),"")</f>
        <v>EA</v>
      </c>
      <c r="E1820" s="21" t="n">
        <f aca="false">IFERROR(VLOOKUP(A1820,NOMENCLATOR!$A:$E,4,0),"")</f>
        <v>0.487</v>
      </c>
      <c r="F1820" s="21" t="n">
        <f aca="false">IF(OR(C1820="",E1820=""),"",C1820*E1820)</f>
        <v>0.487</v>
      </c>
      <c r="G1820" s="22" t="n">
        <f aca="false">IFERROR(VLOOKUP(A1820,NOMENCLATOR!$A:$E,5,0),"")</f>
        <v>0.487</v>
      </c>
      <c r="H1820" s="22" t="n">
        <f aca="false">IF(OR(C1820="",G1820=""),"",C1820*G1820)</f>
        <v>0.487</v>
      </c>
    </row>
    <row r="1821" customFormat="false" ht="15" hidden="false" customHeight="true" outlineLevel="0" collapsed="false">
      <c r="A1821" s="17" t="s">
        <v>206</v>
      </c>
      <c r="B1821" s="18" t="str">
        <f aca="false">IFERROR(VLOOKUP(A1821,NOMENCLATOR!$A:$E,2,0),"")</f>
        <v>Paletine Lemn 14 cm</v>
      </c>
      <c r="C1821" s="19" t="n">
        <v>1</v>
      </c>
      <c r="D1821" s="20" t="str">
        <f aca="false">IFERROR(VLOOKUP(A1821,NOMENCLATOR!$A:$E,3,0),"")</f>
        <v>EA</v>
      </c>
      <c r="E1821" s="21" t="n">
        <f aca="false">IFERROR(VLOOKUP(A1821,NOMENCLATOR!$A:$E,4,0),"")</f>
        <v>0.013</v>
      </c>
      <c r="F1821" s="21" t="n">
        <f aca="false">IF(OR(C1821="",E1821=""),"",C1821*E1821)</f>
        <v>0.013</v>
      </c>
      <c r="G1821" s="22" t="n">
        <f aca="false">IFERROR(VLOOKUP(A1821,NOMENCLATOR!$A:$E,5,0),"")</f>
        <v>0.013</v>
      </c>
      <c r="H1821" s="22" t="n">
        <f aca="false">IF(OR(C1821="",G1821=""),"",C1821*G1821)</f>
        <v>0.013</v>
      </c>
    </row>
    <row r="1822" customFormat="false" ht="15" hidden="false" customHeight="true" outlineLevel="0" collapsed="false">
      <c r="A1822" s="17" t="s">
        <v>84</v>
      </c>
      <c r="B1822" s="18" t="str">
        <f aca="false">IFERROR(VLOOKUP(A1822,NOMENCLATOR!$A:$E,2,0),"")</f>
        <v>Capac dn plastic SR 90 (12OZ)</v>
      </c>
      <c r="C1822" s="19" t="n">
        <v>1</v>
      </c>
      <c r="D1822" s="20" t="str">
        <f aca="false">IFERROR(VLOOKUP(A1822,NOMENCLATOR!$A:$E,3,0),"")</f>
        <v>EA</v>
      </c>
      <c r="E1822" s="21" t="n">
        <f aca="false">IFERROR(VLOOKUP(A1822,NOMENCLATOR!$A:$E,4,0),"")</f>
        <v>0.209</v>
      </c>
      <c r="F1822" s="21" t="n">
        <f aca="false">IF(OR(C1822="",E1822=""),"",C1822*E1822)</f>
        <v>0.209</v>
      </c>
      <c r="G1822" s="22" t="n">
        <f aca="false">IFERROR(VLOOKUP(A1822,NOMENCLATOR!$A:$E,5,0),"")</f>
        <v>0.209</v>
      </c>
      <c r="H1822" s="22" t="n">
        <f aca="false">IF(OR(C1822="",G1822=""),"",C1822*G1822)</f>
        <v>0.209</v>
      </c>
    </row>
    <row r="1823" customFormat="false" ht="15" hidden="false" customHeight="true" outlineLevel="0" collapsed="false">
      <c r="A1823" s="23" t="str">
        <f aca="false">IF(A1816="","",A1816)</f>
        <v>Latte Machiato NEW</v>
      </c>
      <c r="B1823" s="24"/>
      <c r="C1823" s="24"/>
      <c r="D1823" s="24"/>
      <c r="E1823" s="24"/>
      <c r="F1823" s="25" t="n">
        <f aca="false">IF(A1816="","",SUM(F1818:F1822))</f>
        <v>5.38196</v>
      </c>
      <c r="G1823" s="24"/>
      <c r="H1823" s="26" t="n">
        <f aca="false">IF(A1816="","",SUM(H1818:H1822))</f>
        <v>5.38196</v>
      </c>
    </row>
    <row r="1825" customFormat="false" ht="15" hidden="false" customHeight="true" outlineLevel="0" collapsed="false">
      <c r="A1825" s="12" t="s">
        <v>575</v>
      </c>
      <c r="B1825" s="13"/>
      <c r="C1825" s="13"/>
      <c r="D1825" s="13"/>
      <c r="E1825" s="13"/>
      <c r="F1825" s="14" t="s">
        <v>552</v>
      </c>
      <c r="G1825" s="13"/>
      <c r="H1825" s="15"/>
    </row>
    <row r="1826" customFormat="false" ht="15" hidden="false" customHeight="true" outlineLevel="0" collapsed="false">
      <c r="A1826" s="16" t="s">
        <v>316</v>
      </c>
      <c r="B1826" s="16" t="s">
        <v>317</v>
      </c>
      <c r="C1826" s="16" t="s">
        <v>318</v>
      </c>
      <c r="D1826" s="16" t="s">
        <v>4</v>
      </c>
      <c r="E1826" s="16" t="s">
        <v>319</v>
      </c>
      <c r="F1826" s="16" t="s">
        <v>320</v>
      </c>
      <c r="G1826" s="16" t="s">
        <v>321</v>
      </c>
      <c r="H1826" s="16" t="s">
        <v>322</v>
      </c>
    </row>
    <row r="1827" customFormat="false" ht="15" hidden="false" customHeight="true" outlineLevel="0" collapsed="false">
      <c r="A1827" s="17" t="s">
        <v>158</v>
      </c>
      <c r="B1827" s="18" t="str">
        <f aca="false">IFERROR(VLOOKUP(A1827,NOMENCLATOR!$A:$E,2,0),"")</f>
        <v>Lapte cafea</v>
      </c>
      <c r="C1827" s="19" t="n">
        <v>185</v>
      </c>
      <c r="D1827" s="20" t="str">
        <f aca="false">IFERROR(VLOOKUP(A1827,NOMENCLATOR!$A:$E,3,0),"")</f>
        <v>ML</v>
      </c>
      <c r="E1827" s="21" t="n">
        <f aca="false">IFERROR(VLOOKUP(A1827,NOMENCLATOR!$A:$E,4,0),"")</f>
        <v>0.0098</v>
      </c>
      <c r="F1827" s="21" t="n">
        <f aca="false">IF(OR(C1827="",E1827=""),"",C1827*E1827)</f>
        <v>1.813</v>
      </c>
      <c r="G1827" s="22" t="n">
        <f aca="false">IFERROR(VLOOKUP(A1827,NOMENCLATOR!$A:$E,5,0),"")</f>
        <v>0.0098</v>
      </c>
      <c r="H1827" s="22" t="n">
        <f aca="false">IF(OR(C1827="",G1827=""),"",C1827*G1827)</f>
        <v>1.813</v>
      </c>
    </row>
    <row r="1828" customFormat="false" ht="15" hidden="false" customHeight="true" outlineLevel="0" collapsed="false">
      <c r="A1828" s="17" t="s">
        <v>152</v>
      </c>
      <c r="B1828" s="18" t="str">
        <f aca="false">IFERROR(VLOOKUP(A1828,NOMENCLATOR!$A:$E,2,0),"")</f>
        <v>Illy Expresso Clasico 1.5 kg</v>
      </c>
      <c r="C1828" s="19" t="n">
        <v>12</v>
      </c>
      <c r="D1828" s="20" t="str">
        <f aca="false">IFERROR(VLOOKUP(A1828,NOMENCLATOR!$A:$E,3,0),"")</f>
        <v>GM</v>
      </c>
      <c r="E1828" s="21" t="n">
        <f aca="false">IFERROR(VLOOKUP(A1828,NOMENCLATOR!$A:$E,4,0),"")</f>
        <v>0.23833</v>
      </c>
      <c r="F1828" s="21" t="n">
        <f aca="false">IF(OR(C1828="",E1828=""),"",C1828*E1828)</f>
        <v>2.85996</v>
      </c>
      <c r="G1828" s="22" t="n">
        <f aca="false">IFERROR(VLOOKUP(A1828,NOMENCLATOR!$A:$E,5,0),"")</f>
        <v>0.23833</v>
      </c>
      <c r="H1828" s="22" t="n">
        <f aca="false">IF(OR(C1828="",G1828=""),"",C1828*G1828)</f>
        <v>2.85996</v>
      </c>
    </row>
    <row r="1829" customFormat="false" ht="15" hidden="false" customHeight="true" outlineLevel="0" collapsed="false">
      <c r="A1829" s="17" t="s">
        <v>192</v>
      </c>
      <c r="B1829" s="18" t="str">
        <f aca="false">IFERROR(VLOOKUP(A1829,NOMENCLATOR!$A:$E,2,0),"")</f>
        <v>Pahar Carton DW Fryday 350ml</v>
      </c>
      <c r="C1829" s="19" t="n">
        <v>1</v>
      </c>
      <c r="D1829" s="20" t="str">
        <f aca="false">IFERROR(VLOOKUP(A1829,NOMENCLATOR!$A:$E,3,0),"")</f>
        <v>EA</v>
      </c>
      <c r="E1829" s="21" t="n">
        <f aca="false">IFERROR(VLOOKUP(A1829,NOMENCLATOR!$A:$E,4,0),"")</f>
        <v>0.487</v>
      </c>
      <c r="F1829" s="21" t="n">
        <f aca="false">IF(OR(C1829="",E1829=""),"",C1829*E1829)</f>
        <v>0.487</v>
      </c>
      <c r="G1829" s="22" t="n">
        <f aca="false">IFERROR(VLOOKUP(A1829,NOMENCLATOR!$A:$E,5,0),"")</f>
        <v>0.487</v>
      </c>
      <c r="H1829" s="22" t="n">
        <f aca="false">IF(OR(C1829="",G1829=""),"",C1829*G1829)</f>
        <v>0.487</v>
      </c>
    </row>
    <row r="1830" customFormat="false" ht="15" hidden="false" customHeight="true" outlineLevel="0" collapsed="false">
      <c r="A1830" s="17" t="s">
        <v>206</v>
      </c>
      <c r="B1830" s="18" t="str">
        <f aca="false">IFERROR(VLOOKUP(A1830,NOMENCLATOR!$A:$E,2,0),"")</f>
        <v>Paletine Lemn 14 cm</v>
      </c>
      <c r="C1830" s="19" t="n">
        <v>1</v>
      </c>
      <c r="D1830" s="20" t="str">
        <f aca="false">IFERROR(VLOOKUP(A1830,NOMENCLATOR!$A:$E,3,0),"")</f>
        <v>EA</v>
      </c>
      <c r="E1830" s="21" t="n">
        <f aca="false">IFERROR(VLOOKUP(A1830,NOMENCLATOR!$A:$E,4,0),"")</f>
        <v>0.013</v>
      </c>
      <c r="F1830" s="21" t="n">
        <f aca="false">IF(OR(C1830="",E1830=""),"",C1830*E1830)</f>
        <v>0.013</v>
      </c>
      <c r="G1830" s="22" t="n">
        <f aca="false">IFERROR(VLOOKUP(A1830,NOMENCLATOR!$A:$E,5,0),"")</f>
        <v>0.013</v>
      </c>
      <c r="H1830" s="22" t="n">
        <f aca="false">IF(OR(C1830="",G1830=""),"",C1830*G1830)</f>
        <v>0.013</v>
      </c>
    </row>
    <row r="1831" customFormat="false" ht="15" hidden="false" customHeight="true" outlineLevel="0" collapsed="false">
      <c r="A1831" s="17" t="s">
        <v>84</v>
      </c>
      <c r="B1831" s="18" t="str">
        <f aca="false">IFERROR(VLOOKUP(A1831,NOMENCLATOR!$A:$E,2,0),"")</f>
        <v>Capac dn plastic SR 90 (12OZ)</v>
      </c>
      <c r="C1831" s="19" t="n">
        <v>1</v>
      </c>
      <c r="D1831" s="20" t="str">
        <f aca="false">IFERROR(VLOOKUP(A1831,NOMENCLATOR!$A:$E,3,0),"")</f>
        <v>EA</v>
      </c>
      <c r="E1831" s="21" t="n">
        <f aca="false">IFERROR(VLOOKUP(A1831,NOMENCLATOR!$A:$E,4,0),"")</f>
        <v>0.209</v>
      </c>
      <c r="F1831" s="21" t="n">
        <f aca="false">IF(OR(C1831="",E1831=""),"",C1831*E1831)</f>
        <v>0.209</v>
      </c>
      <c r="G1831" s="22" t="n">
        <f aca="false">IFERROR(VLOOKUP(A1831,NOMENCLATOR!$A:$E,5,0),"")</f>
        <v>0.209</v>
      </c>
      <c r="H1831" s="22" t="n">
        <f aca="false">IF(OR(C1831="",G1831=""),"",C1831*G1831)</f>
        <v>0.209</v>
      </c>
    </row>
    <row r="1832" customFormat="false" ht="15" hidden="false" customHeight="true" outlineLevel="0" collapsed="false">
      <c r="A1832" s="23" t="str">
        <f aca="false">IF(A1825="","",A1825)</f>
        <v>Latte Machiato NEW D</v>
      </c>
      <c r="B1832" s="24"/>
      <c r="C1832" s="24"/>
      <c r="D1832" s="24"/>
      <c r="E1832" s="24"/>
      <c r="F1832" s="25" t="n">
        <f aca="false">IF(A1825="","",SUM(F1827:F1831))</f>
        <v>5.38196</v>
      </c>
      <c r="G1832" s="24"/>
      <c r="H1832" s="26" t="n">
        <f aca="false">IF(A1825="","",SUM(H1827:H1831))</f>
        <v>5.38196</v>
      </c>
    </row>
    <row r="1834" customFormat="false" ht="15" hidden="false" customHeight="true" outlineLevel="0" collapsed="false">
      <c r="A1834" s="12" t="s">
        <v>576</v>
      </c>
      <c r="B1834" s="13"/>
      <c r="C1834" s="13"/>
      <c r="D1834" s="13"/>
      <c r="E1834" s="13"/>
      <c r="F1834" s="14" t="s">
        <v>552</v>
      </c>
      <c r="G1834" s="13"/>
      <c r="H1834" s="15"/>
    </row>
    <row r="1835" customFormat="false" ht="15" hidden="false" customHeight="true" outlineLevel="0" collapsed="false">
      <c r="A1835" s="16" t="s">
        <v>316</v>
      </c>
      <c r="B1835" s="16" t="s">
        <v>317</v>
      </c>
      <c r="C1835" s="16" t="s">
        <v>318</v>
      </c>
      <c r="D1835" s="16" t="s">
        <v>4</v>
      </c>
      <c r="E1835" s="16" t="s">
        <v>319</v>
      </c>
      <c r="F1835" s="16" t="s">
        <v>320</v>
      </c>
      <c r="G1835" s="16" t="s">
        <v>321</v>
      </c>
      <c r="H1835" s="16" t="s">
        <v>322</v>
      </c>
    </row>
    <row r="1836" customFormat="false" ht="15" hidden="false" customHeight="true" outlineLevel="0" collapsed="false">
      <c r="A1836" s="17" t="s">
        <v>152</v>
      </c>
      <c r="B1836" s="18" t="str">
        <f aca="false">IFERROR(VLOOKUP(A1836,NOMENCLATOR!$A:$E,2,0),"")</f>
        <v>Illy Expresso Clasico 1.5 kg</v>
      </c>
      <c r="C1836" s="19" t="n">
        <v>15</v>
      </c>
      <c r="D1836" s="20" t="str">
        <f aca="false">IFERROR(VLOOKUP(A1836,NOMENCLATOR!$A:$E,3,0),"")</f>
        <v>GM</v>
      </c>
      <c r="E1836" s="21" t="n">
        <f aca="false">IFERROR(VLOOKUP(A1836,NOMENCLATOR!$A:$E,4,0),"")</f>
        <v>0.23833</v>
      </c>
      <c r="F1836" s="21" t="n">
        <f aca="false">IF(OR(C1836="",E1836=""),"",C1836*E1836)</f>
        <v>3.57495</v>
      </c>
      <c r="G1836" s="22" t="n">
        <f aca="false">IFERROR(VLOOKUP(A1836,NOMENCLATOR!$A:$E,5,0),"")</f>
        <v>0.23833</v>
      </c>
      <c r="H1836" s="22" t="n">
        <f aca="false">IF(OR(C1836="",G1836=""),"",C1836*G1836)</f>
        <v>3.57495</v>
      </c>
    </row>
    <row r="1837" customFormat="false" ht="15" hidden="false" customHeight="true" outlineLevel="0" collapsed="false">
      <c r="A1837" s="17" t="s">
        <v>190</v>
      </c>
      <c r="B1837" s="18" t="str">
        <f aca="false">IFERROR(VLOOKUP(A1837,NOMENCLATOR!$A:$E,2,0),"")</f>
        <v>Pahar Carton DW Fryday 250ml</v>
      </c>
      <c r="C1837" s="19" t="n">
        <v>1</v>
      </c>
      <c r="D1837" s="20" t="str">
        <f aca="false">IFERROR(VLOOKUP(A1837,NOMENCLATOR!$A:$E,3,0),"")</f>
        <v>EA</v>
      </c>
      <c r="E1837" s="21" t="n">
        <f aca="false">IFERROR(VLOOKUP(A1837,NOMENCLATOR!$A:$E,4,0),"")</f>
        <v>0.734</v>
      </c>
      <c r="F1837" s="21" t="n">
        <f aca="false">IF(OR(C1837="",E1837=""),"",C1837*E1837)</f>
        <v>0.734</v>
      </c>
      <c r="G1837" s="22" t="n">
        <f aca="false">IFERROR(VLOOKUP(A1837,NOMENCLATOR!$A:$E,5,0),"")</f>
        <v>0.734</v>
      </c>
      <c r="H1837" s="22" t="n">
        <f aca="false">IF(OR(C1837="",G1837=""),"",C1837*G1837)</f>
        <v>0.734</v>
      </c>
    </row>
    <row r="1838" customFormat="false" ht="15" hidden="false" customHeight="true" outlineLevel="0" collapsed="false">
      <c r="A1838" s="17" t="s">
        <v>82</v>
      </c>
      <c r="B1838" s="18" t="str">
        <f aca="false">IFERROR(VLOOKUP(A1838,NOMENCLATOR!$A:$E,2,0),"")</f>
        <v>Capac din plastic SR 80 (8OZ)</v>
      </c>
      <c r="C1838" s="19" t="n">
        <v>1</v>
      </c>
      <c r="D1838" s="20" t="str">
        <f aca="false">IFERROR(VLOOKUP(A1838,NOMENCLATOR!$A:$E,3,0),"")</f>
        <v>EA</v>
      </c>
      <c r="E1838" s="21" t="n">
        <f aca="false">IFERROR(VLOOKUP(A1838,NOMENCLATOR!$A:$E,4,0),"")</f>
        <v>0.16</v>
      </c>
      <c r="F1838" s="21" t="n">
        <f aca="false">IF(OR(C1838="",E1838=""),"",C1838*E1838)</f>
        <v>0.16</v>
      </c>
      <c r="G1838" s="22" t="n">
        <f aca="false">IFERROR(VLOOKUP(A1838,NOMENCLATOR!$A:$E,5,0),"")</f>
        <v>0.16</v>
      </c>
      <c r="H1838" s="22" t="n">
        <f aca="false">IF(OR(C1838="",G1838=""),"",C1838*G1838)</f>
        <v>0.16</v>
      </c>
    </row>
    <row r="1839" customFormat="false" ht="15" hidden="false" customHeight="true" outlineLevel="0" collapsed="false">
      <c r="A1839" s="17" t="s">
        <v>206</v>
      </c>
      <c r="B1839" s="18" t="str">
        <f aca="false">IFERROR(VLOOKUP(A1839,NOMENCLATOR!$A:$E,2,0),"")</f>
        <v>Paletine Lemn 14 cm</v>
      </c>
      <c r="C1839" s="19" t="n">
        <v>1</v>
      </c>
      <c r="D1839" s="20" t="str">
        <f aca="false">IFERROR(VLOOKUP(A1839,NOMENCLATOR!$A:$E,3,0),"")</f>
        <v>EA</v>
      </c>
      <c r="E1839" s="21" t="n">
        <f aca="false">IFERROR(VLOOKUP(A1839,NOMENCLATOR!$A:$E,4,0),"")</f>
        <v>0.013</v>
      </c>
      <c r="F1839" s="21" t="n">
        <f aca="false">IF(OR(C1839="",E1839=""),"",C1839*E1839)</f>
        <v>0.013</v>
      </c>
      <c r="G1839" s="22" t="n">
        <f aca="false">IFERROR(VLOOKUP(A1839,NOMENCLATOR!$A:$E,5,0),"")</f>
        <v>0.013</v>
      </c>
      <c r="H1839" s="22" t="n">
        <f aca="false">IF(OR(C1839="",G1839=""),"",C1839*G1839)</f>
        <v>0.013</v>
      </c>
    </row>
    <row r="1840" customFormat="false" ht="15" hidden="false" customHeight="true" outlineLevel="0" collapsed="false">
      <c r="A1840" s="23" t="str">
        <f aca="false">IF(A1834="","",A1834)</f>
        <v>Americano NEW</v>
      </c>
      <c r="B1840" s="24"/>
      <c r="C1840" s="24"/>
      <c r="D1840" s="24"/>
      <c r="E1840" s="24"/>
      <c r="F1840" s="25" t="n">
        <f aca="false">IF(A1834="","",SUM(F1836:F1839))</f>
        <v>4.48195</v>
      </c>
      <c r="G1840" s="24"/>
      <c r="H1840" s="26" t="n">
        <f aca="false">IF(A1834="","",SUM(H1836:H1839))</f>
        <v>4.48195</v>
      </c>
    </row>
    <row r="1842" customFormat="false" ht="15" hidden="false" customHeight="true" outlineLevel="0" collapsed="false">
      <c r="A1842" s="12" t="s">
        <v>577</v>
      </c>
      <c r="B1842" s="13"/>
      <c r="C1842" s="13"/>
      <c r="D1842" s="13"/>
      <c r="E1842" s="13"/>
      <c r="F1842" s="14" t="s">
        <v>552</v>
      </c>
      <c r="G1842" s="13"/>
      <c r="H1842" s="15"/>
    </row>
    <row r="1843" customFormat="false" ht="15" hidden="false" customHeight="true" outlineLevel="0" collapsed="false">
      <c r="A1843" s="16" t="s">
        <v>316</v>
      </c>
      <c r="B1843" s="16" t="s">
        <v>317</v>
      </c>
      <c r="C1843" s="16" t="s">
        <v>318</v>
      </c>
      <c r="D1843" s="16" t="s">
        <v>4</v>
      </c>
      <c r="E1843" s="16" t="s">
        <v>319</v>
      </c>
      <c r="F1843" s="16" t="s">
        <v>320</v>
      </c>
      <c r="G1843" s="16" t="s">
        <v>321</v>
      </c>
      <c r="H1843" s="16" t="s">
        <v>322</v>
      </c>
    </row>
    <row r="1844" customFormat="false" ht="15" hidden="false" customHeight="true" outlineLevel="0" collapsed="false">
      <c r="A1844" s="17" t="s">
        <v>152</v>
      </c>
      <c r="B1844" s="18" t="str">
        <f aca="false">IFERROR(VLOOKUP(A1844,NOMENCLATOR!$A:$E,2,0),"")</f>
        <v>Illy Expresso Clasico 1.5 kg</v>
      </c>
      <c r="C1844" s="19" t="n">
        <v>15</v>
      </c>
      <c r="D1844" s="20" t="str">
        <f aca="false">IFERROR(VLOOKUP(A1844,NOMENCLATOR!$A:$E,3,0),"")</f>
        <v>GM</v>
      </c>
      <c r="E1844" s="21" t="n">
        <f aca="false">IFERROR(VLOOKUP(A1844,NOMENCLATOR!$A:$E,4,0),"")</f>
        <v>0.23833</v>
      </c>
      <c r="F1844" s="21" t="n">
        <f aca="false">IF(OR(C1844="",E1844=""),"",C1844*E1844)</f>
        <v>3.57495</v>
      </c>
      <c r="G1844" s="22" t="n">
        <f aca="false">IFERROR(VLOOKUP(A1844,NOMENCLATOR!$A:$E,5,0),"")</f>
        <v>0.23833</v>
      </c>
      <c r="H1844" s="22" t="n">
        <f aca="false">IF(OR(C1844="",G1844=""),"",C1844*G1844)</f>
        <v>3.57495</v>
      </c>
    </row>
    <row r="1845" customFormat="false" ht="15" hidden="false" customHeight="true" outlineLevel="0" collapsed="false">
      <c r="A1845" s="17" t="s">
        <v>190</v>
      </c>
      <c r="B1845" s="18" t="str">
        <f aca="false">IFERROR(VLOOKUP(A1845,NOMENCLATOR!$A:$E,2,0),"")</f>
        <v>Pahar Carton DW Fryday 250ml</v>
      </c>
      <c r="C1845" s="19" t="n">
        <v>1</v>
      </c>
      <c r="D1845" s="20" t="str">
        <f aca="false">IFERROR(VLOOKUP(A1845,NOMENCLATOR!$A:$E,3,0),"")</f>
        <v>EA</v>
      </c>
      <c r="E1845" s="21" t="n">
        <f aca="false">IFERROR(VLOOKUP(A1845,NOMENCLATOR!$A:$E,4,0),"")</f>
        <v>0.734</v>
      </c>
      <c r="F1845" s="21" t="n">
        <f aca="false">IF(OR(C1845="",E1845=""),"",C1845*E1845)</f>
        <v>0.734</v>
      </c>
      <c r="G1845" s="22" t="n">
        <f aca="false">IFERROR(VLOOKUP(A1845,NOMENCLATOR!$A:$E,5,0),"")</f>
        <v>0.734</v>
      </c>
      <c r="H1845" s="22" t="n">
        <f aca="false">IF(OR(C1845="",G1845=""),"",C1845*G1845)</f>
        <v>0.734</v>
      </c>
    </row>
    <row r="1846" customFormat="false" ht="15" hidden="false" customHeight="true" outlineLevel="0" collapsed="false">
      <c r="A1846" s="17" t="s">
        <v>82</v>
      </c>
      <c r="B1846" s="18" t="str">
        <f aca="false">IFERROR(VLOOKUP(A1846,NOMENCLATOR!$A:$E,2,0),"")</f>
        <v>Capac din plastic SR 80 (8OZ)</v>
      </c>
      <c r="C1846" s="19" t="n">
        <v>1</v>
      </c>
      <c r="D1846" s="20" t="str">
        <f aca="false">IFERROR(VLOOKUP(A1846,NOMENCLATOR!$A:$E,3,0),"")</f>
        <v>EA</v>
      </c>
      <c r="E1846" s="21" t="n">
        <f aca="false">IFERROR(VLOOKUP(A1846,NOMENCLATOR!$A:$E,4,0),"")</f>
        <v>0.16</v>
      </c>
      <c r="F1846" s="21" t="n">
        <f aca="false">IF(OR(C1846="",E1846=""),"",C1846*E1846)</f>
        <v>0.16</v>
      </c>
      <c r="G1846" s="22" t="n">
        <f aca="false">IFERROR(VLOOKUP(A1846,NOMENCLATOR!$A:$E,5,0),"")</f>
        <v>0.16</v>
      </c>
      <c r="H1846" s="22" t="n">
        <f aca="false">IF(OR(C1846="",G1846=""),"",C1846*G1846)</f>
        <v>0.16</v>
      </c>
    </row>
    <row r="1847" customFormat="false" ht="15" hidden="false" customHeight="true" outlineLevel="0" collapsed="false">
      <c r="A1847" s="17" t="s">
        <v>206</v>
      </c>
      <c r="B1847" s="18" t="str">
        <f aca="false">IFERROR(VLOOKUP(A1847,NOMENCLATOR!$A:$E,2,0),"")</f>
        <v>Paletine Lemn 14 cm</v>
      </c>
      <c r="C1847" s="19" t="n">
        <v>1</v>
      </c>
      <c r="D1847" s="20" t="str">
        <f aca="false">IFERROR(VLOOKUP(A1847,NOMENCLATOR!$A:$E,3,0),"")</f>
        <v>EA</v>
      </c>
      <c r="E1847" s="21" t="n">
        <f aca="false">IFERROR(VLOOKUP(A1847,NOMENCLATOR!$A:$E,4,0),"")</f>
        <v>0.013</v>
      </c>
      <c r="F1847" s="21" t="n">
        <f aca="false">IF(OR(C1847="",E1847=""),"",C1847*E1847)</f>
        <v>0.013</v>
      </c>
      <c r="G1847" s="22" t="n">
        <f aca="false">IFERROR(VLOOKUP(A1847,NOMENCLATOR!$A:$E,5,0),"")</f>
        <v>0.013</v>
      </c>
      <c r="H1847" s="22" t="n">
        <f aca="false">IF(OR(C1847="",G1847=""),"",C1847*G1847)</f>
        <v>0.013</v>
      </c>
    </row>
    <row r="1848" customFormat="false" ht="15" hidden="false" customHeight="true" outlineLevel="0" collapsed="false">
      <c r="A1848" s="23" t="str">
        <f aca="false">IF(A1842="","",A1842)</f>
        <v>Americano NEW D</v>
      </c>
      <c r="B1848" s="24"/>
      <c r="C1848" s="24"/>
      <c r="D1848" s="24"/>
      <c r="E1848" s="24"/>
      <c r="F1848" s="25" t="n">
        <f aca="false">IF(A1842="","",SUM(F1844:F1847))</f>
        <v>4.48195</v>
      </c>
      <c r="G1848" s="24"/>
      <c r="H1848" s="26" t="n">
        <f aca="false">IF(A1842="","",SUM(H1844:H1847))</f>
        <v>4.48195</v>
      </c>
    </row>
    <row r="1850" customFormat="false" ht="15" hidden="false" customHeight="true" outlineLevel="0" collapsed="false">
      <c r="A1850" s="12" t="s">
        <v>578</v>
      </c>
      <c r="B1850" s="13"/>
      <c r="C1850" s="13"/>
      <c r="D1850" s="13"/>
      <c r="E1850" s="13"/>
      <c r="F1850" s="14" t="s">
        <v>552</v>
      </c>
      <c r="G1850" s="13"/>
      <c r="H1850" s="15"/>
    </row>
    <row r="1851" customFormat="false" ht="15" hidden="false" customHeight="true" outlineLevel="0" collapsed="false">
      <c r="A1851" s="16" t="s">
        <v>316</v>
      </c>
      <c r="B1851" s="16" t="s">
        <v>317</v>
      </c>
      <c r="C1851" s="16" t="s">
        <v>318</v>
      </c>
      <c r="D1851" s="16" t="s">
        <v>4</v>
      </c>
      <c r="E1851" s="16" t="s">
        <v>319</v>
      </c>
      <c r="F1851" s="16" t="s">
        <v>320</v>
      </c>
      <c r="G1851" s="16" t="s">
        <v>321</v>
      </c>
      <c r="H1851" s="16" t="s">
        <v>322</v>
      </c>
    </row>
    <row r="1852" customFormat="false" ht="15" hidden="false" customHeight="true" outlineLevel="0" collapsed="false">
      <c r="A1852" s="17" t="s">
        <v>152</v>
      </c>
      <c r="B1852" s="18" t="str">
        <f aca="false">IFERROR(VLOOKUP(A1852,NOMENCLATOR!$A:$E,2,0),"")</f>
        <v>Illy Expresso Clasico 1.5 kg</v>
      </c>
      <c r="C1852" s="19" t="n">
        <v>16</v>
      </c>
      <c r="D1852" s="20" t="str">
        <f aca="false">IFERROR(VLOOKUP(A1852,NOMENCLATOR!$A:$E,3,0),"")</f>
        <v>GM</v>
      </c>
      <c r="E1852" s="21" t="n">
        <f aca="false">IFERROR(VLOOKUP(A1852,NOMENCLATOR!$A:$E,4,0),"")</f>
        <v>0.23833</v>
      </c>
      <c r="F1852" s="21" t="n">
        <f aca="false">IF(OR(C1852="",E1852=""),"",C1852*E1852)</f>
        <v>3.81328</v>
      </c>
      <c r="G1852" s="22" t="n">
        <f aca="false">IFERROR(VLOOKUP(A1852,NOMENCLATOR!$A:$E,5,0),"")</f>
        <v>0.23833</v>
      </c>
      <c r="H1852" s="22" t="n">
        <f aca="false">IF(OR(C1852="",G1852=""),"",C1852*G1852)</f>
        <v>3.81328</v>
      </c>
    </row>
    <row r="1853" customFormat="false" ht="15" hidden="false" customHeight="true" outlineLevel="0" collapsed="false">
      <c r="A1853" s="17" t="s">
        <v>192</v>
      </c>
      <c r="B1853" s="18" t="str">
        <f aca="false">IFERROR(VLOOKUP(A1853,NOMENCLATOR!$A:$E,2,0),"")</f>
        <v>Pahar Carton DW Fryday 350ml</v>
      </c>
      <c r="C1853" s="19" t="n">
        <v>1</v>
      </c>
      <c r="D1853" s="20" t="str">
        <f aca="false">IFERROR(VLOOKUP(A1853,NOMENCLATOR!$A:$E,3,0),"")</f>
        <v>EA</v>
      </c>
      <c r="E1853" s="21" t="n">
        <f aca="false">IFERROR(VLOOKUP(A1853,NOMENCLATOR!$A:$E,4,0),"")</f>
        <v>0.487</v>
      </c>
      <c r="F1853" s="21" t="n">
        <f aca="false">IF(OR(C1853="",E1853=""),"",C1853*E1853)</f>
        <v>0.487</v>
      </c>
      <c r="G1853" s="22" t="n">
        <f aca="false">IFERROR(VLOOKUP(A1853,NOMENCLATOR!$A:$E,5,0),"")</f>
        <v>0.487</v>
      </c>
      <c r="H1853" s="22" t="n">
        <f aca="false">IF(OR(C1853="",G1853=""),"",C1853*G1853)</f>
        <v>0.487</v>
      </c>
    </row>
    <row r="1854" customFormat="false" ht="15" hidden="false" customHeight="true" outlineLevel="0" collapsed="false">
      <c r="A1854" s="17" t="s">
        <v>84</v>
      </c>
      <c r="B1854" s="18" t="str">
        <f aca="false">IFERROR(VLOOKUP(A1854,NOMENCLATOR!$A:$E,2,0),"")</f>
        <v>Capac dn plastic SR 90 (12OZ)</v>
      </c>
      <c r="C1854" s="19" t="n">
        <v>1</v>
      </c>
      <c r="D1854" s="20" t="str">
        <f aca="false">IFERROR(VLOOKUP(A1854,NOMENCLATOR!$A:$E,3,0),"")</f>
        <v>EA</v>
      </c>
      <c r="E1854" s="21" t="n">
        <f aca="false">IFERROR(VLOOKUP(A1854,NOMENCLATOR!$A:$E,4,0),"")</f>
        <v>0.209</v>
      </c>
      <c r="F1854" s="21" t="n">
        <f aca="false">IF(OR(C1854="",E1854=""),"",C1854*E1854)</f>
        <v>0.209</v>
      </c>
      <c r="G1854" s="22" t="n">
        <f aca="false">IFERROR(VLOOKUP(A1854,NOMENCLATOR!$A:$E,5,0),"")</f>
        <v>0.209</v>
      </c>
      <c r="H1854" s="22" t="n">
        <f aca="false">IF(OR(C1854="",G1854=""),"",C1854*G1854)</f>
        <v>0.209</v>
      </c>
    </row>
    <row r="1855" customFormat="false" ht="15" hidden="false" customHeight="true" outlineLevel="0" collapsed="false">
      <c r="A1855" s="17" t="s">
        <v>206</v>
      </c>
      <c r="B1855" s="18" t="str">
        <f aca="false">IFERROR(VLOOKUP(A1855,NOMENCLATOR!$A:$E,2,0),"")</f>
        <v>Paletine Lemn 14 cm</v>
      </c>
      <c r="C1855" s="19" t="n">
        <v>1</v>
      </c>
      <c r="D1855" s="20" t="str">
        <f aca="false">IFERROR(VLOOKUP(A1855,NOMENCLATOR!$A:$E,3,0),"")</f>
        <v>EA</v>
      </c>
      <c r="E1855" s="21" t="n">
        <f aca="false">IFERROR(VLOOKUP(A1855,NOMENCLATOR!$A:$E,4,0),"")</f>
        <v>0.013</v>
      </c>
      <c r="F1855" s="21" t="n">
        <f aca="false">IF(OR(C1855="",E1855=""),"",C1855*E1855)</f>
        <v>0.013</v>
      </c>
      <c r="G1855" s="22" t="n">
        <f aca="false">IFERROR(VLOOKUP(A1855,NOMENCLATOR!$A:$E,5,0),"")</f>
        <v>0.013</v>
      </c>
      <c r="H1855" s="22" t="n">
        <f aca="false">IF(OR(C1855="",G1855=""),"",C1855*G1855)</f>
        <v>0.013</v>
      </c>
    </row>
    <row r="1856" customFormat="false" ht="15" hidden="false" customHeight="true" outlineLevel="0" collapsed="false">
      <c r="A1856" s="23" t="str">
        <f aca="false">IF(A1850="","",A1850)</f>
        <v>Americano Grande NEW</v>
      </c>
      <c r="B1856" s="24"/>
      <c r="C1856" s="24"/>
      <c r="D1856" s="24"/>
      <c r="E1856" s="24"/>
      <c r="F1856" s="25" t="n">
        <f aca="false">IF(A1850="","",SUM(F1852:F1855))</f>
        <v>4.52228</v>
      </c>
      <c r="G1856" s="24"/>
      <c r="H1856" s="26" t="n">
        <f aca="false">IF(A1850="","",SUM(H1852:H1855))</f>
        <v>4.52228</v>
      </c>
    </row>
    <row r="1858" customFormat="false" ht="15" hidden="false" customHeight="true" outlineLevel="0" collapsed="false">
      <c r="A1858" s="12" t="s">
        <v>579</v>
      </c>
      <c r="B1858" s="13"/>
      <c r="C1858" s="13"/>
      <c r="D1858" s="13"/>
      <c r="E1858" s="13"/>
      <c r="F1858" s="14" t="s">
        <v>552</v>
      </c>
      <c r="G1858" s="13"/>
      <c r="H1858" s="15"/>
    </row>
    <row r="1859" customFormat="false" ht="15" hidden="false" customHeight="true" outlineLevel="0" collapsed="false">
      <c r="A1859" s="16" t="s">
        <v>316</v>
      </c>
      <c r="B1859" s="16" t="s">
        <v>317</v>
      </c>
      <c r="C1859" s="16" t="s">
        <v>318</v>
      </c>
      <c r="D1859" s="16" t="s">
        <v>4</v>
      </c>
      <c r="E1859" s="16" t="s">
        <v>319</v>
      </c>
      <c r="F1859" s="16" t="s">
        <v>320</v>
      </c>
      <c r="G1859" s="16" t="s">
        <v>321</v>
      </c>
      <c r="H1859" s="16" t="s">
        <v>322</v>
      </c>
    </row>
    <row r="1860" customFormat="false" ht="15" hidden="false" customHeight="true" outlineLevel="0" collapsed="false">
      <c r="A1860" s="17" t="s">
        <v>152</v>
      </c>
      <c r="B1860" s="18" t="str">
        <f aca="false">IFERROR(VLOOKUP(A1860,NOMENCLATOR!$A:$E,2,0),"")</f>
        <v>Illy Expresso Clasico 1.5 kg</v>
      </c>
      <c r="C1860" s="19" t="n">
        <v>16</v>
      </c>
      <c r="D1860" s="20" t="str">
        <f aca="false">IFERROR(VLOOKUP(A1860,NOMENCLATOR!$A:$E,3,0),"")</f>
        <v>GM</v>
      </c>
      <c r="E1860" s="21" t="n">
        <f aca="false">IFERROR(VLOOKUP(A1860,NOMENCLATOR!$A:$E,4,0),"")</f>
        <v>0.23833</v>
      </c>
      <c r="F1860" s="21" t="n">
        <f aca="false">IF(OR(C1860="",E1860=""),"",C1860*E1860)</f>
        <v>3.81328</v>
      </c>
      <c r="G1860" s="22" t="n">
        <f aca="false">IFERROR(VLOOKUP(A1860,NOMENCLATOR!$A:$E,5,0),"")</f>
        <v>0.23833</v>
      </c>
      <c r="H1860" s="22" t="n">
        <f aca="false">IF(OR(C1860="",G1860=""),"",C1860*G1860)</f>
        <v>3.81328</v>
      </c>
    </row>
    <row r="1861" customFormat="false" ht="15" hidden="false" customHeight="true" outlineLevel="0" collapsed="false">
      <c r="A1861" s="17" t="s">
        <v>192</v>
      </c>
      <c r="B1861" s="18" t="str">
        <f aca="false">IFERROR(VLOOKUP(A1861,NOMENCLATOR!$A:$E,2,0),"")</f>
        <v>Pahar Carton DW Fryday 350ml</v>
      </c>
      <c r="C1861" s="19" t="n">
        <v>1</v>
      </c>
      <c r="D1861" s="20" t="str">
        <f aca="false">IFERROR(VLOOKUP(A1861,NOMENCLATOR!$A:$E,3,0),"")</f>
        <v>EA</v>
      </c>
      <c r="E1861" s="21" t="n">
        <f aca="false">IFERROR(VLOOKUP(A1861,NOMENCLATOR!$A:$E,4,0),"")</f>
        <v>0.487</v>
      </c>
      <c r="F1861" s="21" t="n">
        <f aca="false">IF(OR(C1861="",E1861=""),"",C1861*E1861)</f>
        <v>0.487</v>
      </c>
      <c r="G1861" s="22" t="n">
        <f aca="false">IFERROR(VLOOKUP(A1861,NOMENCLATOR!$A:$E,5,0),"")</f>
        <v>0.487</v>
      </c>
      <c r="H1861" s="22" t="n">
        <f aca="false">IF(OR(C1861="",G1861=""),"",C1861*G1861)</f>
        <v>0.487</v>
      </c>
    </row>
    <row r="1862" customFormat="false" ht="15" hidden="false" customHeight="true" outlineLevel="0" collapsed="false">
      <c r="A1862" s="17" t="s">
        <v>84</v>
      </c>
      <c r="B1862" s="18" t="str">
        <f aca="false">IFERROR(VLOOKUP(A1862,NOMENCLATOR!$A:$E,2,0),"")</f>
        <v>Capac dn plastic SR 90 (12OZ)</v>
      </c>
      <c r="C1862" s="19" t="n">
        <v>1</v>
      </c>
      <c r="D1862" s="20" t="str">
        <f aca="false">IFERROR(VLOOKUP(A1862,NOMENCLATOR!$A:$E,3,0),"")</f>
        <v>EA</v>
      </c>
      <c r="E1862" s="21" t="n">
        <f aca="false">IFERROR(VLOOKUP(A1862,NOMENCLATOR!$A:$E,4,0),"")</f>
        <v>0.209</v>
      </c>
      <c r="F1862" s="21" t="n">
        <f aca="false">IF(OR(C1862="",E1862=""),"",C1862*E1862)</f>
        <v>0.209</v>
      </c>
      <c r="G1862" s="22" t="n">
        <f aca="false">IFERROR(VLOOKUP(A1862,NOMENCLATOR!$A:$E,5,0),"")</f>
        <v>0.209</v>
      </c>
      <c r="H1862" s="22" t="n">
        <f aca="false">IF(OR(C1862="",G1862=""),"",C1862*G1862)</f>
        <v>0.209</v>
      </c>
    </row>
    <row r="1863" customFormat="false" ht="15" hidden="false" customHeight="true" outlineLevel="0" collapsed="false">
      <c r="A1863" s="17" t="s">
        <v>206</v>
      </c>
      <c r="B1863" s="18" t="str">
        <f aca="false">IFERROR(VLOOKUP(A1863,NOMENCLATOR!$A:$E,2,0),"")</f>
        <v>Paletine Lemn 14 cm</v>
      </c>
      <c r="C1863" s="19" t="n">
        <v>1</v>
      </c>
      <c r="D1863" s="20" t="str">
        <f aca="false">IFERROR(VLOOKUP(A1863,NOMENCLATOR!$A:$E,3,0),"")</f>
        <v>EA</v>
      </c>
      <c r="E1863" s="21" t="n">
        <f aca="false">IFERROR(VLOOKUP(A1863,NOMENCLATOR!$A:$E,4,0),"")</f>
        <v>0.013</v>
      </c>
      <c r="F1863" s="21" t="n">
        <f aca="false">IF(OR(C1863="",E1863=""),"",C1863*E1863)</f>
        <v>0.013</v>
      </c>
      <c r="G1863" s="22" t="n">
        <f aca="false">IFERROR(VLOOKUP(A1863,NOMENCLATOR!$A:$E,5,0),"")</f>
        <v>0.013</v>
      </c>
      <c r="H1863" s="22" t="n">
        <f aca="false">IF(OR(C1863="",G1863=""),"",C1863*G1863)</f>
        <v>0.013</v>
      </c>
    </row>
    <row r="1864" customFormat="false" ht="15" hidden="false" customHeight="true" outlineLevel="0" collapsed="false">
      <c r="A1864" s="23" t="str">
        <f aca="false">IF(A1858="","",A1858)</f>
        <v>Americano Grande NEW D</v>
      </c>
      <c r="B1864" s="24"/>
      <c r="C1864" s="24"/>
      <c r="D1864" s="24"/>
      <c r="E1864" s="24"/>
      <c r="F1864" s="25" t="n">
        <f aca="false">IF(A1858="","",SUM(F1860:F1863))</f>
        <v>4.52228</v>
      </c>
      <c r="G1864" s="24"/>
      <c r="H1864" s="26" t="n">
        <f aca="false">IF(A1858="","",SUM(H1860:H1863))</f>
        <v>4.52228</v>
      </c>
    </row>
    <row r="1866" customFormat="false" ht="15" hidden="false" customHeight="true" outlineLevel="0" collapsed="false">
      <c r="A1866" s="12" t="s">
        <v>580</v>
      </c>
      <c r="B1866" s="13"/>
      <c r="C1866" s="13"/>
      <c r="D1866" s="13"/>
      <c r="E1866" s="13"/>
      <c r="F1866" s="14" t="s">
        <v>552</v>
      </c>
      <c r="G1866" s="13"/>
      <c r="H1866" s="15"/>
    </row>
    <row r="1867" customFormat="false" ht="15" hidden="false" customHeight="true" outlineLevel="0" collapsed="false">
      <c r="A1867" s="16" t="s">
        <v>316</v>
      </c>
      <c r="B1867" s="16" t="s">
        <v>317</v>
      </c>
      <c r="C1867" s="16" t="s">
        <v>318</v>
      </c>
      <c r="D1867" s="16" t="s">
        <v>4</v>
      </c>
      <c r="E1867" s="16" t="s">
        <v>319</v>
      </c>
      <c r="F1867" s="16" t="s">
        <v>320</v>
      </c>
      <c r="G1867" s="16" t="s">
        <v>321</v>
      </c>
      <c r="H1867" s="16" t="s">
        <v>322</v>
      </c>
    </row>
    <row r="1868" customFormat="false" ht="15" hidden="false" customHeight="true" outlineLevel="0" collapsed="false">
      <c r="A1868" s="17" t="s">
        <v>152</v>
      </c>
      <c r="B1868" s="18" t="str">
        <f aca="false">IFERROR(VLOOKUP(A1868,NOMENCLATOR!$A:$E,2,0),"")</f>
        <v>Illy Expresso Clasico 1.5 kg</v>
      </c>
      <c r="C1868" s="19" t="n">
        <v>12</v>
      </c>
      <c r="D1868" s="20" t="str">
        <f aca="false">IFERROR(VLOOKUP(A1868,NOMENCLATOR!$A:$E,3,0),"")</f>
        <v>GM</v>
      </c>
      <c r="E1868" s="21" t="n">
        <f aca="false">IFERROR(VLOOKUP(A1868,NOMENCLATOR!$A:$E,4,0),"")</f>
        <v>0.23833</v>
      </c>
      <c r="F1868" s="21" t="n">
        <f aca="false">IF(OR(C1868="",E1868=""),"",C1868*E1868)</f>
        <v>2.85996</v>
      </c>
      <c r="G1868" s="22" t="n">
        <f aca="false">IFERROR(VLOOKUP(A1868,NOMENCLATOR!$A:$E,5,0),"")</f>
        <v>0.23833</v>
      </c>
      <c r="H1868" s="22" t="n">
        <f aca="false">IF(OR(C1868="",G1868=""),"",C1868*G1868)</f>
        <v>2.85996</v>
      </c>
    </row>
    <row r="1869" customFormat="false" ht="15" hidden="false" customHeight="true" outlineLevel="0" collapsed="false">
      <c r="A1869" s="17" t="s">
        <v>190</v>
      </c>
      <c r="B1869" s="18" t="str">
        <f aca="false">IFERROR(VLOOKUP(A1869,NOMENCLATOR!$A:$E,2,0),"")</f>
        <v>Pahar Carton DW Fryday 250ml</v>
      </c>
      <c r="C1869" s="19" t="n">
        <v>1</v>
      </c>
      <c r="D1869" s="20" t="str">
        <f aca="false">IFERROR(VLOOKUP(A1869,NOMENCLATOR!$A:$E,3,0),"")</f>
        <v>EA</v>
      </c>
      <c r="E1869" s="21" t="n">
        <f aca="false">IFERROR(VLOOKUP(A1869,NOMENCLATOR!$A:$E,4,0),"")</f>
        <v>0.734</v>
      </c>
      <c r="F1869" s="21" t="n">
        <f aca="false">IF(OR(C1869="",E1869=""),"",C1869*E1869)</f>
        <v>0.734</v>
      </c>
      <c r="G1869" s="22" t="n">
        <f aca="false">IFERROR(VLOOKUP(A1869,NOMENCLATOR!$A:$E,5,0),"")</f>
        <v>0.734</v>
      </c>
      <c r="H1869" s="22" t="n">
        <f aca="false">IF(OR(C1869="",G1869=""),"",C1869*G1869)</f>
        <v>0.734</v>
      </c>
    </row>
    <row r="1870" customFormat="false" ht="15" hidden="false" customHeight="true" outlineLevel="0" collapsed="false">
      <c r="A1870" s="17" t="s">
        <v>82</v>
      </c>
      <c r="B1870" s="18" t="str">
        <f aca="false">IFERROR(VLOOKUP(A1870,NOMENCLATOR!$A:$E,2,0),"")</f>
        <v>Capac din plastic SR 80 (8OZ)</v>
      </c>
      <c r="C1870" s="19" t="n">
        <v>1</v>
      </c>
      <c r="D1870" s="20" t="str">
        <f aca="false">IFERROR(VLOOKUP(A1870,NOMENCLATOR!$A:$E,3,0),"")</f>
        <v>EA</v>
      </c>
      <c r="E1870" s="21" t="n">
        <f aca="false">IFERROR(VLOOKUP(A1870,NOMENCLATOR!$A:$E,4,0),"")</f>
        <v>0.16</v>
      </c>
      <c r="F1870" s="21" t="n">
        <f aca="false">IF(OR(C1870="",E1870=""),"",C1870*E1870)</f>
        <v>0.16</v>
      </c>
      <c r="G1870" s="22" t="n">
        <f aca="false">IFERROR(VLOOKUP(A1870,NOMENCLATOR!$A:$E,5,0),"")</f>
        <v>0.16</v>
      </c>
      <c r="H1870" s="22" t="n">
        <f aca="false">IF(OR(C1870="",G1870=""),"",C1870*G1870)</f>
        <v>0.16</v>
      </c>
    </row>
    <row r="1871" customFormat="false" ht="15" hidden="false" customHeight="true" outlineLevel="0" collapsed="false">
      <c r="A1871" s="17" t="s">
        <v>206</v>
      </c>
      <c r="B1871" s="18" t="str">
        <f aca="false">IFERROR(VLOOKUP(A1871,NOMENCLATOR!$A:$E,2,0),"")</f>
        <v>Paletine Lemn 14 cm</v>
      </c>
      <c r="C1871" s="19" t="n">
        <v>1</v>
      </c>
      <c r="D1871" s="20" t="str">
        <f aca="false">IFERROR(VLOOKUP(A1871,NOMENCLATOR!$A:$E,3,0),"")</f>
        <v>EA</v>
      </c>
      <c r="E1871" s="21" t="n">
        <f aca="false">IFERROR(VLOOKUP(A1871,NOMENCLATOR!$A:$E,4,0),"")</f>
        <v>0.013</v>
      </c>
      <c r="F1871" s="21" t="n">
        <f aca="false">IF(OR(C1871="",E1871=""),"",C1871*E1871)</f>
        <v>0.013</v>
      </c>
      <c r="G1871" s="22" t="n">
        <f aca="false">IFERROR(VLOOKUP(A1871,NOMENCLATOR!$A:$E,5,0),"")</f>
        <v>0.013</v>
      </c>
      <c r="H1871" s="22" t="n">
        <f aca="false">IF(OR(C1871="",G1871=""),"",C1871*G1871)</f>
        <v>0.013</v>
      </c>
    </row>
    <row r="1872" customFormat="false" ht="15" hidden="false" customHeight="true" outlineLevel="0" collapsed="false">
      <c r="A1872" s="17" t="s">
        <v>158</v>
      </c>
      <c r="B1872" s="18" t="str">
        <f aca="false">IFERROR(VLOOKUP(A1872,NOMENCLATOR!$A:$E,2,0),"")</f>
        <v>Lapte cafea</v>
      </c>
      <c r="C1872" s="19" t="n">
        <v>150</v>
      </c>
      <c r="D1872" s="20" t="str">
        <f aca="false">IFERROR(VLOOKUP(A1872,NOMENCLATOR!$A:$E,3,0),"")</f>
        <v>ML</v>
      </c>
      <c r="E1872" s="21" t="n">
        <f aca="false">IFERROR(VLOOKUP(A1872,NOMENCLATOR!$A:$E,4,0),"")</f>
        <v>0.0098</v>
      </c>
      <c r="F1872" s="21" t="n">
        <f aca="false">IF(OR(C1872="",E1872=""),"",C1872*E1872)</f>
        <v>1.47</v>
      </c>
      <c r="G1872" s="22" t="n">
        <f aca="false">IFERROR(VLOOKUP(A1872,NOMENCLATOR!$A:$E,5,0),"")</f>
        <v>0.0098</v>
      </c>
      <c r="H1872" s="22" t="n">
        <f aca="false">IF(OR(C1872="",G1872=""),"",C1872*G1872)</f>
        <v>1.47</v>
      </c>
    </row>
    <row r="1873" customFormat="false" ht="15" hidden="false" customHeight="true" outlineLevel="0" collapsed="false">
      <c r="A1873" s="23" t="str">
        <f aca="false">IF(A1866="","",A1866)</f>
        <v>Cappucino NEW</v>
      </c>
      <c r="B1873" s="24"/>
      <c r="C1873" s="24"/>
      <c r="D1873" s="24"/>
      <c r="E1873" s="24"/>
      <c r="F1873" s="25" t="n">
        <f aca="false">IF(A1866="","",SUM(F1868:F1872))</f>
        <v>5.23696</v>
      </c>
      <c r="G1873" s="24"/>
      <c r="H1873" s="26" t="n">
        <f aca="false">IF(A1866="","",SUM(H1868:H1872))</f>
        <v>5.23696</v>
      </c>
    </row>
    <row r="1875" customFormat="false" ht="15" hidden="false" customHeight="true" outlineLevel="0" collapsed="false">
      <c r="A1875" s="12" t="s">
        <v>581</v>
      </c>
      <c r="B1875" s="13"/>
      <c r="C1875" s="13"/>
      <c r="D1875" s="13"/>
      <c r="E1875" s="13"/>
      <c r="F1875" s="14" t="s">
        <v>552</v>
      </c>
      <c r="G1875" s="13"/>
      <c r="H1875" s="15"/>
    </row>
    <row r="1876" customFormat="false" ht="15" hidden="false" customHeight="true" outlineLevel="0" collapsed="false">
      <c r="A1876" s="16" t="s">
        <v>316</v>
      </c>
      <c r="B1876" s="16" t="s">
        <v>317</v>
      </c>
      <c r="C1876" s="16" t="s">
        <v>318</v>
      </c>
      <c r="D1876" s="16" t="s">
        <v>4</v>
      </c>
      <c r="E1876" s="16" t="s">
        <v>319</v>
      </c>
      <c r="F1876" s="16" t="s">
        <v>320</v>
      </c>
      <c r="G1876" s="16" t="s">
        <v>321</v>
      </c>
      <c r="H1876" s="16" t="s">
        <v>322</v>
      </c>
    </row>
    <row r="1877" customFormat="false" ht="15" hidden="false" customHeight="true" outlineLevel="0" collapsed="false">
      <c r="A1877" s="17" t="s">
        <v>152</v>
      </c>
      <c r="B1877" s="18" t="str">
        <f aca="false">IFERROR(VLOOKUP(A1877,NOMENCLATOR!$A:$E,2,0),"")</f>
        <v>Illy Expresso Clasico 1.5 kg</v>
      </c>
      <c r="C1877" s="19" t="n">
        <v>12</v>
      </c>
      <c r="D1877" s="20" t="str">
        <f aca="false">IFERROR(VLOOKUP(A1877,NOMENCLATOR!$A:$E,3,0),"")</f>
        <v>GM</v>
      </c>
      <c r="E1877" s="21" t="n">
        <f aca="false">IFERROR(VLOOKUP(A1877,NOMENCLATOR!$A:$E,4,0),"")</f>
        <v>0.23833</v>
      </c>
      <c r="F1877" s="21" t="n">
        <f aca="false">IF(OR(C1877="",E1877=""),"",C1877*E1877)</f>
        <v>2.85996</v>
      </c>
      <c r="G1877" s="22" t="n">
        <f aca="false">IFERROR(VLOOKUP(A1877,NOMENCLATOR!$A:$E,5,0),"")</f>
        <v>0.23833</v>
      </c>
      <c r="H1877" s="22" t="n">
        <f aca="false">IF(OR(C1877="",G1877=""),"",C1877*G1877)</f>
        <v>2.85996</v>
      </c>
    </row>
    <row r="1878" customFormat="false" ht="15" hidden="false" customHeight="true" outlineLevel="0" collapsed="false">
      <c r="A1878" s="17" t="s">
        <v>190</v>
      </c>
      <c r="B1878" s="18" t="str">
        <f aca="false">IFERROR(VLOOKUP(A1878,NOMENCLATOR!$A:$E,2,0),"")</f>
        <v>Pahar Carton DW Fryday 250ml</v>
      </c>
      <c r="C1878" s="19" t="n">
        <v>1</v>
      </c>
      <c r="D1878" s="20" t="str">
        <f aca="false">IFERROR(VLOOKUP(A1878,NOMENCLATOR!$A:$E,3,0),"")</f>
        <v>EA</v>
      </c>
      <c r="E1878" s="21" t="n">
        <f aca="false">IFERROR(VLOOKUP(A1878,NOMENCLATOR!$A:$E,4,0),"")</f>
        <v>0.734</v>
      </c>
      <c r="F1878" s="21" t="n">
        <f aca="false">IF(OR(C1878="",E1878=""),"",C1878*E1878)</f>
        <v>0.734</v>
      </c>
      <c r="G1878" s="22" t="n">
        <f aca="false">IFERROR(VLOOKUP(A1878,NOMENCLATOR!$A:$E,5,0),"")</f>
        <v>0.734</v>
      </c>
      <c r="H1878" s="22" t="n">
        <f aca="false">IF(OR(C1878="",G1878=""),"",C1878*G1878)</f>
        <v>0.734</v>
      </c>
    </row>
    <row r="1879" customFormat="false" ht="15" hidden="false" customHeight="true" outlineLevel="0" collapsed="false">
      <c r="A1879" s="17" t="s">
        <v>82</v>
      </c>
      <c r="B1879" s="18" t="str">
        <f aca="false">IFERROR(VLOOKUP(A1879,NOMENCLATOR!$A:$E,2,0),"")</f>
        <v>Capac din plastic SR 80 (8OZ)</v>
      </c>
      <c r="C1879" s="19" t="n">
        <v>1</v>
      </c>
      <c r="D1879" s="20" t="str">
        <f aca="false">IFERROR(VLOOKUP(A1879,NOMENCLATOR!$A:$E,3,0),"")</f>
        <v>EA</v>
      </c>
      <c r="E1879" s="21" t="n">
        <f aca="false">IFERROR(VLOOKUP(A1879,NOMENCLATOR!$A:$E,4,0),"")</f>
        <v>0.16</v>
      </c>
      <c r="F1879" s="21" t="n">
        <f aca="false">IF(OR(C1879="",E1879=""),"",C1879*E1879)</f>
        <v>0.16</v>
      </c>
      <c r="G1879" s="22" t="n">
        <f aca="false">IFERROR(VLOOKUP(A1879,NOMENCLATOR!$A:$E,5,0),"")</f>
        <v>0.16</v>
      </c>
      <c r="H1879" s="22" t="n">
        <f aca="false">IF(OR(C1879="",G1879=""),"",C1879*G1879)</f>
        <v>0.16</v>
      </c>
    </row>
    <row r="1880" customFormat="false" ht="15" hidden="false" customHeight="true" outlineLevel="0" collapsed="false">
      <c r="A1880" s="17" t="s">
        <v>206</v>
      </c>
      <c r="B1880" s="18" t="str">
        <f aca="false">IFERROR(VLOOKUP(A1880,NOMENCLATOR!$A:$E,2,0),"")</f>
        <v>Paletine Lemn 14 cm</v>
      </c>
      <c r="C1880" s="19" t="n">
        <v>1</v>
      </c>
      <c r="D1880" s="20" t="str">
        <f aca="false">IFERROR(VLOOKUP(A1880,NOMENCLATOR!$A:$E,3,0),"")</f>
        <v>EA</v>
      </c>
      <c r="E1880" s="21" t="n">
        <f aca="false">IFERROR(VLOOKUP(A1880,NOMENCLATOR!$A:$E,4,0),"")</f>
        <v>0.013</v>
      </c>
      <c r="F1880" s="21" t="n">
        <f aca="false">IF(OR(C1880="",E1880=""),"",C1880*E1880)</f>
        <v>0.013</v>
      </c>
      <c r="G1880" s="22" t="n">
        <f aca="false">IFERROR(VLOOKUP(A1880,NOMENCLATOR!$A:$E,5,0),"")</f>
        <v>0.013</v>
      </c>
      <c r="H1880" s="22" t="n">
        <f aca="false">IF(OR(C1880="",G1880=""),"",C1880*G1880)</f>
        <v>0.013</v>
      </c>
    </row>
    <row r="1881" customFormat="false" ht="15" hidden="false" customHeight="true" outlineLevel="0" collapsed="false">
      <c r="A1881" s="17" t="s">
        <v>158</v>
      </c>
      <c r="B1881" s="18" t="str">
        <f aca="false">IFERROR(VLOOKUP(A1881,NOMENCLATOR!$A:$E,2,0),"")</f>
        <v>Lapte cafea</v>
      </c>
      <c r="C1881" s="19" t="n">
        <v>150</v>
      </c>
      <c r="D1881" s="20" t="str">
        <f aca="false">IFERROR(VLOOKUP(A1881,NOMENCLATOR!$A:$E,3,0),"")</f>
        <v>ML</v>
      </c>
      <c r="E1881" s="21" t="n">
        <f aca="false">IFERROR(VLOOKUP(A1881,NOMENCLATOR!$A:$E,4,0),"")</f>
        <v>0.0098</v>
      </c>
      <c r="F1881" s="21" t="n">
        <f aca="false">IF(OR(C1881="",E1881=""),"",C1881*E1881)</f>
        <v>1.47</v>
      </c>
      <c r="G1881" s="22" t="n">
        <f aca="false">IFERROR(VLOOKUP(A1881,NOMENCLATOR!$A:$E,5,0),"")</f>
        <v>0.0098</v>
      </c>
      <c r="H1881" s="22" t="n">
        <f aca="false">IF(OR(C1881="",G1881=""),"",C1881*G1881)</f>
        <v>1.47</v>
      </c>
    </row>
    <row r="1882" customFormat="false" ht="15" hidden="false" customHeight="true" outlineLevel="0" collapsed="false">
      <c r="A1882" s="23" t="str">
        <f aca="false">IF(A1875="","",A1875)</f>
        <v>Cappucino NEW D</v>
      </c>
      <c r="B1882" s="24"/>
      <c r="C1882" s="24"/>
      <c r="D1882" s="24"/>
      <c r="E1882" s="24"/>
      <c r="F1882" s="25" t="n">
        <f aca="false">IF(A1875="","",SUM(F1877:F1881))</f>
        <v>5.23696</v>
      </c>
      <c r="G1882" s="24"/>
      <c r="H1882" s="26" t="n">
        <f aca="false">IF(A1875="","",SUM(H1877:H1881))</f>
        <v>5.23696</v>
      </c>
    </row>
    <row r="1884" customFormat="false" ht="15" hidden="false" customHeight="true" outlineLevel="0" collapsed="false">
      <c r="A1884" s="12" t="s">
        <v>582</v>
      </c>
      <c r="B1884" s="13"/>
      <c r="C1884" s="13"/>
      <c r="D1884" s="13"/>
      <c r="E1884" s="13"/>
      <c r="F1884" s="14" t="s">
        <v>552</v>
      </c>
      <c r="G1884" s="13"/>
      <c r="H1884" s="15"/>
    </row>
    <row r="1885" customFormat="false" ht="15" hidden="false" customHeight="true" outlineLevel="0" collapsed="false">
      <c r="A1885" s="16" t="s">
        <v>316</v>
      </c>
      <c r="B1885" s="16" t="s">
        <v>317</v>
      </c>
      <c r="C1885" s="16" t="s">
        <v>318</v>
      </c>
      <c r="D1885" s="16" t="s">
        <v>4</v>
      </c>
      <c r="E1885" s="16" t="s">
        <v>319</v>
      </c>
      <c r="F1885" s="16" t="s">
        <v>320</v>
      </c>
      <c r="G1885" s="16" t="s">
        <v>321</v>
      </c>
      <c r="H1885" s="16" t="s">
        <v>322</v>
      </c>
    </row>
    <row r="1886" customFormat="false" ht="15" hidden="false" customHeight="true" outlineLevel="0" collapsed="false">
      <c r="A1886" s="17" t="s">
        <v>158</v>
      </c>
      <c r="B1886" s="18" t="str">
        <f aca="false">IFERROR(VLOOKUP(A1886,NOMENCLATOR!$A:$E,2,0),"")</f>
        <v>Lapte cafea</v>
      </c>
      <c r="C1886" s="19" t="n">
        <v>165</v>
      </c>
      <c r="D1886" s="20" t="str">
        <f aca="false">IFERROR(VLOOKUP(A1886,NOMENCLATOR!$A:$E,3,0),"")</f>
        <v>ML</v>
      </c>
      <c r="E1886" s="21" t="n">
        <f aca="false">IFERROR(VLOOKUP(A1886,NOMENCLATOR!$A:$E,4,0),"")</f>
        <v>0.0098</v>
      </c>
      <c r="F1886" s="21" t="n">
        <f aca="false">IF(OR(C1886="",E1886=""),"",C1886*E1886)</f>
        <v>1.617</v>
      </c>
      <c r="G1886" s="22" t="n">
        <f aca="false">IFERROR(VLOOKUP(A1886,NOMENCLATOR!$A:$E,5,0),"")</f>
        <v>0.0098</v>
      </c>
      <c r="H1886" s="22" t="n">
        <f aca="false">IF(OR(C1886="",G1886=""),"",C1886*G1886)</f>
        <v>1.617</v>
      </c>
    </row>
    <row r="1887" customFormat="false" ht="15" hidden="false" customHeight="true" outlineLevel="0" collapsed="false">
      <c r="A1887" s="17" t="s">
        <v>152</v>
      </c>
      <c r="B1887" s="18" t="str">
        <f aca="false">IFERROR(VLOOKUP(A1887,NOMENCLATOR!$A:$E,2,0),"")</f>
        <v>Illy Expresso Clasico 1.5 kg</v>
      </c>
      <c r="C1887" s="19" t="n">
        <v>14</v>
      </c>
      <c r="D1887" s="20" t="str">
        <f aca="false">IFERROR(VLOOKUP(A1887,NOMENCLATOR!$A:$E,3,0),"")</f>
        <v>GM</v>
      </c>
      <c r="E1887" s="21" t="n">
        <f aca="false">IFERROR(VLOOKUP(A1887,NOMENCLATOR!$A:$E,4,0),"")</f>
        <v>0.23833</v>
      </c>
      <c r="F1887" s="21" t="n">
        <f aca="false">IF(OR(C1887="",E1887=""),"",C1887*E1887)</f>
        <v>3.33662</v>
      </c>
      <c r="G1887" s="22" t="n">
        <f aca="false">IFERROR(VLOOKUP(A1887,NOMENCLATOR!$A:$E,5,0),"")</f>
        <v>0.23833</v>
      </c>
      <c r="H1887" s="22" t="n">
        <f aca="false">IF(OR(C1887="",G1887=""),"",C1887*G1887)</f>
        <v>3.33662</v>
      </c>
    </row>
    <row r="1888" customFormat="false" ht="15" hidden="false" customHeight="true" outlineLevel="0" collapsed="false">
      <c r="A1888" s="17" t="s">
        <v>192</v>
      </c>
      <c r="B1888" s="18" t="str">
        <f aca="false">IFERROR(VLOOKUP(A1888,NOMENCLATOR!$A:$E,2,0),"")</f>
        <v>Pahar Carton DW Fryday 350ml</v>
      </c>
      <c r="C1888" s="19" t="n">
        <v>1</v>
      </c>
      <c r="D1888" s="20" t="str">
        <f aca="false">IFERROR(VLOOKUP(A1888,NOMENCLATOR!$A:$E,3,0),"")</f>
        <v>EA</v>
      </c>
      <c r="E1888" s="21" t="n">
        <f aca="false">IFERROR(VLOOKUP(A1888,NOMENCLATOR!$A:$E,4,0),"")</f>
        <v>0.487</v>
      </c>
      <c r="F1888" s="21" t="n">
        <f aca="false">IF(OR(C1888="",E1888=""),"",C1888*E1888)</f>
        <v>0.487</v>
      </c>
      <c r="G1888" s="22" t="n">
        <f aca="false">IFERROR(VLOOKUP(A1888,NOMENCLATOR!$A:$E,5,0),"")</f>
        <v>0.487</v>
      </c>
      <c r="H1888" s="22" t="n">
        <f aca="false">IF(OR(C1888="",G1888=""),"",C1888*G1888)</f>
        <v>0.487</v>
      </c>
    </row>
    <row r="1889" customFormat="false" ht="15" hidden="false" customHeight="true" outlineLevel="0" collapsed="false">
      <c r="A1889" s="17" t="s">
        <v>84</v>
      </c>
      <c r="B1889" s="18" t="str">
        <f aca="false">IFERROR(VLOOKUP(A1889,NOMENCLATOR!$A:$E,2,0),"")</f>
        <v>Capac dn plastic SR 90 (12OZ)</v>
      </c>
      <c r="C1889" s="19" t="n">
        <v>1</v>
      </c>
      <c r="D1889" s="20" t="str">
        <f aca="false">IFERROR(VLOOKUP(A1889,NOMENCLATOR!$A:$E,3,0),"")</f>
        <v>EA</v>
      </c>
      <c r="E1889" s="21" t="n">
        <f aca="false">IFERROR(VLOOKUP(A1889,NOMENCLATOR!$A:$E,4,0),"")</f>
        <v>0.209</v>
      </c>
      <c r="F1889" s="21" t="n">
        <f aca="false">IF(OR(C1889="",E1889=""),"",C1889*E1889)</f>
        <v>0.209</v>
      </c>
      <c r="G1889" s="22" t="n">
        <f aca="false">IFERROR(VLOOKUP(A1889,NOMENCLATOR!$A:$E,5,0),"")</f>
        <v>0.209</v>
      </c>
      <c r="H1889" s="22" t="n">
        <f aca="false">IF(OR(C1889="",G1889=""),"",C1889*G1889)</f>
        <v>0.209</v>
      </c>
    </row>
    <row r="1890" customFormat="false" ht="15" hidden="false" customHeight="true" outlineLevel="0" collapsed="false">
      <c r="A1890" s="17" t="s">
        <v>206</v>
      </c>
      <c r="B1890" s="18" t="str">
        <f aca="false">IFERROR(VLOOKUP(A1890,NOMENCLATOR!$A:$E,2,0),"")</f>
        <v>Paletine Lemn 14 cm</v>
      </c>
      <c r="C1890" s="19" t="n">
        <v>1</v>
      </c>
      <c r="D1890" s="20" t="str">
        <f aca="false">IFERROR(VLOOKUP(A1890,NOMENCLATOR!$A:$E,3,0),"")</f>
        <v>EA</v>
      </c>
      <c r="E1890" s="21" t="n">
        <f aca="false">IFERROR(VLOOKUP(A1890,NOMENCLATOR!$A:$E,4,0),"")</f>
        <v>0.013</v>
      </c>
      <c r="F1890" s="21" t="n">
        <f aca="false">IF(OR(C1890="",E1890=""),"",C1890*E1890)</f>
        <v>0.013</v>
      </c>
      <c r="G1890" s="22" t="n">
        <f aca="false">IFERROR(VLOOKUP(A1890,NOMENCLATOR!$A:$E,5,0),"")</f>
        <v>0.013</v>
      </c>
      <c r="H1890" s="22" t="n">
        <f aca="false">IF(OR(C1890="",G1890=""),"",C1890*G1890)</f>
        <v>0.013</v>
      </c>
    </row>
    <row r="1891" customFormat="false" ht="15" hidden="false" customHeight="true" outlineLevel="0" collapsed="false">
      <c r="A1891" s="23" t="str">
        <f aca="false">IF(A1884="","",A1884)</f>
        <v>Cappucino Grande NEW</v>
      </c>
      <c r="B1891" s="24"/>
      <c r="C1891" s="24"/>
      <c r="D1891" s="24"/>
      <c r="E1891" s="24"/>
      <c r="F1891" s="25" t="n">
        <f aca="false">IF(A1884="","",SUM(F1886:F1890))</f>
        <v>5.66262</v>
      </c>
      <c r="G1891" s="24"/>
      <c r="H1891" s="26" t="n">
        <f aca="false">IF(A1884="","",SUM(H1886:H1890))</f>
        <v>5.66262</v>
      </c>
    </row>
    <row r="1893" customFormat="false" ht="15" hidden="false" customHeight="true" outlineLevel="0" collapsed="false">
      <c r="A1893" s="12" t="s">
        <v>583</v>
      </c>
      <c r="B1893" s="13"/>
      <c r="C1893" s="13"/>
      <c r="D1893" s="13"/>
      <c r="E1893" s="13"/>
      <c r="F1893" s="14" t="s">
        <v>552</v>
      </c>
      <c r="G1893" s="13"/>
      <c r="H1893" s="15"/>
    </row>
    <row r="1894" customFormat="false" ht="15" hidden="false" customHeight="true" outlineLevel="0" collapsed="false">
      <c r="A1894" s="16" t="s">
        <v>316</v>
      </c>
      <c r="B1894" s="16" t="s">
        <v>317</v>
      </c>
      <c r="C1894" s="16" t="s">
        <v>318</v>
      </c>
      <c r="D1894" s="16" t="s">
        <v>4</v>
      </c>
      <c r="E1894" s="16" t="s">
        <v>319</v>
      </c>
      <c r="F1894" s="16" t="s">
        <v>320</v>
      </c>
      <c r="G1894" s="16" t="s">
        <v>321</v>
      </c>
      <c r="H1894" s="16" t="s">
        <v>322</v>
      </c>
    </row>
    <row r="1895" customFormat="false" ht="15" hidden="false" customHeight="true" outlineLevel="0" collapsed="false">
      <c r="A1895" s="17" t="s">
        <v>158</v>
      </c>
      <c r="B1895" s="18" t="str">
        <f aca="false">IFERROR(VLOOKUP(A1895,NOMENCLATOR!$A:$E,2,0),"")</f>
        <v>Lapte cafea</v>
      </c>
      <c r="C1895" s="19" t="n">
        <v>165</v>
      </c>
      <c r="D1895" s="20" t="str">
        <f aca="false">IFERROR(VLOOKUP(A1895,NOMENCLATOR!$A:$E,3,0),"")</f>
        <v>ML</v>
      </c>
      <c r="E1895" s="21" t="n">
        <f aca="false">IFERROR(VLOOKUP(A1895,NOMENCLATOR!$A:$E,4,0),"")</f>
        <v>0.0098</v>
      </c>
      <c r="F1895" s="21" t="n">
        <f aca="false">IF(OR(C1895="",E1895=""),"",C1895*E1895)</f>
        <v>1.617</v>
      </c>
      <c r="G1895" s="22" t="n">
        <f aca="false">IFERROR(VLOOKUP(A1895,NOMENCLATOR!$A:$E,5,0),"")</f>
        <v>0.0098</v>
      </c>
      <c r="H1895" s="22" t="n">
        <f aca="false">IF(OR(C1895="",G1895=""),"",C1895*G1895)</f>
        <v>1.617</v>
      </c>
    </row>
    <row r="1896" customFormat="false" ht="15" hidden="false" customHeight="true" outlineLevel="0" collapsed="false">
      <c r="A1896" s="17" t="s">
        <v>152</v>
      </c>
      <c r="B1896" s="18" t="str">
        <f aca="false">IFERROR(VLOOKUP(A1896,NOMENCLATOR!$A:$E,2,0),"")</f>
        <v>Illy Expresso Clasico 1.5 kg</v>
      </c>
      <c r="C1896" s="19" t="n">
        <v>14</v>
      </c>
      <c r="D1896" s="20" t="str">
        <f aca="false">IFERROR(VLOOKUP(A1896,NOMENCLATOR!$A:$E,3,0),"")</f>
        <v>GM</v>
      </c>
      <c r="E1896" s="21" t="n">
        <f aca="false">IFERROR(VLOOKUP(A1896,NOMENCLATOR!$A:$E,4,0),"")</f>
        <v>0.23833</v>
      </c>
      <c r="F1896" s="21" t="n">
        <f aca="false">IF(OR(C1896="",E1896=""),"",C1896*E1896)</f>
        <v>3.33662</v>
      </c>
      <c r="G1896" s="22" t="n">
        <f aca="false">IFERROR(VLOOKUP(A1896,NOMENCLATOR!$A:$E,5,0),"")</f>
        <v>0.23833</v>
      </c>
      <c r="H1896" s="22" t="n">
        <f aca="false">IF(OR(C1896="",G1896=""),"",C1896*G1896)</f>
        <v>3.33662</v>
      </c>
    </row>
    <row r="1897" customFormat="false" ht="15" hidden="false" customHeight="true" outlineLevel="0" collapsed="false">
      <c r="A1897" s="17" t="s">
        <v>192</v>
      </c>
      <c r="B1897" s="18" t="str">
        <f aca="false">IFERROR(VLOOKUP(A1897,NOMENCLATOR!$A:$E,2,0),"")</f>
        <v>Pahar Carton DW Fryday 350ml</v>
      </c>
      <c r="C1897" s="19" t="n">
        <v>1</v>
      </c>
      <c r="D1897" s="20" t="str">
        <f aca="false">IFERROR(VLOOKUP(A1897,NOMENCLATOR!$A:$E,3,0),"")</f>
        <v>EA</v>
      </c>
      <c r="E1897" s="21" t="n">
        <f aca="false">IFERROR(VLOOKUP(A1897,NOMENCLATOR!$A:$E,4,0),"")</f>
        <v>0.487</v>
      </c>
      <c r="F1897" s="21" t="n">
        <f aca="false">IF(OR(C1897="",E1897=""),"",C1897*E1897)</f>
        <v>0.487</v>
      </c>
      <c r="G1897" s="22" t="n">
        <f aca="false">IFERROR(VLOOKUP(A1897,NOMENCLATOR!$A:$E,5,0),"")</f>
        <v>0.487</v>
      </c>
      <c r="H1897" s="22" t="n">
        <f aca="false">IF(OR(C1897="",G1897=""),"",C1897*G1897)</f>
        <v>0.487</v>
      </c>
    </row>
    <row r="1898" customFormat="false" ht="15" hidden="false" customHeight="true" outlineLevel="0" collapsed="false">
      <c r="A1898" s="17" t="s">
        <v>84</v>
      </c>
      <c r="B1898" s="18" t="str">
        <f aca="false">IFERROR(VLOOKUP(A1898,NOMENCLATOR!$A:$E,2,0),"")</f>
        <v>Capac dn plastic SR 90 (12OZ)</v>
      </c>
      <c r="C1898" s="19" t="n">
        <v>1</v>
      </c>
      <c r="D1898" s="20" t="str">
        <f aca="false">IFERROR(VLOOKUP(A1898,NOMENCLATOR!$A:$E,3,0),"")</f>
        <v>EA</v>
      </c>
      <c r="E1898" s="21" t="n">
        <f aca="false">IFERROR(VLOOKUP(A1898,NOMENCLATOR!$A:$E,4,0),"")</f>
        <v>0.209</v>
      </c>
      <c r="F1898" s="21" t="n">
        <f aca="false">IF(OR(C1898="",E1898=""),"",C1898*E1898)</f>
        <v>0.209</v>
      </c>
      <c r="G1898" s="22" t="n">
        <f aca="false">IFERROR(VLOOKUP(A1898,NOMENCLATOR!$A:$E,5,0),"")</f>
        <v>0.209</v>
      </c>
      <c r="H1898" s="22" t="n">
        <f aca="false">IF(OR(C1898="",G1898=""),"",C1898*G1898)</f>
        <v>0.209</v>
      </c>
    </row>
    <row r="1899" customFormat="false" ht="15" hidden="false" customHeight="true" outlineLevel="0" collapsed="false">
      <c r="A1899" s="17" t="s">
        <v>206</v>
      </c>
      <c r="B1899" s="18" t="str">
        <f aca="false">IFERROR(VLOOKUP(A1899,NOMENCLATOR!$A:$E,2,0),"")</f>
        <v>Paletine Lemn 14 cm</v>
      </c>
      <c r="C1899" s="19" t="n">
        <v>1</v>
      </c>
      <c r="D1899" s="20" t="str">
        <f aca="false">IFERROR(VLOOKUP(A1899,NOMENCLATOR!$A:$E,3,0),"")</f>
        <v>EA</v>
      </c>
      <c r="E1899" s="21" t="n">
        <f aca="false">IFERROR(VLOOKUP(A1899,NOMENCLATOR!$A:$E,4,0),"")</f>
        <v>0.013</v>
      </c>
      <c r="F1899" s="21" t="n">
        <f aca="false">IF(OR(C1899="",E1899=""),"",C1899*E1899)</f>
        <v>0.013</v>
      </c>
      <c r="G1899" s="22" t="n">
        <f aca="false">IFERROR(VLOOKUP(A1899,NOMENCLATOR!$A:$E,5,0),"")</f>
        <v>0.013</v>
      </c>
      <c r="H1899" s="22" t="n">
        <f aca="false">IF(OR(C1899="",G1899=""),"",C1899*G1899)</f>
        <v>0.013</v>
      </c>
    </row>
    <row r="1900" customFormat="false" ht="15" hidden="false" customHeight="true" outlineLevel="0" collapsed="false">
      <c r="A1900" s="23" t="str">
        <f aca="false">IF(A1893="","",A1893)</f>
        <v>Cappucino Grande NEW D</v>
      </c>
      <c r="B1900" s="24"/>
      <c r="C1900" s="24"/>
      <c r="D1900" s="24"/>
      <c r="E1900" s="24"/>
      <c r="F1900" s="25" t="n">
        <f aca="false">IF(A1893="","",SUM(F1895:F1899))</f>
        <v>5.66262</v>
      </c>
      <c r="G1900" s="24"/>
      <c r="H1900" s="26" t="n">
        <f aca="false">IF(A1893="","",SUM(H1895:H1899))</f>
        <v>5.66262</v>
      </c>
    </row>
    <row r="1902" customFormat="false" ht="15" hidden="false" customHeight="true" outlineLevel="0" collapsed="false">
      <c r="A1902" s="12" t="s">
        <v>584</v>
      </c>
      <c r="B1902" s="13"/>
      <c r="C1902" s="13"/>
      <c r="D1902" s="13"/>
      <c r="E1902" s="13"/>
      <c r="F1902" s="14" t="s">
        <v>552</v>
      </c>
      <c r="G1902" s="13"/>
      <c r="H1902" s="15"/>
    </row>
    <row r="1903" customFormat="false" ht="15" hidden="false" customHeight="true" outlineLevel="0" collapsed="false">
      <c r="A1903" s="16" t="s">
        <v>316</v>
      </c>
      <c r="B1903" s="16" t="s">
        <v>317</v>
      </c>
      <c r="C1903" s="16" t="s">
        <v>318</v>
      </c>
      <c r="D1903" s="16" t="s">
        <v>4</v>
      </c>
      <c r="E1903" s="16" t="s">
        <v>319</v>
      </c>
      <c r="F1903" s="16" t="s">
        <v>320</v>
      </c>
      <c r="G1903" s="16" t="s">
        <v>321</v>
      </c>
      <c r="H1903" s="16" t="s">
        <v>322</v>
      </c>
    </row>
    <row r="1904" customFormat="false" ht="15" hidden="false" customHeight="true" outlineLevel="0" collapsed="false">
      <c r="A1904" s="17" t="s">
        <v>152</v>
      </c>
      <c r="B1904" s="18" t="str">
        <f aca="false">IFERROR(VLOOKUP(A1904,NOMENCLATOR!$A:$E,2,0),"")</f>
        <v>Illy Expresso Clasico 1.5 kg</v>
      </c>
      <c r="C1904" s="19" t="n">
        <v>15</v>
      </c>
      <c r="D1904" s="20" t="str">
        <f aca="false">IFERROR(VLOOKUP(A1904,NOMENCLATOR!$A:$E,3,0),"")</f>
        <v>GM</v>
      </c>
      <c r="E1904" s="21" t="n">
        <f aca="false">IFERROR(VLOOKUP(A1904,NOMENCLATOR!$A:$E,4,0),"")</f>
        <v>0.23833</v>
      </c>
      <c r="F1904" s="21" t="n">
        <f aca="false">IF(OR(C1904="",E1904=""),"",C1904*E1904)</f>
        <v>3.57495</v>
      </c>
      <c r="G1904" s="22" t="n">
        <f aca="false">IFERROR(VLOOKUP(A1904,NOMENCLATOR!$A:$E,5,0),"")</f>
        <v>0.23833</v>
      </c>
      <c r="H1904" s="22" t="n">
        <f aca="false">IF(OR(C1904="",G1904=""),"",C1904*G1904)</f>
        <v>3.57495</v>
      </c>
    </row>
    <row r="1905" customFormat="false" ht="15" hidden="false" customHeight="true" outlineLevel="0" collapsed="false">
      <c r="A1905" s="17" t="s">
        <v>190</v>
      </c>
      <c r="B1905" s="18" t="str">
        <f aca="false">IFERROR(VLOOKUP(A1905,NOMENCLATOR!$A:$E,2,0),"")</f>
        <v>Pahar Carton DW Fryday 250ml</v>
      </c>
      <c r="C1905" s="19" t="n">
        <v>1</v>
      </c>
      <c r="D1905" s="20" t="str">
        <f aca="false">IFERROR(VLOOKUP(A1905,NOMENCLATOR!$A:$E,3,0),"")</f>
        <v>EA</v>
      </c>
      <c r="E1905" s="21" t="n">
        <f aca="false">IFERROR(VLOOKUP(A1905,NOMENCLATOR!$A:$E,4,0),"")</f>
        <v>0.734</v>
      </c>
      <c r="F1905" s="21" t="n">
        <f aca="false">IF(OR(C1905="",E1905=""),"",C1905*E1905)</f>
        <v>0.734</v>
      </c>
      <c r="G1905" s="22" t="n">
        <f aca="false">IFERROR(VLOOKUP(A1905,NOMENCLATOR!$A:$E,5,0),"")</f>
        <v>0.734</v>
      </c>
      <c r="H1905" s="22" t="n">
        <f aca="false">IF(OR(C1905="",G1905=""),"",C1905*G1905)</f>
        <v>0.734</v>
      </c>
    </row>
    <row r="1906" customFormat="false" ht="15" hidden="false" customHeight="true" outlineLevel="0" collapsed="false">
      <c r="A1906" s="17" t="s">
        <v>82</v>
      </c>
      <c r="B1906" s="18" t="str">
        <f aca="false">IFERROR(VLOOKUP(A1906,NOMENCLATOR!$A:$E,2,0),"")</f>
        <v>Capac din plastic SR 80 (8OZ)</v>
      </c>
      <c r="C1906" s="19" t="n">
        <v>1</v>
      </c>
      <c r="D1906" s="20" t="str">
        <f aca="false">IFERROR(VLOOKUP(A1906,NOMENCLATOR!$A:$E,3,0),"")</f>
        <v>EA</v>
      </c>
      <c r="E1906" s="21" t="n">
        <f aca="false">IFERROR(VLOOKUP(A1906,NOMENCLATOR!$A:$E,4,0),"")</f>
        <v>0.16</v>
      </c>
      <c r="F1906" s="21" t="n">
        <f aca="false">IF(OR(C1906="",E1906=""),"",C1906*E1906)</f>
        <v>0.16</v>
      </c>
      <c r="G1906" s="22" t="n">
        <f aca="false">IFERROR(VLOOKUP(A1906,NOMENCLATOR!$A:$E,5,0),"")</f>
        <v>0.16</v>
      </c>
      <c r="H1906" s="22" t="n">
        <f aca="false">IF(OR(C1906="",G1906=""),"",C1906*G1906)</f>
        <v>0.16</v>
      </c>
    </row>
    <row r="1907" customFormat="false" ht="15" hidden="false" customHeight="true" outlineLevel="0" collapsed="false">
      <c r="A1907" s="17" t="s">
        <v>206</v>
      </c>
      <c r="B1907" s="18" t="str">
        <f aca="false">IFERROR(VLOOKUP(A1907,NOMENCLATOR!$A:$E,2,0),"")</f>
        <v>Paletine Lemn 14 cm</v>
      </c>
      <c r="C1907" s="19" t="n">
        <v>1</v>
      </c>
      <c r="D1907" s="20" t="str">
        <f aca="false">IFERROR(VLOOKUP(A1907,NOMENCLATOR!$A:$E,3,0),"")</f>
        <v>EA</v>
      </c>
      <c r="E1907" s="21" t="n">
        <f aca="false">IFERROR(VLOOKUP(A1907,NOMENCLATOR!$A:$E,4,0),"")</f>
        <v>0.013</v>
      </c>
      <c r="F1907" s="21" t="n">
        <f aca="false">IF(OR(C1907="",E1907=""),"",C1907*E1907)</f>
        <v>0.013</v>
      </c>
      <c r="G1907" s="22" t="n">
        <f aca="false">IFERROR(VLOOKUP(A1907,NOMENCLATOR!$A:$E,5,0),"")</f>
        <v>0.013</v>
      </c>
      <c r="H1907" s="22" t="n">
        <f aca="false">IF(OR(C1907="",G1907=""),"",C1907*G1907)</f>
        <v>0.013</v>
      </c>
    </row>
    <row r="1908" customFormat="false" ht="15" hidden="false" customHeight="true" outlineLevel="0" collapsed="false">
      <c r="A1908" s="17" t="s">
        <v>158</v>
      </c>
      <c r="B1908" s="18" t="str">
        <f aca="false">IFERROR(VLOOKUP(A1908,NOMENCLATOR!$A:$E,2,0),"")</f>
        <v>Lapte cafea</v>
      </c>
      <c r="C1908" s="19" t="n">
        <v>200</v>
      </c>
      <c r="D1908" s="20" t="str">
        <f aca="false">IFERROR(VLOOKUP(A1908,NOMENCLATOR!$A:$E,3,0),"")</f>
        <v>ML</v>
      </c>
      <c r="E1908" s="21" t="n">
        <f aca="false">IFERROR(VLOOKUP(A1908,NOMENCLATOR!$A:$E,4,0),"")</f>
        <v>0.0098</v>
      </c>
      <c r="F1908" s="21" t="n">
        <f aca="false">IF(OR(C1908="",E1908=""),"",C1908*E1908)</f>
        <v>1.96</v>
      </c>
      <c r="G1908" s="22" t="n">
        <f aca="false">IFERROR(VLOOKUP(A1908,NOMENCLATOR!$A:$E,5,0),"")</f>
        <v>0.0098</v>
      </c>
      <c r="H1908" s="22" t="n">
        <f aca="false">IF(OR(C1908="",G1908=""),"",C1908*G1908)</f>
        <v>1.96</v>
      </c>
    </row>
    <row r="1909" customFormat="false" ht="15" hidden="false" customHeight="true" outlineLevel="0" collapsed="false">
      <c r="A1909" s="23" t="str">
        <f aca="false">IF(A1902="","",A1902)</f>
        <v>Caffe Latte NEW</v>
      </c>
      <c r="B1909" s="24"/>
      <c r="C1909" s="24"/>
      <c r="D1909" s="24"/>
      <c r="E1909" s="24"/>
      <c r="F1909" s="25" t="n">
        <f aca="false">IF(A1902="","",SUM(F1904:F1908))</f>
        <v>6.44195</v>
      </c>
      <c r="G1909" s="24"/>
      <c r="H1909" s="26" t="n">
        <f aca="false">IF(A1902="","",SUM(H1904:H1908))</f>
        <v>6.44195</v>
      </c>
    </row>
    <row r="1911" customFormat="false" ht="15" hidden="false" customHeight="true" outlineLevel="0" collapsed="false">
      <c r="A1911" s="12" t="s">
        <v>585</v>
      </c>
      <c r="B1911" s="13"/>
      <c r="C1911" s="13"/>
      <c r="D1911" s="13"/>
      <c r="E1911" s="13"/>
      <c r="F1911" s="14" t="s">
        <v>552</v>
      </c>
      <c r="G1911" s="13"/>
      <c r="H1911" s="15"/>
    </row>
    <row r="1912" customFormat="false" ht="15" hidden="false" customHeight="true" outlineLevel="0" collapsed="false">
      <c r="A1912" s="16" t="s">
        <v>316</v>
      </c>
      <c r="B1912" s="16" t="s">
        <v>317</v>
      </c>
      <c r="C1912" s="16" t="s">
        <v>318</v>
      </c>
      <c r="D1912" s="16" t="s">
        <v>4</v>
      </c>
      <c r="E1912" s="16" t="s">
        <v>319</v>
      </c>
      <c r="F1912" s="16" t="s">
        <v>320</v>
      </c>
      <c r="G1912" s="16" t="s">
        <v>321</v>
      </c>
      <c r="H1912" s="16" t="s">
        <v>322</v>
      </c>
    </row>
    <row r="1913" customFormat="false" ht="15" hidden="false" customHeight="true" outlineLevel="0" collapsed="false">
      <c r="A1913" s="17" t="s">
        <v>152</v>
      </c>
      <c r="B1913" s="18" t="str">
        <f aca="false">IFERROR(VLOOKUP(A1913,NOMENCLATOR!$A:$E,2,0),"")</f>
        <v>Illy Expresso Clasico 1.5 kg</v>
      </c>
      <c r="C1913" s="19" t="n">
        <v>15</v>
      </c>
      <c r="D1913" s="20" t="str">
        <f aca="false">IFERROR(VLOOKUP(A1913,NOMENCLATOR!$A:$E,3,0),"")</f>
        <v>GM</v>
      </c>
      <c r="E1913" s="21" t="n">
        <f aca="false">IFERROR(VLOOKUP(A1913,NOMENCLATOR!$A:$E,4,0),"")</f>
        <v>0.23833</v>
      </c>
      <c r="F1913" s="21" t="n">
        <f aca="false">IF(OR(C1913="",E1913=""),"",C1913*E1913)</f>
        <v>3.57495</v>
      </c>
      <c r="G1913" s="22" t="n">
        <f aca="false">IFERROR(VLOOKUP(A1913,NOMENCLATOR!$A:$E,5,0),"")</f>
        <v>0.23833</v>
      </c>
      <c r="H1913" s="22" t="n">
        <f aca="false">IF(OR(C1913="",G1913=""),"",C1913*G1913)</f>
        <v>3.57495</v>
      </c>
    </row>
    <row r="1914" customFormat="false" ht="15" hidden="false" customHeight="true" outlineLevel="0" collapsed="false">
      <c r="A1914" s="17" t="s">
        <v>190</v>
      </c>
      <c r="B1914" s="18" t="str">
        <f aca="false">IFERROR(VLOOKUP(A1914,NOMENCLATOR!$A:$E,2,0),"")</f>
        <v>Pahar Carton DW Fryday 250ml</v>
      </c>
      <c r="C1914" s="19" t="n">
        <v>1</v>
      </c>
      <c r="D1914" s="20" t="str">
        <f aca="false">IFERROR(VLOOKUP(A1914,NOMENCLATOR!$A:$E,3,0),"")</f>
        <v>EA</v>
      </c>
      <c r="E1914" s="21" t="n">
        <f aca="false">IFERROR(VLOOKUP(A1914,NOMENCLATOR!$A:$E,4,0),"")</f>
        <v>0.734</v>
      </c>
      <c r="F1914" s="21" t="n">
        <f aca="false">IF(OR(C1914="",E1914=""),"",C1914*E1914)</f>
        <v>0.734</v>
      </c>
      <c r="G1914" s="22" t="n">
        <f aca="false">IFERROR(VLOOKUP(A1914,NOMENCLATOR!$A:$E,5,0),"")</f>
        <v>0.734</v>
      </c>
      <c r="H1914" s="22" t="n">
        <f aca="false">IF(OR(C1914="",G1914=""),"",C1914*G1914)</f>
        <v>0.734</v>
      </c>
    </row>
    <row r="1915" customFormat="false" ht="15" hidden="false" customHeight="true" outlineLevel="0" collapsed="false">
      <c r="A1915" s="17" t="s">
        <v>82</v>
      </c>
      <c r="B1915" s="18" t="str">
        <f aca="false">IFERROR(VLOOKUP(A1915,NOMENCLATOR!$A:$E,2,0),"")</f>
        <v>Capac din plastic SR 80 (8OZ)</v>
      </c>
      <c r="C1915" s="19" t="n">
        <v>1</v>
      </c>
      <c r="D1915" s="20" t="str">
        <f aca="false">IFERROR(VLOOKUP(A1915,NOMENCLATOR!$A:$E,3,0),"")</f>
        <v>EA</v>
      </c>
      <c r="E1915" s="21" t="n">
        <f aca="false">IFERROR(VLOOKUP(A1915,NOMENCLATOR!$A:$E,4,0),"")</f>
        <v>0.16</v>
      </c>
      <c r="F1915" s="21" t="n">
        <f aca="false">IF(OR(C1915="",E1915=""),"",C1915*E1915)</f>
        <v>0.16</v>
      </c>
      <c r="G1915" s="22" t="n">
        <f aca="false">IFERROR(VLOOKUP(A1915,NOMENCLATOR!$A:$E,5,0),"")</f>
        <v>0.16</v>
      </c>
      <c r="H1915" s="22" t="n">
        <f aca="false">IF(OR(C1915="",G1915=""),"",C1915*G1915)</f>
        <v>0.16</v>
      </c>
    </row>
    <row r="1916" customFormat="false" ht="15" hidden="false" customHeight="true" outlineLevel="0" collapsed="false">
      <c r="A1916" s="17" t="s">
        <v>206</v>
      </c>
      <c r="B1916" s="18" t="str">
        <f aca="false">IFERROR(VLOOKUP(A1916,NOMENCLATOR!$A:$E,2,0),"")</f>
        <v>Paletine Lemn 14 cm</v>
      </c>
      <c r="C1916" s="19" t="n">
        <v>1</v>
      </c>
      <c r="D1916" s="20" t="str">
        <f aca="false">IFERROR(VLOOKUP(A1916,NOMENCLATOR!$A:$E,3,0),"")</f>
        <v>EA</v>
      </c>
      <c r="E1916" s="21" t="n">
        <f aca="false">IFERROR(VLOOKUP(A1916,NOMENCLATOR!$A:$E,4,0),"")</f>
        <v>0.013</v>
      </c>
      <c r="F1916" s="21" t="n">
        <f aca="false">IF(OR(C1916="",E1916=""),"",C1916*E1916)</f>
        <v>0.013</v>
      </c>
      <c r="G1916" s="22" t="n">
        <f aca="false">IFERROR(VLOOKUP(A1916,NOMENCLATOR!$A:$E,5,0),"")</f>
        <v>0.013</v>
      </c>
      <c r="H1916" s="22" t="n">
        <f aca="false">IF(OR(C1916="",G1916=""),"",C1916*G1916)</f>
        <v>0.013</v>
      </c>
    </row>
    <row r="1917" customFormat="false" ht="15" hidden="false" customHeight="true" outlineLevel="0" collapsed="false">
      <c r="A1917" s="17" t="s">
        <v>158</v>
      </c>
      <c r="B1917" s="18" t="str">
        <f aca="false">IFERROR(VLOOKUP(A1917,NOMENCLATOR!$A:$E,2,0),"")</f>
        <v>Lapte cafea</v>
      </c>
      <c r="C1917" s="19" t="n">
        <v>200</v>
      </c>
      <c r="D1917" s="20" t="str">
        <f aca="false">IFERROR(VLOOKUP(A1917,NOMENCLATOR!$A:$E,3,0),"")</f>
        <v>ML</v>
      </c>
      <c r="E1917" s="21" t="n">
        <f aca="false">IFERROR(VLOOKUP(A1917,NOMENCLATOR!$A:$E,4,0),"")</f>
        <v>0.0098</v>
      </c>
      <c r="F1917" s="21" t="n">
        <f aca="false">IF(OR(C1917="",E1917=""),"",C1917*E1917)</f>
        <v>1.96</v>
      </c>
      <c r="G1917" s="22" t="n">
        <f aca="false">IFERROR(VLOOKUP(A1917,NOMENCLATOR!$A:$E,5,0),"")</f>
        <v>0.0098</v>
      </c>
      <c r="H1917" s="22" t="n">
        <f aca="false">IF(OR(C1917="",G1917=""),"",C1917*G1917)</f>
        <v>1.96</v>
      </c>
    </row>
    <row r="1918" customFormat="false" ht="15" hidden="false" customHeight="true" outlineLevel="0" collapsed="false">
      <c r="A1918" s="23" t="str">
        <f aca="false">IF(A1911="","",A1911)</f>
        <v>Caffe Latte NEW D</v>
      </c>
      <c r="B1918" s="24"/>
      <c r="C1918" s="24"/>
      <c r="D1918" s="24"/>
      <c r="E1918" s="24"/>
      <c r="F1918" s="25" t="n">
        <f aca="false">IF(A1911="","",SUM(F1913:F1917))</f>
        <v>6.44195</v>
      </c>
      <c r="G1918" s="24"/>
      <c r="H1918" s="26" t="n">
        <f aca="false">IF(A1911="","",SUM(H1913:H1917))</f>
        <v>6.44195</v>
      </c>
    </row>
    <row r="1920" customFormat="false" ht="15" hidden="false" customHeight="true" outlineLevel="0" collapsed="false">
      <c r="A1920" s="12" t="s">
        <v>586</v>
      </c>
      <c r="B1920" s="13"/>
      <c r="C1920" s="13"/>
      <c r="D1920" s="13"/>
      <c r="E1920" s="13"/>
      <c r="F1920" s="14" t="s">
        <v>552</v>
      </c>
      <c r="G1920" s="13"/>
      <c r="H1920" s="15"/>
    </row>
    <row r="1921" customFormat="false" ht="15" hidden="false" customHeight="true" outlineLevel="0" collapsed="false">
      <c r="A1921" s="16" t="s">
        <v>316</v>
      </c>
      <c r="B1921" s="16" t="s">
        <v>317</v>
      </c>
      <c r="C1921" s="16" t="s">
        <v>318</v>
      </c>
      <c r="D1921" s="16" t="s">
        <v>4</v>
      </c>
      <c r="E1921" s="16" t="s">
        <v>319</v>
      </c>
      <c r="F1921" s="16" t="s">
        <v>320</v>
      </c>
      <c r="G1921" s="16" t="s">
        <v>321</v>
      </c>
      <c r="H1921" s="16" t="s">
        <v>322</v>
      </c>
    </row>
    <row r="1922" customFormat="false" ht="15" hidden="false" customHeight="true" outlineLevel="0" collapsed="false">
      <c r="A1922" s="17" t="s">
        <v>158</v>
      </c>
      <c r="B1922" s="18" t="str">
        <f aca="false">IFERROR(VLOOKUP(A1922,NOMENCLATOR!$A:$E,2,0),"")</f>
        <v>Lapte cafea</v>
      </c>
      <c r="C1922" s="19" t="n">
        <v>165</v>
      </c>
      <c r="D1922" s="20" t="str">
        <f aca="false">IFERROR(VLOOKUP(A1922,NOMENCLATOR!$A:$E,3,0),"")</f>
        <v>ML</v>
      </c>
      <c r="E1922" s="21" t="n">
        <f aca="false">IFERROR(VLOOKUP(A1922,NOMENCLATOR!$A:$E,4,0),"")</f>
        <v>0.0098</v>
      </c>
      <c r="F1922" s="21" t="n">
        <f aca="false">IF(OR(C1922="",E1922=""),"",C1922*E1922)</f>
        <v>1.617</v>
      </c>
      <c r="G1922" s="22" t="n">
        <f aca="false">IFERROR(VLOOKUP(A1922,NOMENCLATOR!$A:$E,5,0),"")</f>
        <v>0.0098</v>
      </c>
      <c r="H1922" s="22" t="n">
        <f aca="false">IF(OR(C1922="",G1922=""),"",C1922*G1922)</f>
        <v>1.617</v>
      </c>
    </row>
    <row r="1923" customFormat="false" ht="15" hidden="false" customHeight="true" outlineLevel="0" collapsed="false">
      <c r="A1923" s="17" t="s">
        <v>152</v>
      </c>
      <c r="B1923" s="18" t="str">
        <f aca="false">IFERROR(VLOOKUP(A1923,NOMENCLATOR!$A:$E,2,0),"")</f>
        <v>Illy Expresso Clasico 1.5 kg</v>
      </c>
      <c r="C1923" s="19" t="n">
        <v>14</v>
      </c>
      <c r="D1923" s="20" t="str">
        <f aca="false">IFERROR(VLOOKUP(A1923,NOMENCLATOR!$A:$E,3,0),"")</f>
        <v>GM</v>
      </c>
      <c r="E1923" s="21" t="n">
        <f aca="false">IFERROR(VLOOKUP(A1923,NOMENCLATOR!$A:$E,4,0),"")</f>
        <v>0.23833</v>
      </c>
      <c r="F1923" s="21" t="n">
        <f aca="false">IF(OR(C1923="",E1923=""),"",C1923*E1923)</f>
        <v>3.33662</v>
      </c>
      <c r="G1923" s="22" t="n">
        <f aca="false">IFERROR(VLOOKUP(A1923,NOMENCLATOR!$A:$E,5,0),"")</f>
        <v>0.23833</v>
      </c>
      <c r="H1923" s="22" t="n">
        <f aca="false">IF(OR(C1923="",G1923=""),"",C1923*G1923)</f>
        <v>3.33662</v>
      </c>
    </row>
    <row r="1924" customFormat="false" ht="15" hidden="false" customHeight="true" outlineLevel="0" collapsed="false">
      <c r="A1924" s="17" t="s">
        <v>192</v>
      </c>
      <c r="B1924" s="18" t="str">
        <f aca="false">IFERROR(VLOOKUP(A1924,NOMENCLATOR!$A:$E,2,0),"")</f>
        <v>Pahar Carton DW Fryday 350ml</v>
      </c>
      <c r="C1924" s="19" t="n">
        <v>1</v>
      </c>
      <c r="D1924" s="20" t="str">
        <f aca="false">IFERROR(VLOOKUP(A1924,NOMENCLATOR!$A:$E,3,0),"")</f>
        <v>EA</v>
      </c>
      <c r="E1924" s="21" t="n">
        <f aca="false">IFERROR(VLOOKUP(A1924,NOMENCLATOR!$A:$E,4,0),"")</f>
        <v>0.487</v>
      </c>
      <c r="F1924" s="21" t="n">
        <f aca="false">IF(OR(C1924="",E1924=""),"",C1924*E1924)</f>
        <v>0.487</v>
      </c>
      <c r="G1924" s="22" t="n">
        <f aca="false">IFERROR(VLOOKUP(A1924,NOMENCLATOR!$A:$E,5,0),"")</f>
        <v>0.487</v>
      </c>
      <c r="H1924" s="22" t="n">
        <f aca="false">IF(OR(C1924="",G1924=""),"",C1924*G1924)</f>
        <v>0.487</v>
      </c>
    </row>
    <row r="1925" customFormat="false" ht="15" hidden="false" customHeight="true" outlineLevel="0" collapsed="false">
      <c r="A1925" s="17" t="s">
        <v>84</v>
      </c>
      <c r="B1925" s="18" t="str">
        <f aca="false">IFERROR(VLOOKUP(A1925,NOMENCLATOR!$A:$E,2,0),"")</f>
        <v>Capac dn plastic SR 90 (12OZ)</v>
      </c>
      <c r="C1925" s="19" t="n">
        <v>1</v>
      </c>
      <c r="D1925" s="20" t="str">
        <f aca="false">IFERROR(VLOOKUP(A1925,NOMENCLATOR!$A:$E,3,0),"")</f>
        <v>EA</v>
      </c>
      <c r="E1925" s="21" t="n">
        <f aca="false">IFERROR(VLOOKUP(A1925,NOMENCLATOR!$A:$E,4,0),"")</f>
        <v>0.209</v>
      </c>
      <c r="F1925" s="21" t="n">
        <f aca="false">IF(OR(C1925="",E1925=""),"",C1925*E1925)</f>
        <v>0.209</v>
      </c>
      <c r="G1925" s="22" t="n">
        <f aca="false">IFERROR(VLOOKUP(A1925,NOMENCLATOR!$A:$E,5,0),"")</f>
        <v>0.209</v>
      </c>
      <c r="H1925" s="22" t="n">
        <f aca="false">IF(OR(C1925="",G1925=""),"",C1925*G1925)</f>
        <v>0.209</v>
      </c>
    </row>
    <row r="1926" customFormat="false" ht="15" hidden="false" customHeight="true" outlineLevel="0" collapsed="false">
      <c r="A1926" s="17" t="s">
        <v>206</v>
      </c>
      <c r="B1926" s="18" t="str">
        <f aca="false">IFERROR(VLOOKUP(A1926,NOMENCLATOR!$A:$E,2,0),"")</f>
        <v>Paletine Lemn 14 cm</v>
      </c>
      <c r="C1926" s="19" t="n">
        <v>1</v>
      </c>
      <c r="D1926" s="20" t="str">
        <f aca="false">IFERROR(VLOOKUP(A1926,NOMENCLATOR!$A:$E,3,0),"")</f>
        <v>EA</v>
      </c>
      <c r="E1926" s="21" t="n">
        <f aca="false">IFERROR(VLOOKUP(A1926,NOMENCLATOR!$A:$E,4,0),"")</f>
        <v>0.013</v>
      </c>
      <c r="F1926" s="21" t="n">
        <f aca="false">IF(OR(C1926="",E1926=""),"",C1926*E1926)</f>
        <v>0.013</v>
      </c>
      <c r="G1926" s="22" t="n">
        <f aca="false">IFERROR(VLOOKUP(A1926,NOMENCLATOR!$A:$E,5,0),"")</f>
        <v>0.013</v>
      </c>
      <c r="H1926" s="22" t="n">
        <f aca="false">IF(OR(C1926="",G1926=""),"",C1926*G1926)</f>
        <v>0.013</v>
      </c>
    </row>
    <row r="1927" customFormat="false" ht="15" hidden="false" customHeight="true" outlineLevel="0" collapsed="false">
      <c r="A1927" s="23" t="str">
        <f aca="false">IF(A1920="","",A1920)</f>
        <v>Caffe Latte Grande NEW</v>
      </c>
      <c r="B1927" s="24"/>
      <c r="C1927" s="24"/>
      <c r="D1927" s="24"/>
      <c r="E1927" s="24"/>
      <c r="F1927" s="25" t="n">
        <f aca="false">IF(A1920="","",SUM(F1922:F1926))</f>
        <v>5.66262</v>
      </c>
      <c r="G1927" s="24"/>
      <c r="H1927" s="26" t="n">
        <f aca="false">IF(A1920="","",SUM(H1922:H1926))</f>
        <v>5.66262</v>
      </c>
    </row>
    <row r="1929" customFormat="false" ht="15" hidden="false" customHeight="true" outlineLevel="0" collapsed="false">
      <c r="A1929" s="12" t="s">
        <v>587</v>
      </c>
      <c r="B1929" s="13"/>
      <c r="C1929" s="13"/>
      <c r="D1929" s="13"/>
      <c r="E1929" s="13"/>
      <c r="F1929" s="14" t="s">
        <v>552</v>
      </c>
      <c r="G1929" s="13"/>
      <c r="H1929" s="15"/>
    </row>
    <row r="1930" customFormat="false" ht="15" hidden="false" customHeight="true" outlineLevel="0" collapsed="false">
      <c r="A1930" s="16" t="s">
        <v>316</v>
      </c>
      <c r="B1930" s="16" t="s">
        <v>317</v>
      </c>
      <c r="C1930" s="16" t="s">
        <v>318</v>
      </c>
      <c r="D1930" s="16" t="s">
        <v>4</v>
      </c>
      <c r="E1930" s="16" t="s">
        <v>319</v>
      </c>
      <c r="F1930" s="16" t="s">
        <v>320</v>
      </c>
      <c r="G1930" s="16" t="s">
        <v>321</v>
      </c>
      <c r="H1930" s="16" t="s">
        <v>322</v>
      </c>
    </row>
    <row r="1931" customFormat="false" ht="15" hidden="false" customHeight="true" outlineLevel="0" collapsed="false">
      <c r="A1931" s="17" t="s">
        <v>158</v>
      </c>
      <c r="B1931" s="18" t="str">
        <f aca="false">IFERROR(VLOOKUP(A1931,NOMENCLATOR!$A:$E,2,0),"")</f>
        <v>Lapte cafea</v>
      </c>
      <c r="C1931" s="19" t="n">
        <v>165</v>
      </c>
      <c r="D1931" s="20" t="str">
        <f aca="false">IFERROR(VLOOKUP(A1931,NOMENCLATOR!$A:$E,3,0),"")</f>
        <v>ML</v>
      </c>
      <c r="E1931" s="21" t="n">
        <f aca="false">IFERROR(VLOOKUP(A1931,NOMENCLATOR!$A:$E,4,0),"")</f>
        <v>0.0098</v>
      </c>
      <c r="F1931" s="21" t="n">
        <f aca="false">IF(OR(C1931="",E1931=""),"",C1931*E1931)</f>
        <v>1.617</v>
      </c>
      <c r="G1931" s="22" t="n">
        <f aca="false">IFERROR(VLOOKUP(A1931,NOMENCLATOR!$A:$E,5,0),"")</f>
        <v>0.0098</v>
      </c>
      <c r="H1931" s="22" t="n">
        <f aca="false">IF(OR(C1931="",G1931=""),"",C1931*G1931)</f>
        <v>1.617</v>
      </c>
    </row>
    <row r="1932" customFormat="false" ht="15" hidden="false" customHeight="true" outlineLevel="0" collapsed="false">
      <c r="A1932" s="17" t="s">
        <v>152</v>
      </c>
      <c r="B1932" s="18" t="str">
        <f aca="false">IFERROR(VLOOKUP(A1932,NOMENCLATOR!$A:$E,2,0),"")</f>
        <v>Illy Expresso Clasico 1.5 kg</v>
      </c>
      <c r="C1932" s="19" t="n">
        <v>14</v>
      </c>
      <c r="D1932" s="20" t="str">
        <f aca="false">IFERROR(VLOOKUP(A1932,NOMENCLATOR!$A:$E,3,0),"")</f>
        <v>GM</v>
      </c>
      <c r="E1932" s="21" t="n">
        <f aca="false">IFERROR(VLOOKUP(A1932,NOMENCLATOR!$A:$E,4,0),"")</f>
        <v>0.23833</v>
      </c>
      <c r="F1932" s="21" t="n">
        <f aca="false">IF(OR(C1932="",E1932=""),"",C1932*E1932)</f>
        <v>3.33662</v>
      </c>
      <c r="G1932" s="22" t="n">
        <f aca="false">IFERROR(VLOOKUP(A1932,NOMENCLATOR!$A:$E,5,0),"")</f>
        <v>0.23833</v>
      </c>
      <c r="H1932" s="22" t="n">
        <f aca="false">IF(OR(C1932="",G1932=""),"",C1932*G1932)</f>
        <v>3.33662</v>
      </c>
    </row>
    <row r="1933" customFormat="false" ht="15" hidden="false" customHeight="true" outlineLevel="0" collapsed="false">
      <c r="A1933" s="17" t="s">
        <v>192</v>
      </c>
      <c r="B1933" s="18" t="str">
        <f aca="false">IFERROR(VLOOKUP(A1933,NOMENCLATOR!$A:$E,2,0),"")</f>
        <v>Pahar Carton DW Fryday 350ml</v>
      </c>
      <c r="C1933" s="19" t="n">
        <v>1</v>
      </c>
      <c r="D1933" s="20" t="str">
        <f aca="false">IFERROR(VLOOKUP(A1933,NOMENCLATOR!$A:$E,3,0),"")</f>
        <v>EA</v>
      </c>
      <c r="E1933" s="21" t="n">
        <f aca="false">IFERROR(VLOOKUP(A1933,NOMENCLATOR!$A:$E,4,0),"")</f>
        <v>0.487</v>
      </c>
      <c r="F1933" s="21" t="n">
        <f aca="false">IF(OR(C1933="",E1933=""),"",C1933*E1933)</f>
        <v>0.487</v>
      </c>
      <c r="G1933" s="22" t="n">
        <f aca="false">IFERROR(VLOOKUP(A1933,NOMENCLATOR!$A:$E,5,0),"")</f>
        <v>0.487</v>
      </c>
      <c r="H1933" s="22" t="n">
        <f aca="false">IF(OR(C1933="",G1933=""),"",C1933*G1933)</f>
        <v>0.487</v>
      </c>
    </row>
    <row r="1934" customFormat="false" ht="15" hidden="false" customHeight="true" outlineLevel="0" collapsed="false">
      <c r="A1934" s="17" t="s">
        <v>84</v>
      </c>
      <c r="B1934" s="18" t="str">
        <f aca="false">IFERROR(VLOOKUP(A1934,NOMENCLATOR!$A:$E,2,0),"")</f>
        <v>Capac dn plastic SR 90 (12OZ)</v>
      </c>
      <c r="C1934" s="19" t="n">
        <v>1</v>
      </c>
      <c r="D1934" s="20" t="str">
        <f aca="false">IFERROR(VLOOKUP(A1934,NOMENCLATOR!$A:$E,3,0),"")</f>
        <v>EA</v>
      </c>
      <c r="E1934" s="21" t="n">
        <f aca="false">IFERROR(VLOOKUP(A1934,NOMENCLATOR!$A:$E,4,0),"")</f>
        <v>0.209</v>
      </c>
      <c r="F1934" s="21" t="n">
        <f aca="false">IF(OR(C1934="",E1934=""),"",C1934*E1934)</f>
        <v>0.209</v>
      </c>
      <c r="G1934" s="22" t="n">
        <f aca="false">IFERROR(VLOOKUP(A1934,NOMENCLATOR!$A:$E,5,0),"")</f>
        <v>0.209</v>
      </c>
      <c r="H1934" s="22" t="n">
        <f aca="false">IF(OR(C1934="",G1934=""),"",C1934*G1934)</f>
        <v>0.209</v>
      </c>
    </row>
    <row r="1935" customFormat="false" ht="15" hidden="false" customHeight="true" outlineLevel="0" collapsed="false">
      <c r="A1935" s="17" t="s">
        <v>206</v>
      </c>
      <c r="B1935" s="18" t="str">
        <f aca="false">IFERROR(VLOOKUP(A1935,NOMENCLATOR!$A:$E,2,0),"")</f>
        <v>Paletine Lemn 14 cm</v>
      </c>
      <c r="C1935" s="19" t="n">
        <v>1</v>
      </c>
      <c r="D1935" s="20" t="str">
        <f aca="false">IFERROR(VLOOKUP(A1935,NOMENCLATOR!$A:$E,3,0),"")</f>
        <v>EA</v>
      </c>
      <c r="E1935" s="21" t="n">
        <f aca="false">IFERROR(VLOOKUP(A1935,NOMENCLATOR!$A:$E,4,0),"")</f>
        <v>0.013</v>
      </c>
      <c r="F1935" s="21" t="n">
        <f aca="false">IF(OR(C1935="",E1935=""),"",C1935*E1935)</f>
        <v>0.013</v>
      </c>
      <c r="G1935" s="22" t="n">
        <f aca="false">IFERROR(VLOOKUP(A1935,NOMENCLATOR!$A:$E,5,0),"")</f>
        <v>0.013</v>
      </c>
      <c r="H1935" s="22" t="n">
        <f aca="false">IF(OR(C1935="",G1935=""),"",C1935*G1935)</f>
        <v>0.013</v>
      </c>
    </row>
    <row r="1936" customFormat="false" ht="15" hidden="false" customHeight="true" outlineLevel="0" collapsed="false">
      <c r="A1936" s="23" t="str">
        <f aca="false">IF(A1929="","",A1929)</f>
        <v>Caffe Latte Grande NEW D</v>
      </c>
      <c r="B1936" s="24"/>
      <c r="C1936" s="24"/>
      <c r="D1936" s="24"/>
      <c r="E1936" s="24"/>
      <c r="F1936" s="25" t="n">
        <f aca="false">IF(A1929="","",SUM(F1931:F1935))</f>
        <v>5.66262</v>
      </c>
      <c r="G1936" s="24"/>
      <c r="H1936" s="26" t="n">
        <f aca="false">IF(A1929="","",SUM(H1931:H1935))</f>
        <v>5.66262</v>
      </c>
    </row>
    <row r="1938" customFormat="false" ht="15" hidden="false" customHeight="true" outlineLevel="0" collapsed="false">
      <c r="A1938" s="12" t="s">
        <v>588</v>
      </c>
      <c r="B1938" s="13"/>
      <c r="C1938" s="13"/>
      <c r="D1938" s="13"/>
      <c r="E1938" s="13"/>
      <c r="F1938" s="14" t="s">
        <v>552</v>
      </c>
      <c r="G1938" s="13"/>
      <c r="H1938" s="15"/>
    </row>
    <row r="1939" customFormat="false" ht="15" hidden="false" customHeight="true" outlineLevel="0" collapsed="false">
      <c r="A1939" s="16" t="s">
        <v>316</v>
      </c>
      <c r="B1939" s="16" t="s">
        <v>317</v>
      </c>
      <c r="C1939" s="16" t="s">
        <v>318</v>
      </c>
      <c r="D1939" s="16" t="s">
        <v>4</v>
      </c>
      <c r="E1939" s="16" t="s">
        <v>319</v>
      </c>
      <c r="F1939" s="16" t="s">
        <v>320</v>
      </c>
      <c r="G1939" s="16" t="s">
        <v>321</v>
      </c>
      <c r="H1939" s="16" t="s">
        <v>322</v>
      </c>
    </row>
    <row r="1940" customFormat="false" ht="15" hidden="false" customHeight="true" outlineLevel="0" collapsed="false">
      <c r="A1940" s="17" t="s">
        <v>158</v>
      </c>
      <c r="B1940" s="18" t="str">
        <f aca="false">IFERROR(VLOOKUP(A1940,NOMENCLATOR!$A:$E,2,0),"")</f>
        <v>Lapte cafea</v>
      </c>
      <c r="C1940" s="19" t="n">
        <v>130</v>
      </c>
      <c r="D1940" s="20" t="str">
        <f aca="false">IFERROR(VLOOKUP(A1940,NOMENCLATOR!$A:$E,3,0),"")</f>
        <v>ML</v>
      </c>
      <c r="E1940" s="21" t="n">
        <f aca="false">IFERROR(VLOOKUP(A1940,NOMENCLATOR!$A:$E,4,0),"")</f>
        <v>0.0098</v>
      </c>
      <c r="F1940" s="21" t="n">
        <f aca="false">IF(OR(C1940="",E1940=""),"",C1940*E1940)</f>
        <v>1.274</v>
      </c>
      <c r="G1940" s="22" t="n">
        <f aca="false">IFERROR(VLOOKUP(A1940,NOMENCLATOR!$A:$E,5,0),"")</f>
        <v>0.0098</v>
      </c>
      <c r="H1940" s="22" t="n">
        <f aca="false">IF(OR(C1940="",G1940=""),"",C1940*G1940)</f>
        <v>1.274</v>
      </c>
    </row>
    <row r="1941" customFormat="false" ht="15" hidden="false" customHeight="true" outlineLevel="0" collapsed="false">
      <c r="A1941" s="17" t="s">
        <v>152</v>
      </c>
      <c r="B1941" s="18" t="str">
        <f aca="false">IFERROR(VLOOKUP(A1941,NOMENCLATOR!$A:$E,2,0),"")</f>
        <v>Illy Expresso Clasico 1.5 kg</v>
      </c>
      <c r="C1941" s="19" t="n">
        <v>12</v>
      </c>
      <c r="D1941" s="20" t="str">
        <f aca="false">IFERROR(VLOOKUP(A1941,NOMENCLATOR!$A:$E,3,0),"")</f>
        <v>GM</v>
      </c>
      <c r="E1941" s="21" t="n">
        <f aca="false">IFERROR(VLOOKUP(A1941,NOMENCLATOR!$A:$E,4,0),"")</f>
        <v>0.23833</v>
      </c>
      <c r="F1941" s="21" t="n">
        <f aca="false">IF(OR(C1941="",E1941=""),"",C1941*E1941)</f>
        <v>2.85996</v>
      </c>
      <c r="G1941" s="22" t="n">
        <f aca="false">IFERROR(VLOOKUP(A1941,NOMENCLATOR!$A:$E,5,0),"")</f>
        <v>0.23833</v>
      </c>
      <c r="H1941" s="22" t="n">
        <f aca="false">IF(OR(C1941="",G1941=""),"",C1941*G1941)</f>
        <v>2.85996</v>
      </c>
    </row>
    <row r="1942" customFormat="false" ht="15" hidden="false" customHeight="true" outlineLevel="0" collapsed="false">
      <c r="A1942" s="17" t="s">
        <v>190</v>
      </c>
      <c r="B1942" s="18" t="str">
        <f aca="false">IFERROR(VLOOKUP(A1942,NOMENCLATOR!$A:$E,2,0),"")</f>
        <v>Pahar Carton DW Fryday 250ml</v>
      </c>
      <c r="C1942" s="19" t="n">
        <v>1</v>
      </c>
      <c r="D1942" s="20" t="str">
        <f aca="false">IFERROR(VLOOKUP(A1942,NOMENCLATOR!$A:$E,3,0),"")</f>
        <v>EA</v>
      </c>
      <c r="E1942" s="21" t="n">
        <f aca="false">IFERROR(VLOOKUP(A1942,NOMENCLATOR!$A:$E,4,0),"")</f>
        <v>0.734</v>
      </c>
      <c r="F1942" s="21" t="n">
        <f aca="false">IF(OR(C1942="",E1942=""),"",C1942*E1942)</f>
        <v>0.734</v>
      </c>
      <c r="G1942" s="22" t="n">
        <f aca="false">IFERROR(VLOOKUP(A1942,NOMENCLATOR!$A:$E,5,0),"")</f>
        <v>0.734</v>
      </c>
      <c r="H1942" s="22" t="n">
        <f aca="false">IF(OR(C1942="",G1942=""),"",C1942*G1942)</f>
        <v>0.734</v>
      </c>
    </row>
    <row r="1943" customFormat="false" ht="15" hidden="false" customHeight="true" outlineLevel="0" collapsed="false">
      <c r="A1943" s="17" t="s">
        <v>82</v>
      </c>
      <c r="B1943" s="18" t="str">
        <f aca="false">IFERROR(VLOOKUP(A1943,NOMENCLATOR!$A:$E,2,0),"")</f>
        <v>Capac din plastic SR 80 (8OZ)</v>
      </c>
      <c r="C1943" s="19" t="n">
        <v>1</v>
      </c>
      <c r="D1943" s="20" t="str">
        <f aca="false">IFERROR(VLOOKUP(A1943,NOMENCLATOR!$A:$E,3,0),"")</f>
        <v>EA</v>
      </c>
      <c r="E1943" s="21" t="n">
        <f aca="false">IFERROR(VLOOKUP(A1943,NOMENCLATOR!$A:$E,4,0),"")</f>
        <v>0.16</v>
      </c>
      <c r="F1943" s="21" t="n">
        <f aca="false">IF(OR(C1943="",E1943=""),"",C1943*E1943)</f>
        <v>0.16</v>
      </c>
      <c r="G1943" s="22" t="n">
        <f aca="false">IFERROR(VLOOKUP(A1943,NOMENCLATOR!$A:$E,5,0),"")</f>
        <v>0.16</v>
      </c>
      <c r="H1943" s="22" t="n">
        <f aca="false">IF(OR(C1943="",G1943=""),"",C1943*G1943)</f>
        <v>0.16</v>
      </c>
    </row>
    <row r="1944" customFormat="false" ht="15" hidden="false" customHeight="true" outlineLevel="0" collapsed="false">
      <c r="A1944" s="17" t="s">
        <v>206</v>
      </c>
      <c r="B1944" s="18" t="str">
        <f aca="false">IFERROR(VLOOKUP(A1944,NOMENCLATOR!$A:$E,2,0),"")</f>
        <v>Paletine Lemn 14 cm</v>
      </c>
      <c r="C1944" s="19" t="n">
        <v>1</v>
      </c>
      <c r="D1944" s="20" t="str">
        <f aca="false">IFERROR(VLOOKUP(A1944,NOMENCLATOR!$A:$E,3,0),"")</f>
        <v>EA</v>
      </c>
      <c r="E1944" s="21" t="n">
        <f aca="false">IFERROR(VLOOKUP(A1944,NOMENCLATOR!$A:$E,4,0),"")</f>
        <v>0.013</v>
      </c>
      <c r="F1944" s="21" t="n">
        <f aca="false">IF(OR(C1944="",E1944=""),"",C1944*E1944)</f>
        <v>0.013</v>
      </c>
      <c r="G1944" s="22" t="n">
        <f aca="false">IFERROR(VLOOKUP(A1944,NOMENCLATOR!$A:$E,5,0),"")</f>
        <v>0.013</v>
      </c>
      <c r="H1944" s="22" t="n">
        <f aca="false">IF(OR(C1944="",G1944=""),"",C1944*G1944)</f>
        <v>0.013</v>
      </c>
    </row>
    <row r="1945" customFormat="false" ht="15" hidden="false" customHeight="true" outlineLevel="0" collapsed="false">
      <c r="A1945" s="23" t="str">
        <f aca="false">IF(A1938="","",A1938)</f>
        <v>Cioco Cappucino NEW</v>
      </c>
      <c r="B1945" s="24"/>
      <c r="C1945" s="24"/>
      <c r="D1945" s="24"/>
      <c r="E1945" s="24"/>
      <c r="F1945" s="25" t="n">
        <f aca="false">IF(A1938="","",SUM(F1940:F1944))</f>
        <v>5.04096</v>
      </c>
      <c r="G1945" s="24"/>
      <c r="H1945" s="26" t="n">
        <f aca="false">IF(A1938="","",SUM(H1940:H1944))</f>
        <v>5.04096</v>
      </c>
    </row>
    <row r="1947" customFormat="false" ht="15" hidden="false" customHeight="true" outlineLevel="0" collapsed="false">
      <c r="A1947" s="12" t="s">
        <v>589</v>
      </c>
      <c r="B1947" s="13"/>
      <c r="C1947" s="13"/>
      <c r="D1947" s="13"/>
      <c r="E1947" s="13"/>
      <c r="F1947" s="14" t="s">
        <v>552</v>
      </c>
      <c r="G1947" s="13"/>
      <c r="H1947" s="15"/>
    </row>
    <row r="1948" customFormat="false" ht="15" hidden="false" customHeight="true" outlineLevel="0" collapsed="false">
      <c r="A1948" s="16" t="s">
        <v>316</v>
      </c>
      <c r="B1948" s="16" t="s">
        <v>317</v>
      </c>
      <c r="C1948" s="16" t="s">
        <v>318</v>
      </c>
      <c r="D1948" s="16" t="s">
        <v>4</v>
      </c>
      <c r="E1948" s="16" t="s">
        <v>319</v>
      </c>
      <c r="F1948" s="16" t="s">
        <v>320</v>
      </c>
      <c r="G1948" s="16" t="s">
        <v>321</v>
      </c>
      <c r="H1948" s="16" t="s">
        <v>322</v>
      </c>
    </row>
    <row r="1949" customFormat="false" ht="15" hidden="false" customHeight="true" outlineLevel="0" collapsed="false">
      <c r="A1949" s="17" t="s">
        <v>158</v>
      </c>
      <c r="B1949" s="18" t="str">
        <f aca="false">IFERROR(VLOOKUP(A1949,NOMENCLATOR!$A:$E,2,0),"")</f>
        <v>Lapte cafea</v>
      </c>
      <c r="C1949" s="19" t="n">
        <v>130</v>
      </c>
      <c r="D1949" s="20" t="str">
        <f aca="false">IFERROR(VLOOKUP(A1949,NOMENCLATOR!$A:$E,3,0),"")</f>
        <v>ML</v>
      </c>
      <c r="E1949" s="21" t="n">
        <f aca="false">IFERROR(VLOOKUP(A1949,NOMENCLATOR!$A:$E,4,0),"")</f>
        <v>0.0098</v>
      </c>
      <c r="F1949" s="21" t="n">
        <f aca="false">IF(OR(C1949="",E1949=""),"",C1949*E1949)</f>
        <v>1.274</v>
      </c>
      <c r="G1949" s="22" t="n">
        <f aca="false">IFERROR(VLOOKUP(A1949,NOMENCLATOR!$A:$E,5,0),"")</f>
        <v>0.0098</v>
      </c>
      <c r="H1949" s="22" t="n">
        <f aca="false">IF(OR(C1949="",G1949=""),"",C1949*G1949)</f>
        <v>1.274</v>
      </c>
    </row>
    <row r="1950" customFormat="false" ht="15" hidden="false" customHeight="true" outlineLevel="0" collapsed="false">
      <c r="A1950" s="17" t="s">
        <v>152</v>
      </c>
      <c r="B1950" s="18" t="str">
        <f aca="false">IFERROR(VLOOKUP(A1950,NOMENCLATOR!$A:$E,2,0),"")</f>
        <v>Illy Expresso Clasico 1.5 kg</v>
      </c>
      <c r="C1950" s="19" t="n">
        <v>12</v>
      </c>
      <c r="D1950" s="20" t="str">
        <f aca="false">IFERROR(VLOOKUP(A1950,NOMENCLATOR!$A:$E,3,0),"")</f>
        <v>GM</v>
      </c>
      <c r="E1950" s="21" t="n">
        <f aca="false">IFERROR(VLOOKUP(A1950,NOMENCLATOR!$A:$E,4,0),"")</f>
        <v>0.23833</v>
      </c>
      <c r="F1950" s="21" t="n">
        <f aca="false">IF(OR(C1950="",E1950=""),"",C1950*E1950)</f>
        <v>2.85996</v>
      </c>
      <c r="G1950" s="22" t="n">
        <f aca="false">IFERROR(VLOOKUP(A1950,NOMENCLATOR!$A:$E,5,0),"")</f>
        <v>0.23833</v>
      </c>
      <c r="H1950" s="22" t="n">
        <f aca="false">IF(OR(C1950="",G1950=""),"",C1950*G1950)</f>
        <v>2.85996</v>
      </c>
    </row>
    <row r="1951" customFormat="false" ht="15" hidden="false" customHeight="true" outlineLevel="0" collapsed="false">
      <c r="A1951" s="17" t="s">
        <v>190</v>
      </c>
      <c r="B1951" s="18" t="str">
        <f aca="false">IFERROR(VLOOKUP(A1951,NOMENCLATOR!$A:$E,2,0),"")</f>
        <v>Pahar Carton DW Fryday 250ml</v>
      </c>
      <c r="C1951" s="19" t="n">
        <v>1</v>
      </c>
      <c r="D1951" s="20" t="str">
        <f aca="false">IFERROR(VLOOKUP(A1951,NOMENCLATOR!$A:$E,3,0),"")</f>
        <v>EA</v>
      </c>
      <c r="E1951" s="21" t="n">
        <f aca="false">IFERROR(VLOOKUP(A1951,NOMENCLATOR!$A:$E,4,0),"")</f>
        <v>0.734</v>
      </c>
      <c r="F1951" s="21" t="n">
        <f aca="false">IF(OR(C1951="",E1951=""),"",C1951*E1951)</f>
        <v>0.734</v>
      </c>
      <c r="G1951" s="22" t="n">
        <f aca="false">IFERROR(VLOOKUP(A1951,NOMENCLATOR!$A:$E,5,0),"")</f>
        <v>0.734</v>
      </c>
      <c r="H1951" s="22" t="n">
        <f aca="false">IF(OR(C1951="",G1951=""),"",C1951*G1951)</f>
        <v>0.734</v>
      </c>
    </row>
    <row r="1952" customFormat="false" ht="15" hidden="false" customHeight="true" outlineLevel="0" collapsed="false">
      <c r="A1952" s="17" t="s">
        <v>82</v>
      </c>
      <c r="B1952" s="18" t="str">
        <f aca="false">IFERROR(VLOOKUP(A1952,NOMENCLATOR!$A:$E,2,0),"")</f>
        <v>Capac din plastic SR 80 (8OZ)</v>
      </c>
      <c r="C1952" s="19" t="n">
        <v>1</v>
      </c>
      <c r="D1952" s="20" t="str">
        <f aca="false">IFERROR(VLOOKUP(A1952,NOMENCLATOR!$A:$E,3,0),"")</f>
        <v>EA</v>
      </c>
      <c r="E1952" s="21" t="n">
        <f aca="false">IFERROR(VLOOKUP(A1952,NOMENCLATOR!$A:$E,4,0),"")</f>
        <v>0.16</v>
      </c>
      <c r="F1952" s="21" t="n">
        <f aca="false">IF(OR(C1952="",E1952=""),"",C1952*E1952)</f>
        <v>0.16</v>
      </c>
      <c r="G1952" s="22" t="n">
        <f aca="false">IFERROR(VLOOKUP(A1952,NOMENCLATOR!$A:$E,5,0),"")</f>
        <v>0.16</v>
      </c>
      <c r="H1952" s="22" t="n">
        <f aca="false">IF(OR(C1952="",G1952=""),"",C1952*G1952)</f>
        <v>0.16</v>
      </c>
    </row>
    <row r="1953" customFormat="false" ht="15" hidden="false" customHeight="true" outlineLevel="0" collapsed="false">
      <c r="A1953" s="17" t="s">
        <v>206</v>
      </c>
      <c r="B1953" s="18" t="str">
        <f aca="false">IFERROR(VLOOKUP(A1953,NOMENCLATOR!$A:$E,2,0),"")</f>
        <v>Paletine Lemn 14 cm</v>
      </c>
      <c r="C1953" s="19" t="n">
        <v>1</v>
      </c>
      <c r="D1953" s="20" t="str">
        <f aca="false">IFERROR(VLOOKUP(A1953,NOMENCLATOR!$A:$E,3,0),"")</f>
        <v>EA</v>
      </c>
      <c r="E1953" s="21" t="n">
        <f aca="false">IFERROR(VLOOKUP(A1953,NOMENCLATOR!$A:$E,4,0),"")</f>
        <v>0.013</v>
      </c>
      <c r="F1953" s="21" t="n">
        <f aca="false">IF(OR(C1953="",E1953=""),"",C1953*E1953)</f>
        <v>0.013</v>
      </c>
      <c r="G1953" s="22" t="n">
        <f aca="false">IFERROR(VLOOKUP(A1953,NOMENCLATOR!$A:$E,5,0),"")</f>
        <v>0.013</v>
      </c>
      <c r="H1953" s="22" t="n">
        <f aca="false">IF(OR(C1953="",G1953=""),"",C1953*G1953)</f>
        <v>0.013</v>
      </c>
    </row>
    <row r="1954" customFormat="false" ht="15" hidden="false" customHeight="true" outlineLevel="0" collapsed="false">
      <c r="A1954" s="23" t="str">
        <f aca="false">IF(A1947="","",A1947)</f>
        <v>Cioco Cappucino NEW D</v>
      </c>
      <c r="B1954" s="24"/>
      <c r="C1954" s="24"/>
      <c r="D1954" s="24"/>
      <c r="E1954" s="24"/>
      <c r="F1954" s="25" t="n">
        <f aca="false">IF(A1947="","",SUM(F1949:F1953))</f>
        <v>5.04096</v>
      </c>
      <c r="G1954" s="24"/>
      <c r="H1954" s="26" t="n">
        <f aca="false">IF(A1947="","",SUM(H1949:H1953))</f>
        <v>5.04096</v>
      </c>
    </row>
    <row r="1956" customFormat="false" ht="15" hidden="false" customHeight="true" outlineLevel="0" collapsed="false">
      <c r="A1956" s="12" t="s">
        <v>590</v>
      </c>
      <c r="B1956" s="13"/>
      <c r="C1956" s="13"/>
      <c r="D1956" s="13"/>
      <c r="E1956" s="13"/>
      <c r="F1956" s="14" t="s">
        <v>552</v>
      </c>
      <c r="G1956" s="13"/>
      <c r="H1956" s="15"/>
    </row>
    <row r="1957" customFormat="false" ht="15" hidden="false" customHeight="true" outlineLevel="0" collapsed="false">
      <c r="A1957" s="16" t="s">
        <v>316</v>
      </c>
      <c r="B1957" s="16" t="s">
        <v>317</v>
      </c>
      <c r="C1957" s="16" t="s">
        <v>318</v>
      </c>
      <c r="D1957" s="16" t="s">
        <v>4</v>
      </c>
      <c r="E1957" s="16" t="s">
        <v>319</v>
      </c>
      <c r="F1957" s="16" t="s">
        <v>320</v>
      </c>
      <c r="G1957" s="16" t="s">
        <v>321</v>
      </c>
      <c r="H1957" s="16" t="s">
        <v>322</v>
      </c>
    </row>
    <row r="1958" customFormat="false" ht="15" hidden="false" customHeight="true" outlineLevel="0" collapsed="false">
      <c r="A1958" s="17" t="s">
        <v>158</v>
      </c>
      <c r="B1958" s="18" t="str">
        <f aca="false">IFERROR(VLOOKUP(A1958,NOMENCLATOR!$A:$E,2,0),"")</f>
        <v>Lapte cafea</v>
      </c>
      <c r="C1958" s="19" t="n">
        <v>165</v>
      </c>
      <c r="D1958" s="20" t="str">
        <f aca="false">IFERROR(VLOOKUP(A1958,NOMENCLATOR!$A:$E,3,0),"")</f>
        <v>ML</v>
      </c>
      <c r="E1958" s="21" t="n">
        <f aca="false">IFERROR(VLOOKUP(A1958,NOMENCLATOR!$A:$E,4,0),"")</f>
        <v>0.0098</v>
      </c>
      <c r="F1958" s="21" t="n">
        <f aca="false">IF(OR(C1958="",E1958=""),"",C1958*E1958)</f>
        <v>1.617</v>
      </c>
      <c r="G1958" s="22" t="n">
        <f aca="false">IFERROR(VLOOKUP(A1958,NOMENCLATOR!$A:$E,5,0),"")</f>
        <v>0.0098</v>
      </c>
      <c r="H1958" s="22" t="n">
        <f aca="false">IF(OR(C1958="",G1958=""),"",C1958*G1958)</f>
        <v>1.617</v>
      </c>
    </row>
    <row r="1959" customFormat="false" ht="15" hidden="false" customHeight="true" outlineLevel="0" collapsed="false">
      <c r="A1959" s="17" t="s">
        <v>152</v>
      </c>
      <c r="B1959" s="18" t="str">
        <f aca="false">IFERROR(VLOOKUP(A1959,NOMENCLATOR!$A:$E,2,0),"")</f>
        <v>Illy Expresso Clasico 1.5 kg</v>
      </c>
      <c r="C1959" s="19" t="n">
        <v>14</v>
      </c>
      <c r="D1959" s="20" t="str">
        <f aca="false">IFERROR(VLOOKUP(A1959,NOMENCLATOR!$A:$E,3,0),"")</f>
        <v>GM</v>
      </c>
      <c r="E1959" s="21" t="n">
        <f aca="false">IFERROR(VLOOKUP(A1959,NOMENCLATOR!$A:$E,4,0),"")</f>
        <v>0.23833</v>
      </c>
      <c r="F1959" s="21" t="n">
        <f aca="false">IF(OR(C1959="",E1959=""),"",C1959*E1959)</f>
        <v>3.33662</v>
      </c>
      <c r="G1959" s="22" t="n">
        <f aca="false">IFERROR(VLOOKUP(A1959,NOMENCLATOR!$A:$E,5,0),"")</f>
        <v>0.23833</v>
      </c>
      <c r="H1959" s="22" t="n">
        <f aca="false">IF(OR(C1959="",G1959=""),"",C1959*G1959)</f>
        <v>3.33662</v>
      </c>
    </row>
    <row r="1960" customFormat="false" ht="15" hidden="false" customHeight="true" outlineLevel="0" collapsed="false">
      <c r="A1960" s="17" t="s">
        <v>192</v>
      </c>
      <c r="B1960" s="18" t="str">
        <f aca="false">IFERROR(VLOOKUP(A1960,NOMENCLATOR!$A:$E,2,0),"")</f>
        <v>Pahar Carton DW Fryday 350ml</v>
      </c>
      <c r="C1960" s="19" t="n">
        <v>1</v>
      </c>
      <c r="D1960" s="20" t="str">
        <f aca="false">IFERROR(VLOOKUP(A1960,NOMENCLATOR!$A:$E,3,0),"")</f>
        <v>EA</v>
      </c>
      <c r="E1960" s="21" t="n">
        <f aca="false">IFERROR(VLOOKUP(A1960,NOMENCLATOR!$A:$E,4,0),"")</f>
        <v>0.487</v>
      </c>
      <c r="F1960" s="21" t="n">
        <f aca="false">IF(OR(C1960="",E1960=""),"",C1960*E1960)</f>
        <v>0.487</v>
      </c>
      <c r="G1960" s="22" t="n">
        <f aca="false">IFERROR(VLOOKUP(A1960,NOMENCLATOR!$A:$E,5,0),"")</f>
        <v>0.487</v>
      </c>
      <c r="H1960" s="22" t="n">
        <f aca="false">IF(OR(C1960="",G1960=""),"",C1960*G1960)</f>
        <v>0.487</v>
      </c>
    </row>
    <row r="1961" customFormat="false" ht="15" hidden="false" customHeight="true" outlineLevel="0" collapsed="false">
      <c r="A1961" s="17" t="s">
        <v>84</v>
      </c>
      <c r="B1961" s="18" t="str">
        <f aca="false">IFERROR(VLOOKUP(A1961,NOMENCLATOR!$A:$E,2,0),"")</f>
        <v>Capac dn plastic SR 90 (12OZ)</v>
      </c>
      <c r="C1961" s="19" t="n">
        <v>1</v>
      </c>
      <c r="D1961" s="20" t="str">
        <f aca="false">IFERROR(VLOOKUP(A1961,NOMENCLATOR!$A:$E,3,0),"")</f>
        <v>EA</v>
      </c>
      <c r="E1961" s="21" t="n">
        <f aca="false">IFERROR(VLOOKUP(A1961,NOMENCLATOR!$A:$E,4,0),"")</f>
        <v>0.209</v>
      </c>
      <c r="F1961" s="21" t="n">
        <f aca="false">IF(OR(C1961="",E1961=""),"",C1961*E1961)</f>
        <v>0.209</v>
      </c>
      <c r="G1961" s="22" t="n">
        <f aca="false">IFERROR(VLOOKUP(A1961,NOMENCLATOR!$A:$E,5,0),"")</f>
        <v>0.209</v>
      </c>
      <c r="H1961" s="22" t="n">
        <f aca="false">IF(OR(C1961="",G1961=""),"",C1961*G1961)</f>
        <v>0.209</v>
      </c>
    </row>
    <row r="1962" customFormat="false" ht="15" hidden="false" customHeight="true" outlineLevel="0" collapsed="false">
      <c r="A1962" s="17" t="s">
        <v>206</v>
      </c>
      <c r="B1962" s="18" t="str">
        <f aca="false">IFERROR(VLOOKUP(A1962,NOMENCLATOR!$A:$E,2,0),"")</f>
        <v>Paletine Lemn 14 cm</v>
      </c>
      <c r="C1962" s="19" t="n">
        <v>1</v>
      </c>
      <c r="D1962" s="20" t="str">
        <f aca="false">IFERROR(VLOOKUP(A1962,NOMENCLATOR!$A:$E,3,0),"")</f>
        <v>EA</v>
      </c>
      <c r="E1962" s="21" t="n">
        <f aca="false">IFERROR(VLOOKUP(A1962,NOMENCLATOR!$A:$E,4,0),"")</f>
        <v>0.013</v>
      </c>
      <c r="F1962" s="21" t="n">
        <f aca="false">IF(OR(C1962="",E1962=""),"",C1962*E1962)</f>
        <v>0.013</v>
      </c>
      <c r="G1962" s="22" t="n">
        <f aca="false">IFERROR(VLOOKUP(A1962,NOMENCLATOR!$A:$E,5,0),"")</f>
        <v>0.013</v>
      </c>
      <c r="H1962" s="22" t="n">
        <f aca="false">IF(OR(C1962="",G1962=""),"",C1962*G1962)</f>
        <v>0.013</v>
      </c>
    </row>
    <row r="1963" customFormat="false" ht="15" hidden="false" customHeight="true" outlineLevel="0" collapsed="false">
      <c r="A1963" s="23" t="str">
        <f aca="false">IF(A1956="","",A1956)</f>
        <v>Cioco Cappucino Grande new</v>
      </c>
      <c r="B1963" s="24"/>
      <c r="C1963" s="24"/>
      <c r="D1963" s="24"/>
      <c r="E1963" s="24"/>
      <c r="F1963" s="25" t="n">
        <f aca="false">IF(A1956="","",SUM(F1958:F1962))</f>
        <v>5.66262</v>
      </c>
      <c r="G1963" s="24"/>
      <c r="H1963" s="26" t="n">
        <f aca="false">IF(A1956="","",SUM(H1958:H1962))</f>
        <v>5.66262</v>
      </c>
    </row>
    <row r="1965" customFormat="false" ht="15" hidden="false" customHeight="true" outlineLevel="0" collapsed="false">
      <c r="A1965" s="12" t="s">
        <v>591</v>
      </c>
      <c r="B1965" s="13"/>
      <c r="C1965" s="13"/>
      <c r="D1965" s="13"/>
      <c r="E1965" s="13"/>
      <c r="F1965" s="14" t="s">
        <v>552</v>
      </c>
      <c r="G1965" s="13"/>
      <c r="H1965" s="15"/>
    </row>
    <row r="1966" customFormat="false" ht="15" hidden="false" customHeight="true" outlineLevel="0" collapsed="false">
      <c r="A1966" s="16" t="s">
        <v>316</v>
      </c>
      <c r="B1966" s="16" t="s">
        <v>317</v>
      </c>
      <c r="C1966" s="16" t="s">
        <v>318</v>
      </c>
      <c r="D1966" s="16" t="s">
        <v>4</v>
      </c>
      <c r="E1966" s="16" t="s">
        <v>319</v>
      </c>
      <c r="F1966" s="16" t="s">
        <v>320</v>
      </c>
      <c r="G1966" s="16" t="s">
        <v>321</v>
      </c>
      <c r="H1966" s="16" t="s">
        <v>322</v>
      </c>
    </row>
    <row r="1967" customFormat="false" ht="15" hidden="false" customHeight="true" outlineLevel="0" collapsed="false">
      <c r="A1967" s="17" t="s">
        <v>158</v>
      </c>
      <c r="B1967" s="18" t="str">
        <f aca="false">IFERROR(VLOOKUP(A1967,NOMENCLATOR!$A:$E,2,0),"")</f>
        <v>Lapte cafea</v>
      </c>
      <c r="C1967" s="19" t="n">
        <v>165</v>
      </c>
      <c r="D1967" s="20" t="str">
        <f aca="false">IFERROR(VLOOKUP(A1967,NOMENCLATOR!$A:$E,3,0),"")</f>
        <v>ML</v>
      </c>
      <c r="E1967" s="21" t="n">
        <f aca="false">IFERROR(VLOOKUP(A1967,NOMENCLATOR!$A:$E,4,0),"")</f>
        <v>0.0098</v>
      </c>
      <c r="F1967" s="21" t="n">
        <f aca="false">IF(OR(C1967="",E1967=""),"",C1967*E1967)</f>
        <v>1.617</v>
      </c>
      <c r="G1967" s="22" t="n">
        <f aca="false">IFERROR(VLOOKUP(A1967,NOMENCLATOR!$A:$E,5,0),"")</f>
        <v>0.0098</v>
      </c>
      <c r="H1967" s="22" t="n">
        <f aca="false">IF(OR(C1967="",G1967=""),"",C1967*G1967)</f>
        <v>1.617</v>
      </c>
    </row>
    <row r="1968" customFormat="false" ht="15" hidden="false" customHeight="true" outlineLevel="0" collapsed="false">
      <c r="A1968" s="17" t="s">
        <v>152</v>
      </c>
      <c r="B1968" s="18" t="str">
        <f aca="false">IFERROR(VLOOKUP(A1968,NOMENCLATOR!$A:$E,2,0),"")</f>
        <v>Illy Expresso Clasico 1.5 kg</v>
      </c>
      <c r="C1968" s="19" t="n">
        <v>14</v>
      </c>
      <c r="D1968" s="20" t="str">
        <f aca="false">IFERROR(VLOOKUP(A1968,NOMENCLATOR!$A:$E,3,0),"")</f>
        <v>GM</v>
      </c>
      <c r="E1968" s="21" t="n">
        <f aca="false">IFERROR(VLOOKUP(A1968,NOMENCLATOR!$A:$E,4,0),"")</f>
        <v>0.23833</v>
      </c>
      <c r="F1968" s="21" t="n">
        <f aca="false">IF(OR(C1968="",E1968=""),"",C1968*E1968)</f>
        <v>3.33662</v>
      </c>
      <c r="G1968" s="22" t="n">
        <f aca="false">IFERROR(VLOOKUP(A1968,NOMENCLATOR!$A:$E,5,0),"")</f>
        <v>0.23833</v>
      </c>
      <c r="H1968" s="22" t="n">
        <f aca="false">IF(OR(C1968="",G1968=""),"",C1968*G1968)</f>
        <v>3.33662</v>
      </c>
    </row>
    <row r="1969" customFormat="false" ht="15" hidden="false" customHeight="true" outlineLevel="0" collapsed="false">
      <c r="A1969" s="17" t="s">
        <v>192</v>
      </c>
      <c r="B1969" s="18" t="str">
        <f aca="false">IFERROR(VLOOKUP(A1969,NOMENCLATOR!$A:$E,2,0),"")</f>
        <v>Pahar Carton DW Fryday 350ml</v>
      </c>
      <c r="C1969" s="19" t="n">
        <v>1</v>
      </c>
      <c r="D1969" s="20" t="str">
        <f aca="false">IFERROR(VLOOKUP(A1969,NOMENCLATOR!$A:$E,3,0),"")</f>
        <v>EA</v>
      </c>
      <c r="E1969" s="21" t="n">
        <f aca="false">IFERROR(VLOOKUP(A1969,NOMENCLATOR!$A:$E,4,0),"")</f>
        <v>0.487</v>
      </c>
      <c r="F1969" s="21" t="n">
        <f aca="false">IF(OR(C1969="",E1969=""),"",C1969*E1969)</f>
        <v>0.487</v>
      </c>
      <c r="G1969" s="22" t="n">
        <f aca="false">IFERROR(VLOOKUP(A1969,NOMENCLATOR!$A:$E,5,0),"")</f>
        <v>0.487</v>
      </c>
      <c r="H1969" s="22" t="n">
        <f aca="false">IF(OR(C1969="",G1969=""),"",C1969*G1969)</f>
        <v>0.487</v>
      </c>
    </row>
    <row r="1970" customFormat="false" ht="15" hidden="false" customHeight="true" outlineLevel="0" collapsed="false">
      <c r="A1970" s="17" t="s">
        <v>84</v>
      </c>
      <c r="B1970" s="18" t="str">
        <f aca="false">IFERROR(VLOOKUP(A1970,NOMENCLATOR!$A:$E,2,0),"")</f>
        <v>Capac dn plastic SR 90 (12OZ)</v>
      </c>
      <c r="C1970" s="19" t="n">
        <v>1</v>
      </c>
      <c r="D1970" s="20" t="str">
        <f aca="false">IFERROR(VLOOKUP(A1970,NOMENCLATOR!$A:$E,3,0),"")</f>
        <v>EA</v>
      </c>
      <c r="E1970" s="21" t="n">
        <f aca="false">IFERROR(VLOOKUP(A1970,NOMENCLATOR!$A:$E,4,0),"")</f>
        <v>0.209</v>
      </c>
      <c r="F1970" s="21" t="n">
        <f aca="false">IF(OR(C1970="",E1970=""),"",C1970*E1970)</f>
        <v>0.209</v>
      </c>
      <c r="G1970" s="22" t="n">
        <f aca="false">IFERROR(VLOOKUP(A1970,NOMENCLATOR!$A:$E,5,0),"")</f>
        <v>0.209</v>
      </c>
      <c r="H1970" s="22" t="n">
        <f aca="false">IF(OR(C1970="",G1970=""),"",C1970*G1970)</f>
        <v>0.209</v>
      </c>
    </row>
    <row r="1971" customFormat="false" ht="15" hidden="false" customHeight="true" outlineLevel="0" collapsed="false">
      <c r="A1971" s="17" t="s">
        <v>206</v>
      </c>
      <c r="B1971" s="18" t="str">
        <f aca="false">IFERROR(VLOOKUP(A1971,NOMENCLATOR!$A:$E,2,0),"")</f>
        <v>Paletine Lemn 14 cm</v>
      </c>
      <c r="C1971" s="19" t="n">
        <v>1</v>
      </c>
      <c r="D1971" s="20" t="str">
        <f aca="false">IFERROR(VLOOKUP(A1971,NOMENCLATOR!$A:$E,3,0),"")</f>
        <v>EA</v>
      </c>
      <c r="E1971" s="21" t="n">
        <f aca="false">IFERROR(VLOOKUP(A1971,NOMENCLATOR!$A:$E,4,0),"")</f>
        <v>0.013</v>
      </c>
      <c r="F1971" s="21" t="n">
        <f aca="false">IF(OR(C1971="",E1971=""),"",C1971*E1971)</f>
        <v>0.013</v>
      </c>
      <c r="G1971" s="22" t="n">
        <f aca="false">IFERROR(VLOOKUP(A1971,NOMENCLATOR!$A:$E,5,0),"")</f>
        <v>0.013</v>
      </c>
      <c r="H1971" s="22" t="n">
        <f aca="false">IF(OR(C1971="",G1971=""),"",C1971*G1971)</f>
        <v>0.013</v>
      </c>
    </row>
    <row r="1972" customFormat="false" ht="15" hidden="false" customHeight="true" outlineLevel="0" collapsed="false">
      <c r="A1972" s="23" t="str">
        <f aca="false">IF(A1965="","",A1965)</f>
        <v>Cioco Cappucino Grande new D</v>
      </c>
      <c r="B1972" s="24"/>
      <c r="C1972" s="24"/>
      <c r="D1972" s="24"/>
      <c r="E1972" s="24"/>
      <c r="F1972" s="25" t="n">
        <f aca="false">IF(A1965="","",SUM(F1967:F1971))</f>
        <v>5.66262</v>
      </c>
      <c r="G1972" s="24"/>
      <c r="H1972" s="26" t="n">
        <f aca="false">IF(A1965="","",SUM(H1967:H1971))</f>
        <v>5.66262</v>
      </c>
    </row>
    <row r="1974" customFormat="false" ht="15" hidden="false" customHeight="true" outlineLevel="0" collapsed="false">
      <c r="A1974" s="12" t="s">
        <v>592</v>
      </c>
      <c r="B1974" s="13"/>
      <c r="C1974" s="13"/>
      <c r="D1974" s="13"/>
      <c r="E1974" s="13"/>
      <c r="F1974" s="14" t="s">
        <v>552</v>
      </c>
      <c r="G1974" s="13"/>
      <c r="H1974" s="15"/>
    </row>
    <row r="1975" customFormat="false" ht="15" hidden="false" customHeight="true" outlineLevel="0" collapsed="false">
      <c r="A1975" s="16" t="s">
        <v>316</v>
      </c>
      <c r="B1975" s="16" t="s">
        <v>317</v>
      </c>
      <c r="C1975" s="16" t="s">
        <v>318</v>
      </c>
      <c r="D1975" s="16" t="s">
        <v>4</v>
      </c>
      <c r="E1975" s="16" t="s">
        <v>319</v>
      </c>
      <c r="F1975" s="16" t="s">
        <v>320</v>
      </c>
      <c r="G1975" s="16" t="s">
        <v>321</v>
      </c>
      <c r="H1975" s="16" t="s">
        <v>322</v>
      </c>
    </row>
    <row r="1976" customFormat="false" ht="15" hidden="false" customHeight="true" outlineLevel="0" collapsed="false">
      <c r="A1976" s="17" t="s">
        <v>158</v>
      </c>
      <c r="B1976" s="18" t="str">
        <f aca="false">IFERROR(VLOOKUP(A1976,NOMENCLATOR!$A:$E,2,0),"")</f>
        <v>Lapte cafea</v>
      </c>
      <c r="C1976" s="19" t="n">
        <v>130</v>
      </c>
      <c r="D1976" s="20" t="str">
        <f aca="false">IFERROR(VLOOKUP(A1976,NOMENCLATOR!$A:$E,3,0),"")</f>
        <v>ML</v>
      </c>
      <c r="E1976" s="21" t="n">
        <f aca="false">IFERROR(VLOOKUP(A1976,NOMENCLATOR!$A:$E,4,0),"")</f>
        <v>0.0098</v>
      </c>
      <c r="F1976" s="21" t="n">
        <f aca="false">IF(OR(C1976="",E1976=""),"",C1976*E1976)</f>
        <v>1.274</v>
      </c>
      <c r="G1976" s="22" t="n">
        <f aca="false">IFERROR(VLOOKUP(A1976,NOMENCLATOR!$A:$E,5,0),"")</f>
        <v>0.0098</v>
      </c>
      <c r="H1976" s="22" t="n">
        <f aca="false">IF(OR(C1976="",G1976=""),"",C1976*G1976)</f>
        <v>1.274</v>
      </c>
    </row>
    <row r="1977" customFormat="false" ht="15" hidden="false" customHeight="true" outlineLevel="0" collapsed="false">
      <c r="A1977" s="17" t="s">
        <v>152</v>
      </c>
      <c r="B1977" s="18" t="str">
        <f aca="false">IFERROR(VLOOKUP(A1977,NOMENCLATOR!$A:$E,2,0),"")</f>
        <v>Illy Expresso Clasico 1.5 kg</v>
      </c>
      <c r="C1977" s="19" t="n">
        <v>12</v>
      </c>
      <c r="D1977" s="20" t="str">
        <f aca="false">IFERROR(VLOOKUP(A1977,NOMENCLATOR!$A:$E,3,0),"")</f>
        <v>GM</v>
      </c>
      <c r="E1977" s="21" t="n">
        <f aca="false">IFERROR(VLOOKUP(A1977,NOMENCLATOR!$A:$E,4,0),"")</f>
        <v>0.23833</v>
      </c>
      <c r="F1977" s="21" t="n">
        <f aca="false">IF(OR(C1977="",E1977=""),"",C1977*E1977)</f>
        <v>2.85996</v>
      </c>
      <c r="G1977" s="22" t="n">
        <f aca="false">IFERROR(VLOOKUP(A1977,NOMENCLATOR!$A:$E,5,0),"")</f>
        <v>0.23833</v>
      </c>
      <c r="H1977" s="22" t="n">
        <f aca="false">IF(OR(C1977="",G1977=""),"",C1977*G1977)</f>
        <v>2.85996</v>
      </c>
    </row>
    <row r="1978" customFormat="false" ht="15" hidden="false" customHeight="true" outlineLevel="0" collapsed="false">
      <c r="A1978" s="17" t="s">
        <v>190</v>
      </c>
      <c r="B1978" s="18" t="str">
        <f aca="false">IFERROR(VLOOKUP(A1978,NOMENCLATOR!$A:$E,2,0),"")</f>
        <v>Pahar Carton DW Fryday 250ml</v>
      </c>
      <c r="C1978" s="19" t="n">
        <v>1</v>
      </c>
      <c r="D1978" s="20" t="str">
        <f aca="false">IFERROR(VLOOKUP(A1978,NOMENCLATOR!$A:$E,3,0),"")</f>
        <v>EA</v>
      </c>
      <c r="E1978" s="21" t="n">
        <f aca="false">IFERROR(VLOOKUP(A1978,NOMENCLATOR!$A:$E,4,0),"")</f>
        <v>0.734</v>
      </c>
      <c r="F1978" s="21" t="n">
        <f aca="false">IF(OR(C1978="",E1978=""),"",C1978*E1978)</f>
        <v>0.734</v>
      </c>
      <c r="G1978" s="22" t="n">
        <f aca="false">IFERROR(VLOOKUP(A1978,NOMENCLATOR!$A:$E,5,0),"")</f>
        <v>0.734</v>
      </c>
      <c r="H1978" s="22" t="n">
        <f aca="false">IF(OR(C1978="",G1978=""),"",C1978*G1978)</f>
        <v>0.734</v>
      </c>
    </row>
    <row r="1979" customFormat="false" ht="15" hidden="false" customHeight="true" outlineLevel="0" collapsed="false">
      <c r="A1979" s="17" t="s">
        <v>82</v>
      </c>
      <c r="B1979" s="18" t="str">
        <f aca="false">IFERROR(VLOOKUP(A1979,NOMENCLATOR!$A:$E,2,0),"")</f>
        <v>Capac din plastic SR 80 (8OZ)</v>
      </c>
      <c r="C1979" s="19" t="n">
        <v>1</v>
      </c>
      <c r="D1979" s="20" t="str">
        <f aca="false">IFERROR(VLOOKUP(A1979,NOMENCLATOR!$A:$E,3,0),"")</f>
        <v>EA</v>
      </c>
      <c r="E1979" s="21" t="n">
        <f aca="false">IFERROR(VLOOKUP(A1979,NOMENCLATOR!$A:$E,4,0),"")</f>
        <v>0.16</v>
      </c>
      <c r="F1979" s="21" t="n">
        <f aca="false">IF(OR(C1979="",E1979=""),"",C1979*E1979)</f>
        <v>0.16</v>
      </c>
      <c r="G1979" s="22" t="n">
        <f aca="false">IFERROR(VLOOKUP(A1979,NOMENCLATOR!$A:$E,5,0),"")</f>
        <v>0.16</v>
      </c>
      <c r="H1979" s="22" t="n">
        <f aca="false">IF(OR(C1979="",G1979=""),"",C1979*G1979)</f>
        <v>0.16</v>
      </c>
    </row>
    <row r="1980" customFormat="false" ht="15" hidden="false" customHeight="true" outlineLevel="0" collapsed="false">
      <c r="A1980" s="17" t="s">
        <v>206</v>
      </c>
      <c r="B1980" s="18" t="str">
        <f aca="false">IFERROR(VLOOKUP(A1980,NOMENCLATOR!$A:$E,2,0),"")</f>
        <v>Paletine Lemn 14 cm</v>
      </c>
      <c r="C1980" s="19" t="n">
        <v>1</v>
      </c>
      <c r="D1980" s="20" t="str">
        <f aca="false">IFERROR(VLOOKUP(A1980,NOMENCLATOR!$A:$E,3,0),"")</f>
        <v>EA</v>
      </c>
      <c r="E1980" s="21" t="n">
        <f aca="false">IFERROR(VLOOKUP(A1980,NOMENCLATOR!$A:$E,4,0),"")</f>
        <v>0.013</v>
      </c>
      <c r="F1980" s="21" t="n">
        <f aca="false">IF(OR(C1980="",E1980=""),"",C1980*E1980)</f>
        <v>0.013</v>
      </c>
      <c r="G1980" s="22" t="n">
        <f aca="false">IFERROR(VLOOKUP(A1980,NOMENCLATOR!$A:$E,5,0),"")</f>
        <v>0.013</v>
      </c>
      <c r="H1980" s="22" t="n">
        <f aca="false">IF(OR(C1980="",G1980=""),"",C1980*G1980)</f>
        <v>0.013</v>
      </c>
    </row>
    <row r="1981" customFormat="false" ht="15" hidden="false" customHeight="true" outlineLevel="0" collapsed="false">
      <c r="A1981" s="23" t="str">
        <f aca="false">IF(A1974="","",A1974)</f>
        <v>Vanilla Latte new</v>
      </c>
      <c r="B1981" s="24"/>
      <c r="C1981" s="24"/>
      <c r="D1981" s="24"/>
      <c r="E1981" s="24"/>
      <c r="F1981" s="25" t="n">
        <f aca="false">IF(A1974="","",SUM(F1976:F1980))</f>
        <v>5.04096</v>
      </c>
      <c r="G1981" s="24"/>
      <c r="H1981" s="26" t="n">
        <f aca="false">IF(A1974="","",SUM(H1976:H1980))</f>
        <v>5.04096</v>
      </c>
    </row>
    <row r="1983" customFormat="false" ht="15" hidden="false" customHeight="true" outlineLevel="0" collapsed="false">
      <c r="A1983" s="12" t="s">
        <v>593</v>
      </c>
      <c r="B1983" s="13"/>
      <c r="C1983" s="13"/>
      <c r="D1983" s="13"/>
      <c r="E1983" s="13"/>
      <c r="F1983" s="14" t="s">
        <v>552</v>
      </c>
      <c r="G1983" s="13"/>
      <c r="H1983" s="15"/>
    </row>
    <row r="1984" customFormat="false" ht="15" hidden="false" customHeight="true" outlineLevel="0" collapsed="false">
      <c r="A1984" s="16" t="s">
        <v>316</v>
      </c>
      <c r="B1984" s="16" t="s">
        <v>317</v>
      </c>
      <c r="C1984" s="16" t="s">
        <v>318</v>
      </c>
      <c r="D1984" s="16" t="s">
        <v>4</v>
      </c>
      <c r="E1984" s="16" t="s">
        <v>319</v>
      </c>
      <c r="F1984" s="16" t="s">
        <v>320</v>
      </c>
      <c r="G1984" s="16" t="s">
        <v>321</v>
      </c>
      <c r="H1984" s="16" t="s">
        <v>322</v>
      </c>
    </row>
    <row r="1985" customFormat="false" ht="15" hidden="false" customHeight="true" outlineLevel="0" collapsed="false">
      <c r="A1985" s="17" t="s">
        <v>158</v>
      </c>
      <c r="B1985" s="18" t="str">
        <f aca="false">IFERROR(VLOOKUP(A1985,NOMENCLATOR!$A:$E,2,0),"")</f>
        <v>Lapte cafea</v>
      </c>
      <c r="C1985" s="19" t="n">
        <v>130</v>
      </c>
      <c r="D1985" s="20" t="str">
        <f aca="false">IFERROR(VLOOKUP(A1985,NOMENCLATOR!$A:$E,3,0),"")</f>
        <v>ML</v>
      </c>
      <c r="E1985" s="21" t="n">
        <f aca="false">IFERROR(VLOOKUP(A1985,NOMENCLATOR!$A:$E,4,0),"")</f>
        <v>0.0098</v>
      </c>
      <c r="F1985" s="21" t="n">
        <f aca="false">IF(OR(C1985="",E1985=""),"",C1985*E1985)</f>
        <v>1.274</v>
      </c>
      <c r="G1985" s="22" t="n">
        <f aca="false">IFERROR(VLOOKUP(A1985,NOMENCLATOR!$A:$E,5,0),"")</f>
        <v>0.0098</v>
      </c>
      <c r="H1985" s="22" t="n">
        <f aca="false">IF(OR(C1985="",G1985=""),"",C1985*G1985)</f>
        <v>1.274</v>
      </c>
    </row>
    <row r="1986" customFormat="false" ht="15" hidden="false" customHeight="true" outlineLevel="0" collapsed="false">
      <c r="A1986" s="17" t="s">
        <v>152</v>
      </c>
      <c r="B1986" s="18" t="str">
        <f aca="false">IFERROR(VLOOKUP(A1986,NOMENCLATOR!$A:$E,2,0),"")</f>
        <v>Illy Expresso Clasico 1.5 kg</v>
      </c>
      <c r="C1986" s="19" t="n">
        <v>12</v>
      </c>
      <c r="D1986" s="20" t="str">
        <f aca="false">IFERROR(VLOOKUP(A1986,NOMENCLATOR!$A:$E,3,0),"")</f>
        <v>GM</v>
      </c>
      <c r="E1986" s="21" t="n">
        <f aca="false">IFERROR(VLOOKUP(A1986,NOMENCLATOR!$A:$E,4,0),"")</f>
        <v>0.23833</v>
      </c>
      <c r="F1986" s="21" t="n">
        <f aca="false">IF(OR(C1986="",E1986=""),"",C1986*E1986)</f>
        <v>2.85996</v>
      </c>
      <c r="G1986" s="22" t="n">
        <f aca="false">IFERROR(VLOOKUP(A1986,NOMENCLATOR!$A:$E,5,0),"")</f>
        <v>0.23833</v>
      </c>
      <c r="H1986" s="22" t="n">
        <f aca="false">IF(OR(C1986="",G1986=""),"",C1986*G1986)</f>
        <v>2.85996</v>
      </c>
    </row>
    <row r="1987" customFormat="false" ht="15" hidden="false" customHeight="true" outlineLevel="0" collapsed="false">
      <c r="A1987" s="17" t="s">
        <v>190</v>
      </c>
      <c r="B1987" s="18" t="str">
        <f aca="false">IFERROR(VLOOKUP(A1987,NOMENCLATOR!$A:$E,2,0),"")</f>
        <v>Pahar Carton DW Fryday 250ml</v>
      </c>
      <c r="C1987" s="19" t="n">
        <v>1</v>
      </c>
      <c r="D1987" s="20" t="str">
        <f aca="false">IFERROR(VLOOKUP(A1987,NOMENCLATOR!$A:$E,3,0),"")</f>
        <v>EA</v>
      </c>
      <c r="E1987" s="21" t="n">
        <f aca="false">IFERROR(VLOOKUP(A1987,NOMENCLATOR!$A:$E,4,0),"")</f>
        <v>0.734</v>
      </c>
      <c r="F1987" s="21" t="n">
        <f aca="false">IF(OR(C1987="",E1987=""),"",C1987*E1987)</f>
        <v>0.734</v>
      </c>
      <c r="G1987" s="22" t="n">
        <f aca="false">IFERROR(VLOOKUP(A1987,NOMENCLATOR!$A:$E,5,0),"")</f>
        <v>0.734</v>
      </c>
      <c r="H1987" s="22" t="n">
        <f aca="false">IF(OR(C1987="",G1987=""),"",C1987*G1987)</f>
        <v>0.734</v>
      </c>
    </row>
    <row r="1988" customFormat="false" ht="15" hidden="false" customHeight="true" outlineLevel="0" collapsed="false">
      <c r="A1988" s="17" t="s">
        <v>82</v>
      </c>
      <c r="B1988" s="18" t="str">
        <f aca="false">IFERROR(VLOOKUP(A1988,NOMENCLATOR!$A:$E,2,0),"")</f>
        <v>Capac din plastic SR 80 (8OZ)</v>
      </c>
      <c r="C1988" s="19" t="n">
        <v>1</v>
      </c>
      <c r="D1988" s="20" t="str">
        <f aca="false">IFERROR(VLOOKUP(A1988,NOMENCLATOR!$A:$E,3,0),"")</f>
        <v>EA</v>
      </c>
      <c r="E1988" s="21" t="n">
        <f aca="false">IFERROR(VLOOKUP(A1988,NOMENCLATOR!$A:$E,4,0),"")</f>
        <v>0.16</v>
      </c>
      <c r="F1988" s="21" t="n">
        <f aca="false">IF(OR(C1988="",E1988=""),"",C1988*E1988)</f>
        <v>0.16</v>
      </c>
      <c r="G1988" s="22" t="n">
        <f aca="false">IFERROR(VLOOKUP(A1988,NOMENCLATOR!$A:$E,5,0),"")</f>
        <v>0.16</v>
      </c>
      <c r="H1988" s="22" t="n">
        <f aca="false">IF(OR(C1988="",G1988=""),"",C1988*G1988)</f>
        <v>0.16</v>
      </c>
    </row>
    <row r="1989" customFormat="false" ht="15" hidden="false" customHeight="true" outlineLevel="0" collapsed="false">
      <c r="A1989" s="17" t="s">
        <v>206</v>
      </c>
      <c r="B1989" s="18" t="str">
        <f aca="false">IFERROR(VLOOKUP(A1989,NOMENCLATOR!$A:$E,2,0),"")</f>
        <v>Paletine Lemn 14 cm</v>
      </c>
      <c r="C1989" s="19" t="n">
        <v>1</v>
      </c>
      <c r="D1989" s="20" t="str">
        <f aca="false">IFERROR(VLOOKUP(A1989,NOMENCLATOR!$A:$E,3,0),"")</f>
        <v>EA</v>
      </c>
      <c r="E1989" s="21" t="n">
        <f aca="false">IFERROR(VLOOKUP(A1989,NOMENCLATOR!$A:$E,4,0),"")</f>
        <v>0.013</v>
      </c>
      <c r="F1989" s="21" t="n">
        <f aca="false">IF(OR(C1989="",E1989=""),"",C1989*E1989)</f>
        <v>0.013</v>
      </c>
      <c r="G1989" s="22" t="n">
        <f aca="false">IFERROR(VLOOKUP(A1989,NOMENCLATOR!$A:$E,5,0),"")</f>
        <v>0.013</v>
      </c>
      <c r="H1989" s="22" t="n">
        <f aca="false">IF(OR(C1989="",G1989=""),"",C1989*G1989)</f>
        <v>0.013</v>
      </c>
    </row>
    <row r="1990" customFormat="false" ht="15" hidden="false" customHeight="true" outlineLevel="0" collapsed="false">
      <c r="A1990" s="23" t="str">
        <f aca="false">IF(A1983="","",A1983)</f>
        <v>Vanilla Latte new D</v>
      </c>
      <c r="B1990" s="24"/>
      <c r="C1990" s="24"/>
      <c r="D1990" s="24"/>
      <c r="E1990" s="24"/>
      <c r="F1990" s="25" t="n">
        <f aca="false">IF(A1983="","",SUM(F1985:F1989))</f>
        <v>5.04096</v>
      </c>
      <c r="G1990" s="24"/>
      <c r="H1990" s="26" t="n">
        <f aca="false">IF(A1983="","",SUM(H1985:H1989))</f>
        <v>5.04096</v>
      </c>
    </row>
    <row r="1992" customFormat="false" ht="15" hidden="false" customHeight="true" outlineLevel="0" collapsed="false">
      <c r="A1992" s="12" t="s">
        <v>594</v>
      </c>
      <c r="B1992" s="13"/>
      <c r="C1992" s="13"/>
      <c r="D1992" s="13"/>
      <c r="E1992" s="13"/>
      <c r="F1992" s="14" t="s">
        <v>552</v>
      </c>
      <c r="G1992" s="13"/>
      <c r="H1992" s="15"/>
    </row>
    <row r="1993" customFormat="false" ht="15" hidden="false" customHeight="true" outlineLevel="0" collapsed="false">
      <c r="A1993" s="16" t="s">
        <v>316</v>
      </c>
      <c r="B1993" s="16" t="s">
        <v>317</v>
      </c>
      <c r="C1993" s="16" t="s">
        <v>318</v>
      </c>
      <c r="D1993" s="16" t="s">
        <v>4</v>
      </c>
      <c r="E1993" s="16" t="s">
        <v>319</v>
      </c>
      <c r="F1993" s="16" t="s">
        <v>320</v>
      </c>
      <c r="G1993" s="16" t="s">
        <v>321</v>
      </c>
      <c r="H1993" s="16" t="s">
        <v>322</v>
      </c>
    </row>
    <row r="1994" customFormat="false" ht="15" hidden="false" customHeight="true" outlineLevel="0" collapsed="false">
      <c r="A1994" s="17" t="s">
        <v>158</v>
      </c>
      <c r="B1994" s="18" t="str">
        <f aca="false">IFERROR(VLOOKUP(A1994,NOMENCLATOR!$A:$E,2,0),"")</f>
        <v>Lapte cafea</v>
      </c>
      <c r="C1994" s="19" t="n">
        <v>165</v>
      </c>
      <c r="D1994" s="20" t="str">
        <f aca="false">IFERROR(VLOOKUP(A1994,NOMENCLATOR!$A:$E,3,0),"")</f>
        <v>ML</v>
      </c>
      <c r="E1994" s="21" t="n">
        <f aca="false">IFERROR(VLOOKUP(A1994,NOMENCLATOR!$A:$E,4,0),"")</f>
        <v>0.0098</v>
      </c>
      <c r="F1994" s="21" t="n">
        <f aca="false">IF(OR(C1994="",E1994=""),"",C1994*E1994)</f>
        <v>1.617</v>
      </c>
      <c r="G1994" s="22" t="n">
        <f aca="false">IFERROR(VLOOKUP(A1994,NOMENCLATOR!$A:$E,5,0),"")</f>
        <v>0.0098</v>
      </c>
      <c r="H1994" s="22" t="n">
        <f aca="false">IF(OR(C1994="",G1994=""),"",C1994*G1994)</f>
        <v>1.617</v>
      </c>
    </row>
    <row r="1995" customFormat="false" ht="15" hidden="false" customHeight="true" outlineLevel="0" collapsed="false">
      <c r="A1995" s="17" t="s">
        <v>152</v>
      </c>
      <c r="B1995" s="18" t="str">
        <f aca="false">IFERROR(VLOOKUP(A1995,NOMENCLATOR!$A:$E,2,0),"")</f>
        <v>Illy Expresso Clasico 1.5 kg</v>
      </c>
      <c r="C1995" s="19" t="n">
        <v>14</v>
      </c>
      <c r="D1995" s="20" t="str">
        <f aca="false">IFERROR(VLOOKUP(A1995,NOMENCLATOR!$A:$E,3,0),"")</f>
        <v>GM</v>
      </c>
      <c r="E1995" s="21" t="n">
        <f aca="false">IFERROR(VLOOKUP(A1995,NOMENCLATOR!$A:$E,4,0),"")</f>
        <v>0.23833</v>
      </c>
      <c r="F1995" s="21" t="n">
        <f aca="false">IF(OR(C1995="",E1995=""),"",C1995*E1995)</f>
        <v>3.33662</v>
      </c>
      <c r="G1995" s="22" t="n">
        <f aca="false">IFERROR(VLOOKUP(A1995,NOMENCLATOR!$A:$E,5,0),"")</f>
        <v>0.23833</v>
      </c>
      <c r="H1995" s="22" t="n">
        <f aca="false">IF(OR(C1995="",G1995=""),"",C1995*G1995)</f>
        <v>3.33662</v>
      </c>
    </row>
    <row r="1996" customFormat="false" ht="15" hidden="false" customHeight="true" outlineLevel="0" collapsed="false">
      <c r="A1996" s="17" t="s">
        <v>192</v>
      </c>
      <c r="B1996" s="18" t="str">
        <f aca="false">IFERROR(VLOOKUP(A1996,NOMENCLATOR!$A:$E,2,0),"")</f>
        <v>Pahar Carton DW Fryday 350ml</v>
      </c>
      <c r="C1996" s="19" t="n">
        <v>1</v>
      </c>
      <c r="D1996" s="20" t="str">
        <f aca="false">IFERROR(VLOOKUP(A1996,NOMENCLATOR!$A:$E,3,0),"")</f>
        <v>EA</v>
      </c>
      <c r="E1996" s="21" t="n">
        <f aca="false">IFERROR(VLOOKUP(A1996,NOMENCLATOR!$A:$E,4,0),"")</f>
        <v>0.487</v>
      </c>
      <c r="F1996" s="21" t="n">
        <f aca="false">IF(OR(C1996="",E1996=""),"",C1996*E1996)</f>
        <v>0.487</v>
      </c>
      <c r="G1996" s="22" t="n">
        <f aca="false">IFERROR(VLOOKUP(A1996,NOMENCLATOR!$A:$E,5,0),"")</f>
        <v>0.487</v>
      </c>
      <c r="H1996" s="22" t="n">
        <f aca="false">IF(OR(C1996="",G1996=""),"",C1996*G1996)</f>
        <v>0.487</v>
      </c>
    </row>
    <row r="1997" customFormat="false" ht="15" hidden="false" customHeight="true" outlineLevel="0" collapsed="false">
      <c r="A1997" s="17" t="s">
        <v>84</v>
      </c>
      <c r="B1997" s="18" t="str">
        <f aca="false">IFERROR(VLOOKUP(A1997,NOMENCLATOR!$A:$E,2,0),"")</f>
        <v>Capac dn plastic SR 90 (12OZ)</v>
      </c>
      <c r="C1997" s="19" t="n">
        <v>1</v>
      </c>
      <c r="D1997" s="20" t="str">
        <f aca="false">IFERROR(VLOOKUP(A1997,NOMENCLATOR!$A:$E,3,0),"")</f>
        <v>EA</v>
      </c>
      <c r="E1997" s="21" t="n">
        <f aca="false">IFERROR(VLOOKUP(A1997,NOMENCLATOR!$A:$E,4,0),"")</f>
        <v>0.209</v>
      </c>
      <c r="F1997" s="21" t="n">
        <f aca="false">IF(OR(C1997="",E1997=""),"",C1997*E1997)</f>
        <v>0.209</v>
      </c>
      <c r="G1997" s="22" t="n">
        <f aca="false">IFERROR(VLOOKUP(A1997,NOMENCLATOR!$A:$E,5,0),"")</f>
        <v>0.209</v>
      </c>
      <c r="H1997" s="22" t="n">
        <f aca="false">IF(OR(C1997="",G1997=""),"",C1997*G1997)</f>
        <v>0.209</v>
      </c>
    </row>
    <row r="1998" customFormat="false" ht="15" hidden="false" customHeight="true" outlineLevel="0" collapsed="false">
      <c r="A1998" s="17" t="s">
        <v>206</v>
      </c>
      <c r="B1998" s="18" t="str">
        <f aca="false">IFERROR(VLOOKUP(A1998,NOMENCLATOR!$A:$E,2,0),"")</f>
        <v>Paletine Lemn 14 cm</v>
      </c>
      <c r="C1998" s="19" t="n">
        <v>1</v>
      </c>
      <c r="D1998" s="20" t="str">
        <f aca="false">IFERROR(VLOOKUP(A1998,NOMENCLATOR!$A:$E,3,0),"")</f>
        <v>EA</v>
      </c>
      <c r="E1998" s="21" t="n">
        <f aca="false">IFERROR(VLOOKUP(A1998,NOMENCLATOR!$A:$E,4,0),"")</f>
        <v>0.013</v>
      </c>
      <c r="F1998" s="21" t="n">
        <f aca="false">IF(OR(C1998="",E1998=""),"",C1998*E1998)</f>
        <v>0.013</v>
      </c>
      <c r="G1998" s="22" t="n">
        <f aca="false">IFERROR(VLOOKUP(A1998,NOMENCLATOR!$A:$E,5,0),"")</f>
        <v>0.013</v>
      </c>
      <c r="H1998" s="22" t="n">
        <f aca="false">IF(OR(C1998="",G1998=""),"",C1998*G1998)</f>
        <v>0.013</v>
      </c>
    </row>
    <row r="1999" customFormat="false" ht="15" hidden="false" customHeight="true" outlineLevel="0" collapsed="false">
      <c r="A1999" s="23" t="str">
        <f aca="false">IF(A1992="","",A1992)</f>
        <v>Vanilla Latte Grande new</v>
      </c>
      <c r="B1999" s="24"/>
      <c r="C1999" s="24"/>
      <c r="D1999" s="24"/>
      <c r="E1999" s="24"/>
      <c r="F1999" s="25" t="n">
        <f aca="false">IF(A1992="","",SUM(F1994:F1998))</f>
        <v>5.66262</v>
      </c>
      <c r="G1999" s="24"/>
      <c r="H1999" s="26" t="n">
        <f aca="false">IF(A1992="","",SUM(H1994:H1998))</f>
        <v>5.66262</v>
      </c>
    </row>
    <row r="2001" customFormat="false" ht="15" hidden="false" customHeight="true" outlineLevel="0" collapsed="false">
      <c r="A2001" s="12" t="s">
        <v>595</v>
      </c>
      <c r="B2001" s="13"/>
      <c r="C2001" s="13"/>
      <c r="D2001" s="13"/>
      <c r="E2001" s="13"/>
      <c r="F2001" s="14" t="s">
        <v>552</v>
      </c>
      <c r="G2001" s="13"/>
      <c r="H2001" s="15"/>
    </row>
    <row r="2002" customFormat="false" ht="15" hidden="false" customHeight="true" outlineLevel="0" collapsed="false">
      <c r="A2002" s="16" t="s">
        <v>316</v>
      </c>
      <c r="B2002" s="16" t="s">
        <v>317</v>
      </c>
      <c r="C2002" s="16" t="s">
        <v>318</v>
      </c>
      <c r="D2002" s="16" t="s">
        <v>4</v>
      </c>
      <c r="E2002" s="16" t="s">
        <v>319</v>
      </c>
      <c r="F2002" s="16" t="s">
        <v>320</v>
      </c>
      <c r="G2002" s="16" t="s">
        <v>321</v>
      </c>
      <c r="H2002" s="16" t="s">
        <v>322</v>
      </c>
    </row>
    <row r="2003" customFormat="false" ht="15" hidden="false" customHeight="true" outlineLevel="0" collapsed="false">
      <c r="A2003" s="17" t="s">
        <v>158</v>
      </c>
      <c r="B2003" s="18" t="str">
        <f aca="false">IFERROR(VLOOKUP(A2003,NOMENCLATOR!$A:$E,2,0),"")</f>
        <v>Lapte cafea</v>
      </c>
      <c r="C2003" s="19" t="n">
        <v>165</v>
      </c>
      <c r="D2003" s="20" t="str">
        <f aca="false">IFERROR(VLOOKUP(A2003,NOMENCLATOR!$A:$E,3,0),"")</f>
        <v>ML</v>
      </c>
      <c r="E2003" s="21" t="n">
        <f aca="false">IFERROR(VLOOKUP(A2003,NOMENCLATOR!$A:$E,4,0),"")</f>
        <v>0.0098</v>
      </c>
      <c r="F2003" s="21" t="n">
        <f aca="false">IF(OR(C2003="",E2003=""),"",C2003*E2003)</f>
        <v>1.617</v>
      </c>
      <c r="G2003" s="22" t="n">
        <f aca="false">IFERROR(VLOOKUP(A2003,NOMENCLATOR!$A:$E,5,0),"")</f>
        <v>0.0098</v>
      </c>
      <c r="H2003" s="22" t="n">
        <f aca="false">IF(OR(C2003="",G2003=""),"",C2003*G2003)</f>
        <v>1.617</v>
      </c>
    </row>
    <row r="2004" customFormat="false" ht="15" hidden="false" customHeight="true" outlineLevel="0" collapsed="false">
      <c r="A2004" s="17" t="s">
        <v>152</v>
      </c>
      <c r="B2004" s="18" t="str">
        <f aca="false">IFERROR(VLOOKUP(A2004,NOMENCLATOR!$A:$E,2,0),"")</f>
        <v>Illy Expresso Clasico 1.5 kg</v>
      </c>
      <c r="C2004" s="19" t="n">
        <v>14</v>
      </c>
      <c r="D2004" s="20" t="str">
        <f aca="false">IFERROR(VLOOKUP(A2004,NOMENCLATOR!$A:$E,3,0),"")</f>
        <v>GM</v>
      </c>
      <c r="E2004" s="21" t="n">
        <f aca="false">IFERROR(VLOOKUP(A2004,NOMENCLATOR!$A:$E,4,0),"")</f>
        <v>0.23833</v>
      </c>
      <c r="F2004" s="21" t="n">
        <f aca="false">IF(OR(C2004="",E2004=""),"",C2004*E2004)</f>
        <v>3.33662</v>
      </c>
      <c r="G2004" s="22" t="n">
        <f aca="false">IFERROR(VLOOKUP(A2004,NOMENCLATOR!$A:$E,5,0),"")</f>
        <v>0.23833</v>
      </c>
      <c r="H2004" s="22" t="n">
        <f aca="false">IF(OR(C2004="",G2004=""),"",C2004*G2004)</f>
        <v>3.33662</v>
      </c>
    </row>
    <row r="2005" customFormat="false" ht="15" hidden="false" customHeight="true" outlineLevel="0" collapsed="false">
      <c r="A2005" s="17" t="s">
        <v>192</v>
      </c>
      <c r="B2005" s="18" t="str">
        <f aca="false">IFERROR(VLOOKUP(A2005,NOMENCLATOR!$A:$E,2,0),"")</f>
        <v>Pahar Carton DW Fryday 350ml</v>
      </c>
      <c r="C2005" s="19" t="n">
        <v>1</v>
      </c>
      <c r="D2005" s="20" t="str">
        <f aca="false">IFERROR(VLOOKUP(A2005,NOMENCLATOR!$A:$E,3,0),"")</f>
        <v>EA</v>
      </c>
      <c r="E2005" s="21" t="n">
        <f aca="false">IFERROR(VLOOKUP(A2005,NOMENCLATOR!$A:$E,4,0),"")</f>
        <v>0.487</v>
      </c>
      <c r="F2005" s="21" t="n">
        <f aca="false">IF(OR(C2005="",E2005=""),"",C2005*E2005)</f>
        <v>0.487</v>
      </c>
      <c r="G2005" s="22" t="n">
        <f aca="false">IFERROR(VLOOKUP(A2005,NOMENCLATOR!$A:$E,5,0),"")</f>
        <v>0.487</v>
      </c>
      <c r="H2005" s="22" t="n">
        <f aca="false">IF(OR(C2005="",G2005=""),"",C2005*G2005)</f>
        <v>0.487</v>
      </c>
    </row>
    <row r="2006" customFormat="false" ht="15" hidden="false" customHeight="true" outlineLevel="0" collapsed="false">
      <c r="A2006" s="17" t="s">
        <v>84</v>
      </c>
      <c r="B2006" s="18" t="str">
        <f aca="false">IFERROR(VLOOKUP(A2006,NOMENCLATOR!$A:$E,2,0),"")</f>
        <v>Capac dn plastic SR 90 (12OZ)</v>
      </c>
      <c r="C2006" s="19" t="n">
        <v>1</v>
      </c>
      <c r="D2006" s="20" t="str">
        <f aca="false">IFERROR(VLOOKUP(A2006,NOMENCLATOR!$A:$E,3,0),"")</f>
        <v>EA</v>
      </c>
      <c r="E2006" s="21" t="n">
        <f aca="false">IFERROR(VLOOKUP(A2006,NOMENCLATOR!$A:$E,4,0),"")</f>
        <v>0.209</v>
      </c>
      <c r="F2006" s="21" t="n">
        <f aca="false">IF(OR(C2006="",E2006=""),"",C2006*E2006)</f>
        <v>0.209</v>
      </c>
      <c r="G2006" s="22" t="n">
        <f aca="false">IFERROR(VLOOKUP(A2006,NOMENCLATOR!$A:$E,5,0),"")</f>
        <v>0.209</v>
      </c>
      <c r="H2006" s="22" t="n">
        <f aca="false">IF(OR(C2006="",G2006=""),"",C2006*G2006)</f>
        <v>0.209</v>
      </c>
    </row>
    <row r="2007" customFormat="false" ht="15" hidden="false" customHeight="true" outlineLevel="0" collapsed="false">
      <c r="A2007" s="17" t="s">
        <v>206</v>
      </c>
      <c r="B2007" s="18" t="str">
        <f aca="false">IFERROR(VLOOKUP(A2007,NOMENCLATOR!$A:$E,2,0),"")</f>
        <v>Paletine Lemn 14 cm</v>
      </c>
      <c r="C2007" s="19" t="n">
        <v>1</v>
      </c>
      <c r="D2007" s="20" t="str">
        <f aca="false">IFERROR(VLOOKUP(A2007,NOMENCLATOR!$A:$E,3,0),"")</f>
        <v>EA</v>
      </c>
      <c r="E2007" s="21" t="n">
        <f aca="false">IFERROR(VLOOKUP(A2007,NOMENCLATOR!$A:$E,4,0),"")</f>
        <v>0.013</v>
      </c>
      <c r="F2007" s="21" t="n">
        <f aca="false">IF(OR(C2007="",E2007=""),"",C2007*E2007)</f>
        <v>0.013</v>
      </c>
      <c r="G2007" s="22" t="n">
        <f aca="false">IFERROR(VLOOKUP(A2007,NOMENCLATOR!$A:$E,5,0),"")</f>
        <v>0.013</v>
      </c>
      <c r="H2007" s="22" t="n">
        <f aca="false">IF(OR(C2007="",G2007=""),"",C2007*G2007)</f>
        <v>0.013</v>
      </c>
    </row>
    <row r="2008" customFormat="false" ht="15" hidden="false" customHeight="true" outlineLevel="0" collapsed="false">
      <c r="A2008" s="23" t="str">
        <f aca="false">IF(A2001="","",A2001)</f>
        <v>Vanilla Latte Grande new D</v>
      </c>
      <c r="B2008" s="24"/>
      <c r="C2008" s="24"/>
      <c r="D2008" s="24"/>
      <c r="E2008" s="24"/>
      <c r="F2008" s="25" t="n">
        <f aca="false">IF(A2001="","",SUM(F2003:F2007))</f>
        <v>5.66262</v>
      </c>
      <c r="G2008" s="24"/>
      <c r="H2008" s="26" t="n">
        <f aca="false">IF(A2001="","",SUM(H2003:H2007))</f>
        <v>5.66262</v>
      </c>
    </row>
    <row r="2010" customFormat="false" ht="15" hidden="false" customHeight="true" outlineLevel="0" collapsed="false">
      <c r="A2010" s="12" t="s">
        <v>596</v>
      </c>
      <c r="B2010" s="13"/>
      <c r="C2010" s="13"/>
      <c r="D2010" s="13"/>
      <c r="E2010" s="13"/>
      <c r="F2010" s="14" t="s">
        <v>552</v>
      </c>
      <c r="G2010" s="13"/>
      <c r="H2010" s="15"/>
    </row>
    <row r="2011" customFormat="false" ht="15" hidden="false" customHeight="true" outlineLevel="0" collapsed="false">
      <c r="A2011" s="16" t="s">
        <v>316</v>
      </c>
      <c r="B2011" s="16" t="s">
        <v>317</v>
      </c>
      <c r="C2011" s="16" t="s">
        <v>318</v>
      </c>
      <c r="D2011" s="16" t="s">
        <v>4</v>
      </c>
      <c r="E2011" s="16" t="s">
        <v>319</v>
      </c>
      <c r="F2011" s="16" t="s">
        <v>320</v>
      </c>
      <c r="G2011" s="16" t="s">
        <v>321</v>
      </c>
      <c r="H2011" s="16" t="s">
        <v>322</v>
      </c>
    </row>
    <row r="2012" customFormat="false" ht="15" hidden="false" customHeight="true" outlineLevel="0" collapsed="false">
      <c r="A2012" s="17" t="s">
        <v>158</v>
      </c>
      <c r="B2012" s="18" t="str">
        <f aca="false">IFERROR(VLOOKUP(A2012,NOMENCLATOR!$A:$E,2,0),"")</f>
        <v>Lapte cafea</v>
      </c>
      <c r="C2012" s="19" t="n">
        <v>185</v>
      </c>
      <c r="D2012" s="20" t="str">
        <f aca="false">IFERROR(VLOOKUP(A2012,NOMENCLATOR!$A:$E,3,0),"")</f>
        <v>ML</v>
      </c>
      <c r="E2012" s="21" t="n">
        <f aca="false">IFERROR(VLOOKUP(A2012,NOMENCLATOR!$A:$E,4,0),"")</f>
        <v>0.0098</v>
      </c>
      <c r="F2012" s="21" t="n">
        <f aca="false">IF(OR(C2012="",E2012=""),"",C2012*E2012)</f>
        <v>1.813</v>
      </c>
      <c r="G2012" s="22" t="n">
        <f aca="false">IFERROR(VLOOKUP(A2012,NOMENCLATOR!$A:$E,5,0),"")</f>
        <v>0.0098</v>
      </c>
      <c r="H2012" s="22" t="n">
        <f aca="false">IF(OR(C2012="",G2012=""),"",C2012*G2012)</f>
        <v>1.813</v>
      </c>
    </row>
    <row r="2013" customFormat="false" ht="15" hidden="false" customHeight="true" outlineLevel="0" collapsed="false">
      <c r="A2013" s="17" t="s">
        <v>152</v>
      </c>
      <c r="B2013" s="18" t="str">
        <f aca="false">IFERROR(VLOOKUP(A2013,NOMENCLATOR!$A:$E,2,0),"")</f>
        <v>Illy Expresso Clasico 1.5 kg</v>
      </c>
      <c r="C2013" s="19" t="n">
        <v>12</v>
      </c>
      <c r="D2013" s="20" t="str">
        <f aca="false">IFERROR(VLOOKUP(A2013,NOMENCLATOR!$A:$E,3,0),"")</f>
        <v>GM</v>
      </c>
      <c r="E2013" s="21" t="n">
        <f aca="false">IFERROR(VLOOKUP(A2013,NOMENCLATOR!$A:$E,4,0),"")</f>
        <v>0.23833</v>
      </c>
      <c r="F2013" s="21" t="n">
        <f aca="false">IF(OR(C2013="",E2013=""),"",C2013*E2013)</f>
        <v>2.85996</v>
      </c>
      <c r="G2013" s="22" t="n">
        <f aca="false">IFERROR(VLOOKUP(A2013,NOMENCLATOR!$A:$E,5,0),"")</f>
        <v>0.23833</v>
      </c>
      <c r="H2013" s="22" t="n">
        <f aca="false">IF(OR(C2013="",G2013=""),"",C2013*G2013)</f>
        <v>2.85996</v>
      </c>
    </row>
    <row r="2014" customFormat="false" ht="15" hidden="false" customHeight="true" outlineLevel="0" collapsed="false">
      <c r="A2014" s="17" t="s">
        <v>192</v>
      </c>
      <c r="B2014" s="18" t="str">
        <f aca="false">IFERROR(VLOOKUP(A2014,NOMENCLATOR!$A:$E,2,0),"")</f>
        <v>Pahar Carton DW Fryday 350ml</v>
      </c>
      <c r="C2014" s="19" t="n">
        <v>1</v>
      </c>
      <c r="D2014" s="20" t="str">
        <f aca="false">IFERROR(VLOOKUP(A2014,NOMENCLATOR!$A:$E,3,0),"")</f>
        <v>EA</v>
      </c>
      <c r="E2014" s="21" t="n">
        <f aca="false">IFERROR(VLOOKUP(A2014,NOMENCLATOR!$A:$E,4,0),"")</f>
        <v>0.487</v>
      </c>
      <c r="F2014" s="21" t="n">
        <f aca="false">IF(OR(C2014="",E2014=""),"",C2014*E2014)</f>
        <v>0.487</v>
      </c>
      <c r="G2014" s="22" t="n">
        <f aca="false">IFERROR(VLOOKUP(A2014,NOMENCLATOR!$A:$E,5,0),"")</f>
        <v>0.487</v>
      </c>
      <c r="H2014" s="22" t="n">
        <f aca="false">IF(OR(C2014="",G2014=""),"",C2014*G2014)</f>
        <v>0.487</v>
      </c>
    </row>
    <row r="2015" customFormat="false" ht="15" hidden="false" customHeight="true" outlineLevel="0" collapsed="false">
      <c r="A2015" s="17" t="s">
        <v>206</v>
      </c>
      <c r="B2015" s="18" t="str">
        <f aca="false">IFERROR(VLOOKUP(A2015,NOMENCLATOR!$A:$E,2,0),"")</f>
        <v>Paletine Lemn 14 cm</v>
      </c>
      <c r="C2015" s="19" t="n">
        <v>1</v>
      </c>
      <c r="D2015" s="20" t="str">
        <f aca="false">IFERROR(VLOOKUP(A2015,NOMENCLATOR!$A:$E,3,0),"")</f>
        <v>EA</v>
      </c>
      <c r="E2015" s="21" t="n">
        <f aca="false">IFERROR(VLOOKUP(A2015,NOMENCLATOR!$A:$E,4,0),"")</f>
        <v>0.013</v>
      </c>
      <c r="F2015" s="21" t="n">
        <f aca="false">IF(OR(C2015="",E2015=""),"",C2015*E2015)</f>
        <v>0.013</v>
      </c>
      <c r="G2015" s="22" t="n">
        <f aca="false">IFERROR(VLOOKUP(A2015,NOMENCLATOR!$A:$E,5,0),"")</f>
        <v>0.013</v>
      </c>
      <c r="H2015" s="22" t="n">
        <f aca="false">IF(OR(C2015="",G2015=""),"",C2015*G2015)</f>
        <v>0.013</v>
      </c>
    </row>
    <row r="2016" customFormat="false" ht="15" hidden="false" customHeight="true" outlineLevel="0" collapsed="false">
      <c r="A2016" s="17" t="s">
        <v>84</v>
      </c>
      <c r="B2016" s="18" t="str">
        <f aca="false">IFERROR(VLOOKUP(A2016,NOMENCLATOR!$A:$E,2,0),"")</f>
        <v>Capac dn plastic SR 90 (12OZ)</v>
      </c>
      <c r="C2016" s="19" t="n">
        <v>1</v>
      </c>
      <c r="D2016" s="20" t="str">
        <f aca="false">IFERROR(VLOOKUP(A2016,NOMENCLATOR!$A:$E,3,0),"")</f>
        <v>EA</v>
      </c>
      <c r="E2016" s="21" t="n">
        <f aca="false">IFERROR(VLOOKUP(A2016,NOMENCLATOR!$A:$E,4,0),"")</f>
        <v>0.209</v>
      </c>
      <c r="F2016" s="21" t="n">
        <f aca="false">IF(OR(C2016="",E2016=""),"",C2016*E2016)</f>
        <v>0.209</v>
      </c>
      <c r="G2016" s="22" t="n">
        <f aca="false">IFERROR(VLOOKUP(A2016,NOMENCLATOR!$A:$E,5,0),"")</f>
        <v>0.209</v>
      </c>
      <c r="H2016" s="22" t="n">
        <f aca="false">IF(OR(C2016="",G2016=""),"",C2016*G2016)</f>
        <v>0.209</v>
      </c>
    </row>
    <row r="2017" customFormat="false" ht="15" hidden="false" customHeight="true" outlineLevel="0" collapsed="false">
      <c r="A2017" s="17" t="s">
        <v>172</v>
      </c>
      <c r="B2017" s="18" t="str">
        <f aca="false">IFERROR(VLOOKUP(A2017,NOMENCLATOR!$A:$E,2,0),"")</f>
        <v>Monin Syrup caramel 70 cl</v>
      </c>
      <c r="C2017" s="19" t="n">
        <v>20</v>
      </c>
      <c r="D2017" s="20" t="str">
        <f aca="false">IFERROR(VLOOKUP(A2017,NOMENCLATOR!$A:$E,3,0),"")</f>
        <v>ML</v>
      </c>
      <c r="E2017" s="21" t="n">
        <f aca="false">IFERROR(VLOOKUP(A2017,NOMENCLATOR!$A:$E,4,0),"")</f>
        <v>0.0652</v>
      </c>
      <c r="F2017" s="21" t="n">
        <f aca="false">IF(OR(C2017="",E2017=""),"",C2017*E2017)</f>
        <v>1.304</v>
      </c>
      <c r="G2017" s="22" t="n">
        <f aca="false">IFERROR(VLOOKUP(A2017,NOMENCLATOR!$A:$E,5,0),"")</f>
        <v>0.0652</v>
      </c>
      <c r="H2017" s="22" t="n">
        <f aca="false">IF(OR(C2017="",G2017=""),"",C2017*G2017)</f>
        <v>1.304</v>
      </c>
    </row>
    <row r="2018" customFormat="false" ht="15" hidden="false" customHeight="true" outlineLevel="0" collapsed="false">
      <c r="A2018" s="23" t="str">
        <f aca="false">IF(A2010="","",A2010)</f>
        <v>Caramel Machiato new</v>
      </c>
      <c r="B2018" s="24"/>
      <c r="C2018" s="24"/>
      <c r="D2018" s="24"/>
      <c r="E2018" s="24"/>
      <c r="F2018" s="25" t="n">
        <f aca="false">IF(A2010="","",SUM(F2012:F2017))</f>
        <v>6.68596</v>
      </c>
      <c r="G2018" s="24"/>
      <c r="H2018" s="26" t="n">
        <f aca="false">IF(A2010="","",SUM(H2012:H2017))</f>
        <v>6.68596</v>
      </c>
    </row>
    <row r="2020" customFormat="false" ht="15" hidden="false" customHeight="true" outlineLevel="0" collapsed="false">
      <c r="A2020" s="12" t="s">
        <v>597</v>
      </c>
      <c r="B2020" s="13"/>
      <c r="C2020" s="13"/>
      <c r="D2020" s="13"/>
      <c r="E2020" s="13"/>
      <c r="F2020" s="14" t="s">
        <v>552</v>
      </c>
      <c r="G2020" s="13"/>
      <c r="H2020" s="15"/>
    </row>
    <row r="2021" customFormat="false" ht="15" hidden="false" customHeight="true" outlineLevel="0" collapsed="false">
      <c r="A2021" s="16" t="s">
        <v>316</v>
      </c>
      <c r="B2021" s="16" t="s">
        <v>317</v>
      </c>
      <c r="C2021" s="16" t="s">
        <v>318</v>
      </c>
      <c r="D2021" s="16" t="s">
        <v>4</v>
      </c>
      <c r="E2021" s="16" t="s">
        <v>319</v>
      </c>
      <c r="F2021" s="16" t="s">
        <v>320</v>
      </c>
      <c r="G2021" s="16" t="s">
        <v>321</v>
      </c>
      <c r="H2021" s="16" t="s">
        <v>322</v>
      </c>
    </row>
    <row r="2022" customFormat="false" ht="15" hidden="false" customHeight="true" outlineLevel="0" collapsed="false">
      <c r="A2022" s="17" t="s">
        <v>158</v>
      </c>
      <c r="B2022" s="18" t="str">
        <f aca="false">IFERROR(VLOOKUP(A2022,NOMENCLATOR!$A:$E,2,0),"")</f>
        <v>Lapte cafea</v>
      </c>
      <c r="C2022" s="19" t="n">
        <v>185</v>
      </c>
      <c r="D2022" s="20" t="str">
        <f aca="false">IFERROR(VLOOKUP(A2022,NOMENCLATOR!$A:$E,3,0),"")</f>
        <v>ML</v>
      </c>
      <c r="E2022" s="21" t="n">
        <f aca="false">IFERROR(VLOOKUP(A2022,NOMENCLATOR!$A:$E,4,0),"")</f>
        <v>0.0098</v>
      </c>
      <c r="F2022" s="21" t="n">
        <f aca="false">IF(OR(C2022="",E2022=""),"",C2022*E2022)</f>
        <v>1.813</v>
      </c>
      <c r="G2022" s="22" t="n">
        <f aca="false">IFERROR(VLOOKUP(A2022,NOMENCLATOR!$A:$E,5,0),"")</f>
        <v>0.0098</v>
      </c>
      <c r="H2022" s="22" t="n">
        <f aca="false">IF(OR(C2022="",G2022=""),"",C2022*G2022)</f>
        <v>1.813</v>
      </c>
    </row>
    <row r="2023" customFormat="false" ht="15" hidden="false" customHeight="true" outlineLevel="0" collapsed="false">
      <c r="A2023" s="17" t="s">
        <v>152</v>
      </c>
      <c r="B2023" s="18" t="str">
        <f aca="false">IFERROR(VLOOKUP(A2023,NOMENCLATOR!$A:$E,2,0),"")</f>
        <v>Illy Expresso Clasico 1.5 kg</v>
      </c>
      <c r="C2023" s="19" t="n">
        <v>12</v>
      </c>
      <c r="D2023" s="20" t="str">
        <f aca="false">IFERROR(VLOOKUP(A2023,NOMENCLATOR!$A:$E,3,0),"")</f>
        <v>GM</v>
      </c>
      <c r="E2023" s="21" t="n">
        <f aca="false">IFERROR(VLOOKUP(A2023,NOMENCLATOR!$A:$E,4,0),"")</f>
        <v>0.23833</v>
      </c>
      <c r="F2023" s="21" t="n">
        <f aca="false">IF(OR(C2023="",E2023=""),"",C2023*E2023)</f>
        <v>2.85996</v>
      </c>
      <c r="G2023" s="22" t="n">
        <f aca="false">IFERROR(VLOOKUP(A2023,NOMENCLATOR!$A:$E,5,0),"")</f>
        <v>0.23833</v>
      </c>
      <c r="H2023" s="22" t="n">
        <f aca="false">IF(OR(C2023="",G2023=""),"",C2023*G2023)</f>
        <v>2.85996</v>
      </c>
    </row>
    <row r="2024" customFormat="false" ht="15" hidden="false" customHeight="true" outlineLevel="0" collapsed="false">
      <c r="A2024" s="17" t="s">
        <v>192</v>
      </c>
      <c r="B2024" s="18" t="str">
        <f aca="false">IFERROR(VLOOKUP(A2024,NOMENCLATOR!$A:$E,2,0),"")</f>
        <v>Pahar Carton DW Fryday 350ml</v>
      </c>
      <c r="C2024" s="19" t="n">
        <v>1</v>
      </c>
      <c r="D2024" s="20" t="str">
        <f aca="false">IFERROR(VLOOKUP(A2024,NOMENCLATOR!$A:$E,3,0),"")</f>
        <v>EA</v>
      </c>
      <c r="E2024" s="21" t="n">
        <f aca="false">IFERROR(VLOOKUP(A2024,NOMENCLATOR!$A:$E,4,0),"")</f>
        <v>0.487</v>
      </c>
      <c r="F2024" s="21" t="n">
        <f aca="false">IF(OR(C2024="",E2024=""),"",C2024*E2024)</f>
        <v>0.487</v>
      </c>
      <c r="G2024" s="22" t="n">
        <f aca="false">IFERROR(VLOOKUP(A2024,NOMENCLATOR!$A:$E,5,0),"")</f>
        <v>0.487</v>
      </c>
      <c r="H2024" s="22" t="n">
        <f aca="false">IF(OR(C2024="",G2024=""),"",C2024*G2024)</f>
        <v>0.487</v>
      </c>
    </row>
    <row r="2025" customFormat="false" ht="15" hidden="false" customHeight="true" outlineLevel="0" collapsed="false">
      <c r="A2025" s="17" t="s">
        <v>206</v>
      </c>
      <c r="B2025" s="18" t="str">
        <f aca="false">IFERROR(VLOOKUP(A2025,NOMENCLATOR!$A:$E,2,0),"")</f>
        <v>Paletine Lemn 14 cm</v>
      </c>
      <c r="C2025" s="19" t="n">
        <v>1</v>
      </c>
      <c r="D2025" s="20" t="str">
        <f aca="false">IFERROR(VLOOKUP(A2025,NOMENCLATOR!$A:$E,3,0),"")</f>
        <v>EA</v>
      </c>
      <c r="E2025" s="21" t="n">
        <f aca="false">IFERROR(VLOOKUP(A2025,NOMENCLATOR!$A:$E,4,0),"")</f>
        <v>0.013</v>
      </c>
      <c r="F2025" s="21" t="n">
        <f aca="false">IF(OR(C2025="",E2025=""),"",C2025*E2025)</f>
        <v>0.013</v>
      </c>
      <c r="G2025" s="22" t="n">
        <f aca="false">IFERROR(VLOOKUP(A2025,NOMENCLATOR!$A:$E,5,0),"")</f>
        <v>0.013</v>
      </c>
      <c r="H2025" s="22" t="n">
        <f aca="false">IF(OR(C2025="",G2025=""),"",C2025*G2025)</f>
        <v>0.013</v>
      </c>
    </row>
    <row r="2026" customFormat="false" ht="15" hidden="false" customHeight="true" outlineLevel="0" collapsed="false">
      <c r="A2026" s="17" t="s">
        <v>84</v>
      </c>
      <c r="B2026" s="18" t="str">
        <f aca="false">IFERROR(VLOOKUP(A2026,NOMENCLATOR!$A:$E,2,0),"")</f>
        <v>Capac dn plastic SR 90 (12OZ)</v>
      </c>
      <c r="C2026" s="19" t="n">
        <v>1</v>
      </c>
      <c r="D2026" s="20" t="str">
        <f aca="false">IFERROR(VLOOKUP(A2026,NOMENCLATOR!$A:$E,3,0),"")</f>
        <v>EA</v>
      </c>
      <c r="E2026" s="21" t="n">
        <f aca="false">IFERROR(VLOOKUP(A2026,NOMENCLATOR!$A:$E,4,0),"")</f>
        <v>0.209</v>
      </c>
      <c r="F2026" s="21" t="n">
        <f aca="false">IF(OR(C2026="",E2026=""),"",C2026*E2026)</f>
        <v>0.209</v>
      </c>
      <c r="G2026" s="22" t="n">
        <f aca="false">IFERROR(VLOOKUP(A2026,NOMENCLATOR!$A:$E,5,0),"")</f>
        <v>0.209</v>
      </c>
      <c r="H2026" s="22" t="n">
        <f aca="false">IF(OR(C2026="",G2026=""),"",C2026*G2026)</f>
        <v>0.209</v>
      </c>
    </row>
    <row r="2027" customFormat="false" ht="15" hidden="false" customHeight="true" outlineLevel="0" collapsed="false">
      <c r="A2027" s="17" t="s">
        <v>172</v>
      </c>
      <c r="B2027" s="18" t="str">
        <f aca="false">IFERROR(VLOOKUP(A2027,NOMENCLATOR!$A:$E,2,0),"")</f>
        <v>Monin Syrup caramel 70 cl</v>
      </c>
      <c r="C2027" s="19" t="n">
        <v>20</v>
      </c>
      <c r="D2027" s="20" t="str">
        <f aca="false">IFERROR(VLOOKUP(A2027,NOMENCLATOR!$A:$E,3,0),"")</f>
        <v>ML</v>
      </c>
      <c r="E2027" s="21" t="n">
        <f aca="false">IFERROR(VLOOKUP(A2027,NOMENCLATOR!$A:$E,4,0),"")</f>
        <v>0.0652</v>
      </c>
      <c r="F2027" s="21" t="n">
        <f aca="false">IF(OR(C2027="",E2027=""),"",C2027*E2027)</f>
        <v>1.304</v>
      </c>
      <c r="G2027" s="22" t="n">
        <f aca="false">IFERROR(VLOOKUP(A2027,NOMENCLATOR!$A:$E,5,0),"")</f>
        <v>0.0652</v>
      </c>
      <c r="H2027" s="22" t="n">
        <f aca="false">IF(OR(C2027="",G2027=""),"",C2027*G2027)</f>
        <v>1.304</v>
      </c>
    </row>
    <row r="2028" customFormat="false" ht="15" hidden="false" customHeight="true" outlineLevel="0" collapsed="false">
      <c r="A2028" s="23" t="str">
        <f aca="false">IF(A2020="","",A2020)</f>
        <v>Caramel Machiato new D</v>
      </c>
      <c r="B2028" s="24"/>
      <c r="C2028" s="24"/>
      <c r="D2028" s="24"/>
      <c r="E2028" s="24"/>
      <c r="F2028" s="25" t="n">
        <f aca="false">IF(A2020="","",SUM(F2022:F2027))</f>
        <v>6.68596</v>
      </c>
      <c r="G2028" s="24"/>
      <c r="H2028" s="26" t="n">
        <f aca="false">IF(A2020="","",SUM(H2022:H2027))</f>
        <v>6.68596</v>
      </c>
    </row>
    <row r="2030" customFormat="false" ht="15" hidden="false" customHeight="true" outlineLevel="0" collapsed="false">
      <c r="A2030" s="12" t="s">
        <v>598</v>
      </c>
      <c r="B2030" s="13"/>
      <c r="C2030" s="13"/>
      <c r="D2030" s="13"/>
      <c r="E2030" s="13"/>
      <c r="F2030" s="14" t="s">
        <v>552</v>
      </c>
      <c r="G2030" s="13"/>
      <c r="H2030" s="15"/>
    </row>
    <row r="2031" customFormat="false" ht="15" hidden="false" customHeight="true" outlineLevel="0" collapsed="false">
      <c r="A2031" s="16" t="s">
        <v>316</v>
      </c>
      <c r="B2031" s="16" t="s">
        <v>317</v>
      </c>
      <c r="C2031" s="16" t="s">
        <v>318</v>
      </c>
      <c r="D2031" s="16" t="s">
        <v>4</v>
      </c>
      <c r="E2031" s="16" t="s">
        <v>319</v>
      </c>
      <c r="F2031" s="16" t="s">
        <v>320</v>
      </c>
      <c r="G2031" s="16" t="s">
        <v>321</v>
      </c>
      <c r="H2031" s="16" t="s">
        <v>322</v>
      </c>
    </row>
    <row r="2032" customFormat="false" ht="15" hidden="false" customHeight="true" outlineLevel="0" collapsed="false">
      <c r="A2032" s="17" t="s">
        <v>152</v>
      </c>
      <c r="B2032" s="18" t="str">
        <f aca="false">IFERROR(VLOOKUP(A2032,NOMENCLATOR!$A:$E,2,0),"")</f>
        <v>Illy Expresso Clasico 1.5 kg</v>
      </c>
      <c r="C2032" s="19" t="n">
        <v>12</v>
      </c>
      <c r="D2032" s="20" t="str">
        <f aca="false">IFERROR(VLOOKUP(A2032,NOMENCLATOR!$A:$E,3,0),"")</f>
        <v>GM</v>
      </c>
      <c r="E2032" s="21" t="n">
        <f aca="false">IFERROR(VLOOKUP(A2032,NOMENCLATOR!$A:$E,4,0),"")</f>
        <v>0.23833</v>
      </c>
      <c r="F2032" s="21" t="n">
        <f aca="false">IF(OR(C2032="",E2032=""),"",C2032*E2032)</f>
        <v>2.85996</v>
      </c>
      <c r="G2032" s="22" t="n">
        <f aca="false">IFERROR(VLOOKUP(A2032,NOMENCLATOR!$A:$E,5,0),"")</f>
        <v>0.23833</v>
      </c>
      <c r="H2032" s="22" t="n">
        <f aca="false">IF(OR(C2032="",G2032=""),"",C2032*G2032)</f>
        <v>2.85996</v>
      </c>
    </row>
    <row r="2033" customFormat="false" ht="15" hidden="false" customHeight="true" outlineLevel="0" collapsed="false">
      <c r="A2033" s="17" t="s">
        <v>158</v>
      </c>
      <c r="B2033" s="18" t="str">
        <f aca="false">IFERROR(VLOOKUP(A2033,NOMENCLATOR!$A:$E,2,0),"")</f>
        <v>Lapte cafea</v>
      </c>
      <c r="C2033" s="19" t="n">
        <v>150</v>
      </c>
      <c r="D2033" s="20" t="str">
        <f aca="false">IFERROR(VLOOKUP(A2033,NOMENCLATOR!$A:$E,3,0),"")</f>
        <v>ML</v>
      </c>
      <c r="E2033" s="21" t="n">
        <f aca="false">IFERROR(VLOOKUP(A2033,NOMENCLATOR!$A:$E,4,0),"")</f>
        <v>0.0098</v>
      </c>
      <c r="F2033" s="21" t="n">
        <f aca="false">IF(OR(C2033="",E2033=""),"",C2033*E2033)</f>
        <v>1.47</v>
      </c>
      <c r="G2033" s="22" t="n">
        <f aca="false">IFERROR(VLOOKUP(A2033,NOMENCLATOR!$A:$E,5,0),"")</f>
        <v>0.0098</v>
      </c>
      <c r="H2033" s="22" t="n">
        <f aca="false">IF(OR(C2033="",G2033=""),"",C2033*G2033)</f>
        <v>1.47</v>
      </c>
    </row>
    <row r="2034" customFormat="false" ht="15" hidden="false" customHeight="true" outlineLevel="0" collapsed="false">
      <c r="A2034" s="17" t="s">
        <v>198</v>
      </c>
      <c r="B2034" s="18" t="str">
        <f aca="false">IFERROR(VLOOKUP(A2034,NOMENCLATOR!$A:$E,2,0),"")</f>
        <v>PAHAR PET FRYZZZ 300-400ML</v>
      </c>
      <c r="C2034" s="19" t="n">
        <v>1</v>
      </c>
      <c r="D2034" s="20" t="str">
        <f aca="false">IFERROR(VLOOKUP(A2034,NOMENCLATOR!$A:$E,3,0),"")</f>
        <v>EA</v>
      </c>
      <c r="E2034" s="21" t="n">
        <f aca="false">IFERROR(VLOOKUP(A2034,NOMENCLATOR!$A:$E,4,0),"")</f>
        <v>0.424</v>
      </c>
      <c r="F2034" s="21" t="n">
        <f aca="false">IF(OR(C2034="",E2034=""),"",C2034*E2034)</f>
        <v>0.424</v>
      </c>
      <c r="G2034" s="22" t="n">
        <f aca="false">IFERROR(VLOOKUP(A2034,NOMENCLATOR!$A:$E,5,0),"")</f>
        <v>0.424</v>
      </c>
      <c r="H2034" s="22" t="n">
        <f aca="false">IF(OR(C2034="",G2034=""),"",C2034*G2034)</f>
        <v>0.424</v>
      </c>
    </row>
    <row r="2035" customFormat="false" ht="15" hidden="false" customHeight="true" outlineLevel="0" collapsed="false">
      <c r="A2035" s="17" t="s">
        <v>88</v>
      </c>
      <c r="B2035" s="18" t="str">
        <f aca="false">IFERROR(VLOOKUP(A2035,NOMENCLATOR!$A:$E,2,0),"")</f>
        <v>CAPAC PLAT CU ORIFICIU FRYZZZ</v>
      </c>
      <c r="C2035" s="19" t="n">
        <v>1</v>
      </c>
      <c r="D2035" s="20" t="str">
        <f aca="false">IFERROR(VLOOKUP(A2035,NOMENCLATOR!$A:$E,3,0),"")</f>
        <v>EA</v>
      </c>
      <c r="E2035" s="21" t="n">
        <f aca="false">IFERROR(VLOOKUP(A2035,NOMENCLATOR!$A:$E,4,0),"")</f>
        <v>0.106</v>
      </c>
      <c r="F2035" s="21" t="n">
        <f aca="false">IF(OR(C2035="",E2035=""),"",C2035*E2035)</f>
        <v>0.106</v>
      </c>
      <c r="G2035" s="22" t="n">
        <f aca="false">IFERROR(VLOOKUP(A2035,NOMENCLATOR!$A:$E,5,0),"")</f>
        <v>0.106</v>
      </c>
      <c r="H2035" s="22" t="n">
        <f aca="false">IF(OR(C2035="",G2035=""),"",C2035*G2035)</f>
        <v>0.106</v>
      </c>
    </row>
    <row r="2036" customFormat="false" ht="15" hidden="false" customHeight="true" outlineLevel="0" collapsed="false">
      <c r="A2036" s="17" t="s">
        <v>204</v>
      </c>
      <c r="B2036" s="18" t="str">
        <f aca="false">IFERROR(VLOOKUP(A2036,NOMENCLATOR!$A:$E,2,0),"")</f>
        <v>Pai hartie 8mm</v>
      </c>
      <c r="C2036" s="19" t="n">
        <v>1</v>
      </c>
      <c r="D2036" s="20" t="str">
        <f aca="false">IFERROR(VLOOKUP(A2036,NOMENCLATOR!$A:$E,3,0),"")</f>
        <v>EA</v>
      </c>
      <c r="E2036" s="21" t="n">
        <f aca="false">IFERROR(VLOOKUP(A2036,NOMENCLATOR!$A:$E,4,0),"")</f>
        <v>0.176</v>
      </c>
      <c r="F2036" s="21" t="n">
        <f aca="false">IF(OR(C2036="",E2036=""),"",C2036*E2036)</f>
        <v>0.176</v>
      </c>
      <c r="G2036" s="22" t="n">
        <f aca="false">IFERROR(VLOOKUP(A2036,NOMENCLATOR!$A:$E,5,0),"")</f>
        <v>0.176</v>
      </c>
      <c r="H2036" s="22" t="n">
        <f aca="false">IF(OR(C2036="",G2036=""),"",C2036*G2036)</f>
        <v>0.176</v>
      </c>
    </row>
    <row r="2037" customFormat="false" ht="15" hidden="false" customHeight="true" outlineLevel="0" collapsed="false">
      <c r="A2037" s="23" t="str">
        <f aca="false">IF(A2030="","",A2030)</f>
        <v>ICED COFFEE LATTE new</v>
      </c>
      <c r="B2037" s="24"/>
      <c r="C2037" s="24"/>
      <c r="D2037" s="24"/>
      <c r="E2037" s="24"/>
      <c r="F2037" s="25" t="n">
        <f aca="false">IF(A2030="","",SUM(F2032:F2036))</f>
        <v>5.03596</v>
      </c>
      <c r="G2037" s="24"/>
      <c r="H2037" s="26" t="n">
        <f aca="false">IF(A2030="","",SUM(H2032:H2036))</f>
        <v>5.03596</v>
      </c>
    </row>
    <row r="2039" customFormat="false" ht="15" hidden="false" customHeight="true" outlineLevel="0" collapsed="false">
      <c r="A2039" s="12" t="s">
        <v>599</v>
      </c>
      <c r="B2039" s="13"/>
      <c r="C2039" s="13"/>
      <c r="D2039" s="13"/>
      <c r="E2039" s="13"/>
      <c r="F2039" s="14" t="s">
        <v>552</v>
      </c>
      <c r="G2039" s="13"/>
      <c r="H2039" s="15"/>
    </row>
    <row r="2040" customFormat="false" ht="15" hidden="false" customHeight="true" outlineLevel="0" collapsed="false">
      <c r="A2040" s="16" t="s">
        <v>316</v>
      </c>
      <c r="B2040" s="16" t="s">
        <v>317</v>
      </c>
      <c r="C2040" s="16" t="s">
        <v>318</v>
      </c>
      <c r="D2040" s="16" t="s">
        <v>4</v>
      </c>
      <c r="E2040" s="16" t="s">
        <v>319</v>
      </c>
      <c r="F2040" s="16" t="s">
        <v>320</v>
      </c>
      <c r="G2040" s="16" t="s">
        <v>321</v>
      </c>
      <c r="H2040" s="16" t="s">
        <v>322</v>
      </c>
    </row>
    <row r="2041" customFormat="false" ht="15" hidden="false" customHeight="true" outlineLevel="0" collapsed="false">
      <c r="A2041" s="17" t="s">
        <v>30</v>
      </c>
      <c r="B2041" s="18" t="str">
        <f aca="false">IFERROR(VLOOKUP(A2041,NOMENCLATOR!$A:$E,2,0),"")</f>
        <v>1.000 EA Prep Limonada</v>
      </c>
      <c r="C2041" s="19" t="n">
        <v>60.01</v>
      </c>
      <c r="D2041" s="20" t="str">
        <f aca="false">IFERROR(VLOOKUP(A2041,NOMENCLATOR!$A:$E,3,0),"")</f>
        <v>ML</v>
      </c>
      <c r="E2041" s="21" t="n">
        <f aca="false">IFERROR(VLOOKUP(A2041,NOMENCLATOR!$A:$E,4,0),"")</f>
        <v>0.03498</v>
      </c>
      <c r="F2041" s="21" t="n">
        <f aca="false">IF(OR(C2041="",E2041=""),"",C2041*E2041)</f>
        <v>2.0991498</v>
      </c>
      <c r="G2041" s="22" t="n">
        <f aca="false">IFERROR(VLOOKUP(A2041,NOMENCLATOR!$A:$E,5,0),"")</f>
        <v>0.03498</v>
      </c>
      <c r="H2041" s="22" t="n">
        <f aca="false">IF(OR(C2041="",G2041=""),"",C2041*G2041)</f>
        <v>2.0991498</v>
      </c>
    </row>
    <row r="2042" customFormat="false" ht="15" hidden="false" customHeight="true" outlineLevel="0" collapsed="false">
      <c r="A2042" s="17" t="s">
        <v>198</v>
      </c>
      <c r="B2042" s="18" t="str">
        <f aca="false">IFERROR(VLOOKUP(A2042,NOMENCLATOR!$A:$E,2,0),"")</f>
        <v>PAHAR PET FRYZZZ 300-400ML</v>
      </c>
      <c r="C2042" s="19" t="n">
        <v>1</v>
      </c>
      <c r="D2042" s="20" t="str">
        <f aca="false">IFERROR(VLOOKUP(A2042,NOMENCLATOR!$A:$E,3,0),"")</f>
        <v>EA</v>
      </c>
      <c r="E2042" s="21" t="n">
        <f aca="false">IFERROR(VLOOKUP(A2042,NOMENCLATOR!$A:$E,4,0),"")</f>
        <v>0.424</v>
      </c>
      <c r="F2042" s="21" t="n">
        <f aca="false">IF(OR(C2042="",E2042=""),"",C2042*E2042)</f>
        <v>0.424</v>
      </c>
      <c r="G2042" s="22" t="n">
        <f aca="false">IFERROR(VLOOKUP(A2042,NOMENCLATOR!$A:$E,5,0),"")</f>
        <v>0.424</v>
      </c>
      <c r="H2042" s="22" t="n">
        <f aca="false">IF(OR(C2042="",G2042=""),"",C2042*G2042)</f>
        <v>0.424</v>
      </c>
    </row>
    <row r="2043" customFormat="false" ht="15" hidden="false" customHeight="true" outlineLevel="0" collapsed="false">
      <c r="A2043" s="17" t="s">
        <v>88</v>
      </c>
      <c r="B2043" s="18" t="str">
        <f aca="false">IFERROR(VLOOKUP(A2043,NOMENCLATOR!$A:$E,2,0),"")</f>
        <v>CAPAC PLAT CU ORIFICIU FRYZZZ</v>
      </c>
      <c r="C2043" s="19" t="n">
        <v>1</v>
      </c>
      <c r="D2043" s="20" t="str">
        <f aca="false">IFERROR(VLOOKUP(A2043,NOMENCLATOR!$A:$E,3,0),"")</f>
        <v>EA</v>
      </c>
      <c r="E2043" s="21" t="n">
        <f aca="false">IFERROR(VLOOKUP(A2043,NOMENCLATOR!$A:$E,4,0),"")</f>
        <v>0.106</v>
      </c>
      <c r="F2043" s="21" t="n">
        <f aca="false">IF(OR(C2043="",E2043=""),"",C2043*E2043)</f>
        <v>0.106</v>
      </c>
      <c r="G2043" s="22" t="n">
        <f aca="false">IFERROR(VLOOKUP(A2043,NOMENCLATOR!$A:$E,5,0),"")</f>
        <v>0.106</v>
      </c>
      <c r="H2043" s="22" t="n">
        <f aca="false">IF(OR(C2043="",G2043=""),"",C2043*G2043)</f>
        <v>0.106</v>
      </c>
    </row>
    <row r="2044" customFormat="false" ht="15" hidden="false" customHeight="true" outlineLevel="0" collapsed="false">
      <c r="A2044" s="17" t="s">
        <v>204</v>
      </c>
      <c r="B2044" s="18" t="str">
        <f aca="false">IFERROR(VLOOKUP(A2044,NOMENCLATOR!$A:$E,2,0),"")</f>
        <v>Pai hartie 8mm</v>
      </c>
      <c r="C2044" s="19" t="n">
        <v>1</v>
      </c>
      <c r="D2044" s="20" t="str">
        <f aca="false">IFERROR(VLOOKUP(A2044,NOMENCLATOR!$A:$E,3,0),"")</f>
        <v>EA</v>
      </c>
      <c r="E2044" s="21" t="n">
        <f aca="false">IFERROR(VLOOKUP(A2044,NOMENCLATOR!$A:$E,4,0),"")</f>
        <v>0.176</v>
      </c>
      <c r="F2044" s="21" t="n">
        <f aca="false">IF(OR(C2044="",E2044=""),"",C2044*E2044)</f>
        <v>0.176</v>
      </c>
      <c r="G2044" s="22" t="n">
        <f aca="false">IFERROR(VLOOKUP(A2044,NOMENCLATOR!$A:$E,5,0),"")</f>
        <v>0.176</v>
      </c>
      <c r="H2044" s="22" t="n">
        <f aca="false">IF(OR(C2044="",G2044=""),"",C2044*G2044)</f>
        <v>0.176</v>
      </c>
    </row>
    <row r="2045" customFormat="false" ht="15" hidden="false" customHeight="true" outlineLevel="0" collapsed="false">
      <c r="A2045" s="23" t="str">
        <f aca="false">IF(A2039="","",A2039)</f>
        <v>LIMONADA 350ML new</v>
      </c>
      <c r="B2045" s="24"/>
      <c r="C2045" s="24"/>
      <c r="D2045" s="24"/>
      <c r="E2045" s="24"/>
      <c r="F2045" s="25" t="n">
        <f aca="false">IF(A2039="","",SUM(F2041:F2044))</f>
        <v>2.8051498</v>
      </c>
      <c r="G2045" s="24"/>
      <c r="H2045" s="26" t="n">
        <f aca="false">IF(A2039="","",SUM(H2041:H2044))</f>
        <v>2.8051498</v>
      </c>
    </row>
    <row r="2047" customFormat="false" ht="15" hidden="false" customHeight="true" outlineLevel="0" collapsed="false">
      <c r="A2047" s="12" t="s">
        <v>600</v>
      </c>
      <c r="B2047" s="13"/>
      <c r="C2047" s="13"/>
      <c r="D2047" s="13"/>
      <c r="E2047" s="13"/>
      <c r="F2047" s="14" t="s">
        <v>552</v>
      </c>
      <c r="G2047" s="13"/>
      <c r="H2047" s="15"/>
    </row>
    <row r="2048" customFormat="false" ht="15" hidden="false" customHeight="true" outlineLevel="0" collapsed="false">
      <c r="A2048" s="16" t="s">
        <v>316</v>
      </c>
      <c r="B2048" s="16" t="s">
        <v>317</v>
      </c>
      <c r="C2048" s="16" t="s">
        <v>318</v>
      </c>
      <c r="D2048" s="16" t="s">
        <v>4</v>
      </c>
      <c r="E2048" s="16" t="s">
        <v>319</v>
      </c>
      <c r="F2048" s="16" t="s">
        <v>320</v>
      </c>
      <c r="G2048" s="16" t="s">
        <v>321</v>
      </c>
      <c r="H2048" s="16" t="s">
        <v>322</v>
      </c>
    </row>
    <row r="2049" customFormat="false" ht="15" hidden="false" customHeight="true" outlineLevel="0" collapsed="false">
      <c r="A2049" s="17" t="s">
        <v>30</v>
      </c>
      <c r="B2049" s="18" t="str">
        <f aca="false">IFERROR(VLOOKUP(A2049,NOMENCLATOR!$A:$E,2,0),"")</f>
        <v>1.000 EA Prep Limonada</v>
      </c>
      <c r="C2049" s="19" t="n">
        <v>60.01</v>
      </c>
      <c r="D2049" s="20" t="str">
        <f aca="false">IFERROR(VLOOKUP(A2049,NOMENCLATOR!$A:$E,3,0),"")</f>
        <v>ML</v>
      </c>
      <c r="E2049" s="21" t="n">
        <f aca="false">IFERROR(VLOOKUP(A2049,NOMENCLATOR!$A:$E,4,0),"")</f>
        <v>0.03498</v>
      </c>
      <c r="F2049" s="21" t="n">
        <f aca="false">IF(OR(C2049="",E2049=""),"",C2049*E2049)</f>
        <v>2.0991498</v>
      </c>
      <c r="G2049" s="22" t="n">
        <f aca="false">IFERROR(VLOOKUP(A2049,NOMENCLATOR!$A:$E,5,0),"")</f>
        <v>0.03498</v>
      </c>
      <c r="H2049" s="22" t="n">
        <f aca="false">IF(OR(C2049="",G2049=""),"",C2049*G2049)</f>
        <v>2.0991498</v>
      </c>
    </row>
    <row r="2050" customFormat="false" ht="15" hidden="false" customHeight="true" outlineLevel="0" collapsed="false">
      <c r="A2050" s="17" t="s">
        <v>198</v>
      </c>
      <c r="B2050" s="18" t="str">
        <f aca="false">IFERROR(VLOOKUP(A2050,NOMENCLATOR!$A:$E,2,0),"")</f>
        <v>PAHAR PET FRYZZZ 300-400ML</v>
      </c>
      <c r="C2050" s="19" t="n">
        <v>1</v>
      </c>
      <c r="D2050" s="20" t="str">
        <f aca="false">IFERROR(VLOOKUP(A2050,NOMENCLATOR!$A:$E,3,0),"")</f>
        <v>EA</v>
      </c>
      <c r="E2050" s="21" t="n">
        <f aca="false">IFERROR(VLOOKUP(A2050,NOMENCLATOR!$A:$E,4,0),"")</f>
        <v>0.424</v>
      </c>
      <c r="F2050" s="21" t="n">
        <f aca="false">IF(OR(C2050="",E2050=""),"",C2050*E2050)</f>
        <v>0.424</v>
      </c>
      <c r="G2050" s="22" t="n">
        <f aca="false">IFERROR(VLOOKUP(A2050,NOMENCLATOR!$A:$E,5,0),"")</f>
        <v>0.424</v>
      </c>
      <c r="H2050" s="22" t="n">
        <f aca="false">IF(OR(C2050="",G2050=""),"",C2050*G2050)</f>
        <v>0.424</v>
      </c>
    </row>
    <row r="2051" customFormat="false" ht="15" hidden="false" customHeight="true" outlineLevel="0" collapsed="false">
      <c r="A2051" s="17" t="s">
        <v>88</v>
      </c>
      <c r="B2051" s="18" t="str">
        <f aca="false">IFERROR(VLOOKUP(A2051,NOMENCLATOR!$A:$E,2,0),"")</f>
        <v>CAPAC PLAT CU ORIFICIU FRYZZZ</v>
      </c>
      <c r="C2051" s="19" t="n">
        <v>1</v>
      </c>
      <c r="D2051" s="20" t="str">
        <f aca="false">IFERROR(VLOOKUP(A2051,NOMENCLATOR!$A:$E,3,0),"")</f>
        <v>EA</v>
      </c>
      <c r="E2051" s="21" t="n">
        <f aca="false">IFERROR(VLOOKUP(A2051,NOMENCLATOR!$A:$E,4,0),"")</f>
        <v>0.106</v>
      </c>
      <c r="F2051" s="21" t="n">
        <f aca="false">IF(OR(C2051="",E2051=""),"",C2051*E2051)</f>
        <v>0.106</v>
      </c>
      <c r="G2051" s="22" t="n">
        <f aca="false">IFERROR(VLOOKUP(A2051,NOMENCLATOR!$A:$E,5,0),"")</f>
        <v>0.106</v>
      </c>
      <c r="H2051" s="22" t="n">
        <f aca="false">IF(OR(C2051="",G2051=""),"",C2051*G2051)</f>
        <v>0.106</v>
      </c>
    </row>
    <row r="2052" customFormat="false" ht="15" hidden="false" customHeight="true" outlineLevel="0" collapsed="false">
      <c r="A2052" s="17" t="s">
        <v>204</v>
      </c>
      <c r="B2052" s="18" t="str">
        <f aca="false">IFERROR(VLOOKUP(A2052,NOMENCLATOR!$A:$E,2,0),"")</f>
        <v>Pai hartie 8mm</v>
      </c>
      <c r="C2052" s="19" t="n">
        <v>1</v>
      </c>
      <c r="D2052" s="20" t="str">
        <f aca="false">IFERROR(VLOOKUP(A2052,NOMENCLATOR!$A:$E,3,0),"")</f>
        <v>EA</v>
      </c>
      <c r="E2052" s="21" t="n">
        <f aca="false">IFERROR(VLOOKUP(A2052,NOMENCLATOR!$A:$E,4,0),"")</f>
        <v>0.176</v>
      </c>
      <c r="F2052" s="21" t="n">
        <f aca="false">IF(OR(C2052="",E2052=""),"",C2052*E2052)</f>
        <v>0.176</v>
      </c>
      <c r="G2052" s="22" t="n">
        <f aca="false">IFERROR(VLOOKUP(A2052,NOMENCLATOR!$A:$E,5,0),"")</f>
        <v>0.176</v>
      </c>
      <c r="H2052" s="22" t="n">
        <f aca="false">IF(OR(C2052="",G2052=""),"",C2052*G2052)</f>
        <v>0.176</v>
      </c>
    </row>
    <row r="2053" customFormat="false" ht="15" hidden="false" customHeight="true" outlineLevel="0" collapsed="false">
      <c r="A2053" s="23" t="str">
        <f aca="false">IF(A2047="","",A2047)</f>
        <v>LIMONADA 400ML new D</v>
      </c>
      <c r="B2053" s="24"/>
      <c r="C2053" s="24"/>
      <c r="D2053" s="24"/>
      <c r="E2053" s="24"/>
      <c r="F2053" s="25" t="n">
        <f aca="false">IF(A2047="","",SUM(F2049:F2052))</f>
        <v>2.8051498</v>
      </c>
      <c r="G2053" s="24"/>
      <c r="H2053" s="26" t="n">
        <f aca="false">IF(A2047="","",SUM(H2049:H2052))</f>
        <v>2.8051498</v>
      </c>
    </row>
    <row r="2055" customFormat="false" ht="15" hidden="false" customHeight="true" outlineLevel="0" collapsed="false">
      <c r="A2055" s="12" t="s">
        <v>601</v>
      </c>
      <c r="B2055" s="13"/>
      <c r="C2055" s="13"/>
      <c r="D2055" s="13"/>
      <c r="E2055" s="13"/>
      <c r="F2055" s="14" t="s">
        <v>552</v>
      </c>
      <c r="G2055" s="13"/>
      <c r="H2055" s="15"/>
    </row>
    <row r="2056" customFormat="false" ht="15" hidden="false" customHeight="true" outlineLevel="0" collapsed="false">
      <c r="A2056" s="16" t="s">
        <v>316</v>
      </c>
      <c r="B2056" s="16" t="s">
        <v>317</v>
      </c>
      <c r="C2056" s="16" t="s">
        <v>318</v>
      </c>
      <c r="D2056" s="16" t="s">
        <v>4</v>
      </c>
      <c r="E2056" s="16" t="s">
        <v>319</v>
      </c>
      <c r="F2056" s="16" t="s">
        <v>320</v>
      </c>
      <c r="G2056" s="16" t="s">
        <v>321</v>
      </c>
      <c r="H2056" s="16" t="s">
        <v>322</v>
      </c>
    </row>
    <row r="2057" customFormat="false" ht="15" hidden="false" customHeight="true" outlineLevel="0" collapsed="false">
      <c r="A2057" s="17" t="s">
        <v>96</v>
      </c>
      <c r="B2057" s="18" t="str">
        <f aca="false">IFERROR(VLOOKUP(A2057,NOMENCLATOR!$A:$E,2,0),"")</f>
        <v>CHEESECAKE NY 2.130 KG</v>
      </c>
      <c r="C2057" s="19" t="n">
        <v>1</v>
      </c>
      <c r="D2057" s="20" t="str">
        <f aca="false">IFERROR(VLOOKUP(A2057,NOMENCLATOR!$A:$E,3,0),"")</f>
        <v>EA</v>
      </c>
      <c r="E2057" s="21" t="n">
        <f aca="false">IFERROR(VLOOKUP(A2057,NOMENCLATOR!$A:$E,4,0),"")</f>
        <v>9.292</v>
      </c>
      <c r="F2057" s="21" t="n">
        <f aca="false">IF(OR(C2057="",E2057=""),"",C2057*E2057)</f>
        <v>9.292</v>
      </c>
      <c r="G2057" s="22" t="n">
        <f aca="false">IFERROR(VLOOKUP(A2057,NOMENCLATOR!$A:$E,5,0),"")</f>
        <v>9.292</v>
      </c>
      <c r="H2057" s="22" t="n">
        <f aca="false">IF(OR(C2057="",G2057=""),"",C2057*G2057)</f>
        <v>9.292</v>
      </c>
    </row>
    <row r="2058" customFormat="false" ht="15" hidden="false" customHeight="true" outlineLevel="0" collapsed="false">
      <c r="A2058" s="17" t="s">
        <v>126</v>
      </c>
      <c r="B2058" s="18" t="str">
        <f aca="false">IFERROR(VLOOKUP(A2058,NOMENCLATOR!$A:$E,2,0),"")</f>
        <v>Furculita Rosie</v>
      </c>
      <c r="C2058" s="19" t="n">
        <v>1</v>
      </c>
      <c r="D2058" s="20" t="str">
        <f aca="false">IFERROR(VLOOKUP(A2058,NOMENCLATOR!$A:$E,3,0),"")</f>
        <v>EA</v>
      </c>
      <c r="E2058" s="21" t="n">
        <f aca="false">IFERROR(VLOOKUP(A2058,NOMENCLATOR!$A:$E,4,0),"")</f>
        <v>0.27</v>
      </c>
      <c r="F2058" s="21" t="n">
        <f aca="false">IF(OR(C2058="",E2058=""),"",C2058*E2058)</f>
        <v>0.27</v>
      </c>
      <c r="G2058" s="22" t="n">
        <f aca="false">IFERROR(VLOOKUP(A2058,NOMENCLATOR!$A:$E,5,0),"")</f>
        <v>0.27</v>
      </c>
      <c r="H2058" s="22" t="n">
        <f aca="false">IF(OR(C2058="",G2058=""),"",C2058*G2058)</f>
        <v>0.27</v>
      </c>
    </row>
    <row r="2059" customFormat="false" ht="15" hidden="false" customHeight="true" outlineLevel="0" collapsed="false">
      <c r="A2059" s="23" t="str">
        <f aca="false">IF(A2055="","",A2055)</f>
        <v>CHEESECAKE NEWYORK new</v>
      </c>
      <c r="B2059" s="24"/>
      <c r="C2059" s="24"/>
      <c r="D2059" s="24"/>
      <c r="E2059" s="24"/>
      <c r="F2059" s="25" t="n">
        <f aca="false">IF(A2055="","",SUM(F2057:F2058))</f>
        <v>9.562</v>
      </c>
      <c r="G2059" s="24"/>
      <c r="H2059" s="26" t="n">
        <f aca="false">IF(A2055="","",SUM(H2057:H2058))</f>
        <v>9.562</v>
      </c>
    </row>
    <row r="2061" customFormat="false" ht="15" hidden="false" customHeight="true" outlineLevel="0" collapsed="false">
      <c r="A2061" s="12" t="s">
        <v>602</v>
      </c>
      <c r="B2061" s="13"/>
      <c r="C2061" s="13"/>
      <c r="D2061" s="13"/>
      <c r="E2061" s="13"/>
      <c r="F2061" s="14" t="s">
        <v>552</v>
      </c>
      <c r="G2061" s="13"/>
      <c r="H2061" s="15"/>
    </row>
    <row r="2062" customFormat="false" ht="15" hidden="false" customHeight="true" outlineLevel="0" collapsed="false">
      <c r="A2062" s="16" t="s">
        <v>316</v>
      </c>
      <c r="B2062" s="16" t="s">
        <v>317</v>
      </c>
      <c r="C2062" s="16" t="s">
        <v>318</v>
      </c>
      <c r="D2062" s="16" t="s">
        <v>4</v>
      </c>
      <c r="E2062" s="16" t="s">
        <v>319</v>
      </c>
      <c r="F2062" s="16" t="s">
        <v>320</v>
      </c>
      <c r="G2062" s="16" t="s">
        <v>321</v>
      </c>
      <c r="H2062" s="16" t="s">
        <v>322</v>
      </c>
    </row>
    <row r="2063" customFormat="false" ht="15" hidden="false" customHeight="true" outlineLevel="0" collapsed="false">
      <c r="A2063" s="17" t="s">
        <v>96</v>
      </c>
      <c r="B2063" s="18" t="str">
        <f aca="false">IFERROR(VLOOKUP(A2063,NOMENCLATOR!$A:$E,2,0),"")</f>
        <v>CHEESECAKE NY 2.130 KG</v>
      </c>
      <c r="C2063" s="19" t="n">
        <v>1</v>
      </c>
      <c r="D2063" s="20" t="str">
        <f aca="false">IFERROR(VLOOKUP(A2063,NOMENCLATOR!$A:$E,3,0),"")</f>
        <v>EA</v>
      </c>
      <c r="E2063" s="21" t="n">
        <f aca="false">IFERROR(VLOOKUP(A2063,NOMENCLATOR!$A:$E,4,0),"")</f>
        <v>9.292</v>
      </c>
      <c r="F2063" s="21" t="n">
        <f aca="false">IF(OR(C2063="",E2063=""),"",C2063*E2063)</f>
        <v>9.292</v>
      </c>
      <c r="G2063" s="22" t="n">
        <f aca="false">IFERROR(VLOOKUP(A2063,NOMENCLATOR!$A:$E,5,0),"")</f>
        <v>9.292</v>
      </c>
      <c r="H2063" s="22" t="n">
        <f aca="false">IF(OR(C2063="",G2063=""),"",C2063*G2063)</f>
        <v>9.292</v>
      </c>
    </row>
    <row r="2064" customFormat="false" ht="15" hidden="false" customHeight="true" outlineLevel="0" collapsed="false">
      <c r="A2064" s="17" t="s">
        <v>126</v>
      </c>
      <c r="B2064" s="18" t="str">
        <f aca="false">IFERROR(VLOOKUP(A2064,NOMENCLATOR!$A:$E,2,0),"")</f>
        <v>Furculita Rosie</v>
      </c>
      <c r="C2064" s="19" t="n">
        <v>1</v>
      </c>
      <c r="D2064" s="20" t="str">
        <f aca="false">IFERROR(VLOOKUP(A2064,NOMENCLATOR!$A:$E,3,0),"")</f>
        <v>EA</v>
      </c>
      <c r="E2064" s="21" t="n">
        <f aca="false">IFERROR(VLOOKUP(A2064,NOMENCLATOR!$A:$E,4,0),"")</f>
        <v>0.27</v>
      </c>
      <c r="F2064" s="21" t="n">
        <f aca="false">IF(OR(C2064="",E2064=""),"",C2064*E2064)</f>
        <v>0.27</v>
      </c>
      <c r="G2064" s="22" t="n">
        <f aca="false">IFERROR(VLOOKUP(A2064,NOMENCLATOR!$A:$E,5,0),"")</f>
        <v>0.27</v>
      </c>
      <c r="H2064" s="22" t="n">
        <f aca="false">IF(OR(C2064="",G2064=""),"",C2064*G2064)</f>
        <v>0.27</v>
      </c>
    </row>
    <row r="2065" customFormat="false" ht="15" hidden="false" customHeight="true" outlineLevel="0" collapsed="false">
      <c r="A2065" s="23" t="str">
        <f aca="false">IF(A2061="","",A2061)</f>
        <v>CHEESECAKE NEWYORK new D</v>
      </c>
      <c r="B2065" s="24"/>
      <c r="C2065" s="24"/>
      <c r="D2065" s="24"/>
      <c r="E2065" s="24"/>
      <c r="F2065" s="25" t="n">
        <f aca="false">IF(A2061="","",SUM(F2063:F2064))</f>
        <v>9.562</v>
      </c>
      <c r="G2065" s="24"/>
      <c r="H2065" s="26" t="n">
        <f aca="false">IF(A2061="","",SUM(H2063:H2064))</f>
        <v>9.562</v>
      </c>
    </row>
    <row r="2067" customFormat="false" ht="15" hidden="false" customHeight="true" outlineLevel="0" collapsed="false">
      <c r="A2067" s="12" t="s">
        <v>603</v>
      </c>
      <c r="B2067" s="13"/>
      <c r="C2067" s="13"/>
      <c r="D2067" s="13"/>
      <c r="E2067" s="13"/>
      <c r="F2067" s="14" t="s">
        <v>552</v>
      </c>
      <c r="G2067" s="13"/>
      <c r="H2067" s="15"/>
    </row>
    <row r="2068" customFormat="false" ht="15" hidden="false" customHeight="true" outlineLevel="0" collapsed="false">
      <c r="A2068" s="16" t="s">
        <v>316</v>
      </c>
      <c r="B2068" s="16" t="s">
        <v>317</v>
      </c>
      <c r="C2068" s="16" t="s">
        <v>318</v>
      </c>
      <c r="D2068" s="16" t="s">
        <v>4</v>
      </c>
      <c r="E2068" s="16" t="s">
        <v>319</v>
      </c>
      <c r="F2068" s="16" t="s">
        <v>320</v>
      </c>
      <c r="G2068" s="16" t="s">
        <v>321</v>
      </c>
      <c r="H2068" s="16" t="s">
        <v>322</v>
      </c>
    </row>
    <row r="2069" customFormat="false" ht="15" hidden="false" customHeight="true" outlineLevel="0" collapsed="false">
      <c r="A2069" s="17" t="s">
        <v>290</v>
      </c>
      <c r="B2069" s="18" t="str">
        <f aca="false">IFERROR(VLOOKUP(A2069,NOMENCLATOR!$A:$E,2,0),"")</f>
        <v>TIRAMISU FISTIC 1.2 KG</v>
      </c>
      <c r="C2069" s="19" t="n">
        <v>1</v>
      </c>
      <c r="D2069" s="20" t="str">
        <f aca="false">IFERROR(VLOOKUP(A2069,NOMENCLATOR!$A:$E,3,0),"")</f>
        <v>EA</v>
      </c>
      <c r="E2069" s="21" t="n">
        <f aca="false">IFERROR(VLOOKUP(A2069,NOMENCLATOR!$A:$E,4,0),"")</f>
        <v>9.025</v>
      </c>
      <c r="F2069" s="21" t="n">
        <f aca="false">IF(OR(C2069="",E2069=""),"",C2069*E2069)</f>
        <v>9.025</v>
      </c>
      <c r="G2069" s="22" t="n">
        <f aca="false">IFERROR(VLOOKUP(A2069,NOMENCLATOR!$A:$E,5,0),"")</f>
        <v>9.025</v>
      </c>
      <c r="H2069" s="22" t="n">
        <f aca="false">IF(OR(C2069="",G2069=""),"",C2069*G2069)</f>
        <v>9.025</v>
      </c>
    </row>
    <row r="2070" customFormat="false" ht="15" hidden="false" customHeight="true" outlineLevel="0" collapsed="false">
      <c r="A2070" s="17" t="s">
        <v>126</v>
      </c>
      <c r="B2070" s="18" t="str">
        <f aca="false">IFERROR(VLOOKUP(A2070,NOMENCLATOR!$A:$E,2,0),"")</f>
        <v>Furculita Rosie</v>
      </c>
      <c r="C2070" s="19" t="n">
        <v>1</v>
      </c>
      <c r="D2070" s="20" t="str">
        <f aca="false">IFERROR(VLOOKUP(A2070,NOMENCLATOR!$A:$E,3,0),"")</f>
        <v>EA</v>
      </c>
      <c r="E2070" s="21" t="n">
        <f aca="false">IFERROR(VLOOKUP(A2070,NOMENCLATOR!$A:$E,4,0),"")</f>
        <v>0.27</v>
      </c>
      <c r="F2070" s="21" t="n">
        <f aca="false">IF(OR(C2070="",E2070=""),"",C2070*E2070)</f>
        <v>0.27</v>
      </c>
      <c r="G2070" s="22" t="n">
        <f aca="false">IFERROR(VLOOKUP(A2070,NOMENCLATOR!$A:$E,5,0),"")</f>
        <v>0.27</v>
      </c>
      <c r="H2070" s="22" t="n">
        <f aca="false">IF(OR(C2070="",G2070=""),"",C2070*G2070)</f>
        <v>0.27</v>
      </c>
    </row>
    <row r="2071" customFormat="false" ht="15" hidden="false" customHeight="true" outlineLevel="0" collapsed="false">
      <c r="A2071" s="23" t="str">
        <f aca="false">IF(A2067="","",A2067)</f>
        <v>TIRAMISU CU FISTIC new</v>
      </c>
      <c r="B2071" s="24"/>
      <c r="C2071" s="24"/>
      <c r="D2071" s="24"/>
      <c r="E2071" s="24"/>
      <c r="F2071" s="25" t="n">
        <f aca="false">IF(A2067="","",SUM(F2069:F2070))</f>
        <v>9.295</v>
      </c>
      <c r="G2071" s="24"/>
      <c r="H2071" s="26" t="n">
        <f aca="false">IF(A2067="","",SUM(H2069:H2070))</f>
        <v>9.295</v>
      </c>
    </row>
    <row r="2073" customFormat="false" ht="15" hidden="false" customHeight="true" outlineLevel="0" collapsed="false">
      <c r="A2073" s="12" t="s">
        <v>604</v>
      </c>
      <c r="B2073" s="13"/>
      <c r="C2073" s="13"/>
      <c r="D2073" s="13"/>
      <c r="E2073" s="13"/>
      <c r="F2073" s="14" t="s">
        <v>552</v>
      </c>
      <c r="G2073" s="13"/>
      <c r="H2073" s="15"/>
    </row>
    <row r="2074" customFormat="false" ht="15" hidden="false" customHeight="true" outlineLevel="0" collapsed="false">
      <c r="A2074" s="16" t="s">
        <v>316</v>
      </c>
      <c r="B2074" s="16" t="s">
        <v>317</v>
      </c>
      <c r="C2074" s="16" t="s">
        <v>318</v>
      </c>
      <c r="D2074" s="16" t="s">
        <v>4</v>
      </c>
      <c r="E2074" s="16" t="s">
        <v>319</v>
      </c>
      <c r="F2074" s="16" t="s">
        <v>320</v>
      </c>
      <c r="G2074" s="16" t="s">
        <v>321</v>
      </c>
      <c r="H2074" s="16" t="s">
        <v>322</v>
      </c>
    </row>
    <row r="2075" customFormat="false" ht="15" hidden="false" customHeight="true" outlineLevel="0" collapsed="false">
      <c r="A2075" s="17" t="s">
        <v>290</v>
      </c>
      <c r="B2075" s="18" t="str">
        <f aca="false">IFERROR(VLOOKUP(A2075,NOMENCLATOR!$A:$E,2,0),"")</f>
        <v>TIRAMISU FISTIC 1.2 KG</v>
      </c>
      <c r="C2075" s="19" t="n">
        <v>1</v>
      </c>
      <c r="D2075" s="20" t="str">
        <f aca="false">IFERROR(VLOOKUP(A2075,NOMENCLATOR!$A:$E,3,0),"")</f>
        <v>EA</v>
      </c>
      <c r="E2075" s="21" t="n">
        <f aca="false">IFERROR(VLOOKUP(A2075,NOMENCLATOR!$A:$E,4,0),"")</f>
        <v>9.025</v>
      </c>
      <c r="F2075" s="21" t="n">
        <f aca="false">IF(OR(C2075="",E2075=""),"",C2075*E2075)</f>
        <v>9.025</v>
      </c>
      <c r="G2075" s="22" t="n">
        <f aca="false">IFERROR(VLOOKUP(A2075,NOMENCLATOR!$A:$E,5,0),"")</f>
        <v>9.025</v>
      </c>
      <c r="H2075" s="22" t="n">
        <f aca="false">IF(OR(C2075="",G2075=""),"",C2075*G2075)</f>
        <v>9.025</v>
      </c>
    </row>
    <row r="2076" customFormat="false" ht="15" hidden="false" customHeight="true" outlineLevel="0" collapsed="false">
      <c r="A2076" s="17" t="s">
        <v>126</v>
      </c>
      <c r="B2076" s="18" t="str">
        <f aca="false">IFERROR(VLOOKUP(A2076,NOMENCLATOR!$A:$E,2,0),"")</f>
        <v>Furculita Rosie</v>
      </c>
      <c r="C2076" s="19" t="n">
        <v>1</v>
      </c>
      <c r="D2076" s="20" t="str">
        <f aca="false">IFERROR(VLOOKUP(A2076,NOMENCLATOR!$A:$E,3,0),"")</f>
        <v>EA</v>
      </c>
      <c r="E2076" s="21" t="n">
        <f aca="false">IFERROR(VLOOKUP(A2076,NOMENCLATOR!$A:$E,4,0),"")</f>
        <v>0.27</v>
      </c>
      <c r="F2076" s="21" t="n">
        <f aca="false">IF(OR(C2076="",E2076=""),"",C2076*E2076)</f>
        <v>0.27</v>
      </c>
      <c r="G2076" s="22" t="n">
        <f aca="false">IFERROR(VLOOKUP(A2076,NOMENCLATOR!$A:$E,5,0),"")</f>
        <v>0.27</v>
      </c>
      <c r="H2076" s="22" t="n">
        <f aca="false">IF(OR(C2076="",G2076=""),"",C2076*G2076)</f>
        <v>0.27</v>
      </c>
    </row>
    <row r="2077" customFormat="false" ht="15" hidden="false" customHeight="true" outlineLevel="0" collapsed="false">
      <c r="A2077" s="23" t="str">
        <f aca="false">IF(A2073="","",A2073)</f>
        <v>TIRAMISU CU FISTIC new D</v>
      </c>
      <c r="B2077" s="24"/>
      <c r="C2077" s="24"/>
      <c r="D2077" s="24"/>
      <c r="E2077" s="24"/>
      <c r="F2077" s="25" t="n">
        <f aca="false">IF(A2073="","",SUM(F2075:F2076))</f>
        <v>9.295</v>
      </c>
      <c r="G2077" s="24"/>
      <c r="H2077" s="26" t="n">
        <f aca="false">IF(A2073="","",SUM(H2075:H2076))</f>
        <v>9.295</v>
      </c>
    </row>
    <row r="2079" customFormat="false" ht="15" hidden="false" customHeight="true" outlineLevel="0" collapsed="false">
      <c r="A2079" s="12" t="s">
        <v>605</v>
      </c>
      <c r="B2079" s="13"/>
      <c r="C2079" s="13"/>
      <c r="D2079" s="13"/>
      <c r="E2079" s="13"/>
      <c r="F2079" s="14" t="s">
        <v>552</v>
      </c>
      <c r="G2079" s="13"/>
      <c r="H2079" s="15"/>
    </row>
    <row r="2080" customFormat="false" ht="15" hidden="false" customHeight="true" outlineLevel="0" collapsed="false">
      <c r="A2080" s="16" t="s">
        <v>316</v>
      </c>
      <c r="B2080" s="16" t="s">
        <v>317</v>
      </c>
      <c r="C2080" s="16" t="s">
        <v>318</v>
      </c>
      <c r="D2080" s="16" t="s">
        <v>4</v>
      </c>
      <c r="E2080" s="16" t="s">
        <v>319</v>
      </c>
      <c r="F2080" s="16" t="s">
        <v>320</v>
      </c>
      <c r="G2080" s="16" t="s">
        <v>321</v>
      </c>
      <c r="H2080" s="16" t="s">
        <v>322</v>
      </c>
    </row>
    <row r="2081" customFormat="false" ht="15" hidden="false" customHeight="true" outlineLevel="0" collapsed="false">
      <c r="A2081" s="17" t="s">
        <v>170</v>
      </c>
      <c r="B2081" s="18" t="str">
        <f aca="false">IFERROR(VLOOKUP(A2081,NOMENCLATOR!$A:$E,2,0),"")</f>
        <v>Mandarina cu sorbet, 12 buc</v>
      </c>
      <c r="C2081" s="19" t="n">
        <v>1</v>
      </c>
      <c r="D2081" s="20" t="str">
        <f aca="false">IFERROR(VLOOKUP(A2081,NOMENCLATOR!$A:$E,3,0),"")</f>
        <v>EA</v>
      </c>
      <c r="E2081" s="21" t="n">
        <f aca="false">IFERROR(VLOOKUP(A2081,NOMENCLATOR!$A:$E,4,0),"")</f>
        <v>11.653</v>
      </c>
      <c r="F2081" s="21" t="n">
        <f aca="false">IF(OR(C2081="",E2081=""),"",C2081*E2081)</f>
        <v>11.653</v>
      </c>
      <c r="G2081" s="22" t="n">
        <f aca="false">IFERROR(VLOOKUP(A2081,NOMENCLATOR!$A:$E,5,0),"")</f>
        <v>11.653</v>
      </c>
      <c r="H2081" s="22" t="n">
        <f aca="false">IF(OR(C2081="",G2081=""),"",C2081*G2081)</f>
        <v>11.653</v>
      </c>
    </row>
    <row r="2082" customFormat="false" ht="15" hidden="false" customHeight="true" outlineLevel="0" collapsed="false">
      <c r="A2082" s="17" t="s">
        <v>126</v>
      </c>
      <c r="B2082" s="18" t="str">
        <f aca="false">IFERROR(VLOOKUP(A2082,NOMENCLATOR!$A:$E,2,0),"")</f>
        <v>Furculita Rosie</v>
      </c>
      <c r="C2082" s="19" t="n">
        <v>1</v>
      </c>
      <c r="D2082" s="20" t="str">
        <f aca="false">IFERROR(VLOOKUP(A2082,NOMENCLATOR!$A:$E,3,0),"")</f>
        <v>EA</v>
      </c>
      <c r="E2082" s="21" t="n">
        <f aca="false">IFERROR(VLOOKUP(A2082,NOMENCLATOR!$A:$E,4,0),"")</f>
        <v>0.27</v>
      </c>
      <c r="F2082" s="21" t="n">
        <f aca="false">IF(OR(C2082="",E2082=""),"",C2082*E2082)</f>
        <v>0.27</v>
      </c>
      <c r="G2082" s="22" t="n">
        <f aca="false">IFERROR(VLOOKUP(A2082,NOMENCLATOR!$A:$E,5,0),"")</f>
        <v>0.27</v>
      </c>
      <c r="H2082" s="22" t="n">
        <f aca="false">IF(OR(C2082="",G2082=""),"",C2082*G2082)</f>
        <v>0.27</v>
      </c>
    </row>
    <row r="2083" customFormat="false" ht="15" hidden="false" customHeight="true" outlineLevel="0" collapsed="false">
      <c r="A2083" s="23" t="str">
        <f aca="false">IF(A2079="","",A2079)</f>
        <v>MANDARINA CU SORBET new</v>
      </c>
      <c r="B2083" s="24"/>
      <c r="C2083" s="24"/>
      <c r="D2083" s="24"/>
      <c r="E2083" s="24"/>
      <c r="F2083" s="25" t="n">
        <f aca="false">IF(A2079="","",SUM(F2081:F2082))</f>
        <v>11.923</v>
      </c>
      <c r="G2083" s="24"/>
      <c r="H2083" s="26" t="n">
        <f aca="false">IF(A2079="","",SUM(H2081:H2082))</f>
        <v>11.923</v>
      </c>
    </row>
    <row r="2085" customFormat="false" ht="15" hidden="false" customHeight="true" outlineLevel="0" collapsed="false">
      <c r="A2085" s="12" t="s">
        <v>606</v>
      </c>
      <c r="B2085" s="13"/>
      <c r="C2085" s="13"/>
      <c r="D2085" s="13"/>
      <c r="E2085" s="13"/>
      <c r="F2085" s="14" t="s">
        <v>552</v>
      </c>
      <c r="G2085" s="13"/>
      <c r="H2085" s="15"/>
    </row>
    <row r="2086" customFormat="false" ht="15" hidden="false" customHeight="true" outlineLevel="0" collapsed="false">
      <c r="A2086" s="16" t="s">
        <v>316</v>
      </c>
      <c r="B2086" s="16" t="s">
        <v>317</v>
      </c>
      <c r="C2086" s="16" t="s">
        <v>318</v>
      </c>
      <c r="D2086" s="16" t="s">
        <v>4</v>
      </c>
      <c r="E2086" s="16" t="s">
        <v>319</v>
      </c>
      <c r="F2086" s="16" t="s">
        <v>320</v>
      </c>
      <c r="G2086" s="16" t="s">
        <v>321</v>
      </c>
      <c r="H2086" s="16" t="s">
        <v>322</v>
      </c>
    </row>
    <row r="2087" customFormat="false" ht="15" hidden="false" customHeight="true" outlineLevel="0" collapsed="false">
      <c r="A2087" s="17" t="s">
        <v>170</v>
      </c>
      <c r="B2087" s="18" t="str">
        <f aca="false">IFERROR(VLOOKUP(A2087,NOMENCLATOR!$A:$E,2,0),"")</f>
        <v>Mandarina cu sorbet, 12 buc</v>
      </c>
      <c r="C2087" s="19" t="n">
        <v>1</v>
      </c>
      <c r="D2087" s="20" t="str">
        <f aca="false">IFERROR(VLOOKUP(A2087,NOMENCLATOR!$A:$E,3,0),"")</f>
        <v>EA</v>
      </c>
      <c r="E2087" s="21" t="n">
        <f aca="false">IFERROR(VLOOKUP(A2087,NOMENCLATOR!$A:$E,4,0),"")</f>
        <v>11.653</v>
      </c>
      <c r="F2087" s="21" t="n">
        <f aca="false">IF(OR(C2087="",E2087=""),"",C2087*E2087)</f>
        <v>11.653</v>
      </c>
      <c r="G2087" s="22" t="n">
        <f aca="false">IFERROR(VLOOKUP(A2087,NOMENCLATOR!$A:$E,5,0),"")</f>
        <v>11.653</v>
      </c>
      <c r="H2087" s="22" t="n">
        <f aca="false">IF(OR(C2087="",G2087=""),"",C2087*G2087)</f>
        <v>11.653</v>
      </c>
    </row>
    <row r="2088" customFormat="false" ht="15" hidden="false" customHeight="true" outlineLevel="0" collapsed="false">
      <c r="A2088" s="17" t="s">
        <v>126</v>
      </c>
      <c r="B2088" s="18" t="str">
        <f aca="false">IFERROR(VLOOKUP(A2088,NOMENCLATOR!$A:$E,2,0),"")</f>
        <v>Furculita Rosie</v>
      </c>
      <c r="C2088" s="19" t="n">
        <v>1</v>
      </c>
      <c r="D2088" s="20" t="str">
        <f aca="false">IFERROR(VLOOKUP(A2088,NOMENCLATOR!$A:$E,3,0),"")</f>
        <v>EA</v>
      </c>
      <c r="E2088" s="21" t="n">
        <f aca="false">IFERROR(VLOOKUP(A2088,NOMENCLATOR!$A:$E,4,0),"")</f>
        <v>0.27</v>
      </c>
      <c r="F2088" s="21" t="n">
        <f aca="false">IF(OR(C2088="",E2088=""),"",C2088*E2088)</f>
        <v>0.27</v>
      </c>
      <c r="G2088" s="22" t="n">
        <f aca="false">IFERROR(VLOOKUP(A2088,NOMENCLATOR!$A:$E,5,0),"")</f>
        <v>0.27</v>
      </c>
      <c r="H2088" s="22" t="n">
        <f aca="false">IF(OR(C2088="",G2088=""),"",C2088*G2088)</f>
        <v>0.27</v>
      </c>
    </row>
    <row r="2089" customFormat="false" ht="15" hidden="false" customHeight="true" outlineLevel="0" collapsed="false">
      <c r="A2089" s="23" t="str">
        <f aca="false">IF(A2085="","",A2085)</f>
        <v>MANDARINA CU SORBET new D</v>
      </c>
      <c r="B2089" s="24"/>
      <c r="C2089" s="24"/>
      <c r="D2089" s="24"/>
      <c r="E2089" s="24"/>
      <c r="F2089" s="25" t="n">
        <f aca="false">IF(A2085="","",SUM(F2087:F2088))</f>
        <v>11.923</v>
      </c>
      <c r="G2089" s="24"/>
      <c r="H2089" s="26" t="n">
        <f aca="false">IF(A2085="","",SUM(H2087:H2088))</f>
        <v>11.923</v>
      </c>
    </row>
    <row r="2091" customFormat="false" ht="15" hidden="false" customHeight="true" outlineLevel="0" collapsed="false">
      <c r="A2091" s="12" t="s">
        <v>607</v>
      </c>
      <c r="B2091" s="13"/>
      <c r="C2091" s="13"/>
      <c r="D2091" s="13"/>
      <c r="E2091" s="13"/>
      <c r="F2091" s="14" t="s">
        <v>608</v>
      </c>
      <c r="G2091" s="13"/>
      <c r="H2091" s="15"/>
    </row>
    <row r="2092" customFormat="false" ht="15" hidden="false" customHeight="true" outlineLevel="0" collapsed="false">
      <c r="A2092" s="16" t="s">
        <v>316</v>
      </c>
      <c r="B2092" s="16" t="s">
        <v>317</v>
      </c>
      <c r="C2092" s="16" t="s">
        <v>318</v>
      </c>
      <c r="D2092" s="16" t="s">
        <v>4</v>
      </c>
      <c r="E2092" s="16" t="s">
        <v>319</v>
      </c>
      <c r="F2092" s="16" t="s">
        <v>320</v>
      </c>
      <c r="G2092" s="16" t="s">
        <v>321</v>
      </c>
      <c r="H2092" s="16" t="s">
        <v>322</v>
      </c>
    </row>
    <row r="2093" customFormat="false" ht="15" hidden="false" customHeight="true" outlineLevel="0" collapsed="false">
      <c r="A2093" s="17" t="s">
        <v>98</v>
      </c>
      <c r="B2093" s="18" t="str">
        <f aca="false">IFERROR(VLOOKUP(A2093,NOMENCLATOR!$A:$E,2,0),"")</f>
        <v>CHIFLA CARTOF 3.5inch 53G x 72</v>
      </c>
      <c r="C2093" s="19" t="n">
        <v>1</v>
      </c>
      <c r="D2093" s="20" t="str">
        <f aca="false">IFERROR(VLOOKUP(A2093,NOMENCLATOR!$A:$E,3,0),"")</f>
        <v>EA</v>
      </c>
      <c r="E2093" s="21" t="n">
        <f aca="false">IFERROR(VLOOKUP(A2093,NOMENCLATOR!$A:$E,4,0),"")</f>
        <v>2.4</v>
      </c>
      <c r="F2093" s="21" t="n">
        <f aca="false">IF(OR(C2093="",E2093=""),"",C2093*E2093)</f>
        <v>2.4</v>
      </c>
      <c r="G2093" s="22" t="n">
        <f aca="false">IFERROR(VLOOKUP(A2093,NOMENCLATOR!$A:$E,5,0),"")</f>
        <v>2.4</v>
      </c>
      <c r="H2093" s="22" t="n">
        <f aca="false">IF(OR(C2093="",G2093=""),"",C2093*G2093)</f>
        <v>2.4</v>
      </c>
    </row>
    <row r="2094" customFormat="false" ht="15" hidden="false" customHeight="true" outlineLevel="0" collapsed="false">
      <c r="A2094" s="17" t="s">
        <v>236</v>
      </c>
      <c r="B2094" s="18" t="str">
        <f aca="false">IFERROR(VLOOKUP(A2094,NOMENCLATOR!$A:$E,2,0),"")</f>
        <v>PREP - smashed koliber 60G</v>
      </c>
      <c r="C2094" s="19" t="n">
        <v>1</v>
      </c>
      <c r="D2094" s="20" t="str">
        <f aca="false">IFERROR(VLOOKUP(A2094,NOMENCLATOR!$A:$E,3,0),"")</f>
        <v>EA</v>
      </c>
      <c r="E2094" s="21" t="n">
        <f aca="false">IFERROR(VLOOKUP(A2094,NOMENCLATOR!$A:$E,4,0),"")</f>
        <v>2.93233</v>
      </c>
      <c r="F2094" s="21" t="n">
        <f aca="false">IF(OR(C2094="",E2094=""),"",C2094*E2094)</f>
        <v>2.93233</v>
      </c>
      <c r="G2094" s="22" t="n">
        <f aca="false">IFERROR(VLOOKUP(A2094,NOMENCLATOR!$A:$E,5,0),"")</f>
        <v>3.35</v>
      </c>
      <c r="H2094" s="22" t="n">
        <f aca="false">IF(OR(C2094="",G2094=""),"",C2094*G2094)</f>
        <v>3.35</v>
      </c>
    </row>
    <row r="2095" customFormat="false" ht="15" hidden="false" customHeight="true" outlineLevel="0" collapsed="false">
      <c r="A2095" s="17" t="s">
        <v>138</v>
      </c>
      <c r="B2095" s="18" t="str">
        <f aca="false">IFERROR(VLOOKUP(A2095,NOMENCLATOR!$A:$E,2,0),"")</f>
        <v>Hartie Little Hamburgers</v>
      </c>
      <c r="C2095" s="19" t="n">
        <v>1</v>
      </c>
      <c r="D2095" s="20" t="str">
        <f aca="false">IFERROR(VLOOKUP(A2095,NOMENCLATOR!$A:$E,3,0),"")</f>
        <v>EA</v>
      </c>
      <c r="E2095" s="21" t="n">
        <f aca="false">IFERROR(VLOOKUP(A2095,NOMENCLATOR!$A:$E,4,0),"")</f>
        <v>0.111</v>
      </c>
      <c r="F2095" s="21" t="n">
        <f aca="false">IF(OR(C2095="",E2095=""),"",C2095*E2095)</f>
        <v>0.111</v>
      </c>
      <c r="G2095" s="22" t="n">
        <f aca="false">IFERROR(VLOOKUP(A2095,NOMENCLATOR!$A:$E,5,0),"")</f>
        <v>0.111</v>
      </c>
      <c r="H2095" s="22" t="n">
        <f aca="false">IF(OR(C2095="",G2095=""),"",C2095*G2095)</f>
        <v>0.111</v>
      </c>
    </row>
    <row r="2096" customFormat="false" ht="15" hidden="false" customHeight="true" outlineLevel="0" collapsed="false">
      <c r="A2096" s="17" t="s">
        <v>156</v>
      </c>
      <c r="B2096" s="18" t="str">
        <f aca="false">IFERROR(VLOOKUP(A2096,NOMENCLATOR!$A:$E,2,0),"")</f>
        <v>Ketchup Jerrycan Heinz 10.2L</v>
      </c>
      <c r="C2096" s="19" t="n">
        <v>10</v>
      </c>
      <c r="D2096" s="20" t="str">
        <f aca="false">IFERROR(VLOOKUP(A2096,NOMENCLATOR!$A:$E,3,0),"")</f>
        <v>ML</v>
      </c>
      <c r="E2096" s="21" t="n">
        <f aca="false">IFERROR(VLOOKUP(A2096,NOMENCLATOR!$A:$E,4,0),"")</f>
        <v>0.0221</v>
      </c>
      <c r="F2096" s="21" t="n">
        <f aca="false">IF(OR(C2096="",E2096=""),"",C2096*E2096)</f>
        <v>0.221</v>
      </c>
      <c r="G2096" s="22" t="n">
        <f aca="false">IFERROR(VLOOKUP(A2096,NOMENCLATOR!$A:$E,5,0),"")</f>
        <v>0.0221</v>
      </c>
      <c r="H2096" s="22" t="n">
        <f aca="false">IF(OR(C2096="",G2096=""),"",C2096*G2096)</f>
        <v>0.221</v>
      </c>
    </row>
    <row r="2097" customFormat="false" ht="15" hidden="false" customHeight="true" outlineLevel="0" collapsed="false">
      <c r="A2097" s="17" t="s">
        <v>174</v>
      </c>
      <c r="B2097" s="18" t="str">
        <f aca="false">IFERROR(VLOOKUP(A2097,NOMENCLATOR!$A:$E,2,0),"")</f>
        <v>Mustar Heinz 875ml</v>
      </c>
      <c r="C2097" s="19" t="n">
        <v>0.7</v>
      </c>
      <c r="D2097" s="20" t="str">
        <f aca="false">IFERROR(VLOOKUP(A2097,NOMENCLATOR!$A:$E,3,0),"")</f>
        <v>ML</v>
      </c>
      <c r="E2097" s="21" t="n">
        <f aca="false">IFERROR(VLOOKUP(A2097,NOMENCLATOR!$A:$E,4,0),"")</f>
        <v>0.033</v>
      </c>
      <c r="F2097" s="21" t="n">
        <f aca="false">IF(OR(C2097="",E2097=""),"",C2097*E2097)</f>
        <v>0.0231</v>
      </c>
      <c r="G2097" s="22" t="n">
        <f aca="false">IFERROR(VLOOKUP(A2097,NOMENCLATOR!$A:$E,5,0),"")</f>
        <v>0.033</v>
      </c>
      <c r="H2097" s="22" t="n">
        <f aca="false">IF(OR(C2097="",G2097=""),"",C2097*G2097)</f>
        <v>0.0231</v>
      </c>
    </row>
    <row r="2098" customFormat="false" ht="15" hidden="false" customHeight="true" outlineLevel="0" collapsed="false">
      <c r="A2098" s="17" t="s">
        <v>310</v>
      </c>
      <c r="B2098" s="18" t="str">
        <f aca="false">IFERROR(VLOOKUP(A2098,NOMENCLATOR!$A:$E,2,0),"")</f>
        <v>Y-Castraveti felii in saramura</v>
      </c>
      <c r="C2098" s="19" t="n">
        <v>2.8</v>
      </c>
      <c r="D2098" s="20" t="str">
        <f aca="false">IFERROR(VLOOKUP(A2098,NOMENCLATOR!$A:$E,3,0),"")</f>
        <v>GM</v>
      </c>
      <c r="E2098" s="21" t="n">
        <f aca="false">IFERROR(VLOOKUP(A2098,NOMENCLATOR!$A:$E,4,0),"")</f>
        <v>0.01554</v>
      </c>
      <c r="F2098" s="21" t="n">
        <f aca="false">IF(OR(C2098="",E2098=""),"",C2098*E2098)</f>
        <v>0.043512</v>
      </c>
      <c r="G2098" s="22" t="n">
        <f aca="false">IFERROR(VLOOKUP(A2098,NOMENCLATOR!$A:$E,5,0),"")</f>
        <v>0.01554</v>
      </c>
      <c r="H2098" s="22" t="n">
        <f aca="false">IF(OR(C2098="",G2098=""),"",C2098*G2098)</f>
        <v>0.043512</v>
      </c>
    </row>
    <row r="2099" customFormat="false" ht="15" hidden="false" customHeight="true" outlineLevel="0" collapsed="false">
      <c r="A2099" s="17" t="s">
        <v>304</v>
      </c>
      <c r="B2099" s="18" t="str">
        <f aca="false">IFERROR(VLOOKUP(A2099,NOMENCLATOR!$A:$E,2,0),"")</f>
        <v>Y - Ceapa Cuburi</v>
      </c>
      <c r="C2099" s="19" t="n">
        <v>5</v>
      </c>
      <c r="D2099" s="20" t="str">
        <f aca="false">IFERROR(VLOOKUP(A2099,NOMENCLATOR!$A:$E,3,0),"")</f>
        <v>GM</v>
      </c>
      <c r="E2099" s="21" t="n">
        <f aca="false">IFERROR(VLOOKUP(A2099,NOMENCLATOR!$A:$E,4,0),"")</f>
        <v>0.007</v>
      </c>
      <c r="F2099" s="21" t="n">
        <f aca="false">IF(OR(C2099="",E2099=""),"",C2099*E2099)</f>
        <v>0.035</v>
      </c>
      <c r="G2099" s="22" t="n">
        <f aca="false">IFERROR(VLOOKUP(A2099,NOMENCLATOR!$A:$E,5,0),"")</f>
        <v>0.007</v>
      </c>
      <c r="H2099" s="22" t="n">
        <f aca="false">IF(OR(C2099="",G2099=""),"",C2099*G2099)</f>
        <v>0.035</v>
      </c>
    </row>
    <row r="2100" customFormat="false" ht="15" hidden="false" customHeight="true" outlineLevel="0" collapsed="false">
      <c r="A2100" s="17" t="s">
        <v>92</v>
      </c>
      <c r="B2100" s="18" t="str">
        <f aca="false">IFERROR(VLOOKUP(A2100,NOMENCLATOR!$A:$E,2,0),"")</f>
        <v>Cartofi congelati</v>
      </c>
      <c r="C2100" s="19" t="n">
        <v>160</v>
      </c>
      <c r="D2100" s="20" t="str">
        <f aca="false">IFERROR(VLOOKUP(A2100,NOMENCLATOR!$A:$E,3,0),"")</f>
        <v>GM</v>
      </c>
      <c r="E2100" s="21" t="n">
        <f aca="false">IFERROR(VLOOKUP(A2100,NOMENCLATOR!$A:$E,4,0),"")</f>
        <v>0.01244</v>
      </c>
      <c r="F2100" s="21" t="n">
        <f aca="false">IF(OR(C2100="",E2100=""),"",C2100*E2100)</f>
        <v>1.9904</v>
      </c>
      <c r="G2100" s="22" t="n">
        <f aca="false">IFERROR(VLOOKUP(A2100,NOMENCLATOR!$A:$E,5,0),"")</f>
        <v>0.01244</v>
      </c>
      <c r="H2100" s="22" t="n">
        <f aca="false">IF(OR(C2100="",G2100=""),"",C2100*G2100)</f>
        <v>1.9904</v>
      </c>
    </row>
    <row r="2101" customFormat="false" ht="15" hidden="false" customHeight="true" outlineLevel="0" collapsed="false">
      <c r="A2101" s="17" t="s">
        <v>104</v>
      </c>
      <c r="B2101" s="18" t="str">
        <f aca="false">IFERROR(VLOOKUP(A2101,NOMENCLATOR!$A:$E,2,0),"")</f>
        <v>CUTIE CARTOFI FRYDAY 112G 2024</v>
      </c>
      <c r="C2101" s="19" t="n">
        <v>1</v>
      </c>
      <c r="D2101" s="20" t="str">
        <f aca="false">IFERROR(VLOOKUP(A2101,NOMENCLATOR!$A:$E,3,0),"")</f>
        <v>EA</v>
      </c>
      <c r="E2101" s="21" t="n">
        <f aca="false">IFERROR(VLOOKUP(A2101,NOMENCLATOR!$A:$E,4,0),"")</f>
        <v>0.182</v>
      </c>
      <c r="F2101" s="21" t="n">
        <f aca="false">IF(OR(C2101="",E2101=""),"",C2101*E2101)</f>
        <v>0.182</v>
      </c>
      <c r="G2101" s="22" t="n">
        <f aca="false">IFERROR(VLOOKUP(A2101,NOMENCLATOR!$A:$E,5,0),"")</f>
        <v>0.182</v>
      </c>
      <c r="H2101" s="22" t="n">
        <f aca="false">IF(OR(C2101="",G2101=""),"",C2101*G2101)</f>
        <v>0.182</v>
      </c>
    </row>
    <row r="2102" customFormat="false" ht="15" hidden="false" customHeight="true" outlineLevel="0" collapsed="false">
      <c r="A2102" s="17" t="s">
        <v>300</v>
      </c>
      <c r="B2102" s="18" t="str">
        <f aca="false">IFERROR(VLOOKUP(A2102,NOMENCLATOR!$A:$E,2,0),"")</f>
        <v>Ulei de alune</v>
      </c>
      <c r="C2102" s="19" t="n">
        <v>12</v>
      </c>
      <c r="D2102" s="20" t="str">
        <f aca="false">IFERROR(VLOOKUP(A2102,NOMENCLATOR!$A:$E,3,0),"")</f>
        <v>ML</v>
      </c>
      <c r="E2102" s="21" t="n">
        <f aca="false">IFERROR(VLOOKUP(A2102,NOMENCLATOR!$A:$E,4,0),"")</f>
        <v>0.0169</v>
      </c>
      <c r="F2102" s="21" t="n">
        <f aca="false">IF(OR(C2102="",E2102=""),"",C2102*E2102)</f>
        <v>0.2028</v>
      </c>
      <c r="G2102" s="22" t="n">
        <f aca="false">IFERROR(VLOOKUP(A2102,NOMENCLATOR!$A:$E,5,0),"")</f>
        <v>0.0169</v>
      </c>
      <c r="H2102" s="22" t="n">
        <f aca="false">IF(OR(C2102="",G2102=""),"",C2102*G2102)</f>
        <v>0.2028</v>
      </c>
    </row>
    <row r="2103" customFormat="false" ht="15" hidden="false" customHeight="true" outlineLevel="0" collapsed="false">
      <c r="A2103" s="17" t="s">
        <v>60</v>
      </c>
      <c r="B2103" s="18" t="str">
        <f aca="false">IFERROR(VLOOKUP(A2103,NOMENCLATOR!$A:$E,2,0),"")</f>
        <v>BASE - Soft Drinks 250ml</v>
      </c>
      <c r="C2103" s="19" t="n">
        <v>1</v>
      </c>
      <c r="D2103" s="20" t="str">
        <f aca="false">IFERROR(VLOOKUP(A2103,NOMENCLATOR!$A:$E,3,0),"")</f>
        <v>EA</v>
      </c>
      <c r="E2103" s="21" t="n">
        <f aca="false">IFERROR(VLOOKUP(A2103,NOMENCLATOR!$A:$E,4,0),"")</f>
        <v>0.649</v>
      </c>
      <c r="F2103" s="21" t="n">
        <f aca="false">IF(OR(C2103="",E2103=""),"",C2103*E2103)</f>
        <v>0.649</v>
      </c>
      <c r="G2103" s="22" t="n">
        <f aca="false">IFERROR(VLOOKUP(A2103,NOMENCLATOR!$A:$E,5,0),"")</f>
        <v>0.649</v>
      </c>
      <c r="H2103" s="22" t="n">
        <f aca="false">IF(OR(C2103="",G2103=""),"",C2103*G2103)</f>
        <v>0.649</v>
      </c>
    </row>
    <row r="2104" customFormat="false" ht="15" hidden="false" customHeight="true" outlineLevel="0" collapsed="false">
      <c r="A2104" s="17" t="s">
        <v>40</v>
      </c>
      <c r="B2104" s="18" t="str">
        <f aca="false">IFERROR(VLOOKUP(A2104,NOMENCLATOR!$A:$E,2,0),"")</f>
        <v>7UP ZERO BIB</v>
      </c>
      <c r="C2104" s="19" t="n">
        <v>41.66</v>
      </c>
      <c r="D2104" s="20" t="str">
        <f aca="false">IFERROR(VLOOKUP(A2104,NOMENCLATOR!$A:$E,3,0),"")</f>
        <v>ML</v>
      </c>
      <c r="E2104" s="21" t="n">
        <f aca="false">IFERROR(VLOOKUP(A2104,NOMENCLATOR!$A:$E,4,0),"")</f>
        <v>0.04494</v>
      </c>
      <c r="F2104" s="21" t="n">
        <f aca="false">IF(OR(C2104="",E2104=""),"",C2104*E2104)</f>
        <v>1.8722004</v>
      </c>
      <c r="G2104" s="22" t="n">
        <f aca="false">IFERROR(VLOOKUP(A2104,NOMENCLATOR!$A:$E,5,0),"")</f>
        <v>0.04494</v>
      </c>
      <c r="H2104" s="22" t="n">
        <f aca="false">IF(OR(C2104="",G2104=""),"",C2104*G2104)</f>
        <v>1.8722004</v>
      </c>
    </row>
    <row r="2105" customFormat="false" ht="15" hidden="false" customHeight="true" outlineLevel="0" collapsed="false">
      <c r="A2105" s="17" t="s">
        <v>112</v>
      </c>
      <c r="B2105" s="18" t="str">
        <f aca="false">IFERROR(VLOOKUP(A2105,NOMENCLATOR!$A:$E,2,0),"")</f>
        <v>Cutie Jucarie</v>
      </c>
      <c r="C2105" s="19" t="n">
        <v>1</v>
      </c>
      <c r="D2105" s="20" t="str">
        <f aca="false">IFERROR(VLOOKUP(A2105,NOMENCLATOR!$A:$E,3,0),"")</f>
        <v>EA</v>
      </c>
      <c r="E2105" s="21" t="n">
        <f aca="false">IFERROR(VLOOKUP(A2105,NOMENCLATOR!$A:$E,4,0),"")</f>
        <v>12.368</v>
      </c>
      <c r="F2105" s="21" t="n">
        <f aca="false">IF(OR(C2105="",E2105=""),"",C2105*E2105)</f>
        <v>12.368</v>
      </c>
      <c r="G2105" s="22" t="n">
        <f aca="false">IFERROR(VLOOKUP(A2105,NOMENCLATOR!$A:$E,5,0),"")</f>
        <v>12.368</v>
      </c>
      <c r="H2105" s="22" t="n">
        <f aca="false">IF(OR(C2105="",G2105=""),"",C2105*G2105)</f>
        <v>12.368</v>
      </c>
    </row>
    <row r="2106" customFormat="false" ht="15" hidden="false" customHeight="true" outlineLevel="0" collapsed="false">
      <c r="A2106" s="23" t="str">
        <f aca="false">IF(A2091="","",A2091)</f>
        <v>Junior Meal Hamburger new</v>
      </c>
      <c r="B2106" s="24"/>
      <c r="C2106" s="24"/>
      <c r="D2106" s="24"/>
      <c r="E2106" s="24"/>
      <c r="F2106" s="25" t="n">
        <f aca="false">IF(A2091="","",SUM(F2093:F2105))</f>
        <v>23.0303424</v>
      </c>
      <c r="G2106" s="24"/>
      <c r="H2106" s="26" t="n">
        <f aca="false">IF(A2091="","",SUM(H2093:H2105))</f>
        <v>23.4480124</v>
      </c>
    </row>
    <row r="2108" customFormat="false" ht="15" hidden="false" customHeight="true" outlineLevel="0" collapsed="false">
      <c r="A2108" s="12" t="s">
        <v>609</v>
      </c>
      <c r="B2108" s="13"/>
      <c r="C2108" s="13"/>
      <c r="D2108" s="13"/>
      <c r="E2108" s="13"/>
      <c r="F2108" s="14" t="s">
        <v>608</v>
      </c>
      <c r="G2108" s="13"/>
      <c r="H2108" s="15"/>
    </row>
    <row r="2109" customFormat="false" ht="15" hidden="false" customHeight="true" outlineLevel="0" collapsed="false">
      <c r="A2109" s="16" t="s">
        <v>316</v>
      </c>
      <c r="B2109" s="16" t="s">
        <v>317</v>
      </c>
      <c r="C2109" s="16" t="s">
        <v>318</v>
      </c>
      <c r="D2109" s="16" t="s">
        <v>4</v>
      </c>
      <c r="E2109" s="16" t="s">
        <v>319</v>
      </c>
      <c r="F2109" s="16" t="s">
        <v>320</v>
      </c>
      <c r="G2109" s="16" t="s">
        <v>321</v>
      </c>
      <c r="H2109" s="16" t="s">
        <v>322</v>
      </c>
    </row>
    <row r="2110" customFormat="false" ht="15" hidden="false" customHeight="true" outlineLevel="0" collapsed="false">
      <c r="A2110" s="17" t="s">
        <v>98</v>
      </c>
      <c r="B2110" s="18" t="str">
        <f aca="false">IFERROR(VLOOKUP(A2110,NOMENCLATOR!$A:$E,2,0),"")</f>
        <v>CHIFLA CARTOF 3.5inch 53G x 72</v>
      </c>
      <c r="C2110" s="19" t="n">
        <v>1</v>
      </c>
      <c r="D2110" s="20" t="str">
        <f aca="false">IFERROR(VLOOKUP(A2110,NOMENCLATOR!$A:$E,3,0),"")</f>
        <v>EA</v>
      </c>
      <c r="E2110" s="21" t="n">
        <f aca="false">IFERROR(VLOOKUP(A2110,NOMENCLATOR!$A:$E,4,0),"")</f>
        <v>2.4</v>
      </c>
      <c r="F2110" s="21" t="n">
        <f aca="false">IF(OR(C2110="",E2110=""),"",C2110*E2110)</f>
        <v>2.4</v>
      </c>
      <c r="G2110" s="22" t="n">
        <f aca="false">IFERROR(VLOOKUP(A2110,NOMENCLATOR!$A:$E,5,0),"")</f>
        <v>2.4</v>
      </c>
      <c r="H2110" s="22" t="n">
        <f aca="false">IF(OR(C2110="",G2110=""),"",C2110*G2110)</f>
        <v>2.4</v>
      </c>
    </row>
    <row r="2111" customFormat="false" ht="15" hidden="false" customHeight="true" outlineLevel="0" collapsed="false">
      <c r="A2111" s="17" t="s">
        <v>236</v>
      </c>
      <c r="B2111" s="18" t="str">
        <f aca="false">IFERROR(VLOOKUP(A2111,NOMENCLATOR!$A:$E,2,0),"")</f>
        <v>PREP - smashed koliber 60G</v>
      </c>
      <c r="C2111" s="19" t="n">
        <v>1</v>
      </c>
      <c r="D2111" s="20" t="str">
        <f aca="false">IFERROR(VLOOKUP(A2111,NOMENCLATOR!$A:$E,3,0),"")</f>
        <v>EA</v>
      </c>
      <c r="E2111" s="21" t="n">
        <f aca="false">IFERROR(VLOOKUP(A2111,NOMENCLATOR!$A:$E,4,0),"")</f>
        <v>2.93233</v>
      </c>
      <c r="F2111" s="21" t="n">
        <f aca="false">IF(OR(C2111="",E2111=""),"",C2111*E2111)</f>
        <v>2.93233</v>
      </c>
      <c r="G2111" s="22" t="n">
        <f aca="false">IFERROR(VLOOKUP(A2111,NOMENCLATOR!$A:$E,5,0),"")</f>
        <v>3.35</v>
      </c>
      <c r="H2111" s="22" t="n">
        <f aca="false">IF(OR(C2111="",G2111=""),"",C2111*G2111)</f>
        <v>3.35</v>
      </c>
    </row>
    <row r="2112" customFormat="false" ht="15" hidden="false" customHeight="true" outlineLevel="0" collapsed="false">
      <c r="A2112" s="17" t="s">
        <v>138</v>
      </c>
      <c r="B2112" s="18" t="str">
        <f aca="false">IFERROR(VLOOKUP(A2112,NOMENCLATOR!$A:$E,2,0),"")</f>
        <v>Hartie Little Hamburgers</v>
      </c>
      <c r="C2112" s="19" t="n">
        <v>1</v>
      </c>
      <c r="D2112" s="20" t="str">
        <f aca="false">IFERROR(VLOOKUP(A2112,NOMENCLATOR!$A:$E,3,0),"")</f>
        <v>EA</v>
      </c>
      <c r="E2112" s="21" t="n">
        <f aca="false">IFERROR(VLOOKUP(A2112,NOMENCLATOR!$A:$E,4,0),"")</f>
        <v>0.111</v>
      </c>
      <c r="F2112" s="21" t="n">
        <f aca="false">IF(OR(C2112="",E2112=""),"",C2112*E2112)</f>
        <v>0.111</v>
      </c>
      <c r="G2112" s="22" t="n">
        <f aca="false">IFERROR(VLOOKUP(A2112,NOMENCLATOR!$A:$E,5,0),"")</f>
        <v>0.111</v>
      </c>
      <c r="H2112" s="22" t="n">
        <f aca="false">IF(OR(C2112="",G2112=""),"",C2112*G2112)</f>
        <v>0.111</v>
      </c>
    </row>
    <row r="2113" customFormat="false" ht="15" hidden="false" customHeight="true" outlineLevel="0" collapsed="false">
      <c r="A2113" s="17" t="s">
        <v>156</v>
      </c>
      <c r="B2113" s="18" t="str">
        <f aca="false">IFERROR(VLOOKUP(A2113,NOMENCLATOR!$A:$E,2,0),"")</f>
        <v>Ketchup Jerrycan Heinz 10.2L</v>
      </c>
      <c r="C2113" s="19" t="n">
        <v>10</v>
      </c>
      <c r="D2113" s="20" t="str">
        <f aca="false">IFERROR(VLOOKUP(A2113,NOMENCLATOR!$A:$E,3,0),"")</f>
        <v>ML</v>
      </c>
      <c r="E2113" s="21" t="n">
        <f aca="false">IFERROR(VLOOKUP(A2113,NOMENCLATOR!$A:$E,4,0),"")</f>
        <v>0.0221</v>
      </c>
      <c r="F2113" s="21" t="n">
        <f aca="false">IF(OR(C2113="",E2113=""),"",C2113*E2113)</f>
        <v>0.221</v>
      </c>
      <c r="G2113" s="22" t="n">
        <f aca="false">IFERROR(VLOOKUP(A2113,NOMENCLATOR!$A:$E,5,0),"")</f>
        <v>0.0221</v>
      </c>
      <c r="H2113" s="22" t="n">
        <f aca="false">IF(OR(C2113="",G2113=""),"",C2113*G2113)</f>
        <v>0.221</v>
      </c>
    </row>
    <row r="2114" customFormat="false" ht="15" hidden="false" customHeight="true" outlineLevel="0" collapsed="false">
      <c r="A2114" s="17" t="s">
        <v>174</v>
      </c>
      <c r="B2114" s="18" t="str">
        <f aca="false">IFERROR(VLOOKUP(A2114,NOMENCLATOR!$A:$E,2,0),"")</f>
        <v>Mustar Heinz 875ml</v>
      </c>
      <c r="C2114" s="19" t="n">
        <v>0.7</v>
      </c>
      <c r="D2114" s="20" t="str">
        <f aca="false">IFERROR(VLOOKUP(A2114,NOMENCLATOR!$A:$E,3,0),"")</f>
        <v>ML</v>
      </c>
      <c r="E2114" s="21" t="n">
        <f aca="false">IFERROR(VLOOKUP(A2114,NOMENCLATOR!$A:$E,4,0),"")</f>
        <v>0.033</v>
      </c>
      <c r="F2114" s="21" t="n">
        <f aca="false">IF(OR(C2114="",E2114=""),"",C2114*E2114)</f>
        <v>0.0231</v>
      </c>
      <c r="G2114" s="22" t="n">
        <f aca="false">IFERROR(VLOOKUP(A2114,NOMENCLATOR!$A:$E,5,0),"")</f>
        <v>0.033</v>
      </c>
      <c r="H2114" s="22" t="n">
        <f aca="false">IF(OR(C2114="",G2114=""),"",C2114*G2114)</f>
        <v>0.0231</v>
      </c>
    </row>
    <row r="2115" customFormat="false" ht="15" hidden="false" customHeight="true" outlineLevel="0" collapsed="false">
      <c r="A2115" s="17" t="s">
        <v>310</v>
      </c>
      <c r="B2115" s="18" t="str">
        <f aca="false">IFERROR(VLOOKUP(A2115,NOMENCLATOR!$A:$E,2,0),"")</f>
        <v>Y-Castraveti felii in saramura</v>
      </c>
      <c r="C2115" s="19" t="n">
        <v>2.8</v>
      </c>
      <c r="D2115" s="20" t="str">
        <f aca="false">IFERROR(VLOOKUP(A2115,NOMENCLATOR!$A:$E,3,0),"")</f>
        <v>GM</v>
      </c>
      <c r="E2115" s="21" t="n">
        <f aca="false">IFERROR(VLOOKUP(A2115,NOMENCLATOR!$A:$E,4,0),"")</f>
        <v>0.01554</v>
      </c>
      <c r="F2115" s="21" t="n">
        <f aca="false">IF(OR(C2115="",E2115=""),"",C2115*E2115)</f>
        <v>0.043512</v>
      </c>
      <c r="G2115" s="22" t="n">
        <f aca="false">IFERROR(VLOOKUP(A2115,NOMENCLATOR!$A:$E,5,0),"")</f>
        <v>0.01554</v>
      </c>
      <c r="H2115" s="22" t="n">
        <f aca="false">IF(OR(C2115="",G2115=""),"",C2115*G2115)</f>
        <v>0.043512</v>
      </c>
    </row>
    <row r="2116" customFormat="false" ht="15" hidden="false" customHeight="true" outlineLevel="0" collapsed="false">
      <c r="A2116" s="17" t="s">
        <v>304</v>
      </c>
      <c r="B2116" s="18" t="str">
        <f aca="false">IFERROR(VLOOKUP(A2116,NOMENCLATOR!$A:$E,2,0),"")</f>
        <v>Y - Ceapa Cuburi</v>
      </c>
      <c r="C2116" s="19" t="n">
        <v>5</v>
      </c>
      <c r="D2116" s="20" t="str">
        <f aca="false">IFERROR(VLOOKUP(A2116,NOMENCLATOR!$A:$E,3,0),"")</f>
        <v>GM</v>
      </c>
      <c r="E2116" s="21" t="n">
        <f aca="false">IFERROR(VLOOKUP(A2116,NOMENCLATOR!$A:$E,4,0),"")</f>
        <v>0.007</v>
      </c>
      <c r="F2116" s="21" t="n">
        <f aca="false">IF(OR(C2116="",E2116=""),"",C2116*E2116)</f>
        <v>0.035</v>
      </c>
      <c r="G2116" s="22" t="n">
        <f aca="false">IFERROR(VLOOKUP(A2116,NOMENCLATOR!$A:$E,5,0),"")</f>
        <v>0.007</v>
      </c>
      <c r="H2116" s="22" t="n">
        <f aca="false">IF(OR(C2116="",G2116=""),"",C2116*G2116)</f>
        <v>0.035</v>
      </c>
    </row>
    <row r="2117" customFormat="false" ht="15" hidden="false" customHeight="true" outlineLevel="0" collapsed="false">
      <c r="A2117" s="17" t="s">
        <v>92</v>
      </c>
      <c r="B2117" s="18" t="str">
        <f aca="false">IFERROR(VLOOKUP(A2117,NOMENCLATOR!$A:$E,2,0),"")</f>
        <v>Cartofi congelati</v>
      </c>
      <c r="C2117" s="19" t="n">
        <v>160</v>
      </c>
      <c r="D2117" s="20" t="str">
        <f aca="false">IFERROR(VLOOKUP(A2117,NOMENCLATOR!$A:$E,3,0),"")</f>
        <v>GM</v>
      </c>
      <c r="E2117" s="21" t="n">
        <f aca="false">IFERROR(VLOOKUP(A2117,NOMENCLATOR!$A:$E,4,0),"")</f>
        <v>0.01244</v>
      </c>
      <c r="F2117" s="21" t="n">
        <f aca="false">IF(OR(C2117="",E2117=""),"",C2117*E2117)</f>
        <v>1.9904</v>
      </c>
      <c r="G2117" s="22" t="n">
        <f aca="false">IFERROR(VLOOKUP(A2117,NOMENCLATOR!$A:$E,5,0),"")</f>
        <v>0.01244</v>
      </c>
      <c r="H2117" s="22" t="n">
        <f aca="false">IF(OR(C2117="",G2117=""),"",C2117*G2117)</f>
        <v>1.9904</v>
      </c>
    </row>
    <row r="2118" customFormat="false" ht="15" hidden="false" customHeight="true" outlineLevel="0" collapsed="false">
      <c r="A2118" s="17" t="s">
        <v>104</v>
      </c>
      <c r="B2118" s="18" t="str">
        <f aca="false">IFERROR(VLOOKUP(A2118,NOMENCLATOR!$A:$E,2,0),"")</f>
        <v>CUTIE CARTOFI FRYDAY 112G 2024</v>
      </c>
      <c r="C2118" s="19" t="n">
        <v>1</v>
      </c>
      <c r="D2118" s="20" t="str">
        <f aca="false">IFERROR(VLOOKUP(A2118,NOMENCLATOR!$A:$E,3,0),"")</f>
        <v>EA</v>
      </c>
      <c r="E2118" s="21" t="n">
        <f aca="false">IFERROR(VLOOKUP(A2118,NOMENCLATOR!$A:$E,4,0),"")</f>
        <v>0.182</v>
      </c>
      <c r="F2118" s="21" t="n">
        <f aca="false">IF(OR(C2118="",E2118=""),"",C2118*E2118)</f>
        <v>0.182</v>
      </c>
      <c r="G2118" s="22" t="n">
        <f aca="false">IFERROR(VLOOKUP(A2118,NOMENCLATOR!$A:$E,5,0),"")</f>
        <v>0.182</v>
      </c>
      <c r="H2118" s="22" t="n">
        <f aca="false">IF(OR(C2118="",G2118=""),"",C2118*G2118)</f>
        <v>0.182</v>
      </c>
    </row>
    <row r="2119" customFormat="false" ht="15" hidden="false" customHeight="true" outlineLevel="0" collapsed="false">
      <c r="A2119" s="17" t="s">
        <v>300</v>
      </c>
      <c r="B2119" s="18" t="str">
        <f aca="false">IFERROR(VLOOKUP(A2119,NOMENCLATOR!$A:$E,2,0),"")</f>
        <v>Ulei de alune</v>
      </c>
      <c r="C2119" s="19" t="n">
        <v>12</v>
      </c>
      <c r="D2119" s="20" t="str">
        <f aca="false">IFERROR(VLOOKUP(A2119,NOMENCLATOR!$A:$E,3,0),"")</f>
        <v>ML</v>
      </c>
      <c r="E2119" s="21" t="n">
        <f aca="false">IFERROR(VLOOKUP(A2119,NOMENCLATOR!$A:$E,4,0),"")</f>
        <v>0.0169</v>
      </c>
      <c r="F2119" s="21" t="n">
        <f aca="false">IF(OR(C2119="",E2119=""),"",C2119*E2119)</f>
        <v>0.2028</v>
      </c>
      <c r="G2119" s="22" t="n">
        <f aca="false">IFERROR(VLOOKUP(A2119,NOMENCLATOR!$A:$E,5,0),"")</f>
        <v>0.0169</v>
      </c>
      <c r="H2119" s="22" t="n">
        <f aca="false">IF(OR(C2119="",G2119=""),"",C2119*G2119)</f>
        <v>0.2028</v>
      </c>
    </row>
    <row r="2120" customFormat="false" ht="15" hidden="false" customHeight="true" outlineLevel="0" collapsed="false">
      <c r="A2120" s="17" t="s">
        <v>60</v>
      </c>
      <c r="B2120" s="18" t="str">
        <f aca="false">IFERROR(VLOOKUP(A2120,NOMENCLATOR!$A:$E,2,0),"")</f>
        <v>BASE - Soft Drinks 250ml</v>
      </c>
      <c r="C2120" s="19" t="n">
        <v>1</v>
      </c>
      <c r="D2120" s="20" t="str">
        <f aca="false">IFERROR(VLOOKUP(A2120,NOMENCLATOR!$A:$E,3,0),"")</f>
        <v>EA</v>
      </c>
      <c r="E2120" s="21" t="n">
        <f aca="false">IFERROR(VLOOKUP(A2120,NOMENCLATOR!$A:$E,4,0),"")</f>
        <v>0.649</v>
      </c>
      <c r="F2120" s="21" t="n">
        <f aca="false">IF(OR(C2120="",E2120=""),"",C2120*E2120)</f>
        <v>0.649</v>
      </c>
      <c r="G2120" s="22" t="n">
        <f aca="false">IFERROR(VLOOKUP(A2120,NOMENCLATOR!$A:$E,5,0),"")</f>
        <v>0.649</v>
      </c>
      <c r="H2120" s="22" t="n">
        <f aca="false">IF(OR(C2120="",G2120=""),"",C2120*G2120)</f>
        <v>0.649</v>
      </c>
    </row>
    <row r="2121" customFormat="false" ht="15" hidden="false" customHeight="true" outlineLevel="0" collapsed="false">
      <c r="A2121" s="17" t="s">
        <v>40</v>
      </c>
      <c r="B2121" s="18" t="str">
        <f aca="false">IFERROR(VLOOKUP(A2121,NOMENCLATOR!$A:$E,2,0),"")</f>
        <v>7UP ZERO BIB</v>
      </c>
      <c r="C2121" s="19" t="n">
        <v>41.66</v>
      </c>
      <c r="D2121" s="20" t="str">
        <f aca="false">IFERROR(VLOOKUP(A2121,NOMENCLATOR!$A:$E,3,0),"")</f>
        <v>ML</v>
      </c>
      <c r="E2121" s="21" t="n">
        <f aca="false">IFERROR(VLOOKUP(A2121,NOMENCLATOR!$A:$E,4,0),"")</f>
        <v>0.04494</v>
      </c>
      <c r="F2121" s="21" t="n">
        <f aca="false">IF(OR(C2121="",E2121=""),"",C2121*E2121)</f>
        <v>1.8722004</v>
      </c>
      <c r="G2121" s="22" t="n">
        <f aca="false">IFERROR(VLOOKUP(A2121,NOMENCLATOR!$A:$E,5,0),"")</f>
        <v>0.04494</v>
      </c>
      <c r="H2121" s="22" t="n">
        <f aca="false">IF(OR(C2121="",G2121=""),"",C2121*G2121)</f>
        <v>1.8722004</v>
      </c>
    </row>
    <row r="2122" customFormat="false" ht="15" hidden="false" customHeight="true" outlineLevel="0" collapsed="false">
      <c r="A2122" s="17" t="s">
        <v>112</v>
      </c>
      <c r="B2122" s="18" t="str">
        <f aca="false">IFERROR(VLOOKUP(A2122,NOMENCLATOR!$A:$E,2,0),"")</f>
        <v>Cutie Jucarie</v>
      </c>
      <c r="C2122" s="19" t="n">
        <v>1</v>
      </c>
      <c r="D2122" s="20" t="str">
        <f aca="false">IFERROR(VLOOKUP(A2122,NOMENCLATOR!$A:$E,3,0),"")</f>
        <v>EA</v>
      </c>
      <c r="E2122" s="21" t="n">
        <f aca="false">IFERROR(VLOOKUP(A2122,NOMENCLATOR!$A:$E,4,0),"")</f>
        <v>12.368</v>
      </c>
      <c r="F2122" s="21" t="n">
        <f aca="false">IF(OR(C2122="",E2122=""),"",C2122*E2122)</f>
        <v>12.368</v>
      </c>
      <c r="G2122" s="22" t="n">
        <f aca="false">IFERROR(VLOOKUP(A2122,NOMENCLATOR!$A:$E,5,0),"")</f>
        <v>12.368</v>
      </c>
      <c r="H2122" s="22" t="n">
        <f aca="false">IF(OR(C2122="",G2122=""),"",C2122*G2122)</f>
        <v>12.368</v>
      </c>
    </row>
    <row r="2123" customFormat="false" ht="15" hidden="false" customHeight="true" outlineLevel="0" collapsed="false">
      <c r="A2123" s="23" t="str">
        <f aca="false">IF(A2108="","",A2108)</f>
        <v>Junior Meal Hamburger new D</v>
      </c>
      <c r="B2123" s="24"/>
      <c r="C2123" s="24"/>
      <c r="D2123" s="24"/>
      <c r="E2123" s="24"/>
      <c r="F2123" s="25" t="n">
        <f aca="false">IF(A2108="","",SUM(F2110:F2122))</f>
        <v>23.0303424</v>
      </c>
      <c r="G2123" s="24"/>
      <c r="H2123" s="26" t="n">
        <f aca="false">IF(A2108="","",SUM(H2110:H2122))</f>
        <v>23.4480124</v>
      </c>
    </row>
    <row r="2125" customFormat="false" ht="15" hidden="false" customHeight="true" outlineLevel="0" collapsed="false">
      <c r="A2125" s="12" t="s">
        <v>610</v>
      </c>
      <c r="B2125" s="13"/>
      <c r="C2125" s="13"/>
      <c r="D2125" s="13"/>
      <c r="E2125" s="13"/>
      <c r="F2125" s="14" t="s">
        <v>608</v>
      </c>
      <c r="G2125" s="13"/>
      <c r="H2125" s="15"/>
    </row>
    <row r="2126" customFormat="false" ht="15" hidden="false" customHeight="true" outlineLevel="0" collapsed="false">
      <c r="A2126" s="16" t="s">
        <v>316</v>
      </c>
      <c r="B2126" s="16" t="s">
        <v>317</v>
      </c>
      <c r="C2126" s="16" t="s">
        <v>318</v>
      </c>
      <c r="D2126" s="16" t="s">
        <v>4</v>
      </c>
      <c r="E2126" s="16" t="s">
        <v>319</v>
      </c>
      <c r="F2126" s="16" t="s">
        <v>320</v>
      </c>
      <c r="G2126" s="16" t="s">
        <v>321</v>
      </c>
      <c r="H2126" s="16" t="s">
        <v>322</v>
      </c>
    </row>
    <row r="2127" customFormat="false" ht="15" hidden="false" customHeight="true" outlineLevel="0" collapsed="false">
      <c r="A2127" s="17" t="s">
        <v>98</v>
      </c>
      <c r="B2127" s="18" t="str">
        <f aca="false">IFERROR(VLOOKUP(A2127,NOMENCLATOR!$A:$E,2,0),"")</f>
        <v>CHIFLA CARTOF 3.5inch 53G x 72</v>
      </c>
      <c r="C2127" s="19" t="n">
        <v>1</v>
      </c>
      <c r="D2127" s="20" t="str">
        <f aca="false">IFERROR(VLOOKUP(A2127,NOMENCLATOR!$A:$E,3,0),"")</f>
        <v>EA</v>
      </c>
      <c r="E2127" s="21" t="n">
        <f aca="false">IFERROR(VLOOKUP(A2127,NOMENCLATOR!$A:$E,4,0),"")</f>
        <v>2.4</v>
      </c>
      <c r="F2127" s="21" t="n">
        <f aca="false">IF(OR(C2127="",E2127=""),"",C2127*E2127)</f>
        <v>2.4</v>
      </c>
      <c r="G2127" s="22" t="n">
        <f aca="false">IFERROR(VLOOKUP(A2127,NOMENCLATOR!$A:$E,5,0),"")</f>
        <v>2.4</v>
      </c>
      <c r="H2127" s="22" t="n">
        <f aca="false">IF(OR(C2127="",G2127=""),"",C2127*G2127)</f>
        <v>2.4</v>
      </c>
    </row>
    <row r="2128" customFormat="false" ht="15" hidden="false" customHeight="true" outlineLevel="0" collapsed="false">
      <c r="A2128" s="17" t="s">
        <v>208</v>
      </c>
      <c r="B2128" s="18" t="str">
        <f aca="false">IFERROR(VLOOKUP(A2128,NOMENCLATOR!$A:$E,2,0),"")</f>
        <v>Patties pui 50gr Transavia</v>
      </c>
      <c r="C2128" s="19" t="n">
        <v>1</v>
      </c>
      <c r="D2128" s="20" t="str">
        <f aca="false">IFERROR(VLOOKUP(A2128,NOMENCLATOR!$A:$E,3,0),"")</f>
        <v>EA</v>
      </c>
      <c r="E2128" s="21" t="n">
        <f aca="false">IFERROR(VLOOKUP(A2128,NOMENCLATOR!$A:$E,4,0),"")</f>
        <v>1.171</v>
      </c>
      <c r="F2128" s="21" t="n">
        <f aca="false">IF(OR(C2128="",E2128=""),"",C2128*E2128)</f>
        <v>1.171</v>
      </c>
      <c r="G2128" s="22" t="n">
        <f aca="false">IFERROR(VLOOKUP(A2128,NOMENCLATOR!$A:$E,5,0),"")</f>
        <v>1.171</v>
      </c>
      <c r="H2128" s="22" t="n">
        <f aca="false">IF(OR(C2128="",G2128=""),"",C2128*G2128)</f>
        <v>1.171</v>
      </c>
    </row>
    <row r="2129" customFormat="false" ht="15" hidden="false" customHeight="true" outlineLevel="0" collapsed="false">
      <c r="A2129" s="17" t="s">
        <v>138</v>
      </c>
      <c r="B2129" s="18" t="str">
        <f aca="false">IFERROR(VLOOKUP(A2129,NOMENCLATOR!$A:$E,2,0),"")</f>
        <v>Hartie Little Hamburgers</v>
      </c>
      <c r="C2129" s="19" t="n">
        <v>1</v>
      </c>
      <c r="D2129" s="20" t="str">
        <f aca="false">IFERROR(VLOOKUP(A2129,NOMENCLATOR!$A:$E,3,0),"")</f>
        <v>EA</v>
      </c>
      <c r="E2129" s="21" t="n">
        <f aca="false">IFERROR(VLOOKUP(A2129,NOMENCLATOR!$A:$E,4,0),"")</f>
        <v>0.111</v>
      </c>
      <c r="F2129" s="21" t="n">
        <f aca="false">IF(OR(C2129="",E2129=""),"",C2129*E2129)</f>
        <v>0.111</v>
      </c>
      <c r="G2129" s="22" t="n">
        <f aca="false">IFERROR(VLOOKUP(A2129,NOMENCLATOR!$A:$E,5,0),"")</f>
        <v>0.111</v>
      </c>
      <c r="H2129" s="22" t="n">
        <f aca="false">IF(OR(C2129="",G2129=""),"",C2129*G2129)</f>
        <v>0.111</v>
      </c>
    </row>
    <row r="2130" customFormat="false" ht="15" hidden="false" customHeight="true" outlineLevel="0" collapsed="false">
      <c r="A2130" s="17" t="s">
        <v>300</v>
      </c>
      <c r="B2130" s="18" t="str">
        <f aca="false">IFERROR(VLOOKUP(A2130,NOMENCLATOR!$A:$E,2,0),"")</f>
        <v>Ulei de alune</v>
      </c>
      <c r="C2130" s="19" t="n">
        <v>20</v>
      </c>
      <c r="D2130" s="20" t="str">
        <f aca="false">IFERROR(VLOOKUP(A2130,NOMENCLATOR!$A:$E,3,0),"")</f>
        <v>ML</v>
      </c>
      <c r="E2130" s="21" t="n">
        <f aca="false">IFERROR(VLOOKUP(A2130,NOMENCLATOR!$A:$E,4,0),"")</f>
        <v>0.0169</v>
      </c>
      <c r="F2130" s="21" t="n">
        <f aca="false">IF(OR(C2130="",E2130=""),"",C2130*E2130)</f>
        <v>0.338</v>
      </c>
      <c r="G2130" s="22" t="n">
        <f aca="false">IFERROR(VLOOKUP(A2130,NOMENCLATOR!$A:$E,5,0),"")</f>
        <v>0.0169</v>
      </c>
      <c r="H2130" s="22" t="n">
        <f aca="false">IF(OR(C2130="",G2130=""),"",C2130*G2130)</f>
        <v>0.338</v>
      </c>
    </row>
    <row r="2131" customFormat="false" ht="15" hidden="false" customHeight="true" outlineLevel="0" collapsed="false">
      <c r="A2131" s="17" t="s">
        <v>310</v>
      </c>
      <c r="B2131" s="18" t="str">
        <f aca="false">IFERROR(VLOOKUP(A2131,NOMENCLATOR!$A:$E,2,0),"")</f>
        <v>Y-Castraveti felii in saramura</v>
      </c>
      <c r="C2131" s="19" t="n">
        <v>5.6</v>
      </c>
      <c r="D2131" s="20" t="str">
        <f aca="false">IFERROR(VLOOKUP(A2131,NOMENCLATOR!$A:$E,3,0),"")</f>
        <v>GM</v>
      </c>
      <c r="E2131" s="21" t="n">
        <f aca="false">IFERROR(VLOOKUP(A2131,NOMENCLATOR!$A:$E,4,0),"")</f>
        <v>0.01554</v>
      </c>
      <c r="F2131" s="21" t="n">
        <f aca="false">IF(OR(C2131="",E2131=""),"",C2131*E2131)</f>
        <v>0.087024</v>
      </c>
      <c r="G2131" s="22" t="n">
        <f aca="false">IFERROR(VLOOKUP(A2131,NOMENCLATOR!$A:$E,5,0),"")</f>
        <v>0.01554</v>
      </c>
      <c r="H2131" s="22" t="n">
        <f aca="false">IF(OR(C2131="",G2131=""),"",C2131*G2131)</f>
        <v>0.087024</v>
      </c>
    </row>
    <row r="2132" customFormat="false" ht="15" hidden="false" customHeight="true" outlineLevel="0" collapsed="false">
      <c r="A2132" s="17" t="s">
        <v>280</v>
      </c>
      <c r="B2132" s="18" t="str">
        <f aca="false">IFERROR(VLOOKUP(A2132,NOMENCLATOR!$A:$E,2,0),"")</f>
        <v>Sos Brender Mayo BIB</v>
      </c>
      <c r="C2132" s="19" t="n">
        <v>10</v>
      </c>
      <c r="D2132" s="20" t="str">
        <f aca="false">IFERROR(VLOOKUP(A2132,NOMENCLATOR!$A:$E,3,0),"")</f>
        <v>ML</v>
      </c>
      <c r="E2132" s="21" t="n">
        <f aca="false">IFERROR(VLOOKUP(A2132,NOMENCLATOR!$A:$E,4,0),"")</f>
        <v>0.023</v>
      </c>
      <c r="F2132" s="21" t="n">
        <f aca="false">IF(OR(C2132="",E2132=""),"",C2132*E2132)</f>
        <v>0.23</v>
      </c>
      <c r="G2132" s="22" t="n">
        <f aca="false">IFERROR(VLOOKUP(A2132,NOMENCLATOR!$A:$E,5,0),"")</f>
        <v>0.023</v>
      </c>
      <c r="H2132" s="22" t="n">
        <f aca="false">IF(OR(C2132="",G2132=""),"",C2132*G2132)</f>
        <v>0.23</v>
      </c>
    </row>
    <row r="2133" customFormat="false" ht="15" hidden="false" customHeight="true" outlineLevel="0" collapsed="false">
      <c r="A2133" s="17" t="s">
        <v>92</v>
      </c>
      <c r="B2133" s="18" t="str">
        <f aca="false">IFERROR(VLOOKUP(A2133,NOMENCLATOR!$A:$E,2,0),"")</f>
        <v>Cartofi congelati</v>
      </c>
      <c r="C2133" s="19" t="n">
        <v>160</v>
      </c>
      <c r="D2133" s="20" t="str">
        <f aca="false">IFERROR(VLOOKUP(A2133,NOMENCLATOR!$A:$E,3,0),"")</f>
        <v>GM</v>
      </c>
      <c r="E2133" s="21" t="n">
        <f aca="false">IFERROR(VLOOKUP(A2133,NOMENCLATOR!$A:$E,4,0),"")</f>
        <v>0.01244</v>
      </c>
      <c r="F2133" s="21" t="n">
        <f aca="false">IF(OR(C2133="",E2133=""),"",C2133*E2133)</f>
        <v>1.9904</v>
      </c>
      <c r="G2133" s="22" t="n">
        <f aca="false">IFERROR(VLOOKUP(A2133,NOMENCLATOR!$A:$E,5,0),"")</f>
        <v>0.01244</v>
      </c>
      <c r="H2133" s="22" t="n">
        <f aca="false">IF(OR(C2133="",G2133=""),"",C2133*G2133)</f>
        <v>1.9904</v>
      </c>
    </row>
    <row r="2134" customFormat="false" ht="15" hidden="false" customHeight="true" outlineLevel="0" collapsed="false">
      <c r="A2134" s="17" t="s">
        <v>104</v>
      </c>
      <c r="B2134" s="18" t="str">
        <f aca="false">IFERROR(VLOOKUP(A2134,NOMENCLATOR!$A:$E,2,0),"")</f>
        <v>CUTIE CARTOFI FRYDAY 112G 2024</v>
      </c>
      <c r="C2134" s="19" t="n">
        <v>1</v>
      </c>
      <c r="D2134" s="20" t="str">
        <f aca="false">IFERROR(VLOOKUP(A2134,NOMENCLATOR!$A:$E,3,0),"")</f>
        <v>EA</v>
      </c>
      <c r="E2134" s="21" t="n">
        <f aca="false">IFERROR(VLOOKUP(A2134,NOMENCLATOR!$A:$E,4,0),"")</f>
        <v>0.182</v>
      </c>
      <c r="F2134" s="21" t="n">
        <f aca="false">IF(OR(C2134="",E2134=""),"",C2134*E2134)</f>
        <v>0.182</v>
      </c>
      <c r="G2134" s="22" t="n">
        <f aca="false">IFERROR(VLOOKUP(A2134,NOMENCLATOR!$A:$E,5,0),"")</f>
        <v>0.182</v>
      </c>
      <c r="H2134" s="22" t="n">
        <f aca="false">IF(OR(C2134="",G2134=""),"",C2134*G2134)</f>
        <v>0.182</v>
      </c>
    </row>
    <row r="2135" customFormat="false" ht="15" hidden="false" customHeight="true" outlineLevel="0" collapsed="false">
      <c r="A2135" s="17" t="s">
        <v>300</v>
      </c>
      <c r="B2135" s="18" t="str">
        <f aca="false">IFERROR(VLOOKUP(A2135,NOMENCLATOR!$A:$E,2,0),"")</f>
        <v>Ulei de alune</v>
      </c>
      <c r="C2135" s="19" t="n">
        <v>12</v>
      </c>
      <c r="D2135" s="20" t="str">
        <f aca="false">IFERROR(VLOOKUP(A2135,NOMENCLATOR!$A:$E,3,0),"")</f>
        <v>ML</v>
      </c>
      <c r="E2135" s="21" t="n">
        <f aca="false">IFERROR(VLOOKUP(A2135,NOMENCLATOR!$A:$E,4,0),"")</f>
        <v>0.0169</v>
      </c>
      <c r="F2135" s="21" t="n">
        <f aca="false">IF(OR(C2135="",E2135=""),"",C2135*E2135)</f>
        <v>0.2028</v>
      </c>
      <c r="G2135" s="22" t="n">
        <f aca="false">IFERROR(VLOOKUP(A2135,NOMENCLATOR!$A:$E,5,0),"")</f>
        <v>0.0169</v>
      </c>
      <c r="H2135" s="22" t="n">
        <f aca="false">IF(OR(C2135="",G2135=""),"",C2135*G2135)</f>
        <v>0.2028</v>
      </c>
    </row>
    <row r="2136" customFormat="false" ht="15" hidden="false" customHeight="true" outlineLevel="0" collapsed="false">
      <c r="A2136" s="17" t="s">
        <v>60</v>
      </c>
      <c r="B2136" s="18" t="str">
        <f aca="false">IFERROR(VLOOKUP(A2136,NOMENCLATOR!$A:$E,2,0),"")</f>
        <v>BASE - Soft Drinks 250ml</v>
      </c>
      <c r="C2136" s="19" t="n">
        <v>1</v>
      </c>
      <c r="D2136" s="20" t="str">
        <f aca="false">IFERROR(VLOOKUP(A2136,NOMENCLATOR!$A:$E,3,0),"")</f>
        <v>EA</v>
      </c>
      <c r="E2136" s="21" t="n">
        <f aca="false">IFERROR(VLOOKUP(A2136,NOMENCLATOR!$A:$E,4,0),"")</f>
        <v>0.649</v>
      </c>
      <c r="F2136" s="21" t="n">
        <f aca="false">IF(OR(C2136="",E2136=""),"",C2136*E2136)</f>
        <v>0.649</v>
      </c>
      <c r="G2136" s="22" t="n">
        <f aca="false">IFERROR(VLOOKUP(A2136,NOMENCLATOR!$A:$E,5,0),"")</f>
        <v>0.649</v>
      </c>
      <c r="H2136" s="22" t="n">
        <f aca="false">IF(OR(C2136="",G2136=""),"",C2136*G2136)</f>
        <v>0.649</v>
      </c>
    </row>
    <row r="2137" customFormat="false" ht="15" hidden="false" customHeight="true" outlineLevel="0" collapsed="false">
      <c r="A2137" s="17" t="s">
        <v>40</v>
      </c>
      <c r="B2137" s="18" t="str">
        <f aca="false">IFERROR(VLOOKUP(A2137,NOMENCLATOR!$A:$E,2,0),"")</f>
        <v>7UP ZERO BIB</v>
      </c>
      <c r="C2137" s="19" t="n">
        <v>41.66</v>
      </c>
      <c r="D2137" s="20" t="str">
        <f aca="false">IFERROR(VLOOKUP(A2137,NOMENCLATOR!$A:$E,3,0),"")</f>
        <v>ML</v>
      </c>
      <c r="E2137" s="21" t="n">
        <f aca="false">IFERROR(VLOOKUP(A2137,NOMENCLATOR!$A:$E,4,0),"")</f>
        <v>0.04494</v>
      </c>
      <c r="F2137" s="21" t="n">
        <f aca="false">IF(OR(C2137="",E2137=""),"",C2137*E2137)</f>
        <v>1.8722004</v>
      </c>
      <c r="G2137" s="22" t="n">
        <f aca="false">IFERROR(VLOOKUP(A2137,NOMENCLATOR!$A:$E,5,0),"")</f>
        <v>0.04494</v>
      </c>
      <c r="H2137" s="22" t="n">
        <f aca="false">IF(OR(C2137="",G2137=""),"",C2137*G2137)</f>
        <v>1.8722004</v>
      </c>
    </row>
    <row r="2138" customFormat="false" ht="15" hidden="false" customHeight="true" outlineLevel="0" collapsed="false">
      <c r="A2138" s="17" t="s">
        <v>112</v>
      </c>
      <c r="B2138" s="18" t="str">
        <f aca="false">IFERROR(VLOOKUP(A2138,NOMENCLATOR!$A:$E,2,0),"")</f>
        <v>Cutie Jucarie</v>
      </c>
      <c r="C2138" s="19" t="n">
        <v>1</v>
      </c>
      <c r="D2138" s="20" t="str">
        <f aca="false">IFERROR(VLOOKUP(A2138,NOMENCLATOR!$A:$E,3,0),"")</f>
        <v>EA</v>
      </c>
      <c r="E2138" s="21" t="n">
        <f aca="false">IFERROR(VLOOKUP(A2138,NOMENCLATOR!$A:$E,4,0),"")</f>
        <v>12.368</v>
      </c>
      <c r="F2138" s="21" t="n">
        <f aca="false">IF(OR(C2138="",E2138=""),"",C2138*E2138)</f>
        <v>12.368</v>
      </c>
      <c r="G2138" s="22" t="n">
        <f aca="false">IFERROR(VLOOKUP(A2138,NOMENCLATOR!$A:$E,5,0),"")</f>
        <v>12.368</v>
      </c>
      <c r="H2138" s="22" t="n">
        <f aca="false">IF(OR(C2138="",G2138=""),"",C2138*G2138)</f>
        <v>12.368</v>
      </c>
    </row>
    <row r="2139" customFormat="false" ht="15" hidden="false" customHeight="true" outlineLevel="0" collapsed="false">
      <c r="A2139" s="23" t="str">
        <f aca="false">IF(A2125="","",A2125)</f>
        <v>Junior Meal Pui Burger new</v>
      </c>
      <c r="B2139" s="24"/>
      <c r="C2139" s="24"/>
      <c r="D2139" s="24"/>
      <c r="E2139" s="24"/>
      <c r="F2139" s="25" t="n">
        <f aca="false">IF(A2125="","",SUM(F2127:F2138))</f>
        <v>21.6014244</v>
      </c>
      <c r="G2139" s="24"/>
      <c r="H2139" s="26" t="n">
        <f aca="false">IF(A2125="","",SUM(H2127:H2138))</f>
        <v>21.6014244</v>
      </c>
    </row>
    <row r="2141" customFormat="false" ht="15" hidden="false" customHeight="true" outlineLevel="0" collapsed="false">
      <c r="A2141" s="12" t="s">
        <v>611</v>
      </c>
      <c r="B2141" s="13"/>
      <c r="C2141" s="13"/>
      <c r="D2141" s="13"/>
      <c r="E2141" s="13"/>
      <c r="F2141" s="14" t="s">
        <v>608</v>
      </c>
      <c r="G2141" s="13"/>
      <c r="H2141" s="15"/>
    </row>
    <row r="2142" customFormat="false" ht="15" hidden="false" customHeight="true" outlineLevel="0" collapsed="false">
      <c r="A2142" s="16" t="s">
        <v>316</v>
      </c>
      <c r="B2142" s="16" t="s">
        <v>317</v>
      </c>
      <c r="C2142" s="16" t="s">
        <v>318</v>
      </c>
      <c r="D2142" s="16" t="s">
        <v>4</v>
      </c>
      <c r="E2142" s="16" t="s">
        <v>319</v>
      </c>
      <c r="F2142" s="16" t="s">
        <v>320</v>
      </c>
      <c r="G2142" s="16" t="s">
        <v>321</v>
      </c>
      <c r="H2142" s="16" t="s">
        <v>322</v>
      </c>
    </row>
    <row r="2143" customFormat="false" ht="15" hidden="false" customHeight="true" outlineLevel="0" collapsed="false">
      <c r="A2143" s="17" t="s">
        <v>98</v>
      </c>
      <c r="B2143" s="18" t="str">
        <f aca="false">IFERROR(VLOOKUP(A2143,NOMENCLATOR!$A:$E,2,0),"")</f>
        <v>CHIFLA CARTOF 3.5inch 53G x 72</v>
      </c>
      <c r="C2143" s="19" t="n">
        <v>1</v>
      </c>
      <c r="D2143" s="20" t="str">
        <f aca="false">IFERROR(VLOOKUP(A2143,NOMENCLATOR!$A:$E,3,0),"")</f>
        <v>EA</v>
      </c>
      <c r="E2143" s="21" t="n">
        <f aca="false">IFERROR(VLOOKUP(A2143,NOMENCLATOR!$A:$E,4,0),"")</f>
        <v>2.4</v>
      </c>
      <c r="F2143" s="21" t="n">
        <f aca="false">IF(OR(C2143="",E2143=""),"",C2143*E2143)</f>
        <v>2.4</v>
      </c>
      <c r="G2143" s="22" t="n">
        <f aca="false">IFERROR(VLOOKUP(A2143,NOMENCLATOR!$A:$E,5,0),"")</f>
        <v>2.4</v>
      </c>
      <c r="H2143" s="22" t="n">
        <f aca="false">IF(OR(C2143="",G2143=""),"",C2143*G2143)</f>
        <v>2.4</v>
      </c>
    </row>
    <row r="2144" customFormat="false" ht="15" hidden="false" customHeight="true" outlineLevel="0" collapsed="false">
      <c r="A2144" s="17" t="s">
        <v>208</v>
      </c>
      <c r="B2144" s="18" t="str">
        <f aca="false">IFERROR(VLOOKUP(A2144,NOMENCLATOR!$A:$E,2,0),"")</f>
        <v>Patties pui 50gr Transavia</v>
      </c>
      <c r="C2144" s="19" t="n">
        <v>1</v>
      </c>
      <c r="D2144" s="20" t="str">
        <f aca="false">IFERROR(VLOOKUP(A2144,NOMENCLATOR!$A:$E,3,0),"")</f>
        <v>EA</v>
      </c>
      <c r="E2144" s="21" t="n">
        <f aca="false">IFERROR(VLOOKUP(A2144,NOMENCLATOR!$A:$E,4,0),"")</f>
        <v>1.171</v>
      </c>
      <c r="F2144" s="21" t="n">
        <f aca="false">IF(OR(C2144="",E2144=""),"",C2144*E2144)</f>
        <v>1.171</v>
      </c>
      <c r="G2144" s="22" t="n">
        <f aca="false">IFERROR(VLOOKUP(A2144,NOMENCLATOR!$A:$E,5,0),"")</f>
        <v>1.171</v>
      </c>
      <c r="H2144" s="22" t="n">
        <f aca="false">IF(OR(C2144="",G2144=""),"",C2144*G2144)</f>
        <v>1.171</v>
      </c>
    </row>
    <row r="2145" customFormat="false" ht="15" hidden="false" customHeight="true" outlineLevel="0" collapsed="false">
      <c r="A2145" s="17" t="s">
        <v>138</v>
      </c>
      <c r="B2145" s="18" t="str">
        <f aca="false">IFERROR(VLOOKUP(A2145,NOMENCLATOR!$A:$E,2,0),"")</f>
        <v>Hartie Little Hamburgers</v>
      </c>
      <c r="C2145" s="19" t="n">
        <v>1</v>
      </c>
      <c r="D2145" s="20" t="str">
        <f aca="false">IFERROR(VLOOKUP(A2145,NOMENCLATOR!$A:$E,3,0),"")</f>
        <v>EA</v>
      </c>
      <c r="E2145" s="21" t="n">
        <f aca="false">IFERROR(VLOOKUP(A2145,NOMENCLATOR!$A:$E,4,0),"")</f>
        <v>0.111</v>
      </c>
      <c r="F2145" s="21" t="n">
        <f aca="false">IF(OR(C2145="",E2145=""),"",C2145*E2145)</f>
        <v>0.111</v>
      </c>
      <c r="G2145" s="22" t="n">
        <f aca="false">IFERROR(VLOOKUP(A2145,NOMENCLATOR!$A:$E,5,0),"")</f>
        <v>0.111</v>
      </c>
      <c r="H2145" s="22" t="n">
        <f aca="false">IF(OR(C2145="",G2145=""),"",C2145*G2145)</f>
        <v>0.111</v>
      </c>
    </row>
    <row r="2146" customFormat="false" ht="15" hidden="false" customHeight="true" outlineLevel="0" collapsed="false">
      <c r="A2146" s="17" t="s">
        <v>300</v>
      </c>
      <c r="B2146" s="18" t="str">
        <f aca="false">IFERROR(VLOOKUP(A2146,NOMENCLATOR!$A:$E,2,0),"")</f>
        <v>Ulei de alune</v>
      </c>
      <c r="C2146" s="19" t="n">
        <v>20</v>
      </c>
      <c r="D2146" s="20" t="str">
        <f aca="false">IFERROR(VLOOKUP(A2146,NOMENCLATOR!$A:$E,3,0),"")</f>
        <v>ML</v>
      </c>
      <c r="E2146" s="21" t="n">
        <f aca="false">IFERROR(VLOOKUP(A2146,NOMENCLATOR!$A:$E,4,0),"")</f>
        <v>0.0169</v>
      </c>
      <c r="F2146" s="21" t="n">
        <f aca="false">IF(OR(C2146="",E2146=""),"",C2146*E2146)</f>
        <v>0.338</v>
      </c>
      <c r="G2146" s="22" t="n">
        <f aca="false">IFERROR(VLOOKUP(A2146,NOMENCLATOR!$A:$E,5,0),"")</f>
        <v>0.0169</v>
      </c>
      <c r="H2146" s="22" t="n">
        <f aca="false">IF(OR(C2146="",G2146=""),"",C2146*G2146)</f>
        <v>0.338</v>
      </c>
    </row>
    <row r="2147" customFormat="false" ht="15" hidden="false" customHeight="true" outlineLevel="0" collapsed="false">
      <c r="A2147" s="17" t="s">
        <v>310</v>
      </c>
      <c r="B2147" s="18" t="str">
        <f aca="false">IFERROR(VLOOKUP(A2147,NOMENCLATOR!$A:$E,2,0),"")</f>
        <v>Y-Castraveti felii in saramura</v>
      </c>
      <c r="C2147" s="19" t="n">
        <v>5.6</v>
      </c>
      <c r="D2147" s="20" t="str">
        <f aca="false">IFERROR(VLOOKUP(A2147,NOMENCLATOR!$A:$E,3,0),"")</f>
        <v>GM</v>
      </c>
      <c r="E2147" s="21" t="n">
        <f aca="false">IFERROR(VLOOKUP(A2147,NOMENCLATOR!$A:$E,4,0),"")</f>
        <v>0.01554</v>
      </c>
      <c r="F2147" s="21" t="n">
        <f aca="false">IF(OR(C2147="",E2147=""),"",C2147*E2147)</f>
        <v>0.087024</v>
      </c>
      <c r="G2147" s="22" t="n">
        <f aca="false">IFERROR(VLOOKUP(A2147,NOMENCLATOR!$A:$E,5,0),"")</f>
        <v>0.01554</v>
      </c>
      <c r="H2147" s="22" t="n">
        <f aca="false">IF(OR(C2147="",G2147=""),"",C2147*G2147)</f>
        <v>0.087024</v>
      </c>
    </row>
    <row r="2148" customFormat="false" ht="15" hidden="false" customHeight="true" outlineLevel="0" collapsed="false">
      <c r="A2148" s="17" t="s">
        <v>280</v>
      </c>
      <c r="B2148" s="18" t="str">
        <f aca="false">IFERROR(VLOOKUP(A2148,NOMENCLATOR!$A:$E,2,0),"")</f>
        <v>Sos Brender Mayo BIB</v>
      </c>
      <c r="C2148" s="19" t="n">
        <v>10</v>
      </c>
      <c r="D2148" s="20" t="str">
        <f aca="false">IFERROR(VLOOKUP(A2148,NOMENCLATOR!$A:$E,3,0),"")</f>
        <v>ML</v>
      </c>
      <c r="E2148" s="21" t="n">
        <f aca="false">IFERROR(VLOOKUP(A2148,NOMENCLATOR!$A:$E,4,0),"")</f>
        <v>0.023</v>
      </c>
      <c r="F2148" s="21" t="n">
        <f aca="false">IF(OR(C2148="",E2148=""),"",C2148*E2148)</f>
        <v>0.23</v>
      </c>
      <c r="G2148" s="22" t="n">
        <f aca="false">IFERROR(VLOOKUP(A2148,NOMENCLATOR!$A:$E,5,0),"")</f>
        <v>0.023</v>
      </c>
      <c r="H2148" s="22" t="n">
        <f aca="false">IF(OR(C2148="",G2148=""),"",C2148*G2148)</f>
        <v>0.23</v>
      </c>
    </row>
    <row r="2149" customFormat="false" ht="15" hidden="false" customHeight="true" outlineLevel="0" collapsed="false">
      <c r="A2149" s="17" t="s">
        <v>92</v>
      </c>
      <c r="B2149" s="18" t="str">
        <f aca="false">IFERROR(VLOOKUP(A2149,NOMENCLATOR!$A:$E,2,0),"")</f>
        <v>Cartofi congelati</v>
      </c>
      <c r="C2149" s="19" t="n">
        <v>160</v>
      </c>
      <c r="D2149" s="20" t="str">
        <f aca="false">IFERROR(VLOOKUP(A2149,NOMENCLATOR!$A:$E,3,0),"")</f>
        <v>GM</v>
      </c>
      <c r="E2149" s="21" t="n">
        <f aca="false">IFERROR(VLOOKUP(A2149,NOMENCLATOR!$A:$E,4,0),"")</f>
        <v>0.01244</v>
      </c>
      <c r="F2149" s="21" t="n">
        <f aca="false">IF(OR(C2149="",E2149=""),"",C2149*E2149)</f>
        <v>1.9904</v>
      </c>
      <c r="G2149" s="22" t="n">
        <f aca="false">IFERROR(VLOOKUP(A2149,NOMENCLATOR!$A:$E,5,0),"")</f>
        <v>0.01244</v>
      </c>
      <c r="H2149" s="22" t="n">
        <f aca="false">IF(OR(C2149="",G2149=""),"",C2149*G2149)</f>
        <v>1.9904</v>
      </c>
    </row>
    <row r="2150" customFormat="false" ht="15" hidden="false" customHeight="true" outlineLevel="0" collapsed="false">
      <c r="A2150" s="17" t="s">
        <v>104</v>
      </c>
      <c r="B2150" s="18" t="str">
        <f aca="false">IFERROR(VLOOKUP(A2150,NOMENCLATOR!$A:$E,2,0),"")</f>
        <v>CUTIE CARTOFI FRYDAY 112G 2024</v>
      </c>
      <c r="C2150" s="19" t="n">
        <v>1</v>
      </c>
      <c r="D2150" s="20" t="str">
        <f aca="false">IFERROR(VLOOKUP(A2150,NOMENCLATOR!$A:$E,3,0),"")</f>
        <v>EA</v>
      </c>
      <c r="E2150" s="21" t="n">
        <f aca="false">IFERROR(VLOOKUP(A2150,NOMENCLATOR!$A:$E,4,0),"")</f>
        <v>0.182</v>
      </c>
      <c r="F2150" s="21" t="n">
        <f aca="false">IF(OR(C2150="",E2150=""),"",C2150*E2150)</f>
        <v>0.182</v>
      </c>
      <c r="G2150" s="22" t="n">
        <f aca="false">IFERROR(VLOOKUP(A2150,NOMENCLATOR!$A:$E,5,0),"")</f>
        <v>0.182</v>
      </c>
      <c r="H2150" s="22" t="n">
        <f aca="false">IF(OR(C2150="",G2150=""),"",C2150*G2150)</f>
        <v>0.182</v>
      </c>
    </row>
    <row r="2151" customFormat="false" ht="15" hidden="false" customHeight="true" outlineLevel="0" collapsed="false">
      <c r="A2151" s="17" t="s">
        <v>300</v>
      </c>
      <c r="B2151" s="18" t="str">
        <f aca="false">IFERROR(VLOOKUP(A2151,NOMENCLATOR!$A:$E,2,0),"")</f>
        <v>Ulei de alune</v>
      </c>
      <c r="C2151" s="19" t="n">
        <v>12</v>
      </c>
      <c r="D2151" s="20" t="str">
        <f aca="false">IFERROR(VLOOKUP(A2151,NOMENCLATOR!$A:$E,3,0),"")</f>
        <v>ML</v>
      </c>
      <c r="E2151" s="21" t="n">
        <f aca="false">IFERROR(VLOOKUP(A2151,NOMENCLATOR!$A:$E,4,0),"")</f>
        <v>0.0169</v>
      </c>
      <c r="F2151" s="21" t="n">
        <f aca="false">IF(OR(C2151="",E2151=""),"",C2151*E2151)</f>
        <v>0.2028</v>
      </c>
      <c r="G2151" s="22" t="n">
        <f aca="false">IFERROR(VLOOKUP(A2151,NOMENCLATOR!$A:$E,5,0),"")</f>
        <v>0.0169</v>
      </c>
      <c r="H2151" s="22" t="n">
        <f aca="false">IF(OR(C2151="",G2151=""),"",C2151*G2151)</f>
        <v>0.2028</v>
      </c>
    </row>
    <row r="2152" customFormat="false" ht="15" hidden="false" customHeight="true" outlineLevel="0" collapsed="false">
      <c r="A2152" s="17" t="s">
        <v>60</v>
      </c>
      <c r="B2152" s="18" t="str">
        <f aca="false">IFERROR(VLOOKUP(A2152,NOMENCLATOR!$A:$E,2,0),"")</f>
        <v>BASE - Soft Drinks 250ml</v>
      </c>
      <c r="C2152" s="19" t="n">
        <v>1</v>
      </c>
      <c r="D2152" s="20" t="str">
        <f aca="false">IFERROR(VLOOKUP(A2152,NOMENCLATOR!$A:$E,3,0),"")</f>
        <v>EA</v>
      </c>
      <c r="E2152" s="21" t="n">
        <f aca="false">IFERROR(VLOOKUP(A2152,NOMENCLATOR!$A:$E,4,0),"")</f>
        <v>0.649</v>
      </c>
      <c r="F2152" s="21" t="n">
        <f aca="false">IF(OR(C2152="",E2152=""),"",C2152*E2152)</f>
        <v>0.649</v>
      </c>
      <c r="G2152" s="22" t="n">
        <f aca="false">IFERROR(VLOOKUP(A2152,NOMENCLATOR!$A:$E,5,0),"")</f>
        <v>0.649</v>
      </c>
      <c r="H2152" s="22" t="n">
        <f aca="false">IF(OR(C2152="",G2152=""),"",C2152*G2152)</f>
        <v>0.649</v>
      </c>
    </row>
    <row r="2153" customFormat="false" ht="15" hidden="false" customHeight="true" outlineLevel="0" collapsed="false">
      <c r="A2153" s="17" t="s">
        <v>40</v>
      </c>
      <c r="B2153" s="18" t="str">
        <f aca="false">IFERROR(VLOOKUP(A2153,NOMENCLATOR!$A:$E,2,0),"")</f>
        <v>7UP ZERO BIB</v>
      </c>
      <c r="C2153" s="19" t="n">
        <v>41.66</v>
      </c>
      <c r="D2153" s="20" t="str">
        <f aca="false">IFERROR(VLOOKUP(A2153,NOMENCLATOR!$A:$E,3,0),"")</f>
        <v>ML</v>
      </c>
      <c r="E2153" s="21" t="n">
        <f aca="false">IFERROR(VLOOKUP(A2153,NOMENCLATOR!$A:$E,4,0),"")</f>
        <v>0.04494</v>
      </c>
      <c r="F2153" s="21" t="n">
        <f aca="false">IF(OR(C2153="",E2153=""),"",C2153*E2153)</f>
        <v>1.8722004</v>
      </c>
      <c r="G2153" s="22" t="n">
        <f aca="false">IFERROR(VLOOKUP(A2153,NOMENCLATOR!$A:$E,5,0),"")</f>
        <v>0.04494</v>
      </c>
      <c r="H2153" s="22" t="n">
        <f aca="false">IF(OR(C2153="",G2153=""),"",C2153*G2153)</f>
        <v>1.8722004</v>
      </c>
    </row>
    <row r="2154" customFormat="false" ht="15" hidden="false" customHeight="true" outlineLevel="0" collapsed="false">
      <c r="A2154" s="17" t="s">
        <v>112</v>
      </c>
      <c r="B2154" s="18" t="str">
        <f aca="false">IFERROR(VLOOKUP(A2154,NOMENCLATOR!$A:$E,2,0),"")</f>
        <v>Cutie Jucarie</v>
      </c>
      <c r="C2154" s="19" t="n">
        <v>1</v>
      </c>
      <c r="D2154" s="20" t="str">
        <f aca="false">IFERROR(VLOOKUP(A2154,NOMENCLATOR!$A:$E,3,0),"")</f>
        <v>EA</v>
      </c>
      <c r="E2154" s="21" t="n">
        <f aca="false">IFERROR(VLOOKUP(A2154,NOMENCLATOR!$A:$E,4,0),"")</f>
        <v>12.368</v>
      </c>
      <c r="F2154" s="21" t="n">
        <f aca="false">IF(OR(C2154="",E2154=""),"",C2154*E2154)</f>
        <v>12.368</v>
      </c>
      <c r="G2154" s="22" t="n">
        <f aca="false">IFERROR(VLOOKUP(A2154,NOMENCLATOR!$A:$E,5,0),"")</f>
        <v>12.368</v>
      </c>
      <c r="H2154" s="22" t="n">
        <f aca="false">IF(OR(C2154="",G2154=""),"",C2154*G2154)</f>
        <v>12.368</v>
      </c>
    </row>
    <row r="2155" customFormat="false" ht="15" hidden="false" customHeight="true" outlineLevel="0" collapsed="false">
      <c r="A2155" s="23" t="str">
        <f aca="false">IF(A2141="","",A2141)</f>
        <v>Junior Meal Pui Burger new D</v>
      </c>
      <c r="B2155" s="24"/>
      <c r="C2155" s="24"/>
      <c r="D2155" s="24"/>
      <c r="E2155" s="24"/>
      <c r="F2155" s="25" t="n">
        <f aca="false">IF(A2141="","",SUM(F2143:F2154))</f>
        <v>21.6014244</v>
      </c>
      <c r="G2155" s="24"/>
      <c r="H2155" s="26" t="n">
        <f aca="false">IF(A2141="","",SUM(H2143:H2154))</f>
        <v>21.6014244</v>
      </c>
    </row>
    <row r="2157" customFormat="false" ht="15" hidden="false" customHeight="true" outlineLevel="0" collapsed="false">
      <c r="A2157" s="12" t="s">
        <v>612</v>
      </c>
      <c r="B2157" s="13"/>
      <c r="C2157" s="13"/>
      <c r="D2157" s="13"/>
      <c r="E2157" s="13"/>
      <c r="F2157" s="14" t="s">
        <v>608</v>
      </c>
      <c r="G2157" s="13"/>
      <c r="H2157" s="15"/>
    </row>
    <row r="2158" customFormat="false" ht="15" hidden="false" customHeight="true" outlineLevel="0" collapsed="false">
      <c r="A2158" s="16" t="s">
        <v>316</v>
      </c>
      <c r="B2158" s="16" t="s">
        <v>317</v>
      </c>
      <c r="C2158" s="16" t="s">
        <v>318</v>
      </c>
      <c r="D2158" s="16" t="s">
        <v>4</v>
      </c>
      <c r="E2158" s="16" t="s">
        <v>319</v>
      </c>
      <c r="F2158" s="16" t="s">
        <v>320</v>
      </c>
      <c r="G2158" s="16" t="s">
        <v>321</v>
      </c>
      <c r="H2158" s="16" t="s">
        <v>322</v>
      </c>
    </row>
    <row r="2159" customFormat="false" ht="15" hidden="false" customHeight="true" outlineLevel="0" collapsed="false">
      <c r="A2159" s="17" t="s">
        <v>26</v>
      </c>
      <c r="B2159" s="18" t="str">
        <f aca="false">IFERROR(VLOOKUP(A2159,NOMENCLATOR!$A:$E,2,0),"")</f>
        <v>1.000 EA Nuggets cornflakes (raw)</v>
      </c>
      <c r="C2159" s="19" t="n">
        <v>4</v>
      </c>
      <c r="D2159" s="20" t="str">
        <f aca="false">IFERROR(VLOOKUP(A2159,NOMENCLATOR!$A:$E,3,0),"")</f>
        <v>EA</v>
      </c>
      <c r="E2159" s="21" t="n">
        <f aca="false">IFERROR(VLOOKUP(A2159,NOMENCLATOR!$A:$E,4,0),"")</f>
        <v>0.67483</v>
      </c>
      <c r="F2159" s="21" t="n">
        <f aca="false">IF(OR(C2159="",E2159=""),"",C2159*E2159)</f>
        <v>2.69932</v>
      </c>
      <c r="G2159" s="22" t="n">
        <f aca="false">IFERROR(VLOOKUP(A2159,NOMENCLATOR!$A:$E,5,0),"")</f>
        <v>0.67483</v>
      </c>
      <c r="H2159" s="22" t="n">
        <f aca="false">IF(OR(C2159="",G2159=""),"",C2159*G2159)</f>
        <v>2.69932</v>
      </c>
    </row>
    <row r="2160" customFormat="false" ht="15" hidden="false" customHeight="true" outlineLevel="0" collapsed="false">
      <c r="A2160" s="17" t="s">
        <v>300</v>
      </c>
      <c r="B2160" s="18" t="str">
        <f aca="false">IFERROR(VLOOKUP(A2160,NOMENCLATOR!$A:$E,2,0),"")</f>
        <v>Ulei de alune</v>
      </c>
      <c r="C2160" s="19" t="n">
        <v>16</v>
      </c>
      <c r="D2160" s="20" t="str">
        <f aca="false">IFERROR(VLOOKUP(A2160,NOMENCLATOR!$A:$E,3,0),"")</f>
        <v>ML</v>
      </c>
      <c r="E2160" s="21" t="n">
        <f aca="false">IFERROR(VLOOKUP(A2160,NOMENCLATOR!$A:$E,4,0),"")</f>
        <v>0.0169</v>
      </c>
      <c r="F2160" s="21" t="n">
        <f aca="false">IF(OR(C2160="",E2160=""),"",C2160*E2160)</f>
        <v>0.2704</v>
      </c>
      <c r="G2160" s="22" t="n">
        <f aca="false">IFERROR(VLOOKUP(A2160,NOMENCLATOR!$A:$E,5,0),"")</f>
        <v>0.0169</v>
      </c>
      <c r="H2160" s="22" t="n">
        <f aca="false">IF(OR(C2160="",G2160=""),"",C2160*G2160)</f>
        <v>0.2704</v>
      </c>
    </row>
    <row r="2161" customFormat="false" ht="15" hidden="false" customHeight="true" outlineLevel="0" collapsed="false">
      <c r="A2161" s="17" t="s">
        <v>246</v>
      </c>
      <c r="B2161" s="18" t="str">
        <f aca="false">IFERROR(VLOOKUP(A2161,NOMENCLATOR!$A:$E,2,0),"")</f>
        <v>Punga Alba Pui 15x15</v>
      </c>
      <c r="C2161" s="19" t="n">
        <v>1</v>
      </c>
      <c r="D2161" s="20" t="str">
        <f aca="false">IFERROR(VLOOKUP(A2161,NOMENCLATOR!$A:$E,3,0),"")</f>
        <v>EA</v>
      </c>
      <c r="E2161" s="21" t="n">
        <f aca="false">IFERROR(VLOOKUP(A2161,NOMENCLATOR!$A:$E,4,0),"")</f>
        <v>0.127</v>
      </c>
      <c r="F2161" s="21" t="n">
        <f aca="false">IF(OR(C2161="",E2161=""),"",C2161*E2161)</f>
        <v>0.127</v>
      </c>
      <c r="G2161" s="22" t="n">
        <f aca="false">IFERROR(VLOOKUP(A2161,NOMENCLATOR!$A:$E,5,0),"")</f>
        <v>0.127</v>
      </c>
      <c r="H2161" s="22" t="n">
        <f aca="false">IF(OR(C2161="",G2161=""),"",C2161*G2161)</f>
        <v>0.127</v>
      </c>
    </row>
    <row r="2162" customFormat="false" ht="15" hidden="false" customHeight="true" outlineLevel="0" collapsed="false">
      <c r="A2162" s="17" t="s">
        <v>92</v>
      </c>
      <c r="B2162" s="18" t="str">
        <f aca="false">IFERROR(VLOOKUP(A2162,NOMENCLATOR!$A:$E,2,0),"")</f>
        <v>Cartofi congelati</v>
      </c>
      <c r="C2162" s="19" t="n">
        <v>160</v>
      </c>
      <c r="D2162" s="20" t="str">
        <f aca="false">IFERROR(VLOOKUP(A2162,NOMENCLATOR!$A:$E,3,0),"")</f>
        <v>GM</v>
      </c>
      <c r="E2162" s="21" t="n">
        <f aca="false">IFERROR(VLOOKUP(A2162,NOMENCLATOR!$A:$E,4,0),"")</f>
        <v>0.01244</v>
      </c>
      <c r="F2162" s="21" t="n">
        <f aca="false">IF(OR(C2162="",E2162=""),"",C2162*E2162)</f>
        <v>1.9904</v>
      </c>
      <c r="G2162" s="22" t="n">
        <f aca="false">IFERROR(VLOOKUP(A2162,NOMENCLATOR!$A:$E,5,0),"")</f>
        <v>0.01244</v>
      </c>
      <c r="H2162" s="22" t="n">
        <f aca="false">IF(OR(C2162="",G2162=""),"",C2162*G2162)</f>
        <v>1.9904</v>
      </c>
    </row>
    <row r="2163" customFormat="false" ht="15" hidden="false" customHeight="true" outlineLevel="0" collapsed="false">
      <c r="A2163" s="17" t="s">
        <v>104</v>
      </c>
      <c r="B2163" s="18" t="str">
        <f aca="false">IFERROR(VLOOKUP(A2163,NOMENCLATOR!$A:$E,2,0),"")</f>
        <v>CUTIE CARTOFI FRYDAY 112G 2024</v>
      </c>
      <c r="C2163" s="19" t="n">
        <v>1</v>
      </c>
      <c r="D2163" s="20" t="str">
        <f aca="false">IFERROR(VLOOKUP(A2163,NOMENCLATOR!$A:$E,3,0),"")</f>
        <v>EA</v>
      </c>
      <c r="E2163" s="21" t="n">
        <f aca="false">IFERROR(VLOOKUP(A2163,NOMENCLATOR!$A:$E,4,0),"")</f>
        <v>0.182</v>
      </c>
      <c r="F2163" s="21" t="n">
        <f aca="false">IF(OR(C2163="",E2163=""),"",C2163*E2163)</f>
        <v>0.182</v>
      </c>
      <c r="G2163" s="22" t="n">
        <f aca="false">IFERROR(VLOOKUP(A2163,NOMENCLATOR!$A:$E,5,0),"")</f>
        <v>0.182</v>
      </c>
      <c r="H2163" s="22" t="n">
        <f aca="false">IF(OR(C2163="",G2163=""),"",C2163*G2163)</f>
        <v>0.182</v>
      </c>
    </row>
    <row r="2164" customFormat="false" ht="15" hidden="false" customHeight="true" outlineLevel="0" collapsed="false">
      <c r="A2164" s="17" t="s">
        <v>300</v>
      </c>
      <c r="B2164" s="18" t="str">
        <f aca="false">IFERROR(VLOOKUP(A2164,NOMENCLATOR!$A:$E,2,0),"")</f>
        <v>Ulei de alune</v>
      </c>
      <c r="C2164" s="19" t="n">
        <v>12</v>
      </c>
      <c r="D2164" s="20" t="str">
        <f aca="false">IFERROR(VLOOKUP(A2164,NOMENCLATOR!$A:$E,3,0),"")</f>
        <v>ML</v>
      </c>
      <c r="E2164" s="21" t="n">
        <f aca="false">IFERROR(VLOOKUP(A2164,NOMENCLATOR!$A:$E,4,0),"")</f>
        <v>0.0169</v>
      </c>
      <c r="F2164" s="21" t="n">
        <f aca="false">IF(OR(C2164="",E2164=""),"",C2164*E2164)</f>
        <v>0.2028</v>
      </c>
      <c r="G2164" s="22" t="n">
        <f aca="false">IFERROR(VLOOKUP(A2164,NOMENCLATOR!$A:$E,5,0),"")</f>
        <v>0.0169</v>
      </c>
      <c r="H2164" s="22" t="n">
        <f aca="false">IF(OR(C2164="",G2164=""),"",C2164*G2164)</f>
        <v>0.2028</v>
      </c>
    </row>
    <row r="2165" customFormat="false" ht="15" hidden="false" customHeight="true" outlineLevel="0" collapsed="false">
      <c r="A2165" s="17" t="s">
        <v>60</v>
      </c>
      <c r="B2165" s="18" t="str">
        <f aca="false">IFERROR(VLOOKUP(A2165,NOMENCLATOR!$A:$E,2,0),"")</f>
        <v>BASE - Soft Drinks 250ml</v>
      </c>
      <c r="C2165" s="19" t="n">
        <v>1</v>
      </c>
      <c r="D2165" s="20" t="str">
        <f aca="false">IFERROR(VLOOKUP(A2165,NOMENCLATOR!$A:$E,3,0),"")</f>
        <v>EA</v>
      </c>
      <c r="E2165" s="21" t="n">
        <f aca="false">IFERROR(VLOOKUP(A2165,NOMENCLATOR!$A:$E,4,0),"")</f>
        <v>0.649</v>
      </c>
      <c r="F2165" s="21" t="n">
        <f aca="false">IF(OR(C2165="",E2165=""),"",C2165*E2165)</f>
        <v>0.649</v>
      </c>
      <c r="G2165" s="22" t="n">
        <f aca="false">IFERROR(VLOOKUP(A2165,NOMENCLATOR!$A:$E,5,0),"")</f>
        <v>0.649</v>
      </c>
      <c r="H2165" s="22" t="n">
        <f aca="false">IF(OR(C2165="",G2165=""),"",C2165*G2165)</f>
        <v>0.649</v>
      </c>
    </row>
    <row r="2166" customFormat="false" ht="15" hidden="false" customHeight="true" outlineLevel="0" collapsed="false">
      <c r="A2166" s="17" t="s">
        <v>40</v>
      </c>
      <c r="B2166" s="18" t="str">
        <f aca="false">IFERROR(VLOOKUP(A2166,NOMENCLATOR!$A:$E,2,0),"")</f>
        <v>7UP ZERO BIB</v>
      </c>
      <c r="C2166" s="19" t="n">
        <v>41.66</v>
      </c>
      <c r="D2166" s="20" t="str">
        <f aca="false">IFERROR(VLOOKUP(A2166,NOMENCLATOR!$A:$E,3,0),"")</f>
        <v>ML</v>
      </c>
      <c r="E2166" s="21" t="n">
        <f aca="false">IFERROR(VLOOKUP(A2166,NOMENCLATOR!$A:$E,4,0),"")</f>
        <v>0.04494</v>
      </c>
      <c r="F2166" s="21" t="n">
        <f aca="false">IF(OR(C2166="",E2166=""),"",C2166*E2166)</f>
        <v>1.8722004</v>
      </c>
      <c r="G2166" s="22" t="n">
        <f aca="false">IFERROR(VLOOKUP(A2166,NOMENCLATOR!$A:$E,5,0),"")</f>
        <v>0.04494</v>
      </c>
      <c r="H2166" s="22" t="n">
        <f aca="false">IF(OR(C2166="",G2166=""),"",C2166*G2166)</f>
        <v>1.8722004</v>
      </c>
    </row>
    <row r="2167" customFormat="false" ht="15" hidden="false" customHeight="true" outlineLevel="0" collapsed="false">
      <c r="A2167" s="17" t="s">
        <v>112</v>
      </c>
      <c r="B2167" s="18" t="str">
        <f aca="false">IFERROR(VLOOKUP(A2167,NOMENCLATOR!$A:$E,2,0),"")</f>
        <v>Cutie Jucarie</v>
      </c>
      <c r="C2167" s="19" t="n">
        <v>1</v>
      </c>
      <c r="D2167" s="20" t="str">
        <f aca="false">IFERROR(VLOOKUP(A2167,NOMENCLATOR!$A:$E,3,0),"")</f>
        <v>EA</v>
      </c>
      <c r="E2167" s="21" t="n">
        <f aca="false">IFERROR(VLOOKUP(A2167,NOMENCLATOR!$A:$E,4,0),"")</f>
        <v>12.368</v>
      </c>
      <c r="F2167" s="21" t="n">
        <f aca="false">IF(OR(C2167="",E2167=""),"",C2167*E2167)</f>
        <v>12.368</v>
      </c>
      <c r="G2167" s="22" t="n">
        <f aca="false">IFERROR(VLOOKUP(A2167,NOMENCLATOR!$A:$E,5,0),"")</f>
        <v>12.368</v>
      </c>
      <c r="H2167" s="22" t="n">
        <f aca="false">IF(OR(C2167="",G2167=""),"",C2167*G2167)</f>
        <v>12.368</v>
      </c>
    </row>
    <row r="2168" customFormat="false" ht="15" hidden="false" customHeight="true" outlineLevel="0" collapsed="false">
      <c r="A2168" s="23" t="str">
        <f aca="false">IF(A2157="","",A2157)</f>
        <v>Junior Meal 4 Nuggets new</v>
      </c>
      <c r="B2168" s="24"/>
      <c r="C2168" s="24"/>
      <c r="D2168" s="24"/>
      <c r="E2168" s="24"/>
      <c r="F2168" s="25" t="n">
        <f aca="false">IF(A2157="","",SUM(F2159:F2167))</f>
        <v>20.3611204</v>
      </c>
      <c r="G2168" s="24"/>
      <c r="H2168" s="26" t="n">
        <f aca="false">IF(A2157="","",SUM(H2159:H2167))</f>
        <v>20.3611204</v>
      </c>
    </row>
    <row r="2170" customFormat="false" ht="15" hidden="false" customHeight="true" outlineLevel="0" collapsed="false">
      <c r="A2170" s="12" t="s">
        <v>613</v>
      </c>
      <c r="B2170" s="13"/>
      <c r="C2170" s="13"/>
      <c r="D2170" s="13"/>
      <c r="E2170" s="13"/>
      <c r="F2170" s="14" t="s">
        <v>608</v>
      </c>
      <c r="G2170" s="13"/>
      <c r="H2170" s="15"/>
    </row>
    <row r="2171" customFormat="false" ht="15" hidden="false" customHeight="true" outlineLevel="0" collapsed="false">
      <c r="A2171" s="16" t="s">
        <v>316</v>
      </c>
      <c r="B2171" s="16" t="s">
        <v>317</v>
      </c>
      <c r="C2171" s="16" t="s">
        <v>318</v>
      </c>
      <c r="D2171" s="16" t="s">
        <v>4</v>
      </c>
      <c r="E2171" s="16" t="s">
        <v>319</v>
      </c>
      <c r="F2171" s="16" t="s">
        <v>320</v>
      </c>
      <c r="G2171" s="16" t="s">
        <v>321</v>
      </c>
      <c r="H2171" s="16" t="s">
        <v>322</v>
      </c>
    </row>
    <row r="2172" customFormat="false" ht="15" hidden="false" customHeight="true" outlineLevel="0" collapsed="false">
      <c r="A2172" s="17" t="s">
        <v>26</v>
      </c>
      <c r="B2172" s="18" t="str">
        <f aca="false">IFERROR(VLOOKUP(A2172,NOMENCLATOR!$A:$E,2,0),"")</f>
        <v>1.000 EA Nuggets cornflakes (raw)</v>
      </c>
      <c r="C2172" s="19" t="n">
        <v>4</v>
      </c>
      <c r="D2172" s="20" t="str">
        <f aca="false">IFERROR(VLOOKUP(A2172,NOMENCLATOR!$A:$E,3,0),"")</f>
        <v>EA</v>
      </c>
      <c r="E2172" s="21" t="n">
        <f aca="false">IFERROR(VLOOKUP(A2172,NOMENCLATOR!$A:$E,4,0),"")</f>
        <v>0.67483</v>
      </c>
      <c r="F2172" s="21" t="n">
        <f aca="false">IF(OR(C2172="",E2172=""),"",C2172*E2172)</f>
        <v>2.69932</v>
      </c>
      <c r="G2172" s="22" t="n">
        <f aca="false">IFERROR(VLOOKUP(A2172,NOMENCLATOR!$A:$E,5,0),"")</f>
        <v>0.67483</v>
      </c>
      <c r="H2172" s="22" t="n">
        <f aca="false">IF(OR(C2172="",G2172=""),"",C2172*G2172)</f>
        <v>2.69932</v>
      </c>
    </row>
    <row r="2173" customFormat="false" ht="15" hidden="false" customHeight="true" outlineLevel="0" collapsed="false">
      <c r="A2173" s="17" t="s">
        <v>300</v>
      </c>
      <c r="B2173" s="18" t="str">
        <f aca="false">IFERROR(VLOOKUP(A2173,NOMENCLATOR!$A:$E,2,0),"")</f>
        <v>Ulei de alune</v>
      </c>
      <c r="C2173" s="19" t="n">
        <v>16</v>
      </c>
      <c r="D2173" s="20" t="str">
        <f aca="false">IFERROR(VLOOKUP(A2173,NOMENCLATOR!$A:$E,3,0),"")</f>
        <v>ML</v>
      </c>
      <c r="E2173" s="21" t="n">
        <f aca="false">IFERROR(VLOOKUP(A2173,NOMENCLATOR!$A:$E,4,0),"")</f>
        <v>0.0169</v>
      </c>
      <c r="F2173" s="21" t="n">
        <f aca="false">IF(OR(C2173="",E2173=""),"",C2173*E2173)</f>
        <v>0.2704</v>
      </c>
      <c r="G2173" s="22" t="n">
        <f aca="false">IFERROR(VLOOKUP(A2173,NOMENCLATOR!$A:$E,5,0),"")</f>
        <v>0.0169</v>
      </c>
      <c r="H2173" s="22" t="n">
        <f aca="false">IF(OR(C2173="",G2173=""),"",C2173*G2173)</f>
        <v>0.2704</v>
      </c>
    </row>
    <row r="2174" customFormat="false" ht="15" hidden="false" customHeight="true" outlineLevel="0" collapsed="false">
      <c r="A2174" s="17" t="s">
        <v>246</v>
      </c>
      <c r="B2174" s="18" t="str">
        <f aca="false">IFERROR(VLOOKUP(A2174,NOMENCLATOR!$A:$E,2,0),"")</f>
        <v>Punga Alba Pui 15x15</v>
      </c>
      <c r="C2174" s="19" t="n">
        <v>1</v>
      </c>
      <c r="D2174" s="20" t="str">
        <f aca="false">IFERROR(VLOOKUP(A2174,NOMENCLATOR!$A:$E,3,0),"")</f>
        <v>EA</v>
      </c>
      <c r="E2174" s="21" t="n">
        <f aca="false">IFERROR(VLOOKUP(A2174,NOMENCLATOR!$A:$E,4,0),"")</f>
        <v>0.127</v>
      </c>
      <c r="F2174" s="21" t="n">
        <f aca="false">IF(OR(C2174="",E2174=""),"",C2174*E2174)</f>
        <v>0.127</v>
      </c>
      <c r="G2174" s="22" t="n">
        <f aca="false">IFERROR(VLOOKUP(A2174,NOMENCLATOR!$A:$E,5,0),"")</f>
        <v>0.127</v>
      </c>
      <c r="H2174" s="22" t="n">
        <f aca="false">IF(OR(C2174="",G2174=""),"",C2174*G2174)</f>
        <v>0.127</v>
      </c>
    </row>
    <row r="2175" customFormat="false" ht="15" hidden="false" customHeight="true" outlineLevel="0" collapsed="false">
      <c r="A2175" s="17" t="s">
        <v>92</v>
      </c>
      <c r="B2175" s="18" t="str">
        <f aca="false">IFERROR(VLOOKUP(A2175,NOMENCLATOR!$A:$E,2,0),"")</f>
        <v>Cartofi congelati</v>
      </c>
      <c r="C2175" s="19" t="n">
        <v>160</v>
      </c>
      <c r="D2175" s="20" t="str">
        <f aca="false">IFERROR(VLOOKUP(A2175,NOMENCLATOR!$A:$E,3,0),"")</f>
        <v>GM</v>
      </c>
      <c r="E2175" s="21" t="n">
        <f aca="false">IFERROR(VLOOKUP(A2175,NOMENCLATOR!$A:$E,4,0),"")</f>
        <v>0.01244</v>
      </c>
      <c r="F2175" s="21" t="n">
        <f aca="false">IF(OR(C2175="",E2175=""),"",C2175*E2175)</f>
        <v>1.9904</v>
      </c>
      <c r="G2175" s="22" t="n">
        <f aca="false">IFERROR(VLOOKUP(A2175,NOMENCLATOR!$A:$E,5,0),"")</f>
        <v>0.01244</v>
      </c>
      <c r="H2175" s="22" t="n">
        <f aca="false">IF(OR(C2175="",G2175=""),"",C2175*G2175)</f>
        <v>1.9904</v>
      </c>
    </row>
    <row r="2176" customFormat="false" ht="15" hidden="false" customHeight="true" outlineLevel="0" collapsed="false">
      <c r="A2176" s="17" t="s">
        <v>104</v>
      </c>
      <c r="B2176" s="18" t="str">
        <f aca="false">IFERROR(VLOOKUP(A2176,NOMENCLATOR!$A:$E,2,0),"")</f>
        <v>CUTIE CARTOFI FRYDAY 112G 2024</v>
      </c>
      <c r="C2176" s="19" t="n">
        <v>1</v>
      </c>
      <c r="D2176" s="20" t="str">
        <f aca="false">IFERROR(VLOOKUP(A2176,NOMENCLATOR!$A:$E,3,0),"")</f>
        <v>EA</v>
      </c>
      <c r="E2176" s="21" t="n">
        <f aca="false">IFERROR(VLOOKUP(A2176,NOMENCLATOR!$A:$E,4,0),"")</f>
        <v>0.182</v>
      </c>
      <c r="F2176" s="21" t="n">
        <f aca="false">IF(OR(C2176="",E2176=""),"",C2176*E2176)</f>
        <v>0.182</v>
      </c>
      <c r="G2176" s="22" t="n">
        <f aca="false">IFERROR(VLOOKUP(A2176,NOMENCLATOR!$A:$E,5,0),"")</f>
        <v>0.182</v>
      </c>
      <c r="H2176" s="22" t="n">
        <f aca="false">IF(OR(C2176="",G2176=""),"",C2176*G2176)</f>
        <v>0.182</v>
      </c>
    </row>
    <row r="2177" customFormat="false" ht="15" hidden="false" customHeight="true" outlineLevel="0" collapsed="false">
      <c r="A2177" s="17" t="s">
        <v>300</v>
      </c>
      <c r="B2177" s="18" t="str">
        <f aca="false">IFERROR(VLOOKUP(A2177,NOMENCLATOR!$A:$E,2,0),"")</f>
        <v>Ulei de alune</v>
      </c>
      <c r="C2177" s="19" t="n">
        <v>12</v>
      </c>
      <c r="D2177" s="20" t="str">
        <f aca="false">IFERROR(VLOOKUP(A2177,NOMENCLATOR!$A:$E,3,0),"")</f>
        <v>ML</v>
      </c>
      <c r="E2177" s="21" t="n">
        <f aca="false">IFERROR(VLOOKUP(A2177,NOMENCLATOR!$A:$E,4,0),"")</f>
        <v>0.0169</v>
      </c>
      <c r="F2177" s="21" t="n">
        <f aca="false">IF(OR(C2177="",E2177=""),"",C2177*E2177)</f>
        <v>0.2028</v>
      </c>
      <c r="G2177" s="22" t="n">
        <f aca="false">IFERROR(VLOOKUP(A2177,NOMENCLATOR!$A:$E,5,0),"")</f>
        <v>0.0169</v>
      </c>
      <c r="H2177" s="22" t="n">
        <f aca="false">IF(OR(C2177="",G2177=""),"",C2177*G2177)</f>
        <v>0.2028</v>
      </c>
    </row>
    <row r="2178" customFormat="false" ht="15" hidden="false" customHeight="true" outlineLevel="0" collapsed="false">
      <c r="A2178" s="17" t="s">
        <v>60</v>
      </c>
      <c r="B2178" s="18" t="str">
        <f aca="false">IFERROR(VLOOKUP(A2178,NOMENCLATOR!$A:$E,2,0),"")</f>
        <v>BASE - Soft Drinks 250ml</v>
      </c>
      <c r="C2178" s="19" t="n">
        <v>1</v>
      </c>
      <c r="D2178" s="20" t="str">
        <f aca="false">IFERROR(VLOOKUP(A2178,NOMENCLATOR!$A:$E,3,0),"")</f>
        <v>EA</v>
      </c>
      <c r="E2178" s="21" t="n">
        <f aca="false">IFERROR(VLOOKUP(A2178,NOMENCLATOR!$A:$E,4,0),"")</f>
        <v>0.649</v>
      </c>
      <c r="F2178" s="21" t="n">
        <f aca="false">IF(OR(C2178="",E2178=""),"",C2178*E2178)</f>
        <v>0.649</v>
      </c>
      <c r="G2178" s="22" t="n">
        <f aca="false">IFERROR(VLOOKUP(A2178,NOMENCLATOR!$A:$E,5,0),"")</f>
        <v>0.649</v>
      </c>
      <c r="H2178" s="22" t="n">
        <f aca="false">IF(OR(C2178="",G2178=""),"",C2178*G2178)</f>
        <v>0.649</v>
      </c>
    </row>
    <row r="2179" customFormat="false" ht="15" hidden="false" customHeight="true" outlineLevel="0" collapsed="false">
      <c r="A2179" s="17" t="s">
        <v>40</v>
      </c>
      <c r="B2179" s="18" t="str">
        <f aca="false">IFERROR(VLOOKUP(A2179,NOMENCLATOR!$A:$E,2,0),"")</f>
        <v>7UP ZERO BIB</v>
      </c>
      <c r="C2179" s="19" t="n">
        <v>41.66</v>
      </c>
      <c r="D2179" s="20" t="str">
        <f aca="false">IFERROR(VLOOKUP(A2179,NOMENCLATOR!$A:$E,3,0),"")</f>
        <v>ML</v>
      </c>
      <c r="E2179" s="21" t="n">
        <f aca="false">IFERROR(VLOOKUP(A2179,NOMENCLATOR!$A:$E,4,0),"")</f>
        <v>0.04494</v>
      </c>
      <c r="F2179" s="21" t="n">
        <f aca="false">IF(OR(C2179="",E2179=""),"",C2179*E2179)</f>
        <v>1.8722004</v>
      </c>
      <c r="G2179" s="22" t="n">
        <f aca="false">IFERROR(VLOOKUP(A2179,NOMENCLATOR!$A:$E,5,0),"")</f>
        <v>0.04494</v>
      </c>
      <c r="H2179" s="22" t="n">
        <f aca="false">IF(OR(C2179="",G2179=""),"",C2179*G2179)</f>
        <v>1.8722004</v>
      </c>
    </row>
    <row r="2180" customFormat="false" ht="15" hidden="false" customHeight="true" outlineLevel="0" collapsed="false">
      <c r="A2180" s="17" t="s">
        <v>112</v>
      </c>
      <c r="B2180" s="18" t="str">
        <f aca="false">IFERROR(VLOOKUP(A2180,NOMENCLATOR!$A:$E,2,0),"")</f>
        <v>Cutie Jucarie</v>
      </c>
      <c r="C2180" s="19" t="n">
        <v>1</v>
      </c>
      <c r="D2180" s="20" t="str">
        <f aca="false">IFERROR(VLOOKUP(A2180,NOMENCLATOR!$A:$E,3,0),"")</f>
        <v>EA</v>
      </c>
      <c r="E2180" s="21" t="n">
        <f aca="false">IFERROR(VLOOKUP(A2180,NOMENCLATOR!$A:$E,4,0),"")</f>
        <v>12.368</v>
      </c>
      <c r="F2180" s="21" t="n">
        <f aca="false">IF(OR(C2180="",E2180=""),"",C2180*E2180)</f>
        <v>12.368</v>
      </c>
      <c r="G2180" s="22" t="n">
        <f aca="false">IFERROR(VLOOKUP(A2180,NOMENCLATOR!$A:$E,5,0),"")</f>
        <v>12.368</v>
      </c>
      <c r="H2180" s="22" t="n">
        <f aca="false">IF(OR(C2180="",G2180=""),"",C2180*G2180)</f>
        <v>12.368</v>
      </c>
    </row>
    <row r="2181" customFormat="false" ht="15" hidden="false" customHeight="true" outlineLevel="0" collapsed="false">
      <c r="A2181" s="23" t="str">
        <f aca="false">IF(A2170="","",A2170)</f>
        <v>Junior Meal 4 Nuggets new D</v>
      </c>
      <c r="B2181" s="24"/>
      <c r="C2181" s="24"/>
      <c r="D2181" s="24"/>
      <c r="E2181" s="24"/>
      <c r="F2181" s="25" t="n">
        <f aca="false">IF(A2170="","",SUM(F2172:F2180))</f>
        <v>20.3611204</v>
      </c>
      <c r="G2181" s="24"/>
      <c r="H2181" s="26" t="n">
        <f aca="false">IF(A2170="","",SUM(H2172:H2180))</f>
        <v>20.3611204</v>
      </c>
    </row>
    <row r="2183" customFormat="false" ht="15" hidden="false" customHeight="true" outlineLevel="0" collapsed="false">
      <c r="A2183" s="12"/>
      <c r="B2183" s="13"/>
      <c r="C2183" s="13"/>
      <c r="D2183" s="13"/>
      <c r="E2183" s="13"/>
      <c r="F2183" s="13"/>
      <c r="G2183" s="13"/>
      <c r="H2183" s="15"/>
    </row>
    <row r="2184" customFormat="false" ht="15" hidden="false" customHeight="true" outlineLevel="0" collapsed="false">
      <c r="A2184" s="16" t="s">
        <v>316</v>
      </c>
      <c r="B2184" s="16" t="s">
        <v>317</v>
      </c>
      <c r="C2184" s="16" t="s">
        <v>318</v>
      </c>
      <c r="D2184" s="16" t="s">
        <v>4</v>
      </c>
      <c r="E2184" s="16" t="s">
        <v>319</v>
      </c>
      <c r="F2184" s="16" t="s">
        <v>320</v>
      </c>
      <c r="G2184" s="16" t="s">
        <v>321</v>
      </c>
      <c r="H2184" s="16" t="s">
        <v>322</v>
      </c>
    </row>
    <row r="2185" customFormat="false" ht="15" hidden="false" customHeight="true" outlineLevel="0" collapsed="false">
      <c r="A2185" s="17"/>
      <c r="B2185" s="18" t="str">
        <f aca="false">IFERROR(VLOOKUP(A2185,NOMENCLATOR!$A:$E,2,0),"")</f>
        <v/>
      </c>
      <c r="C2185" s="19"/>
      <c r="D2185" s="20" t="str">
        <f aca="false">IFERROR(VLOOKUP(A2185,NOMENCLATOR!$A:$E,3,0),"")</f>
        <v/>
      </c>
      <c r="E2185" s="21" t="str">
        <f aca="false">IFERROR(VLOOKUP(A2185,NOMENCLATOR!$A:$E,4,0),"")</f>
        <v/>
      </c>
      <c r="F2185" s="21" t="str">
        <f aca="false">IF(OR(C2185="",E2185=""),"",C2185*E2185)</f>
        <v/>
      </c>
      <c r="G2185" s="22" t="str">
        <f aca="false">IFERROR(VLOOKUP(A2185,NOMENCLATOR!$A:$E,5,0),"")</f>
        <v/>
      </c>
      <c r="H2185" s="22" t="str">
        <f aca="false">IF(OR(C2185="",G2185=""),"",C2185*G2185)</f>
        <v/>
      </c>
    </row>
    <row r="2186" customFormat="false" ht="15" hidden="false" customHeight="true" outlineLevel="0" collapsed="false">
      <c r="A2186" s="17"/>
      <c r="B2186" s="18" t="str">
        <f aca="false">IFERROR(VLOOKUP(A2186,NOMENCLATOR!$A:$E,2,0),"")</f>
        <v/>
      </c>
      <c r="C2186" s="19"/>
      <c r="D2186" s="20" t="str">
        <f aca="false">IFERROR(VLOOKUP(A2186,NOMENCLATOR!$A:$E,3,0),"")</f>
        <v/>
      </c>
      <c r="E2186" s="21" t="str">
        <f aca="false">IFERROR(VLOOKUP(A2186,NOMENCLATOR!$A:$E,4,0),"")</f>
        <v/>
      </c>
      <c r="F2186" s="21" t="str">
        <f aca="false">IF(OR(C2186="",E2186=""),"",C2186*E2186)</f>
        <v/>
      </c>
      <c r="G2186" s="22" t="str">
        <f aca="false">IFERROR(VLOOKUP(A2186,NOMENCLATOR!$A:$E,5,0),"")</f>
        <v/>
      </c>
      <c r="H2186" s="22" t="str">
        <f aca="false">IF(OR(C2186="",G2186=""),"",C2186*G2186)</f>
        <v/>
      </c>
    </row>
    <row r="2187" customFormat="false" ht="15" hidden="false" customHeight="true" outlineLevel="0" collapsed="false">
      <c r="A2187" s="17"/>
      <c r="B2187" s="18" t="str">
        <f aca="false">IFERROR(VLOOKUP(A2187,NOMENCLATOR!$A:$E,2,0),"")</f>
        <v/>
      </c>
      <c r="C2187" s="19"/>
      <c r="D2187" s="20" t="str">
        <f aca="false">IFERROR(VLOOKUP(A2187,NOMENCLATOR!$A:$E,3,0),"")</f>
        <v/>
      </c>
      <c r="E2187" s="21" t="str">
        <f aca="false">IFERROR(VLOOKUP(A2187,NOMENCLATOR!$A:$E,4,0),"")</f>
        <v/>
      </c>
      <c r="F2187" s="21" t="str">
        <f aca="false">IF(OR(C2187="",E2187=""),"",C2187*E2187)</f>
        <v/>
      </c>
      <c r="G2187" s="22" t="str">
        <f aca="false">IFERROR(VLOOKUP(A2187,NOMENCLATOR!$A:$E,5,0),"")</f>
        <v/>
      </c>
      <c r="H2187" s="22" t="str">
        <f aca="false">IF(OR(C2187="",G2187=""),"",C2187*G2187)</f>
        <v/>
      </c>
    </row>
    <row r="2188" customFormat="false" ht="15" hidden="false" customHeight="true" outlineLevel="0" collapsed="false">
      <c r="A2188" s="17"/>
      <c r="B2188" s="18" t="str">
        <f aca="false">IFERROR(VLOOKUP(A2188,NOMENCLATOR!$A:$E,2,0),"")</f>
        <v/>
      </c>
      <c r="C2188" s="19"/>
      <c r="D2188" s="20" t="str">
        <f aca="false">IFERROR(VLOOKUP(A2188,NOMENCLATOR!$A:$E,3,0),"")</f>
        <v/>
      </c>
      <c r="E2188" s="21" t="str">
        <f aca="false">IFERROR(VLOOKUP(A2188,NOMENCLATOR!$A:$E,4,0),"")</f>
        <v/>
      </c>
      <c r="F2188" s="21" t="str">
        <f aca="false">IF(OR(C2188="",E2188=""),"",C2188*E2188)</f>
        <v/>
      </c>
      <c r="G2188" s="22" t="str">
        <f aca="false">IFERROR(VLOOKUP(A2188,NOMENCLATOR!$A:$E,5,0),"")</f>
        <v/>
      </c>
      <c r="H2188" s="22" t="str">
        <f aca="false">IF(OR(C2188="",G2188=""),"",C2188*G2188)</f>
        <v/>
      </c>
    </row>
    <row r="2189" customFormat="false" ht="15" hidden="false" customHeight="true" outlineLevel="0" collapsed="false">
      <c r="A2189" s="17"/>
      <c r="B2189" s="18" t="str">
        <f aca="false">IFERROR(VLOOKUP(A2189,NOMENCLATOR!$A:$E,2,0),"")</f>
        <v/>
      </c>
      <c r="C2189" s="19"/>
      <c r="D2189" s="20" t="str">
        <f aca="false">IFERROR(VLOOKUP(A2189,NOMENCLATOR!$A:$E,3,0),"")</f>
        <v/>
      </c>
      <c r="E2189" s="21" t="str">
        <f aca="false">IFERROR(VLOOKUP(A2189,NOMENCLATOR!$A:$E,4,0),"")</f>
        <v/>
      </c>
      <c r="F2189" s="21" t="str">
        <f aca="false">IF(OR(C2189="",E2189=""),"",C2189*E2189)</f>
        <v/>
      </c>
      <c r="G2189" s="22" t="str">
        <f aca="false">IFERROR(VLOOKUP(A2189,NOMENCLATOR!$A:$E,5,0),"")</f>
        <v/>
      </c>
      <c r="H2189" s="22" t="str">
        <f aca="false">IF(OR(C2189="",G2189=""),"",C2189*G2189)</f>
        <v/>
      </c>
    </row>
    <row r="2190" customFormat="false" ht="15" hidden="false" customHeight="true" outlineLevel="0" collapsed="false">
      <c r="A2190" s="17"/>
      <c r="B2190" s="18" t="str">
        <f aca="false">IFERROR(VLOOKUP(A2190,NOMENCLATOR!$A:$E,2,0),"")</f>
        <v/>
      </c>
      <c r="C2190" s="19"/>
      <c r="D2190" s="20" t="str">
        <f aca="false">IFERROR(VLOOKUP(A2190,NOMENCLATOR!$A:$E,3,0),"")</f>
        <v/>
      </c>
      <c r="E2190" s="21" t="str">
        <f aca="false">IFERROR(VLOOKUP(A2190,NOMENCLATOR!$A:$E,4,0),"")</f>
        <v/>
      </c>
      <c r="F2190" s="21" t="str">
        <f aca="false">IF(OR(C2190="",E2190=""),"",C2190*E2190)</f>
        <v/>
      </c>
      <c r="G2190" s="22" t="str">
        <f aca="false">IFERROR(VLOOKUP(A2190,NOMENCLATOR!$A:$E,5,0),"")</f>
        <v/>
      </c>
      <c r="H2190" s="22" t="str">
        <f aca="false">IF(OR(C2190="",G2190=""),"",C2190*G2190)</f>
        <v/>
      </c>
    </row>
    <row r="2191" customFormat="false" ht="15" hidden="false" customHeight="true" outlineLevel="0" collapsed="false">
      <c r="A2191" s="17"/>
      <c r="B2191" s="18" t="str">
        <f aca="false">IFERROR(VLOOKUP(A2191,NOMENCLATOR!$A:$E,2,0),"")</f>
        <v/>
      </c>
      <c r="C2191" s="19"/>
      <c r="D2191" s="20" t="str">
        <f aca="false">IFERROR(VLOOKUP(A2191,NOMENCLATOR!$A:$E,3,0),"")</f>
        <v/>
      </c>
      <c r="E2191" s="21" t="str">
        <f aca="false">IFERROR(VLOOKUP(A2191,NOMENCLATOR!$A:$E,4,0),"")</f>
        <v/>
      </c>
      <c r="F2191" s="21" t="str">
        <f aca="false">IF(OR(C2191="",E2191=""),"",C2191*E2191)</f>
        <v/>
      </c>
      <c r="G2191" s="22" t="str">
        <f aca="false">IFERROR(VLOOKUP(A2191,NOMENCLATOR!$A:$E,5,0),"")</f>
        <v/>
      </c>
      <c r="H2191" s="22" t="str">
        <f aca="false">IF(OR(C2191="",G2191=""),"",C2191*G2191)</f>
        <v/>
      </c>
    </row>
    <row r="2192" customFormat="false" ht="15" hidden="false" customHeight="true" outlineLevel="0" collapsed="false">
      <c r="A2192" s="17"/>
      <c r="B2192" s="18" t="str">
        <f aca="false">IFERROR(VLOOKUP(A2192,NOMENCLATOR!$A:$E,2,0),"")</f>
        <v/>
      </c>
      <c r="C2192" s="19"/>
      <c r="D2192" s="20" t="str">
        <f aca="false">IFERROR(VLOOKUP(A2192,NOMENCLATOR!$A:$E,3,0),"")</f>
        <v/>
      </c>
      <c r="E2192" s="21" t="str">
        <f aca="false">IFERROR(VLOOKUP(A2192,NOMENCLATOR!$A:$E,4,0),"")</f>
        <v/>
      </c>
      <c r="F2192" s="21" t="str">
        <f aca="false">IF(OR(C2192="",E2192=""),"",C2192*E2192)</f>
        <v/>
      </c>
      <c r="G2192" s="22" t="str">
        <f aca="false">IFERROR(VLOOKUP(A2192,NOMENCLATOR!$A:$E,5,0),"")</f>
        <v/>
      </c>
      <c r="H2192" s="22" t="str">
        <f aca="false">IF(OR(C2192="",G2192=""),"",C2192*G2192)</f>
        <v/>
      </c>
    </row>
    <row r="2193" customFormat="false" ht="15" hidden="false" customHeight="true" outlineLevel="0" collapsed="false">
      <c r="A2193" s="17"/>
      <c r="B2193" s="18" t="str">
        <f aca="false">IFERROR(VLOOKUP(A2193,NOMENCLATOR!$A:$E,2,0),"")</f>
        <v/>
      </c>
      <c r="C2193" s="19"/>
      <c r="D2193" s="20" t="str">
        <f aca="false">IFERROR(VLOOKUP(A2193,NOMENCLATOR!$A:$E,3,0),"")</f>
        <v/>
      </c>
      <c r="E2193" s="21" t="str">
        <f aca="false">IFERROR(VLOOKUP(A2193,NOMENCLATOR!$A:$E,4,0),"")</f>
        <v/>
      </c>
      <c r="F2193" s="21" t="str">
        <f aca="false">IF(OR(C2193="",E2193=""),"",C2193*E2193)</f>
        <v/>
      </c>
      <c r="G2193" s="22" t="str">
        <f aca="false">IFERROR(VLOOKUP(A2193,NOMENCLATOR!$A:$E,5,0),"")</f>
        <v/>
      </c>
      <c r="H2193" s="22" t="str">
        <f aca="false">IF(OR(C2193="",G2193=""),"",C2193*G2193)</f>
        <v/>
      </c>
    </row>
    <row r="2194" customFormat="false" ht="15" hidden="false" customHeight="true" outlineLevel="0" collapsed="false">
      <c r="A2194" s="17"/>
      <c r="B2194" s="18" t="str">
        <f aca="false">IFERROR(VLOOKUP(A2194,NOMENCLATOR!$A:$E,2,0),"")</f>
        <v/>
      </c>
      <c r="C2194" s="19"/>
      <c r="D2194" s="20" t="str">
        <f aca="false">IFERROR(VLOOKUP(A2194,NOMENCLATOR!$A:$E,3,0),"")</f>
        <v/>
      </c>
      <c r="E2194" s="21" t="str">
        <f aca="false">IFERROR(VLOOKUP(A2194,NOMENCLATOR!$A:$E,4,0),"")</f>
        <v/>
      </c>
      <c r="F2194" s="21" t="str">
        <f aca="false">IF(OR(C2194="",E2194=""),"",C2194*E2194)</f>
        <v/>
      </c>
      <c r="G2194" s="22" t="str">
        <f aca="false">IFERROR(VLOOKUP(A2194,NOMENCLATOR!$A:$E,5,0),"")</f>
        <v/>
      </c>
      <c r="H2194" s="22" t="str">
        <f aca="false">IF(OR(C2194="",G2194=""),"",C2194*G2194)</f>
        <v/>
      </c>
    </row>
    <row r="2195" customFormat="false" ht="15" hidden="false" customHeight="true" outlineLevel="0" collapsed="false">
      <c r="A2195" s="23" t="str">
        <f aca="false">IF(A2183="","",A2183)</f>
        <v/>
      </c>
      <c r="B2195" s="24"/>
      <c r="C2195" s="24"/>
      <c r="D2195" s="24"/>
      <c r="E2195" s="24"/>
      <c r="F2195" s="25" t="str">
        <f aca="false">IF(A2183="","",SUM(F2185:F2194))</f>
        <v/>
      </c>
      <c r="G2195" s="24"/>
      <c r="H2195" s="26" t="str">
        <f aca="false">IF(A2183="","",SUM(H2185:H2194))</f>
        <v/>
      </c>
    </row>
    <row r="2197" customFormat="false" ht="15" hidden="false" customHeight="true" outlineLevel="0" collapsed="false">
      <c r="A2197" s="12"/>
      <c r="B2197" s="13"/>
      <c r="C2197" s="13"/>
      <c r="D2197" s="13"/>
      <c r="E2197" s="13"/>
      <c r="F2197" s="13"/>
      <c r="G2197" s="13"/>
      <c r="H2197" s="15"/>
    </row>
    <row r="2198" customFormat="false" ht="15" hidden="false" customHeight="true" outlineLevel="0" collapsed="false">
      <c r="A2198" s="16" t="s">
        <v>316</v>
      </c>
      <c r="B2198" s="16" t="s">
        <v>317</v>
      </c>
      <c r="C2198" s="16" t="s">
        <v>318</v>
      </c>
      <c r="D2198" s="16" t="s">
        <v>4</v>
      </c>
      <c r="E2198" s="16" t="s">
        <v>319</v>
      </c>
      <c r="F2198" s="16" t="s">
        <v>320</v>
      </c>
      <c r="G2198" s="16" t="s">
        <v>321</v>
      </c>
      <c r="H2198" s="16" t="s">
        <v>322</v>
      </c>
    </row>
    <row r="2199" customFormat="false" ht="15" hidden="false" customHeight="true" outlineLevel="0" collapsed="false">
      <c r="A2199" s="17"/>
      <c r="B2199" s="18" t="str">
        <f aca="false">IFERROR(VLOOKUP(A2199,NOMENCLATOR!$A:$E,2,0),"")</f>
        <v/>
      </c>
      <c r="C2199" s="19"/>
      <c r="D2199" s="20" t="str">
        <f aca="false">IFERROR(VLOOKUP(A2199,NOMENCLATOR!$A:$E,3,0),"")</f>
        <v/>
      </c>
      <c r="E2199" s="21" t="str">
        <f aca="false">IFERROR(VLOOKUP(A2199,NOMENCLATOR!$A:$E,4,0),"")</f>
        <v/>
      </c>
      <c r="F2199" s="21" t="str">
        <f aca="false">IF(OR(C2199="",E2199=""),"",C2199*E2199)</f>
        <v/>
      </c>
      <c r="G2199" s="22" t="str">
        <f aca="false">IFERROR(VLOOKUP(A2199,NOMENCLATOR!$A:$E,5,0),"")</f>
        <v/>
      </c>
      <c r="H2199" s="22" t="str">
        <f aca="false">IF(OR(C2199="",G2199=""),"",C2199*G2199)</f>
        <v/>
      </c>
    </row>
    <row r="2200" customFormat="false" ht="15" hidden="false" customHeight="true" outlineLevel="0" collapsed="false">
      <c r="A2200" s="17"/>
      <c r="B2200" s="18" t="str">
        <f aca="false">IFERROR(VLOOKUP(A2200,NOMENCLATOR!$A:$E,2,0),"")</f>
        <v/>
      </c>
      <c r="C2200" s="19"/>
      <c r="D2200" s="20" t="str">
        <f aca="false">IFERROR(VLOOKUP(A2200,NOMENCLATOR!$A:$E,3,0),"")</f>
        <v/>
      </c>
      <c r="E2200" s="21" t="str">
        <f aca="false">IFERROR(VLOOKUP(A2200,NOMENCLATOR!$A:$E,4,0),"")</f>
        <v/>
      </c>
      <c r="F2200" s="21" t="str">
        <f aca="false">IF(OR(C2200="",E2200=""),"",C2200*E2200)</f>
        <v/>
      </c>
      <c r="G2200" s="22" t="str">
        <f aca="false">IFERROR(VLOOKUP(A2200,NOMENCLATOR!$A:$E,5,0),"")</f>
        <v/>
      </c>
      <c r="H2200" s="22" t="str">
        <f aca="false">IF(OR(C2200="",G2200=""),"",C2200*G2200)</f>
        <v/>
      </c>
    </row>
    <row r="2201" customFormat="false" ht="15" hidden="false" customHeight="true" outlineLevel="0" collapsed="false">
      <c r="A2201" s="17"/>
      <c r="B2201" s="18" t="str">
        <f aca="false">IFERROR(VLOOKUP(A2201,NOMENCLATOR!$A:$E,2,0),"")</f>
        <v/>
      </c>
      <c r="C2201" s="19"/>
      <c r="D2201" s="20" t="str">
        <f aca="false">IFERROR(VLOOKUP(A2201,NOMENCLATOR!$A:$E,3,0),"")</f>
        <v/>
      </c>
      <c r="E2201" s="21" t="str">
        <f aca="false">IFERROR(VLOOKUP(A2201,NOMENCLATOR!$A:$E,4,0),"")</f>
        <v/>
      </c>
      <c r="F2201" s="21" t="str">
        <f aca="false">IF(OR(C2201="",E2201=""),"",C2201*E2201)</f>
        <v/>
      </c>
      <c r="G2201" s="22" t="str">
        <f aca="false">IFERROR(VLOOKUP(A2201,NOMENCLATOR!$A:$E,5,0),"")</f>
        <v/>
      </c>
      <c r="H2201" s="22" t="str">
        <f aca="false">IF(OR(C2201="",G2201=""),"",C2201*G2201)</f>
        <v/>
      </c>
    </row>
    <row r="2202" customFormat="false" ht="15" hidden="false" customHeight="true" outlineLevel="0" collapsed="false">
      <c r="A2202" s="17"/>
      <c r="B2202" s="18" t="str">
        <f aca="false">IFERROR(VLOOKUP(A2202,NOMENCLATOR!$A:$E,2,0),"")</f>
        <v/>
      </c>
      <c r="C2202" s="19"/>
      <c r="D2202" s="20" t="str">
        <f aca="false">IFERROR(VLOOKUP(A2202,NOMENCLATOR!$A:$E,3,0),"")</f>
        <v/>
      </c>
      <c r="E2202" s="21" t="str">
        <f aca="false">IFERROR(VLOOKUP(A2202,NOMENCLATOR!$A:$E,4,0),"")</f>
        <v/>
      </c>
      <c r="F2202" s="21" t="str">
        <f aca="false">IF(OR(C2202="",E2202=""),"",C2202*E2202)</f>
        <v/>
      </c>
      <c r="G2202" s="22" t="str">
        <f aca="false">IFERROR(VLOOKUP(A2202,NOMENCLATOR!$A:$E,5,0),"")</f>
        <v/>
      </c>
      <c r="H2202" s="22" t="str">
        <f aca="false">IF(OR(C2202="",G2202=""),"",C2202*G2202)</f>
        <v/>
      </c>
    </row>
    <row r="2203" customFormat="false" ht="15" hidden="false" customHeight="true" outlineLevel="0" collapsed="false">
      <c r="A2203" s="17"/>
      <c r="B2203" s="18" t="str">
        <f aca="false">IFERROR(VLOOKUP(A2203,NOMENCLATOR!$A:$E,2,0),"")</f>
        <v/>
      </c>
      <c r="C2203" s="19"/>
      <c r="D2203" s="20" t="str">
        <f aca="false">IFERROR(VLOOKUP(A2203,NOMENCLATOR!$A:$E,3,0),"")</f>
        <v/>
      </c>
      <c r="E2203" s="21" t="str">
        <f aca="false">IFERROR(VLOOKUP(A2203,NOMENCLATOR!$A:$E,4,0),"")</f>
        <v/>
      </c>
      <c r="F2203" s="21" t="str">
        <f aca="false">IF(OR(C2203="",E2203=""),"",C2203*E2203)</f>
        <v/>
      </c>
      <c r="G2203" s="22" t="str">
        <f aca="false">IFERROR(VLOOKUP(A2203,NOMENCLATOR!$A:$E,5,0),"")</f>
        <v/>
      </c>
      <c r="H2203" s="22" t="str">
        <f aca="false">IF(OR(C2203="",G2203=""),"",C2203*G2203)</f>
        <v/>
      </c>
    </row>
    <row r="2204" customFormat="false" ht="15" hidden="false" customHeight="true" outlineLevel="0" collapsed="false">
      <c r="A2204" s="17"/>
      <c r="B2204" s="18" t="str">
        <f aca="false">IFERROR(VLOOKUP(A2204,NOMENCLATOR!$A:$E,2,0),"")</f>
        <v/>
      </c>
      <c r="C2204" s="19"/>
      <c r="D2204" s="20" t="str">
        <f aca="false">IFERROR(VLOOKUP(A2204,NOMENCLATOR!$A:$E,3,0),"")</f>
        <v/>
      </c>
      <c r="E2204" s="21" t="str">
        <f aca="false">IFERROR(VLOOKUP(A2204,NOMENCLATOR!$A:$E,4,0),"")</f>
        <v/>
      </c>
      <c r="F2204" s="21" t="str">
        <f aca="false">IF(OR(C2204="",E2204=""),"",C2204*E2204)</f>
        <v/>
      </c>
      <c r="G2204" s="22" t="str">
        <f aca="false">IFERROR(VLOOKUP(A2204,NOMENCLATOR!$A:$E,5,0),"")</f>
        <v/>
      </c>
      <c r="H2204" s="22" t="str">
        <f aca="false">IF(OR(C2204="",G2204=""),"",C2204*G2204)</f>
        <v/>
      </c>
    </row>
    <row r="2205" customFormat="false" ht="15" hidden="false" customHeight="true" outlineLevel="0" collapsed="false">
      <c r="A2205" s="17"/>
      <c r="B2205" s="18" t="str">
        <f aca="false">IFERROR(VLOOKUP(A2205,NOMENCLATOR!$A:$E,2,0),"")</f>
        <v/>
      </c>
      <c r="C2205" s="19"/>
      <c r="D2205" s="20" t="str">
        <f aca="false">IFERROR(VLOOKUP(A2205,NOMENCLATOR!$A:$E,3,0),"")</f>
        <v/>
      </c>
      <c r="E2205" s="21" t="str">
        <f aca="false">IFERROR(VLOOKUP(A2205,NOMENCLATOR!$A:$E,4,0),"")</f>
        <v/>
      </c>
      <c r="F2205" s="21" t="str">
        <f aca="false">IF(OR(C2205="",E2205=""),"",C2205*E2205)</f>
        <v/>
      </c>
      <c r="G2205" s="22" t="str">
        <f aca="false">IFERROR(VLOOKUP(A2205,NOMENCLATOR!$A:$E,5,0),"")</f>
        <v/>
      </c>
      <c r="H2205" s="22" t="str">
        <f aca="false">IF(OR(C2205="",G2205=""),"",C2205*G2205)</f>
        <v/>
      </c>
    </row>
    <row r="2206" customFormat="false" ht="15" hidden="false" customHeight="true" outlineLevel="0" collapsed="false">
      <c r="A2206" s="17"/>
      <c r="B2206" s="18" t="str">
        <f aca="false">IFERROR(VLOOKUP(A2206,NOMENCLATOR!$A:$E,2,0),"")</f>
        <v/>
      </c>
      <c r="C2206" s="19"/>
      <c r="D2206" s="20" t="str">
        <f aca="false">IFERROR(VLOOKUP(A2206,NOMENCLATOR!$A:$E,3,0),"")</f>
        <v/>
      </c>
      <c r="E2206" s="21" t="str">
        <f aca="false">IFERROR(VLOOKUP(A2206,NOMENCLATOR!$A:$E,4,0),"")</f>
        <v/>
      </c>
      <c r="F2206" s="21" t="str">
        <f aca="false">IF(OR(C2206="",E2206=""),"",C2206*E2206)</f>
        <v/>
      </c>
      <c r="G2206" s="22" t="str">
        <f aca="false">IFERROR(VLOOKUP(A2206,NOMENCLATOR!$A:$E,5,0),"")</f>
        <v/>
      </c>
      <c r="H2206" s="22" t="str">
        <f aca="false">IF(OR(C2206="",G2206=""),"",C2206*G2206)</f>
        <v/>
      </c>
    </row>
    <row r="2207" customFormat="false" ht="15" hidden="false" customHeight="true" outlineLevel="0" collapsed="false">
      <c r="A2207" s="17"/>
      <c r="B2207" s="18" t="str">
        <f aca="false">IFERROR(VLOOKUP(A2207,NOMENCLATOR!$A:$E,2,0),"")</f>
        <v/>
      </c>
      <c r="C2207" s="19"/>
      <c r="D2207" s="20" t="str">
        <f aca="false">IFERROR(VLOOKUP(A2207,NOMENCLATOR!$A:$E,3,0),"")</f>
        <v/>
      </c>
      <c r="E2207" s="21" t="str">
        <f aca="false">IFERROR(VLOOKUP(A2207,NOMENCLATOR!$A:$E,4,0),"")</f>
        <v/>
      </c>
      <c r="F2207" s="21" t="str">
        <f aca="false">IF(OR(C2207="",E2207=""),"",C2207*E2207)</f>
        <v/>
      </c>
      <c r="G2207" s="22" t="str">
        <f aca="false">IFERROR(VLOOKUP(A2207,NOMENCLATOR!$A:$E,5,0),"")</f>
        <v/>
      </c>
      <c r="H2207" s="22" t="str">
        <f aca="false">IF(OR(C2207="",G2207=""),"",C2207*G2207)</f>
        <v/>
      </c>
    </row>
    <row r="2208" customFormat="false" ht="15" hidden="false" customHeight="true" outlineLevel="0" collapsed="false">
      <c r="A2208" s="17"/>
      <c r="B2208" s="18" t="str">
        <f aca="false">IFERROR(VLOOKUP(A2208,NOMENCLATOR!$A:$E,2,0),"")</f>
        <v/>
      </c>
      <c r="C2208" s="19"/>
      <c r="D2208" s="20" t="str">
        <f aca="false">IFERROR(VLOOKUP(A2208,NOMENCLATOR!$A:$E,3,0),"")</f>
        <v/>
      </c>
      <c r="E2208" s="21" t="str">
        <f aca="false">IFERROR(VLOOKUP(A2208,NOMENCLATOR!$A:$E,4,0),"")</f>
        <v/>
      </c>
      <c r="F2208" s="21" t="str">
        <f aca="false">IF(OR(C2208="",E2208=""),"",C2208*E2208)</f>
        <v/>
      </c>
      <c r="G2208" s="22" t="str">
        <f aca="false">IFERROR(VLOOKUP(A2208,NOMENCLATOR!$A:$E,5,0),"")</f>
        <v/>
      </c>
      <c r="H2208" s="22" t="str">
        <f aca="false">IF(OR(C2208="",G2208=""),"",C2208*G2208)</f>
        <v/>
      </c>
    </row>
    <row r="2209" customFormat="false" ht="15" hidden="false" customHeight="true" outlineLevel="0" collapsed="false">
      <c r="A2209" s="23" t="str">
        <f aca="false">IF(A2197="","",A2197)</f>
        <v/>
      </c>
      <c r="B2209" s="24"/>
      <c r="C2209" s="24"/>
      <c r="D2209" s="24"/>
      <c r="E2209" s="24"/>
      <c r="F2209" s="25" t="str">
        <f aca="false">IF(A2197="","",SUM(F2199:F2208))</f>
        <v/>
      </c>
      <c r="G2209" s="24"/>
      <c r="H2209" s="26" t="str">
        <f aca="false">IF(A2197="","",SUM(H2199:H2208))</f>
        <v/>
      </c>
    </row>
    <row r="2211" customFormat="false" ht="15" hidden="false" customHeight="true" outlineLevel="0" collapsed="false">
      <c r="A2211" s="12"/>
      <c r="B2211" s="13"/>
      <c r="C2211" s="13"/>
      <c r="D2211" s="13"/>
      <c r="E2211" s="13"/>
      <c r="F2211" s="13"/>
      <c r="G2211" s="13"/>
      <c r="H2211" s="15"/>
    </row>
    <row r="2212" customFormat="false" ht="15" hidden="false" customHeight="true" outlineLevel="0" collapsed="false">
      <c r="A2212" s="16" t="s">
        <v>316</v>
      </c>
      <c r="B2212" s="16" t="s">
        <v>317</v>
      </c>
      <c r="C2212" s="16" t="s">
        <v>318</v>
      </c>
      <c r="D2212" s="16" t="s">
        <v>4</v>
      </c>
      <c r="E2212" s="16" t="s">
        <v>319</v>
      </c>
      <c r="F2212" s="16" t="s">
        <v>320</v>
      </c>
      <c r="G2212" s="16" t="s">
        <v>321</v>
      </c>
      <c r="H2212" s="16" t="s">
        <v>322</v>
      </c>
    </row>
    <row r="2213" customFormat="false" ht="15" hidden="false" customHeight="true" outlineLevel="0" collapsed="false">
      <c r="A2213" s="17"/>
      <c r="B2213" s="18" t="str">
        <f aca="false">IFERROR(VLOOKUP(A2213,NOMENCLATOR!$A:$E,2,0),"")</f>
        <v/>
      </c>
      <c r="C2213" s="19"/>
      <c r="D2213" s="20" t="str">
        <f aca="false">IFERROR(VLOOKUP(A2213,NOMENCLATOR!$A:$E,3,0),"")</f>
        <v/>
      </c>
      <c r="E2213" s="21" t="str">
        <f aca="false">IFERROR(VLOOKUP(A2213,NOMENCLATOR!$A:$E,4,0),"")</f>
        <v/>
      </c>
      <c r="F2213" s="21" t="str">
        <f aca="false">IF(OR(C2213="",E2213=""),"",C2213*E2213)</f>
        <v/>
      </c>
      <c r="G2213" s="22" t="str">
        <f aca="false">IFERROR(VLOOKUP(A2213,NOMENCLATOR!$A:$E,5,0),"")</f>
        <v/>
      </c>
      <c r="H2213" s="22" t="str">
        <f aca="false">IF(OR(C2213="",G2213=""),"",C2213*G2213)</f>
        <v/>
      </c>
    </row>
    <row r="2214" customFormat="false" ht="15" hidden="false" customHeight="true" outlineLevel="0" collapsed="false">
      <c r="A2214" s="17"/>
      <c r="B2214" s="18" t="str">
        <f aca="false">IFERROR(VLOOKUP(A2214,NOMENCLATOR!$A:$E,2,0),"")</f>
        <v/>
      </c>
      <c r="C2214" s="19"/>
      <c r="D2214" s="20" t="str">
        <f aca="false">IFERROR(VLOOKUP(A2214,NOMENCLATOR!$A:$E,3,0),"")</f>
        <v/>
      </c>
      <c r="E2214" s="21" t="str">
        <f aca="false">IFERROR(VLOOKUP(A2214,NOMENCLATOR!$A:$E,4,0),"")</f>
        <v/>
      </c>
      <c r="F2214" s="21" t="str">
        <f aca="false">IF(OR(C2214="",E2214=""),"",C2214*E2214)</f>
        <v/>
      </c>
      <c r="G2214" s="22" t="str">
        <f aca="false">IFERROR(VLOOKUP(A2214,NOMENCLATOR!$A:$E,5,0),"")</f>
        <v/>
      </c>
      <c r="H2214" s="22" t="str">
        <f aca="false">IF(OR(C2214="",G2214=""),"",C2214*G2214)</f>
        <v/>
      </c>
    </row>
    <row r="2215" customFormat="false" ht="15" hidden="false" customHeight="true" outlineLevel="0" collapsed="false">
      <c r="A2215" s="17"/>
      <c r="B2215" s="18" t="str">
        <f aca="false">IFERROR(VLOOKUP(A2215,NOMENCLATOR!$A:$E,2,0),"")</f>
        <v/>
      </c>
      <c r="C2215" s="19"/>
      <c r="D2215" s="20" t="str">
        <f aca="false">IFERROR(VLOOKUP(A2215,NOMENCLATOR!$A:$E,3,0),"")</f>
        <v/>
      </c>
      <c r="E2215" s="21" t="str">
        <f aca="false">IFERROR(VLOOKUP(A2215,NOMENCLATOR!$A:$E,4,0),"")</f>
        <v/>
      </c>
      <c r="F2215" s="21" t="str">
        <f aca="false">IF(OR(C2215="",E2215=""),"",C2215*E2215)</f>
        <v/>
      </c>
      <c r="G2215" s="22" t="str">
        <f aca="false">IFERROR(VLOOKUP(A2215,NOMENCLATOR!$A:$E,5,0),"")</f>
        <v/>
      </c>
      <c r="H2215" s="22" t="str">
        <f aca="false">IF(OR(C2215="",G2215=""),"",C2215*G2215)</f>
        <v/>
      </c>
    </row>
    <row r="2216" customFormat="false" ht="15" hidden="false" customHeight="true" outlineLevel="0" collapsed="false">
      <c r="A2216" s="17"/>
      <c r="B2216" s="18" t="str">
        <f aca="false">IFERROR(VLOOKUP(A2216,NOMENCLATOR!$A:$E,2,0),"")</f>
        <v/>
      </c>
      <c r="C2216" s="19"/>
      <c r="D2216" s="20" t="str">
        <f aca="false">IFERROR(VLOOKUP(A2216,NOMENCLATOR!$A:$E,3,0),"")</f>
        <v/>
      </c>
      <c r="E2216" s="21" t="str">
        <f aca="false">IFERROR(VLOOKUP(A2216,NOMENCLATOR!$A:$E,4,0),"")</f>
        <v/>
      </c>
      <c r="F2216" s="21" t="str">
        <f aca="false">IF(OR(C2216="",E2216=""),"",C2216*E2216)</f>
        <v/>
      </c>
      <c r="G2216" s="22" t="str">
        <f aca="false">IFERROR(VLOOKUP(A2216,NOMENCLATOR!$A:$E,5,0),"")</f>
        <v/>
      </c>
      <c r="H2216" s="22" t="str">
        <f aca="false">IF(OR(C2216="",G2216=""),"",C2216*G2216)</f>
        <v/>
      </c>
    </row>
    <row r="2217" customFormat="false" ht="15" hidden="false" customHeight="true" outlineLevel="0" collapsed="false">
      <c r="A2217" s="17"/>
      <c r="B2217" s="18" t="str">
        <f aca="false">IFERROR(VLOOKUP(A2217,NOMENCLATOR!$A:$E,2,0),"")</f>
        <v/>
      </c>
      <c r="C2217" s="19"/>
      <c r="D2217" s="20" t="str">
        <f aca="false">IFERROR(VLOOKUP(A2217,NOMENCLATOR!$A:$E,3,0),"")</f>
        <v/>
      </c>
      <c r="E2217" s="21" t="str">
        <f aca="false">IFERROR(VLOOKUP(A2217,NOMENCLATOR!$A:$E,4,0),"")</f>
        <v/>
      </c>
      <c r="F2217" s="21" t="str">
        <f aca="false">IF(OR(C2217="",E2217=""),"",C2217*E2217)</f>
        <v/>
      </c>
      <c r="G2217" s="22" t="str">
        <f aca="false">IFERROR(VLOOKUP(A2217,NOMENCLATOR!$A:$E,5,0),"")</f>
        <v/>
      </c>
      <c r="H2217" s="22" t="str">
        <f aca="false">IF(OR(C2217="",G2217=""),"",C2217*G2217)</f>
        <v/>
      </c>
    </row>
    <row r="2218" customFormat="false" ht="15" hidden="false" customHeight="true" outlineLevel="0" collapsed="false">
      <c r="A2218" s="17"/>
      <c r="B2218" s="18" t="str">
        <f aca="false">IFERROR(VLOOKUP(A2218,NOMENCLATOR!$A:$E,2,0),"")</f>
        <v/>
      </c>
      <c r="C2218" s="19"/>
      <c r="D2218" s="20" t="str">
        <f aca="false">IFERROR(VLOOKUP(A2218,NOMENCLATOR!$A:$E,3,0),"")</f>
        <v/>
      </c>
      <c r="E2218" s="21" t="str">
        <f aca="false">IFERROR(VLOOKUP(A2218,NOMENCLATOR!$A:$E,4,0),"")</f>
        <v/>
      </c>
      <c r="F2218" s="21" t="str">
        <f aca="false">IF(OR(C2218="",E2218=""),"",C2218*E2218)</f>
        <v/>
      </c>
      <c r="G2218" s="22" t="str">
        <f aca="false">IFERROR(VLOOKUP(A2218,NOMENCLATOR!$A:$E,5,0),"")</f>
        <v/>
      </c>
      <c r="H2218" s="22" t="str">
        <f aca="false">IF(OR(C2218="",G2218=""),"",C2218*G2218)</f>
        <v/>
      </c>
    </row>
    <row r="2219" customFormat="false" ht="15" hidden="false" customHeight="true" outlineLevel="0" collapsed="false">
      <c r="A2219" s="17"/>
      <c r="B2219" s="18" t="str">
        <f aca="false">IFERROR(VLOOKUP(A2219,NOMENCLATOR!$A:$E,2,0),"")</f>
        <v/>
      </c>
      <c r="C2219" s="19"/>
      <c r="D2219" s="20" t="str">
        <f aca="false">IFERROR(VLOOKUP(A2219,NOMENCLATOR!$A:$E,3,0),"")</f>
        <v/>
      </c>
      <c r="E2219" s="21" t="str">
        <f aca="false">IFERROR(VLOOKUP(A2219,NOMENCLATOR!$A:$E,4,0),"")</f>
        <v/>
      </c>
      <c r="F2219" s="21" t="str">
        <f aca="false">IF(OR(C2219="",E2219=""),"",C2219*E2219)</f>
        <v/>
      </c>
      <c r="G2219" s="22" t="str">
        <f aca="false">IFERROR(VLOOKUP(A2219,NOMENCLATOR!$A:$E,5,0),"")</f>
        <v/>
      </c>
      <c r="H2219" s="22" t="str">
        <f aca="false">IF(OR(C2219="",G2219=""),"",C2219*G2219)</f>
        <v/>
      </c>
    </row>
    <row r="2220" customFormat="false" ht="15" hidden="false" customHeight="true" outlineLevel="0" collapsed="false">
      <c r="A2220" s="17"/>
      <c r="B2220" s="18" t="str">
        <f aca="false">IFERROR(VLOOKUP(A2220,NOMENCLATOR!$A:$E,2,0),"")</f>
        <v/>
      </c>
      <c r="C2220" s="19"/>
      <c r="D2220" s="20" t="str">
        <f aca="false">IFERROR(VLOOKUP(A2220,NOMENCLATOR!$A:$E,3,0),"")</f>
        <v/>
      </c>
      <c r="E2220" s="21" t="str">
        <f aca="false">IFERROR(VLOOKUP(A2220,NOMENCLATOR!$A:$E,4,0),"")</f>
        <v/>
      </c>
      <c r="F2220" s="21" t="str">
        <f aca="false">IF(OR(C2220="",E2220=""),"",C2220*E2220)</f>
        <v/>
      </c>
      <c r="G2220" s="22" t="str">
        <f aca="false">IFERROR(VLOOKUP(A2220,NOMENCLATOR!$A:$E,5,0),"")</f>
        <v/>
      </c>
      <c r="H2220" s="22" t="str">
        <f aca="false">IF(OR(C2220="",G2220=""),"",C2220*G2220)</f>
        <v/>
      </c>
    </row>
    <row r="2221" customFormat="false" ht="15" hidden="false" customHeight="true" outlineLevel="0" collapsed="false">
      <c r="A2221" s="17"/>
      <c r="B2221" s="18" t="str">
        <f aca="false">IFERROR(VLOOKUP(A2221,NOMENCLATOR!$A:$E,2,0),"")</f>
        <v/>
      </c>
      <c r="C2221" s="19"/>
      <c r="D2221" s="20" t="str">
        <f aca="false">IFERROR(VLOOKUP(A2221,NOMENCLATOR!$A:$E,3,0),"")</f>
        <v/>
      </c>
      <c r="E2221" s="21" t="str">
        <f aca="false">IFERROR(VLOOKUP(A2221,NOMENCLATOR!$A:$E,4,0),"")</f>
        <v/>
      </c>
      <c r="F2221" s="21" t="str">
        <f aca="false">IF(OR(C2221="",E2221=""),"",C2221*E2221)</f>
        <v/>
      </c>
      <c r="G2221" s="22" t="str">
        <f aca="false">IFERROR(VLOOKUP(A2221,NOMENCLATOR!$A:$E,5,0),"")</f>
        <v/>
      </c>
      <c r="H2221" s="22" t="str">
        <f aca="false">IF(OR(C2221="",G2221=""),"",C2221*G2221)</f>
        <v/>
      </c>
    </row>
    <row r="2222" customFormat="false" ht="15" hidden="false" customHeight="true" outlineLevel="0" collapsed="false">
      <c r="A2222" s="17"/>
      <c r="B2222" s="18" t="str">
        <f aca="false">IFERROR(VLOOKUP(A2222,NOMENCLATOR!$A:$E,2,0),"")</f>
        <v/>
      </c>
      <c r="C2222" s="19"/>
      <c r="D2222" s="20" t="str">
        <f aca="false">IFERROR(VLOOKUP(A2222,NOMENCLATOR!$A:$E,3,0),"")</f>
        <v/>
      </c>
      <c r="E2222" s="21" t="str">
        <f aca="false">IFERROR(VLOOKUP(A2222,NOMENCLATOR!$A:$E,4,0),"")</f>
        <v/>
      </c>
      <c r="F2222" s="21" t="str">
        <f aca="false">IF(OR(C2222="",E2222=""),"",C2222*E2222)</f>
        <v/>
      </c>
      <c r="G2222" s="22" t="str">
        <f aca="false">IFERROR(VLOOKUP(A2222,NOMENCLATOR!$A:$E,5,0),"")</f>
        <v/>
      </c>
      <c r="H2222" s="22" t="str">
        <f aca="false">IF(OR(C2222="",G2222=""),"",C2222*G2222)</f>
        <v/>
      </c>
    </row>
    <row r="2223" customFormat="false" ht="15" hidden="false" customHeight="true" outlineLevel="0" collapsed="false">
      <c r="A2223" s="23" t="str">
        <f aca="false">IF(A2211="","",A2211)</f>
        <v/>
      </c>
      <c r="B2223" s="24"/>
      <c r="C2223" s="24"/>
      <c r="D2223" s="24"/>
      <c r="E2223" s="24"/>
      <c r="F2223" s="25" t="str">
        <f aca="false">IF(A2211="","",SUM(F2213:F2222))</f>
        <v/>
      </c>
      <c r="G2223" s="24"/>
      <c r="H2223" s="26" t="str">
        <f aca="false">IF(A2211="","",SUM(H2213:H2222))</f>
        <v/>
      </c>
    </row>
    <row r="2225" customFormat="false" ht="15" hidden="false" customHeight="true" outlineLevel="0" collapsed="false">
      <c r="A2225" s="12"/>
      <c r="B2225" s="13"/>
      <c r="C2225" s="13"/>
      <c r="D2225" s="13"/>
      <c r="E2225" s="13"/>
      <c r="F2225" s="13"/>
      <c r="G2225" s="13"/>
      <c r="H2225" s="15"/>
    </row>
    <row r="2226" customFormat="false" ht="15" hidden="false" customHeight="true" outlineLevel="0" collapsed="false">
      <c r="A2226" s="16" t="s">
        <v>316</v>
      </c>
      <c r="B2226" s="16" t="s">
        <v>317</v>
      </c>
      <c r="C2226" s="16" t="s">
        <v>318</v>
      </c>
      <c r="D2226" s="16" t="s">
        <v>4</v>
      </c>
      <c r="E2226" s="16" t="s">
        <v>319</v>
      </c>
      <c r="F2226" s="16" t="s">
        <v>320</v>
      </c>
      <c r="G2226" s="16" t="s">
        <v>321</v>
      </c>
      <c r="H2226" s="16" t="s">
        <v>322</v>
      </c>
    </row>
    <row r="2227" customFormat="false" ht="15" hidden="false" customHeight="true" outlineLevel="0" collapsed="false">
      <c r="A2227" s="17"/>
      <c r="B2227" s="18" t="str">
        <f aca="false">IFERROR(VLOOKUP(A2227,NOMENCLATOR!$A:$E,2,0),"")</f>
        <v/>
      </c>
      <c r="C2227" s="19"/>
      <c r="D2227" s="20" t="str">
        <f aca="false">IFERROR(VLOOKUP(A2227,NOMENCLATOR!$A:$E,3,0),"")</f>
        <v/>
      </c>
      <c r="E2227" s="21" t="str">
        <f aca="false">IFERROR(VLOOKUP(A2227,NOMENCLATOR!$A:$E,4,0),"")</f>
        <v/>
      </c>
      <c r="F2227" s="21" t="str">
        <f aca="false">IF(OR(C2227="",E2227=""),"",C2227*E2227)</f>
        <v/>
      </c>
      <c r="G2227" s="22" t="str">
        <f aca="false">IFERROR(VLOOKUP(A2227,NOMENCLATOR!$A:$E,5,0),"")</f>
        <v/>
      </c>
      <c r="H2227" s="22" t="str">
        <f aca="false">IF(OR(C2227="",G2227=""),"",C2227*G2227)</f>
        <v/>
      </c>
    </row>
    <row r="2228" customFormat="false" ht="15" hidden="false" customHeight="true" outlineLevel="0" collapsed="false">
      <c r="A2228" s="17"/>
      <c r="B2228" s="18" t="str">
        <f aca="false">IFERROR(VLOOKUP(A2228,NOMENCLATOR!$A:$E,2,0),"")</f>
        <v/>
      </c>
      <c r="C2228" s="19"/>
      <c r="D2228" s="20" t="str">
        <f aca="false">IFERROR(VLOOKUP(A2228,NOMENCLATOR!$A:$E,3,0),"")</f>
        <v/>
      </c>
      <c r="E2228" s="21" t="str">
        <f aca="false">IFERROR(VLOOKUP(A2228,NOMENCLATOR!$A:$E,4,0),"")</f>
        <v/>
      </c>
      <c r="F2228" s="21" t="str">
        <f aca="false">IF(OR(C2228="",E2228=""),"",C2228*E2228)</f>
        <v/>
      </c>
      <c r="G2228" s="22" t="str">
        <f aca="false">IFERROR(VLOOKUP(A2228,NOMENCLATOR!$A:$E,5,0),"")</f>
        <v/>
      </c>
      <c r="H2228" s="22" t="str">
        <f aca="false">IF(OR(C2228="",G2228=""),"",C2228*G2228)</f>
        <v/>
      </c>
    </row>
    <row r="2229" customFormat="false" ht="15" hidden="false" customHeight="true" outlineLevel="0" collapsed="false">
      <c r="A2229" s="17"/>
      <c r="B2229" s="18" t="str">
        <f aca="false">IFERROR(VLOOKUP(A2229,NOMENCLATOR!$A:$E,2,0),"")</f>
        <v/>
      </c>
      <c r="C2229" s="19"/>
      <c r="D2229" s="20" t="str">
        <f aca="false">IFERROR(VLOOKUP(A2229,NOMENCLATOR!$A:$E,3,0),"")</f>
        <v/>
      </c>
      <c r="E2229" s="21" t="str">
        <f aca="false">IFERROR(VLOOKUP(A2229,NOMENCLATOR!$A:$E,4,0),"")</f>
        <v/>
      </c>
      <c r="F2229" s="21" t="str">
        <f aca="false">IF(OR(C2229="",E2229=""),"",C2229*E2229)</f>
        <v/>
      </c>
      <c r="G2229" s="22" t="str">
        <f aca="false">IFERROR(VLOOKUP(A2229,NOMENCLATOR!$A:$E,5,0),"")</f>
        <v/>
      </c>
      <c r="H2229" s="22" t="str">
        <f aca="false">IF(OR(C2229="",G2229=""),"",C2229*G2229)</f>
        <v/>
      </c>
    </row>
    <row r="2230" customFormat="false" ht="15" hidden="false" customHeight="true" outlineLevel="0" collapsed="false">
      <c r="A2230" s="17"/>
      <c r="B2230" s="18" t="str">
        <f aca="false">IFERROR(VLOOKUP(A2230,NOMENCLATOR!$A:$E,2,0),"")</f>
        <v/>
      </c>
      <c r="C2230" s="19"/>
      <c r="D2230" s="20" t="str">
        <f aca="false">IFERROR(VLOOKUP(A2230,NOMENCLATOR!$A:$E,3,0),"")</f>
        <v/>
      </c>
      <c r="E2230" s="21" t="str">
        <f aca="false">IFERROR(VLOOKUP(A2230,NOMENCLATOR!$A:$E,4,0),"")</f>
        <v/>
      </c>
      <c r="F2230" s="21" t="str">
        <f aca="false">IF(OR(C2230="",E2230=""),"",C2230*E2230)</f>
        <v/>
      </c>
      <c r="G2230" s="22" t="str">
        <f aca="false">IFERROR(VLOOKUP(A2230,NOMENCLATOR!$A:$E,5,0),"")</f>
        <v/>
      </c>
      <c r="H2230" s="22" t="str">
        <f aca="false">IF(OR(C2230="",G2230=""),"",C2230*G2230)</f>
        <v/>
      </c>
    </row>
    <row r="2231" customFormat="false" ht="15" hidden="false" customHeight="true" outlineLevel="0" collapsed="false">
      <c r="A2231" s="17"/>
      <c r="B2231" s="18" t="str">
        <f aca="false">IFERROR(VLOOKUP(A2231,NOMENCLATOR!$A:$E,2,0),"")</f>
        <v/>
      </c>
      <c r="C2231" s="19"/>
      <c r="D2231" s="20" t="str">
        <f aca="false">IFERROR(VLOOKUP(A2231,NOMENCLATOR!$A:$E,3,0),"")</f>
        <v/>
      </c>
      <c r="E2231" s="21" t="str">
        <f aca="false">IFERROR(VLOOKUP(A2231,NOMENCLATOR!$A:$E,4,0),"")</f>
        <v/>
      </c>
      <c r="F2231" s="21" t="str">
        <f aca="false">IF(OR(C2231="",E2231=""),"",C2231*E2231)</f>
        <v/>
      </c>
      <c r="G2231" s="22" t="str">
        <f aca="false">IFERROR(VLOOKUP(A2231,NOMENCLATOR!$A:$E,5,0),"")</f>
        <v/>
      </c>
      <c r="H2231" s="22" t="str">
        <f aca="false">IF(OR(C2231="",G2231=""),"",C2231*G2231)</f>
        <v/>
      </c>
    </row>
    <row r="2232" customFormat="false" ht="15" hidden="false" customHeight="true" outlineLevel="0" collapsed="false">
      <c r="A2232" s="17"/>
      <c r="B2232" s="18" t="str">
        <f aca="false">IFERROR(VLOOKUP(A2232,NOMENCLATOR!$A:$E,2,0),"")</f>
        <v/>
      </c>
      <c r="C2232" s="19"/>
      <c r="D2232" s="20" t="str">
        <f aca="false">IFERROR(VLOOKUP(A2232,NOMENCLATOR!$A:$E,3,0),"")</f>
        <v/>
      </c>
      <c r="E2232" s="21" t="str">
        <f aca="false">IFERROR(VLOOKUP(A2232,NOMENCLATOR!$A:$E,4,0),"")</f>
        <v/>
      </c>
      <c r="F2232" s="21" t="str">
        <f aca="false">IF(OR(C2232="",E2232=""),"",C2232*E2232)</f>
        <v/>
      </c>
      <c r="G2232" s="22" t="str">
        <f aca="false">IFERROR(VLOOKUP(A2232,NOMENCLATOR!$A:$E,5,0),"")</f>
        <v/>
      </c>
      <c r="H2232" s="22" t="str">
        <f aca="false">IF(OR(C2232="",G2232=""),"",C2232*G2232)</f>
        <v/>
      </c>
    </row>
    <row r="2233" customFormat="false" ht="15" hidden="false" customHeight="true" outlineLevel="0" collapsed="false">
      <c r="A2233" s="17"/>
      <c r="B2233" s="18" t="str">
        <f aca="false">IFERROR(VLOOKUP(A2233,NOMENCLATOR!$A:$E,2,0),"")</f>
        <v/>
      </c>
      <c r="C2233" s="19"/>
      <c r="D2233" s="20" t="str">
        <f aca="false">IFERROR(VLOOKUP(A2233,NOMENCLATOR!$A:$E,3,0),"")</f>
        <v/>
      </c>
      <c r="E2233" s="21" t="str">
        <f aca="false">IFERROR(VLOOKUP(A2233,NOMENCLATOR!$A:$E,4,0),"")</f>
        <v/>
      </c>
      <c r="F2233" s="21" t="str">
        <f aca="false">IF(OR(C2233="",E2233=""),"",C2233*E2233)</f>
        <v/>
      </c>
      <c r="G2233" s="22" t="str">
        <f aca="false">IFERROR(VLOOKUP(A2233,NOMENCLATOR!$A:$E,5,0),"")</f>
        <v/>
      </c>
      <c r="H2233" s="22" t="str">
        <f aca="false">IF(OR(C2233="",G2233=""),"",C2233*G2233)</f>
        <v/>
      </c>
    </row>
    <row r="2234" customFormat="false" ht="15" hidden="false" customHeight="true" outlineLevel="0" collapsed="false">
      <c r="A2234" s="17"/>
      <c r="B2234" s="18" t="str">
        <f aca="false">IFERROR(VLOOKUP(A2234,NOMENCLATOR!$A:$E,2,0),"")</f>
        <v/>
      </c>
      <c r="C2234" s="19"/>
      <c r="D2234" s="20" t="str">
        <f aca="false">IFERROR(VLOOKUP(A2234,NOMENCLATOR!$A:$E,3,0),"")</f>
        <v/>
      </c>
      <c r="E2234" s="21" t="str">
        <f aca="false">IFERROR(VLOOKUP(A2234,NOMENCLATOR!$A:$E,4,0),"")</f>
        <v/>
      </c>
      <c r="F2234" s="21" t="str">
        <f aca="false">IF(OR(C2234="",E2234=""),"",C2234*E2234)</f>
        <v/>
      </c>
      <c r="G2234" s="22" t="str">
        <f aca="false">IFERROR(VLOOKUP(A2234,NOMENCLATOR!$A:$E,5,0),"")</f>
        <v/>
      </c>
      <c r="H2234" s="22" t="str">
        <f aca="false">IF(OR(C2234="",G2234=""),"",C2234*G2234)</f>
        <v/>
      </c>
    </row>
    <row r="2235" customFormat="false" ht="15" hidden="false" customHeight="true" outlineLevel="0" collapsed="false">
      <c r="A2235" s="17"/>
      <c r="B2235" s="18" t="str">
        <f aca="false">IFERROR(VLOOKUP(A2235,NOMENCLATOR!$A:$E,2,0),"")</f>
        <v/>
      </c>
      <c r="C2235" s="19"/>
      <c r="D2235" s="20" t="str">
        <f aca="false">IFERROR(VLOOKUP(A2235,NOMENCLATOR!$A:$E,3,0),"")</f>
        <v/>
      </c>
      <c r="E2235" s="21" t="str">
        <f aca="false">IFERROR(VLOOKUP(A2235,NOMENCLATOR!$A:$E,4,0),"")</f>
        <v/>
      </c>
      <c r="F2235" s="21" t="str">
        <f aca="false">IF(OR(C2235="",E2235=""),"",C2235*E2235)</f>
        <v/>
      </c>
      <c r="G2235" s="22" t="str">
        <f aca="false">IFERROR(VLOOKUP(A2235,NOMENCLATOR!$A:$E,5,0),"")</f>
        <v/>
      </c>
      <c r="H2235" s="22" t="str">
        <f aca="false">IF(OR(C2235="",G2235=""),"",C2235*G2235)</f>
        <v/>
      </c>
    </row>
    <row r="2236" customFormat="false" ht="15" hidden="false" customHeight="true" outlineLevel="0" collapsed="false">
      <c r="A2236" s="17"/>
      <c r="B2236" s="18" t="str">
        <f aca="false">IFERROR(VLOOKUP(A2236,NOMENCLATOR!$A:$E,2,0),"")</f>
        <v/>
      </c>
      <c r="C2236" s="19"/>
      <c r="D2236" s="20" t="str">
        <f aca="false">IFERROR(VLOOKUP(A2236,NOMENCLATOR!$A:$E,3,0),"")</f>
        <v/>
      </c>
      <c r="E2236" s="21" t="str">
        <f aca="false">IFERROR(VLOOKUP(A2236,NOMENCLATOR!$A:$E,4,0),"")</f>
        <v/>
      </c>
      <c r="F2236" s="21" t="str">
        <f aca="false">IF(OR(C2236="",E2236=""),"",C2236*E2236)</f>
        <v/>
      </c>
      <c r="G2236" s="22" t="str">
        <f aca="false">IFERROR(VLOOKUP(A2236,NOMENCLATOR!$A:$E,5,0),"")</f>
        <v/>
      </c>
      <c r="H2236" s="22" t="str">
        <f aca="false">IF(OR(C2236="",G2236=""),"",C2236*G2236)</f>
        <v/>
      </c>
    </row>
    <row r="2237" customFormat="false" ht="15" hidden="false" customHeight="true" outlineLevel="0" collapsed="false">
      <c r="A2237" s="23" t="str">
        <f aca="false">IF(A2225="","",A2225)</f>
        <v/>
      </c>
      <c r="B2237" s="24"/>
      <c r="C2237" s="24"/>
      <c r="D2237" s="24"/>
      <c r="E2237" s="24"/>
      <c r="F2237" s="25" t="str">
        <f aca="false">IF(A2225="","",SUM(F2227:F2236))</f>
        <v/>
      </c>
      <c r="G2237" s="24"/>
      <c r="H2237" s="26" t="str">
        <f aca="false">IF(A2225="","",SUM(H2227:H2236))</f>
        <v/>
      </c>
    </row>
    <row r="2239" customFormat="false" ht="15" hidden="false" customHeight="true" outlineLevel="0" collapsed="false">
      <c r="A2239" s="12"/>
      <c r="B2239" s="13"/>
      <c r="C2239" s="13"/>
      <c r="D2239" s="13"/>
      <c r="E2239" s="13"/>
      <c r="F2239" s="13"/>
      <c r="G2239" s="13"/>
      <c r="H2239" s="15"/>
    </row>
    <row r="2240" customFormat="false" ht="15" hidden="false" customHeight="true" outlineLevel="0" collapsed="false">
      <c r="A2240" s="16" t="s">
        <v>316</v>
      </c>
      <c r="B2240" s="16" t="s">
        <v>317</v>
      </c>
      <c r="C2240" s="16" t="s">
        <v>318</v>
      </c>
      <c r="D2240" s="16" t="s">
        <v>4</v>
      </c>
      <c r="E2240" s="16" t="s">
        <v>319</v>
      </c>
      <c r="F2240" s="16" t="s">
        <v>320</v>
      </c>
      <c r="G2240" s="16" t="s">
        <v>321</v>
      </c>
      <c r="H2240" s="16" t="s">
        <v>322</v>
      </c>
    </row>
    <row r="2241" customFormat="false" ht="15" hidden="false" customHeight="true" outlineLevel="0" collapsed="false">
      <c r="A2241" s="17"/>
      <c r="B2241" s="18" t="str">
        <f aca="false">IFERROR(VLOOKUP(A2241,NOMENCLATOR!$A:$E,2,0),"")</f>
        <v/>
      </c>
      <c r="C2241" s="19"/>
      <c r="D2241" s="20" t="str">
        <f aca="false">IFERROR(VLOOKUP(A2241,NOMENCLATOR!$A:$E,3,0),"")</f>
        <v/>
      </c>
      <c r="E2241" s="21" t="str">
        <f aca="false">IFERROR(VLOOKUP(A2241,NOMENCLATOR!$A:$E,4,0),"")</f>
        <v/>
      </c>
      <c r="F2241" s="21" t="str">
        <f aca="false">IF(OR(C2241="",E2241=""),"",C2241*E2241)</f>
        <v/>
      </c>
      <c r="G2241" s="22" t="str">
        <f aca="false">IFERROR(VLOOKUP(A2241,NOMENCLATOR!$A:$E,5,0),"")</f>
        <v/>
      </c>
      <c r="H2241" s="22" t="str">
        <f aca="false">IF(OR(C2241="",G2241=""),"",C2241*G2241)</f>
        <v/>
      </c>
    </row>
    <row r="2242" customFormat="false" ht="15" hidden="false" customHeight="true" outlineLevel="0" collapsed="false">
      <c r="A2242" s="17"/>
      <c r="B2242" s="18" t="str">
        <f aca="false">IFERROR(VLOOKUP(A2242,NOMENCLATOR!$A:$E,2,0),"")</f>
        <v/>
      </c>
      <c r="C2242" s="19"/>
      <c r="D2242" s="20" t="str">
        <f aca="false">IFERROR(VLOOKUP(A2242,NOMENCLATOR!$A:$E,3,0),"")</f>
        <v/>
      </c>
      <c r="E2242" s="21" t="str">
        <f aca="false">IFERROR(VLOOKUP(A2242,NOMENCLATOR!$A:$E,4,0),"")</f>
        <v/>
      </c>
      <c r="F2242" s="21" t="str">
        <f aca="false">IF(OR(C2242="",E2242=""),"",C2242*E2242)</f>
        <v/>
      </c>
      <c r="G2242" s="22" t="str">
        <f aca="false">IFERROR(VLOOKUP(A2242,NOMENCLATOR!$A:$E,5,0),"")</f>
        <v/>
      </c>
      <c r="H2242" s="22" t="str">
        <f aca="false">IF(OR(C2242="",G2242=""),"",C2242*G2242)</f>
        <v/>
      </c>
    </row>
    <row r="2243" customFormat="false" ht="15" hidden="false" customHeight="true" outlineLevel="0" collapsed="false">
      <c r="A2243" s="17"/>
      <c r="B2243" s="18" t="str">
        <f aca="false">IFERROR(VLOOKUP(A2243,NOMENCLATOR!$A:$E,2,0),"")</f>
        <v/>
      </c>
      <c r="C2243" s="19"/>
      <c r="D2243" s="20" t="str">
        <f aca="false">IFERROR(VLOOKUP(A2243,NOMENCLATOR!$A:$E,3,0),"")</f>
        <v/>
      </c>
      <c r="E2243" s="21" t="str">
        <f aca="false">IFERROR(VLOOKUP(A2243,NOMENCLATOR!$A:$E,4,0),"")</f>
        <v/>
      </c>
      <c r="F2243" s="21" t="str">
        <f aca="false">IF(OR(C2243="",E2243=""),"",C2243*E2243)</f>
        <v/>
      </c>
      <c r="G2243" s="22" t="str">
        <f aca="false">IFERROR(VLOOKUP(A2243,NOMENCLATOR!$A:$E,5,0),"")</f>
        <v/>
      </c>
      <c r="H2243" s="22" t="str">
        <f aca="false">IF(OR(C2243="",G2243=""),"",C2243*G2243)</f>
        <v/>
      </c>
    </row>
    <row r="2244" customFormat="false" ht="15" hidden="false" customHeight="true" outlineLevel="0" collapsed="false">
      <c r="A2244" s="17"/>
      <c r="B2244" s="18" t="str">
        <f aca="false">IFERROR(VLOOKUP(A2244,NOMENCLATOR!$A:$E,2,0),"")</f>
        <v/>
      </c>
      <c r="C2244" s="19"/>
      <c r="D2244" s="20" t="str">
        <f aca="false">IFERROR(VLOOKUP(A2244,NOMENCLATOR!$A:$E,3,0),"")</f>
        <v/>
      </c>
      <c r="E2244" s="21" t="str">
        <f aca="false">IFERROR(VLOOKUP(A2244,NOMENCLATOR!$A:$E,4,0),"")</f>
        <v/>
      </c>
      <c r="F2244" s="21" t="str">
        <f aca="false">IF(OR(C2244="",E2244=""),"",C2244*E2244)</f>
        <v/>
      </c>
      <c r="G2244" s="22" t="str">
        <f aca="false">IFERROR(VLOOKUP(A2244,NOMENCLATOR!$A:$E,5,0),"")</f>
        <v/>
      </c>
      <c r="H2244" s="22" t="str">
        <f aca="false">IF(OR(C2244="",G2244=""),"",C2244*G2244)</f>
        <v/>
      </c>
    </row>
    <row r="2245" customFormat="false" ht="15" hidden="false" customHeight="true" outlineLevel="0" collapsed="false">
      <c r="A2245" s="17"/>
      <c r="B2245" s="18" t="str">
        <f aca="false">IFERROR(VLOOKUP(A2245,NOMENCLATOR!$A:$E,2,0),"")</f>
        <v/>
      </c>
      <c r="C2245" s="19"/>
      <c r="D2245" s="20" t="str">
        <f aca="false">IFERROR(VLOOKUP(A2245,NOMENCLATOR!$A:$E,3,0),"")</f>
        <v/>
      </c>
      <c r="E2245" s="21" t="str">
        <f aca="false">IFERROR(VLOOKUP(A2245,NOMENCLATOR!$A:$E,4,0),"")</f>
        <v/>
      </c>
      <c r="F2245" s="21" t="str">
        <f aca="false">IF(OR(C2245="",E2245=""),"",C2245*E2245)</f>
        <v/>
      </c>
      <c r="G2245" s="22" t="str">
        <f aca="false">IFERROR(VLOOKUP(A2245,NOMENCLATOR!$A:$E,5,0),"")</f>
        <v/>
      </c>
      <c r="H2245" s="22" t="str">
        <f aca="false">IF(OR(C2245="",G2245=""),"",C2245*G2245)</f>
        <v/>
      </c>
    </row>
    <row r="2246" customFormat="false" ht="15" hidden="false" customHeight="true" outlineLevel="0" collapsed="false">
      <c r="A2246" s="17"/>
      <c r="B2246" s="18" t="str">
        <f aca="false">IFERROR(VLOOKUP(A2246,NOMENCLATOR!$A:$E,2,0),"")</f>
        <v/>
      </c>
      <c r="C2246" s="19"/>
      <c r="D2246" s="20" t="str">
        <f aca="false">IFERROR(VLOOKUP(A2246,NOMENCLATOR!$A:$E,3,0),"")</f>
        <v/>
      </c>
      <c r="E2246" s="21" t="str">
        <f aca="false">IFERROR(VLOOKUP(A2246,NOMENCLATOR!$A:$E,4,0),"")</f>
        <v/>
      </c>
      <c r="F2246" s="21" t="str">
        <f aca="false">IF(OR(C2246="",E2246=""),"",C2246*E2246)</f>
        <v/>
      </c>
      <c r="G2246" s="22" t="str">
        <f aca="false">IFERROR(VLOOKUP(A2246,NOMENCLATOR!$A:$E,5,0),"")</f>
        <v/>
      </c>
      <c r="H2246" s="22" t="str">
        <f aca="false">IF(OR(C2246="",G2246=""),"",C2246*G2246)</f>
        <v/>
      </c>
    </row>
    <row r="2247" customFormat="false" ht="15" hidden="false" customHeight="true" outlineLevel="0" collapsed="false">
      <c r="A2247" s="17"/>
      <c r="B2247" s="18" t="str">
        <f aca="false">IFERROR(VLOOKUP(A2247,NOMENCLATOR!$A:$E,2,0),"")</f>
        <v/>
      </c>
      <c r="C2247" s="19"/>
      <c r="D2247" s="20" t="str">
        <f aca="false">IFERROR(VLOOKUP(A2247,NOMENCLATOR!$A:$E,3,0),"")</f>
        <v/>
      </c>
      <c r="E2247" s="21" t="str">
        <f aca="false">IFERROR(VLOOKUP(A2247,NOMENCLATOR!$A:$E,4,0),"")</f>
        <v/>
      </c>
      <c r="F2247" s="21" t="str">
        <f aca="false">IF(OR(C2247="",E2247=""),"",C2247*E2247)</f>
        <v/>
      </c>
      <c r="G2247" s="22" t="str">
        <f aca="false">IFERROR(VLOOKUP(A2247,NOMENCLATOR!$A:$E,5,0),"")</f>
        <v/>
      </c>
      <c r="H2247" s="22" t="str">
        <f aca="false">IF(OR(C2247="",G2247=""),"",C2247*G2247)</f>
        <v/>
      </c>
    </row>
    <row r="2248" customFormat="false" ht="15" hidden="false" customHeight="true" outlineLevel="0" collapsed="false">
      <c r="A2248" s="17"/>
      <c r="B2248" s="18" t="str">
        <f aca="false">IFERROR(VLOOKUP(A2248,NOMENCLATOR!$A:$E,2,0),"")</f>
        <v/>
      </c>
      <c r="C2248" s="19"/>
      <c r="D2248" s="20" t="str">
        <f aca="false">IFERROR(VLOOKUP(A2248,NOMENCLATOR!$A:$E,3,0),"")</f>
        <v/>
      </c>
      <c r="E2248" s="21" t="str">
        <f aca="false">IFERROR(VLOOKUP(A2248,NOMENCLATOR!$A:$E,4,0),"")</f>
        <v/>
      </c>
      <c r="F2248" s="21" t="str">
        <f aca="false">IF(OR(C2248="",E2248=""),"",C2248*E2248)</f>
        <v/>
      </c>
      <c r="G2248" s="22" t="str">
        <f aca="false">IFERROR(VLOOKUP(A2248,NOMENCLATOR!$A:$E,5,0),"")</f>
        <v/>
      </c>
      <c r="H2248" s="22" t="str">
        <f aca="false">IF(OR(C2248="",G2248=""),"",C2248*G2248)</f>
        <v/>
      </c>
    </row>
    <row r="2249" customFormat="false" ht="15" hidden="false" customHeight="true" outlineLevel="0" collapsed="false">
      <c r="A2249" s="17"/>
      <c r="B2249" s="18" t="str">
        <f aca="false">IFERROR(VLOOKUP(A2249,NOMENCLATOR!$A:$E,2,0),"")</f>
        <v/>
      </c>
      <c r="C2249" s="19"/>
      <c r="D2249" s="20" t="str">
        <f aca="false">IFERROR(VLOOKUP(A2249,NOMENCLATOR!$A:$E,3,0),"")</f>
        <v/>
      </c>
      <c r="E2249" s="21" t="str">
        <f aca="false">IFERROR(VLOOKUP(A2249,NOMENCLATOR!$A:$E,4,0),"")</f>
        <v/>
      </c>
      <c r="F2249" s="21" t="str">
        <f aca="false">IF(OR(C2249="",E2249=""),"",C2249*E2249)</f>
        <v/>
      </c>
      <c r="G2249" s="22" t="str">
        <f aca="false">IFERROR(VLOOKUP(A2249,NOMENCLATOR!$A:$E,5,0),"")</f>
        <v/>
      </c>
      <c r="H2249" s="22" t="str">
        <f aca="false">IF(OR(C2249="",G2249=""),"",C2249*G2249)</f>
        <v/>
      </c>
    </row>
    <row r="2250" customFormat="false" ht="15" hidden="false" customHeight="true" outlineLevel="0" collapsed="false">
      <c r="A2250" s="17"/>
      <c r="B2250" s="18" t="str">
        <f aca="false">IFERROR(VLOOKUP(A2250,NOMENCLATOR!$A:$E,2,0),"")</f>
        <v/>
      </c>
      <c r="C2250" s="19"/>
      <c r="D2250" s="20" t="str">
        <f aca="false">IFERROR(VLOOKUP(A2250,NOMENCLATOR!$A:$E,3,0),"")</f>
        <v/>
      </c>
      <c r="E2250" s="21" t="str">
        <f aca="false">IFERROR(VLOOKUP(A2250,NOMENCLATOR!$A:$E,4,0),"")</f>
        <v/>
      </c>
      <c r="F2250" s="21" t="str">
        <f aca="false">IF(OR(C2250="",E2250=""),"",C2250*E2250)</f>
        <v/>
      </c>
      <c r="G2250" s="22" t="str">
        <f aca="false">IFERROR(VLOOKUP(A2250,NOMENCLATOR!$A:$E,5,0),"")</f>
        <v/>
      </c>
      <c r="H2250" s="22" t="str">
        <f aca="false">IF(OR(C2250="",G2250=""),"",C2250*G2250)</f>
        <v/>
      </c>
    </row>
    <row r="2251" customFormat="false" ht="15" hidden="false" customHeight="true" outlineLevel="0" collapsed="false">
      <c r="A2251" s="23" t="str">
        <f aca="false">IF(A2239="","",A2239)</f>
        <v/>
      </c>
      <c r="B2251" s="24"/>
      <c r="C2251" s="24"/>
      <c r="D2251" s="24"/>
      <c r="E2251" s="24"/>
      <c r="F2251" s="25" t="str">
        <f aca="false">IF(A2239="","",SUM(F2241:F2250))</f>
        <v/>
      </c>
      <c r="G2251" s="24"/>
      <c r="H2251" s="26" t="str">
        <f aca="false">IF(A2239="","",SUM(H2241:H2250))</f>
        <v/>
      </c>
    </row>
    <row r="2253" customFormat="false" ht="15" hidden="false" customHeight="true" outlineLevel="0" collapsed="false">
      <c r="A2253" s="12"/>
      <c r="B2253" s="13"/>
      <c r="C2253" s="13"/>
      <c r="D2253" s="13"/>
      <c r="E2253" s="13"/>
      <c r="F2253" s="13"/>
      <c r="G2253" s="13"/>
      <c r="H2253" s="15"/>
    </row>
    <row r="2254" customFormat="false" ht="15" hidden="false" customHeight="true" outlineLevel="0" collapsed="false">
      <c r="A2254" s="16" t="s">
        <v>316</v>
      </c>
      <c r="B2254" s="16" t="s">
        <v>317</v>
      </c>
      <c r="C2254" s="16" t="s">
        <v>318</v>
      </c>
      <c r="D2254" s="16" t="s">
        <v>4</v>
      </c>
      <c r="E2254" s="16" t="s">
        <v>319</v>
      </c>
      <c r="F2254" s="16" t="s">
        <v>320</v>
      </c>
      <c r="G2254" s="16" t="s">
        <v>321</v>
      </c>
      <c r="H2254" s="16" t="s">
        <v>322</v>
      </c>
    </row>
    <row r="2255" customFormat="false" ht="15" hidden="false" customHeight="true" outlineLevel="0" collapsed="false">
      <c r="A2255" s="17"/>
      <c r="B2255" s="18" t="str">
        <f aca="false">IFERROR(VLOOKUP(A2255,NOMENCLATOR!$A:$E,2,0),"")</f>
        <v/>
      </c>
      <c r="C2255" s="19"/>
      <c r="D2255" s="20" t="str">
        <f aca="false">IFERROR(VLOOKUP(A2255,NOMENCLATOR!$A:$E,3,0),"")</f>
        <v/>
      </c>
      <c r="E2255" s="21" t="str">
        <f aca="false">IFERROR(VLOOKUP(A2255,NOMENCLATOR!$A:$E,4,0),"")</f>
        <v/>
      </c>
      <c r="F2255" s="21" t="str">
        <f aca="false">IF(OR(C2255="",E2255=""),"",C2255*E2255)</f>
        <v/>
      </c>
      <c r="G2255" s="22" t="str">
        <f aca="false">IFERROR(VLOOKUP(A2255,NOMENCLATOR!$A:$E,5,0),"")</f>
        <v/>
      </c>
      <c r="H2255" s="22" t="str">
        <f aca="false">IF(OR(C2255="",G2255=""),"",C2255*G2255)</f>
        <v/>
      </c>
    </row>
    <row r="2256" customFormat="false" ht="15" hidden="false" customHeight="true" outlineLevel="0" collapsed="false">
      <c r="A2256" s="17"/>
      <c r="B2256" s="18" t="str">
        <f aca="false">IFERROR(VLOOKUP(A2256,NOMENCLATOR!$A:$E,2,0),"")</f>
        <v/>
      </c>
      <c r="C2256" s="19"/>
      <c r="D2256" s="20" t="str">
        <f aca="false">IFERROR(VLOOKUP(A2256,NOMENCLATOR!$A:$E,3,0),"")</f>
        <v/>
      </c>
      <c r="E2256" s="21" t="str">
        <f aca="false">IFERROR(VLOOKUP(A2256,NOMENCLATOR!$A:$E,4,0),"")</f>
        <v/>
      </c>
      <c r="F2256" s="21" t="str">
        <f aca="false">IF(OR(C2256="",E2256=""),"",C2256*E2256)</f>
        <v/>
      </c>
      <c r="G2256" s="22" t="str">
        <f aca="false">IFERROR(VLOOKUP(A2256,NOMENCLATOR!$A:$E,5,0),"")</f>
        <v/>
      </c>
      <c r="H2256" s="22" t="str">
        <f aca="false">IF(OR(C2256="",G2256=""),"",C2256*G2256)</f>
        <v/>
      </c>
    </row>
    <row r="2257" customFormat="false" ht="15" hidden="false" customHeight="true" outlineLevel="0" collapsed="false">
      <c r="A2257" s="17"/>
      <c r="B2257" s="18" t="str">
        <f aca="false">IFERROR(VLOOKUP(A2257,NOMENCLATOR!$A:$E,2,0),"")</f>
        <v/>
      </c>
      <c r="C2257" s="19"/>
      <c r="D2257" s="20" t="str">
        <f aca="false">IFERROR(VLOOKUP(A2257,NOMENCLATOR!$A:$E,3,0),"")</f>
        <v/>
      </c>
      <c r="E2257" s="21" t="str">
        <f aca="false">IFERROR(VLOOKUP(A2257,NOMENCLATOR!$A:$E,4,0),"")</f>
        <v/>
      </c>
      <c r="F2257" s="21" t="str">
        <f aca="false">IF(OR(C2257="",E2257=""),"",C2257*E2257)</f>
        <v/>
      </c>
      <c r="G2257" s="22" t="str">
        <f aca="false">IFERROR(VLOOKUP(A2257,NOMENCLATOR!$A:$E,5,0),"")</f>
        <v/>
      </c>
      <c r="H2257" s="22" t="str">
        <f aca="false">IF(OR(C2257="",G2257=""),"",C2257*G2257)</f>
        <v/>
      </c>
    </row>
    <row r="2258" customFormat="false" ht="15" hidden="false" customHeight="true" outlineLevel="0" collapsed="false">
      <c r="A2258" s="17"/>
      <c r="B2258" s="18" t="str">
        <f aca="false">IFERROR(VLOOKUP(A2258,NOMENCLATOR!$A:$E,2,0),"")</f>
        <v/>
      </c>
      <c r="C2258" s="19"/>
      <c r="D2258" s="20" t="str">
        <f aca="false">IFERROR(VLOOKUP(A2258,NOMENCLATOR!$A:$E,3,0),"")</f>
        <v/>
      </c>
      <c r="E2258" s="21" t="str">
        <f aca="false">IFERROR(VLOOKUP(A2258,NOMENCLATOR!$A:$E,4,0),"")</f>
        <v/>
      </c>
      <c r="F2258" s="21" t="str">
        <f aca="false">IF(OR(C2258="",E2258=""),"",C2258*E2258)</f>
        <v/>
      </c>
      <c r="G2258" s="22" t="str">
        <f aca="false">IFERROR(VLOOKUP(A2258,NOMENCLATOR!$A:$E,5,0),"")</f>
        <v/>
      </c>
      <c r="H2258" s="22" t="str">
        <f aca="false">IF(OR(C2258="",G2258=""),"",C2258*G2258)</f>
        <v/>
      </c>
    </row>
    <row r="2259" customFormat="false" ht="15" hidden="false" customHeight="true" outlineLevel="0" collapsed="false">
      <c r="A2259" s="17"/>
      <c r="B2259" s="18" t="str">
        <f aca="false">IFERROR(VLOOKUP(A2259,NOMENCLATOR!$A:$E,2,0),"")</f>
        <v/>
      </c>
      <c r="C2259" s="19"/>
      <c r="D2259" s="20" t="str">
        <f aca="false">IFERROR(VLOOKUP(A2259,NOMENCLATOR!$A:$E,3,0),"")</f>
        <v/>
      </c>
      <c r="E2259" s="21" t="str">
        <f aca="false">IFERROR(VLOOKUP(A2259,NOMENCLATOR!$A:$E,4,0),"")</f>
        <v/>
      </c>
      <c r="F2259" s="21" t="str">
        <f aca="false">IF(OR(C2259="",E2259=""),"",C2259*E2259)</f>
        <v/>
      </c>
      <c r="G2259" s="22" t="str">
        <f aca="false">IFERROR(VLOOKUP(A2259,NOMENCLATOR!$A:$E,5,0),"")</f>
        <v/>
      </c>
      <c r="H2259" s="22" t="str">
        <f aca="false">IF(OR(C2259="",G2259=""),"",C2259*G2259)</f>
        <v/>
      </c>
    </row>
    <row r="2260" customFormat="false" ht="15" hidden="false" customHeight="true" outlineLevel="0" collapsed="false">
      <c r="A2260" s="17"/>
      <c r="B2260" s="18" t="str">
        <f aca="false">IFERROR(VLOOKUP(A2260,NOMENCLATOR!$A:$E,2,0),"")</f>
        <v/>
      </c>
      <c r="C2260" s="19"/>
      <c r="D2260" s="20" t="str">
        <f aca="false">IFERROR(VLOOKUP(A2260,NOMENCLATOR!$A:$E,3,0),"")</f>
        <v/>
      </c>
      <c r="E2260" s="21" t="str">
        <f aca="false">IFERROR(VLOOKUP(A2260,NOMENCLATOR!$A:$E,4,0),"")</f>
        <v/>
      </c>
      <c r="F2260" s="21" t="str">
        <f aca="false">IF(OR(C2260="",E2260=""),"",C2260*E2260)</f>
        <v/>
      </c>
      <c r="G2260" s="22" t="str">
        <f aca="false">IFERROR(VLOOKUP(A2260,NOMENCLATOR!$A:$E,5,0),"")</f>
        <v/>
      </c>
      <c r="H2260" s="22" t="str">
        <f aca="false">IF(OR(C2260="",G2260=""),"",C2260*G2260)</f>
        <v/>
      </c>
    </row>
    <row r="2261" customFormat="false" ht="15" hidden="false" customHeight="true" outlineLevel="0" collapsed="false">
      <c r="A2261" s="17"/>
      <c r="B2261" s="18" t="str">
        <f aca="false">IFERROR(VLOOKUP(A2261,NOMENCLATOR!$A:$E,2,0),"")</f>
        <v/>
      </c>
      <c r="C2261" s="19"/>
      <c r="D2261" s="20" t="str">
        <f aca="false">IFERROR(VLOOKUP(A2261,NOMENCLATOR!$A:$E,3,0),"")</f>
        <v/>
      </c>
      <c r="E2261" s="21" t="str">
        <f aca="false">IFERROR(VLOOKUP(A2261,NOMENCLATOR!$A:$E,4,0),"")</f>
        <v/>
      </c>
      <c r="F2261" s="21" t="str">
        <f aca="false">IF(OR(C2261="",E2261=""),"",C2261*E2261)</f>
        <v/>
      </c>
      <c r="G2261" s="22" t="str">
        <f aca="false">IFERROR(VLOOKUP(A2261,NOMENCLATOR!$A:$E,5,0),"")</f>
        <v/>
      </c>
      <c r="H2261" s="22" t="str">
        <f aca="false">IF(OR(C2261="",G2261=""),"",C2261*G2261)</f>
        <v/>
      </c>
    </row>
    <row r="2262" customFormat="false" ht="15" hidden="false" customHeight="true" outlineLevel="0" collapsed="false">
      <c r="A2262" s="17"/>
      <c r="B2262" s="18" t="str">
        <f aca="false">IFERROR(VLOOKUP(A2262,NOMENCLATOR!$A:$E,2,0),"")</f>
        <v/>
      </c>
      <c r="C2262" s="19"/>
      <c r="D2262" s="20" t="str">
        <f aca="false">IFERROR(VLOOKUP(A2262,NOMENCLATOR!$A:$E,3,0),"")</f>
        <v/>
      </c>
      <c r="E2262" s="21" t="str">
        <f aca="false">IFERROR(VLOOKUP(A2262,NOMENCLATOR!$A:$E,4,0),"")</f>
        <v/>
      </c>
      <c r="F2262" s="21" t="str">
        <f aca="false">IF(OR(C2262="",E2262=""),"",C2262*E2262)</f>
        <v/>
      </c>
      <c r="G2262" s="22" t="str">
        <f aca="false">IFERROR(VLOOKUP(A2262,NOMENCLATOR!$A:$E,5,0),"")</f>
        <v/>
      </c>
      <c r="H2262" s="22" t="str">
        <f aca="false">IF(OR(C2262="",G2262=""),"",C2262*G2262)</f>
        <v/>
      </c>
    </row>
    <row r="2263" customFormat="false" ht="15" hidden="false" customHeight="true" outlineLevel="0" collapsed="false">
      <c r="A2263" s="17"/>
      <c r="B2263" s="18" t="str">
        <f aca="false">IFERROR(VLOOKUP(A2263,NOMENCLATOR!$A:$E,2,0),"")</f>
        <v/>
      </c>
      <c r="C2263" s="19"/>
      <c r="D2263" s="20" t="str">
        <f aca="false">IFERROR(VLOOKUP(A2263,NOMENCLATOR!$A:$E,3,0),"")</f>
        <v/>
      </c>
      <c r="E2263" s="21" t="str">
        <f aca="false">IFERROR(VLOOKUP(A2263,NOMENCLATOR!$A:$E,4,0),"")</f>
        <v/>
      </c>
      <c r="F2263" s="21" t="str">
        <f aca="false">IF(OR(C2263="",E2263=""),"",C2263*E2263)</f>
        <v/>
      </c>
      <c r="G2263" s="22" t="str">
        <f aca="false">IFERROR(VLOOKUP(A2263,NOMENCLATOR!$A:$E,5,0),"")</f>
        <v/>
      </c>
      <c r="H2263" s="22" t="str">
        <f aca="false">IF(OR(C2263="",G2263=""),"",C2263*G2263)</f>
        <v/>
      </c>
    </row>
    <row r="2264" customFormat="false" ht="15" hidden="false" customHeight="true" outlineLevel="0" collapsed="false">
      <c r="A2264" s="17"/>
      <c r="B2264" s="18" t="str">
        <f aca="false">IFERROR(VLOOKUP(A2264,NOMENCLATOR!$A:$E,2,0),"")</f>
        <v/>
      </c>
      <c r="C2264" s="19"/>
      <c r="D2264" s="20" t="str">
        <f aca="false">IFERROR(VLOOKUP(A2264,NOMENCLATOR!$A:$E,3,0),"")</f>
        <v/>
      </c>
      <c r="E2264" s="21" t="str">
        <f aca="false">IFERROR(VLOOKUP(A2264,NOMENCLATOR!$A:$E,4,0),"")</f>
        <v/>
      </c>
      <c r="F2264" s="21" t="str">
        <f aca="false">IF(OR(C2264="",E2264=""),"",C2264*E2264)</f>
        <v/>
      </c>
      <c r="G2264" s="22" t="str">
        <f aca="false">IFERROR(VLOOKUP(A2264,NOMENCLATOR!$A:$E,5,0),"")</f>
        <v/>
      </c>
      <c r="H2264" s="22" t="str">
        <f aca="false">IF(OR(C2264="",G2264=""),"",C2264*G2264)</f>
        <v/>
      </c>
    </row>
    <row r="2265" customFormat="false" ht="15" hidden="false" customHeight="true" outlineLevel="0" collapsed="false">
      <c r="A2265" s="23" t="str">
        <f aca="false">IF(A2253="","",A2253)</f>
        <v/>
      </c>
      <c r="B2265" s="24"/>
      <c r="C2265" s="24"/>
      <c r="D2265" s="24"/>
      <c r="E2265" s="24"/>
      <c r="F2265" s="25" t="str">
        <f aca="false">IF(A2253="","",SUM(F2255:F2264))</f>
        <v/>
      </c>
      <c r="G2265" s="24"/>
      <c r="H2265" s="26" t="str">
        <f aca="false">IF(A2253="","",SUM(H2255:H2264))</f>
        <v/>
      </c>
    </row>
    <row r="2267" customFormat="false" ht="15" hidden="false" customHeight="true" outlineLevel="0" collapsed="false">
      <c r="A2267" s="12"/>
      <c r="B2267" s="13"/>
      <c r="C2267" s="13"/>
      <c r="D2267" s="13"/>
      <c r="E2267" s="13"/>
      <c r="F2267" s="13"/>
      <c r="G2267" s="13"/>
      <c r="H2267" s="15"/>
    </row>
    <row r="2268" customFormat="false" ht="15" hidden="false" customHeight="true" outlineLevel="0" collapsed="false">
      <c r="A2268" s="16" t="s">
        <v>316</v>
      </c>
      <c r="B2268" s="16" t="s">
        <v>317</v>
      </c>
      <c r="C2268" s="16" t="s">
        <v>318</v>
      </c>
      <c r="D2268" s="16" t="s">
        <v>4</v>
      </c>
      <c r="E2268" s="16" t="s">
        <v>319</v>
      </c>
      <c r="F2268" s="16" t="s">
        <v>320</v>
      </c>
      <c r="G2268" s="16" t="s">
        <v>321</v>
      </c>
      <c r="H2268" s="16" t="s">
        <v>322</v>
      </c>
    </row>
    <row r="2269" customFormat="false" ht="15" hidden="false" customHeight="true" outlineLevel="0" collapsed="false">
      <c r="A2269" s="17"/>
      <c r="B2269" s="18" t="str">
        <f aca="false">IFERROR(VLOOKUP(A2269,NOMENCLATOR!$A:$E,2,0),"")</f>
        <v/>
      </c>
      <c r="C2269" s="19"/>
      <c r="D2269" s="20" t="str">
        <f aca="false">IFERROR(VLOOKUP(A2269,NOMENCLATOR!$A:$E,3,0),"")</f>
        <v/>
      </c>
      <c r="E2269" s="21" t="str">
        <f aca="false">IFERROR(VLOOKUP(A2269,NOMENCLATOR!$A:$E,4,0),"")</f>
        <v/>
      </c>
      <c r="F2269" s="21" t="str">
        <f aca="false">IF(OR(C2269="",E2269=""),"",C2269*E2269)</f>
        <v/>
      </c>
      <c r="G2269" s="22" t="str">
        <f aca="false">IFERROR(VLOOKUP(A2269,NOMENCLATOR!$A:$E,5,0),"")</f>
        <v/>
      </c>
      <c r="H2269" s="22" t="str">
        <f aca="false">IF(OR(C2269="",G2269=""),"",C2269*G2269)</f>
        <v/>
      </c>
    </row>
    <row r="2270" customFormat="false" ht="15" hidden="false" customHeight="true" outlineLevel="0" collapsed="false">
      <c r="A2270" s="17"/>
      <c r="B2270" s="18" t="str">
        <f aca="false">IFERROR(VLOOKUP(A2270,NOMENCLATOR!$A:$E,2,0),"")</f>
        <v/>
      </c>
      <c r="C2270" s="19"/>
      <c r="D2270" s="20" t="str">
        <f aca="false">IFERROR(VLOOKUP(A2270,NOMENCLATOR!$A:$E,3,0),"")</f>
        <v/>
      </c>
      <c r="E2270" s="21" t="str">
        <f aca="false">IFERROR(VLOOKUP(A2270,NOMENCLATOR!$A:$E,4,0),"")</f>
        <v/>
      </c>
      <c r="F2270" s="21" t="str">
        <f aca="false">IF(OR(C2270="",E2270=""),"",C2270*E2270)</f>
        <v/>
      </c>
      <c r="G2270" s="22" t="str">
        <f aca="false">IFERROR(VLOOKUP(A2270,NOMENCLATOR!$A:$E,5,0),"")</f>
        <v/>
      </c>
      <c r="H2270" s="22" t="str">
        <f aca="false">IF(OR(C2270="",G2270=""),"",C2270*G2270)</f>
        <v/>
      </c>
    </row>
    <row r="2271" customFormat="false" ht="15" hidden="false" customHeight="true" outlineLevel="0" collapsed="false">
      <c r="A2271" s="17"/>
      <c r="B2271" s="18" t="str">
        <f aca="false">IFERROR(VLOOKUP(A2271,NOMENCLATOR!$A:$E,2,0),"")</f>
        <v/>
      </c>
      <c r="C2271" s="19"/>
      <c r="D2271" s="20" t="str">
        <f aca="false">IFERROR(VLOOKUP(A2271,NOMENCLATOR!$A:$E,3,0),"")</f>
        <v/>
      </c>
      <c r="E2271" s="21" t="str">
        <f aca="false">IFERROR(VLOOKUP(A2271,NOMENCLATOR!$A:$E,4,0),"")</f>
        <v/>
      </c>
      <c r="F2271" s="21" t="str">
        <f aca="false">IF(OR(C2271="",E2271=""),"",C2271*E2271)</f>
        <v/>
      </c>
      <c r="G2271" s="22" t="str">
        <f aca="false">IFERROR(VLOOKUP(A2271,NOMENCLATOR!$A:$E,5,0),"")</f>
        <v/>
      </c>
      <c r="H2271" s="22" t="str">
        <f aca="false">IF(OR(C2271="",G2271=""),"",C2271*G2271)</f>
        <v/>
      </c>
    </row>
    <row r="2272" customFormat="false" ht="15" hidden="false" customHeight="true" outlineLevel="0" collapsed="false">
      <c r="A2272" s="17"/>
      <c r="B2272" s="18" t="str">
        <f aca="false">IFERROR(VLOOKUP(A2272,NOMENCLATOR!$A:$E,2,0),"")</f>
        <v/>
      </c>
      <c r="C2272" s="19"/>
      <c r="D2272" s="20" t="str">
        <f aca="false">IFERROR(VLOOKUP(A2272,NOMENCLATOR!$A:$E,3,0),"")</f>
        <v/>
      </c>
      <c r="E2272" s="21" t="str">
        <f aca="false">IFERROR(VLOOKUP(A2272,NOMENCLATOR!$A:$E,4,0),"")</f>
        <v/>
      </c>
      <c r="F2272" s="21" t="str">
        <f aca="false">IF(OR(C2272="",E2272=""),"",C2272*E2272)</f>
        <v/>
      </c>
      <c r="G2272" s="22" t="str">
        <f aca="false">IFERROR(VLOOKUP(A2272,NOMENCLATOR!$A:$E,5,0),"")</f>
        <v/>
      </c>
      <c r="H2272" s="22" t="str">
        <f aca="false">IF(OR(C2272="",G2272=""),"",C2272*G2272)</f>
        <v/>
      </c>
    </row>
    <row r="2273" customFormat="false" ht="15" hidden="false" customHeight="true" outlineLevel="0" collapsed="false">
      <c r="A2273" s="17"/>
      <c r="B2273" s="18" t="str">
        <f aca="false">IFERROR(VLOOKUP(A2273,NOMENCLATOR!$A:$E,2,0),"")</f>
        <v/>
      </c>
      <c r="C2273" s="19"/>
      <c r="D2273" s="20" t="str">
        <f aca="false">IFERROR(VLOOKUP(A2273,NOMENCLATOR!$A:$E,3,0),"")</f>
        <v/>
      </c>
      <c r="E2273" s="21" t="str">
        <f aca="false">IFERROR(VLOOKUP(A2273,NOMENCLATOR!$A:$E,4,0),"")</f>
        <v/>
      </c>
      <c r="F2273" s="21" t="str">
        <f aca="false">IF(OR(C2273="",E2273=""),"",C2273*E2273)</f>
        <v/>
      </c>
      <c r="G2273" s="22" t="str">
        <f aca="false">IFERROR(VLOOKUP(A2273,NOMENCLATOR!$A:$E,5,0),"")</f>
        <v/>
      </c>
      <c r="H2273" s="22" t="str">
        <f aca="false">IF(OR(C2273="",G2273=""),"",C2273*G2273)</f>
        <v/>
      </c>
    </row>
    <row r="2274" customFormat="false" ht="15" hidden="false" customHeight="true" outlineLevel="0" collapsed="false">
      <c r="A2274" s="17"/>
      <c r="B2274" s="18" t="str">
        <f aca="false">IFERROR(VLOOKUP(A2274,NOMENCLATOR!$A:$E,2,0),"")</f>
        <v/>
      </c>
      <c r="C2274" s="19"/>
      <c r="D2274" s="20" t="str">
        <f aca="false">IFERROR(VLOOKUP(A2274,NOMENCLATOR!$A:$E,3,0),"")</f>
        <v/>
      </c>
      <c r="E2274" s="21" t="str">
        <f aca="false">IFERROR(VLOOKUP(A2274,NOMENCLATOR!$A:$E,4,0),"")</f>
        <v/>
      </c>
      <c r="F2274" s="21" t="str">
        <f aca="false">IF(OR(C2274="",E2274=""),"",C2274*E2274)</f>
        <v/>
      </c>
      <c r="G2274" s="22" t="str">
        <f aca="false">IFERROR(VLOOKUP(A2274,NOMENCLATOR!$A:$E,5,0),"")</f>
        <v/>
      </c>
      <c r="H2274" s="22" t="str">
        <f aca="false">IF(OR(C2274="",G2274=""),"",C2274*G2274)</f>
        <v/>
      </c>
    </row>
    <row r="2275" customFormat="false" ht="15" hidden="false" customHeight="true" outlineLevel="0" collapsed="false">
      <c r="A2275" s="17"/>
      <c r="B2275" s="18" t="str">
        <f aca="false">IFERROR(VLOOKUP(A2275,NOMENCLATOR!$A:$E,2,0),"")</f>
        <v/>
      </c>
      <c r="C2275" s="19"/>
      <c r="D2275" s="20" t="str">
        <f aca="false">IFERROR(VLOOKUP(A2275,NOMENCLATOR!$A:$E,3,0),"")</f>
        <v/>
      </c>
      <c r="E2275" s="21" t="str">
        <f aca="false">IFERROR(VLOOKUP(A2275,NOMENCLATOR!$A:$E,4,0),"")</f>
        <v/>
      </c>
      <c r="F2275" s="21" t="str">
        <f aca="false">IF(OR(C2275="",E2275=""),"",C2275*E2275)</f>
        <v/>
      </c>
      <c r="G2275" s="22" t="str">
        <f aca="false">IFERROR(VLOOKUP(A2275,NOMENCLATOR!$A:$E,5,0),"")</f>
        <v/>
      </c>
      <c r="H2275" s="22" t="str">
        <f aca="false">IF(OR(C2275="",G2275=""),"",C2275*G2275)</f>
        <v/>
      </c>
    </row>
    <row r="2276" customFormat="false" ht="15" hidden="false" customHeight="true" outlineLevel="0" collapsed="false">
      <c r="A2276" s="17"/>
      <c r="B2276" s="18" t="str">
        <f aca="false">IFERROR(VLOOKUP(A2276,NOMENCLATOR!$A:$E,2,0),"")</f>
        <v/>
      </c>
      <c r="C2276" s="19"/>
      <c r="D2276" s="20" t="str">
        <f aca="false">IFERROR(VLOOKUP(A2276,NOMENCLATOR!$A:$E,3,0),"")</f>
        <v/>
      </c>
      <c r="E2276" s="21" t="str">
        <f aca="false">IFERROR(VLOOKUP(A2276,NOMENCLATOR!$A:$E,4,0),"")</f>
        <v/>
      </c>
      <c r="F2276" s="21" t="str">
        <f aca="false">IF(OR(C2276="",E2276=""),"",C2276*E2276)</f>
        <v/>
      </c>
      <c r="G2276" s="22" t="str">
        <f aca="false">IFERROR(VLOOKUP(A2276,NOMENCLATOR!$A:$E,5,0),"")</f>
        <v/>
      </c>
      <c r="H2276" s="22" t="str">
        <f aca="false">IF(OR(C2276="",G2276=""),"",C2276*G2276)</f>
        <v/>
      </c>
    </row>
    <row r="2277" customFormat="false" ht="15" hidden="false" customHeight="true" outlineLevel="0" collapsed="false">
      <c r="A2277" s="17"/>
      <c r="B2277" s="18" t="str">
        <f aca="false">IFERROR(VLOOKUP(A2277,NOMENCLATOR!$A:$E,2,0),"")</f>
        <v/>
      </c>
      <c r="C2277" s="19"/>
      <c r="D2277" s="20" t="str">
        <f aca="false">IFERROR(VLOOKUP(A2277,NOMENCLATOR!$A:$E,3,0),"")</f>
        <v/>
      </c>
      <c r="E2277" s="21" t="str">
        <f aca="false">IFERROR(VLOOKUP(A2277,NOMENCLATOR!$A:$E,4,0),"")</f>
        <v/>
      </c>
      <c r="F2277" s="21" t="str">
        <f aca="false">IF(OR(C2277="",E2277=""),"",C2277*E2277)</f>
        <v/>
      </c>
      <c r="G2277" s="22" t="str">
        <f aca="false">IFERROR(VLOOKUP(A2277,NOMENCLATOR!$A:$E,5,0),"")</f>
        <v/>
      </c>
      <c r="H2277" s="22" t="str">
        <f aca="false">IF(OR(C2277="",G2277=""),"",C2277*G2277)</f>
        <v/>
      </c>
    </row>
    <row r="2278" customFormat="false" ht="15" hidden="false" customHeight="true" outlineLevel="0" collapsed="false">
      <c r="A2278" s="17"/>
      <c r="B2278" s="18" t="str">
        <f aca="false">IFERROR(VLOOKUP(A2278,NOMENCLATOR!$A:$E,2,0),"")</f>
        <v/>
      </c>
      <c r="C2278" s="19"/>
      <c r="D2278" s="20" t="str">
        <f aca="false">IFERROR(VLOOKUP(A2278,NOMENCLATOR!$A:$E,3,0),"")</f>
        <v/>
      </c>
      <c r="E2278" s="21" t="str">
        <f aca="false">IFERROR(VLOOKUP(A2278,NOMENCLATOR!$A:$E,4,0),"")</f>
        <v/>
      </c>
      <c r="F2278" s="21" t="str">
        <f aca="false">IF(OR(C2278="",E2278=""),"",C2278*E2278)</f>
        <v/>
      </c>
      <c r="G2278" s="22" t="str">
        <f aca="false">IFERROR(VLOOKUP(A2278,NOMENCLATOR!$A:$E,5,0),"")</f>
        <v/>
      </c>
      <c r="H2278" s="22" t="str">
        <f aca="false">IF(OR(C2278="",G2278=""),"",C2278*G2278)</f>
        <v/>
      </c>
    </row>
    <row r="2279" customFormat="false" ht="15" hidden="false" customHeight="true" outlineLevel="0" collapsed="false">
      <c r="A2279" s="23" t="str">
        <f aca="false">IF(A2267="","",A2267)</f>
        <v/>
      </c>
      <c r="B2279" s="24"/>
      <c r="C2279" s="24"/>
      <c r="D2279" s="24"/>
      <c r="E2279" s="24"/>
      <c r="F2279" s="25" t="str">
        <f aca="false">IF(A2267="","",SUM(F2269:F2278))</f>
        <v/>
      </c>
      <c r="G2279" s="24"/>
      <c r="H2279" s="26" t="str">
        <f aca="false">IF(A2267="","",SUM(H2269:H2278))</f>
        <v/>
      </c>
    </row>
    <row r="2281" customFormat="false" ht="15" hidden="false" customHeight="true" outlineLevel="0" collapsed="false">
      <c r="A2281" s="12"/>
      <c r="B2281" s="13"/>
      <c r="C2281" s="13"/>
      <c r="D2281" s="13"/>
      <c r="E2281" s="13"/>
      <c r="F2281" s="13"/>
      <c r="G2281" s="13"/>
      <c r="H2281" s="15"/>
    </row>
    <row r="2282" customFormat="false" ht="15" hidden="false" customHeight="true" outlineLevel="0" collapsed="false">
      <c r="A2282" s="16" t="s">
        <v>316</v>
      </c>
      <c r="B2282" s="16" t="s">
        <v>317</v>
      </c>
      <c r="C2282" s="16" t="s">
        <v>318</v>
      </c>
      <c r="D2282" s="16" t="s">
        <v>4</v>
      </c>
      <c r="E2282" s="16" t="s">
        <v>319</v>
      </c>
      <c r="F2282" s="16" t="s">
        <v>320</v>
      </c>
      <c r="G2282" s="16" t="s">
        <v>321</v>
      </c>
      <c r="H2282" s="16" t="s">
        <v>322</v>
      </c>
    </row>
    <row r="2283" customFormat="false" ht="15" hidden="false" customHeight="true" outlineLevel="0" collapsed="false">
      <c r="A2283" s="17"/>
      <c r="B2283" s="18" t="str">
        <f aca="false">IFERROR(VLOOKUP(A2283,NOMENCLATOR!$A:$E,2,0),"")</f>
        <v/>
      </c>
      <c r="C2283" s="19"/>
      <c r="D2283" s="20" t="str">
        <f aca="false">IFERROR(VLOOKUP(A2283,NOMENCLATOR!$A:$E,3,0),"")</f>
        <v/>
      </c>
      <c r="E2283" s="21" t="str">
        <f aca="false">IFERROR(VLOOKUP(A2283,NOMENCLATOR!$A:$E,4,0),"")</f>
        <v/>
      </c>
      <c r="F2283" s="21" t="str">
        <f aca="false">IF(OR(C2283="",E2283=""),"",C2283*E2283)</f>
        <v/>
      </c>
      <c r="G2283" s="22" t="str">
        <f aca="false">IFERROR(VLOOKUP(A2283,NOMENCLATOR!$A:$E,5,0),"")</f>
        <v/>
      </c>
      <c r="H2283" s="22" t="str">
        <f aca="false">IF(OR(C2283="",G2283=""),"",C2283*G2283)</f>
        <v/>
      </c>
    </row>
    <row r="2284" customFormat="false" ht="15" hidden="false" customHeight="true" outlineLevel="0" collapsed="false">
      <c r="A2284" s="17"/>
      <c r="B2284" s="18" t="str">
        <f aca="false">IFERROR(VLOOKUP(A2284,NOMENCLATOR!$A:$E,2,0),"")</f>
        <v/>
      </c>
      <c r="C2284" s="19"/>
      <c r="D2284" s="20" t="str">
        <f aca="false">IFERROR(VLOOKUP(A2284,NOMENCLATOR!$A:$E,3,0),"")</f>
        <v/>
      </c>
      <c r="E2284" s="21" t="str">
        <f aca="false">IFERROR(VLOOKUP(A2284,NOMENCLATOR!$A:$E,4,0),"")</f>
        <v/>
      </c>
      <c r="F2284" s="21" t="str">
        <f aca="false">IF(OR(C2284="",E2284=""),"",C2284*E2284)</f>
        <v/>
      </c>
      <c r="G2284" s="22" t="str">
        <f aca="false">IFERROR(VLOOKUP(A2284,NOMENCLATOR!$A:$E,5,0),"")</f>
        <v/>
      </c>
      <c r="H2284" s="22" t="str">
        <f aca="false">IF(OR(C2284="",G2284=""),"",C2284*G2284)</f>
        <v/>
      </c>
    </row>
    <row r="2285" customFormat="false" ht="15" hidden="false" customHeight="true" outlineLevel="0" collapsed="false">
      <c r="A2285" s="17"/>
      <c r="B2285" s="18" t="str">
        <f aca="false">IFERROR(VLOOKUP(A2285,NOMENCLATOR!$A:$E,2,0),"")</f>
        <v/>
      </c>
      <c r="C2285" s="19"/>
      <c r="D2285" s="20" t="str">
        <f aca="false">IFERROR(VLOOKUP(A2285,NOMENCLATOR!$A:$E,3,0),"")</f>
        <v/>
      </c>
      <c r="E2285" s="21" t="str">
        <f aca="false">IFERROR(VLOOKUP(A2285,NOMENCLATOR!$A:$E,4,0),"")</f>
        <v/>
      </c>
      <c r="F2285" s="21" t="str">
        <f aca="false">IF(OR(C2285="",E2285=""),"",C2285*E2285)</f>
        <v/>
      </c>
      <c r="G2285" s="22" t="str">
        <f aca="false">IFERROR(VLOOKUP(A2285,NOMENCLATOR!$A:$E,5,0),"")</f>
        <v/>
      </c>
      <c r="H2285" s="22" t="str">
        <f aca="false">IF(OR(C2285="",G2285=""),"",C2285*G2285)</f>
        <v/>
      </c>
    </row>
    <row r="2286" customFormat="false" ht="15" hidden="false" customHeight="true" outlineLevel="0" collapsed="false">
      <c r="A2286" s="17"/>
      <c r="B2286" s="18" t="str">
        <f aca="false">IFERROR(VLOOKUP(A2286,NOMENCLATOR!$A:$E,2,0),"")</f>
        <v/>
      </c>
      <c r="C2286" s="19"/>
      <c r="D2286" s="20" t="str">
        <f aca="false">IFERROR(VLOOKUP(A2286,NOMENCLATOR!$A:$E,3,0),"")</f>
        <v/>
      </c>
      <c r="E2286" s="21" t="str">
        <f aca="false">IFERROR(VLOOKUP(A2286,NOMENCLATOR!$A:$E,4,0),"")</f>
        <v/>
      </c>
      <c r="F2286" s="21" t="str">
        <f aca="false">IF(OR(C2286="",E2286=""),"",C2286*E2286)</f>
        <v/>
      </c>
      <c r="G2286" s="22" t="str">
        <f aca="false">IFERROR(VLOOKUP(A2286,NOMENCLATOR!$A:$E,5,0),"")</f>
        <v/>
      </c>
      <c r="H2286" s="22" t="str">
        <f aca="false">IF(OR(C2286="",G2286=""),"",C2286*G2286)</f>
        <v/>
      </c>
    </row>
    <row r="2287" customFormat="false" ht="15" hidden="false" customHeight="true" outlineLevel="0" collapsed="false">
      <c r="A2287" s="17"/>
      <c r="B2287" s="18" t="str">
        <f aca="false">IFERROR(VLOOKUP(A2287,NOMENCLATOR!$A:$E,2,0),"")</f>
        <v/>
      </c>
      <c r="C2287" s="19"/>
      <c r="D2287" s="20" t="str">
        <f aca="false">IFERROR(VLOOKUP(A2287,NOMENCLATOR!$A:$E,3,0),"")</f>
        <v/>
      </c>
      <c r="E2287" s="21" t="str">
        <f aca="false">IFERROR(VLOOKUP(A2287,NOMENCLATOR!$A:$E,4,0),"")</f>
        <v/>
      </c>
      <c r="F2287" s="21" t="str">
        <f aca="false">IF(OR(C2287="",E2287=""),"",C2287*E2287)</f>
        <v/>
      </c>
      <c r="G2287" s="22" t="str">
        <f aca="false">IFERROR(VLOOKUP(A2287,NOMENCLATOR!$A:$E,5,0),"")</f>
        <v/>
      </c>
      <c r="H2287" s="22" t="str">
        <f aca="false">IF(OR(C2287="",G2287=""),"",C2287*G2287)</f>
        <v/>
      </c>
    </row>
    <row r="2288" customFormat="false" ht="15" hidden="false" customHeight="true" outlineLevel="0" collapsed="false">
      <c r="A2288" s="17"/>
      <c r="B2288" s="18" t="str">
        <f aca="false">IFERROR(VLOOKUP(A2288,NOMENCLATOR!$A:$E,2,0),"")</f>
        <v/>
      </c>
      <c r="C2288" s="19"/>
      <c r="D2288" s="20" t="str">
        <f aca="false">IFERROR(VLOOKUP(A2288,NOMENCLATOR!$A:$E,3,0),"")</f>
        <v/>
      </c>
      <c r="E2288" s="21" t="str">
        <f aca="false">IFERROR(VLOOKUP(A2288,NOMENCLATOR!$A:$E,4,0),"")</f>
        <v/>
      </c>
      <c r="F2288" s="21" t="str">
        <f aca="false">IF(OR(C2288="",E2288=""),"",C2288*E2288)</f>
        <v/>
      </c>
      <c r="G2288" s="22" t="str">
        <f aca="false">IFERROR(VLOOKUP(A2288,NOMENCLATOR!$A:$E,5,0),"")</f>
        <v/>
      </c>
      <c r="H2288" s="22" t="str">
        <f aca="false">IF(OR(C2288="",G2288=""),"",C2288*G2288)</f>
        <v/>
      </c>
    </row>
    <row r="2289" customFormat="false" ht="15" hidden="false" customHeight="true" outlineLevel="0" collapsed="false">
      <c r="A2289" s="17"/>
      <c r="B2289" s="18" t="str">
        <f aca="false">IFERROR(VLOOKUP(A2289,NOMENCLATOR!$A:$E,2,0),"")</f>
        <v/>
      </c>
      <c r="C2289" s="19"/>
      <c r="D2289" s="20" t="str">
        <f aca="false">IFERROR(VLOOKUP(A2289,NOMENCLATOR!$A:$E,3,0),"")</f>
        <v/>
      </c>
      <c r="E2289" s="21" t="str">
        <f aca="false">IFERROR(VLOOKUP(A2289,NOMENCLATOR!$A:$E,4,0),"")</f>
        <v/>
      </c>
      <c r="F2289" s="21" t="str">
        <f aca="false">IF(OR(C2289="",E2289=""),"",C2289*E2289)</f>
        <v/>
      </c>
      <c r="G2289" s="22" t="str">
        <f aca="false">IFERROR(VLOOKUP(A2289,NOMENCLATOR!$A:$E,5,0),"")</f>
        <v/>
      </c>
      <c r="H2289" s="22" t="str">
        <f aca="false">IF(OR(C2289="",G2289=""),"",C2289*G2289)</f>
        <v/>
      </c>
    </row>
    <row r="2290" customFormat="false" ht="15" hidden="false" customHeight="true" outlineLevel="0" collapsed="false">
      <c r="A2290" s="17"/>
      <c r="B2290" s="18" t="str">
        <f aca="false">IFERROR(VLOOKUP(A2290,NOMENCLATOR!$A:$E,2,0),"")</f>
        <v/>
      </c>
      <c r="C2290" s="19"/>
      <c r="D2290" s="20" t="str">
        <f aca="false">IFERROR(VLOOKUP(A2290,NOMENCLATOR!$A:$E,3,0),"")</f>
        <v/>
      </c>
      <c r="E2290" s="21" t="str">
        <f aca="false">IFERROR(VLOOKUP(A2290,NOMENCLATOR!$A:$E,4,0),"")</f>
        <v/>
      </c>
      <c r="F2290" s="21" t="str">
        <f aca="false">IF(OR(C2290="",E2290=""),"",C2290*E2290)</f>
        <v/>
      </c>
      <c r="G2290" s="22" t="str">
        <f aca="false">IFERROR(VLOOKUP(A2290,NOMENCLATOR!$A:$E,5,0),"")</f>
        <v/>
      </c>
      <c r="H2290" s="22" t="str">
        <f aca="false">IF(OR(C2290="",G2290=""),"",C2290*G2290)</f>
        <v/>
      </c>
    </row>
    <row r="2291" customFormat="false" ht="15" hidden="false" customHeight="true" outlineLevel="0" collapsed="false">
      <c r="A2291" s="17"/>
      <c r="B2291" s="18" t="str">
        <f aca="false">IFERROR(VLOOKUP(A2291,NOMENCLATOR!$A:$E,2,0),"")</f>
        <v/>
      </c>
      <c r="C2291" s="19"/>
      <c r="D2291" s="20" t="str">
        <f aca="false">IFERROR(VLOOKUP(A2291,NOMENCLATOR!$A:$E,3,0),"")</f>
        <v/>
      </c>
      <c r="E2291" s="21" t="str">
        <f aca="false">IFERROR(VLOOKUP(A2291,NOMENCLATOR!$A:$E,4,0),"")</f>
        <v/>
      </c>
      <c r="F2291" s="21" t="str">
        <f aca="false">IF(OR(C2291="",E2291=""),"",C2291*E2291)</f>
        <v/>
      </c>
      <c r="G2291" s="22" t="str">
        <f aca="false">IFERROR(VLOOKUP(A2291,NOMENCLATOR!$A:$E,5,0),"")</f>
        <v/>
      </c>
      <c r="H2291" s="22" t="str">
        <f aca="false">IF(OR(C2291="",G2291=""),"",C2291*G2291)</f>
        <v/>
      </c>
    </row>
    <row r="2292" customFormat="false" ht="15" hidden="false" customHeight="true" outlineLevel="0" collapsed="false">
      <c r="A2292" s="17"/>
      <c r="B2292" s="18" t="str">
        <f aca="false">IFERROR(VLOOKUP(A2292,NOMENCLATOR!$A:$E,2,0),"")</f>
        <v/>
      </c>
      <c r="C2292" s="19"/>
      <c r="D2292" s="20" t="str">
        <f aca="false">IFERROR(VLOOKUP(A2292,NOMENCLATOR!$A:$E,3,0),"")</f>
        <v/>
      </c>
      <c r="E2292" s="21" t="str">
        <f aca="false">IFERROR(VLOOKUP(A2292,NOMENCLATOR!$A:$E,4,0),"")</f>
        <v/>
      </c>
      <c r="F2292" s="21" t="str">
        <f aca="false">IF(OR(C2292="",E2292=""),"",C2292*E2292)</f>
        <v/>
      </c>
      <c r="G2292" s="22" t="str">
        <f aca="false">IFERROR(VLOOKUP(A2292,NOMENCLATOR!$A:$E,5,0),"")</f>
        <v/>
      </c>
      <c r="H2292" s="22" t="str">
        <f aca="false">IF(OR(C2292="",G2292=""),"",C2292*G2292)</f>
        <v/>
      </c>
    </row>
    <row r="2293" customFormat="false" ht="15" hidden="false" customHeight="true" outlineLevel="0" collapsed="false">
      <c r="A2293" s="23" t="str">
        <f aca="false">IF(A2281="","",A2281)</f>
        <v/>
      </c>
      <c r="B2293" s="24"/>
      <c r="C2293" s="24"/>
      <c r="D2293" s="24"/>
      <c r="E2293" s="24"/>
      <c r="F2293" s="25" t="str">
        <f aca="false">IF(A2281="","",SUM(F2283:F2292))</f>
        <v/>
      </c>
      <c r="G2293" s="24"/>
      <c r="H2293" s="26" t="str">
        <f aca="false">IF(A2281="","",SUM(H2283:H2292))</f>
        <v/>
      </c>
    </row>
    <row r="2295" customFormat="false" ht="15" hidden="false" customHeight="true" outlineLevel="0" collapsed="false">
      <c r="A2295" s="12"/>
      <c r="B2295" s="13"/>
      <c r="C2295" s="13"/>
      <c r="D2295" s="13"/>
      <c r="E2295" s="13"/>
      <c r="F2295" s="13"/>
      <c r="G2295" s="13"/>
      <c r="H2295" s="15"/>
    </row>
    <row r="2296" customFormat="false" ht="15" hidden="false" customHeight="true" outlineLevel="0" collapsed="false">
      <c r="A2296" s="16" t="s">
        <v>316</v>
      </c>
      <c r="B2296" s="16" t="s">
        <v>317</v>
      </c>
      <c r="C2296" s="16" t="s">
        <v>318</v>
      </c>
      <c r="D2296" s="16" t="s">
        <v>4</v>
      </c>
      <c r="E2296" s="16" t="s">
        <v>319</v>
      </c>
      <c r="F2296" s="16" t="s">
        <v>320</v>
      </c>
      <c r="G2296" s="16" t="s">
        <v>321</v>
      </c>
      <c r="H2296" s="16" t="s">
        <v>322</v>
      </c>
    </row>
    <row r="2297" customFormat="false" ht="15" hidden="false" customHeight="true" outlineLevel="0" collapsed="false">
      <c r="A2297" s="17"/>
      <c r="B2297" s="18" t="str">
        <f aca="false">IFERROR(VLOOKUP(A2297,NOMENCLATOR!$A:$E,2,0),"")</f>
        <v/>
      </c>
      <c r="C2297" s="19"/>
      <c r="D2297" s="20" t="str">
        <f aca="false">IFERROR(VLOOKUP(A2297,NOMENCLATOR!$A:$E,3,0),"")</f>
        <v/>
      </c>
      <c r="E2297" s="21" t="str">
        <f aca="false">IFERROR(VLOOKUP(A2297,NOMENCLATOR!$A:$E,4,0),"")</f>
        <v/>
      </c>
      <c r="F2297" s="21" t="str">
        <f aca="false">IF(OR(C2297="",E2297=""),"",C2297*E2297)</f>
        <v/>
      </c>
      <c r="G2297" s="22" t="str">
        <f aca="false">IFERROR(VLOOKUP(A2297,NOMENCLATOR!$A:$E,5,0),"")</f>
        <v/>
      </c>
      <c r="H2297" s="22" t="str">
        <f aca="false">IF(OR(C2297="",G2297=""),"",C2297*G2297)</f>
        <v/>
      </c>
    </row>
    <row r="2298" customFormat="false" ht="15" hidden="false" customHeight="true" outlineLevel="0" collapsed="false">
      <c r="A2298" s="17"/>
      <c r="B2298" s="18" t="str">
        <f aca="false">IFERROR(VLOOKUP(A2298,NOMENCLATOR!$A:$E,2,0),"")</f>
        <v/>
      </c>
      <c r="C2298" s="19"/>
      <c r="D2298" s="20" t="str">
        <f aca="false">IFERROR(VLOOKUP(A2298,NOMENCLATOR!$A:$E,3,0),"")</f>
        <v/>
      </c>
      <c r="E2298" s="21" t="str">
        <f aca="false">IFERROR(VLOOKUP(A2298,NOMENCLATOR!$A:$E,4,0),"")</f>
        <v/>
      </c>
      <c r="F2298" s="21" t="str">
        <f aca="false">IF(OR(C2298="",E2298=""),"",C2298*E2298)</f>
        <v/>
      </c>
      <c r="G2298" s="22" t="str">
        <f aca="false">IFERROR(VLOOKUP(A2298,NOMENCLATOR!$A:$E,5,0),"")</f>
        <v/>
      </c>
      <c r="H2298" s="22" t="str">
        <f aca="false">IF(OR(C2298="",G2298=""),"",C2298*G2298)</f>
        <v/>
      </c>
    </row>
    <row r="2299" customFormat="false" ht="15" hidden="false" customHeight="true" outlineLevel="0" collapsed="false">
      <c r="A2299" s="17"/>
      <c r="B2299" s="18" t="str">
        <f aca="false">IFERROR(VLOOKUP(A2299,NOMENCLATOR!$A:$E,2,0),"")</f>
        <v/>
      </c>
      <c r="C2299" s="19"/>
      <c r="D2299" s="20" t="str">
        <f aca="false">IFERROR(VLOOKUP(A2299,NOMENCLATOR!$A:$E,3,0),"")</f>
        <v/>
      </c>
      <c r="E2299" s="21" t="str">
        <f aca="false">IFERROR(VLOOKUP(A2299,NOMENCLATOR!$A:$E,4,0),"")</f>
        <v/>
      </c>
      <c r="F2299" s="21" t="str">
        <f aca="false">IF(OR(C2299="",E2299=""),"",C2299*E2299)</f>
        <v/>
      </c>
      <c r="G2299" s="22" t="str">
        <f aca="false">IFERROR(VLOOKUP(A2299,NOMENCLATOR!$A:$E,5,0),"")</f>
        <v/>
      </c>
      <c r="H2299" s="22" t="str">
        <f aca="false">IF(OR(C2299="",G2299=""),"",C2299*G2299)</f>
        <v/>
      </c>
    </row>
    <row r="2300" customFormat="false" ht="15" hidden="false" customHeight="true" outlineLevel="0" collapsed="false">
      <c r="A2300" s="17"/>
      <c r="B2300" s="18" t="str">
        <f aca="false">IFERROR(VLOOKUP(A2300,NOMENCLATOR!$A:$E,2,0),"")</f>
        <v/>
      </c>
      <c r="C2300" s="19"/>
      <c r="D2300" s="20" t="str">
        <f aca="false">IFERROR(VLOOKUP(A2300,NOMENCLATOR!$A:$E,3,0),"")</f>
        <v/>
      </c>
      <c r="E2300" s="21" t="str">
        <f aca="false">IFERROR(VLOOKUP(A2300,NOMENCLATOR!$A:$E,4,0),"")</f>
        <v/>
      </c>
      <c r="F2300" s="21" t="str">
        <f aca="false">IF(OR(C2300="",E2300=""),"",C2300*E2300)</f>
        <v/>
      </c>
      <c r="G2300" s="22" t="str">
        <f aca="false">IFERROR(VLOOKUP(A2300,NOMENCLATOR!$A:$E,5,0),"")</f>
        <v/>
      </c>
      <c r="H2300" s="22" t="str">
        <f aca="false">IF(OR(C2300="",G2300=""),"",C2300*G2300)</f>
        <v/>
      </c>
    </row>
    <row r="2301" customFormat="false" ht="15" hidden="false" customHeight="true" outlineLevel="0" collapsed="false">
      <c r="A2301" s="17"/>
      <c r="B2301" s="18" t="str">
        <f aca="false">IFERROR(VLOOKUP(A2301,NOMENCLATOR!$A:$E,2,0),"")</f>
        <v/>
      </c>
      <c r="C2301" s="19"/>
      <c r="D2301" s="20" t="str">
        <f aca="false">IFERROR(VLOOKUP(A2301,NOMENCLATOR!$A:$E,3,0),"")</f>
        <v/>
      </c>
      <c r="E2301" s="21" t="str">
        <f aca="false">IFERROR(VLOOKUP(A2301,NOMENCLATOR!$A:$E,4,0),"")</f>
        <v/>
      </c>
      <c r="F2301" s="21" t="str">
        <f aca="false">IF(OR(C2301="",E2301=""),"",C2301*E2301)</f>
        <v/>
      </c>
      <c r="G2301" s="22" t="str">
        <f aca="false">IFERROR(VLOOKUP(A2301,NOMENCLATOR!$A:$E,5,0),"")</f>
        <v/>
      </c>
      <c r="H2301" s="22" t="str">
        <f aca="false">IF(OR(C2301="",G2301=""),"",C2301*G2301)</f>
        <v/>
      </c>
    </row>
    <row r="2302" customFormat="false" ht="15" hidden="false" customHeight="true" outlineLevel="0" collapsed="false">
      <c r="A2302" s="17"/>
      <c r="B2302" s="18" t="str">
        <f aca="false">IFERROR(VLOOKUP(A2302,NOMENCLATOR!$A:$E,2,0),"")</f>
        <v/>
      </c>
      <c r="C2302" s="19"/>
      <c r="D2302" s="20" t="str">
        <f aca="false">IFERROR(VLOOKUP(A2302,NOMENCLATOR!$A:$E,3,0),"")</f>
        <v/>
      </c>
      <c r="E2302" s="21" t="str">
        <f aca="false">IFERROR(VLOOKUP(A2302,NOMENCLATOR!$A:$E,4,0),"")</f>
        <v/>
      </c>
      <c r="F2302" s="21" t="str">
        <f aca="false">IF(OR(C2302="",E2302=""),"",C2302*E2302)</f>
        <v/>
      </c>
      <c r="G2302" s="22" t="str">
        <f aca="false">IFERROR(VLOOKUP(A2302,NOMENCLATOR!$A:$E,5,0),"")</f>
        <v/>
      </c>
      <c r="H2302" s="22" t="str">
        <f aca="false">IF(OR(C2302="",G2302=""),"",C2302*G2302)</f>
        <v/>
      </c>
    </row>
    <row r="2303" customFormat="false" ht="15" hidden="false" customHeight="true" outlineLevel="0" collapsed="false">
      <c r="A2303" s="17"/>
      <c r="B2303" s="18" t="str">
        <f aca="false">IFERROR(VLOOKUP(A2303,NOMENCLATOR!$A:$E,2,0),"")</f>
        <v/>
      </c>
      <c r="C2303" s="19"/>
      <c r="D2303" s="20" t="str">
        <f aca="false">IFERROR(VLOOKUP(A2303,NOMENCLATOR!$A:$E,3,0),"")</f>
        <v/>
      </c>
      <c r="E2303" s="21" t="str">
        <f aca="false">IFERROR(VLOOKUP(A2303,NOMENCLATOR!$A:$E,4,0),"")</f>
        <v/>
      </c>
      <c r="F2303" s="21" t="str">
        <f aca="false">IF(OR(C2303="",E2303=""),"",C2303*E2303)</f>
        <v/>
      </c>
      <c r="G2303" s="22" t="str">
        <f aca="false">IFERROR(VLOOKUP(A2303,NOMENCLATOR!$A:$E,5,0),"")</f>
        <v/>
      </c>
      <c r="H2303" s="22" t="str">
        <f aca="false">IF(OR(C2303="",G2303=""),"",C2303*G2303)</f>
        <v/>
      </c>
    </row>
    <row r="2304" customFormat="false" ht="15" hidden="false" customHeight="true" outlineLevel="0" collapsed="false">
      <c r="A2304" s="17"/>
      <c r="B2304" s="18" t="str">
        <f aca="false">IFERROR(VLOOKUP(A2304,NOMENCLATOR!$A:$E,2,0),"")</f>
        <v/>
      </c>
      <c r="C2304" s="19"/>
      <c r="D2304" s="20" t="str">
        <f aca="false">IFERROR(VLOOKUP(A2304,NOMENCLATOR!$A:$E,3,0),"")</f>
        <v/>
      </c>
      <c r="E2304" s="21" t="str">
        <f aca="false">IFERROR(VLOOKUP(A2304,NOMENCLATOR!$A:$E,4,0),"")</f>
        <v/>
      </c>
      <c r="F2304" s="21" t="str">
        <f aca="false">IF(OR(C2304="",E2304=""),"",C2304*E2304)</f>
        <v/>
      </c>
      <c r="G2304" s="22" t="str">
        <f aca="false">IFERROR(VLOOKUP(A2304,NOMENCLATOR!$A:$E,5,0),"")</f>
        <v/>
      </c>
      <c r="H2304" s="22" t="str">
        <f aca="false">IF(OR(C2304="",G2304=""),"",C2304*G2304)</f>
        <v/>
      </c>
    </row>
    <row r="2305" customFormat="false" ht="15" hidden="false" customHeight="true" outlineLevel="0" collapsed="false">
      <c r="A2305" s="17"/>
      <c r="B2305" s="18" t="str">
        <f aca="false">IFERROR(VLOOKUP(A2305,NOMENCLATOR!$A:$E,2,0),"")</f>
        <v/>
      </c>
      <c r="C2305" s="19"/>
      <c r="D2305" s="20" t="str">
        <f aca="false">IFERROR(VLOOKUP(A2305,NOMENCLATOR!$A:$E,3,0),"")</f>
        <v/>
      </c>
      <c r="E2305" s="21" t="str">
        <f aca="false">IFERROR(VLOOKUP(A2305,NOMENCLATOR!$A:$E,4,0),"")</f>
        <v/>
      </c>
      <c r="F2305" s="21" t="str">
        <f aca="false">IF(OR(C2305="",E2305=""),"",C2305*E2305)</f>
        <v/>
      </c>
      <c r="G2305" s="22" t="str">
        <f aca="false">IFERROR(VLOOKUP(A2305,NOMENCLATOR!$A:$E,5,0),"")</f>
        <v/>
      </c>
      <c r="H2305" s="22" t="str">
        <f aca="false">IF(OR(C2305="",G2305=""),"",C2305*G2305)</f>
        <v/>
      </c>
    </row>
    <row r="2306" customFormat="false" ht="15" hidden="false" customHeight="true" outlineLevel="0" collapsed="false">
      <c r="A2306" s="17"/>
      <c r="B2306" s="18" t="str">
        <f aca="false">IFERROR(VLOOKUP(A2306,NOMENCLATOR!$A:$E,2,0),"")</f>
        <v/>
      </c>
      <c r="C2306" s="19"/>
      <c r="D2306" s="20" t="str">
        <f aca="false">IFERROR(VLOOKUP(A2306,NOMENCLATOR!$A:$E,3,0),"")</f>
        <v/>
      </c>
      <c r="E2306" s="21" t="str">
        <f aca="false">IFERROR(VLOOKUP(A2306,NOMENCLATOR!$A:$E,4,0),"")</f>
        <v/>
      </c>
      <c r="F2306" s="21" t="str">
        <f aca="false">IF(OR(C2306="",E2306=""),"",C2306*E2306)</f>
        <v/>
      </c>
      <c r="G2306" s="22" t="str">
        <f aca="false">IFERROR(VLOOKUP(A2306,NOMENCLATOR!$A:$E,5,0),"")</f>
        <v/>
      </c>
      <c r="H2306" s="22" t="str">
        <f aca="false">IF(OR(C2306="",G2306=""),"",C2306*G2306)</f>
        <v/>
      </c>
    </row>
    <row r="2307" customFormat="false" ht="15" hidden="false" customHeight="true" outlineLevel="0" collapsed="false">
      <c r="A2307" s="23" t="str">
        <f aca="false">IF(A2295="","",A2295)</f>
        <v/>
      </c>
      <c r="B2307" s="24"/>
      <c r="C2307" s="24"/>
      <c r="D2307" s="24"/>
      <c r="E2307" s="24"/>
      <c r="F2307" s="25" t="str">
        <f aca="false">IF(A2295="","",SUM(F2297:F2306))</f>
        <v/>
      </c>
      <c r="G2307" s="24"/>
      <c r="H2307" s="26" t="str">
        <f aca="false">IF(A2295="","",SUM(H2297:H2306))</f>
        <v/>
      </c>
    </row>
    <row r="2309" customFormat="false" ht="15" hidden="false" customHeight="true" outlineLevel="0" collapsed="false">
      <c r="A2309" s="12"/>
      <c r="B2309" s="13"/>
      <c r="C2309" s="13"/>
      <c r="D2309" s="13"/>
      <c r="E2309" s="13"/>
      <c r="F2309" s="13"/>
      <c r="G2309" s="13"/>
      <c r="H2309" s="15"/>
    </row>
    <row r="2310" customFormat="false" ht="15" hidden="false" customHeight="true" outlineLevel="0" collapsed="false">
      <c r="A2310" s="16" t="s">
        <v>316</v>
      </c>
      <c r="B2310" s="16" t="s">
        <v>317</v>
      </c>
      <c r="C2310" s="16" t="s">
        <v>318</v>
      </c>
      <c r="D2310" s="16" t="s">
        <v>4</v>
      </c>
      <c r="E2310" s="16" t="s">
        <v>319</v>
      </c>
      <c r="F2310" s="16" t="s">
        <v>320</v>
      </c>
      <c r="G2310" s="16" t="s">
        <v>321</v>
      </c>
      <c r="H2310" s="16" t="s">
        <v>322</v>
      </c>
    </row>
    <row r="2311" customFormat="false" ht="15" hidden="false" customHeight="true" outlineLevel="0" collapsed="false">
      <c r="A2311" s="17"/>
      <c r="B2311" s="18" t="str">
        <f aca="false">IFERROR(VLOOKUP(A2311,NOMENCLATOR!$A:$E,2,0),"")</f>
        <v/>
      </c>
      <c r="C2311" s="19"/>
      <c r="D2311" s="20" t="str">
        <f aca="false">IFERROR(VLOOKUP(A2311,NOMENCLATOR!$A:$E,3,0),"")</f>
        <v/>
      </c>
      <c r="E2311" s="21" t="str">
        <f aca="false">IFERROR(VLOOKUP(A2311,NOMENCLATOR!$A:$E,4,0),"")</f>
        <v/>
      </c>
      <c r="F2311" s="21" t="str">
        <f aca="false">IF(OR(C2311="",E2311=""),"",C2311*E2311)</f>
        <v/>
      </c>
      <c r="G2311" s="22" t="str">
        <f aca="false">IFERROR(VLOOKUP(A2311,NOMENCLATOR!$A:$E,5,0),"")</f>
        <v/>
      </c>
      <c r="H2311" s="22" t="str">
        <f aca="false">IF(OR(C2311="",G2311=""),"",C2311*G2311)</f>
        <v/>
      </c>
    </row>
    <row r="2312" customFormat="false" ht="15" hidden="false" customHeight="true" outlineLevel="0" collapsed="false">
      <c r="A2312" s="17"/>
      <c r="B2312" s="18" t="str">
        <f aca="false">IFERROR(VLOOKUP(A2312,NOMENCLATOR!$A:$E,2,0),"")</f>
        <v/>
      </c>
      <c r="C2312" s="19"/>
      <c r="D2312" s="20" t="str">
        <f aca="false">IFERROR(VLOOKUP(A2312,NOMENCLATOR!$A:$E,3,0),"")</f>
        <v/>
      </c>
      <c r="E2312" s="21" t="str">
        <f aca="false">IFERROR(VLOOKUP(A2312,NOMENCLATOR!$A:$E,4,0),"")</f>
        <v/>
      </c>
      <c r="F2312" s="21" t="str">
        <f aca="false">IF(OR(C2312="",E2312=""),"",C2312*E2312)</f>
        <v/>
      </c>
      <c r="G2312" s="22" t="str">
        <f aca="false">IFERROR(VLOOKUP(A2312,NOMENCLATOR!$A:$E,5,0),"")</f>
        <v/>
      </c>
      <c r="H2312" s="22" t="str">
        <f aca="false">IF(OR(C2312="",G2312=""),"",C2312*G2312)</f>
        <v/>
      </c>
    </row>
    <row r="2313" customFormat="false" ht="15" hidden="false" customHeight="true" outlineLevel="0" collapsed="false">
      <c r="A2313" s="17"/>
      <c r="B2313" s="18" t="str">
        <f aca="false">IFERROR(VLOOKUP(A2313,NOMENCLATOR!$A:$E,2,0),"")</f>
        <v/>
      </c>
      <c r="C2313" s="19"/>
      <c r="D2313" s="20" t="str">
        <f aca="false">IFERROR(VLOOKUP(A2313,NOMENCLATOR!$A:$E,3,0),"")</f>
        <v/>
      </c>
      <c r="E2313" s="21" t="str">
        <f aca="false">IFERROR(VLOOKUP(A2313,NOMENCLATOR!$A:$E,4,0),"")</f>
        <v/>
      </c>
      <c r="F2313" s="21" t="str">
        <f aca="false">IF(OR(C2313="",E2313=""),"",C2313*E2313)</f>
        <v/>
      </c>
      <c r="G2313" s="22" t="str">
        <f aca="false">IFERROR(VLOOKUP(A2313,NOMENCLATOR!$A:$E,5,0),"")</f>
        <v/>
      </c>
      <c r="H2313" s="22" t="str">
        <f aca="false">IF(OR(C2313="",G2313=""),"",C2313*G2313)</f>
        <v/>
      </c>
    </row>
    <row r="2314" customFormat="false" ht="15" hidden="false" customHeight="true" outlineLevel="0" collapsed="false">
      <c r="A2314" s="17"/>
      <c r="B2314" s="18" t="str">
        <f aca="false">IFERROR(VLOOKUP(A2314,NOMENCLATOR!$A:$E,2,0),"")</f>
        <v/>
      </c>
      <c r="C2314" s="19"/>
      <c r="D2314" s="20" t="str">
        <f aca="false">IFERROR(VLOOKUP(A2314,NOMENCLATOR!$A:$E,3,0),"")</f>
        <v/>
      </c>
      <c r="E2314" s="21" t="str">
        <f aca="false">IFERROR(VLOOKUP(A2314,NOMENCLATOR!$A:$E,4,0),"")</f>
        <v/>
      </c>
      <c r="F2314" s="21" t="str">
        <f aca="false">IF(OR(C2314="",E2314=""),"",C2314*E2314)</f>
        <v/>
      </c>
      <c r="G2314" s="22" t="str">
        <f aca="false">IFERROR(VLOOKUP(A2314,NOMENCLATOR!$A:$E,5,0),"")</f>
        <v/>
      </c>
      <c r="H2314" s="22" t="str">
        <f aca="false">IF(OR(C2314="",G2314=""),"",C2314*G2314)</f>
        <v/>
      </c>
    </row>
    <row r="2315" customFormat="false" ht="15" hidden="false" customHeight="true" outlineLevel="0" collapsed="false">
      <c r="A2315" s="17"/>
      <c r="B2315" s="18" t="str">
        <f aca="false">IFERROR(VLOOKUP(A2315,NOMENCLATOR!$A:$E,2,0),"")</f>
        <v/>
      </c>
      <c r="C2315" s="19"/>
      <c r="D2315" s="20" t="str">
        <f aca="false">IFERROR(VLOOKUP(A2315,NOMENCLATOR!$A:$E,3,0),"")</f>
        <v/>
      </c>
      <c r="E2315" s="21" t="str">
        <f aca="false">IFERROR(VLOOKUP(A2315,NOMENCLATOR!$A:$E,4,0),"")</f>
        <v/>
      </c>
      <c r="F2315" s="21" t="str">
        <f aca="false">IF(OR(C2315="",E2315=""),"",C2315*E2315)</f>
        <v/>
      </c>
      <c r="G2315" s="22" t="str">
        <f aca="false">IFERROR(VLOOKUP(A2315,NOMENCLATOR!$A:$E,5,0),"")</f>
        <v/>
      </c>
      <c r="H2315" s="22" t="str">
        <f aca="false">IF(OR(C2315="",G2315=""),"",C2315*G2315)</f>
        <v/>
      </c>
    </row>
    <row r="2316" customFormat="false" ht="15" hidden="false" customHeight="true" outlineLevel="0" collapsed="false">
      <c r="A2316" s="17"/>
      <c r="B2316" s="18" t="str">
        <f aca="false">IFERROR(VLOOKUP(A2316,NOMENCLATOR!$A:$E,2,0),"")</f>
        <v/>
      </c>
      <c r="C2316" s="19"/>
      <c r="D2316" s="20" t="str">
        <f aca="false">IFERROR(VLOOKUP(A2316,NOMENCLATOR!$A:$E,3,0),"")</f>
        <v/>
      </c>
      <c r="E2316" s="21" t="str">
        <f aca="false">IFERROR(VLOOKUP(A2316,NOMENCLATOR!$A:$E,4,0),"")</f>
        <v/>
      </c>
      <c r="F2316" s="21" t="str">
        <f aca="false">IF(OR(C2316="",E2316=""),"",C2316*E2316)</f>
        <v/>
      </c>
      <c r="G2316" s="22" t="str">
        <f aca="false">IFERROR(VLOOKUP(A2316,NOMENCLATOR!$A:$E,5,0),"")</f>
        <v/>
      </c>
      <c r="H2316" s="22" t="str">
        <f aca="false">IF(OR(C2316="",G2316=""),"",C2316*G2316)</f>
        <v/>
      </c>
    </row>
    <row r="2317" customFormat="false" ht="15" hidden="false" customHeight="true" outlineLevel="0" collapsed="false">
      <c r="A2317" s="17"/>
      <c r="B2317" s="18" t="str">
        <f aca="false">IFERROR(VLOOKUP(A2317,NOMENCLATOR!$A:$E,2,0),"")</f>
        <v/>
      </c>
      <c r="C2317" s="19"/>
      <c r="D2317" s="20" t="str">
        <f aca="false">IFERROR(VLOOKUP(A2317,NOMENCLATOR!$A:$E,3,0),"")</f>
        <v/>
      </c>
      <c r="E2317" s="21" t="str">
        <f aca="false">IFERROR(VLOOKUP(A2317,NOMENCLATOR!$A:$E,4,0),"")</f>
        <v/>
      </c>
      <c r="F2317" s="21" t="str">
        <f aca="false">IF(OR(C2317="",E2317=""),"",C2317*E2317)</f>
        <v/>
      </c>
      <c r="G2317" s="22" t="str">
        <f aca="false">IFERROR(VLOOKUP(A2317,NOMENCLATOR!$A:$E,5,0),"")</f>
        <v/>
      </c>
      <c r="H2317" s="22" t="str">
        <f aca="false">IF(OR(C2317="",G2317=""),"",C2317*G2317)</f>
        <v/>
      </c>
    </row>
    <row r="2318" customFormat="false" ht="15" hidden="false" customHeight="true" outlineLevel="0" collapsed="false">
      <c r="A2318" s="17"/>
      <c r="B2318" s="18" t="str">
        <f aca="false">IFERROR(VLOOKUP(A2318,NOMENCLATOR!$A:$E,2,0),"")</f>
        <v/>
      </c>
      <c r="C2318" s="19"/>
      <c r="D2318" s="20" t="str">
        <f aca="false">IFERROR(VLOOKUP(A2318,NOMENCLATOR!$A:$E,3,0),"")</f>
        <v/>
      </c>
      <c r="E2318" s="21" t="str">
        <f aca="false">IFERROR(VLOOKUP(A2318,NOMENCLATOR!$A:$E,4,0),"")</f>
        <v/>
      </c>
      <c r="F2318" s="21" t="str">
        <f aca="false">IF(OR(C2318="",E2318=""),"",C2318*E2318)</f>
        <v/>
      </c>
      <c r="G2318" s="22" t="str">
        <f aca="false">IFERROR(VLOOKUP(A2318,NOMENCLATOR!$A:$E,5,0),"")</f>
        <v/>
      </c>
      <c r="H2318" s="22" t="str">
        <f aca="false">IF(OR(C2318="",G2318=""),"",C2318*G2318)</f>
        <v/>
      </c>
    </row>
    <row r="2319" customFormat="false" ht="15" hidden="false" customHeight="true" outlineLevel="0" collapsed="false">
      <c r="A2319" s="17"/>
      <c r="B2319" s="18" t="str">
        <f aca="false">IFERROR(VLOOKUP(A2319,NOMENCLATOR!$A:$E,2,0),"")</f>
        <v/>
      </c>
      <c r="C2319" s="19"/>
      <c r="D2319" s="20" t="str">
        <f aca="false">IFERROR(VLOOKUP(A2319,NOMENCLATOR!$A:$E,3,0),"")</f>
        <v/>
      </c>
      <c r="E2319" s="21" t="str">
        <f aca="false">IFERROR(VLOOKUP(A2319,NOMENCLATOR!$A:$E,4,0),"")</f>
        <v/>
      </c>
      <c r="F2319" s="21" t="str">
        <f aca="false">IF(OR(C2319="",E2319=""),"",C2319*E2319)</f>
        <v/>
      </c>
      <c r="G2319" s="22" t="str">
        <f aca="false">IFERROR(VLOOKUP(A2319,NOMENCLATOR!$A:$E,5,0),"")</f>
        <v/>
      </c>
      <c r="H2319" s="22" t="str">
        <f aca="false">IF(OR(C2319="",G2319=""),"",C2319*G2319)</f>
        <v/>
      </c>
    </row>
    <row r="2320" customFormat="false" ht="15" hidden="false" customHeight="true" outlineLevel="0" collapsed="false">
      <c r="A2320" s="17"/>
      <c r="B2320" s="18" t="str">
        <f aca="false">IFERROR(VLOOKUP(A2320,NOMENCLATOR!$A:$E,2,0),"")</f>
        <v/>
      </c>
      <c r="C2320" s="19"/>
      <c r="D2320" s="20" t="str">
        <f aca="false">IFERROR(VLOOKUP(A2320,NOMENCLATOR!$A:$E,3,0),"")</f>
        <v/>
      </c>
      <c r="E2320" s="21" t="str">
        <f aca="false">IFERROR(VLOOKUP(A2320,NOMENCLATOR!$A:$E,4,0),"")</f>
        <v/>
      </c>
      <c r="F2320" s="21" t="str">
        <f aca="false">IF(OR(C2320="",E2320=""),"",C2320*E2320)</f>
        <v/>
      </c>
      <c r="G2320" s="22" t="str">
        <f aca="false">IFERROR(VLOOKUP(A2320,NOMENCLATOR!$A:$E,5,0),"")</f>
        <v/>
      </c>
      <c r="H2320" s="22" t="str">
        <f aca="false">IF(OR(C2320="",G2320=""),"",C2320*G2320)</f>
        <v/>
      </c>
    </row>
    <row r="2321" customFormat="false" ht="15" hidden="false" customHeight="true" outlineLevel="0" collapsed="false">
      <c r="A2321" s="23" t="str">
        <f aca="false">IF(A2309="","",A2309)</f>
        <v/>
      </c>
      <c r="B2321" s="24"/>
      <c r="C2321" s="24"/>
      <c r="D2321" s="24"/>
      <c r="E2321" s="24"/>
      <c r="F2321" s="25" t="str">
        <f aca="false">IF(A2309="","",SUM(F2311:F2320))</f>
        <v/>
      </c>
      <c r="G2321" s="24"/>
      <c r="H2321" s="26" t="str">
        <f aca="false">IF(A2309="","",SUM(H2311:H2320))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32"/>
    <col collapsed="false" customWidth="true" hidden="false" outlineLevel="0" max="3" min="3" style="1" width="15"/>
    <col collapsed="false" customWidth="true" hidden="false" outlineLevel="0" max="4" min="4" style="1" width="9"/>
    <col collapsed="false" customWidth="true" hidden="false" outlineLevel="0" max="5" min="5" style="1" width="8"/>
    <col collapsed="false" customWidth="true" hidden="false" outlineLevel="0" max="6" min="6" style="1" width="7"/>
    <col collapsed="false" customWidth="true" hidden="false" outlineLevel="0" max="9" min="7" style="1" width="9"/>
    <col collapsed="false" customWidth="true" hidden="false" outlineLevel="0" max="10" min="10" style="1" width="10"/>
    <col collapsed="false" customWidth="true" hidden="false" outlineLevel="0" max="12" min="11" style="1" width="9"/>
    <col collapsed="false" customWidth="true" hidden="false" outlineLevel="0" max="13" min="13" style="1" width="26"/>
    <col collapsed="false" customWidth="true" hidden="false" outlineLevel="0" max="16" min="14" style="1" width="9"/>
    <col collapsed="false" customWidth="true" hidden="false" outlineLevel="0" max="25" min="17" style="1" width="11"/>
  </cols>
  <sheetData>
    <row r="1" customFormat="false" ht="17.25" hidden="false" customHeight="true" outlineLevel="0" collapsed="false">
      <c r="A1" s="2" t="s">
        <v>614</v>
      </c>
    </row>
    <row r="2" customFormat="false" ht="15" hidden="false" customHeight="true" outlineLevel="0" collapsed="false">
      <c r="A2" s="3" t="s">
        <v>615</v>
      </c>
    </row>
    <row r="4" customFormat="false" ht="23.25" hidden="false" customHeight="true" outlineLevel="0" collapsed="false">
      <c r="A4" s="4" t="s">
        <v>616</v>
      </c>
      <c r="B4" s="4" t="s">
        <v>617</v>
      </c>
      <c r="C4" s="4" t="s">
        <v>618</v>
      </c>
      <c r="D4" s="4" t="s">
        <v>619</v>
      </c>
      <c r="E4" s="4" t="s">
        <v>620</v>
      </c>
      <c r="F4" s="4" t="s">
        <v>621</v>
      </c>
      <c r="G4" s="4" t="s">
        <v>622</v>
      </c>
      <c r="H4" s="4" t="s">
        <v>623</v>
      </c>
      <c r="I4" s="4" t="s">
        <v>624</v>
      </c>
      <c r="J4" s="4" t="s">
        <v>625</v>
      </c>
      <c r="K4" s="4" t="s">
        <v>626</v>
      </c>
      <c r="L4" s="4" t="s">
        <v>627</v>
      </c>
      <c r="M4" s="4" t="s">
        <v>628</v>
      </c>
      <c r="N4" s="27" t="s">
        <v>629</v>
      </c>
      <c r="O4" s="27" t="s">
        <v>630</v>
      </c>
      <c r="P4" s="27" t="s">
        <v>631</v>
      </c>
      <c r="Q4" s="27" t="s">
        <v>632</v>
      </c>
      <c r="R4" s="27" t="s">
        <v>633</v>
      </c>
      <c r="S4" s="27" t="s">
        <v>634</v>
      </c>
      <c r="T4" s="27" t="s">
        <v>635</v>
      </c>
      <c r="U4" s="27" t="s">
        <v>636</v>
      </c>
      <c r="V4" s="27" t="s">
        <v>637</v>
      </c>
      <c r="W4" s="27" t="s">
        <v>638</v>
      </c>
      <c r="X4" s="27" t="s">
        <v>639</v>
      </c>
      <c r="Y4" s="27" t="s">
        <v>640</v>
      </c>
    </row>
    <row r="5" customFormat="false" ht="15" hidden="false" customHeight="true" outlineLevel="0" collapsed="false">
      <c r="A5" s="5" t="s">
        <v>641</v>
      </c>
      <c r="B5" s="5" t="s">
        <v>314</v>
      </c>
      <c r="C5" s="5" t="s">
        <v>315</v>
      </c>
      <c r="D5" s="5" t="s">
        <v>642</v>
      </c>
      <c r="E5" s="5" t="s">
        <v>643</v>
      </c>
      <c r="F5" s="28" t="n">
        <f aca="false">IF(E5="","",IF(E5="DRINKS",0.21,0.11))</f>
        <v>0.11</v>
      </c>
      <c r="G5" s="29" t="n">
        <f aca="false">IF(B5="","",SUMIF(RETETAR!A:A,B5,RETETAR!F:F))</f>
        <v>5.765942</v>
      </c>
      <c r="H5" s="30" t="n">
        <f aca="false">IF(B5="","",SUMIF(RETETAR!A:A,B5,RETETAR!H:H))</f>
        <v>6.183612</v>
      </c>
      <c r="I5" s="31" t="n">
        <v>8</v>
      </c>
      <c r="J5" s="32" t="n">
        <f aca="false">IF(OR(I5="",F5=""),"",I5/(1+F5))</f>
        <v>7.20720720720721</v>
      </c>
      <c r="K5" s="33" t="n">
        <f aca="false">IF(OR(G5="",G5=0,J5="",J5=0),"",G5/J5)</f>
        <v>0.8000244525</v>
      </c>
      <c r="L5" s="34" t="n">
        <f aca="false">IF(OR(H5="",H5=0,J5="",J5=0),"",H5/J5)</f>
        <v>0.857976165</v>
      </c>
      <c r="M5" s="35"/>
      <c r="N5" s="36" t="n">
        <v>0</v>
      </c>
      <c r="O5" s="36" t="n">
        <v>0.49</v>
      </c>
      <c r="P5" s="36" t="n">
        <v>0.5</v>
      </c>
      <c r="Q5" s="37" t="n">
        <f aca="false">IF(I5="","",I5+N(N5))</f>
        <v>8</v>
      </c>
      <c r="R5" s="37" t="n">
        <f aca="false">IF(OR(Q5="",F5=""),"",Q5/(1+F5))</f>
        <v>7.20720720720721</v>
      </c>
      <c r="S5" s="38" t="n">
        <f aca="false">IF(OR(H5="",H5=0,R5="",R5=0),"",H5/R5)</f>
        <v>0.857976165</v>
      </c>
      <c r="T5" s="39" t="n">
        <f aca="false">IF(I5="","",I5+N(N5+O5))</f>
        <v>8.49</v>
      </c>
      <c r="U5" s="39" t="n">
        <f aca="false">IF(OR(T5="",F5=""),"",T5/(1+F5))</f>
        <v>7.64864864864865</v>
      </c>
      <c r="V5" s="40" t="n">
        <f aca="false">IF(OR(H5="",H5=0,U5="",U5=0),"",H5/U5)</f>
        <v>0.808458106007067</v>
      </c>
      <c r="W5" s="41" t="n">
        <f aca="false">IF(I5="","",I5+N(N5+O5+P5))</f>
        <v>8.99</v>
      </c>
      <c r="X5" s="41" t="n">
        <f aca="false">IF(OR(W5="",F5=""),"",W5/(1+F5))</f>
        <v>8.0990990990991</v>
      </c>
      <c r="Y5" s="42" t="n">
        <f aca="false">IF(OR(H5="",H5=0,X5="",X5=0),"",H5/X5)</f>
        <v>0.763493806451613</v>
      </c>
    </row>
    <row r="6" customFormat="false" ht="15" hidden="false" customHeight="true" outlineLevel="0" collapsed="false">
      <c r="A6" s="5" t="s">
        <v>644</v>
      </c>
      <c r="B6" s="5" t="s">
        <v>323</v>
      </c>
      <c r="C6" s="5" t="s">
        <v>315</v>
      </c>
      <c r="D6" s="5" t="s">
        <v>645</v>
      </c>
      <c r="E6" s="5" t="s">
        <v>643</v>
      </c>
      <c r="F6" s="28" t="n">
        <f aca="false">IF(E6="","",IF(E6="DRINKS",0.21,0.11))</f>
        <v>0.11</v>
      </c>
      <c r="G6" s="29" t="n">
        <f aca="false">IF(B6="","",SUMIF(RETETAR!A:A,B6,RETETAR!F:F))</f>
        <v>5.765942</v>
      </c>
      <c r="H6" s="30" t="n">
        <f aca="false">IF(B6="","",SUMIF(RETETAR!A:A,B6,RETETAR!H:H))</f>
        <v>6.183612</v>
      </c>
      <c r="I6" s="31" t="n">
        <v>10</v>
      </c>
      <c r="J6" s="32" t="n">
        <f aca="false">IF(OR(I6="",F6=""),"",I6/(1+F6))</f>
        <v>9.00900900900901</v>
      </c>
      <c r="K6" s="33" t="n">
        <f aca="false">IF(OR(G6="",G6=0,J6="",J6=0),"",G6/J6)</f>
        <v>0.640019562</v>
      </c>
      <c r="L6" s="34" t="n">
        <f aca="false">IF(OR(H6="",H6=0,J6="",J6=0),"",H6/J6)</f>
        <v>0.686380932</v>
      </c>
      <c r="M6" s="35"/>
      <c r="N6" s="36" t="n">
        <v>0</v>
      </c>
      <c r="O6" s="36" t="n">
        <v>0.49</v>
      </c>
      <c r="P6" s="36" t="n">
        <v>0.5</v>
      </c>
      <c r="Q6" s="37" t="n">
        <f aca="false">IF(I6="","",I6+N(N6))</f>
        <v>10</v>
      </c>
      <c r="R6" s="37" t="n">
        <f aca="false">IF(OR(Q6="",F6=""),"",Q6/(1+F6))</f>
        <v>9.00900900900901</v>
      </c>
      <c r="S6" s="38" t="n">
        <f aca="false">IF(OR(H6="",H6=0,R6="",R6=0),"",H6/R6)</f>
        <v>0.686380932</v>
      </c>
      <c r="T6" s="39" t="n">
        <f aca="false">IF(I6="","",I6+N(N6+O6))</f>
        <v>10.49</v>
      </c>
      <c r="U6" s="39" t="n">
        <f aca="false">IF(OR(T6="",F6=""),"",T6/(1+F6))</f>
        <v>9.45045045045045</v>
      </c>
      <c r="V6" s="40" t="n">
        <f aca="false">IF(OR(H6="",H6=0,U6="",U6=0),"",H6/U6)</f>
        <v>0.654319286939943</v>
      </c>
      <c r="W6" s="41" t="n">
        <f aca="false">IF(I6="","",I6+N(N6+O6+P6))</f>
        <v>10.99</v>
      </c>
      <c r="X6" s="41" t="n">
        <f aca="false">IF(OR(W6="",F6=""),"",W6/(1+F6))</f>
        <v>9.9009009009009</v>
      </c>
      <c r="Y6" s="42" t="n">
        <f aca="false">IF(OR(H6="",H6=0,X6="",X6=0),"",H6/X6)</f>
        <v>0.624550438580528</v>
      </c>
    </row>
    <row r="7" customFormat="false" ht="15" hidden="false" customHeight="true" outlineLevel="0" collapsed="false">
      <c r="A7" s="5" t="s">
        <v>646</v>
      </c>
      <c r="B7" s="5" t="s">
        <v>324</v>
      </c>
      <c r="C7" s="5" t="s">
        <v>315</v>
      </c>
      <c r="D7" s="5" t="s">
        <v>642</v>
      </c>
      <c r="E7" s="5" t="s">
        <v>643</v>
      </c>
      <c r="F7" s="28" t="n">
        <f aca="false">IF(E7="","",IF(E7="DRINKS",0.21,0.11))</f>
        <v>0.11</v>
      </c>
      <c r="G7" s="29" t="n">
        <f aca="false">IF(B7="","",SUMIF(RETETAR!A:A,B7,RETETAR!F:F))</f>
        <v>8.799884</v>
      </c>
      <c r="H7" s="30" t="n">
        <f aca="false">IF(B7="","",SUMIF(RETETAR!A:A,B7,RETETAR!H:H))</f>
        <v>9.635224</v>
      </c>
      <c r="I7" s="31" t="n">
        <v>14</v>
      </c>
      <c r="J7" s="32" t="n">
        <f aca="false">IF(OR(I7="",F7=""),"",I7/(1+F7))</f>
        <v>12.6126126126126</v>
      </c>
      <c r="K7" s="33" t="n">
        <f aca="false">IF(OR(G7="",G7=0,J7="",J7=0),"",G7/J7)</f>
        <v>0.697705088571429</v>
      </c>
      <c r="L7" s="34" t="n">
        <f aca="false">IF(OR(H7="",H7=0,J7="",J7=0),"",H7/J7)</f>
        <v>0.763935617142857</v>
      </c>
      <c r="M7" s="35"/>
      <c r="N7" s="36" t="n">
        <v>0.99</v>
      </c>
      <c r="O7" s="36" t="n">
        <v>0</v>
      </c>
      <c r="P7" s="36" t="n">
        <v>0.5</v>
      </c>
      <c r="Q7" s="37" t="n">
        <f aca="false">IF(I7="","",I7+N(N7))</f>
        <v>14.99</v>
      </c>
      <c r="R7" s="37" t="n">
        <f aca="false">IF(OR(Q7="",F7=""),"",Q7/(1+F7))</f>
        <v>13.5045045045045</v>
      </c>
      <c r="S7" s="38" t="n">
        <f aca="false">IF(OR(H7="",H7=0,R7="",R7=0),"",H7/R7)</f>
        <v>0.713482230820547</v>
      </c>
      <c r="T7" s="39" t="n">
        <f aca="false">IF(I7="","",I7+N(N7+O7))</f>
        <v>14.99</v>
      </c>
      <c r="U7" s="39" t="n">
        <f aca="false">IF(OR(T7="",F7=""),"",T7/(1+F7))</f>
        <v>13.5045045045045</v>
      </c>
      <c r="V7" s="40" t="n">
        <f aca="false">IF(OR(H7="",H7=0,U7="",U7=0),"",H7/U7)</f>
        <v>0.713482230820547</v>
      </c>
      <c r="W7" s="41" t="n">
        <f aca="false">IF(I7="","",I7+N(N7+O7+P7))</f>
        <v>15.49</v>
      </c>
      <c r="X7" s="41" t="n">
        <f aca="false">IF(OR(W7="",F7=""),"",W7/(1+F7))</f>
        <v>13.954954954955</v>
      </c>
      <c r="Y7" s="42" t="n">
        <f aca="false">IF(OR(H7="",H7=0,X7="",X7=0),"",H7/X7)</f>
        <v>0.690451816655907</v>
      </c>
    </row>
    <row r="8" customFormat="false" ht="15" hidden="false" customHeight="true" outlineLevel="0" collapsed="false">
      <c r="A8" s="5" t="s">
        <v>647</v>
      </c>
      <c r="B8" s="5" t="s">
        <v>325</v>
      </c>
      <c r="C8" s="5" t="s">
        <v>315</v>
      </c>
      <c r="D8" s="5" t="s">
        <v>645</v>
      </c>
      <c r="E8" s="5" t="s">
        <v>643</v>
      </c>
      <c r="F8" s="28" t="n">
        <f aca="false">IF(E8="","",IF(E8="DRINKS",0.21,0.11))</f>
        <v>0.11</v>
      </c>
      <c r="G8" s="29" t="n">
        <f aca="false">IF(B8="","",SUMIF(RETETAR!A:A,B8,RETETAR!F:F))</f>
        <v>8.799884</v>
      </c>
      <c r="H8" s="30" t="n">
        <f aca="false">IF(B8="","",SUMIF(RETETAR!A:A,B8,RETETAR!H:H))</f>
        <v>9.635224</v>
      </c>
      <c r="I8" s="31" t="n">
        <v>16</v>
      </c>
      <c r="J8" s="32" t="n">
        <f aca="false">IF(OR(I8="",F8=""),"",I8/(1+F8))</f>
        <v>14.4144144144144</v>
      </c>
      <c r="K8" s="33" t="n">
        <f aca="false">IF(OR(G8="",G8=0,J8="",J8=0),"",G8/J8)</f>
        <v>0.6104919525</v>
      </c>
      <c r="L8" s="34" t="n">
        <f aca="false">IF(OR(H8="",H8=0,J8="",J8=0),"",H8/J8)</f>
        <v>0.668443665</v>
      </c>
      <c r="M8" s="35"/>
      <c r="N8" s="36" t="n">
        <v>0.99</v>
      </c>
      <c r="O8" s="36" t="n">
        <v>0</v>
      </c>
      <c r="P8" s="36" t="n">
        <v>0.5</v>
      </c>
      <c r="Q8" s="37" t="n">
        <f aca="false">IF(I8="","",I8+N(N8))</f>
        <v>16.99</v>
      </c>
      <c r="R8" s="37" t="n">
        <f aca="false">IF(OR(Q8="",F8=""),"",Q8/(1+F8))</f>
        <v>15.3063063063063</v>
      </c>
      <c r="S8" s="38" t="n">
        <f aca="false">IF(OR(H8="",H8=0,R8="",R8=0),"",H8/R8)</f>
        <v>0.629493739846969</v>
      </c>
      <c r="T8" s="39" t="n">
        <f aca="false">IF(I8="","",I8+N(N8+O8))</f>
        <v>16.99</v>
      </c>
      <c r="U8" s="39" t="n">
        <f aca="false">IF(OR(T8="",F8=""),"",T8/(1+F8))</f>
        <v>15.3063063063063</v>
      </c>
      <c r="V8" s="40" t="n">
        <f aca="false">IF(OR(H8="",H8=0,U8="",U8=0),"",H8/U8)</f>
        <v>0.629493739846969</v>
      </c>
      <c r="W8" s="41" t="n">
        <f aca="false">IF(I8="","",I8+N(N8+O8+P8))</f>
        <v>17.49</v>
      </c>
      <c r="X8" s="41" t="n">
        <f aca="false">IF(OR(W8="",F8=""),"",W8/(1+F8))</f>
        <v>15.7567567567568</v>
      </c>
      <c r="Y8" s="42" t="n">
        <f aca="false">IF(OR(H8="",H8=0,X8="",X8=0),"",H8/X8)</f>
        <v>0.61149792109777</v>
      </c>
    </row>
    <row r="9" customFormat="false" ht="15" hidden="false" customHeight="true" outlineLevel="0" collapsed="false">
      <c r="A9" s="5" t="s">
        <v>648</v>
      </c>
      <c r="B9" s="5" t="s">
        <v>326</v>
      </c>
      <c r="C9" s="5" t="s">
        <v>315</v>
      </c>
      <c r="D9" s="5" t="s">
        <v>642</v>
      </c>
      <c r="E9" s="5" t="s">
        <v>643</v>
      </c>
      <c r="F9" s="28" t="n">
        <f aca="false">IF(E9="","",IF(E9="DRINKS",0.21,0.11))</f>
        <v>0.11</v>
      </c>
      <c r="G9" s="29" t="n">
        <f aca="false">IF(B9="","",SUMIF(RETETAR!A:A,B9,RETETAR!F:F))</f>
        <v>6.381612</v>
      </c>
      <c r="H9" s="30" t="n">
        <f aca="false">IF(B9="","",SUMIF(RETETAR!A:A,B9,RETETAR!H:H))</f>
        <v>6.799282</v>
      </c>
      <c r="I9" s="31" t="n">
        <v>11</v>
      </c>
      <c r="J9" s="32" t="n">
        <f aca="false">IF(OR(I9="",F9=""),"",I9/(1+F9))</f>
        <v>9.90990990990991</v>
      </c>
      <c r="K9" s="33" t="n">
        <f aca="false">IF(OR(G9="",G9=0,J9="",J9=0),"",G9/J9)</f>
        <v>0.643962665454546</v>
      </c>
      <c r="L9" s="34" t="n">
        <f aca="false">IF(OR(H9="",H9=0,J9="",J9=0),"",H9/J9)</f>
        <v>0.686109365454546</v>
      </c>
      <c r="M9" s="35"/>
      <c r="N9" s="36" t="n">
        <v>0.49</v>
      </c>
      <c r="O9" s="36" t="n">
        <v>0</v>
      </c>
      <c r="P9" s="36" t="n">
        <v>0.5</v>
      </c>
      <c r="Q9" s="37" t="n">
        <f aca="false">IF(I9="","",I9+N(N9))</f>
        <v>11.49</v>
      </c>
      <c r="R9" s="37" t="n">
        <f aca="false">IF(OR(Q9="",F9=""),"",Q9/(1+F9))</f>
        <v>10.3513513513514</v>
      </c>
      <c r="S9" s="38" t="n">
        <f aca="false">IF(OR(H9="",H9=0,R9="",R9=0),"",H9/R9)</f>
        <v>0.656849697127937</v>
      </c>
      <c r="T9" s="39" t="n">
        <f aca="false">IF(I9="","",I9+N(N9+O9))</f>
        <v>11.49</v>
      </c>
      <c r="U9" s="39" t="n">
        <f aca="false">IF(OR(T9="",F9=""),"",T9/(1+F9))</f>
        <v>10.3513513513514</v>
      </c>
      <c r="V9" s="40" t="n">
        <f aca="false">IF(OR(H9="",H9=0,U9="",U9=0),"",H9/U9)</f>
        <v>0.656849697127937</v>
      </c>
      <c r="W9" s="41" t="n">
        <f aca="false">IF(I9="","",I9+N(N9+O9+P9))</f>
        <v>11.99</v>
      </c>
      <c r="X9" s="41" t="n">
        <f aca="false">IF(OR(W9="",F9=""),"",W9/(1+F9))</f>
        <v>10.8018018018018</v>
      </c>
      <c r="Y9" s="42" t="n">
        <f aca="false">IF(OR(H9="",H9=0,X9="",X9=0),"",H9/X9)</f>
        <v>0.629458133444537</v>
      </c>
    </row>
    <row r="10" customFormat="false" ht="15" hidden="false" customHeight="true" outlineLevel="0" collapsed="false">
      <c r="A10" s="5" t="s">
        <v>649</v>
      </c>
      <c r="B10" s="5" t="s">
        <v>327</v>
      </c>
      <c r="C10" s="5" t="s">
        <v>315</v>
      </c>
      <c r="D10" s="5" t="s">
        <v>645</v>
      </c>
      <c r="E10" s="5" t="s">
        <v>643</v>
      </c>
      <c r="F10" s="28" t="n">
        <f aca="false">IF(E10="","",IF(E10="DRINKS",0.21,0.11))</f>
        <v>0.11</v>
      </c>
      <c r="G10" s="29" t="n">
        <f aca="false">IF(B10="","",SUMIF(RETETAR!A:A,B10,RETETAR!F:F))</f>
        <v>6.381612</v>
      </c>
      <c r="H10" s="30" t="n">
        <f aca="false">IF(B10="","",SUMIF(RETETAR!A:A,B10,RETETAR!H:H))</f>
        <v>6.799282</v>
      </c>
      <c r="I10" s="31" t="n">
        <v>13</v>
      </c>
      <c r="J10" s="32" t="n">
        <f aca="false">IF(OR(I10="",F10=""),"",I10/(1+F10))</f>
        <v>11.7117117117117</v>
      </c>
      <c r="K10" s="33" t="n">
        <f aca="false">IF(OR(G10="",G10=0,J10="",J10=0),"",G10/J10)</f>
        <v>0.544891486153846</v>
      </c>
      <c r="L10" s="34" t="n">
        <f aca="false">IF(OR(H10="",H10=0,J10="",J10=0),"",H10/J10)</f>
        <v>0.580554078461539</v>
      </c>
      <c r="M10" s="35"/>
      <c r="N10" s="36" t="n">
        <v>0.49</v>
      </c>
      <c r="O10" s="36" t="n">
        <v>0</v>
      </c>
      <c r="P10" s="36" t="n">
        <v>0.5</v>
      </c>
      <c r="Q10" s="37" t="n">
        <f aca="false">IF(I10="","",I10+N(N10))</f>
        <v>13.49</v>
      </c>
      <c r="R10" s="37" t="n">
        <f aca="false">IF(OR(Q10="",F10=""),"",Q10/(1+F10))</f>
        <v>12.1531531531532</v>
      </c>
      <c r="S10" s="38" t="n">
        <f aca="false">IF(OR(H10="",H10=0,R10="",R10=0),"",H10/R10)</f>
        <v>0.559466495181616</v>
      </c>
      <c r="T10" s="39" t="n">
        <f aca="false">IF(I10="","",I10+N(N10+O10))</f>
        <v>13.49</v>
      </c>
      <c r="U10" s="39" t="n">
        <f aca="false">IF(OR(T10="",F10=""),"",T10/(1+F10))</f>
        <v>12.1531531531532</v>
      </c>
      <c r="V10" s="40" t="n">
        <f aca="false">IF(OR(H10="",H10=0,U10="",U10=0),"",H10/U10)</f>
        <v>0.559466495181616</v>
      </c>
      <c r="W10" s="41" t="n">
        <f aca="false">IF(I10="","",I10+N(N10+O10+P10))</f>
        <v>13.99</v>
      </c>
      <c r="X10" s="41" t="n">
        <f aca="false">IF(OR(W10="",F10=""),"",W10/(1+F10))</f>
        <v>12.6036036036036</v>
      </c>
      <c r="Y10" s="42" t="n">
        <f aca="false">IF(OR(H10="",H10=0,X10="",X10=0),"",H10/X10)</f>
        <v>0.539471266619014</v>
      </c>
    </row>
    <row r="11" customFormat="false" ht="15" hidden="false" customHeight="true" outlineLevel="0" collapsed="false">
      <c r="A11" s="5" t="s">
        <v>650</v>
      </c>
      <c r="B11" s="5" t="s">
        <v>328</v>
      </c>
      <c r="C11" s="5" t="s">
        <v>315</v>
      </c>
      <c r="D11" s="5" t="s">
        <v>642</v>
      </c>
      <c r="E11" s="5" t="s">
        <v>643</v>
      </c>
      <c r="F11" s="28" t="n">
        <f aca="false">IF(E11="","",IF(E11="DRINKS",0.21,0.11))</f>
        <v>0.11</v>
      </c>
      <c r="G11" s="29" t="n">
        <f aca="false">IF(B11="","",SUMIF(RETETAR!A:A,B11,RETETAR!F:F))</f>
        <v>10.031224</v>
      </c>
      <c r="H11" s="30" t="n">
        <f aca="false">IF(B11="","",SUMIF(RETETAR!A:A,B11,RETETAR!H:H))</f>
        <v>10.866564</v>
      </c>
      <c r="I11" s="31" t="n">
        <v>17</v>
      </c>
      <c r="J11" s="32" t="n">
        <f aca="false">IF(OR(I11="",F11=""),"",I11/(1+F11))</f>
        <v>15.3153153153153</v>
      </c>
      <c r="K11" s="33" t="n">
        <f aca="false">IF(OR(G11="",G11=0,J11="",J11=0),"",G11/J11)</f>
        <v>0.65497992</v>
      </c>
      <c r="L11" s="34" t="n">
        <f aca="false">IF(OR(H11="",H11=0,J11="",J11=0),"",H11/J11)</f>
        <v>0.709522708235294</v>
      </c>
      <c r="M11" s="35"/>
      <c r="N11" s="36" t="n">
        <v>0.99</v>
      </c>
      <c r="O11" s="36" t="n">
        <v>0</v>
      </c>
      <c r="P11" s="36" t="n">
        <v>0.5</v>
      </c>
      <c r="Q11" s="37" t="n">
        <f aca="false">IF(I11="","",I11+N(N11))</f>
        <v>17.99</v>
      </c>
      <c r="R11" s="37" t="n">
        <f aca="false">IF(OR(Q11="",F11=""),"",Q11/(1+F11))</f>
        <v>16.2072072072072</v>
      </c>
      <c r="S11" s="38" t="n">
        <f aca="false">IF(OR(H11="",H11=0,R11="",R11=0),"",H11/R11)</f>
        <v>0.670477267370762</v>
      </c>
      <c r="T11" s="39" t="n">
        <f aca="false">IF(I11="","",I11+N(N11+O11))</f>
        <v>17.99</v>
      </c>
      <c r="U11" s="39" t="n">
        <f aca="false">IF(OR(T11="",F11=""),"",T11/(1+F11))</f>
        <v>16.2072072072072</v>
      </c>
      <c r="V11" s="40" t="n">
        <f aca="false">IF(OR(H11="",H11=0,U11="",U11=0),"",H11/U11)</f>
        <v>0.670477267370762</v>
      </c>
      <c r="W11" s="41" t="n">
        <f aca="false">IF(I11="","",I11+N(N11+O11+P11))</f>
        <v>18.49</v>
      </c>
      <c r="X11" s="41" t="n">
        <f aca="false">IF(OR(W11="",F11=""),"",W11/(1+F11))</f>
        <v>16.6576576576577</v>
      </c>
      <c r="Y11" s="42" t="n">
        <f aca="false">IF(OR(H11="",H11=0,X11="",X11=0),"",H11/X11)</f>
        <v>0.65234645970795</v>
      </c>
    </row>
    <row r="12" customFormat="false" ht="15" hidden="false" customHeight="true" outlineLevel="0" collapsed="false">
      <c r="A12" s="5" t="s">
        <v>651</v>
      </c>
      <c r="B12" s="5" t="s">
        <v>329</v>
      </c>
      <c r="C12" s="5" t="s">
        <v>315</v>
      </c>
      <c r="D12" s="5" t="s">
        <v>645</v>
      </c>
      <c r="E12" s="5" t="s">
        <v>643</v>
      </c>
      <c r="F12" s="28" t="n">
        <f aca="false">IF(E12="","",IF(E12="DRINKS",0.21,0.11))</f>
        <v>0.11</v>
      </c>
      <c r="G12" s="29" t="n">
        <f aca="false">IF(B12="","",SUMIF(RETETAR!A:A,B12,RETETAR!F:F))</f>
        <v>10.031224</v>
      </c>
      <c r="H12" s="30" t="n">
        <f aca="false">IF(B12="","",SUMIF(RETETAR!A:A,B12,RETETAR!H:H))</f>
        <v>10.866564</v>
      </c>
      <c r="I12" s="31" t="n">
        <v>19</v>
      </c>
      <c r="J12" s="32" t="n">
        <f aca="false">IF(OR(I12="",F12=""),"",I12/(1+F12))</f>
        <v>17.1171171171171</v>
      </c>
      <c r="K12" s="33" t="n">
        <f aca="false">IF(OR(G12="",G12=0,J12="",J12=0),"",G12/J12)</f>
        <v>0.586034665263158</v>
      </c>
      <c r="L12" s="34" t="n">
        <f aca="false">IF(OR(H12="",H12=0,J12="",J12=0),"",H12/J12)</f>
        <v>0.634836107368421</v>
      </c>
      <c r="M12" s="35"/>
      <c r="N12" s="36" t="n">
        <v>0.99</v>
      </c>
      <c r="O12" s="36" t="n">
        <v>0</v>
      </c>
      <c r="P12" s="36" t="n">
        <v>0.5</v>
      </c>
      <c r="Q12" s="37" t="n">
        <f aca="false">IF(I12="","",I12+N(N12))</f>
        <v>19.99</v>
      </c>
      <c r="R12" s="37" t="n">
        <f aca="false">IF(OR(Q12="",F12=""),"",Q12/(1+F12))</f>
        <v>18.009009009009</v>
      </c>
      <c r="S12" s="38" t="n">
        <f aca="false">IF(OR(H12="",H12=0,R12="",R12=0),"",H12/R12)</f>
        <v>0.603396</v>
      </c>
      <c r="T12" s="39" t="n">
        <f aca="false">IF(I12="","",I12+N(N12+O12))</f>
        <v>19.99</v>
      </c>
      <c r="U12" s="39" t="n">
        <f aca="false">IF(OR(T12="",F12=""),"",T12/(1+F12))</f>
        <v>18.009009009009</v>
      </c>
      <c r="V12" s="40" t="n">
        <f aca="false">IF(OR(H12="",H12=0,U12="",U12=0),"",H12/U12)</f>
        <v>0.603396</v>
      </c>
      <c r="W12" s="41" t="n">
        <f aca="false">IF(I12="","",I12+N(N12+O12+P12))</f>
        <v>20.49</v>
      </c>
      <c r="X12" s="41" t="n">
        <f aca="false">IF(OR(W12="",F12=""),"",W12/(1+F12))</f>
        <v>18.4594594594595</v>
      </c>
      <c r="Y12" s="42" t="n">
        <f aca="false">IF(OR(H12="",H12=0,X12="",X12=0),"",H12/X12)</f>
        <v>0.588671841874085</v>
      </c>
    </row>
    <row r="13" customFormat="false" ht="15" hidden="false" customHeight="true" outlineLevel="0" collapsed="false">
      <c r="A13" s="5" t="s">
        <v>652</v>
      </c>
      <c r="B13" s="5" t="s">
        <v>330</v>
      </c>
      <c r="C13" s="5" t="s">
        <v>315</v>
      </c>
      <c r="D13" s="5" t="s">
        <v>642</v>
      </c>
      <c r="E13" s="5" t="s">
        <v>643</v>
      </c>
      <c r="F13" s="28" t="n">
        <f aca="false">IF(E13="","",IF(E13="DRINKS",0.21,0.11))</f>
        <v>0.11</v>
      </c>
      <c r="G13" s="29" t="n">
        <f aca="false">IF(B13="","",SUMIF(RETETAR!A:A,B13,RETETAR!F:F))</f>
        <v>6.059</v>
      </c>
      <c r="H13" s="30" t="n">
        <f aca="false">IF(B13="","",SUMIF(RETETAR!A:A,B13,RETETAR!H:H))</f>
        <v>6.47667</v>
      </c>
      <c r="I13" s="31" t="n">
        <v>10</v>
      </c>
      <c r="J13" s="32" t="n">
        <f aca="false">IF(OR(I13="",F13=""),"",I13/(1+F13))</f>
        <v>9.00900900900901</v>
      </c>
      <c r="K13" s="33" t="n">
        <f aca="false">IF(OR(G13="",G13=0,J13="",J13=0),"",G13/J13)</f>
        <v>0.672549</v>
      </c>
      <c r="L13" s="34" t="n">
        <f aca="false">IF(OR(H13="",H13=0,J13="",J13=0),"",H13/J13)</f>
        <v>0.71891037</v>
      </c>
      <c r="M13" s="35"/>
      <c r="N13" s="36" t="n">
        <v>0</v>
      </c>
      <c r="O13" s="36" t="n">
        <v>0.49</v>
      </c>
      <c r="P13" s="36" t="n">
        <v>0.5</v>
      </c>
      <c r="Q13" s="37" t="n">
        <f aca="false">IF(I13="","",I13+N(N13))</f>
        <v>10</v>
      </c>
      <c r="R13" s="37" t="n">
        <f aca="false">IF(OR(Q13="",F13=""),"",Q13/(1+F13))</f>
        <v>9.00900900900901</v>
      </c>
      <c r="S13" s="38" t="n">
        <f aca="false">IF(OR(H13="",H13=0,R13="",R13=0),"",H13/R13)</f>
        <v>0.71891037</v>
      </c>
      <c r="T13" s="39" t="n">
        <f aca="false">IF(I13="","",I13+N(N13+O13))</f>
        <v>10.49</v>
      </c>
      <c r="U13" s="39" t="n">
        <f aca="false">IF(OR(T13="",F13=""),"",T13/(1+F13))</f>
        <v>9.45045045045045</v>
      </c>
      <c r="V13" s="40" t="n">
        <f aca="false">IF(OR(H13="",H13=0,U13="",U13=0),"",H13/U13)</f>
        <v>0.685329237368923</v>
      </c>
      <c r="W13" s="41" t="n">
        <f aca="false">IF(I13="","",I13+N(N13+O13+P13))</f>
        <v>10.99</v>
      </c>
      <c r="X13" s="41" t="n">
        <f aca="false">IF(OR(W13="",F13=""),"",W13/(1+F13))</f>
        <v>9.9009009009009</v>
      </c>
      <c r="Y13" s="42" t="n">
        <f aca="false">IF(OR(H13="",H13=0,X13="",X13=0),"",H13/X13)</f>
        <v>0.654149563239308</v>
      </c>
    </row>
    <row r="14" customFormat="false" ht="15" hidden="false" customHeight="true" outlineLevel="0" collapsed="false">
      <c r="A14" s="5" t="s">
        <v>653</v>
      </c>
      <c r="B14" s="5" t="s">
        <v>331</v>
      </c>
      <c r="C14" s="5" t="s">
        <v>315</v>
      </c>
      <c r="D14" s="5" t="s">
        <v>645</v>
      </c>
      <c r="E14" s="5" t="s">
        <v>643</v>
      </c>
      <c r="F14" s="28" t="n">
        <f aca="false">IF(E14="","",IF(E14="DRINKS",0.21,0.11))</f>
        <v>0.11</v>
      </c>
      <c r="G14" s="29" t="n">
        <f aca="false">IF(B14="","",SUMIF(RETETAR!A:A,B14,RETETAR!F:F))</f>
        <v>6.059</v>
      </c>
      <c r="H14" s="30" t="n">
        <f aca="false">IF(B14="","",SUMIF(RETETAR!A:A,B14,RETETAR!H:H))</f>
        <v>6.47667</v>
      </c>
      <c r="I14" s="31" t="n">
        <v>13</v>
      </c>
      <c r="J14" s="32" t="n">
        <f aca="false">IF(OR(I14="",F14=""),"",I14/(1+F14))</f>
        <v>11.7117117117117</v>
      </c>
      <c r="K14" s="33" t="n">
        <f aca="false">IF(OR(G14="",G14=0,J14="",J14=0),"",G14/J14)</f>
        <v>0.517345384615385</v>
      </c>
      <c r="L14" s="34" t="n">
        <f aca="false">IF(OR(H14="",H14=0,J14="",J14=0),"",H14/J14)</f>
        <v>0.553007976923077</v>
      </c>
      <c r="M14" s="35"/>
      <c r="N14" s="36" t="n">
        <v>0</v>
      </c>
      <c r="O14" s="36" t="n">
        <v>0.49</v>
      </c>
      <c r="P14" s="36" t="n">
        <v>0.5</v>
      </c>
      <c r="Q14" s="37" t="n">
        <f aca="false">IF(I14="","",I14+N(N14))</f>
        <v>13</v>
      </c>
      <c r="R14" s="37" t="n">
        <f aca="false">IF(OR(Q14="",F14=""),"",Q14/(1+F14))</f>
        <v>11.7117117117117</v>
      </c>
      <c r="S14" s="38" t="n">
        <f aca="false">IF(OR(H14="",H14=0,R14="",R14=0),"",H14/R14)</f>
        <v>0.553007976923077</v>
      </c>
      <c r="T14" s="39" t="n">
        <f aca="false">IF(I14="","",I14+N(N14+O14))</f>
        <v>13.49</v>
      </c>
      <c r="U14" s="39" t="n">
        <f aca="false">IF(OR(T14="",F14=""),"",T14/(1+F14))</f>
        <v>12.1531531531532</v>
      </c>
      <c r="V14" s="40" t="n">
        <f aca="false">IF(OR(H14="",H14=0,U14="",U14=0),"",H14/U14)</f>
        <v>0.532920956263899</v>
      </c>
      <c r="W14" s="41" t="n">
        <f aca="false">IF(I14="","",I14+N(N14+O14+P14))</f>
        <v>13.99</v>
      </c>
      <c r="X14" s="41" t="n">
        <f aca="false">IF(OR(W14="",F14=""),"",W14/(1+F14))</f>
        <v>12.6036036036036</v>
      </c>
      <c r="Y14" s="42" t="n">
        <f aca="false">IF(OR(H14="",H14=0,X14="",X14=0),"",H14/X14)</f>
        <v>0.513874460328806</v>
      </c>
    </row>
    <row r="15" customFormat="false" ht="15" hidden="false" customHeight="true" outlineLevel="0" collapsed="false">
      <c r="A15" s="5" t="s">
        <v>654</v>
      </c>
      <c r="B15" s="5" t="s">
        <v>332</v>
      </c>
      <c r="C15" s="5" t="s">
        <v>315</v>
      </c>
      <c r="D15" s="5" t="s">
        <v>642</v>
      </c>
      <c r="E15" s="5" t="s">
        <v>643</v>
      </c>
      <c r="F15" s="28" t="n">
        <f aca="false">IF(E15="","",IF(E15="DRINKS",0.21,0.11))</f>
        <v>0.11</v>
      </c>
      <c r="G15" s="29" t="n">
        <f aca="false">IF(B15="","",SUMIF(RETETAR!A:A,B15,RETETAR!F:F))</f>
        <v>9.607</v>
      </c>
      <c r="H15" s="30" t="n">
        <f aca="false">IF(B15="","",SUMIF(RETETAR!A:A,B15,RETETAR!H:H))</f>
        <v>10.44234</v>
      </c>
      <c r="I15" s="31" t="n">
        <v>16</v>
      </c>
      <c r="J15" s="32" t="n">
        <f aca="false">IF(OR(I15="",F15=""),"",I15/(1+F15))</f>
        <v>14.4144144144144</v>
      </c>
      <c r="K15" s="33" t="n">
        <f aca="false">IF(OR(G15="",G15=0,J15="",J15=0),"",G15/J15)</f>
        <v>0.666485625</v>
      </c>
      <c r="L15" s="34" t="n">
        <f aca="false">IF(OR(H15="",H15=0,J15="",J15=0),"",H15/J15)</f>
        <v>0.7244373375</v>
      </c>
      <c r="M15" s="35"/>
      <c r="N15" s="36" t="n">
        <v>0</v>
      </c>
      <c r="O15" s="36" t="n">
        <v>0.99</v>
      </c>
      <c r="P15" s="36" t="n">
        <v>0.5</v>
      </c>
      <c r="Q15" s="37" t="n">
        <f aca="false">IF(I15="","",I15+N(N15))</f>
        <v>16</v>
      </c>
      <c r="R15" s="37" t="n">
        <f aca="false">IF(OR(Q15="",F15=""),"",Q15/(1+F15))</f>
        <v>14.4144144144144</v>
      </c>
      <c r="S15" s="38" t="n">
        <f aca="false">IF(OR(H15="",H15=0,R15="",R15=0),"",H15/R15)</f>
        <v>0.7244373375</v>
      </c>
      <c r="T15" s="39" t="n">
        <f aca="false">IF(I15="","",I15+N(N15+O15))</f>
        <v>16.99</v>
      </c>
      <c r="U15" s="39" t="n">
        <f aca="false">IF(OR(T15="",F15=""),"",T15/(1+F15))</f>
        <v>15.3063063063063</v>
      </c>
      <c r="V15" s="40" t="n">
        <f aca="false">IF(OR(H15="",H15=0,U15="",U15=0),"",H15/U15)</f>
        <v>0.682224685108888</v>
      </c>
      <c r="W15" s="41" t="n">
        <f aca="false">IF(I15="","",I15+N(N15+O15+P15))</f>
        <v>17.49</v>
      </c>
      <c r="X15" s="41" t="n">
        <f aca="false">IF(OR(W15="",F15=""),"",W15/(1+F15))</f>
        <v>15.7567567567568</v>
      </c>
      <c r="Y15" s="42" t="n">
        <f aca="false">IF(OR(H15="",H15=0,X15="",X15=0),"",H15/X15)</f>
        <v>0.662721406518011</v>
      </c>
    </row>
    <row r="16" customFormat="false" ht="15" hidden="false" customHeight="true" outlineLevel="0" collapsed="false">
      <c r="A16" s="5" t="s">
        <v>655</v>
      </c>
      <c r="B16" s="5" t="s">
        <v>333</v>
      </c>
      <c r="C16" s="5" t="s">
        <v>315</v>
      </c>
      <c r="D16" s="5" t="s">
        <v>645</v>
      </c>
      <c r="E16" s="5" t="s">
        <v>643</v>
      </c>
      <c r="F16" s="28" t="n">
        <f aca="false">IF(E16="","",IF(E16="DRINKS",0.21,0.11))</f>
        <v>0.11</v>
      </c>
      <c r="G16" s="29" t="n">
        <f aca="false">IF(B16="","",SUMIF(RETETAR!A:A,B16,RETETAR!F:F))</f>
        <v>9.607</v>
      </c>
      <c r="H16" s="30" t="n">
        <f aca="false">IF(B16="","",SUMIF(RETETAR!A:A,B16,RETETAR!H:H))</f>
        <v>10.44234</v>
      </c>
      <c r="I16" s="31" t="n">
        <v>19</v>
      </c>
      <c r="J16" s="32" t="n">
        <f aca="false">IF(OR(I16="",F16=""),"",I16/(1+F16))</f>
        <v>17.1171171171171</v>
      </c>
      <c r="K16" s="33" t="n">
        <f aca="false">IF(OR(G16="",G16=0,J16="",J16=0),"",G16/J16)</f>
        <v>0.561251052631579</v>
      </c>
      <c r="L16" s="34" t="n">
        <f aca="false">IF(OR(H16="",H16=0,J16="",J16=0),"",H16/J16)</f>
        <v>0.610052494736842</v>
      </c>
      <c r="M16" s="35"/>
      <c r="N16" s="36" t="n">
        <v>0</v>
      </c>
      <c r="O16" s="36" t="n">
        <v>0.99</v>
      </c>
      <c r="P16" s="36" t="n">
        <v>0.5</v>
      </c>
      <c r="Q16" s="37" t="n">
        <f aca="false">IF(I16="","",I16+N(N16))</f>
        <v>19</v>
      </c>
      <c r="R16" s="37" t="n">
        <f aca="false">IF(OR(Q16="",F16=""),"",Q16/(1+F16))</f>
        <v>17.1171171171171</v>
      </c>
      <c r="S16" s="38" t="n">
        <f aca="false">IF(OR(H16="",H16=0,R16="",R16=0),"",H16/R16)</f>
        <v>0.610052494736842</v>
      </c>
      <c r="T16" s="39" t="n">
        <f aca="false">IF(I16="","",I16+N(N16+O16))</f>
        <v>19.99</v>
      </c>
      <c r="U16" s="39" t="n">
        <f aca="false">IF(OR(T16="",F16=""),"",T16/(1+F16))</f>
        <v>18.009009009009</v>
      </c>
      <c r="V16" s="40" t="n">
        <f aca="false">IF(OR(H16="",H16=0,U16="",U16=0),"",H16/U16)</f>
        <v>0.579839789894948</v>
      </c>
      <c r="W16" s="41" t="n">
        <f aca="false">IF(I16="","",I16+N(N16+O16+P16))</f>
        <v>20.49</v>
      </c>
      <c r="X16" s="41" t="n">
        <f aca="false">IF(OR(W16="",F16=""),"",W16/(1+F16))</f>
        <v>18.4594594594595</v>
      </c>
      <c r="Y16" s="42" t="n">
        <f aca="false">IF(OR(H16="",H16=0,X16="",X16=0),"",H16/X16)</f>
        <v>0.565690453879942</v>
      </c>
    </row>
    <row r="17" customFormat="false" ht="15" hidden="false" customHeight="true" outlineLevel="0" collapsed="false">
      <c r="A17" s="5" t="s">
        <v>656</v>
      </c>
      <c r="B17" s="5" t="s">
        <v>334</v>
      </c>
      <c r="C17" s="5" t="s">
        <v>315</v>
      </c>
      <c r="D17" s="5" t="s">
        <v>642</v>
      </c>
      <c r="E17" s="5" t="s">
        <v>643</v>
      </c>
      <c r="F17" s="28" t="n">
        <f aca="false">IF(E17="","",IF(E17="DRINKS",0.21,0.11))</f>
        <v>0.11</v>
      </c>
      <c r="G17" s="29" t="n">
        <f aca="false">IF(B17="","",SUMIF(RETETAR!A:A,B17,RETETAR!F:F))</f>
        <v>13.155</v>
      </c>
      <c r="H17" s="30" t="n">
        <f aca="false">IF(B17="","",SUMIF(RETETAR!A:A,B17,RETETAR!H:H))</f>
        <v>14.40801</v>
      </c>
      <c r="I17" s="31" t="n">
        <v>22</v>
      </c>
      <c r="J17" s="32" t="n">
        <f aca="false">IF(OR(I17="",F17=""),"",I17/(1+F17))</f>
        <v>19.8198198198198</v>
      </c>
      <c r="K17" s="33" t="n">
        <f aca="false">IF(OR(G17="",G17=0,J17="",J17=0),"",G17/J17)</f>
        <v>0.663729545454546</v>
      </c>
      <c r="L17" s="34" t="n">
        <f aca="false">IF(OR(H17="",H17=0,J17="",J17=0),"",H17/J17)</f>
        <v>0.726949595454546</v>
      </c>
      <c r="M17" s="35"/>
      <c r="N17" s="36" t="n">
        <v>0</v>
      </c>
      <c r="O17" s="36" t="n">
        <v>1.49</v>
      </c>
      <c r="P17" s="36" t="n">
        <v>0.5</v>
      </c>
      <c r="Q17" s="37" t="n">
        <f aca="false">IF(I17="","",I17+N(N17))</f>
        <v>22</v>
      </c>
      <c r="R17" s="37" t="n">
        <f aca="false">IF(OR(Q17="",F17=""),"",Q17/(1+F17))</f>
        <v>19.8198198198198</v>
      </c>
      <c r="S17" s="38" t="n">
        <f aca="false">IF(OR(H17="",H17=0,R17="",R17=0),"",H17/R17)</f>
        <v>0.726949595454546</v>
      </c>
      <c r="T17" s="39" t="n">
        <f aca="false">IF(I17="","",I17+N(N17+O17))</f>
        <v>23.49</v>
      </c>
      <c r="U17" s="39" t="n">
        <f aca="false">IF(OR(T17="",F17=""),"",T17/(1+F17))</f>
        <v>21.1621621621622</v>
      </c>
      <c r="V17" s="40" t="n">
        <f aca="false">IF(OR(H17="",H17=0,U17="",U17=0),"",H17/U17)</f>
        <v>0.680838275862069</v>
      </c>
      <c r="W17" s="41" t="n">
        <f aca="false">IF(I17="","",I17+N(N17+O17+P17))</f>
        <v>23.99</v>
      </c>
      <c r="X17" s="41" t="n">
        <f aca="false">IF(OR(W17="",F17=""),"",W17/(1+F17))</f>
        <v>21.6126126126126</v>
      </c>
      <c r="Y17" s="42" t="n">
        <f aca="false">IF(OR(H17="",H17=0,X17="",X17=0),"",H17/X17)</f>
        <v>0.666648232596916</v>
      </c>
    </row>
    <row r="18" customFormat="false" ht="15" hidden="false" customHeight="true" outlineLevel="0" collapsed="false">
      <c r="A18" s="5" t="s">
        <v>657</v>
      </c>
      <c r="B18" s="5" t="s">
        <v>335</v>
      </c>
      <c r="C18" s="5" t="s">
        <v>315</v>
      </c>
      <c r="D18" s="5" t="s">
        <v>645</v>
      </c>
      <c r="E18" s="5" t="s">
        <v>643</v>
      </c>
      <c r="F18" s="28" t="n">
        <f aca="false">IF(E18="","",IF(E18="DRINKS",0.21,0.11))</f>
        <v>0.11</v>
      </c>
      <c r="G18" s="29" t="n">
        <f aca="false">IF(B18="","",SUMIF(RETETAR!A:A,B18,RETETAR!F:F))</f>
        <v>13.155</v>
      </c>
      <c r="H18" s="30" t="n">
        <f aca="false">IF(B18="","",SUMIF(RETETAR!A:A,B18,RETETAR!H:H))</f>
        <v>14.40801</v>
      </c>
      <c r="I18" s="31" t="n">
        <v>25</v>
      </c>
      <c r="J18" s="32" t="n">
        <f aca="false">IF(OR(I18="",F18=""),"",I18/(1+F18))</f>
        <v>22.5225225225225</v>
      </c>
      <c r="K18" s="33" t="n">
        <f aca="false">IF(OR(G18="",G18=0,J18="",J18=0),"",G18/J18)</f>
        <v>0.584082</v>
      </c>
      <c r="L18" s="34" t="n">
        <f aca="false">IF(OR(H18="",H18=0,J18="",J18=0),"",H18/J18)</f>
        <v>0.639715644</v>
      </c>
      <c r="M18" s="35"/>
      <c r="N18" s="36" t="n">
        <v>0</v>
      </c>
      <c r="O18" s="36" t="n">
        <v>1.49</v>
      </c>
      <c r="P18" s="36" t="n">
        <v>0.5</v>
      </c>
      <c r="Q18" s="37" t="n">
        <f aca="false">IF(I18="","",I18+N(N18))</f>
        <v>25</v>
      </c>
      <c r="R18" s="37" t="n">
        <f aca="false">IF(OR(Q18="",F18=""),"",Q18/(1+F18))</f>
        <v>22.5225225225225</v>
      </c>
      <c r="S18" s="38" t="n">
        <f aca="false">IF(OR(H18="",H18=0,R18="",R18=0),"",H18/R18)</f>
        <v>0.639715644</v>
      </c>
      <c r="T18" s="39" t="n">
        <f aca="false">IF(I18="","",I18+N(N18+O18))</f>
        <v>26.49</v>
      </c>
      <c r="U18" s="39" t="n">
        <f aca="false">IF(OR(T18="",F18=""),"",T18/(1+F18))</f>
        <v>23.8648648648649</v>
      </c>
      <c r="V18" s="40" t="n">
        <f aca="false">IF(OR(H18="",H18=0,U18="",U18=0),"",H18/U18)</f>
        <v>0.603733148357871</v>
      </c>
      <c r="W18" s="41" t="n">
        <f aca="false">IF(I18="","",I18+N(N18+O18+P18))</f>
        <v>26.99</v>
      </c>
      <c r="X18" s="41" t="n">
        <f aca="false">IF(OR(W18="",F18=""),"",W18/(1+F18))</f>
        <v>24.3153153153153</v>
      </c>
      <c r="Y18" s="42" t="n">
        <f aca="false">IF(OR(H18="",H18=0,X18="",X18=0),"",H18/X18)</f>
        <v>0.592548762504631</v>
      </c>
    </row>
    <row r="19" customFormat="false" ht="15" hidden="false" customHeight="true" outlineLevel="0" collapsed="false">
      <c r="A19" s="5" t="s">
        <v>658</v>
      </c>
      <c r="B19" s="5" t="s">
        <v>336</v>
      </c>
      <c r="C19" s="5" t="s">
        <v>315</v>
      </c>
      <c r="D19" s="5" t="s">
        <v>642</v>
      </c>
      <c r="E19" s="5" t="s">
        <v>643</v>
      </c>
      <c r="F19" s="28" t="n">
        <f aca="false">IF(E19="","",IF(E19="DRINKS",0.21,0.11))</f>
        <v>0.11</v>
      </c>
      <c r="G19" s="29" t="n">
        <f aca="false">IF(B19="","",SUMIF(RETETAR!A:A,B19,RETETAR!F:F))</f>
        <v>7.600648</v>
      </c>
      <c r="H19" s="30" t="n">
        <f aca="false">IF(B19="","",SUMIF(RETETAR!A:A,B19,RETETAR!H:H))</f>
        <v>8.018318</v>
      </c>
      <c r="I19" s="31" t="n">
        <v>20.99</v>
      </c>
      <c r="J19" s="32" t="n">
        <f aca="false">IF(OR(I19="",F19=""),"",I19/(1+F19))</f>
        <v>18.9099099099099</v>
      </c>
      <c r="K19" s="33" t="n">
        <f aca="false">IF(OR(G19="",G19=0,J19="",J19=0),"",G19/J19)</f>
        <v>0.401939937112911</v>
      </c>
      <c r="L19" s="34" t="n">
        <f aca="false">IF(OR(H19="",H19=0,J19="",J19=0),"",H19/J19)</f>
        <v>0.424027297760839</v>
      </c>
      <c r="M19" s="35"/>
      <c r="N19" s="36" t="n">
        <v>0.99</v>
      </c>
      <c r="O19" s="36" t="n">
        <v>0</v>
      </c>
      <c r="P19" s="36" t="n">
        <v>0</v>
      </c>
      <c r="Q19" s="37" t="n">
        <f aca="false">IF(I19="","",I19+N(N19))</f>
        <v>21.98</v>
      </c>
      <c r="R19" s="37" t="n">
        <f aca="false">IF(OR(Q19="",F19=""),"",Q19/(1+F19))</f>
        <v>19.8018018018018</v>
      </c>
      <c r="S19" s="38" t="n">
        <f aca="false">IF(OR(H19="",H19=0,R19="",R19=0),"",H19/R19)</f>
        <v>0.40492870700637</v>
      </c>
      <c r="T19" s="39" t="n">
        <f aca="false">IF(I19="","",I19+N(N19+O19))</f>
        <v>21.98</v>
      </c>
      <c r="U19" s="39" t="n">
        <f aca="false">IF(OR(T19="",F19=""),"",T19/(1+F19))</f>
        <v>19.8018018018018</v>
      </c>
      <c r="V19" s="40" t="n">
        <f aca="false">IF(OR(H19="",H19=0,U19="",U19=0),"",H19/U19)</f>
        <v>0.40492870700637</v>
      </c>
      <c r="W19" s="41" t="n">
        <f aca="false">IF(I19="","",I19+N(N19+O19+P19))</f>
        <v>21.98</v>
      </c>
      <c r="X19" s="41" t="n">
        <f aca="false">IF(OR(W19="",F19=""),"",W19/(1+F19))</f>
        <v>19.8018018018018</v>
      </c>
      <c r="Y19" s="42" t="n">
        <f aca="false">IF(OR(H19="",H19=0,X19="",X19=0),"",H19/X19)</f>
        <v>0.40492870700637</v>
      </c>
    </row>
    <row r="20" customFormat="false" ht="15" hidden="false" customHeight="true" outlineLevel="0" collapsed="false">
      <c r="A20" s="5" t="s">
        <v>659</v>
      </c>
      <c r="B20" s="5" t="s">
        <v>337</v>
      </c>
      <c r="C20" s="5" t="s">
        <v>315</v>
      </c>
      <c r="D20" s="5" t="s">
        <v>645</v>
      </c>
      <c r="E20" s="5" t="s">
        <v>643</v>
      </c>
      <c r="F20" s="28" t="n">
        <f aca="false">IF(E20="","",IF(E20="DRINKS",0.21,0.11))</f>
        <v>0.11</v>
      </c>
      <c r="G20" s="29" t="n">
        <f aca="false">IF(B20="","",SUMIF(RETETAR!A:A,B20,RETETAR!F:F))</f>
        <v>7.600648</v>
      </c>
      <c r="H20" s="30" t="n">
        <f aca="false">IF(B20="","",SUMIF(RETETAR!A:A,B20,RETETAR!H:H))</f>
        <v>8.018318</v>
      </c>
      <c r="I20" s="31" t="n">
        <v>24.5</v>
      </c>
      <c r="J20" s="32" t="n">
        <f aca="false">IF(OR(I20="",F20=""),"",I20/(1+F20))</f>
        <v>22.0720720720721</v>
      </c>
      <c r="K20" s="33" t="n">
        <f aca="false">IF(OR(G20="",G20=0,J20="",J20=0),"",G20/J20)</f>
        <v>0.344355888979592</v>
      </c>
      <c r="L20" s="34" t="n">
        <f aca="false">IF(OR(H20="",H20=0,J20="",J20=0),"",H20/J20)</f>
        <v>0.363278897142857</v>
      </c>
      <c r="M20" s="35"/>
      <c r="N20" s="36" t="n">
        <v>0.99</v>
      </c>
      <c r="O20" s="36" t="n">
        <v>0</v>
      </c>
      <c r="P20" s="36" t="n">
        <v>0</v>
      </c>
      <c r="Q20" s="37" t="n">
        <f aca="false">IF(I20="","",I20+N(N20))</f>
        <v>25.49</v>
      </c>
      <c r="R20" s="37" t="n">
        <f aca="false">IF(OR(Q20="",F20=""),"",Q20/(1+F20))</f>
        <v>22.963963963964</v>
      </c>
      <c r="S20" s="38" t="n">
        <f aca="false">IF(OR(H20="",H20=0,R20="",R20=0),"",H20/R20)</f>
        <v>0.349169595135347</v>
      </c>
      <c r="T20" s="39" t="n">
        <f aca="false">IF(I20="","",I20+N(N20+O20))</f>
        <v>25.49</v>
      </c>
      <c r="U20" s="39" t="n">
        <f aca="false">IF(OR(T20="",F20=""),"",T20/(1+F20))</f>
        <v>22.963963963964</v>
      </c>
      <c r="V20" s="40" t="n">
        <f aca="false">IF(OR(H20="",H20=0,U20="",U20=0),"",H20/U20)</f>
        <v>0.349169595135347</v>
      </c>
      <c r="W20" s="41" t="n">
        <f aca="false">IF(I20="","",I20+N(N20+O20+P20))</f>
        <v>25.49</v>
      </c>
      <c r="X20" s="41" t="n">
        <f aca="false">IF(OR(W20="",F20=""),"",W20/(1+F20))</f>
        <v>22.963963963964</v>
      </c>
      <c r="Y20" s="42" t="n">
        <f aca="false">IF(OR(H20="",H20=0,X20="",X20=0),"",H20/X20)</f>
        <v>0.349169595135347</v>
      </c>
    </row>
    <row r="21" customFormat="false" ht="15" hidden="false" customHeight="true" outlineLevel="0" collapsed="false">
      <c r="A21" s="5" t="s">
        <v>660</v>
      </c>
      <c r="B21" s="5" t="s">
        <v>338</v>
      </c>
      <c r="C21" s="5" t="s">
        <v>315</v>
      </c>
      <c r="D21" s="5" t="s">
        <v>642</v>
      </c>
      <c r="E21" s="5" t="s">
        <v>643</v>
      </c>
      <c r="F21" s="28" t="n">
        <f aca="false">IF(E21="","",IF(E21="DRINKS",0.21,0.11))</f>
        <v>0.11</v>
      </c>
      <c r="G21" s="29" t="n">
        <f aca="false">IF(B21="","",SUMIF(RETETAR!A:A,B21,RETETAR!F:F))</f>
        <v>11.418948</v>
      </c>
      <c r="H21" s="30" t="n">
        <f aca="false">IF(B21="","",SUMIF(RETETAR!A:A,B21,RETETAR!H:H))</f>
        <v>12.254288</v>
      </c>
      <c r="I21" s="31" t="n">
        <v>26.99</v>
      </c>
      <c r="J21" s="32" t="n">
        <f aca="false">IF(OR(I21="",F21=""),"",I21/(1+F21))</f>
        <v>24.3153153153153</v>
      </c>
      <c r="K21" s="33" t="n">
        <f aca="false">IF(OR(G21="",G21=0,J21="",J21=0),"",G21/J21)</f>
        <v>0.46961957317525</v>
      </c>
      <c r="L21" s="34" t="n">
        <f aca="false">IF(OR(H21="",H21=0,J21="",J21=0),"",H21/J21)</f>
        <v>0.503974052612079</v>
      </c>
      <c r="M21" s="35"/>
      <c r="N21" s="36" t="n">
        <v>1.99</v>
      </c>
      <c r="O21" s="36" t="n">
        <v>0</v>
      </c>
      <c r="P21" s="36" t="n">
        <v>0</v>
      </c>
      <c r="Q21" s="37" t="n">
        <f aca="false">IF(I21="","",I21+N(N21))</f>
        <v>28.98</v>
      </c>
      <c r="R21" s="37" t="n">
        <f aca="false">IF(OR(Q21="",F21=""),"",Q21/(1+F21))</f>
        <v>26.1081081081081</v>
      </c>
      <c r="S21" s="38" t="n">
        <f aca="false">IF(OR(H21="",H21=0,R21="",R21=0),"",H21/R21)</f>
        <v>0.469367138716356</v>
      </c>
      <c r="T21" s="39" t="n">
        <f aca="false">IF(I21="","",I21+N(N21+O21))</f>
        <v>28.98</v>
      </c>
      <c r="U21" s="39" t="n">
        <f aca="false">IF(OR(T21="",F21=""),"",T21/(1+F21))</f>
        <v>26.1081081081081</v>
      </c>
      <c r="V21" s="40" t="n">
        <f aca="false">IF(OR(H21="",H21=0,U21="",U21=0),"",H21/U21)</f>
        <v>0.469367138716356</v>
      </c>
      <c r="W21" s="41" t="n">
        <f aca="false">IF(I21="","",I21+N(N21+O21+P21))</f>
        <v>28.98</v>
      </c>
      <c r="X21" s="41" t="n">
        <f aca="false">IF(OR(W21="",F21=""),"",W21/(1+F21))</f>
        <v>26.1081081081081</v>
      </c>
      <c r="Y21" s="42" t="n">
        <f aca="false">IF(OR(H21="",H21=0,X21="",X21=0),"",H21/X21)</f>
        <v>0.469367138716356</v>
      </c>
    </row>
    <row r="22" customFormat="false" ht="15" hidden="false" customHeight="true" outlineLevel="0" collapsed="false">
      <c r="A22" s="5" t="s">
        <v>661</v>
      </c>
      <c r="B22" s="5" t="s">
        <v>339</v>
      </c>
      <c r="C22" s="5" t="s">
        <v>315</v>
      </c>
      <c r="D22" s="5" t="s">
        <v>645</v>
      </c>
      <c r="E22" s="5" t="s">
        <v>643</v>
      </c>
      <c r="F22" s="28" t="n">
        <f aca="false">IF(E22="","",IF(E22="DRINKS",0.21,0.11))</f>
        <v>0.11</v>
      </c>
      <c r="G22" s="29" t="n">
        <f aca="false">IF(B22="","",SUMIF(RETETAR!A:A,B22,RETETAR!F:F))</f>
        <v>11.418948</v>
      </c>
      <c r="H22" s="30" t="n">
        <f aca="false">IF(B22="","",SUMIF(RETETAR!A:A,B22,RETETAR!H:H))</f>
        <v>12.254288</v>
      </c>
      <c r="I22" s="31" t="n">
        <v>30.5</v>
      </c>
      <c r="J22" s="32" t="n">
        <f aca="false">IF(OR(I22="",F22=""),"",I22/(1+F22))</f>
        <v>27.4774774774775</v>
      </c>
      <c r="K22" s="33" t="n">
        <f aca="false">IF(OR(G22="",G22=0,J22="",J22=0),"",G22/J22)</f>
        <v>0.415574828852459</v>
      </c>
      <c r="L22" s="34" t="n">
        <f aca="false">IF(OR(H22="",H22=0,J22="",J22=0),"",H22/J22)</f>
        <v>0.445975727213115</v>
      </c>
      <c r="M22" s="35"/>
      <c r="N22" s="36" t="n">
        <v>1.99</v>
      </c>
      <c r="O22" s="36" t="n">
        <v>0</v>
      </c>
      <c r="P22" s="36" t="n">
        <v>0</v>
      </c>
      <c r="Q22" s="37" t="n">
        <f aca="false">IF(I22="","",I22+N(N22))</f>
        <v>32.49</v>
      </c>
      <c r="R22" s="37" t="n">
        <f aca="false">IF(OR(Q22="",F22=""),"",Q22/(1+F22))</f>
        <v>29.2702702702703</v>
      </c>
      <c r="S22" s="38" t="n">
        <f aca="false">IF(OR(H22="",H22=0,R22="",R22=0),"",H22/R22)</f>
        <v>0.418659885503232</v>
      </c>
      <c r="T22" s="39" t="n">
        <f aca="false">IF(I22="","",I22+N(N22+O22))</f>
        <v>32.49</v>
      </c>
      <c r="U22" s="39" t="n">
        <f aca="false">IF(OR(T22="",F22=""),"",T22/(1+F22))</f>
        <v>29.2702702702703</v>
      </c>
      <c r="V22" s="40" t="n">
        <f aca="false">IF(OR(H22="",H22=0,U22="",U22=0),"",H22/U22)</f>
        <v>0.418659885503232</v>
      </c>
      <c r="W22" s="41" t="n">
        <f aca="false">IF(I22="","",I22+N(N22+O22+P22))</f>
        <v>32.49</v>
      </c>
      <c r="X22" s="41" t="n">
        <f aca="false">IF(OR(W22="",F22=""),"",W22/(1+F22))</f>
        <v>29.2702702702703</v>
      </c>
      <c r="Y22" s="42" t="n">
        <f aca="false">IF(OR(H22="",H22=0,X22="",X22=0),"",H22/X22)</f>
        <v>0.418659885503232</v>
      </c>
    </row>
    <row r="23" customFormat="false" ht="15" hidden="false" customHeight="true" outlineLevel="0" collapsed="false">
      <c r="A23" s="5" t="s">
        <v>662</v>
      </c>
      <c r="B23" s="5" t="s">
        <v>340</v>
      </c>
      <c r="C23" s="5" t="s">
        <v>315</v>
      </c>
      <c r="D23" s="5" t="s">
        <v>642</v>
      </c>
      <c r="E23" s="5" t="s">
        <v>643</v>
      </c>
      <c r="F23" s="28" t="n">
        <f aca="false">IF(E23="","",IF(E23="DRINKS",0.21,0.11))</f>
        <v>0.11</v>
      </c>
      <c r="G23" s="29" t="n">
        <f aca="false">IF(B23="","",SUMIF(RETETAR!A:A,B23,RETETAR!F:F))</f>
        <v>8.1968</v>
      </c>
      <c r="H23" s="30" t="n">
        <f aca="false">IF(B23="","",SUMIF(RETETAR!A:A,B23,RETETAR!H:H))</f>
        <v>8.61447</v>
      </c>
      <c r="I23" s="31" t="n">
        <v>22</v>
      </c>
      <c r="J23" s="32" t="n">
        <f aca="false">IF(OR(I23="",F23=""),"",I23/(1+F23))</f>
        <v>19.8198198198198</v>
      </c>
      <c r="K23" s="33" t="n">
        <f aca="false">IF(OR(G23="",G23=0,J23="",J23=0),"",G23/J23)</f>
        <v>0.413565818181818</v>
      </c>
      <c r="L23" s="34" t="n">
        <f aca="false">IF(OR(H23="",H23=0,J23="",J23=0),"",H23/J23)</f>
        <v>0.434639168181818</v>
      </c>
      <c r="M23" s="35"/>
      <c r="N23" s="36" t="n">
        <v>0.99</v>
      </c>
      <c r="O23" s="36" t="n">
        <v>0</v>
      </c>
      <c r="P23" s="36" t="n">
        <v>0</v>
      </c>
      <c r="Q23" s="37" t="n">
        <f aca="false">IF(I23="","",I23+N(N23))</f>
        <v>22.99</v>
      </c>
      <c r="R23" s="37" t="n">
        <f aca="false">IF(OR(Q23="",F23=""),"",Q23/(1+F23))</f>
        <v>20.7117117117117</v>
      </c>
      <c r="S23" s="38" t="n">
        <f aca="false">IF(OR(H23="",H23=0,R23="",R23=0),"",H23/R23)</f>
        <v>0.415922648977817</v>
      </c>
      <c r="T23" s="39" t="n">
        <f aca="false">IF(I23="","",I23+N(N23+O23))</f>
        <v>22.99</v>
      </c>
      <c r="U23" s="39" t="n">
        <f aca="false">IF(OR(T23="",F23=""),"",T23/(1+F23))</f>
        <v>20.7117117117117</v>
      </c>
      <c r="V23" s="40" t="n">
        <f aca="false">IF(OR(H23="",H23=0,U23="",U23=0),"",H23/U23)</f>
        <v>0.415922648977817</v>
      </c>
      <c r="W23" s="41" t="n">
        <f aca="false">IF(I23="","",I23+N(N23+O23+P23))</f>
        <v>22.99</v>
      </c>
      <c r="X23" s="41" t="n">
        <f aca="false">IF(OR(W23="",F23=""),"",W23/(1+F23))</f>
        <v>20.7117117117117</v>
      </c>
      <c r="Y23" s="42" t="n">
        <f aca="false">IF(OR(H23="",H23=0,X23="",X23=0),"",H23/X23)</f>
        <v>0.415922648977817</v>
      </c>
    </row>
    <row r="24" customFormat="false" ht="15" hidden="false" customHeight="true" outlineLevel="0" collapsed="false">
      <c r="A24" s="5" t="s">
        <v>663</v>
      </c>
      <c r="B24" s="5" t="s">
        <v>341</v>
      </c>
      <c r="C24" s="5" t="s">
        <v>315</v>
      </c>
      <c r="D24" s="5" t="s">
        <v>645</v>
      </c>
      <c r="E24" s="5" t="s">
        <v>643</v>
      </c>
      <c r="F24" s="28" t="n">
        <f aca="false">IF(E24="","",IF(E24="DRINKS",0.21,0.11))</f>
        <v>0.11</v>
      </c>
      <c r="G24" s="29" t="n">
        <f aca="false">IF(B24="","",SUMIF(RETETAR!A:A,B24,RETETAR!F:F))</f>
        <v>8.1968</v>
      </c>
      <c r="H24" s="30" t="n">
        <f aca="false">IF(B24="","",SUMIF(RETETAR!A:A,B24,RETETAR!H:H))</f>
        <v>8.61447</v>
      </c>
      <c r="I24" s="31" t="n">
        <v>25</v>
      </c>
      <c r="J24" s="32" t="n">
        <f aca="false">IF(OR(I24="",F24=""),"",I24/(1+F24))</f>
        <v>22.5225225225225</v>
      </c>
      <c r="K24" s="33" t="n">
        <f aca="false">IF(OR(G24="",G24=0,J24="",J24=0),"",G24/J24)</f>
        <v>0.36393792</v>
      </c>
      <c r="L24" s="34" t="n">
        <f aca="false">IF(OR(H24="",H24=0,J24="",J24=0),"",H24/J24)</f>
        <v>0.382482468</v>
      </c>
      <c r="M24" s="35"/>
      <c r="N24" s="36" t="n">
        <v>0.99</v>
      </c>
      <c r="O24" s="36" t="n">
        <v>0</v>
      </c>
      <c r="P24" s="36" t="n">
        <v>0</v>
      </c>
      <c r="Q24" s="37" t="n">
        <f aca="false">IF(I24="","",I24+N(N24))</f>
        <v>25.99</v>
      </c>
      <c r="R24" s="37" t="n">
        <f aca="false">IF(OR(Q24="",F24=""),"",Q24/(1+F24))</f>
        <v>23.4144144144144</v>
      </c>
      <c r="S24" s="38" t="n">
        <f aca="false">IF(OR(H24="",H24=0,R24="",R24=0),"",H24/R24)</f>
        <v>0.367913108888034</v>
      </c>
      <c r="T24" s="39" t="n">
        <f aca="false">IF(I24="","",I24+N(N24+O24))</f>
        <v>25.99</v>
      </c>
      <c r="U24" s="39" t="n">
        <f aca="false">IF(OR(T24="",F24=""),"",T24/(1+F24))</f>
        <v>23.4144144144144</v>
      </c>
      <c r="V24" s="40" t="n">
        <f aca="false">IF(OR(H24="",H24=0,U24="",U24=0),"",H24/U24)</f>
        <v>0.367913108888034</v>
      </c>
      <c r="W24" s="41" t="n">
        <f aca="false">IF(I24="","",I24+N(N24+O24+P24))</f>
        <v>25.99</v>
      </c>
      <c r="X24" s="41" t="n">
        <f aca="false">IF(OR(W24="",F24=""),"",W24/(1+F24))</f>
        <v>23.4144144144144</v>
      </c>
      <c r="Y24" s="42" t="n">
        <f aca="false">IF(OR(H24="",H24=0,X24="",X24=0),"",H24/X24)</f>
        <v>0.367913108888034</v>
      </c>
    </row>
    <row r="25" customFormat="false" ht="15" hidden="false" customHeight="true" outlineLevel="0" collapsed="false">
      <c r="A25" s="5" t="s">
        <v>664</v>
      </c>
      <c r="B25" s="5" t="s">
        <v>342</v>
      </c>
      <c r="C25" s="5" t="s">
        <v>315</v>
      </c>
      <c r="D25" s="5" t="s">
        <v>642</v>
      </c>
      <c r="E25" s="5" t="s">
        <v>643</v>
      </c>
      <c r="F25" s="28" t="n">
        <f aca="false">IF(E25="","",IF(E25="DRINKS",0.21,0.11))</f>
        <v>0.11</v>
      </c>
      <c r="G25" s="29" t="n">
        <f aca="false">IF(B25="","",SUMIF(RETETAR!A:A,B25,RETETAR!F:F))</f>
        <v>12.0954</v>
      </c>
      <c r="H25" s="30" t="n">
        <f aca="false">IF(B25="","",SUMIF(RETETAR!A:A,B25,RETETAR!H:H))</f>
        <v>12.93074</v>
      </c>
      <c r="I25" s="31" t="n">
        <v>28</v>
      </c>
      <c r="J25" s="32" t="n">
        <f aca="false">IF(OR(I25="",F25=""),"",I25/(1+F25))</f>
        <v>25.2252252252252</v>
      </c>
      <c r="K25" s="33" t="n">
        <f aca="false">IF(OR(G25="",G25=0,J25="",J25=0),"",G25/J25)</f>
        <v>0.479496214285714</v>
      </c>
      <c r="L25" s="34" t="n">
        <f aca="false">IF(OR(H25="",H25=0,J25="",J25=0),"",H25/J25)</f>
        <v>0.512611478571429</v>
      </c>
      <c r="M25" s="35"/>
      <c r="N25" s="36" t="n">
        <v>1.99</v>
      </c>
      <c r="O25" s="36" t="n">
        <v>0</v>
      </c>
      <c r="P25" s="36" t="n">
        <v>0</v>
      </c>
      <c r="Q25" s="37" t="n">
        <f aca="false">IF(I25="","",I25+N(N25))</f>
        <v>29.99</v>
      </c>
      <c r="R25" s="37" t="n">
        <f aca="false">IF(OR(Q25="",F25=""),"",Q25/(1+F25))</f>
        <v>27.018018018018</v>
      </c>
      <c r="S25" s="38" t="n">
        <f aca="false">IF(OR(H25="",H25=0,R25="",R25=0),"",H25/R25)</f>
        <v>0.478596912304101</v>
      </c>
      <c r="T25" s="39" t="n">
        <f aca="false">IF(I25="","",I25+N(N25+O25))</f>
        <v>29.99</v>
      </c>
      <c r="U25" s="39" t="n">
        <f aca="false">IF(OR(T25="",F25=""),"",T25/(1+F25))</f>
        <v>27.018018018018</v>
      </c>
      <c r="V25" s="40" t="n">
        <f aca="false">IF(OR(H25="",H25=0,U25="",U25=0),"",H25/U25)</f>
        <v>0.478596912304101</v>
      </c>
      <c r="W25" s="41" t="n">
        <f aca="false">IF(I25="","",I25+N(N25+O25+P25))</f>
        <v>29.99</v>
      </c>
      <c r="X25" s="41" t="n">
        <f aca="false">IF(OR(W25="",F25=""),"",W25/(1+F25))</f>
        <v>27.018018018018</v>
      </c>
      <c r="Y25" s="42" t="n">
        <f aca="false">IF(OR(H25="",H25=0,X25="",X25=0),"",H25/X25)</f>
        <v>0.478596912304101</v>
      </c>
    </row>
    <row r="26" customFormat="false" ht="15" hidden="false" customHeight="true" outlineLevel="0" collapsed="false">
      <c r="A26" s="5" t="s">
        <v>665</v>
      </c>
      <c r="B26" s="5" t="s">
        <v>343</v>
      </c>
      <c r="C26" s="5" t="s">
        <v>315</v>
      </c>
      <c r="D26" s="5" t="s">
        <v>645</v>
      </c>
      <c r="E26" s="5" t="s">
        <v>643</v>
      </c>
      <c r="F26" s="28" t="n">
        <f aca="false">IF(E26="","",IF(E26="DRINKS",0.21,0.11))</f>
        <v>0.11</v>
      </c>
      <c r="G26" s="29" t="n">
        <f aca="false">IF(B26="","",SUMIF(RETETAR!A:A,B26,RETETAR!F:F))</f>
        <v>12.0954</v>
      </c>
      <c r="H26" s="30" t="n">
        <f aca="false">IF(B26="","",SUMIF(RETETAR!A:A,B26,RETETAR!H:H))</f>
        <v>12.93074</v>
      </c>
      <c r="I26" s="31" t="n">
        <v>31</v>
      </c>
      <c r="J26" s="32" t="n">
        <f aca="false">IF(OR(I26="",F26=""),"",I26/(1+F26))</f>
        <v>27.9279279279279</v>
      </c>
      <c r="K26" s="33" t="n">
        <f aca="false">IF(OR(G26="",G26=0,J26="",J26=0),"",G26/J26)</f>
        <v>0.43309335483871</v>
      </c>
      <c r="L26" s="34" t="n">
        <f aca="false">IF(OR(H26="",H26=0,J26="",J26=0),"",H26/J26)</f>
        <v>0.463003916129032</v>
      </c>
      <c r="M26" s="35"/>
      <c r="N26" s="36" t="n">
        <v>1.99</v>
      </c>
      <c r="O26" s="36" t="n">
        <v>0</v>
      </c>
      <c r="P26" s="36" t="n">
        <v>0</v>
      </c>
      <c r="Q26" s="37" t="n">
        <f aca="false">IF(I26="","",I26+N(N26))</f>
        <v>32.99</v>
      </c>
      <c r="R26" s="37" t="n">
        <f aca="false">IF(OR(Q26="",F26=""),"",Q26/(1+F26))</f>
        <v>29.7207207207207</v>
      </c>
      <c r="S26" s="38" t="n">
        <f aca="false">IF(OR(H26="",H26=0,R26="",R26=0),"",H26/R26)</f>
        <v>0.435074913610185</v>
      </c>
      <c r="T26" s="39" t="n">
        <f aca="false">IF(I26="","",I26+N(N26+O26))</f>
        <v>32.99</v>
      </c>
      <c r="U26" s="39" t="n">
        <f aca="false">IF(OR(T26="",F26=""),"",T26/(1+F26))</f>
        <v>29.7207207207207</v>
      </c>
      <c r="V26" s="40" t="n">
        <f aca="false">IF(OR(H26="",H26=0,U26="",U26=0),"",H26/U26)</f>
        <v>0.435074913610185</v>
      </c>
      <c r="W26" s="41" t="n">
        <f aca="false">IF(I26="","",I26+N(N26+O26+P26))</f>
        <v>32.99</v>
      </c>
      <c r="X26" s="41" t="n">
        <f aca="false">IF(OR(W26="",F26=""),"",W26/(1+F26))</f>
        <v>29.7207207207207</v>
      </c>
      <c r="Y26" s="42" t="n">
        <f aca="false">IF(OR(H26="",H26=0,X26="",X26=0),"",H26/X26)</f>
        <v>0.435074913610185</v>
      </c>
    </row>
    <row r="27" customFormat="false" ht="15" hidden="false" customHeight="true" outlineLevel="0" collapsed="false">
      <c r="A27" s="5" t="s">
        <v>666</v>
      </c>
      <c r="B27" s="5" t="s">
        <v>344</v>
      </c>
      <c r="C27" s="5" t="s">
        <v>315</v>
      </c>
      <c r="D27" s="5" t="s">
        <v>642</v>
      </c>
      <c r="E27" s="5" t="s">
        <v>643</v>
      </c>
      <c r="F27" s="28" t="n">
        <f aca="false">IF(E27="","",IF(E27="DRINKS",0.21,0.11))</f>
        <v>0.11</v>
      </c>
      <c r="G27" s="29" t="n">
        <f aca="false">IF(B27="","",SUMIF(RETETAR!A:A,B27,RETETAR!F:F))</f>
        <v>9.40848</v>
      </c>
      <c r="H27" s="30" t="n">
        <f aca="false">IF(B27="","",SUMIF(RETETAR!A:A,B27,RETETAR!H:H))</f>
        <v>9.82615</v>
      </c>
      <c r="I27" s="31" t="n">
        <v>26</v>
      </c>
      <c r="J27" s="32" t="n">
        <f aca="false">IF(OR(I27="",F27=""),"",I27/(1+F27))</f>
        <v>23.4234234234234</v>
      </c>
      <c r="K27" s="33" t="n">
        <f aca="false">IF(OR(G27="",G27=0,J27="",J27=0),"",G27/J27)</f>
        <v>0.401669723076923</v>
      </c>
      <c r="L27" s="34" t="n">
        <f aca="false">IF(OR(H27="",H27=0,J27="",J27=0),"",H27/J27)</f>
        <v>0.419501019230769</v>
      </c>
      <c r="M27" s="35"/>
      <c r="N27" s="36" t="n">
        <v>0.99</v>
      </c>
      <c r="O27" s="36" t="n">
        <v>0</v>
      </c>
      <c r="P27" s="36" t="n">
        <v>0</v>
      </c>
      <c r="Q27" s="37" t="n">
        <f aca="false">IF(I27="","",I27+N(N27))</f>
        <v>26.99</v>
      </c>
      <c r="R27" s="37" t="n">
        <f aca="false">IF(OR(Q27="",F27=""),"",Q27/(1+F27))</f>
        <v>24.3153153153153</v>
      </c>
      <c r="S27" s="38" t="n">
        <f aca="false">IF(OR(H27="",H27=0,R27="",R27=0),"",H27/R27)</f>
        <v>0.404113616154131</v>
      </c>
      <c r="T27" s="39" t="n">
        <f aca="false">IF(I27="","",I27+N(N27+O27))</f>
        <v>26.99</v>
      </c>
      <c r="U27" s="39" t="n">
        <f aca="false">IF(OR(T27="",F27=""),"",T27/(1+F27))</f>
        <v>24.3153153153153</v>
      </c>
      <c r="V27" s="40" t="n">
        <f aca="false">IF(OR(H27="",H27=0,U27="",U27=0),"",H27/U27)</f>
        <v>0.404113616154131</v>
      </c>
      <c r="W27" s="41" t="n">
        <f aca="false">IF(I27="","",I27+N(N27+O27+P27))</f>
        <v>26.99</v>
      </c>
      <c r="X27" s="41" t="n">
        <f aca="false">IF(OR(W27="",F27=""),"",W27/(1+F27))</f>
        <v>24.3153153153153</v>
      </c>
      <c r="Y27" s="42" t="n">
        <f aca="false">IF(OR(H27="",H27=0,X27="",X27=0),"",H27/X27)</f>
        <v>0.404113616154131</v>
      </c>
    </row>
    <row r="28" customFormat="false" ht="15" hidden="false" customHeight="true" outlineLevel="0" collapsed="false">
      <c r="A28" s="5" t="s">
        <v>667</v>
      </c>
      <c r="B28" s="5" t="s">
        <v>345</v>
      </c>
      <c r="C28" s="5" t="s">
        <v>315</v>
      </c>
      <c r="D28" s="5" t="s">
        <v>645</v>
      </c>
      <c r="E28" s="5" t="s">
        <v>643</v>
      </c>
      <c r="F28" s="28" t="n">
        <f aca="false">IF(E28="","",IF(E28="DRINKS",0.21,0.11))</f>
        <v>0.11</v>
      </c>
      <c r="G28" s="29" t="n">
        <f aca="false">IF(B28="","",SUMIF(RETETAR!A:A,B28,RETETAR!F:F))</f>
        <v>9.40848</v>
      </c>
      <c r="H28" s="30" t="n">
        <f aca="false">IF(B28="","",SUMIF(RETETAR!A:A,B28,RETETAR!H:H))</f>
        <v>9.82615</v>
      </c>
      <c r="I28" s="31" t="n">
        <v>29</v>
      </c>
      <c r="J28" s="32" t="n">
        <f aca="false">IF(OR(I28="",F28=""),"",I28/(1+F28))</f>
        <v>26.1261261261261</v>
      </c>
      <c r="K28" s="33" t="n">
        <f aca="false">IF(OR(G28="",G28=0,J28="",J28=0),"",G28/J28)</f>
        <v>0.360117682758621</v>
      </c>
      <c r="L28" s="34" t="n">
        <f aca="false">IF(OR(H28="",H28=0,J28="",J28=0),"",H28/J28)</f>
        <v>0.376104362068966</v>
      </c>
      <c r="M28" s="35"/>
      <c r="N28" s="36" t="n">
        <v>0.99</v>
      </c>
      <c r="O28" s="36" t="n">
        <v>0</v>
      </c>
      <c r="P28" s="36" t="n">
        <v>0</v>
      </c>
      <c r="Q28" s="37" t="n">
        <f aca="false">IF(I28="","",I28+N(N28))</f>
        <v>29.99</v>
      </c>
      <c r="R28" s="37" t="n">
        <f aca="false">IF(OR(Q28="",F28=""),"",Q28/(1+F28))</f>
        <v>27.018018018018</v>
      </c>
      <c r="S28" s="38" t="n">
        <f aca="false">IF(OR(H28="",H28=0,R28="",R28=0),"",H28/R28)</f>
        <v>0.363688779593198</v>
      </c>
      <c r="T28" s="39" t="n">
        <f aca="false">IF(I28="","",I28+N(N28+O28))</f>
        <v>29.99</v>
      </c>
      <c r="U28" s="39" t="n">
        <f aca="false">IF(OR(T28="",F28=""),"",T28/(1+F28))</f>
        <v>27.018018018018</v>
      </c>
      <c r="V28" s="40" t="n">
        <f aca="false">IF(OR(H28="",H28=0,U28="",U28=0),"",H28/U28)</f>
        <v>0.363688779593198</v>
      </c>
      <c r="W28" s="41" t="n">
        <f aca="false">IF(I28="","",I28+N(N28+O28+P28))</f>
        <v>29.99</v>
      </c>
      <c r="X28" s="41" t="n">
        <f aca="false">IF(OR(W28="",F28=""),"",W28/(1+F28))</f>
        <v>27.018018018018</v>
      </c>
      <c r="Y28" s="42" t="n">
        <f aca="false">IF(OR(H28="",H28=0,X28="",X28=0),"",H28/X28)</f>
        <v>0.363688779593198</v>
      </c>
    </row>
    <row r="29" customFormat="false" ht="15" hidden="false" customHeight="true" outlineLevel="0" collapsed="false">
      <c r="A29" s="5" t="s">
        <v>668</v>
      </c>
      <c r="B29" s="5" t="s">
        <v>346</v>
      </c>
      <c r="C29" s="5" t="s">
        <v>315</v>
      </c>
      <c r="D29" s="5" t="s">
        <v>642</v>
      </c>
      <c r="E29" s="5" t="s">
        <v>643</v>
      </c>
      <c r="F29" s="28" t="n">
        <f aca="false">IF(E29="","",IF(E29="DRINKS",0.21,0.11))</f>
        <v>0.11</v>
      </c>
      <c r="G29" s="29" t="n">
        <f aca="false">IF(B29="","",SUMIF(RETETAR!A:A,B29,RETETAR!F:F))</f>
        <v>13.55128</v>
      </c>
      <c r="H29" s="30" t="n">
        <f aca="false">IF(B29="","",SUMIF(RETETAR!A:A,B29,RETETAR!H:H))</f>
        <v>14.38662</v>
      </c>
      <c r="I29" s="31" t="n">
        <v>32</v>
      </c>
      <c r="J29" s="32" t="n">
        <f aca="false">IF(OR(I29="",F29=""),"",I29/(1+F29))</f>
        <v>28.8288288288288</v>
      </c>
      <c r="K29" s="33" t="n">
        <f aca="false">IF(OR(G29="",G29=0,J29="",J29=0),"",G29/J29)</f>
        <v>0.470060025</v>
      </c>
      <c r="L29" s="34" t="n">
        <f aca="false">IF(OR(H29="",H29=0,J29="",J29=0),"",H29/J29)</f>
        <v>0.49903588125</v>
      </c>
      <c r="M29" s="35"/>
      <c r="N29" s="36" t="n">
        <v>1.99</v>
      </c>
      <c r="O29" s="36" t="n">
        <v>0</v>
      </c>
      <c r="P29" s="36" t="n">
        <v>0</v>
      </c>
      <c r="Q29" s="37" t="n">
        <f aca="false">IF(I29="","",I29+N(N29))</f>
        <v>33.99</v>
      </c>
      <c r="R29" s="37" t="n">
        <f aca="false">IF(OR(Q29="",F29=""),"",Q29/(1+F29))</f>
        <v>30.6216216216216</v>
      </c>
      <c r="S29" s="38" t="n">
        <f aca="false">IF(OR(H29="",H29=0,R29="",R29=0),"",H29/R29)</f>
        <v>0.469819011473963</v>
      </c>
      <c r="T29" s="39" t="n">
        <f aca="false">IF(I29="","",I29+N(N29+O29))</f>
        <v>33.99</v>
      </c>
      <c r="U29" s="39" t="n">
        <f aca="false">IF(OR(T29="",F29=""),"",T29/(1+F29))</f>
        <v>30.6216216216216</v>
      </c>
      <c r="V29" s="40" t="n">
        <f aca="false">IF(OR(H29="",H29=0,U29="",U29=0),"",H29/U29)</f>
        <v>0.469819011473963</v>
      </c>
      <c r="W29" s="41" t="n">
        <f aca="false">IF(I29="","",I29+N(N29+O29+P29))</f>
        <v>33.99</v>
      </c>
      <c r="X29" s="41" t="n">
        <f aca="false">IF(OR(W29="",F29=""),"",W29/(1+F29))</f>
        <v>30.6216216216216</v>
      </c>
      <c r="Y29" s="42" t="n">
        <f aca="false">IF(OR(H29="",H29=0,X29="",X29=0),"",H29/X29)</f>
        <v>0.469819011473963</v>
      </c>
    </row>
    <row r="30" customFormat="false" ht="15" hidden="false" customHeight="true" outlineLevel="0" collapsed="false">
      <c r="A30" s="5" t="s">
        <v>669</v>
      </c>
      <c r="B30" s="5" t="s">
        <v>347</v>
      </c>
      <c r="C30" s="5" t="s">
        <v>315</v>
      </c>
      <c r="D30" s="5" t="s">
        <v>645</v>
      </c>
      <c r="E30" s="5" t="s">
        <v>643</v>
      </c>
      <c r="F30" s="28" t="n">
        <f aca="false">IF(E30="","",IF(E30="DRINKS",0.21,0.11))</f>
        <v>0.11</v>
      </c>
      <c r="G30" s="29" t="n">
        <f aca="false">IF(B30="","",SUMIF(RETETAR!A:A,B30,RETETAR!F:F))</f>
        <v>13.55128</v>
      </c>
      <c r="H30" s="30" t="n">
        <f aca="false">IF(B30="","",SUMIF(RETETAR!A:A,B30,RETETAR!H:H))</f>
        <v>14.38662</v>
      </c>
      <c r="I30" s="31" t="n">
        <v>35</v>
      </c>
      <c r="J30" s="32" t="n">
        <f aca="false">IF(OR(I30="",F30=""),"",I30/(1+F30))</f>
        <v>31.5315315315315</v>
      </c>
      <c r="K30" s="33" t="n">
        <f aca="false">IF(OR(G30="",G30=0,J30="",J30=0),"",G30/J30)</f>
        <v>0.429769165714286</v>
      </c>
      <c r="L30" s="34" t="n">
        <f aca="false">IF(OR(H30="",H30=0,J30="",J30=0),"",H30/J30)</f>
        <v>0.456261377142857</v>
      </c>
      <c r="M30" s="35"/>
      <c r="N30" s="36" t="n">
        <v>1.99</v>
      </c>
      <c r="O30" s="36" t="n">
        <v>0</v>
      </c>
      <c r="P30" s="36" t="n">
        <v>0</v>
      </c>
      <c r="Q30" s="37" t="n">
        <f aca="false">IF(I30="","",I30+N(N30))</f>
        <v>36.99</v>
      </c>
      <c r="R30" s="37" t="n">
        <f aca="false">IF(OR(Q30="",F30=""),"",Q30/(1+F30))</f>
        <v>33.3243243243243</v>
      </c>
      <c r="S30" s="38" t="n">
        <f aca="false">IF(OR(H30="",H30=0,R30="",R30=0),"",H30/R30)</f>
        <v>0.431715279805353</v>
      </c>
      <c r="T30" s="39" t="n">
        <f aca="false">IF(I30="","",I30+N(N30+O30))</f>
        <v>36.99</v>
      </c>
      <c r="U30" s="39" t="n">
        <f aca="false">IF(OR(T30="",F30=""),"",T30/(1+F30))</f>
        <v>33.3243243243243</v>
      </c>
      <c r="V30" s="40" t="n">
        <f aca="false">IF(OR(H30="",H30=0,U30="",U30=0),"",H30/U30)</f>
        <v>0.431715279805353</v>
      </c>
      <c r="W30" s="41" t="n">
        <f aca="false">IF(I30="","",I30+N(N30+O30+P30))</f>
        <v>36.99</v>
      </c>
      <c r="X30" s="41" t="n">
        <f aca="false">IF(OR(W30="",F30=""),"",W30/(1+F30))</f>
        <v>33.3243243243243</v>
      </c>
      <c r="Y30" s="42" t="n">
        <f aca="false">IF(OR(H30="",H30=0,X30="",X30=0),"",H30/X30)</f>
        <v>0.431715279805353</v>
      </c>
    </row>
    <row r="31" customFormat="false" ht="15" hidden="false" customHeight="true" outlineLevel="0" collapsed="false">
      <c r="A31" s="5" t="s">
        <v>348</v>
      </c>
      <c r="B31" s="5" t="s">
        <v>348</v>
      </c>
      <c r="C31" s="5" t="s">
        <v>315</v>
      </c>
      <c r="D31" s="5" t="s">
        <v>642</v>
      </c>
      <c r="E31" s="5" t="s">
        <v>643</v>
      </c>
      <c r="F31" s="28" t="n">
        <f aca="false">IF(E31="","",IF(E31="DRINKS",0.21,0.11))</f>
        <v>0.11</v>
      </c>
      <c r="G31" s="29" t="n">
        <f aca="false">IF(B31="","",SUMIF(RETETAR!A:A,B31,RETETAR!F:F))</f>
        <v>13.23</v>
      </c>
      <c r="H31" s="30" t="n">
        <f aca="false">IF(B31="","",SUMIF(RETETAR!A:A,B31,RETETAR!H:H))</f>
        <v>14.48301</v>
      </c>
      <c r="I31" s="31" t="n">
        <v>22</v>
      </c>
      <c r="J31" s="32" t="n">
        <f aca="false">IF(OR(I31="",F31=""),"",I31/(1+F31))</f>
        <v>19.8198198198198</v>
      </c>
      <c r="K31" s="33" t="n">
        <f aca="false">IF(OR(G31="",G31=0,J31="",J31=0),"",G31/J31)</f>
        <v>0.667513636363637</v>
      </c>
      <c r="L31" s="34" t="n">
        <f aca="false">IF(OR(H31="",H31=0,J31="",J31=0),"",H31/J31)</f>
        <v>0.730733686363637</v>
      </c>
      <c r="M31" s="35"/>
      <c r="N31" s="36" t="n">
        <v>0.99</v>
      </c>
      <c r="O31" s="36" t="n">
        <v>0</v>
      </c>
      <c r="P31" s="36" t="n">
        <v>0</v>
      </c>
      <c r="Q31" s="37" t="n">
        <f aca="false">IF(I31="","",I31+N(N31))</f>
        <v>22.99</v>
      </c>
      <c r="R31" s="37" t="n">
        <f aca="false">IF(OR(Q31="",F31=""),"",Q31/(1+F31))</f>
        <v>20.7117117117117</v>
      </c>
      <c r="S31" s="38" t="n">
        <f aca="false">IF(OR(H31="",H31=0,R31="",R31=0),"",H31/R31)</f>
        <v>0.699266685515442</v>
      </c>
      <c r="T31" s="39" t="n">
        <f aca="false">IF(I31="","",I31+N(N31+O31))</f>
        <v>22.99</v>
      </c>
      <c r="U31" s="39" t="n">
        <f aca="false">IF(OR(T31="",F31=""),"",T31/(1+F31))</f>
        <v>20.7117117117117</v>
      </c>
      <c r="V31" s="40" t="n">
        <f aca="false">IF(OR(H31="",H31=0,U31="",U31=0),"",H31/U31)</f>
        <v>0.699266685515442</v>
      </c>
      <c r="W31" s="41" t="n">
        <f aca="false">IF(I31="","",I31+N(N31+O31+P31))</f>
        <v>22.99</v>
      </c>
      <c r="X31" s="41" t="n">
        <f aca="false">IF(OR(W31="",F31=""),"",W31/(1+F31))</f>
        <v>20.7117117117117</v>
      </c>
      <c r="Y31" s="42" t="n">
        <f aca="false">IF(OR(H31="",H31=0,X31="",X31=0),"",H31/X31)</f>
        <v>0.699266685515442</v>
      </c>
    </row>
    <row r="32" customFormat="false" ht="15" hidden="false" customHeight="true" outlineLevel="0" collapsed="false">
      <c r="A32" s="5" t="s">
        <v>349</v>
      </c>
      <c r="B32" s="5" t="s">
        <v>349</v>
      </c>
      <c r="C32" s="5" t="s">
        <v>315</v>
      </c>
      <c r="D32" s="5" t="s">
        <v>645</v>
      </c>
      <c r="E32" s="5" t="s">
        <v>643</v>
      </c>
      <c r="F32" s="28" t="n">
        <f aca="false">IF(E32="","",IF(E32="DRINKS",0.21,0.11))</f>
        <v>0.11</v>
      </c>
      <c r="G32" s="29" t="n">
        <f aca="false">IF(B32="","",SUMIF(RETETAR!A:A,B32,RETETAR!F:F))</f>
        <v>13.23</v>
      </c>
      <c r="H32" s="30" t="n">
        <f aca="false">IF(B32="","",SUMIF(RETETAR!A:A,B32,RETETAR!H:H))</f>
        <v>14.48301</v>
      </c>
      <c r="I32" s="31" t="n">
        <v>25</v>
      </c>
      <c r="J32" s="32" t="n">
        <f aca="false">IF(OR(I32="",F32=""),"",I32/(1+F32))</f>
        <v>22.5225225225225</v>
      </c>
      <c r="K32" s="33" t="n">
        <f aca="false">IF(OR(G32="",G32=0,J32="",J32=0),"",G32/J32)</f>
        <v>0.587412</v>
      </c>
      <c r="L32" s="34" t="n">
        <f aca="false">IF(OR(H32="",H32=0,J32="",J32=0),"",H32/J32)</f>
        <v>0.643045644</v>
      </c>
      <c r="M32" s="35"/>
      <c r="N32" s="36" t="n">
        <v>0.99</v>
      </c>
      <c r="O32" s="36" t="n">
        <v>0</v>
      </c>
      <c r="P32" s="36" t="n">
        <v>0</v>
      </c>
      <c r="Q32" s="37" t="n">
        <f aca="false">IF(I32="","",I32+N(N32))</f>
        <v>25.99</v>
      </c>
      <c r="R32" s="37" t="n">
        <f aca="false">IF(OR(Q32="",F32=""),"",Q32/(1+F32))</f>
        <v>23.4144144144144</v>
      </c>
      <c r="S32" s="38" t="n">
        <f aca="false">IF(OR(H32="",H32=0,R32="",R32=0),"",H32/R32)</f>
        <v>0.618551023470566</v>
      </c>
      <c r="T32" s="39" t="n">
        <f aca="false">IF(I32="","",I32+N(N32+O32))</f>
        <v>25.99</v>
      </c>
      <c r="U32" s="39" t="n">
        <f aca="false">IF(OR(T32="",F32=""),"",T32/(1+F32))</f>
        <v>23.4144144144144</v>
      </c>
      <c r="V32" s="40" t="n">
        <f aca="false">IF(OR(H32="",H32=0,U32="",U32=0),"",H32/U32)</f>
        <v>0.618551023470566</v>
      </c>
      <c r="W32" s="41" t="n">
        <f aca="false">IF(I32="","",I32+N(N32+O32+P32))</f>
        <v>25.99</v>
      </c>
      <c r="X32" s="41" t="n">
        <f aca="false">IF(OR(W32="",F32=""),"",W32/(1+F32))</f>
        <v>23.4144144144144</v>
      </c>
      <c r="Y32" s="42" t="n">
        <f aca="false">IF(OR(H32="",H32=0,X32="",X32=0),"",H32/X32)</f>
        <v>0.618551023470566</v>
      </c>
    </row>
    <row r="33" customFormat="false" ht="15" hidden="false" customHeight="true" outlineLevel="0" collapsed="false">
      <c r="A33" s="5" t="s">
        <v>670</v>
      </c>
      <c r="B33" s="5" t="s">
        <v>350</v>
      </c>
      <c r="C33" s="5" t="s">
        <v>351</v>
      </c>
      <c r="D33" s="5" t="s">
        <v>642</v>
      </c>
      <c r="E33" s="5" t="s">
        <v>643</v>
      </c>
      <c r="F33" s="28" t="n">
        <f aca="false">IF(E33="","",IF(E33="DRINKS",0.21,0.11))</f>
        <v>0.11</v>
      </c>
      <c r="G33" s="29" t="n">
        <f aca="false">IF(B33="","",SUMIF(RETETAR!A:A,B33,RETETAR!F:F))</f>
        <v>4.337024</v>
      </c>
      <c r="H33" s="30" t="n">
        <f aca="false">IF(B33="","",SUMIF(RETETAR!A:A,B33,RETETAR!H:H))</f>
        <v>4.337024</v>
      </c>
      <c r="I33" s="31" t="n">
        <v>7</v>
      </c>
      <c r="J33" s="32" t="n">
        <f aca="false">IF(OR(I33="",F33=""),"",I33/(1+F33))</f>
        <v>6.30630630630631</v>
      </c>
      <c r="K33" s="33" t="n">
        <f aca="false">IF(OR(G33="",G33=0,J33="",J33=0),"",G33/J33)</f>
        <v>0.687728091428571</v>
      </c>
      <c r="L33" s="34" t="n">
        <f aca="false">IF(OR(H33="",H33=0,J33="",J33=0),"",H33/J33)</f>
        <v>0.687728091428571</v>
      </c>
      <c r="M33" s="35"/>
      <c r="N33" s="36" t="n">
        <v>0</v>
      </c>
      <c r="O33" s="36" t="n">
        <v>0.49</v>
      </c>
      <c r="P33" s="36" t="n">
        <v>0.5</v>
      </c>
      <c r="Q33" s="37" t="n">
        <f aca="false">IF(I33="","",I33+N(N33))</f>
        <v>7</v>
      </c>
      <c r="R33" s="37" t="n">
        <f aca="false">IF(OR(Q33="",F33=""),"",Q33/(1+F33))</f>
        <v>6.30630630630631</v>
      </c>
      <c r="S33" s="38" t="n">
        <f aca="false">IF(OR(H33="",H33=0,R33="",R33=0),"",H33/R33)</f>
        <v>0.687728091428571</v>
      </c>
      <c r="T33" s="39" t="n">
        <f aca="false">IF(I33="","",I33+N(N33+O33))</f>
        <v>7.49</v>
      </c>
      <c r="U33" s="39" t="n">
        <f aca="false">IF(OR(T33="",F33=""),"",T33/(1+F33))</f>
        <v>6.74774774774775</v>
      </c>
      <c r="V33" s="40" t="n">
        <f aca="false">IF(OR(H33="",H33=0,U33="",U33=0),"",H33/U33)</f>
        <v>0.642736534045394</v>
      </c>
      <c r="W33" s="41" t="n">
        <f aca="false">IF(I33="","",I33+N(N33+O33+P33))</f>
        <v>7.99</v>
      </c>
      <c r="X33" s="41" t="n">
        <f aca="false">IF(OR(W33="",F33=""),"",W33/(1+F33))</f>
        <v>7.1981981981982</v>
      </c>
      <c r="Y33" s="42" t="n">
        <f aca="false">IF(OR(H33="",H33=0,X33="",X33=0),"",H33/X33)</f>
        <v>0.602515224030038</v>
      </c>
    </row>
    <row r="34" customFormat="false" ht="15" hidden="false" customHeight="true" outlineLevel="0" collapsed="false">
      <c r="A34" s="5" t="s">
        <v>671</v>
      </c>
      <c r="B34" s="5" t="s">
        <v>352</v>
      </c>
      <c r="C34" s="5" t="s">
        <v>351</v>
      </c>
      <c r="D34" s="5" t="s">
        <v>645</v>
      </c>
      <c r="E34" s="5" t="s">
        <v>643</v>
      </c>
      <c r="F34" s="28" t="n">
        <f aca="false">IF(E34="","",IF(E34="DRINKS",0.21,0.11))</f>
        <v>0.11</v>
      </c>
      <c r="G34" s="29" t="n">
        <f aca="false">IF(B34="","",SUMIF(RETETAR!A:A,B34,RETETAR!F:F))</f>
        <v>4.337024</v>
      </c>
      <c r="H34" s="30" t="n">
        <f aca="false">IF(B34="","",SUMIF(RETETAR!A:A,B34,RETETAR!H:H))</f>
        <v>4.337024</v>
      </c>
      <c r="I34" s="31" t="n">
        <v>10</v>
      </c>
      <c r="J34" s="32" t="n">
        <f aca="false">IF(OR(I34="",F34=""),"",I34/(1+F34))</f>
        <v>9.00900900900901</v>
      </c>
      <c r="K34" s="33" t="n">
        <f aca="false">IF(OR(G34="",G34=0,J34="",J34=0),"",G34/J34)</f>
        <v>0.481409664</v>
      </c>
      <c r="L34" s="34" t="n">
        <f aca="false">IF(OR(H34="",H34=0,J34="",J34=0),"",H34/J34)</f>
        <v>0.481409664</v>
      </c>
      <c r="M34" s="35"/>
      <c r="N34" s="36" t="n">
        <v>0</v>
      </c>
      <c r="O34" s="36" t="n">
        <v>0.49</v>
      </c>
      <c r="P34" s="36" t="n">
        <v>0.5</v>
      </c>
      <c r="Q34" s="37" t="n">
        <f aca="false">IF(I34="","",I34+N(N34))</f>
        <v>10</v>
      </c>
      <c r="R34" s="37" t="n">
        <f aca="false">IF(OR(Q34="",F34=""),"",Q34/(1+F34))</f>
        <v>9.00900900900901</v>
      </c>
      <c r="S34" s="38" t="n">
        <f aca="false">IF(OR(H34="",H34=0,R34="",R34=0),"",H34/R34)</f>
        <v>0.481409664</v>
      </c>
      <c r="T34" s="39" t="n">
        <f aca="false">IF(I34="","",I34+N(N34+O34))</f>
        <v>10.49</v>
      </c>
      <c r="U34" s="39" t="n">
        <f aca="false">IF(OR(T34="",F34=""),"",T34/(1+F34))</f>
        <v>9.45045045045045</v>
      </c>
      <c r="V34" s="40" t="n">
        <f aca="false">IF(OR(H34="",H34=0,U34="",U34=0),"",H34/U34)</f>
        <v>0.458922463298379</v>
      </c>
      <c r="W34" s="41" t="n">
        <f aca="false">IF(I34="","",I34+N(N34+O34+P34))</f>
        <v>10.99</v>
      </c>
      <c r="X34" s="41" t="n">
        <f aca="false">IF(OR(W34="",F34=""),"",W34/(1+F34))</f>
        <v>9.9009009009009</v>
      </c>
      <c r="Y34" s="42" t="n">
        <f aca="false">IF(OR(H34="",H34=0,X34="",X34=0),"",H34/X34)</f>
        <v>0.43804337033667</v>
      </c>
    </row>
    <row r="35" customFormat="false" ht="15" hidden="false" customHeight="true" outlineLevel="0" collapsed="false">
      <c r="A35" s="5" t="s">
        <v>672</v>
      </c>
      <c r="B35" s="5" t="s">
        <v>353</v>
      </c>
      <c r="C35" s="5" t="s">
        <v>351</v>
      </c>
      <c r="D35" s="5" t="s">
        <v>642</v>
      </c>
      <c r="E35" s="5" t="s">
        <v>643</v>
      </c>
      <c r="F35" s="28" t="n">
        <f aca="false">IF(E35="","",IF(E35="DRINKS",0.21,0.11))</f>
        <v>0.11</v>
      </c>
      <c r="G35" s="29" t="n">
        <f aca="false">IF(B35="","",SUMIF(RETETAR!A:A,B35,RETETAR!F:F))</f>
        <v>6.368024</v>
      </c>
      <c r="H35" s="30" t="n">
        <f aca="false">IF(B35="","",SUMIF(RETETAR!A:A,B35,RETETAR!H:H))</f>
        <v>6.368024</v>
      </c>
      <c r="I35" s="31" t="n">
        <v>15</v>
      </c>
      <c r="J35" s="32" t="n">
        <f aca="false">IF(OR(I35="",F35=""),"",I35/(1+F35))</f>
        <v>13.5135135135135</v>
      </c>
      <c r="K35" s="33" t="n">
        <f aca="false">IF(OR(G35="",G35=0,J35="",J35=0),"",G35/J35)</f>
        <v>0.471233776</v>
      </c>
      <c r="L35" s="34" t="n">
        <f aca="false">IF(OR(H35="",H35=0,J35="",J35=0),"",H35/J35)</f>
        <v>0.471233776</v>
      </c>
      <c r="M35" s="35"/>
      <c r="N35" s="36" t="n">
        <v>0.49</v>
      </c>
      <c r="O35" s="36" t="n">
        <v>0.5</v>
      </c>
      <c r="P35" s="36" t="n">
        <v>0.5</v>
      </c>
      <c r="Q35" s="37" t="n">
        <f aca="false">IF(I35="","",I35+N(N35))</f>
        <v>15.49</v>
      </c>
      <c r="R35" s="37" t="n">
        <f aca="false">IF(OR(Q35="",F35=""),"",Q35/(1+F35))</f>
        <v>13.954954954955</v>
      </c>
      <c r="S35" s="38" t="n">
        <f aca="false">IF(OR(H35="",H35=0,R35="",R35=0),"",H35/R35)</f>
        <v>0.456327091026469</v>
      </c>
      <c r="T35" s="39" t="n">
        <f aca="false">IF(I35="","",I35+N(N35+O35))</f>
        <v>15.99</v>
      </c>
      <c r="U35" s="39" t="n">
        <f aca="false">IF(OR(T35="",F35=""),"",T35/(1+F35))</f>
        <v>14.4054054054054</v>
      </c>
      <c r="V35" s="40" t="n">
        <f aca="false">IF(OR(H35="",H35=0,U35="",U35=0),"",H35/U35)</f>
        <v>0.442057951219512</v>
      </c>
      <c r="W35" s="41" t="n">
        <f aca="false">IF(I35="","",I35+N(N35+O35+P35))</f>
        <v>16.49</v>
      </c>
      <c r="X35" s="41" t="n">
        <f aca="false">IF(OR(W35="",F35=""),"",W35/(1+F35))</f>
        <v>14.8558558558559</v>
      </c>
      <c r="Y35" s="42" t="n">
        <f aca="false">IF(OR(H35="",H35=0,X35="",X35=0),"",H35/X35)</f>
        <v>0.428654132201334</v>
      </c>
    </row>
    <row r="36" customFormat="false" ht="15" hidden="false" customHeight="true" outlineLevel="0" collapsed="false">
      <c r="A36" s="5" t="s">
        <v>673</v>
      </c>
      <c r="B36" s="5" t="s">
        <v>354</v>
      </c>
      <c r="C36" s="5" t="s">
        <v>351</v>
      </c>
      <c r="D36" s="5" t="s">
        <v>645</v>
      </c>
      <c r="E36" s="5" t="s">
        <v>643</v>
      </c>
      <c r="F36" s="28" t="n">
        <f aca="false">IF(E36="","",IF(E36="DRINKS",0.21,0.11))</f>
        <v>0.11</v>
      </c>
      <c r="G36" s="29" t="n">
        <f aca="false">IF(B36="","",SUMIF(RETETAR!A:A,B36,RETETAR!F:F))</f>
        <v>6.368024</v>
      </c>
      <c r="H36" s="30" t="n">
        <f aca="false">IF(B36="","",SUMIF(RETETAR!A:A,B36,RETETAR!H:H))</f>
        <v>6.368024</v>
      </c>
      <c r="I36" s="31" t="n">
        <v>18</v>
      </c>
      <c r="J36" s="32" t="n">
        <f aca="false">IF(OR(I36="",F36=""),"",I36/(1+F36))</f>
        <v>16.2162162162162</v>
      </c>
      <c r="K36" s="33" t="n">
        <f aca="false">IF(OR(G36="",G36=0,J36="",J36=0),"",G36/J36)</f>
        <v>0.392694813333333</v>
      </c>
      <c r="L36" s="34" t="n">
        <f aca="false">IF(OR(H36="",H36=0,J36="",J36=0),"",H36/J36)</f>
        <v>0.392694813333333</v>
      </c>
      <c r="M36" s="35"/>
      <c r="N36" s="36" t="n">
        <v>0.49</v>
      </c>
      <c r="O36" s="36" t="n">
        <v>0.5</v>
      </c>
      <c r="P36" s="36" t="n">
        <v>0.5</v>
      </c>
      <c r="Q36" s="37" t="n">
        <f aca="false">IF(I36="","",I36+N(N36))</f>
        <v>18.49</v>
      </c>
      <c r="R36" s="37" t="n">
        <f aca="false">IF(OR(Q36="",F36=""),"",Q36/(1+F36))</f>
        <v>16.6576576576577</v>
      </c>
      <c r="S36" s="38" t="n">
        <f aca="false">IF(OR(H36="",H36=0,R36="",R36=0),"",H36/R36)</f>
        <v>0.382288082206598</v>
      </c>
      <c r="T36" s="39" t="n">
        <f aca="false">IF(I36="","",I36+N(N36+O36))</f>
        <v>18.99</v>
      </c>
      <c r="U36" s="39" t="n">
        <f aca="false">IF(OR(T36="",F36=""),"",T36/(1+F36))</f>
        <v>17.1081081081081</v>
      </c>
      <c r="V36" s="40" t="n">
        <f aca="false">IF(OR(H36="",H36=0,U36="",U36=0),"",H36/U36)</f>
        <v>0.372222571879937</v>
      </c>
      <c r="W36" s="41" t="n">
        <f aca="false">IF(I36="","",I36+N(N36+O36+P36))</f>
        <v>19.49</v>
      </c>
      <c r="X36" s="41" t="n">
        <f aca="false">IF(OR(W36="",F36=""),"",W36/(1+F36))</f>
        <v>17.5585585585586</v>
      </c>
      <c r="Y36" s="42" t="n">
        <f aca="false">IF(OR(H36="",H36=0,X36="",X36=0),"",H36/X36)</f>
        <v>0.362673506413545</v>
      </c>
    </row>
    <row r="37" customFormat="false" ht="15" hidden="false" customHeight="true" outlineLevel="0" collapsed="false">
      <c r="A37" s="5" t="s">
        <v>674</v>
      </c>
      <c r="B37" s="5" t="s">
        <v>355</v>
      </c>
      <c r="C37" s="5" t="s">
        <v>351</v>
      </c>
      <c r="D37" s="5" t="s">
        <v>642</v>
      </c>
      <c r="E37" s="5" t="s">
        <v>643</v>
      </c>
      <c r="F37" s="28" t="n">
        <f aca="false">IF(E37="","",IF(E37="DRINKS",0.21,0.11))</f>
        <v>0.11</v>
      </c>
      <c r="G37" s="29" t="n">
        <f aca="false">IF(B37="","",SUMIF(RETETAR!A:A,B37,RETETAR!F:F))</f>
        <v>10.961048</v>
      </c>
      <c r="H37" s="30" t="n">
        <f aca="false">IF(B37="","",SUMIF(RETETAR!A:A,B37,RETETAR!H:H))</f>
        <v>10.961048</v>
      </c>
      <c r="I37" s="31" t="n">
        <v>26</v>
      </c>
      <c r="J37" s="32" t="n">
        <f aca="false">IF(OR(I37="",F37=""),"",I37/(1+F37))</f>
        <v>23.4234234234234</v>
      </c>
      <c r="K37" s="33" t="n">
        <f aca="false">IF(OR(G37="",G37=0,J37="",J37=0),"",G37/J37)</f>
        <v>0.467952433846154</v>
      </c>
      <c r="L37" s="34" t="n">
        <f aca="false">IF(OR(H37="",H37=0,J37="",J37=0),"",H37/J37)</f>
        <v>0.467952433846154</v>
      </c>
      <c r="M37" s="35"/>
      <c r="N37" s="36" t="n">
        <v>0.99</v>
      </c>
      <c r="O37" s="36" t="n">
        <v>0</v>
      </c>
      <c r="P37" s="36" t="n">
        <v>0</v>
      </c>
      <c r="Q37" s="37" t="n">
        <f aca="false">IF(I37="","",I37+N(N37))</f>
        <v>26.99</v>
      </c>
      <c r="R37" s="37" t="n">
        <f aca="false">IF(OR(Q37="",F37=""),"",Q37/(1+F37))</f>
        <v>24.3153153153153</v>
      </c>
      <c r="S37" s="38" t="n">
        <f aca="false">IF(OR(H37="",H37=0,R37="",R37=0),"",H37/R37)</f>
        <v>0.450787820674324</v>
      </c>
      <c r="T37" s="39" t="n">
        <f aca="false">IF(I37="","",I37+N(N37+O37))</f>
        <v>26.99</v>
      </c>
      <c r="U37" s="39" t="n">
        <f aca="false">IF(OR(T37="",F37=""),"",T37/(1+F37))</f>
        <v>24.3153153153153</v>
      </c>
      <c r="V37" s="40" t="n">
        <f aca="false">IF(OR(H37="",H37=0,U37="",U37=0),"",H37/U37)</f>
        <v>0.450787820674324</v>
      </c>
      <c r="W37" s="41" t="n">
        <f aca="false">IF(I37="","",I37+N(N37+O37+P37))</f>
        <v>26.99</v>
      </c>
      <c r="X37" s="41" t="n">
        <f aca="false">IF(OR(W37="",F37=""),"",W37/(1+F37))</f>
        <v>24.3153153153153</v>
      </c>
      <c r="Y37" s="42" t="n">
        <f aca="false">IF(OR(H37="",H37=0,X37="",X37=0),"",H37/X37)</f>
        <v>0.450787820674324</v>
      </c>
    </row>
    <row r="38" customFormat="false" ht="15" hidden="false" customHeight="true" outlineLevel="0" collapsed="false">
      <c r="A38" s="5" t="s">
        <v>675</v>
      </c>
      <c r="B38" s="5" t="s">
        <v>356</v>
      </c>
      <c r="C38" s="5" t="s">
        <v>351</v>
      </c>
      <c r="D38" s="5" t="s">
        <v>645</v>
      </c>
      <c r="E38" s="5" t="s">
        <v>643</v>
      </c>
      <c r="F38" s="28" t="n">
        <f aca="false">IF(E38="","",IF(E38="DRINKS",0.21,0.11))</f>
        <v>0.11</v>
      </c>
      <c r="G38" s="29" t="n">
        <f aca="false">IF(B38="","",SUMIF(RETETAR!A:A,B38,RETETAR!F:F))</f>
        <v>10.961048</v>
      </c>
      <c r="H38" s="30" t="n">
        <f aca="false">IF(B38="","",SUMIF(RETETAR!A:A,B38,RETETAR!H:H))</f>
        <v>10.961048</v>
      </c>
      <c r="I38" s="31" t="n">
        <v>28.5</v>
      </c>
      <c r="J38" s="32" t="n">
        <f aca="false">IF(OR(I38="",F38=""),"",I38/(1+F38))</f>
        <v>25.6756756756757</v>
      </c>
      <c r="K38" s="33" t="n">
        <f aca="false">IF(OR(G38="",G38=0,J38="",J38=0),"",G38/J38)</f>
        <v>0.426903974736842</v>
      </c>
      <c r="L38" s="34" t="n">
        <f aca="false">IF(OR(H38="",H38=0,J38="",J38=0),"",H38/J38)</f>
        <v>0.426903974736842</v>
      </c>
      <c r="M38" s="35"/>
      <c r="N38" s="36" t="n">
        <v>0.99</v>
      </c>
      <c r="O38" s="36" t="n">
        <v>0</v>
      </c>
      <c r="P38" s="36" t="n">
        <v>0</v>
      </c>
      <c r="Q38" s="37" t="n">
        <f aca="false">IF(I38="","",I38+N(N38))</f>
        <v>29.49</v>
      </c>
      <c r="R38" s="37" t="n">
        <f aca="false">IF(OR(Q38="",F38=""),"",Q38/(1+F38))</f>
        <v>26.5675675675676</v>
      </c>
      <c r="S38" s="38" t="n">
        <f aca="false">IF(OR(H38="",H38=0,R38="",R38=0),"",H38/R38)</f>
        <v>0.412572508646999</v>
      </c>
      <c r="T38" s="39" t="n">
        <f aca="false">IF(I38="","",I38+N(N38+O38))</f>
        <v>29.49</v>
      </c>
      <c r="U38" s="39" t="n">
        <f aca="false">IF(OR(T38="",F38=""),"",T38/(1+F38))</f>
        <v>26.5675675675676</v>
      </c>
      <c r="V38" s="40" t="n">
        <f aca="false">IF(OR(H38="",H38=0,U38="",U38=0),"",H38/U38)</f>
        <v>0.412572508646999</v>
      </c>
      <c r="W38" s="41" t="n">
        <f aca="false">IF(I38="","",I38+N(N38+O38+P38))</f>
        <v>29.49</v>
      </c>
      <c r="X38" s="41" t="n">
        <f aca="false">IF(OR(W38="",F38=""),"",W38/(1+F38))</f>
        <v>26.5675675675676</v>
      </c>
      <c r="Y38" s="42" t="n">
        <f aca="false">IF(OR(H38="",H38=0,X38="",X38=0),"",H38/X38)</f>
        <v>0.412572508646999</v>
      </c>
    </row>
    <row r="39" customFormat="false" ht="15" hidden="false" customHeight="true" outlineLevel="0" collapsed="false">
      <c r="A39" s="5" t="s">
        <v>676</v>
      </c>
      <c r="B39" s="5" t="s">
        <v>357</v>
      </c>
      <c r="C39" s="5" t="s">
        <v>351</v>
      </c>
      <c r="D39" s="5" t="s">
        <v>642</v>
      </c>
      <c r="E39" s="5" t="s">
        <v>643</v>
      </c>
      <c r="F39" s="28" t="n">
        <f aca="false">IF(E39="","",IF(E39="DRINKS",0.21,0.11))</f>
        <v>0.11</v>
      </c>
      <c r="G39" s="29" t="n">
        <f aca="false">IF(B39="","",SUMIF(RETETAR!A:A,B39,RETETAR!F:F))</f>
        <v>10.811248</v>
      </c>
      <c r="H39" s="30" t="n">
        <f aca="false">IF(B39="","",SUMIF(RETETAR!A:A,B39,RETETAR!H:H))</f>
        <v>10.811248</v>
      </c>
      <c r="I39" s="31" t="n">
        <v>26</v>
      </c>
      <c r="J39" s="32" t="n">
        <f aca="false">IF(OR(I39="",F39=""),"",I39/(1+F39))</f>
        <v>23.4234234234234</v>
      </c>
      <c r="K39" s="33" t="n">
        <f aca="false">IF(OR(G39="",G39=0,J39="",J39=0),"",G39/J39)</f>
        <v>0.461557126153846</v>
      </c>
      <c r="L39" s="34" t="n">
        <f aca="false">IF(OR(H39="",H39=0,J39="",J39=0),"",H39/J39)</f>
        <v>0.461557126153846</v>
      </c>
      <c r="M39" s="35"/>
      <c r="N39" s="36" t="n">
        <v>0.99</v>
      </c>
      <c r="O39" s="36" t="n">
        <v>0</v>
      </c>
      <c r="P39" s="36" t="n">
        <v>0</v>
      </c>
      <c r="Q39" s="37" t="n">
        <f aca="false">IF(I39="","",I39+N(N39))</f>
        <v>26.99</v>
      </c>
      <c r="R39" s="37" t="n">
        <f aca="false">IF(OR(Q39="",F39=""),"",Q39/(1+F39))</f>
        <v>24.3153153153153</v>
      </c>
      <c r="S39" s="38" t="n">
        <f aca="false">IF(OR(H39="",H39=0,R39="",R39=0),"",H39/R39)</f>
        <v>0.444627094479437</v>
      </c>
      <c r="T39" s="39" t="n">
        <f aca="false">IF(I39="","",I39+N(N39+O39))</f>
        <v>26.99</v>
      </c>
      <c r="U39" s="39" t="n">
        <f aca="false">IF(OR(T39="",F39=""),"",T39/(1+F39))</f>
        <v>24.3153153153153</v>
      </c>
      <c r="V39" s="40" t="n">
        <f aca="false">IF(OR(H39="",H39=0,U39="",U39=0),"",H39/U39)</f>
        <v>0.444627094479437</v>
      </c>
      <c r="W39" s="41" t="n">
        <f aca="false">IF(I39="","",I39+N(N39+O39+P39))</f>
        <v>26.99</v>
      </c>
      <c r="X39" s="41" t="n">
        <f aca="false">IF(OR(W39="",F39=""),"",W39/(1+F39))</f>
        <v>24.3153153153153</v>
      </c>
      <c r="Y39" s="42" t="n">
        <f aca="false">IF(OR(H39="",H39=0,X39="",X39=0),"",H39/X39)</f>
        <v>0.444627094479437</v>
      </c>
    </row>
    <row r="40" customFormat="false" ht="15" hidden="false" customHeight="true" outlineLevel="0" collapsed="false">
      <c r="A40" s="5" t="s">
        <v>677</v>
      </c>
      <c r="B40" s="5" t="s">
        <v>358</v>
      </c>
      <c r="C40" s="5" t="s">
        <v>351</v>
      </c>
      <c r="D40" s="5" t="s">
        <v>645</v>
      </c>
      <c r="E40" s="5" t="s">
        <v>643</v>
      </c>
      <c r="F40" s="28" t="n">
        <f aca="false">IF(E40="","",IF(E40="DRINKS",0.21,0.11))</f>
        <v>0.11</v>
      </c>
      <c r="G40" s="29" t="n">
        <f aca="false">IF(B40="","",SUMIF(RETETAR!A:A,B40,RETETAR!F:F))</f>
        <v>10.811248</v>
      </c>
      <c r="H40" s="30" t="n">
        <f aca="false">IF(B40="","",SUMIF(RETETAR!A:A,B40,RETETAR!H:H))</f>
        <v>10.811248</v>
      </c>
      <c r="I40" s="31" t="n">
        <v>28</v>
      </c>
      <c r="J40" s="32" t="n">
        <f aca="false">IF(OR(I40="",F40=""),"",I40/(1+F40))</f>
        <v>25.2252252252252</v>
      </c>
      <c r="K40" s="33" t="n">
        <f aca="false">IF(OR(G40="",G40=0,J40="",J40=0),"",G40/J40)</f>
        <v>0.42858876</v>
      </c>
      <c r="L40" s="34" t="n">
        <f aca="false">IF(OR(H40="",H40=0,J40="",J40=0),"",H40/J40)</f>
        <v>0.42858876</v>
      </c>
      <c r="M40" s="35"/>
      <c r="N40" s="36" t="n">
        <v>0.99</v>
      </c>
      <c r="O40" s="36" t="n">
        <v>0</v>
      </c>
      <c r="P40" s="36" t="n">
        <v>0</v>
      </c>
      <c r="Q40" s="37" t="n">
        <f aca="false">IF(I40="","",I40+N(N40))</f>
        <v>28.99</v>
      </c>
      <c r="R40" s="37" t="n">
        <f aca="false">IF(OR(Q40="",F40=""),"",Q40/(1+F40))</f>
        <v>26.1171171171171</v>
      </c>
      <c r="S40" s="38" t="n">
        <f aca="false">IF(OR(H40="",H40=0,R40="",R40=0),"",H40/R40)</f>
        <v>0.413952579510176</v>
      </c>
      <c r="T40" s="39" t="n">
        <f aca="false">IF(I40="","",I40+N(N40+O40))</f>
        <v>28.99</v>
      </c>
      <c r="U40" s="39" t="n">
        <f aca="false">IF(OR(T40="",F40=""),"",T40/(1+F40))</f>
        <v>26.1171171171171</v>
      </c>
      <c r="V40" s="40" t="n">
        <f aca="false">IF(OR(H40="",H40=0,U40="",U40=0),"",H40/U40)</f>
        <v>0.413952579510176</v>
      </c>
      <c r="W40" s="41" t="n">
        <f aca="false">IF(I40="","",I40+N(N40+O40+P40))</f>
        <v>28.99</v>
      </c>
      <c r="X40" s="41" t="n">
        <f aca="false">IF(OR(W40="",F40=""),"",W40/(1+F40))</f>
        <v>26.1171171171171</v>
      </c>
      <c r="Y40" s="42" t="n">
        <f aca="false">IF(OR(H40="",H40=0,X40="",X40=0),"",H40/X40)</f>
        <v>0.413952579510176</v>
      </c>
    </row>
    <row r="41" customFormat="false" ht="15" hidden="false" customHeight="true" outlineLevel="0" collapsed="false">
      <c r="A41" s="5" t="s">
        <v>678</v>
      </c>
      <c r="B41" s="5" t="s">
        <v>359</v>
      </c>
      <c r="C41" s="5" t="s">
        <v>351</v>
      </c>
      <c r="D41" s="5" t="s">
        <v>642</v>
      </c>
      <c r="E41" s="5" t="s">
        <v>643</v>
      </c>
      <c r="F41" s="28" t="n">
        <f aca="false">IF(E41="","",IF(E41="DRINKS",0.21,0.11))</f>
        <v>0.11</v>
      </c>
      <c r="G41" s="29" t="n">
        <f aca="false">IF(B41="","",SUMIF(RETETAR!A:A,B41,RETETAR!F:F))</f>
        <v>10.196948</v>
      </c>
      <c r="H41" s="30" t="n">
        <f aca="false">IF(B41="","",SUMIF(RETETAR!A:A,B41,RETETAR!H:H))</f>
        <v>10.196948</v>
      </c>
      <c r="I41" s="31" t="n">
        <v>26</v>
      </c>
      <c r="J41" s="32" t="n">
        <f aca="false">IF(OR(I41="",F41=""),"",I41/(1+F41))</f>
        <v>23.4234234234234</v>
      </c>
      <c r="K41" s="33" t="n">
        <f aca="false">IF(OR(G41="",G41=0,J41="",J41=0),"",G41/J41)</f>
        <v>0.435331241538462</v>
      </c>
      <c r="L41" s="34" t="n">
        <f aca="false">IF(OR(H41="",H41=0,J41="",J41=0),"",H41/J41)</f>
        <v>0.435331241538462</v>
      </c>
      <c r="M41" s="35"/>
      <c r="N41" s="36" t="n">
        <v>0.99</v>
      </c>
      <c r="O41" s="36" t="n">
        <v>0</v>
      </c>
      <c r="P41" s="36" t="n">
        <v>0</v>
      </c>
      <c r="Q41" s="37" t="n">
        <f aca="false">IF(I41="","",I41+N(N41))</f>
        <v>26.99</v>
      </c>
      <c r="R41" s="37" t="n">
        <f aca="false">IF(OR(Q41="",F41=""),"",Q41/(1+F41))</f>
        <v>24.3153153153153</v>
      </c>
      <c r="S41" s="38" t="n">
        <f aca="false">IF(OR(H41="",H41=0,R41="",R41=0),"",H41/R41)</f>
        <v>0.419363181919229</v>
      </c>
      <c r="T41" s="39" t="n">
        <f aca="false">IF(I41="","",I41+N(N41+O41))</f>
        <v>26.99</v>
      </c>
      <c r="U41" s="39" t="n">
        <f aca="false">IF(OR(T41="",F41=""),"",T41/(1+F41))</f>
        <v>24.3153153153153</v>
      </c>
      <c r="V41" s="40" t="n">
        <f aca="false">IF(OR(H41="",H41=0,U41="",U41=0),"",H41/U41)</f>
        <v>0.419363181919229</v>
      </c>
      <c r="W41" s="41" t="n">
        <f aca="false">IF(I41="","",I41+N(N41+O41+P41))</f>
        <v>26.99</v>
      </c>
      <c r="X41" s="41" t="n">
        <f aca="false">IF(OR(W41="",F41=""),"",W41/(1+F41))</f>
        <v>24.3153153153153</v>
      </c>
      <c r="Y41" s="42" t="n">
        <f aca="false">IF(OR(H41="",H41=0,X41="",X41=0),"",H41/X41)</f>
        <v>0.419363181919229</v>
      </c>
    </row>
    <row r="42" customFormat="false" ht="15" hidden="false" customHeight="true" outlineLevel="0" collapsed="false">
      <c r="A42" s="5" t="s">
        <v>679</v>
      </c>
      <c r="B42" s="5" t="s">
        <v>360</v>
      </c>
      <c r="C42" s="5" t="s">
        <v>351</v>
      </c>
      <c r="D42" s="5" t="s">
        <v>645</v>
      </c>
      <c r="E42" s="5" t="s">
        <v>643</v>
      </c>
      <c r="F42" s="28" t="n">
        <f aca="false">IF(E42="","",IF(E42="DRINKS",0.21,0.11))</f>
        <v>0.11</v>
      </c>
      <c r="G42" s="29" t="n">
        <f aca="false">IF(B42="","",SUMIF(RETETAR!A:A,B42,RETETAR!F:F))</f>
        <v>10.196948</v>
      </c>
      <c r="H42" s="30" t="n">
        <f aca="false">IF(B42="","",SUMIF(RETETAR!A:A,B42,RETETAR!H:H))</f>
        <v>10.196948</v>
      </c>
      <c r="I42" s="31" t="n">
        <v>28</v>
      </c>
      <c r="J42" s="32" t="n">
        <f aca="false">IF(OR(I42="",F42=""),"",I42/(1+F42))</f>
        <v>25.2252252252252</v>
      </c>
      <c r="K42" s="33" t="n">
        <f aca="false">IF(OR(G42="",G42=0,J42="",J42=0),"",G42/J42)</f>
        <v>0.404236152857143</v>
      </c>
      <c r="L42" s="34" t="n">
        <f aca="false">IF(OR(H42="",H42=0,J42="",J42=0),"",H42/J42)</f>
        <v>0.404236152857143</v>
      </c>
      <c r="M42" s="35"/>
      <c r="N42" s="36" t="n">
        <v>0.99</v>
      </c>
      <c r="O42" s="36" t="n">
        <v>0</v>
      </c>
      <c r="P42" s="36" t="n">
        <v>0</v>
      </c>
      <c r="Q42" s="37" t="n">
        <f aca="false">IF(I42="","",I42+N(N42))</f>
        <v>28.99</v>
      </c>
      <c r="R42" s="37" t="n">
        <f aca="false">IF(OR(Q42="",F42=""),"",Q42/(1+F42))</f>
        <v>26.1171171171171</v>
      </c>
      <c r="S42" s="38" t="n">
        <f aca="false">IF(OR(H42="",H42=0,R42="",R42=0),"",H42/R42)</f>
        <v>0.390431606760952</v>
      </c>
      <c r="T42" s="39" t="n">
        <f aca="false">IF(I42="","",I42+N(N42+O42))</f>
        <v>28.99</v>
      </c>
      <c r="U42" s="39" t="n">
        <f aca="false">IF(OR(T42="",F42=""),"",T42/(1+F42))</f>
        <v>26.1171171171171</v>
      </c>
      <c r="V42" s="40" t="n">
        <f aca="false">IF(OR(H42="",H42=0,U42="",U42=0),"",H42/U42)</f>
        <v>0.390431606760952</v>
      </c>
      <c r="W42" s="41" t="n">
        <f aca="false">IF(I42="","",I42+N(N42+O42+P42))</f>
        <v>28.99</v>
      </c>
      <c r="X42" s="41" t="n">
        <f aca="false">IF(OR(W42="",F42=""),"",W42/(1+F42))</f>
        <v>26.1171171171171</v>
      </c>
      <c r="Y42" s="42" t="n">
        <f aca="false">IF(OR(H42="",H42=0,X42="",X42=0),"",H42/X42)</f>
        <v>0.390431606760952</v>
      </c>
    </row>
    <row r="43" customFormat="false" ht="15" hidden="false" customHeight="true" outlineLevel="0" collapsed="false">
      <c r="A43" s="5" t="s">
        <v>680</v>
      </c>
      <c r="B43" s="5" t="s">
        <v>361</v>
      </c>
      <c r="C43" s="5" t="s">
        <v>351</v>
      </c>
      <c r="D43" s="5" t="s">
        <v>642</v>
      </c>
      <c r="E43" s="5" t="s">
        <v>643</v>
      </c>
      <c r="F43" s="28" t="n">
        <f aca="false">IF(E43="","",IF(E43="DRINKS",0.21,0.11))</f>
        <v>0.11</v>
      </c>
      <c r="G43" s="29" t="n">
        <f aca="false">IF(B43="","",SUMIF(RETETAR!A:A,B43,RETETAR!F:F))</f>
        <v>5.615394</v>
      </c>
      <c r="H43" s="30" t="n">
        <f aca="false">IF(B43="","",SUMIF(RETETAR!A:A,B43,RETETAR!H:H))</f>
        <v>5.615394</v>
      </c>
      <c r="I43" s="31" t="n">
        <v>14</v>
      </c>
      <c r="J43" s="32" t="n">
        <f aca="false">IF(OR(I43="",F43=""),"",I43/(1+F43))</f>
        <v>12.6126126126126</v>
      </c>
      <c r="K43" s="33" t="n">
        <f aca="false">IF(OR(G43="",G43=0,J43="",J43=0),"",G43/J43)</f>
        <v>0.445220524285714</v>
      </c>
      <c r="L43" s="34" t="n">
        <f aca="false">IF(OR(H43="",H43=0,J43="",J43=0),"",H43/J43)</f>
        <v>0.445220524285714</v>
      </c>
      <c r="M43" s="35"/>
      <c r="N43" s="36" t="n">
        <v>0.49</v>
      </c>
      <c r="O43" s="36" t="n">
        <v>0</v>
      </c>
      <c r="P43" s="36" t="n">
        <v>0</v>
      </c>
      <c r="Q43" s="37" t="n">
        <f aca="false">IF(I43="","",I43+N(N43))</f>
        <v>14.49</v>
      </c>
      <c r="R43" s="37" t="n">
        <f aca="false">IF(OR(Q43="",F43=""),"",Q43/(1+F43))</f>
        <v>13.0540540540541</v>
      </c>
      <c r="S43" s="38" t="n">
        <f aca="false">IF(OR(H43="",H43=0,R43="",R43=0),"",H43/R43)</f>
        <v>0.430164757763975</v>
      </c>
      <c r="T43" s="39" t="n">
        <f aca="false">IF(I43="","",I43+N(N43+O43))</f>
        <v>14.49</v>
      </c>
      <c r="U43" s="39" t="n">
        <f aca="false">IF(OR(T43="",F43=""),"",T43/(1+F43))</f>
        <v>13.0540540540541</v>
      </c>
      <c r="V43" s="40" t="n">
        <f aca="false">IF(OR(H43="",H43=0,U43="",U43=0),"",H43/U43)</f>
        <v>0.430164757763975</v>
      </c>
      <c r="W43" s="41" t="n">
        <f aca="false">IF(I43="","",I43+N(N43+O43+P43))</f>
        <v>14.49</v>
      </c>
      <c r="X43" s="41" t="n">
        <f aca="false">IF(OR(W43="",F43=""),"",W43/(1+F43))</f>
        <v>13.0540540540541</v>
      </c>
      <c r="Y43" s="42" t="n">
        <f aca="false">IF(OR(H43="",H43=0,X43="",X43=0),"",H43/X43)</f>
        <v>0.430164757763975</v>
      </c>
    </row>
    <row r="44" customFormat="false" ht="15" hidden="false" customHeight="true" outlineLevel="0" collapsed="false">
      <c r="A44" s="5" t="s">
        <v>681</v>
      </c>
      <c r="B44" s="5" t="s">
        <v>362</v>
      </c>
      <c r="C44" s="5" t="s">
        <v>351</v>
      </c>
      <c r="D44" s="5" t="s">
        <v>645</v>
      </c>
      <c r="E44" s="5" t="s">
        <v>643</v>
      </c>
      <c r="F44" s="28" t="n">
        <f aca="false">IF(E44="","",IF(E44="DRINKS",0.21,0.11))</f>
        <v>0.11</v>
      </c>
      <c r="G44" s="29" t="n">
        <f aca="false">IF(B44="","",SUMIF(RETETAR!A:A,B44,RETETAR!F:F))</f>
        <v>5.615394</v>
      </c>
      <c r="H44" s="30" t="n">
        <f aca="false">IF(B44="","",SUMIF(RETETAR!A:A,B44,RETETAR!H:H))</f>
        <v>5.615394</v>
      </c>
      <c r="I44" s="31" t="n">
        <v>16</v>
      </c>
      <c r="J44" s="32" t="n">
        <f aca="false">IF(OR(I44="",F44=""),"",I44/(1+F44))</f>
        <v>14.4144144144144</v>
      </c>
      <c r="K44" s="33" t="n">
        <f aca="false">IF(OR(G44="",G44=0,J44="",J44=0),"",G44/J44)</f>
        <v>0.38956795875</v>
      </c>
      <c r="L44" s="34" t="n">
        <f aca="false">IF(OR(H44="",H44=0,J44="",J44=0),"",H44/J44)</f>
        <v>0.38956795875</v>
      </c>
      <c r="M44" s="35"/>
      <c r="N44" s="36" t="n">
        <v>0.49</v>
      </c>
      <c r="O44" s="36" t="n">
        <v>0</v>
      </c>
      <c r="P44" s="36" t="n">
        <v>0</v>
      </c>
      <c r="Q44" s="37" t="n">
        <f aca="false">IF(I44="","",I44+N(N44))</f>
        <v>16.49</v>
      </c>
      <c r="R44" s="37" t="n">
        <f aca="false">IF(OR(Q44="",F44=""),"",Q44/(1+F44))</f>
        <v>14.8558558558559</v>
      </c>
      <c r="S44" s="38" t="n">
        <f aca="false">IF(OR(H44="",H44=0,R44="",R44=0),"",H44/R44)</f>
        <v>0.377991955124318</v>
      </c>
      <c r="T44" s="39" t="n">
        <f aca="false">IF(I44="","",I44+N(N44+O44))</f>
        <v>16.49</v>
      </c>
      <c r="U44" s="39" t="n">
        <f aca="false">IF(OR(T44="",F44=""),"",T44/(1+F44))</f>
        <v>14.8558558558559</v>
      </c>
      <c r="V44" s="40" t="n">
        <f aca="false">IF(OR(H44="",H44=0,U44="",U44=0),"",H44/U44)</f>
        <v>0.377991955124318</v>
      </c>
      <c r="W44" s="41" t="n">
        <f aca="false">IF(I44="","",I44+N(N44+O44+P44))</f>
        <v>16.49</v>
      </c>
      <c r="X44" s="41" t="n">
        <f aca="false">IF(OR(W44="",F44=""),"",W44/(1+F44))</f>
        <v>14.8558558558559</v>
      </c>
      <c r="Y44" s="42" t="n">
        <f aca="false">IF(OR(H44="",H44=0,X44="",X44=0),"",H44/X44)</f>
        <v>0.377991955124318</v>
      </c>
    </row>
    <row r="45" customFormat="false" ht="15" hidden="false" customHeight="true" outlineLevel="0" collapsed="false">
      <c r="A45" s="5" t="s">
        <v>682</v>
      </c>
      <c r="B45" s="5" t="s">
        <v>363</v>
      </c>
      <c r="C45" s="5" t="s">
        <v>351</v>
      </c>
      <c r="D45" s="5" t="s">
        <v>642</v>
      </c>
      <c r="E45" s="5" t="s">
        <v>643</v>
      </c>
      <c r="F45" s="28" t="n">
        <f aca="false">IF(E45="","",IF(E45="DRINKS",0.21,0.11))</f>
        <v>0.11</v>
      </c>
      <c r="G45" s="29" t="n">
        <f aca="false">IF(B45="","",SUMIF(RETETAR!A:A,B45,RETETAR!F:F))</f>
        <v>7.761518</v>
      </c>
      <c r="H45" s="30" t="n">
        <f aca="false">IF(B45="","",SUMIF(RETETAR!A:A,B45,RETETAR!H:H))</f>
        <v>7.761518</v>
      </c>
      <c r="I45" s="31" t="n">
        <v>19</v>
      </c>
      <c r="J45" s="32" t="n">
        <f aca="false">IF(OR(I45="",F45=""),"",I45/(1+F45))</f>
        <v>17.1171171171171</v>
      </c>
      <c r="K45" s="33" t="n">
        <f aca="false">IF(OR(G45="",G45=0,J45="",J45=0),"",G45/J45)</f>
        <v>0.453436051578947</v>
      </c>
      <c r="L45" s="34" t="n">
        <f aca="false">IF(OR(H45="",H45=0,J45="",J45=0),"",H45/J45)</f>
        <v>0.453436051578947</v>
      </c>
      <c r="M45" s="35"/>
      <c r="N45" s="36" t="n">
        <v>0.99</v>
      </c>
      <c r="O45" s="36" t="n">
        <v>0</v>
      </c>
      <c r="P45" s="36" t="n">
        <v>0</v>
      </c>
      <c r="Q45" s="37" t="n">
        <f aca="false">IF(I45="","",I45+N(N45))</f>
        <v>19.99</v>
      </c>
      <c r="R45" s="37" t="n">
        <f aca="false">IF(OR(Q45="",F45=""),"",Q45/(1+F45))</f>
        <v>18.009009009009</v>
      </c>
      <c r="S45" s="38" t="n">
        <f aca="false">IF(OR(H45="",H45=0,R45="",R45=0),"",H45/R45)</f>
        <v>0.430979738869435</v>
      </c>
      <c r="T45" s="39" t="n">
        <f aca="false">IF(I45="","",I45+N(N45+O45))</f>
        <v>19.99</v>
      </c>
      <c r="U45" s="39" t="n">
        <f aca="false">IF(OR(T45="",F45=""),"",T45/(1+F45))</f>
        <v>18.009009009009</v>
      </c>
      <c r="V45" s="40" t="n">
        <f aca="false">IF(OR(H45="",H45=0,U45="",U45=0),"",H45/U45)</f>
        <v>0.430979738869435</v>
      </c>
      <c r="W45" s="41" t="n">
        <f aca="false">IF(I45="","",I45+N(N45+O45+P45))</f>
        <v>19.99</v>
      </c>
      <c r="X45" s="41" t="n">
        <f aca="false">IF(OR(W45="",F45=""),"",W45/(1+F45))</f>
        <v>18.009009009009</v>
      </c>
      <c r="Y45" s="42" t="n">
        <f aca="false">IF(OR(H45="",H45=0,X45="",X45=0),"",H45/X45)</f>
        <v>0.430979738869435</v>
      </c>
    </row>
    <row r="46" customFormat="false" ht="15" hidden="false" customHeight="true" outlineLevel="0" collapsed="false">
      <c r="A46" s="5" t="s">
        <v>683</v>
      </c>
      <c r="B46" s="5" t="s">
        <v>364</v>
      </c>
      <c r="C46" s="5" t="s">
        <v>351</v>
      </c>
      <c r="D46" s="5" t="s">
        <v>645</v>
      </c>
      <c r="E46" s="5" t="s">
        <v>643</v>
      </c>
      <c r="F46" s="28" t="n">
        <f aca="false">IF(E46="","",IF(E46="DRINKS",0.21,0.11))</f>
        <v>0.11</v>
      </c>
      <c r="G46" s="29" t="n">
        <f aca="false">IF(B46="","",SUMIF(RETETAR!A:A,B46,RETETAR!F:F))</f>
        <v>7.761518</v>
      </c>
      <c r="H46" s="30" t="n">
        <f aca="false">IF(B46="","",SUMIF(RETETAR!A:A,B46,RETETAR!H:H))</f>
        <v>7.761518</v>
      </c>
      <c r="I46" s="31" t="n">
        <v>21</v>
      </c>
      <c r="J46" s="32" t="n">
        <f aca="false">IF(OR(I46="",F46=""),"",I46/(1+F46))</f>
        <v>18.9189189189189</v>
      </c>
      <c r="K46" s="33" t="n">
        <f aca="false">IF(OR(G46="",G46=0,J46="",J46=0),"",G46/J46)</f>
        <v>0.410251665714286</v>
      </c>
      <c r="L46" s="34" t="n">
        <f aca="false">IF(OR(H46="",H46=0,J46="",J46=0),"",H46/J46)</f>
        <v>0.410251665714286</v>
      </c>
      <c r="M46" s="35"/>
      <c r="N46" s="36" t="n">
        <v>0.99</v>
      </c>
      <c r="O46" s="36" t="n">
        <v>0</v>
      </c>
      <c r="P46" s="36" t="n">
        <v>0</v>
      </c>
      <c r="Q46" s="37" t="n">
        <f aca="false">IF(I46="","",I46+N(N46))</f>
        <v>21.99</v>
      </c>
      <c r="R46" s="37" t="n">
        <f aca="false">IF(OR(Q46="",F46=""),"",Q46/(1+F46))</f>
        <v>19.8108108108108</v>
      </c>
      <c r="S46" s="38" t="n">
        <f aca="false">IF(OR(H46="",H46=0,R46="",R46=0),"",H46/R46)</f>
        <v>0.391781945429741</v>
      </c>
      <c r="T46" s="39" t="n">
        <f aca="false">IF(I46="","",I46+N(N46+O46))</f>
        <v>21.99</v>
      </c>
      <c r="U46" s="39" t="n">
        <f aca="false">IF(OR(T46="",F46=""),"",T46/(1+F46))</f>
        <v>19.8108108108108</v>
      </c>
      <c r="V46" s="40" t="n">
        <f aca="false">IF(OR(H46="",H46=0,U46="",U46=0),"",H46/U46)</f>
        <v>0.391781945429741</v>
      </c>
      <c r="W46" s="41" t="n">
        <f aca="false">IF(I46="","",I46+N(N46+O46+P46))</f>
        <v>21.99</v>
      </c>
      <c r="X46" s="41" t="n">
        <f aca="false">IF(OR(W46="",F46=""),"",W46/(1+F46))</f>
        <v>19.8108108108108</v>
      </c>
      <c r="Y46" s="42" t="n">
        <f aca="false">IF(OR(H46="",H46=0,X46="",X46=0),"",H46/X46)</f>
        <v>0.391781945429741</v>
      </c>
    </row>
    <row r="47" customFormat="false" ht="15" hidden="false" customHeight="true" outlineLevel="0" collapsed="false">
      <c r="A47" s="5" t="s">
        <v>365</v>
      </c>
      <c r="B47" s="5" t="s">
        <v>365</v>
      </c>
      <c r="C47" s="5" t="s">
        <v>351</v>
      </c>
      <c r="D47" s="5" t="s">
        <v>642</v>
      </c>
      <c r="E47" s="5" t="s">
        <v>643</v>
      </c>
      <c r="F47" s="28" t="n">
        <f aca="false">IF(E47="","",IF(E47="DRINKS",0.21,0.11))</f>
        <v>0.11</v>
      </c>
      <c r="G47" s="29" t="n">
        <f aca="false">IF(B47="","",SUMIF(RETETAR!A:A,B47,RETETAR!F:F))</f>
        <v>4.981324</v>
      </c>
      <c r="H47" s="30" t="n">
        <f aca="false">IF(B47="","",SUMIF(RETETAR!A:A,B47,RETETAR!H:H))</f>
        <v>4.981324</v>
      </c>
      <c r="I47" s="31" t="n">
        <v>18</v>
      </c>
      <c r="J47" s="32" t="n">
        <f aca="false">IF(OR(I47="",F47=""),"",I47/(1+F47))</f>
        <v>16.2162162162162</v>
      </c>
      <c r="K47" s="33" t="n">
        <f aca="false">IF(OR(G47="",G47=0,J47="",J47=0),"",G47/J47)</f>
        <v>0.307181646666667</v>
      </c>
      <c r="L47" s="34" t="n">
        <f aca="false">IF(OR(H47="",H47=0,J47="",J47=0),"",H47/J47)</f>
        <v>0.307181646666667</v>
      </c>
      <c r="M47" s="35"/>
      <c r="N47" s="36" t="n">
        <v>0</v>
      </c>
      <c r="O47" s="36" t="n">
        <v>0</v>
      </c>
      <c r="P47" s="36" t="n">
        <v>0</v>
      </c>
      <c r="Q47" s="37" t="n">
        <f aca="false">IF(I47="","",I47+N(N47))</f>
        <v>18</v>
      </c>
      <c r="R47" s="37" t="n">
        <f aca="false">IF(OR(Q47="",F47=""),"",Q47/(1+F47))</f>
        <v>16.2162162162162</v>
      </c>
      <c r="S47" s="38" t="n">
        <f aca="false">IF(OR(H47="",H47=0,R47="",R47=0),"",H47/R47)</f>
        <v>0.307181646666667</v>
      </c>
      <c r="T47" s="39" t="n">
        <f aca="false">IF(I47="","",I47+N(N47+O47))</f>
        <v>18</v>
      </c>
      <c r="U47" s="39" t="n">
        <f aca="false">IF(OR(T47="",F47=""),"",T47/(1+F47))</f>
        <v>16.2162162162162</v>
      </c>
      <c r="V47" s="40" t="n">
        <f aca="false">IF(OR(H47="",H47=0,U47="",U47=0),"",H47/U47)</f>
        <v>0.307181646666667</v>
      </c>
      <c r="W47" s="41" t="n">
        <f aca="false">IF(I47="","",I47+N(N47+O47+P47))</f>
        <v>18</v>
      </c>
      <c r="X47" s="41" t="n">
        <f aca="false">IF(OR(W47="",F47=""),"",W47/(1+F47))</f>
        <v>16.2162162162162</v>
      </c>
      <c r="Y47" s="42" t="n">
        <f aca="false">IF(OR(H47="",H47=0,X47="",X47=0),"",H47/X47)</f>
        <v>0.307181646666667</v>
      </c>
    </row>
    <row r="48" customFormat="false" ht="15" hidden="false" customHeight="true" outlineLevel="0" collapsed="false">
      <c r="A48" s="5" t="s">
        <v>366</v>
      </c>
      <c r="B48" s="5" t="s">
        <v>366</v>
      </c>
      <c r="C48" s="5" t="s">
        <v>351</v>
      </c>
      <c r="D48" s="5" t="s">
        <v>642</v>
      </c>
      <c r="E48" s="5" t="s">
        <v>643</v>
      </c>
      <c r="F48" s="28" t="n">
        <f aca="false">IF(E48="","",IF(E48="DRINKS",0.21,0.11))</f>
        <v>0.11</v>
      </c>
      <c r="G48" s="29" t="n">
        <f aca="false">IF(B48="","",SUMIF(RETETAR!A:A,B48,RETETAR!F:F))</f>
        <v>10.271948</v>
      </c>
      <c r="H48" s="30" t="n">
        <f aca="false">IF(B48="","",SUMIF(RETETAR!A:A,B48,RETETAR!H:H))</f>
        <v>10.271948</v>
      </c>
      <c r="I48" s="31" t="n">
        <v>26</v>
      </c>
      <c r="J48" s="32" t="n">
        <f aca="false">IF(OR(I48="",F48=""),"",I48/(1+F48))</f>
        <v>23.4234234234234</v>
      </c>
      <c r="K48" s="33" t="n">
        <f aca="false">IF(OR(G48="",G48=0,J48="",J48=0),"",G48/J48)</f>
        <v>0.438533164615385</v>
      </c>
      <c r="L48" s="34" t="n">
        <f aca="false">IF(OR(H48="",H48=0,J48="",J48=0),"",H48/J48)</f>
        <v>0.438533164615385</v>
      </c>
      <c r="M48" s="35"/>
      <c r="N48" s="36" t="n">
        <v>0.99</v>
      </c>
      <c r="O48" s="36" t="n">
        <v>0</v>
      </c>
      <c r="P48" s="36" t="n">
        <v>0</v>
      </c>
      <c r="Q48" s="37" t="n">
        <f aca="false">IF(I48="","",I48+N(N48))</f>
        <v>26.99</v>
      </c>
      <c r="R48" s="37" t="n">
        <f aca="false">IF(OR(Q48="",F48=""),"",Q48/(1+F48))</f>
        <v>24.3153153153153</v>
      </c>
      <c r="S48" s="38" t="n">
        <f aca="false">IF(OR(H48="",H48=0,R48="",R48=0),"",H48/R48)</f>
        <v>0.422447657650982</v>
      </c>
      <c r="T48" s="39" t="n">
        <f aca="false">IF(I48="","",I48+N(N48+O48))</f>
        <v>26.99</v>
      </c>
      <c r="U48" s="39" t="n">
        <f aca="false">IF(OR(T48="",F48=""),"",T48/(1+F48))</f>
        <v>24.3153153153153</v>
      </c>
      <c r="V48" s="40" t="n">
        <f aca="false">IF(OR(H48="",H48=0,U48="",U48=0),"",H48/U48)</f>
        <v>0.422447657650982</v>
      </c>
      <c r="W48" s="41" t="n">
        <f aca="false">IF(I48="","",I48+N(N48+O48+P48))</f>
        <v>26.99</v>
      </c>
      <c r="X48" s="41" t="n">
        <f aca="false">IF(OR(W48="",F48=""),"",W48/(1+F48))</f>
        <v>24.3153153153153</v>
      </c>
      <c r="Y48" s="42" t="n">
        <f aca="false">IF(OR(H48="",H48=0,X48="",X48=0),"",H48/X48)</f>
        <v>0.422447657650982</v>
      </c>
    </row>
    <row r="49" customFormat="false" ht="15" hidden="false" customHeight="true" outlineLevel="0" collapsed="false">
      <c r="A49" s="5" t="s">
        <v>367</v>
      </c>
      <c r="B49" s="5" t="s">
        <v>367</v>
      </c>
      <c r="C49" s="5" t="s">
        <v>351</v>
      </c>
      <c r="D49" s="5" t="s">
        <v>645</v>
      </c>
      <c r="E49" s="5" t="s">
        <v>643</v>
      </c>
      <c r="F49" s="28" t="n">
        <f aca="false">IF(E49="","",IF(E49="DRINKS",0.21,0.11))</f>
        <v>0.11</v>
      </c>
      <c r="G49" s="29" t="n">
        <f aca="false">IF(B49="","",SUMIF(RETETAR!A:A,B49,RETETAR!F:F))</f>
        <v>10.271948</v>
      </c>
      <c r="H49" s="30" t="n">
        <f aca="false">IF(B49="","",SUMIF(RETETAR!A:A,B49,RETETAR!H:H))</f>
        <v>10.271948</v>
      </c>
      <c r="I49" s="31" t="n">
        <v>28</v>
      </c>
      <c r="J49" s="32" t="n">
        <f aca="false">IF(OR(I49="",F49=""),"",I49/(1+F49))</f>
        <v>25.2252252252252</v>
      </c>
      <c r="K49" s="33" t="n">
        <f aca="false">IF(OR(G49="",G49=0,J49="",J49=0),"",G49/J49)</f>
        <v>0.407209367142857</v>
      </c>
      <c r="L49" s="34" t="n">
        <f aca="false">IF(OR(H49="",H49=0,J49="",J49=0),"",H49/J49)</f>
        <v>0.407209367142857</v>
      </c>
      <c r="M49" s="35"/>
      <c r="N49" s="36" t="n">
        <v>0.99</v>
      </c>
      <c r="O49" s="36" t="n">
        <v>0</v>
      </c>
      <c r="P49" s="36" t="n">
        <v>0</v>
      </c>
      <c r="Q49" s="37" t="n">
        <f aca="false">IF(I49="","",I49+N(N49))</f>
        <v>28.99</v>
      </c>
      <c r="R49" s="37" t="n">
        <f aca="false">IF(OR(Q49="",F49=""),"",Q49/(1+F49))</f>
        <v>26.1171171171171</v>
      </c>
      <c r="S49" s="38" t="n">
        <f aca="false">IF(OR(H49="",H49=0,R49="",R49=0),"",H49/R49)</f>
        <v>0.393303286650569</v>
      </c>
      <c r="T49" s="39" t="n">
        <f aca="false">IF(I49="","",I49+N(N49+O49))</f>
        <v>28.99</v>
      </c>
      <c r="U49" s="39" t="n">
        <f aca="false">IF(OR(T49="",F49=""),"",T49/(1+F49))</f>
        <v>26.1171171171171</v>
      </c>
      <c r="V49" s="40" t="n">
        <f aca="false">IF(OR(H49="",H49=0,U49="",U49=0),"",H49/U49)</f>
        <v>0.393303286650569</v>
      </c>
      <c r="W49" s="41" t="n">
        <f aca="false">IF(I49="","",I49+N(N49+O49+P49))</f>
        <v>28.99</v>
      </c>
      <c r="X49" s="41" t="n">
        <f aca="false">IF(OR(W49="",F49=""),"",W49/(1+F49))</f>
        <v>26.1171171171171</v>
      </c>
      <c r="Y49" s="42" t="n">
        <f aca="false">IF(OR(H49="",H49=0,X49="",X49=0),"",H49/X49)</f>
        <v>0.393303286650569</v>
      </c>
    </row>
    <row r="50" customFormat="false" ht="15" hidden="false" customHeight="true" outlineLevel="0" collapsed="false">
      <c r="A50" s="5" t="s">
        <v>684</v>
      </c>
      <c r="B50" s="5" t="s">
        <v>368</v>
      </c>
      <c r="C50" s="5" t="s">
        <v>351</v>
      </c>
      <c r="D50" s="5" t="s">
        <v>642</v>
      </c>
      <c r="E50" s="5" t="s">
        <v>643</v>
      </c>
      <c r="F50" s="28" t="n">
        <f aca="false">IF(E50="","",IF(E50="DRINKS",0.21,0.11))</f>
        <v>0.11</v>
      </c>
      <c r="G50" s="29" t="n">
        <f aca="false">IF(B50="","",SUMIF(RETETAR!A:A,B50,RETETAR!F:F))</f>
        <v>10.886248</v>
      </c>
      <c r="H50" s="30" t="n">
        <f aca="false">IF(B50="","",SUMIF(RETETAR!A:A,B50,RETETAR!H:H))</f>
        <v>10.886248</v>
      </c>
      <c r="I50" s="31" t="n">
        <v>26</v>
      </c>
      <c r="J50" s="32" t="n">
        <f aca="false">IF(OR(I50="",F50=""),"",I50/(1+F50))</f>
        <v>23.4234234234234</v>
      </c>
      <c r="K50" s="33" t="n">
        <f aca="false">IF(OR(G50="",G50=0,J50="",J50=0),"",G50/J50)</f>
        <v>0.464759049230769</v>
      </c>
      <c r="L50" s="34" t="n">
        <f aca="false">IF(OR(H50="",H50=0,J50="",J50=0),"",H50/J50)</f>
        <v>0.464759049230769</v>
      </c>
      <c r="M50" s="35"/>
      <c r="N50" s="36" t="n">
        <v>0.99</v>
      </c>
      <c r="O50" s="36" t="n">
        <v>0</v>
      </c>
      <c r="P50" s="36" t="n">
        <v>0</v>
      </c>
      <c r="Q50" s="37" t="n">
        <f aca="false">IF(I50="","",I50+N(N50))</f>
        <v>26.99</v>
      </c>
      <c r="R50" s="37" t="n">
        <f aca="false">IF(OR(Q50="",F50=""),"",Q50/(1+F50))</f>
        <v>24.3153153153153</v>
      </c>
      <c r="S50" s="38" t="n">
        <f aca="false">IF(OR(H50="",H50=0,R50="",R50=0),"",H50/R50)</f>
        <v>0.447711570211189</v>
      </c>
      <c r="T50" s="39" t="n">
        <f aca="false">IF(I50="","",I50+N(N50+O50))</f>
        <v>26.99</v>
      </c>
      <c r="U50" s="39" t="n">
        <f aca="false">IF(OR(T50="",F50=""),"",T50/(1+F50))</f>
        <v>24.3153153153153</v>
      </c>
      <c r="V50" s="40" t="n">
        <f aca="false">IF(OR(H50="",H50=0,U50="",U50=0),"",H50/U50)</f>
        <v>0.447711570211189</v>
      </c>
      <c r="W50" s="41" t="n">
        <f aca="false">IF(I50="","",I50+N(N50+O50+P50))</f>
        <v>26.99</v>
      </c>
      <c r="X50" s="41" t="n">
        <f aca="false">IF(OR(W50="",F50=""),"",W50/(1+F50))</f>
        <v>24.3153153153153</v>
      </c>
      <c r="Y50" s="42" t="n">
        <f aca="false">IF(OR(H50="",H50=0,X50="",X50=0),"",H50/X50)</f>
        <v>0.447711570211189</v>
      </c>
    </row>
    <row r="51" customFormat="false" ht="15" hidden="false" customHeight="true" outlineLevel="0" collapsed="false">
      <c r="A51" s="5" t="s">
        <v>368</v>
      </c>
      <c r="B51" s="5" t="s">
        <v>368</v>
      </c>
      <c r="C51" s="5" t="s">
        <v>351</v>
      </c>
      <c r="D51" s="5" t="s">
        <v>645</v>
      </c>
      <c r="E51" s="5" t="s">
        <v>643</v>
      </c>
      <c r="F51" s="28" t="n">
        <f aca="false">IF(E51="","",IF(E51="DRINKS",0.21,0.11))</f>
        <v>0.11</v>
      </c>
      <c r="G51" s="29" t="n">
        <f aca="false">IF(B51="","",SUMIF(RETETAR!A:A,B51,RETETAR!F:F))</f>
        <v>10.886248</v>
      </c>
      <c r="H51" s="30" t="n">
        <f aca="false">IF(B51="","",SUMIF(RETETAR!A:A,B51,RETETAR!H:H))</f>
        <v>10.886248</v>
      </c>
      <c r="I51" s="31" t="n">
        <v>28</v>
      </c>
      <c r="J51" s="32" t="n">
        <f aca="false">IF(OR(I51="",F51=""),"",I51/(1+F51))</f>
        <v>25.2252252252252</v>
      </c>
      <c r="K51" s="33" t="n">
        <f aca="false">IF(OR(G51="",G51=0,J51="",J51=0),"",G51/J51)</f>
        <v>0.431561974285714</v>
      </c>
      <c r="L51" s="34" t="n">
        <f aca="false">IF(OR(H51="",H51=0,J51="",J51=0),"",H51/J51)</f>
        <v>0.431561974285714</v>
      </c>
      <c r="M51" s="35"/>
      <c r="N51" s="36" t="n">
        <v>0.99</v>
      </c>
      <c r="O51" s="36" t="n">
        <v>0</v>
      </c>
      <c r="P51" s="36" t="n">
        <v>0</v>
      </c>
      <c r="Q51" s="37" t="n">
        <f aca="false">IF(I51="","",I51+N(N51))</f>
        <v>28.99</v>
      </c>
      <c r="R51" s="37" t="n">
        <f aca="false">IF(OR(Q51="",F51=""),"",Q51/(1+F51))</f>
        <v>26.1171171171171</v>
      </c>
      <c r="S51" s="38" t="n">
        <f aca="false">IF(OR(H51="",H51=0,R51="",R51=0),"",H51/R51)</f>
        <v>0.416824259399793</v>
      </c>
      <c r="T51" s="39" t="n">
        <f aca="false">IF(I51="","",I51+N(N51+O51))</f>
        <v>28.99</v>
      </c>
      <c r="U51" s="39" t="n">
        <f aca="false">IF(OR(T51="",F51=""),"",T51/(1+F51))</f>
        <v>26.1171171171171</v>
      </c>
      <c r="V51" s="40" t="n">
        <f aca="false">IF(OR(H51="",H51=0,U51="",U51=0),"",H51/U51)</f>
        <v>0.416824259399793</v>
      </c>
      <c r="W51" s="41" t="n">
        <f aca="false">IF(I51="","",I51+N(N51+O51+P51))</f>
        <v>28.99</v>
      </c>
      <c r="X51" s="41" t="n">
        <f aca="false">IF(OR(W51="",F51=""),"",W51/(1+F51))</f>
        <v>26.1171171171171</v>
      </c>
      <c r="Y51" s="42" t="n">
        <f aca="false">IF(OR(H51="",H51=0,X51="",X51=0),"",H51/X51)</f>
        <v>0.416824259399793</v>
      </c>
    </row>
    <row r="52" customFormat="false" ht="15" hidden="false" customHeight="true" outlineLevel="0" collapsed="false">
      <c r="A52" s="5" t="s">
        <v>685</v>
      </c>
      <c r="B52" s="5" t="s">
        <v>369</v>
      </c>
      <c r="C52" s="5" t="s">
        <v>351</v>
      </c>
      <c r="D52" s="5" t="s">
        <v>642</v>
      </c>
      <c r="E52" s="5" t="s">
        <v>643</v>
      </c>
      <c r="F52" s="28" t="n">
        <f aca="false">IF(E52="","",IF(E52="DRINKS",0.21,0.11))</f>
        <v>0.11</v>
      </c>
      <c r="G52" s="29" t="n">
        <f aca="false">IF(B52="","",SUMIF(RETETAR!A:A,B52,RETETAR!F:F))</f>
        <v>7.877024</v>
      </c>
      <c r="H52" s="30" t="n">
        <f aca="false">IF(B52="","",SUMIF(RETETAR!A:A,B52,RETETAR!H:H))</f>
        <v>7.877024</v>
      </c>
      <c r="I52" s="31" t="n">
        <v>20</v>
      </c>
      <c r="J52" s="32" t="n">
        <f aca="false">IF(OR(I52="",F52=""),"",I52/(1+F52))</f>
        <v>18.018018018018</v>
      </c>
      <c r="K52" s="33" t="n">
        <f aca="false">IF(OR(G52="",G52=0,J52="",J52=0),"",G52/J52)</f>
        <v>0.437174832</v>
      </c>
      <c r="L52" s="34" t="n">
        <f aca="false">IF(OR(H52="",H52=0,J52="",J52=0),"",H52/J52)</f>
        <v>0.437174832</v>
      </c>
      <c r="M52" s="35"/>
      <c r="N52" s="36" t="n">
        <v>0.99</v>
      </c>
      <c r="O52" s="36" t="n">
        <v>0.5</v>
      </c>
      <c r="P52" s="36" t="n">
        <v>0.5</v>
      </c>
      <c r="Q52" s="37" t="n">
        <f aca="false">IF(I52="","",I52+N(N52))</f>
        <v>20.99</v>
      </c>
      <c r="R52" s="37" t="n">
        <f aca="false">IF(OR(Q52="",F52=""),"",Q52/(1+F52))</f>
        <v>18.9099099099099</v>
      </c>
      <c r="S52" s="38" t="n">
        <f aca="false">IF(OR(H52="",H52=0,R52="",R52=0),"",H52/R52)</f>
        <v>0.416555342544069</v>
      </c>
      <c r="T52" s="39" t="n">
        <f aca="false">IF(I52="","",I52+N(N52+O52))</f>
        <v>21.49</v>
      </c>
      <c r="U52" s="39" t="n">
        <f aca="false">IF(OR(T52="",F52=""),"",T52/(1+F52))</f>
        <v>19.3603603603604</v>
      </c>
      <c r="V52" s="40" t="n">
        <f aca="false">IF(OR(H52="",H52=0,U52="",U52=0),"",H52/U52)</f>
        <v>0.406863501163332</v>
      </c>
      <c r="W52" s="41" t="n">
        <f aca="false">IF(I52="","",I52+N(N52+O52+P52))</f>
        <v>21.99</v>
      </c>
      <c r="X52" s="41" t="n">
        <f aca="false">IF(OR(W52="",F52=""),"",W52/(1+F52))</f>
        <v>19.8108108108108</v>
      </c>
      <c r="Y52" s="42" t="n">
        <f aca="false">IF(OR(H52="",H52=0,X52="",X52=0),"",H52/X52)</f>
        <v>0.397612398362892</v>
      </c>
    </row>
    <row r="53" customFormat="false" ht="15" hidden="false" customHeight="true" outlineLevel="0" collapsed="false">
      <c r="A53" s="5" t="s">
        <v>686</v>
      </c>
      <c r="B53" s="5" t="s">
        <v>370</v>
      </c>
      <c r="C53" s="5" t="s">
        <v>351</v>
      </c>
      <c r="D53" s="5" t="s">
        <v>642</v>
      </c>
      <c r="E53" s="5" t="s">
        <v>643</v>
      </c>
      <c r="F53" s="28" t="n">
        <f aca="false">IF(E53="","",IF(E53="DRINKS",0.21,0.11))</f>
        <v>0.11</v>
      </c>
      <c r="G53" s="29" t="n">
        <f aca="false">IF(B53="","",SUMIF(RETETAR!A:A,B53,RETETAR!F:F))</f>
        <v>9.886188</v>
      </c>
      <c r="H53" s="30" t="n">
        <f aca="false">IF(B53="","",SUMIF(RETETAR!A:A,B53,RETETAR!H:H))</f>
        <v>9.886188</v>
      </c>
      <c r="I53" s="31" t="n">
        <v>24</v>
      </c>
      <c r="J53" s="32" t="n">
        <f aca="false">IF(OR(I53="",F53=""),"",I53/(1+F53))</f>
        <v>21.6216216216216</v>
      </c>
      <c r="K53" s="33" t="n">
        <f aca="false">IF(OR(G53="",G53=0,J53="",J53=0),"",G53/J53)</f>
        <v>0.457236195</v>
      </c>
      <c r="L53" s="34" t="n">
        <f aca="false">IF(OR(H53="",H53=0,J53="",J53=0),"",H53/J53)</f>
        <v>0.457236195</v>
      </c>
      <c r="M53" s="35"/>
      <c r="N53" s="36" t="n">
        <v>0.49</v>
      </c>
      <c r="O53" s="36" t="n">
        <v>0</v>
      </c>
      <c r="P53" s="36" t="n">
        <v>0</v>
      </c>
      <c r="Q53" s="37" t="n">
        <f aca="false">IF(I53="","",I53+N(N53))</f>
        <v>24.49</v>
      </c>
      <c r="R53" s="37" t="n">
        <f aca="false">IF(OR(Q53="",F53=""),"",Q53/(1+F53))</f>
        <v>22.0630630630631</v>
      </c>
      <c r="S53" s="38" t="n">
        <f aca="false">IF(OR(H53="",H53=0,R53="",R53=0),"",H53/R53)</f>
        <v>0.448087737035525</v>
      </c>
      <c r="T53" s="39" t="n">
        <f aca="false">IF(I53="","",I53+N(N53+O53))</f>
        <v>24.49</v>
      </c>
      <c r="U53" s="39" t="n">
        <f aca="false">IF(OR(T53="",F53=""),"",T53/(1+F53))</f>
        <v>22.0630630630631</v>
      </c>
      <c r="V53" s="40" t="n">
        <f aca="false">IF(OR(H53="",H53=0,U53="",U53=0),"",H53/U53)</f>
        <v>0.448087737035525</v>
      </c>
      <c r="W53" s="41" t="n">
        <f aca="false">IF(I53="","",I53+N(N53+O53+P53))</f>
        <v>24.49</v>
      </c>
      <c r="X53" s="41" t="n">
        <f aca="false">IF(OR(W53="",F53=""),"",W53/(1+F53))</f>
        <v>22.0630630630631</v>
      </c>
      <c r="Y53" s="42" t="n">
        <f aca="false">IF(OR(H53="",H53=0,X53="",X53=0),"",H53/X53)</f>
        <v>0.448087737035525</v>
      </c>
    </row>
    <row r="54" customFormat="false" ht="15" hidden="false" customHeight="true" outlineLevel="0" collapsed="false">
      <c r="A54" s="5" t="s">
        <v>687</v>
      </c>
      <c r="B54" s="5" t="s">
        <v>371</v>
      </c>
      <c r="C54" s="5" t="s">
        <v>372</v>
      </c>
      <c r="D54" s="5" t="s">
        <v>642</v>
      </c>
      <c r="E54" s="5" t="s">
        <v>643</v>
      </c>
      <c r="F54" s="28" t="n">
        <f aca="false">IF(E54="","",IF(E54="DRINKS",0.21,0.11))</f>
        <v>0.11</v>
      </c>
      <c r="G54" s="29" t="n">
        <f aca="false">IF(B54="","",SUMIF(RETETAR!A:A,B54,RETETAR!F:F))</f>
        <v>6.586</v>
      </c>
      <c r="H54" s="30" t="n">
        <f aca="false">IF(B54="","",SUMIF(RETETAR!A:A,B54,RETETAR!H:H))</f>
        <v>6.586</v>
      </c>
      <c r="I54" s="31" t="n">
        <v>17</v>
      </c>
      <c r="J54" s="32" t="n">
        <f aca="false">IF(OR(I54="",F54=""),"",I54/(1+F54))</f>
        <v>15.3153153153153</v>
      </c>
      <c r="K54" s="33" t="n">
        <f aca="false">IF(OR(G54="",G54=0,J54="",J54=0),"",G54/J54)</f>
        <v>0.43002705882353</v>
      </c>
      <c r="L54" s="34" t="n">
        <f aca="false">IF(OR(H54="",H54=0,J54="",J54=0),"",H54/J54)</f>
        <v>0.43002705882353</v>
      </c>
      <c r="M54" s="35"/>
      <c r="N54" s="36" t="n">
        <v>0</v>
      </c>
      <c r="O54" s="36" t="n">
        <v>0</v>
      </c>
      <c r="P54" s="36" t="n">
        <v>0</v>
      </c>
      <c r="Q54" s="37" t="n">
        <f aca="false">IF(I54="","",I54+N(N54))</f>
        <v>17</v>
      </c>
      <c r="R54" s="37" t="n">
        <f aca="false">IF(OR(Q54="",F54=""),"",Q54/(1+F54))</f>
        <v>15.3153153153153</v>
      </c>
      <c r="S54" s="38" t="n">
        <f aca="false">IF(OR(H54="",H54=0,R54="",R54=0),"",H54/R54)</f>
        <v>0.43002705882353</v>
      </c>
      <c r="T54" s="39" t="n">
        <f aca="false">IF(I54="","",I54+N(N54+O54))</f>
        <v>17</v>
      </c>
      <c r="U54" s="39" t="n">
        <f aca="false">IF(OR(T54="",F54=""),"",T54/(1+F54))</f>
        <v>15.3153153153153</v>
      </c>
      <c r="V54" s="40" t="n">
        <f aca="false">IF(OR(H54="",H54=0,U54="",U54=0),"",H54/U54)</f>
        <v>0.43002705882353</v>
      </c>
      <c r="W54" s="41" t="n">
        <f aca="false">IF(I54="","",I54+N(N54+O54+P54))</f>
        <v>17</v>
      </c>
      <c r="X54" s="41" t="n">
        <f aca="false">IF(OR(W54="",F54=""),"",W54/(1+F54))</f>
        <v>15.3153153153153</v>
      </c>
      <c r="Y54" s="42" t="n">
        <f aca="false">IF(OR(H54="",H54=0,X54="",X54=0),"",H54/X54)</f>
        <v>0.43002705882353</v>
      </c>
    </row>
    <row r="55" customFormat="false" ht="15" hidden="false" customHeight="true" outlineLevel="0" collapsed="false">
      <c r="A55" s="5" t="s">
        <v>688</v>
      </c>
      <c r="B55" s="5" t="s">
        <v>373</v>
      </c>
      <c r="C55" s="5" t="s">
        <v>372</v>
      </c>
      <c r="D55" s="5" t="s">
        <v>645</v>
      </c>
      <c r="E55" s="5" t="s">
        <v>643</v>
      </c>
      <c r="F55" s="28" t="n">
        <f aca="false">IF(E55="","",IF(E55="DRINKS",0.21,0.11))</f>
        <v>0.11</v>
      </c>
      <c r="G55" s="29" t="n">
        <f aca="false">IF(B55="","",SUMIF(RETETAR!A:A,B55,RETETAR!F:F))</f>
        <v>6.586</v>
      </c>
      <c r="H55" s="30" t="n">
        <f aca="false">IF(B55="","",SUMIF(RETETAR!A:A,B55,RETETAR!H:H))</f>
        <v>6.586</v>
      </c>
      <c r="I55" s="31" t="n">
        <v>20</v>
      </c>
      <c r="J55" s="32" t="n">
        <f aca="false">IF(OR(I55="",F55=""),"",I55/(1+F55))</f>
        <v>18.018018018018</v>
      </c>
      <c r="K55" s="33" t="n">
        <f aca="false">IF(OR(G55="",G55=0,J55="",J55=0),"",G55/J55)</f>
        <v>0.365523</v>
      </c>
      <c r="L55" s="34" t="n">
        <f aca="false">IF(OR(H55="",H55=0,J55="",J55=0),"",H55/J55)</f>
        <v>0.365523</v>
      </c>
      <c r="M55" s="35"/>
      <c r="N55" s="36" t="n">
        <v>0</v>
      </c>
      <c r="O55" s="36" t="n">
        <v>0</v>
      </c>
      <c r="P55" s="36" t="n">
        <v>0</v>
      </c>
      <c r="Q55" s="37" t="n">
        <f aca="false">IF(I55="","",I55+N(N55))</f>
        <v>20</v>
      </c>
      <c r="R55" s="37" t="n">
        <f aca="false">IF(OR(Q55="",F55=""),"",Q55/(1+F55))</f>
        <v>18.018018018018</v>
      </c>
      <c r="S55" s="38" t="n">
        <f aca="false">IF(OR(H55="",H55=0,R55="",R55=0),"",H55/R55)</f>
        <v>0.365523</v>
      </c>
      <c r="T55" s="39" t="n">
        <f aca="false">IF(I55="","",I55+N(N55+O55))</f>
        <v>20</v>
      </c>
      <c r="U55" s="39" t="n">
        <f aca="false">IF(OR(T55="",F55=""),"",T55/(1+F55))</f>
        <v>18.018018018018</v>
      </c>
      <c r="V55" s="40" t="n">
        <f aca="false">IF(OR(H55="",H55=0,U55="",U55=0),"",H55/U55)</f>
        <v>0.365523</v>
      </c>
      <c r="W55" s="41" t="n">
        <f aca="false">IF(I55="","",I55+N(N55+O55+P55))</f>
        <v>20</v>
      </c>
      <c r="X55" s="41" t="n">
        <f aca="false">IF(OR(W55="",F55=""),"",W55/(1+F55))</f>
        <v>18.018018018018</v>
      </c>
      <c r="Y55" s="42" t="n">
        <f aca="false">IF(OR(H55="",H55=0,X55="",X55=0),"",H55/X55)</f>
        <v>0.365523</v>
      </c>
    </row>
    <row r="56" customFormat="false" ht="15" hidden="false" customHeight="true" outlineLevel="0" collapsed="false">
      <c r="A56" s="5" t="s">
        <v>689</v>
      </c>
      <c r="B56" s="5" t="s">
        <v>374</v>
      </c>
      <c r="C56" s="5" t="s">
        <v>372</v>
      </c>
      <c r="D56" s="5" t="s">
        <v>642</v>
      </c>
      <c r="E56" s="5" t="s">
        <v>643</v>
      </c>
      <c r="F56" s="28" t="n">
        <f aca="false">IF(E56="","",IF(E56="DRINKS",0.21,0.11))</f>
        <v>0.11</v>
      </c>
      <c r="G56" s="29" t="n">
        <f aca="false">IF(B56="","",SUMIF(RETETAR!A:A,B56,RETETAR!F:F))</f>
        <v>6.9951</v>
      </c>
      <c r="H56" s="30" t="n">
        <f aca="false">IF(B56="","",SUMIF(RETETAR!A:A,B56,RETETAR!H:H))</f>
        <v>6.9951</v>
      </c>
      <c r="I56" s="31" t="n">
        <v>17</v>
      </c>
      <c r="J56" s="32" t="n">
        <f aca="false">IF(OR(I56="",F56=""),"",I56/(1+F56))</f>
        <v>15.3153153153153</v>
      </c>
      <c r="K56" s="33" t="n">
        <f aca="false">IF(OR(G56="",G56=0,J56="",J56=0),"",G56/J56)</f>
        <v>0.456738882352941</v>
      </c>
      <c r="L56" s="34" t="n">
        <f aca="false">IF(OR(H56="",H56=0,J56="",J56=0),"",H56/J56)</f>
        <v>0.456738882352941</v>
      </c>
      <c r="M56" s="35"/>
      <c r="N56" s="36" t="n">
        <v>0</v>
      </c>
      <c r="O56" s="36" t="n">
        <v>0</v>
      </c>
      <c r="P56" s="36" t="n">
        <v>0</v>
      </c>
      <c r="Q56" s="37" t="n">
        <f aca="false">IF(I56="","",I56+N(N56))</f>
        <v>17</v>
      </c>
      <c r="R56" s="37" t="n">
        <f aca="false">IF(OR(Q56="",F56=""),"",Q56/(1+F56))</f>
        <v>15.3153153153153</v>
      </c>
      <c r="S56" s="38" t="n">
        <f aca="false">IF(OR(H56="",H56=0,R56="",R56=0),"",H56/R56)</f>
        <v>0.456738882352941</v>
      </c>
      <c r="T56" s="39" t="n">
        <f aca="false">IF(I56="","",I56+N(N56+O56))</f>
        <v>17</v>
      </c>
      <c r="U56" s="39" t="n">
        <f aca="false">IF(OR(T56="",F56=""),"",T56/(1+F56))</f>
        <v>15.3153153153153</v>
      </c>
      <c r="V56" s="40" t="n">
        <f aca="false">IF(OR(H56="",H56=0,U56="",U56=0),"",H56/U56)</f>
        <v>0.456738882352941</v>
      </c>
      <c r="W56" s="41" t="n">
        <f aca="false">IF(I56="","",I56+N(N56+O56+P56))</f>
        <v>17</v>
      </c>
      <c r="X56" s="41" t="n">
        <f aca="false">IF(OR(W56="",F56=""),"",W56/(1+F56))</f>
        <v>15.3153153153153</v>
      </c>
      <c r="Y56" s="42" t="n">
        <f aca="false">IF(OR(H56="",H56=0,X56="",X56=0),"",H56/X56)</f>
        <v>0.456738882352941</v>
      </c>
    </row>
    <row r="57" customFormat="false" ht="15" hidden="false" customHeight="true" outlineLevel="0" collapsed="false">
      <c r="A57" s="5" t="s">
        <v>690</v>
      </c>
      <c r="B57" s="5" t="s">
        <v>375</v>
      </c>
      <c r="C57" s="5" t="s">
        <v>372</v>
      </c>
      <c r="D57" s="5" t="s">
        <v>645</v>
      </c>
      <c r="E57" s="5" t="s">
        <v>643</v>
      </c>
      <c r="F57" s="28" t="n">
        <f aca="false">IF(E57="","",IF(E57="DRINKS",0.21,0.11))</f>
        <v>0.11</v>
      </c>
      <c r="G57" s="29" t="n">
        <f aca="false">IF(B57="","",SUMIF(RETETAR!A:A,B57,RETETAR!F:F))</f>
        <v>6.9951</v>
      </c>
      <c r="H57" s="30" t="n">
        <f aca="false">IF(B57="","",SUMIF(RETETAR!A:A,B57,RETETAR!H:H))</f>
        <v>6.9951</v>
      </c>
      <c r="I57" s="31" t="n">
        <v>20</v>
      </c>
      <c r="J57" s="32" t="n">
        <f aca="false">IF(OR(I57="",F57=""),"",I57/(1+F57))</f>
        <v>18.018018018018</v>
      </c>
      <c r="K57" s="33" t="n">
        <f aca="false">IF(OR(G57="",G57=0,J57="",J57=0),"",G57/J57)</f>
        <v>0.38822805</v>
      </c>
      <c r="L57" s="34" t="n">
        <f aca="false">IF(OR(H57="",H57=0,J57="",J57=0),"",H57/J57)</f>
        <v>0.38822805</v>
      </c>
      <c r="M57" s="35"/>
      <c r="N57" s="36" t="n">
        <v>0</v>
      </c>
      <c r="O57" s="36" t="n">
        <v>0</v>
      </c>
      <c r="P57" s="36" t="n">
        <v>0</v>
      </c>
      <c r="Q57" s="37" t="n">
        <f aca="false">IF(I57="","",I57+N(N57))</f>
        <v>20</v>
      </c>
      <c r="R57" s="37" t="n">
        <f aca="false">IF(OR(Q57="",F57=""),"",Q57/(1+F57))</f>
        <v>18.018018018018</v>
      </c>
      <c r="S57" s="38" t="n">
        <f aca="false">IF(OR(H57="",H57=0,R57="",R57=0),"",H57/R57)</f>
        <v>0.38822805</v>
      </c>
      <c r="T57" s="39" t="n">
        <f aca="false">IF(I57="","",I57+N(N57+O57))</f>
        <v>20</v>
      </c>
      <c r="U57" s="39" t="n">
        <f aca="false">IF(OR(T57="",F57=""),"",T57/(1+F57))</f>
        <v>18.018018018018</v>
      </c>
      <c r="V57" s="40" t="n">
        <f aca="false">IF(OR(H57="",H57=0,U57="",U57=0),"",H57/U57)</f>
        <v>0.38822805</v>
      </c>
      <c r="W57" s="41" t="n">
        <f aca="false">IF(I57="","",I57+N(N57+O57+P57))</f>
        <v>20</v>
      </c>
      <c r="X57" s="41" t="n">
        <f aca="false">IF(OR(W57="",F57=""),"",W57/(1+F57))</f>
        <v>18.018018018018</v>
      </c>
      <c r="Y57" s="42" t="n">
        <f aca="false">IF(OR(H57="",H57=0,X57="",X57=0),"",H57/X57)</f>
        <v>0.38822805</v>
      </c>
    </row>
    <row r="58" customFormat="false" ht="15" hidden="false" customHeight="true" outlineLevel="0" collapsed="false">
      <c r="A58" s="5" t="s">
        <v>691</v>
      </c>
      <c r="B58" s="5" t="s">
        <v>376</v>
      </c>
      <c r="C58" s="5" t="s">
        <v>372</v>
      </c>
      <c r="D58" s="5" t="s">
        <v>642</v>
      </c>
      <c r="E58" s="5" t="s">
        <v>643</v>
      </c>
      <c r="F58" s="28" t="n">
        <f aca="false">IF(E58="","",IF(E58="DRINKS",0.21,0.11))</f>
        <v>0.11</v>
      </c>
      <c r="G58" s="29" t="n">
        <f aca="false">IF(B58="","",SUMIF(RETETAR!A:A,B58,RETETAR!F:F))</f>
        <v>7.548</v>
      </c>
      <c r="H58" s="30" t="n">
        <f aca="false">IF(B58="","",SUMIF(RETETAR!A:A,B58,RETETAR!H:H))</f>
        <v>7.548</v>
      </c>
      <c r="I58" s="31" t="n">
        <v>17</v>
      </c>
      <c r="J58" s="32" t="n">
        <f aca="false">IF(OR(I58="",F58=""),"",I58/(1+F58))</f>
        <v>15.3153153153153</v>
      </c>
      <c r="K58" s="33" t="n">
        <f aca="false">IF(OR(G58="",G58=0,J58="",J58=0),"",G58/J58)</f>
        <v>0.49284</v>
      </c>
      <c r="L58" s="34" t="n">
        <f aca="false">IF(OR(H58="",H58=0,J58="",J58=0),"",H58/J58)</f>
        <v>0.49284</v>
      </c>
      <c r="M58" s="35"/>
      <c r="N58" s="36" t="n">
        <v>0</v>
      </c>
      <c r="O58" s="36" t="n">
        <v>0</v>
      </c>
      <c r="P58" s="36" t="n">
        <v>0</v>
      </c>
      <c r="Q58" s="37" t="n">
        <f aca="false">IF(I58="","",I58+N(N58))</f>
        <v>17</v>
      </c>
      <c r="R58" s="37" t="n">
        <f aca="false">IF(OR(Q58="",F58=""),"",Q58/(1+F58))</f>
        <v>15.3153153153153</v>
      </c>
      <c r="S58" s="38" t="n">
        <f aca="false">IF(OR(H58="",H58=0,R58="",R58=0),"",H58/R58)</f>
        <v>0.49284</v>
      </c>
      <c r="T58" s="39" t="n">
        <f aca="false">IF(I58="","",I58+N(N58+O58))</f>
        <v>17</v>
      </c>
      <c r="U58" s="39" t="n">
        <f aca="false">IF(OR(T58="",F58=""),"",T58/(1+F58))</f>
        <v>15.3153153153153</v>
      </c>
      <c r="V58" s="40" t="n">
        <f aca="false">IF(OR(H58="",H58=0,U58="",U58=0),"",H58/U58)</f>
        <v>0.49284</v>
      </c>
      <c r="W58" s="41" t="n">
        <f aca="false">IF(I58="","",I58+N(N58+O58+P58))</f>
        <v>17</v>
      </c>
      <c r="X58" s="41" t="n">
        <f aca="false">IF(OR(W58="",F58=""),"",W58/(1+F58))</f>
        <v>15.3153153153153</v>
      </c>
      <c r="Y58" s="42" t="n">
        <f aca="false">IF(OR(H58="",H58=0,X58="",X58=0),"",H58/X58)</f>
        <v>0.49284</v>
      </c>
    </row>
    <row r="59" customFormat="false" ht="15" hidden="false" customHeight="true" outlineLevel="0" collapsed="false">
      <c r="A59" s="5" t="s">
        <v>692</v>
      </c>
      <c r="B59" s="5" t="s">
        <v>377</v>
      </c>
      <c r="C59" s="5" t="s">
        <v>372</v>
      </c>
      <c r="D59" s="5" t="s">
        <v>645</v>
      </c>
      <c r="E59" s="5" t="s">
        <v>643</v>
      </c>
      <c r="F59" s="28" t="n">
        <f aca="false">IF(E59="","",IF(E59="DRINKS",0.21,0.11))</f>
        <v>0.11</v>
      </c>
      <c r="G59" s="29" t="n">
        <f aca="false">IF(B59="","",SUMIF(RETETAR!A:A,B59,RETETAR!F:F))</f>
        <v>7.548</v>
      </c>
      <c r="H59" s="30" t="n">
        <f aca="false">IF(B59="","",SUMIF(RETETAR!A:A,B59,RETETAR!H:H))</f>
        <v>7.548</v>
      </c>
      <c r="I59" s="31" t="n">
        <v>20</v>
      </c>
      <c r="J59" s="32" t="n">
        <f aca="false">IF(OR(I59="",F59=""),"",I59/(1+F59))</f>
        <v>18.018018018018</v>
      </c>
      <c r="K59" s="33" t="n">
        <f aca="false">IF(OR(G59="",G59=0,J59="",J59=0),"",G59/J59)</f>
        <v>0.418914</v>
      </c>
      <c r="L59" s="34" t="n">
        <f aca="false">IF(OR(H59="",H59=0,J59="",J59=0),"",H59/J59)</f>
        <v>0.418914</v>
      </c>
      <c r="M59" s="35"/>
      <c r="N59" s="36" t="n">
        <v>0</v>
      </c>
      <c r="O59" s="36" t="n">
        <v>0</v>
      </c>
      <c r="P59" s="36" t="n">
        <v>0</v>
      </c>
      <c r="Q59" s="37" t="n">
        <f aca="false">IF(I59="","",I59+N(N59))</f>
        <v>20</v>
      </c>
      <c r="R59" s="37" t="n">
        <f aca="false">IF(OR(Q59="",F59=""),"",Q59/(1+F59))</f>
        <v>18.018018018018</v>
      </c>
      <c r="S59" s="38" t="n">
        <f aca="false">IF(OR(H59="",H59=0,R59="",R59=0),"",H59/R59)</f>
        <v>0.418914</v>
      </c>
      <c r="T59" s="39" t="n">
        <f aca="false">IF(I59="","",I59+N(N59+O59))</f>
        <v>20</v>
      </c>
      <c r="U59" s="39" t="n">
        <f aca="false">IF(OR(T59="",F59=""),"",T59/(1+F59))</f>
        <v>18.018018018018</v>
      </c>
      <c r="V59" s="40" t="n">
        <f aca="false">IF(OR(H59="",H59=0,U59="",U59=0),"",H59/U59)</f>
        <v>0.418914</v>
      </c>
      <c r="W59" s="41" t="n">
        <f aca="false">IF(I59="","",I59+N(N59+O59+P59))</f>
        <v>20</v>
      </c>
      <c r="X59" s="41" t="n">
        <f aca="false">IF(OR(W59="",F59=""),"",W59/(1+F59))</f>
        <v>18.018018018018</v>
      </c>
      <c r="Y59" s="42" t="n">
        <f aca="false">IF(OR(H59="",H59=0,X59="",X59=0),"",H59/X59)</f>
        <v>0.418914</v>
      </c>
    </row>
    <row r="60" customFormat="false" ht="15" hidden="false" customHeight="true" outlineLevel="0" collapsed="false">
      <c r="A60" s="5" t="s">
        <v>693</v>
      </c>
      <c r="B60" s="5" t="s">
        <v>378</v>
      </c>
      <c r="C60" s="5" t="s">
        <v>372</v>
      </c>
      <c r="D60" s="5" t="s">
        <v>642</v>
      </c>
      <c r="E60" s="5" t="s">
        <v>643</v>
      </c>
      <c r="F60" s="28" t="n">
        <f aca="false">IF(E60="","",IF(E60="DRINKS",0.21,0.11))</f>
        <v>0.11</v>
      </c>
      <c r="G60" s="29" t="n">
        <f aca="false">IF(B60="","",SUMIF(RETETAR!A:A,B60,RETETAR!F:F))</f>
        <v>7.805</v>
      </c>
      <c r="H60" s="30" t="n">
        <f aca="false">IF(B60="","",SUMIF(RETETAR!A:A,B60,RETETAR!H:H))</f>
        <v>7.805</v>
      </c>
      <c r="I60" s="31" t="n">
        <v>17</v>
      </c>
      <c r="J60" s="32" t="n">
        <f aca="false">IF(OR(I60="",F60=""),"",I60/(1+F60))</f>
        <v>15.3153153153153</v>
      </c>
      <c r="K60" s="33" t="n">
        <f aca="false">IF(OR(G60="",G60=0,J60="",J60=0),"",G60/J60)</f>
        <v>0.509620588235294</v>
      </c>
      <c r="L60" s="34" t="n">
        <f aca="false">IF(OR(H60="",H60=0,J60="",J60=0),"",H60/J60)</f>
        <v>0.509620588235294</v>
      </c>
      <c r="M60" s="35"/>
      <c r="N60" s="36" t="n">
        <v>0</v>
      </c>
      <c r="O60" s="36" t="n">
        <v>0</v>
      </c>
      <c r="P60" s="36" t="n">
        <v>0</v>
      </c>
      <c r="Q60" s="37" t="n">
        <f aca="false">IF(I60="","",I60+N(N60))</f>
        <v>17</v>
      </c>
      <c r="R60" s="37" t="n">
        <f aca="false">IF(OR(Q60="",F60=""),"",Q60/(1+F60))</f>
        <v>15.3153153153153</v>
      </c>
      <c r="S60" s="38" t="n">
        <f aca="false">IF(OR(H60="",H60=0,R60="",R60=0),"",H60/R60)</f>
        <v>0.509620588235294</v>
      </c>
      <c r="T60" s="39" t="n">
        <f aca="false">IF(I60="","",I60+N(N60+O60))</f>
        <v>17</v>
      </c>
      <c r="U60" s="39" t="n">
        <f aca="false">IF(OR(T60="",F60=""),"",T60/(1+F60))</f>
        <v>15.3153153153153</v>
      </c>
      <c r="V60" s="40" t="n">
        <f aca="false">IF(OR(H60="",H60=0,U60="",U60=0),"",H60/U60)</f>
        <v>0.509620588235294</v>
      </c>
      <c r="W60" s="41" t="n">
        <f aca="false">IF(I60="","",I60+N(N60+O60+P60))</f>
        <v>17</v>
      </c>
      <c r="X60" s="41" t="n">
        <f aca="false">IF(OR(W60="",F60=""),"",W60/(1+F60))</f>
        <v>15.3153153153153</v>
      </c>
      <c r="Y60" s="42" t="n">
        <f aca="false">IF(OR(H60="",H60=0,X60="",X60=0),"",H60/X60)</f>
        <v>0.509620588235294</v>
      </c>
    </row>
    <row r="61" customFormat="false" ht="15" hidden="false" customHeight="true" outlineLevel="0" collapsed="false">
      <c r="A61" s="5" t="s">
        <v>694</v>
      </c>
      <c r="B61" s="5" t="s">
        <v>379</v>
      </c>
      <c r="C61" s="5" t="s">
        <v>372</v>
      </c>
      <c r="D61" s="5" t="s">
        <v>645</v>
      </c>
      <c r="E61" s="5" t="s">
        <v>643</v>
      </c>
      <c r="F61" s="28" t="n">
        <f aca="false">IF(E61="","",IF(E61="DRINKS",0.21,0.11))</f>
        <v>0.11</v>
      </c>
      <c r="G61" s="29" t="n">
        <f aca="false">IF(B61="","",SUMIF(RETETAR!A:A,B61,RETETAR!F:F))</f>
        <v>7.805</v>
      </c>
      <c r="H61" s="30" t="n">
        <f aca="false">IF(B61="","",SUMIF(RETETAR!A:A,B61,RETETAR!H:H))</f>
        <v>7.805</v>
      </c>
      <c r="I61" s="31" t="n">
        <v>20</v>
      </c>
      <c r="J61" s="32" t="n">
        <f aca="false">IF(OR(I61="",F61=""),"",I61/(1+F61))</f>
        <v>18.018018018018</v>
      </c>
      <c r="K61" s="33" t="n">
        <f aca="false">IF(OR(G61="",G61=0,J61="",J61=0),"",G61/J61)</f>
        <v>0.4331775</v>
      </c>
      <c r="L61" s="34" t="n">
        <f aca="false">IF(OR(H61="",H61=0,J61="",J61=0),"",H61/J61)</f>
        <v>0.4331775</v>
      </c>
      <c r="M61" s="35"/>
      <c r="N61" s="36" t="n">
        <v>0</v>
      </c>
      <c r="O61" s="36" t="n">
        <v>0</v>
      </c>
      <c r="P61" s="36" t="n">
        <v>0</v>
      </c>
      <c r="Q61" s="37" t="n">
        <f aca="false">IF(I61="","",I61+N(N61))</f>
        <v>20</v>
      </c>
      <c r="R61" s="37" t="n">
        <f aca="false">IF(OR(Q61="",F61=""),"",Q61/(1+F61))</f>
        <v>18.018018018018</v>
      </c>
      <c r="S61" s="38" t="n">
        <f aca="false">IF(OR(H61="",H61=0,R61="",R61=0),"",H61/R61)</f>
        <v>0.4331775</v>
      </c>
      <c r="T61" s="39" t="n">
        <f aca="false">IF(I61="","",I61+N(N61+O61))</f>
        <v>20</v>
      </c>
      <c r="U61" s="39" t="n">
        <f aca="false">IF(OR(T61="",F61=""),"",T61/(1+F61))</f>
        <v>18.018018018018</v>
      </c>
      <c r="V61" s="40" t="n">
        <f aca="false">IF(OR(H61="",H61=0,U61="",U61=0),"",H61/U61)</f>
        <v>0.4331775</v>
      </c>
      <c r="W61" s="41" t="n">
        <f aca="false">IF(I61="","",I61+N(N61+O61+P61))</f>
        <v>20</v>
      </c>
      <c r="X61" s="41" t="n">
        <f aca="false">IF(OR(W61="",F61=""),"",W61/(1+F61))</f>
        <v>18.018018018018</v>
      </c>
      <c r="Y61" s="42" t="n">
        <f aca="false">IF(OR(H61="",H61=0,X61="",X61=0),"",H61/X61)</f>
        <v>0.4331775</v>
      </c>
    </row>
    <row r="62" customFormat="false" ht="15" hidden="false" customHeight="true" outlineLevel="0" collapsed="false">
      <c r="A62" s="5" t="s">
        <v>695</v>
      </c>
      <c r="B62" s="5" t="s">
        <v>380</v>
      </c>
      <c r="C62" s="5" t="s">
        <v>372</v>
      </c>
      <c r="D62" s="5" t="s">
        <v>642</v>
      </c>
      <c r="E62" s="5" t="s">
        <v>643</v>
      </c>
      <c r="F62" s="28" t="n">
        <f aca="false">IF(E62="","",IF(E62="DRINKS",0.21,0.11))</f>
        <v>0.11</v>
      </c>
      <c r="G62" s="29" t="n">
        <f aca="false">IF(B62="","",SUMIF(RETETAR!A:A,B62,RETETAR!F:F))</f>
        <v>7.552718</v>
      </c>
      <c r="H62" s="30" t="n">
        <f aca="false">IF(B62="","",SUMIF(RETETAR!A:A,B62,RETETAR!H:H))</f>
        <v>7.552718</v>
      </c>
      <c r="I62" s="31" t="n">
        <v>20</v>
      </c>
      <c r="J62" s="32" t="n">
        <f aca="false">IF(OR(I62="",F62=""),"",I62/(1+F62))</f>
        <v>18.018018018018</v>
      </c>
      <c r="K62" s="33" t="n">
        <f aca="false">IF(OR(G62="",G62=0,J62="",J62=0),"",G62/J62)</f>
        <v>0.419175849</v>
      </c>
      <c r="L62" s="34" t="n">
        <f aca="false">IF(OR(H62="",H62=0,J62="",J62=0),"",H62/J62)</f>
        <v>0.419175849</v>
      </c>
      <c r="M62" s="35"/>
      <c r="N62" s="36" t="n">
        <v>0</v>
      </c>
      <c r="O62" s="36" t="n">
        <v>0</v>
      </c>
      <c r="P62" s="36" t="n">
        <v>0</v>
      </c>
      <c r="Q62" s="37" t="n">
        <f aca="false">IF(I62="","",I62+N(N62))</f>
        <v>20</v>
      </c>
      <c r="R62" s="37" t="n">
        <f aca="false">IF(OR(Q62="",F62=""),"",Q62/(1+F62))</f>
        <v>18.018018018018</v>
      </c>
      <c r="S62" s="38" t="n">
        <f aca="false">IF(OR(H62="",H62=0,R62="",R62=0),"",H62/R62)</f>
        <v>0.419175849</v>
      </c>
      <c r="T62" s="39" t="n">
        <f aca="false">IF(I62="","",I62+N(N62+O62))</f>
        <v>20</v>
      </c>
      <c r="U62" s="39" t="n">
        <f aca="false">IF(OR(T62="",F62=""),"",T62/(1+F62))</f>
        <v>18.018018018018</v>
      </c>
      <c r="V62" s="40" t="n">
        <f aca="false">IF(OR(H62="",H62=0,U62="",U62=0),"",H62/U62)</f>
        <v>0.419175849</v>
      </c>
      <c r="W62" s="41" t="n">
        <f aca="false">IF(I62="","",I62+N(N62+O62+P62))</f>
        <v>20</v>
      </c>
      <c r="X62" s="41" t="n">
        <f aca="false">IF(OR(W62="",F62=""),"",W62/(1+F62))</f>
        <v>18.018018018018</v>
      </c>
      <c r="Y62" s="42" t="n">
        <f aca="false">IF(OR(H62="",H62=0,X62="",X62=0),"",H62/X62)</f>
        <v>0.419175849</v>
      </c>
    </row>
    <row r="63" customFormat="false" ht="15" hidden="false" customHeight="true" outlineLevel="0" collapsed="false">
      <c r="A63" s="5" t="s">
        <v>696</v>
      </c>
      <c r="B63" s="5" t="s">
        <v>381</v>
      </c>
      <c r="C63" s="5" t="s">
        <v>372</v>
      </c>
      <c r="D63" s="5" t="s">
        <v>645</v>
      </c>
      <c r="E63" s="5" t="s">
        <v>643</v>
      </c>
      <c r="F63" s="28" t="n">
        <f aca="false">IF(E63="","",IF(E63="DRINKS",0.21,0.11))</f>
        <v>0.11</v>
      </c>
      <c r="G63" s="29" t="n">
        <f aca="false">IF(B63="","",SUMIF(RETETAR!A:A,B63,RETETAR!F:F))</f>
        <v>7.552718</v>
      </c>
      <c r="H63" s="30" t="n">
        <f aca="false">IF(B63="","",SUMIF(RETETAR!A:A,B63,RETETAR!H:H))</f>
        <v>7.552718</v>
      </c>
      <c r="I63" s="31" t="n">
        <v>23</v>
      </c>
      <c r="J63" s="32" t="n">
        <f aca="false">IF(OR(I63="",F63=""),"",I63/(1+F63))</f>
        <v>20.7207207207207</v>
      </c>
      <c r="K63" s="33" t="n">
        <f aca="false">IF(OR(G63="",G63=0,J63="",J63=0),"",G63/J63)</f>
        <v>0.36450073826087</v>
      </c>
      <c r="L63" s="34" t="n">
        <f aca="false">IF(OR(H63="",H63=0,J63="",J63=0),"",H63/J63)</f>
        <v>0.36450073826087</v>
      </c>
      <c r="M63" s="35"/>
      <c r="N63" s="36" t="n">
        <v>0</v>
      </c>
      <c r="O63" s="36" t="n">
        <v>0</v>
      </c>
      <c r="P63" s="36" t="n">
        <v>0</v>
      </c>
      <c r="Q63" s="37" t="n">
        <f aca="false">IF(I63="","",I63+N(N63))</f>
        <v>23</v>
      </c>
      <c r="R63" s="37" t="n">
        <f aca="false">IF(OR(Q63="",F63=""),"",Q63/(1+F63))</f>
        <v>20.7207207207207</v>
      </c>
      <c r="S63" s="38" t="n">
        <f aca="false">IF(OR(H63="",H63=0,R63="",R63=0),"",H63/R63)</f>
        <v>0.36450073826087</v>
      </c>
      <c r="T63" s="39" t="n">
        <f aca="false">IF(I63="","",I63+N(N63+O63))</f>
        <v>23</v>
      </c>
      <c r="U63" s="39" t="n">
        <f aca="false">IF(OR(T63="",F63=""),"",T63/(1+F63))</f>
        <v>20.7207207207207</v>
      </c>
      <c r="V63" s="40" t="n">
        <f aca="false">IF(OR(H63="",H63=0,U63="",U63=0),"",H63/U63)</f>
        <v>0.36450073826087</v>
      </c>
      <c r="W63" s="41" t="n">
        <f aca="false">IF(I63="","",I63+N(N63+O63+P63))</f>
        <v>23</v>
      </c>
      <c r="X63" s="41" t="n">
        <f aca="false">IF(OR(W63="",F63=""),"",W63/(1+F63))</f>
        <v>20.7207207207207</v>
      </c>
      <c r="Y63" s="42" t="n">
        <f aca="false">IF(OR(H63="",H63=0,X63="",X63=0),"",H63/X63)</f>
        <v>0.36450073826087</v>
      </c>
    </row>
    <row r="64" customFormat="false" ht="15" hidden="false" customHeight="true" outlineLevel="0" collapsed="false">
      <c r="A64" s="5" t="s">
        <v>697</v>
      </c>
      <c r="B64" s="5" t="s">
        <v>382</v>
      </c>
      <c r="C64" s="5" t="s">
        <v>383</v>
      </c>
      <c r="D64" s="5" t="s">
        <v>642</v>
      </c>
      <c r="E64" s="5" t="s">
        <v>643</v>
      </c>
      <c r="F64" s="28" t="n">
        <f aca="false">IF(E64="","",IF(E64="DRINKS",0.21,0.11))</f>
        <v>0.11</v>
      </c>
      <c r="G64" s="29" t="n">
        <f aca="false">IF(B64="","",SUMIF(RETETAR!A:A,B64,RETETAR!F:F))</f>
        <v>10.673</v>
      </c>
      <c r="H64" s="30" t="n">
        <f aca="false">IF(B64="","",SUMIF(RETETAR!A:A,B64,RETETAR!H:H))</f>
        <v>10.673</v>
      </c>
      <c r="I64" s="31" t="n">
        <v>25</v>
      </c>
      <c r="J64" s="32" t="n">
        <f aca="false">IF(OR(I64="",F64=""),"",I64/(1+F64))</f>
        <v>22.5225225225225</v>
      </c>
      <c r="K64" s="33" t="n">
        <f aca="false">IF(OR(G64="",G64=0,J64="",J64=0),"",G64/J64)</f>
        <v>0.4738812</v>
      </c>
      <c r="L64" s="34" t="n">
        <f aca="false">IF(OR(H64="",H64=0,J64="",J64=0),"",H64/J64)</f>
        <v>0.4738812</v>
      </c>
      <c r="M64" s="35"/>
      <c r="N64" s="36" t="n">
        <v>0.99</v>
      </c>
      <c r="O64" s="36" t="n">
        <v>0</v>
      </c>
      <c r="P64" s="36" t="n">
        <v>0</v>
      </c>
      <c r="Q64" s="37" t="n">
        <f aca="false">IF(I64="","",I64+N(N64))</f>
        <v>25.99</v>
      </c>
      <c r="R64" s="37" t="n">
        <f aca="false">IF(OR(Q64="",F64=""),"",Q64/(1+F64))</f>
        <v>23.4144144144144</v>
      </c>
      <c r="S64" s="38" t="n">
        <f aca="false">IF(OR(H64="",H64=0,R64="",R64=0),"",H64/R64)</f>
        <v>0.455830319353598</v>
      </c>
      <c r="T64" s="39" t="n">
        <f aca="false">IF(I64="","",I64+N(N64+O64))</f>
        <v>25.99</v>
      </c>
      <c r="U64" s="39" t="n">
        <f aca="false">IF(OR(T64="",F64=""),"",T64/(1+F64))</f>
        <v>23.4144144144144</v>
      </c>
      <c r="V64" s="40" t="n">
        <f aca="false">IF(OR(H64="",H64=0,U64="",U64=0),"",H64/U64)</f>
        <v>0.455830319353598</v>
      </c>
      <c r="W64" s="41" t="n">
        <f aca="false">IF(I64="","",I64+N(N64+O64+P64))</f>
        <v>25.99</v>
      </c>
      <c r="X64" s="41" t="n">
        <f aca="false">IF(OR(W64="",F64=""),"",W64/(1+F64))</f>
        <v>23.4144144144144</v>
      </c>
      <c r="Y64" s="42" t="n">
        <f aca="false">IF(OR(H64="",H64=0,X64="",X64=0),"",H64/X64)</f>
        <v>0.455830319353598</v>
      </c>
    </row>
    <row r="65" customFormat="false" ht="15" hidden="false" customHeight="true" outlineLevel="0" collapsed="false">
      <c r="A65" s="5" t="s">
        <v>698</v>
      </c>
      <c r="B65" s="5" t="s">
        <v>384</v>
      </c>
      <c r="C65" s="5" t="s">
        <v>383</v>
      </c>
      <c r="D65" s="5" t="s">
        <v>645</v>
      </c>
      <c r="E65" s="5" t="s">
        <v>643</v>
      </c>
      <c r="F65" s="28" t="n">
        <f aca="false">IF(E65="","",IF(E65="DRINKS",0.21,0.11))</f>
        <v>0.11</v>
      </c>
      <c r="G65" s="29" t="n">
        <f aca="false">IF(B65="","",SUMIF(RETETAR!A:A,B65,RETETAR!F:F))</f>
        <v>10.673</v>
      </c>
      <c r="H65" s="30" t="n">
        <f aca="false">IF(B65="","",SUMIF(RETETAR!A:A,B65,RETETAR!H:H))</f>
        <v>10.673</v>
      </c>
      <c r="I65" s="31" t="n">
        <v>28</v>
      </c>
      <c r="J65" s="32" t="n">
        <f aca="false">IF(OR(I65="",F65=""),"",I65/(1+F65))</f>
        <v>25.2252252252252</v>
      </c>
      <c r="K65" s="33" t="n">
        <f aca="false">IF(OR(G65="",G65=0,J65="",J65=0),"",G65/J65)</f>
        <v>0.423108214285714</v>
      </c>
      <c r="L65" s="34" t="n">
        <f aca="false">IF(OR(H65="",H65=0,J65="",J65=0),"",H65/J65)</f>
        <v>0.423108214285714</v>
      </c>
      <c r="M65" s="35"/>
      <c r="N65" s="36" t="n">
        <v>0.99</v>
      </c>
      <c r="O65" s="36" t="n">
        <v>0</v>
      </c>
      <c r="P65" s="36" t="n">
        <v>0</v>
      </c>
      <c r="Q65" s="37" t="n">
        <f aca="false">IF(I65="","",I65+N(N65))</f>
        <v>28.99</v>
      </c>
      <c r="R65" s="37" t="n">
        <f aca="false">IF(OR(Q65="",F65=""),"",Q65/(1+F65))</f>
        <v>26.1171171171171</v>
      </c>
      <c r="S65" s="38" t="n">
        <f aca="false">IF(OR(H65="",H65=0,R65="",R65=0),"",H65/R65)</f>
        <v>0.408659192825112</v>
      </c>
      <c r="T65" s="39" t="n">
        <f aca="false">IF(I65="","",I65+N(N65+O65))</f>
        <v>28.99</v>
      </c>
      <c r="U65" s="39" t="n">
        <f aca="false">IF(OR(T65="",F65=""),"",T65/(1+F65))</f>
        <v>26.1171171171171</v>
      </c>
      <c r="V65" s="40" t="n">
        <f aca="false">IF(OR(H65="",H65=0,U65="",U65=0),"",H65/U65)</f>
        <v>0.408659192825112</v>
      </c>
      <c r="W65" s="41" t="n">
        <f aca="false">IF(I65="","",I65+N(N65+O65+P65))</f>
        <v>28.99</v>
      </c>
      <c r="X65" s="41" t="n">
        <f aca="false">IF(OR(W65="",F65=""),"",W65/(1+F65))</f>
        <v>26.1171171171171</v>
      </c>
      <c r="Y65" s="42" t="n">
        <f aca="false">IF(OR(H65="",H65=0,X65="",X65=0),"",H65/X65)</f>
        <v>0.408659192825112</v>
      </c>
    </row>
    <row r="66" customFormat="false" ht="15" hidden="false" customHeight="true" outlineLevel="0" collapsed="false">
      <c r="A66" s="5" t="s">
        <v>386</v>
      </c>
      <c r="B66" s="5" t="s">
        <v>385</v>
      </c>
      <c r="C66" s="5" t="s">
        <v>386</v>
      </c>
      <c r="D66" s="5" t="s">
        <v>642</v>
      </c>
      <c r="E66" s="5" t="s">
        <v>643</v>
      </c>
      <c r="F66" s="28" t="n">
        <f aca="false">IF(E66="","",IF(E66="DRINKS",0.21,0.11))</f>
        <v>0.11</v>
      </c>
      <c r="G66" s="29" t="n">
        <f aca="false">IF(B66="","",SUMIF(RETETAR!A:A,B66,RETETAR!F:F))</f>
        <v>7.148024</v>
      </c>
      <c r="H66" s="30" t="n">
        <f aca="false">IF(B66="","",SUMIF(RETETAR!A:A,B66,RETETAR!H:H))</f>
        <v>7.148024</v>
      </c>
      <c r="I66" s="31" t="n">
        <v>20</v>
      </c>
      <c r="J66" s="32" t="n">
        <f aca="false">IF(OR(I66="",F66=""),"",I66/(1+F66))</f>
        <v>18.018018018018</v>
      </c>
      <c r="K66" s="33" t="n">
        <f aca="false">IF(OR(G66="",G66=0,J66="",J66=0),"",G66/J66)</f>
        <v>0.396715332</v>
      </c>
      <c r="L66" s="34" t="n">
        <f aca="false">IF(OR(H66="",H66=0,J66="",J66=0),"",H66/J66)</f>
        <v>0.396715332</v>
      </c>
      <c r="M66" s="35"/>
      <c r="N66" s="36" t="n">
        <v>0.99</v>
      </c>
      <c r="O66" s="36" t="n">
        <v>0</v>
      </c>
      <c r="P66" s="36" t="n">
        <v>0</v>
      </c>
      <c r="Q66" s="37" t="n">
        <f aca="false">IF(I66="","",I66+N(N66))</f>
        <v>20.99</v>
      </c>
      <c r="R66" s="37" t="n">
        <f aca="false">IF(OR(Q66="",F66=""),"",Q66/(1+F66))</f>
        <v>18.9099099099099</v>
      </c>
      <c r="S66" s="38" t="n">
        <f aca="false">IF(OR(H66="",H66=0,R66="",R66=0),"",H66/R66)</f>
        <v>0.378004127679848</v>
      </c>
      <c r="T66" s="39" t="n">
        <f aca="false">IF(I66="","",I66+N(N66+O66))</f>
        <v>20.99</v>
      </c>
      <c r="U66" s="39" t="n">
        <f aca="false">IF(OR(T66="",F66=""),"",T66/(1+F66))</f>
        <v>18.9099099099099</v>
      </c>
      <c r="V66" s="40" t="n">
        <f aca="false">IF(OR(H66="",H66=0,U66="",U66=0),"",H66/U66)</f>
        <v>0.378004127679848</v>
      </c>
      <c r="W66" s="41" t="n">
        <f aca="false">IF(I66="","",I66+N(N66+O66+P66))</f>
        <v>20.99</v>
      </c>
      <c r="X66" s="41" t="n">
        <f aca="false">IF(OR(W66="",F66=""),"",W66/(1+F66))</f>
        <v>18.9099099099099</v>
      </c>
      <c r="Y66" s="42" t="n">
        <f aca="false">IF(OR(H66="",H66=0,X66="",X66=0),"",H66/X66)</f>
        <v>0.378004127679848</v>
      </c>
    </row>
    <row r="67" customFormat="false" ht="15" hidden="false" customHeight="true" outlineLevel="0" collapsed="false">
      <c r="A67" s="5" t="s">
        <v>699</v>
      </c>
      <c r="B67" s="5" t="s">
        <v>387</v>
      </c>
      <c r="C67" s="5" t="s">
        <v>386</v>
      </c>
      <c r="D67" s="5" t="s">
        <v>645</v>
      </c>
      <c r="E67" s="5" t="s">
        <v>643</v>
      </c>
      <c r="F67" s="28" t="n">
        <f aca="false">IF(E67="","",IF(E67="DRINKS",0.21,0.11))</f>
        <v>0.11</v>
      </c>
      <c r="G67" s="29" t="n">
        <f aca="false">IF(B67="","",SUMIF(RETETAR!A:A,B67,RETETAR!F:F))</f>
        <v>7.148024</v>
      </c>
      <c r="H67" s="30" t="n">
        <f aca="false">IF(B67="","",SUMIF(RETETAR!A:A,B67,RETETAR!H:H))</f>
        <v>7.148024</v>
      </c>
      <c r="I67" s="31" t="n">
        <v>23</v>
      </c>
      <c r="J67" s="32" t="n">
        <f aca="false">IF(OR(I67="",F67=""),"",I67/(1+F67))</f>
        <v>20.7207207207207</v>
      </c>
      <c r="K67" s="33" t="n">
        <f aca="false">IF(OR(G67="",G67=0,J67="",J67=0),"",G67/J67)</f>
        <v>0.344969853913043</v>
      </c>
      <c r="L67" s="34" t="n">
        <f aca="false">IF(OR(H67="",H67=0,J67="",J67=0),"",H67/J67)</f>
        <v>0.344969853913043</v>
      </c>
      <c r="M67" s="35"/>
      <c r="N67" s="36" t="n">
        <v>0.99</v>
      </c>
      <c r="O67" s="36" t="n">
        <v>0</v>
      </c>
      <c r="P67" s="36" t="n">
        <v>0</v>
      </c>
      <c r="Q67" s="37" t="n">
        <f aca="false">IF(I67="","",I67+N(N67))</f>
        <v>23.99</v>
      </c>
      <c r="R67" s="37" t="n">
        <f aca="false">IF(OR(Q67="",F67=""),"",Q67/(1+F67))</f>
        <v>21.6126126126126</v>
      </c>
      <c r="S67" s="38" t="n">
        <f aca="false">IF(OR(H67="",H67=0,R67="",R67=0),"",H67/R67)</f>
        <v>0.330733915798249</v>
      </c>
      <c r="T67" s="39" t="n">
        <f aca="false">IF(I67="","",I67+N(N67+O67))</f>
        <v>23.99</v>
      </c>
      <c r="U67" s="39" t="n">
        <f aca="false">IF(OR(T67="",F67=""),"",T67/(1+F67))</f>
        <v>21.6126126126126</v>
      </c>
      <c r="V67" s="40" t="n">
        <f aca="false">IF(OR(H67="",H67=0,U67="",U67=0),"",H67/U67)</f>
        <v>0.330733915798249</v>
      </c>
      <c r="W67" s="41" t="n">
        <f aca="false">IF(I67="","",I67+N(N67+O67+P67))</f>
        <v>23.99</v>
      </c>
      <c r="X67" s="41" t="n">
        <f aca="false">IF(OR(W67="",F67=""),"",W67/(1+F67))</f>
        <v>21.6126126126126</v>
      </c>
      <c r="Y67" s="42" t="n">
        <f aca="false">IF(OR(H67="",H67=0,X67="",X67=0),"",H67/X67)</f>
        <v>0.330733915798249</v>
      </c>
    </row>
    <row r="68" customFormat="false" ht="15" hidden="false" customHeight="true" outlineLevel="0" collapsed="false">
      <c r="A68" s="5" t="s">
        <v>700</v>
      </c>
      <c r="B68" s="5" t="s">
        <v>388</v>
      </c>
      <c r="C68" s="5" t="s">
        <v>389</v>
      </c>
      <c r="D68" s="5" t="s">
        <v>642</v>
      </c>
      <c r="E68" s="5" t="s">
        <v>643</v>
      </c>
      <c r="F68" s="28" t="n">
        <f aca="false">IF(E68="","",IF(E68="DRINKS",0.21,0.11))</f>
        <v>0.11</v>
      </c>
      <c r="G68" s="29" t="n">
        <f aca="false">IF(B68="","",SUMIF(RETETAR!A:A,B68,RETETAR!F:F))</f>
        <v>3.09672</v>
      </c>
      <c r="H68" s="30" t="n">
        <f aca="false">IF(B68="","",SUMIF(RETETAR!A:A,B68,RETETAR!H:H))</f>
        <v>3.09672</v>
      </c>
      <c r="I68" s="31" t="n">
        <v>9</v>
      </c>
      <c r="J68" s="32" t="n">
        <f aca="false">IF(OR(I68="",F68=""),"",I68/(1+F68))</f>
        <v>8.10810810810811</v>
      </c>
      <c r="K68" s="33" t="n">
        <f aca="false">IF(OR(G68="",G68=0,J68="",J68=0),"",G68/J68)</f>
        <v>0.3819288</v>
      </c>
      <c r="L68" s="34" t="n">
        <f aca="false">IF(OR(H68="",H68=0,J68="",J68=0),"",H68/J68)</f>
        <v>0.3819288</v>
      </c>
      <c r="M68" s="35"/>
      <c r="N68" s="36" t="n">
        <v>0.25</v>
      </c>
      <c r="O68" s="36" t="n">
        <v>0.25</v>
      </c>
      <c r="P68" s="36" t="n">
        <v>0.49</v>
      </c>
      <c r="Q68" s="37" t="n">
        <f aca="false">IF(I68="","",I68+N(N68))</f>
        <v>9.25</v>
      </c>
      <c r="R68" s="37" t="n">
        <f aca="false">IF(OR(Q68="",F68=""),"",Q68/(1+F68))</f>
        <v>8.33333333333333</v>
      </c>
      <c r="S68" s="38" t="n">
        <f aca="false">IF(OR(H68="",H68=0,R68="",R68=0),"",H68/R68)</f>
        <v>0.3716064</v>
      </c>
      <c r="T68" s="39" t="n">
        <f aca="false">IF(I68="","",I68+N(N68+O68))</f>
        <v>9.5</v>
      </c>
      <c r="U68" s="39" t="n">
        <f aca="false">IF(OR(T68="",F68=""),"",T68/(1+F68))</f>
        <v>8.55855855855856</v>
      </c>
      <c r="V68" s="40" t="n">
        <f aca="false">IF(OR(H68="",H68=0,U68="",U68=0),"",H68/U68)</f>
        <v>0.361827284210526</v>
      </c>
      <c r="W68" s="41" t="n">
        <f aca="false">IF(I68="","",I68+N(N68+O68+P68))</f>
        <v>9.99</v>
      </c>
      <c r="X68" s="41" t="n">
        <f aca="false">IF(OR(W68="",F68=""),"",W68/(1+F68))</f>
        <v>9</v>
      </c>
      <c r="Y68" s="42" t="n">
        <f aca="false">IF(OR(H68="",H68=0,X68="",X68=0),"",H68/X68)</f>
        <v>0.34408</v>
      </c>
    </row>
    <row r="69" customFormat="false" ht="15" hidden="false" customHeight="true" outlineLevel="0" collapsed="false">
      <c r="A69" s="5" t="s">
        <v>701</v>
      </c>
      <c r="B69" s="5" t="s">
        <v>390</v>
      </c>
      <c r="C69" s="5" t="s">
        <v>389</v>
      </c>
      <c r="D69" s="5" t="s">
        <v>645</v>
      </c>
      <c r="E69" s="5" t="s">
        <v>643</v>
      </c>
      <c r="F69" s="28" t="n">
        <f aca="false">IF(E69="","",IF(E69="DRINKS",0.21,0.11))</f>
        <v>0.11</v>
      </c>
      <c r="G69" s="29" t="n">
        <f aca="false">IF(B69="","",SUMIF(RETETAR!A:A,B69,RETETAR!F:F))</f>
        <v>3.09672</v>
      </c>
      <c r="H69" s="30" t="n">
        <f aca="false">IF(B69="","",SUMIF(RETETAR!A:A,B69,RETETAR!H:H))</f>
        <v>3.09672</v>
      </c>
      <c r="I69" s="31" t="n">
        <v>12</v>
      </c>
      <c r="J69" s="32" t="n">
        <f aca="false">IF(OR(I69="",F69=""),"",I69/(1+F69))</f>
        <v>10.8108108108108</v>
      </c>
      <c r="K69" s="33" t="n">
        <f aca="false">IF(OR(G69="",G69=0,J69="",J69=0),"",G69/J69)</f>
        <v>0.2864466</v>
      </c>
      <c r="L69" s="34" t="n">
        <f aca="false">IF(OR(H69="",H69=0,J69="",J69=0),"",H69/J69)</f>
        <v>0.2864466</v>
      </c>
      <c r="M69" s="35"/>
      <c r="N69" s="36" t="n">
        <v>0.25</v>
      </c>
      <c r="O69" s="36" t="n">
        <v>0.25</v>
      </c>
      <c r="P69" s="36" t="n">
        <v>0.49</v>
      </c>
      <c r="Q69" s="37" t="n">
        <f aca="false">IF(I69="","",I69+N(N69))</f>
        <v>12.25</v>
      </c>
      <c r="R69" s="37" t="n">
        <f aca="false">IF(OR(Q69="",F69=""),"",Q69/(1+F69))</f>
        <v>11.036036036036</v>
      </c>
      <c r="S69" s="38" t="n">
        <f aca="false">IF(OR(H69="",H69=0,R69="",R69=0),"",H69/R69)</f>
        <v>0.280600751020408</v>
      </c>
      <c r="T69" s="39" t="n">
        <f aca="false">IF(I69="","",I69+N(N69+O69))</f>
        <v>12.5</v>
      </c>
      <c r="U69" s="39" t="n">
        <f aca="false">IF(OR(T69="",F69=""),"",T69/(1+F69))</f>
        <v>11.2612612612613</v>
      </c>
      <c r="V69" s="40" t="n">
        <f aca="false">IF(OR(H69="",H69=0,U69="",U69=0),"",H69/U69)</f>
        <v>0.274988736</v>
      </c>
      <c r="W69" s="41" t="n">
        <f aca="false">IF(I69="","",I69+N(N69+O69+P69))</f>
        <v>12.99</v>
      </c>
      <c r="X69" s="41" t="n">
        <f aca="false">IF(OR(W69="",F69=""),"",W69/(1+F69))</f>
        <v>11.7027027027027</v>
      </c>
      <c r="Y69" s="42" t="n">
        <f aca="false">IF(OR(H69="",H69=0,X69="",X69=0),"",H69/X69)</f>
        <v>0.264615796766744</v>
      </c>
    </row>
    <row r="70" customFormat="false" ht="15" hidden="false" customHeight="true" outlineLevel="0" collapsed="false">
      <c r="A70" s="5" t="s">
        <v>702</v>
      </c>
      <c r="B70" s="5" t="s">
        <v>391</v>
      </c>
      <c r="C70" s="5" t="s">
        <v>389</v>
      </c>
      <c r="D70" s="5" t="s">
        <v>642</v>
      </c>
      <c r="E70" s="5" t="s">
        <v>643</v>
      </c>
      <c r="F70" s="28" t="n">
        <f aca="false">IF(E70="","",IF(E70="DRINKS",0.21,0.11))</f>
        <v>0.11</v>
      </c>
      <c r="G70" s="29" t="n">
        <f aca="false">IF(B70="","",SUMIF(RETETAR!A:A,B70,RETETAR!F:F))</f>
        <v>4.80258</v>
      </c>
      <c r="H70" s="30" t="n">
        <f aca="false">IF(B70="","",SUMIF(RETETAR!A:A,B70,RETETAR!H:H))</f>
        <v>4.80258</v>
      </c>
      <c r="I70" s="31" t="n">
        <v>16</v>
      </c>
      <c r="J70" s="32" t="n">
        <f aca="false">IF(OR(I70="",F70=""),"",I70/(1+F70))</f>
        <v>14.4144144144144</v>
      </c>
      <c r="K70" s="33" t="n">
        <f aca="false">IF(OR(G70="",G70=0,J70="",J70=0),"",G70/J70)</f>
        <v>0.3331789875</v>
      </c>
      <c r="L70" s="34" t="n">
        <f aca="false">IF(OR(H70="",H70=0,J70="",J70=0),"",H70/J70)</f>
        <v>0.3331789875</v>
      </c>
      <c r="M70" s="35"/>
      <c r="N70" s="36" t="n">
        <v>0.25</v>
      </c>
      <c r="O70" s="36" t="n">
        <v>0.25</v>
      </c>
      <c r="P70" s="36" t="n">
        <v>0.49</v>
      </c>
      <c r="Q70" s="37" t="n">
        <f aca="false">IF(I70="","",I70+N(N70))</f>
        <v>16.25</v>
      </c>
      <c r="R70" s="37" t="n">
        <f aca="false">IF(OR(Q70="",F70=""),"",Q70/(1+F70))</f>
        <v>14.6396396396396</v>
      </c>
      <c r="S70" s="38" t="n">
        <f aca="false">IF(OR(H70="",H70=0,R70="",R70=0),"",H70/R70)</f>
        <v>0.328053156923077</v>
      </c>
      <c r="T70" s="39" t="n">
        <f aca="false">IF(I70="","",I70+N(N70+O70))</f>
        <v>16.5</v>
      </c>
      <c r="U70" s="39" t="n">
        <f aca="false">IF(OR(T70="",F70=""),"",T70/(1+F70))</f>
        <v>14.8648648648649</v>
      </c>
      <c r="V70" s="40" t="n">
        <f aca="false">IF(OR(H70="",H70=0,U70="",U70=0),"",H70/U70)</f>
        <v>0.323082654545455</v>
      </c>
      <c r="W70" s="41" t="n">
        <f aca="false">IF(I70="","",I70+N(N70+O70+P70))</f>
        <v>16.99</v>
      </c>
      <c r="X70" s="41" t="n">
        <f aca="false">IF(OR(W70="",F70=""),"",W70/(1+F70))</f>
        <v>15.3063063063063</v>
      </c>
      <c r="Y70" s="42" t="n">
        <f aca="false">IF(OR(H70="",H70=0,X70="",X70=0),"",H70/X70)</f>
        <v>0.313764791053561</v>
      </c>
    </row>
    <row r="71" customFormat="false" ht="15" hidden="false" customHeight="true" outlineLevel="0" collapsed="false">
      <c r="A71" s="5" t="s">
        <v>703</v>
      </c>
      <c r="B71" s="5" t="s">
        <v>392</v>
      </c>
      <c r="C71" s="5" t="s">
        <v>389</v>
      </c>
      <c r="D71" s="5" t="s">
        <v>645</v>
      </c>
      <c r="E71" s="5" t="s">
        <v>643</v>
      </c>
      <c r="F71" s="28" t="n">
        <f aca="false">IF(E71="","",IF(E71="DRINKS",0.21,0.11))</f>
        <v>0.11</v>
      </c>
      <c r="G71" s="29" t="n">
        <f aca="false">IF(B71="","",SUMIF(RETETAR!A:A,B71,RETETAR!F:F))</f>
        <v>4.80258</v>
      </c>
      <c r="H71" s="30" t="n">
        <f aca="false">IF(B71="","",SUMIF(RETETAR!A:A,B71,RETETAR!H:H))</f>
        <v>4.80258</v>
      </c>
      <c r="I71" s="31" t="n">
        <v>19</v>
      </c>
      <c r="J71" s="32" t="n">
        <f aca="false">IF(OR(I71="",F71=""),"",I71/(1+F71))</f>
        <v>17.1171171171171</v>
      </c>
      <c r="K71" s="33" t="n">
        <f aca="false">IF(OR(G71="",G71=0,J71="",J71=0),"",G71/J71)</f>
        <v>0.280571778947369</v>
      </c>
      <c r="L71" s="34" t="n">
        <f aca="false">IF(OR(H71="",H71=0,J71="",J71=0),"",H71/J71)</f>
        <v>0.280571778947369</v>
      </c>
      <c r="M71" s="35"/>
      <c r="N71" s="36" t="n">
        <v>0.25</v>
      </c>
      <c r="O71" s="36" t="n">
        <v>0.25</v>
      </c>
      <c r="P71" s="36" t="n">
        <v>0.49</v>
      </c>
      <c r="Q71" s="37" t="n">
        <f aca="false">IF(I71="","",I71+N(N71))</f>
        <v>19.25</v>
      </c>
      <c r="R71" s="37" t="n">
        <f aca="false">IF(OR(Q71="",F71=""),"",Q71/(1+F71))</f>
        <v>17.3423423423423</v>
      </c>
      <c r="S71" s="38" t="n">
        <f aca="false">IF(OR(H71="",H71=0,R71="",R71=0),"",H71/R71)</f>
        <v>0.27692798961039</v>
      </c>
      <c r="T71" s="39" t="n">
        <f aca="false">IF(I71="","",I71+N(N71+O71))</f>
        <v>19.5</v>
      </c>
      <c r="U71" s="39" t="n">
        <f aca="false">IF(OR(T71="",F71=""),"",T71/(1+F71))</f>
        <v>17.5675675675676</v>
      </c>
      <c r="V71" s="40" t="n">
        <f aca="false">IF(OR(H71="",H71=0,U71="",U71=0),"",H71/U71)</f>
        <v>0.273377630769231</v>
      </c>
      <c r="W71" s="41" t="n">
        <f aca="false">IF(I71="","",I71+N(N71+O71+P71))</f>
        <v>19.99</v>
      </c>
      <c r="X71" s="41" t="n">
        <f aca="false">IF(OR(W71="",F71=""),"",W71/(1+F71))</f>
        <v>18.009009009009</v>
      </c>
      <c r="Y71" s="42" t="n">
        <f aca="false">IF(OR(H71="",H71=0,X71="",X71=0),"",H71/X71)</f>
        <v>0.266676528264132</v>
      </c>
    </row>
    <row r="72" customFormat="false" ht="15" hidden="false" customHeight="true" outlineLevel="0" collapsed="false">
      <c r="A72" s="5" t="s">
        <v>704</v>
      </c>
      <c r="B72" s="5" t="s">
        <v>393</v>
      </c>
      <c r="C72" s="5" t="s">
        <v>389</v>
      </c>
      <c r="D72" s="5" t="s">
        <v>642</v>
      </c>
      <c r="E72" s="5" t="s">
        <v>643</v>
      </c>
      <c r="F72" s="28" t="n">
        <f aca="false">IF(E72="","",IF(E72="DRINKS",0.21,0.11))</f>
        <v>0.11</v>
      </c>
      <c r="G72" s="29" t="n">
        <f aca="false">IF(B72="","",SUMIF(RETETAR!A:A,B72,RETETAR!F:F))</f>
        <v>6.80887</v>
      </c>
      <c r="H72" s="30" t="n">
        <f aca="false">IF(B72="","",SUMIF(RETETAR!A:A,B72,RETETAR!H:H))</f>
        <v>6.80887</v>
      </c>
      <c r="I72" s="31" t="n">
        <v>22</v>
      </c>
      <c r="J72" s="32" t="n">
        <f aca="false">IF(OR(I72="",F72=""),"",I72/(1+F72))</f>
        <v>19.8198198198198</v>
      </c>
      <c r="K72" s="33" t="n">
        <f aca="false">IF(OR(G72="",G72=0,J72="",J72=0),"",G72/J72)</f>
        <v>0.343538440909091</v>
      </c>
      <c r="L72" s="34" t="n">
        <f aca="false">IF(OR(H72="",H72=0,J72="",J72=0),"",H72/J72)</f>
        <v>0.343538440909091</v>
      </c>
      <c r="M72" s="35"/>
      <c r="N72" s="36" t="n">
        <v>0.25</v>
      </c>
      <c r="O72" s="36" t="n">
        <v>0.25</v>
      </c>
      <c r="P72" s="36" t="n">
        <v>0.49</v>
      </c>
      <c r="Q72" s="37" t="n">
        <f aca="false">IF(I72="","",I72+N(N72))</f>
        <v>22.25</v>
      </c>
      <c r="R72" s="37" t="n">
        <f aca="false">IF(OR(Q72="",F72=""),"",Q72/(1+F72))</f>
        <v>20.045045045045</v>
      </c>
      <c r="S72" s="38" t="n">
        <f aca="false">IF(OR(H72="",H72=0,R72="",R72=0),"",H72/R72)</f>
        <v>0.339678458426966</v>
      </c>
      <c r="T72" s="39" t="n">
        <f aca="false">IF(I72="","",I72+N(N72+O72))</f>
        <v>22.5</v>
      </c>
      <c r="U72" s="39" t="n">
        <f aca="false">IF(OR(T72="",F72=""),"",T72/(1+F72))</f>
        <v>20.2702702702703</v>
      </c>
      <c r="V72" s="40" t="n">
        <f aca="false">IF(OR(H72="",H72=0,U72="",U72=0),"",H72/U72)</f>
        <v>0.335904253333333</v>
      </c>
      <c r="W72" s="41" t="n">
        <f aca="false">IF(I72="","",I72+N(N72+O72+P72))</f>
        <v>22.99</v>
      </c>
      <c r="X72" s="41" t="n">
        <f aca="false">IF(OR(W72="",F72=""),"",W72/(1+F72))</f>
        <v>20.7117117117117</v>
      </c>
      <c r="Y72" s="42" t="n">
        <f aca="false">IF(OR(H72="",H72=0,X72="",X72=0),"",H72/X72)</f>
        <v>0.328744919530231</v>
      </c>
    </row>
    <row r="73" customFormat="false" ht="15" hidden="false" customHeight="true" outlineLevel="0" collapsed="false">
      <c r="A73" s="5" t="s">
        <v>705</v>
      </c>
      <c r="B73" s="5" t="s">
        <v>394</v>
      </c>
      <c r="C73" s="5" t="s">
        <v>389</v>
      </c>
      <c r="D73" s="5" t="s">
        <v>645</v>
      </c>
      <c r="E73" s="5" t="s">
        <v>643</v>
      </c>
      <c r="F73" s="28" t="n">
        <f aca="false">IF(E73="","",IF(E73="DRINKS",0.21,0.11))</f>
        <v>0.11</v>
      </c>
      <c r="G73" s="29" t="n">
        <f aca="false">IF(B73="","",SUMIF(RETETAR!A:A,B73,RETETAR!F:F))</f>
        <v>7.25987</v>
      </c>
      <c r="H73" s="30" t="n">
        <f aca="false">IF(B73="","",SUMIF(RETETAR!A:A,B73,RETETAR!H:H))</f>
        <v>7.25987</v>
      </c>
      <c r="I73" s="31" t="n">
        <v>26</v>
      </c>
      <c r="J73" s="32" t="n">
        <f aca="false">IF(OR(I73="",F73=""),"",I73/(1+F73))</f>
        <v>23.4234234234234</v>
      </c>
      <c r="K73" s="33" t="n">
        <f aca="false">IF(OR(G73="",G73=0,J73="",J73=0),"",G73/J73)</f>
        <v>0.309940603846154</v>
      </c>
      <c r="L73" s="34" t="n">
        <f aca="false">IF(OR(H73="",H73=0,J73="",J73=0),"",H73/J73)</f>
        <v>0.309940603846154</v>
      </c>
      <c r="M73" s="35"/>
      <c r="N73" s="36" t="n">
        <v>0.25</v>
      </c>
      <c r="O73" s="36" t="n">
        <v>0.25</v>
      </c>
      <c r="P73" s="36" t="n">
        <v>0.49</v>
      </c>
      <c r="Q73" s="37" t="n">
        <f aca="false">IF(I73="","",I73+N(N73))</f>
        <v>26.25</v>
      </c>
      <c r="R73" s="37" t="n">
        <f aca="false">IF(OR(Q73="",F73=""),"",Q73/(1+F73))</f>
        <v>23.6486486486486</v>
      </c>
      <c r="S73" s="38" t="n">
        <f aca="false">IF(OR(H73="",H73=0,R73="",R73=0),"",H73/R73)</f>
        <v>0.306988788571429</v>
      </c>
      <c r="T73" s="39" t="n">
        <f aca="false">IF(I73="","",I73+N(N73+O73))</f>
        <v>26.5</v>
      </c>
      <c r="U73" s="39" t="n">
        <f aca="false">IF(OR(T73="",F73=""),"",T73/(1+F73))</f>
        <v>23.8738738738739</v>
      </c>
      <c r="V73" s="40" t="n">
        <f aca="false">IF(OR(H73="",H73=0,U73="",U73=0),"",H73/U73)</f>
        <v>0.304092667924528</v>
      </c>
      <c r="W73" s="41" t="n">
        <f aca="false">IF(I73="","",I73+N(N73+O73+P73))</f>
        <v>26.99</v>
      </c>
      <c r="X73" s="41" t="n">
        <f aca="false">IF(OR(W73="",F73=""),"",W73/(1+F73))</f>
        <v>24.3153153153153</v>
      </c>
      <c r="Y73" s="42" t="n">
        <f aca="false">IF(OR(H73="",H73=0,X73="",X73=0),"",H73/X73)</f>
        <v>0.29857190440904</v>
      </c>
    </row>
    <row r="74" customFormat="false" ht="15" hidden="false" customHeight="true" outlineLevel="0" collapsed="false">
      <c r="A74" s="5" t="s">
        <v>706</v>
      </c>
      <c r="B74" s="5" t="s">
        <v>395</v>
      </c>
      <c r="C74" s="5" t="s">
        <v>389</v>
      </c>
      <c r="D74" s="5" t="s">
        <v>642</v>
      </c>
      <c r="E74" s="5" t="s">
        <v>643</v>
      </c>
      <c r="F74" s="28" t="n">
        <f aca="false">IF(E74="","",IF(E74="DRINKS",0.21,0.11))</f>
        <v>0.11</v>
      </c>
      <c r="G74" s="29" t="n">
        <f aca="false">IF(B74="","",SUMIF(RETETAR!A:A,B74,RETETAR!F:F))</f>
        <v>4.86849</v>
      </c>
      <c r="H74" s="30" t="n">
        <f aca="false">IF(B74="","",SUMIF(RETETAR!A:A,B74,RETETAR!H:H))</f>
        <v>4.86849</v>
      </c>
      <c r="I74" s="31" t="n">
        <v>14.5</v>
      </c>
      <c r="J74" s="32" t="n">
        <f aca="false">IF(OR(I74="",F74=""),"",I74/(1+F74))</f>
        <v>13.0630630630631</v>
      </c>
      <c r="K74" s="33" t="n">
        <f aca="false">IF(OR(G74="",G74=0,J74="",J74=0),"",G74/J74)</f>
        <v>0.372691303448276</v>
      </c>
      <c r="L74" s="34" t="n">
        <f aca="false">IF(OR(H74="",H74=0,J74="",J74=0),"",H74/J74)</f>
        <v>0.372691303448276</v>
      </c>
      <c r="M74" s="35"/>
      <c r="N74" s="36" t="n">
        <v>0.25</v>
      </c>
      <c r="O74" s="36" t="n">
        <v>0.25</v>
      </c>
      <c r="P74" s="36" t="n">
        <v>0.49</v>
      </c>
      <c r="Q74" s="37" t="n">
        <f aca="false">IF(I74="","",I74+N(N74))</f>
        <v>14.75</v>
      </c>
      <c r="R74" s="37" t="n">
        <f aca="false">IF(OR(Q74="",F74=""),"",Q74/(1+F74))</f>
        <v>13.2882882882883</v>
      </c>
      <c r="S74" s="38" t="n">
        <f aca="false">IF(OR(H74="",H74=0,R74="",R74=0),"",H74/R74)</f>
        <v>0.366374501694915</v>
      </c>
      <c r="T74" s="39" t="n">
        <f aca="false">IF(I74="","",I74+N(N74+O74))</f>
        <v>15</v>
      </c>
      <c r="U74" s="39" t="n">
        <f aca="false">IF(OR(T74="",F74=""),"",T74/(1+F74))</f>
        <v>13.5135135135135</v>
      </c>
      <c r="V74" s="40" t="n">
        <f aca="false">IF(OR(H74="",H74=0,U74="",U74=0),"",H74/U74)</f>
        <v>0.36026826</v>
      </c>
      <c r="W74" s="41" t="n">
        <f aca="false">IF(I74="","",I74+N(N74+O74+P74))</f>
        <v>15.49</v>
      </c>
      <c r="X74" s="41" t="n">
        <f aca="false">IF(OR(W74="",F74=""),"",W74/(1+F74))</f>
        <v>13.954954954955</v>
      </c>
      <c r="Y74" s="42" t="n">
        <f aca="false">IF(OR(H74="",H74=0,X74="",X74=0),"",H74/X74)</f>
        <v>0.348871781794706</v>
      </c>
    </row>
    <row r="75" customFormat="false" ht="15" hidden="false" customHeight="true" outlineLevel="0" collapsed="false">
      <c r="A75" s="5" t="s">
        <v>707</v>
      </c>
      <c r="B75" s="5" t="s">
        <v>396</v>
      </c>
      <c r="C75" s="5" t="s">
        <v>389</v>
      </c>
      <c r="D75" s="5" t="s">
        <v>645</v>
      </c>
      <c r="E75" s="5" t="s">
        <v>643</v>
      </c>
      <c r="F75" s="28" t="n">
        <f aca="false">IF(E75="","",IF(E75="DRINKS",0.21,0.11))</f>
        <v>0.11</v>
      </c>
      <c r="G75" s="29" t="n">
        <f aca="false">IF(B75="","",SUMIF(RETETAR!A:A,B75,RETETAR!F:F))</f>
        <v>4.86849</v>
      </c>
      <c r="H75" s="30" t="n">
        <f aca="false">IF(B75="","",SUMIF(RETETAR!A:A,B75,RETETAR!H:H))</f>
        <v>4.86849</v>
      </c>
      <c r="I75" s="31" t="n">
        <v>17</v>
      </c>
      <c r="J75" s="32" t="n">
        <f aca="false">IF(OR(I75="",F75=""),"",I75/(1+F75))</f>
        <v>15.3153153153153</v>
      </c>
      <c r="K75" s="33" t="n">
        <f aca="false">IF(OR(G75="",G75=0,J75="",J75=0),"",G75/J75)</f>
        <v>0.31788375882353</v>
      </c>
      <c r="L75" s="34" t="n">
        <f aca="false">IF(OR(H75="",H75=0,J75="",J75=0),"",H75/J75)</f>
        <v>0.31788375882353</v>
      </c>
      <c r="M75" s="35"/>
      <c r="N75" s="36" t="n">
        <v>0.25</v>
      </c>
      <c r="O75" s="36" t="n">
        <v>0.25</v>
      </c>
      <c r="P75" s="36" t="n">
        <v>0.49</v>
      </c>
      <c r="Q75" s="37" t="n">
        <f aca="false">IF(I75="","",I75+N(N75))</f>
        <v>17.25</v>
      </c>
      <c r="R75" s="37" t="n">
        <f aca="false">IF(OR(Q75="",F75=""),"",Q75/(1+F75))</f>
        <v>15.5405405405405</v>
      </c>
      <c r="S75" s="38" t="n">
        <f aca="false">IF(OR(H75="",H75=0,R75="",R75=0),"",H75/R75)</f>
        <v>0.313276747826087</v>
      </c>
      <c r="T75" s="39" t="n">
        <f aca="false">IF(I75="","",I75+N(N75+O75))</f>
        <v>17.5</v>
      </c>
      <c r="U75" s="39" t="n">
        <f aca="false">IF(OR(T75="",F75=""),"",T75/(1+F75))</f>
        <v>15.7657657657658</v>
      </c>
      <c r="V75" s="40" t="n">
        <f aca="false">IF(OR(H75="",H75=0,U75="",U75=0),"",H75/U75)</f>
        <v>0.308801365714286</v>
      </c>
      <c r="W75" s="41" t="n">
        <f aca="false">IF(I75="","",I75+N(N75+O75+P75))</f>
        <v>17.99</v>
      </c>
      <c r="X75" s="41" t="n">
        <f aca="false">IF(OR(W75="",F75=""),"",W75/(1+F75))</f>
        <v>16.2072072072072</v>
      </c>
      <c r="Y75" s="42" t="n">
        <f aca="false">IF(OR(H75="",H75=0,X75="",X75=0),"",H75/X75)</f>
        <v>0.300390433574208</v>
      </c>
    </row>
    <row r="76" customFormat="false" ht="15" hidden="false" customHeight="true" outlineLevel="0" collapsed="false">
      <c r="A76" s="5" t="s">
        <v>708</v>
      </c>
      <c r="B76" s="5" t="s">
        <v>397</v>
      </c>
      <c r="C76" s="5" t="s">
        <v>389</v>
      </c>
      <c r="D76" s="5" t="s">
        <v>642</v>
      </c>
      <c r="E76" s="5" t="s">
        <v>643</v>
      </c>
      <c r="F76" s="28" t="n">
        <f aca="false">IF(E76="","",IF(E76="DRINKS",0.21,0.11))</f>
        <v>0.11</v>
      </c>
      <c r="G76" s="29" t="n">
        <f aca="false">IF(B76="","",SUMIF(RETETAR!A:A,B76,RETETAR!F:F))</f>
        <v>7.78615</v>
      </c>
      <c r="H76" s="30" t="n">
        <f aca="false">IF(B76="","",SUMIF(RETETAR!A:A,B76,RETETAR!H:H))</f>
        <v>7.78615</v>
      </c>
      <c r="I76" s="31" t="n">
        <v>21</v>
      </c>
      <c r="J76" s="32" t="n">
        <f aca="false">IF(OR(I76="",F76=""),"",I76/(1+F76))</f>
        <v>18.9189189189189</v>
      </c>
      <c r="K76" s="33" t="n">
        <f aca="false">IF(OR(G76="",G76=0,J76="",J76=0),"",G76/J76)</f>
        <v>0.411553642857143</v>
      </c>
      <c r="L76" s="34" t="n">
        <f aca="false">IF(OR(H76="",H76=0,J76="",J76=0),"",H76/J76)</f>
        <v>0.411553642857143</v>
      </c>
      <c r="M76" s="35"/>
      <c r="N76" s="36" t="n">
        <v>0.25</v>
      </c>
      <c r="O76" s="36" t="n">
        <v>0.25</v>
      </c>
      <c r="P76" s="36" t="n">
        <v>0.49</v>
      </c>
      <c r="Q76" s="37" t="n">
        <f aca="false">IF(I76="","",I76+N(N76))</f>
        <v>21.25</v>
      </c>
      <c r="R76" s="37" t="n">
        <f aca="false">IF(OR(Q76="",F76=""),"",Q76/(1+F76))</f>
        <v>19.1441441441441</v>
      </c>
      <c r="S76" s="38" t="n">
        <f aca="false">IF(OR(H76="",H76=0,R76="",R76=0),"",H76/R76)</f>
        <v>0.406711835294118</v>
      </c>
      <c r="T76" s="39" t="n">
        <f aca="false">IF(I76="","",I76+N(N76+O76))</f>
        <v>21.5</v>
      </c>
      <c r="U76" s="39" t="n">
        <f aca="false">IF(OR(T76="",F76=""),"",T76/(1+F76))</f>
        <v>19.3693693693694</v>
      </c>
      <c r="V76" s="40" t="n">
        <f aca="false">IF(OR(H76="",H76=0,U76="",U76=0),"",H76/U76)</f>
        <v>0.401982627906977</v>
      </c>
      <c r="W76" s="41" t="n">
        <f aca="false">IF(I76="","",I76+N(N76+O76+P76))</f>
        <v>21.99</v>
      </c>
      <c r="X76" s="41" t="n">
        <f aca="false">IF(OR(W76="",F76=""),"",W76/(1+F76))</f>
        <v>19.8108108108108</v>
      </c>
      <c r="Y76" s="42" t="n">
        <f aca="false">IF(OR(H76="",H76=0,X76="",X76=0),"",H76/X76)</f>
        <v>0.393025306957708</v>
      </c>
    </row>
    <row r="77" customFormat="false" ht="15" hidden="false" customHeight="true" outlineLevel="0" collapsed="false">
      <c r="A77" s="5" t="s">
        <v>709</v>
      </c>
      <c r="B77" s="5" t="s">
        <v>398</v>
      </c>
      <c r="C77" s="5" t="s">
        <v>389</v>
      </c>
      <c r="D77" s="5" t="s">
        <v>645</v>
      </c>
      <c r="E77" s="5" t="s">
        <v>643</v>
      </c>
      <c r="F77" s="28" t="n">
        <f aca="false">IF(E77="","",IF(E77="DRINKS",0.21,0.11))</f>
        <v>0.11</v>
      </c>
      <c r="G77" s="29" t="n">
        <f aca="false">IF(B77="","",SUMIF(RETETAR!A:A,B77,RETETAR!F:F))</f>
        <v>7.78615</v>
      </c>
      <c r="H77" s="30" t="n">
        <f aca="false">IF(B77="","",SUMIF(RETETAR!A:A,B77,RETETAR!H:H))</f>
        <v>7.78615</v>
      </c>
      <c r="I77" s="31" t="n">
        <v>27.5</v>
      </c>
      <c r="J77" s="32" t="n">
        <f aca="false">IF(OR(I77="",F77=""),"",I77/(1+F77))</f>
        <v>24.7747747747748</v>
      </c>
      <c r="K77" s="33" t="n">
        <f aca="false">IF(OR(G77="",G77=0,J77="",J77=0),"",G77/J77)</f>
        <v>0.314277327272727</v>
      </c>
      <c r="L77" s="34" t="n">
        <f aca="false">IF(OR(H77="",H77=0,J77="",J77=0),"",H77/J77)</f>
        <v>0.314277327272727</v>
      </c>
      <c r="M77" s="35"/>
      <c r="N77" s="36" t="n">
        <v>0.25</v>
      </c>
      <c r="O77" s="36" t="n">
        <v>0.25</v>
      </c>
      <c r="P77" s="36" t="n">
        <v>0.49</v>
      </c>
      <c r="Q77" s="37" t="n">
        <f aca="false">IF(I77="","",I77+N(N77))</f>
        <v>27.75</v>
      </c>
      <c r="R77" s="37" t="n">
        <f aca="false">IF(OR(Q77="",F77=""),"",Q77/(1+F77))</f>
        <v>25</v>
      </c>
      <c r="S77" s="38" t="n">
        <f aca="false">IF(OR(H77="",H77=0,R77="",R77=0),"",H77/R77)</f>
        <v>0.311446</v>
      </c>
      <c r="T77" s="39" t="n">
        <f aca="false">IF(I77="","",I77+N(N77+O77))</f>
        <v>28</v>
      </c>
      <c r="U77" s="39" t="n">
        <f aca="false">IF(OR(T77="",F77=""),"",T77/(1+F77))</f>
        <v>25.2252252252252</v>
      </c>
      <c r="V77" s="40" t="n">
        <f aca="false">IF(OR(H77="",H77=0,U77="",U77=0),"",H77/U77)</f>
        <v>0.308665232142857</v>
      </c>
      <c r="W77" s="41" t="n">
        <f aca="false">IF(I77="","",I77+N(N77+O77+P77))</f>
        <v>28.49</v>
      </c>
      <c r="X77" s="41" t="n">
        <f aca="false">IF(OR(W77="",F77=""),"",W77/(1+F77))</f>
        <v>25.6666666666667</v>
      </c>
      <c r="Y77" s="42" t="n">
        <f aca="false">IF(OR(H77="",H77=0,X77="",X77=0),"",H77/X77)</f>
        <v>0.303356493506494</v>
      </c>
    </row>
    <row r="78" customFormat="false" ht="15" hidden="false" customHeight="true" outlineLevel="0" collapsed="false">
      <c r="A78" s="5" t="s">
        <v>710</v>
      </c>
      <c r="B78" s="5" t="s">
        <v>399</v>
      </c>
      <c r="C78" s="5" t="s">
        <v>389</v>
      </c>
      <c r="D78" s="5" t="s">
        <v>642</v>
      </c>
      <c r="E78" s="5" t="s">
        <v>643</v>
      </c>
      <c r="F78" s="28" t="n">
        <f aca="false">IF(E78="","",IF(E78="DRINKS",0.21,0.11))</f>
        <v>0.11</v>
      </c>
      <c r="G78" s="29" t="n">
        <f aca="false">IF(B78="","",SUMIF(RETETAR!A:A,B78,RETETAR!F:F))</f>
        <v>10.70381</v>
      </c>
      <c r="H78" s="30" t="n">
        <f aca="false">IF(B78="","",SUMIF(RETETAR!A:A,B78,RETETAR!H:H))</f>
        <v>10.70381</v>
      </c>
      <c r="I78" s="31" t="n">
        <v>26.5</v>
      </c>
      <c r="J78" s="32" t="n">
        <f aca="false">IF(OR(I78="",F78=""),"",I78/(1+F78))</f>
        <v>23.8738738738739</v>
      </c>
      <c r="K78" s="33" t="n">
        <f aca="false">IF(OR(G78="",G78=0,J78="",J78=0),"",G78/J78)</f>
        <v>0.448348267924528</v>
      </c>
      <c r="L78" s="34" t="n">
        <f aca="false">IF(OR(H78="",H78=0,J78="",J78=0),"",H78/J78)</f>
        <v>0.448348267924528</v>
      </c>
      <c r="M78" s="35"/>
      <c r="N78" s="36" t="n">
        <v>0.25</v>
      </c>
      <c r="O78" s="36" t="n">
        <v>0.25</v>
      </c>
      <c r="P78" s="36" t="n">
        <v>0.49</v>
      </c>
      <c r="Q78" s="37" t="n">
        <f aca="false">IF(I78="","",I78+N(N78))</f>
        <v>26.75</v>
      </c>
      <c r="R78" s="37" t="n">
        <f aca="false">IF(OR(Q78="",F78=""),"",Q78/(1+F78))</f>
        <v>24.0990990990991</v>
      </c>
      <c r="S78" s="38" t="n">
        <f aca="false">IF(OR(H78="",H78=0,R78="",R78=0),"",H78/R78)</f>
        <v>0.444158097196262</v>
      </c>
      <c r="T78" s="39" t="n">
        <f aca="false">IF(I78="","",I78+N(N78+O78))</f>
        <v>27</v>
      </c>
      <c r="U78" s="39" t="n">
        <f aca="false">IF(OR(T78="",F78=""),"",T78/(1+F78))</f>
        <v>24.3243243243243</v>
      </c>
      <c r="V78" s="40" t="n">
        <f aca="false">IF(OR(H78="",H78=0,U78="",U78=0),"",H78/U78)</f>
        <v>0.440045522222222</v>
      </c>
      <c r="W78" s="41" t="n">
        <f aca="false">IF(I78="","",I78+N(N78+O78+P78))</f>
        <v>27.49</v>
      </c>
      <c r="X78" s="41" t="n">
        <f aca="false">IF(OR(W78="",F78=""),"",W78/(1+F78))</f>
        <v>24.7657657657658</v>
      </c>
      <c r="Y78" s="42" t="n">
        <f aca="false">IF(OR(H78="",H78=0,X78="",X78=0),"",H78/X78)</f>
        <v>0.432201858857767</v>
      </c>
    </row>
    <row r="79" customFormat="false" ht="15" hidden="false" customHeight="true" outlineLevel="0" collapsed="false">
      <c r="A79" s="5" t="s">
        <v>711</v>
      </c>
      <c r="B79" s="5" t="s">
        <v>400</v>
      </c>
      <c r="C79" s="5" t="s">
        <v>389</v>
      </c>
      <c r="D79" s="5" t="s">
        <v>645</v>
      </c>
      <c r="E79" s="5" t="s">
        <v>643</v>
      </c>
      <c r="F79" s="28" t="n">
        <f aca="false">IF(E79="","",IF(E79="DRINKS",0.21,0.11))</f>
        <v>0.11</v>
      </c>
      <c r="G79" s="29" t="n">
        <f aca="false">IF(B79="","",SUMIF(RETETAR!A:A,B79,RETETAR!F:F))</f>
        <v>10.70381</v>
      </c>
      <c r="H79" s="30" t="n">
        <f aca="false">IF(B79="","",SUMIF(RETETAR!A:A,B79,RETETAR!H:H))</f>
        <v>10.70381</v>
      </c>
      <c r="I79" s="31" t="n">
        <v>30.5</v>
      </c>
      <c r="J79" s="32" t="n">
        <f aca="false">IF(OR(I79="",F79=""),"",I79/(1+F79))</f>
        <v>27.4774774774775</v>
      </c>
      <c r="K79" s="33" t="n">
        <f aca="false">IF(OR(G79="",G79=0,J79="",J79=0),"",G79/J79)</f>
        <v>0.389548495081967</v>
      </c>
      <c r="L79" s="34" t="n">
        <f aca="false">IF(OR(H79="",H79=0,J79="",J79=0),"",H79/J79)</f>
        <v>0.389548495081967</v>
      </c>
      <c r="M79" s="35"/>
      <c r="N79" s="36" t="n">
        <v>0.25</v>
      </c>
      <c r="O79" s="36" t="n">
        <v>0.25</v>
      </c>
      <c r="P79" s="36" t="n">
        <v>0.49</v>
      </c>
      <c r="Q79" s="37" t="n">
        <f aca="false">IF(I79="","",I79+N(N79))</f>
        <v>30.75</v>
      </c>
      <c r="R79" s="37" t="n">
        <f aca="false">IF(OR(Q79="",F79=""),"",Q79/(1+F79))</f>
        <v>27.7027027027027</v>
      </c>
      <c r="S79" s="38" t="n">
        <f aca="false">IF(OR(H79="",H79=0,R79="",R79=0),"",H79/R79)</f>
        <v>0.386381434146342</v>
      </c>
      <c r="T79" s="39" t="n">
        <f aca="false">IF(I79="","",I79+N(N79+O79))</f>
        <v>31</v>
      </c>
      <c r="U79" s="39" t="n">
        <f aca="false">IF(OR(T79="",F79=""),"",T79/(1+F79))</f>
        <v>27.9279279279279</v>
      </c>
      <c r="V79" s="40" t="n">
        <f aca="false">IF(OR(H79="",H79=0,U79="",U79=0),"",H79/U79)</f>
        <v>0.38326545483871</v>
      </c>
      <c r="W79" s="41" t="n">
        <f aca="false">IF(I79="","",I79+N(N79+O79+P79))</f>
        <v>31.49</v>
      </c>
      <c r="X79" s="41" t="n">
        <f aca="false">IF(OR(W79="",F79=""),"",W79/(1+F79))</f>
        <v>28.3693693693694</v>
      </c>
      <c r="Y79" s="42" t="n">
        <f aca="false">IF(OR(H79="",H79=0,X79="",X79=0),"",H79/X79)</f>
        <v>0.37730165449349</v>
      </c>
    </row>
    <row r="80" customFormat="false" ht="15" hidden="false" customHeight="true" outlineLevel="0" collapsed="false">
      <c r="A80" s="5" t="s">
        <v>712</v>
      </c>
      <c r="B80" s="5" t="s">
        <v>401</v>
      </c>
      <c r="C80" s="5" t="s">
        <v>389</v>
      </c>
      <c r="D80" s="5" t="s">
        <v>642</v>
      </c>
      <c r="E80" s="5" t="s">
        <v>643</v>
      </c>
      <c r="F80" s="28" t="n">
        <f aca="false">IF(E80="","",IF(E80="DRINKS",0.21,0.11))</f>
        <v>0.11</v>
      </c>
      <c r="G80" s="29" t="n">
        <f aca="false">IF(B80="","",SUMIF(RETETAR!A:A,B80,RETETAR!F:F))</f>
        <v>13.62147</v>
      </c>
      <c r="H80" s="30" t="n">
        <f aca="false">IF(B80="","",SUMIF(RETETAR!A:A,B80,RETETAR!H:H))</f>
        <v>13.62147</v>
      </c>
      <c r="I80" s="31" t="n">
        <v>31.5</v>
      </c>
      <c r="J80" s="32" t="n">
        <f aca="false">IF(OR(I80="",F80=""),"",I80/(1+F80))</f>
        <v>28.3783783783784</v>
      </c>
      <c r="K80" s="33" t="n">
        <f aca="false">IF(OR(G80="",G80=0,J80="",J80=0),"",G80/J80)</f>
        <v>0.479994657142857</v>
      </c>
      <c r="L80" s="34" t="n">
        <f aca="false">IF(OR(H80="",H80=0,J80="",J80=0),"",H80/J80)</f>
        <v>0.479994657142857</v>
      </c>
      <c r="M80" s="35"/>
      <c r="N80" s="36" t="n">
        <v>0.25</v>
      </c>
      <c r="O80" s="36" t="n">
        <v>0.25</v>
      </c>
      <c r="P80" s="36" t="n">
        <v>0.49</v>
      </c>
      <c r="Q80" s="37" t="n">
        <f aca="false">IF(I80="","",I80+N(N80))</f>
        <v>31.75</v>
      </c>
      <c r="R80" s="37" t="n">
        <f aca="false">IF(OR(Q80="",F80=""),"",Q80/(1+F80))</f>
        <v>28.6036036036036</v>
      </c>
      <c r="S80" s="38" t="n">
        <f aca="false">IF(OR(H80="",H80=0,R80="",R80=0),"",H80/R80)</f>
        <v>0.476215171653543</v>
      </c>
      <c r="T80" s="39" t="n">
        <f aca="false">IF(I80="","",I80+N(N80+O80))</f>
        <v>32</v>
      </c>
      <c r="U80" s="39" t="n">
        <f aca="false">IF(OR(T80="",F80=""),"",T80/(1+F80))</f>
        <v>28.8288288288288</v>
      </c>
      <c r="V80" s="40" t="n">
        <f aca="false">IF(OR(H80="",H80=0,U80="",U80=0),"",H80/U80)</f>
        <v>0.472494740625</v>
      </c>
      <c r="W80" s="41" t="n">
        <f aca="false">IF(I80="","",I80+N(N80+O80+P80))</f>
        <v>32.49</v>
      </c>
      <c r="X80" s="41" t="n">
        <f aca="false">IF(OR(W80="",F80=""),"",W80/(1+F80))</f>
        <v>29.2702702702703</v>
      </c>
      <c r="Y80" s="42" t="n">
        <f aca="false">IF(OR(H80="",H80=0,X80="",X80=0),"",H80/X80)</f>
        <v>0.465368781163435</v>
      </c>
    </row>
    <row r="81" customFormat="false" ht="15" hidden="false" customHeight="true" outlineLevel="0" collapsed="false">
      <c r="A81" s="5" t="s">
        <v>713</v>
      </c>
      <c r="B81" s="5" t="s">
        <v>402</v>
      </c>
      <c r="C81" s="5" t="s">
        <v>389</v>
      </c>
      <c r="D81" s="5" t="s">
        <v>645</v>
      </c>
      <c r="E81" s="5" t="s">
        <v>643</v>
      </c>
      <c r="F81" s="28" t="n">
        <f aca="false">IF(E81="","",IF(E81="DRINKS",0.21,0.11))</f>
        <v>0.11</v>
      </c>
      <c r="G81" s="29" t="n">
        <f aca="false">IF(B81="","",SUMIF(RETETAR!A:A,B81,RETETAR!F:F))</f>
        <v>13.62147</v>
      </c>
      <c r="H81" s="30" t="n">
        <f aca="false">IF(B81="","",SUMIF(RETETAR!A:A,B81,RETETAR!H:H))</f>
        <v>13.62147</v>
      </c>
      <c r="I81" s="31" t="n">
        <v>36</v>
      </c>
      <c r="J81" s="32" t="n">
        <f aca="false">IF(OR(I81="",F81=""),"",I81/(1+F81))</f>
        <v>32.4324324324324</v>
      </c>
      <c r="K81" s="33" t="n">
        <f aca="false">IF(OR(G81="",G81=0,J81="",J81=0),"",G81/J81)</f>
        <v>0.419995325</v>
      </c>
      <c r="L81" s="34" t="n">
        <f aca="false">IF(OR(H81="",H81=0,J81="",J81=0),"",H81/J81)</f>
        <v>0.419995325</v>
      </c>
      <c r="M81" s="35"/>
      <c r="N81" s="36" t="n">
        <v>0.25</v>
      </c>
      <c r="O81" s="36" t="n">
        <v>0.25</v>
      </c>
      <c r="P81" s="36" t="n">
        <v>0.49</v>
      </c>
      <c r="Q81" s="37" t="n">
        <f aca="false">IF(I81="","",I81+N(N81))</f>
        <v>36.25</v>
      </c>
      <c r="R81" s="37" t="n">
        <f aca="false">IF(OR(Q81="",F81=""),"",Q81/(1+F81))</f>
        <v>32.6576576576577</v>
      </c>
      <c r="S81" s="38" t="n">
        <f aca="false">IF(OR(H81="",H81=0,R81="",R81=0),"",H81/R81)</f>
        <v>0.417098805517242</v>
      </c>
      <c r="T81" s="39" t="n">
        <f aca="false">IF(I81="","",I81+N(N81+O81))</f>
        <v>36.5</v>
      </c>
      <c r="U81" s="39" t="n">
        <f aca="false">IF(OR(T81="",F81=""),"",T81/(1+F81))</f>
        <v>32.8828828828829</v>
      </c>
      <c r="V81" s="40" t="n">
        <f aca="false">IF(OR(H81="",H81=0,U81="",U81=0),"",H81/U81)</f>
        <v>0.414241964383562</v>
      </c>
      <c r="W81" s="41" t="n">
        <f aca="false">IF(I81="","",I81+N(N81+O81+P81))</f>
        <v>36.99</v>
      </c>
      <c r="X81" s="41" t="n">
        <f aca="false">IF(OR(W81="",F81=""),"",W81/(1+F81))</f>
        <v>33.3243243243243</v>
      </c>
      <c r="Y81" s="42" t="n">
        <f aca="false">IF(OR(H81="",H81=0,X81="",X81=0),"",H81/X81)</f>
        <v>0.408754574209246</v>
      </c>
    </row>
    <row r="82" customFormat="false" ht="15" hidden="false" customHeight="true" outlineLevel="0" collapsed="false">
      <c r="A82" s="5" t="s">
        <v>714</v>
      </c>
      <c r="B82" s="5" t="s">
        <v>403</v>
      </c>
      <c r="C82" s="5" t="s">
        <v>389</v>
      </c>
      <c r="D82" s="5" t="s">
        <v>642</v>
      </c>
      <c r="E82" s="5" t="s">
        <v>643</v>
      </c>
      <c r="F82" s="28" t="n">
        <f aca="false">IF(E82="","",IF(E82="DRINKS",0.21,0.11))</f>
        <v>0.11</v>
      </c>
      <c r="G82" s="29" t="n">
        <f aca="false">IF(B82="","",SUMIF(RETETAR!A:A,B82,RETETAR!F:F))</f>
        <v>5.25409</v>
      </c>
      <c r="H82" s="30" t="n">
        <f aca="false">IF(B82="","",SUMIF(RETETAR!A:A,B82,RETETAR!H:H))</f>
        <v>5.25409</v>
      </c>
      <c r="I82" s="31" t="n">
        <v>14.5</v>
      </c>
      <c r="J82" s="32" t="n">
        <f aca="false">IF(OR(I82="",F82=""),"",I82/(1+F82))</f>
        <v>13.0630630630631</v>
      </c>
      <c r="K82" s="33" t="n">
        <f aca="false">IF(OR(G82="",G82=0,J82="",J82=0),"",G82/J82)</f>
        <v>0.402209648275862</v>
      </c>
      <c r="L82" s="34" t="n">
        <f aca="false">IF(OR(H82="",H82=0,J82="",J82=0),"",H82/J82)</f>
        <v>0.402209648275862</v>
      </c>
      <c r="M82" s="35"/>
      <c r="N82" s="36" t="n">
        <v>0.25</v>
      </c>
      <c r="O82" s="36" t="n">
        <v>0.25</v>
      </c>
      <c r="P82" s="36" t="n">
        <v>0.49</v>
      </c>
      <c r="Q82" s="37" t="n">
        <f aca="false">IF(I82="","",I82+N(N82))</f>
        <v>14.75</v>
      </c>
      <c r="R82" s="37" t="n">
        <f aca="false">IF(OR(Q82="",F82=""),"",Q82/(1+F82))</f>
        <v>13.2882882882883</v>
      </c>
      <c r="S82" s="38" t="n">
        <f aca="false">IF(OR(H82="",H82=0,R82="",R82=0),"",H82/R82)</f>
        <v>0.39539253559322</v>
      </c>
      <c r="T82" s="39" t="n">
        <f aca="false">IF(I82="","",I82+N(N82+O82))</f>
        <v>15</v>
      </c>
      <c r="U82" s="39" t="n">
        <f aca="false">IF(OR(T82="",F82=""),"",T82/(1+F82))</f>
        <v>13.5135135135135</v>
      </c>
      <c r="V82" s="40" t="n">
        <f aca="false">IF(OR(H82="",H82=0,U82="",U82=0),"",H82/U82)</f>
        <v>0.38880266</v>
      </c>
      <c r="W82" s="41" t="n">
        <f aca="false">IF(I82="","",I82+N(N82+O82+P82))</f>
        <v>15.49</v>
      </c>
      <c r="X82" s="41" t="n">
        <f aca="false">IF(OR(W82="",F82=""),"",W82/(1+F82))</f>
        <v>13.954954954955</v>
      </c>
      <c r="Y82" s="42" t="n">
        <f aca="false">IF(OR(H82="",H82=0,X82="",X82=0),"",H82/X82)</f>
        <v>0.376503544222079</v>
      </c>
    </row>
    <row r="83" customFormat="false" ht="15" hidden="false" customHeight="true" outlineLevel="0" collapsed="false">
      <c r="A83" s="5" t="s">
        <v>715</v>
      </c>
      <c r="B83" s="5" t="s">
        <v>404</v>
      </c>
      <c r="C83" s="5" t="s">
        <v>389</v>
      </c>
      <c r="D83" s="5" t="s">
        <v>645</v>
      </c>
      <c r="E83" s="5" t="s">
        <v>643</v>
      </c>
      <c r="F83" s="28" t="n">
        <f aca="false">IF(E83="","",IF(E83="DRINKS",0.21,0.11))</f>
        <v>0.11</v>
      </c>
      <c r="G83" s="29" t="n">
        <f aca="false">IF(B83="","",SUMIF(RETETAR!A:A,B83,RETETAR!F:F))</f>
        <v>5.25409</v>
      </c>
      <c r="H83" s="30" t="n">
        <f aca="false">IF(B83="","",SUMIF(RETETAR!A:A,B83,RETETAR!H:H))</f>
        <v>5.25409</v>
      </c>
      <c r="I83" s="31" t="n">
        <v>17</v>
      </c>
      <c r="J83" s="32" t="n">
        <f aca="false">IF(OR(I83="",F83=""),"",I83/(1+F83))</f>
        <v>15.3153153153153</v>
      </c>
      <c r="K83" s="33" t="n">
        <f aca="false">IF(OR(G83="",G83=0,J83="",J83=0),"",G83/J83)</f>
        <v>0.343061170588235</v>
      </c>
      <c r="L83" s="34" t="n">
        <f aca="false">IF(OR(H83="",H83=0,J83="",J83=0),"",H83/J83)</f>
        <v>0.343061170588235</v>
      </c>
      <c r="M83" s="35"/>
      <c r="N83" s="36" t="n">
        <v>0.25</v>
      </c>
      <c r="O83" s="36" t="n">
        <v>0.25</v>
      </c>
      <c r="P83" s="36" t="n">
        <v>0.49</v>
      </c>
      <c r="Q83" s="37" t="n">
        <f aca="false">IF(I83="","",I83+N(N83))</f>
        <v>17.25</v>
      </c>
      <c r="R83" s="37" t="n">
        <f aca="false">IF(OR(Q83="",F83=""),"",Q83/(1+F83))</f>
        <v>15.5405405405405</v>
      </c>
      <c r="S83" s="38" t="n">
        <f aca="false">IF(OR(H83="",H83=0,R83="",R83=0),"",H83/R83)</f>
        <v>0.338089269565217</v>
      </c>
      <c r="T83" s="39" t="n">
        <f aca="false">IF(I83="","",I83+N(N83+O83))</f>
        <v>17.5</v>
      </c>
      <c r="U83" s="39" t="n">
        <f aca="false">IF(OR(T83="",F83=""),"",T83/(1+F83))</f>
        <v>15.7657657657658</v>
      </c>
      <c r="V83" s="40" t="n">
        <f aca="false">IF(OR(H83="",H83=0,U83="",U83=0),"",H83/U83)</f>
        <v>0.333259422857143</v>
      </c>
      <c r="W83" s="41" t="n">
        <f aca="false">IF(I83="","",I83+N(N83+O83+P83))</f>
        <v>17.99</v>
      </c>
      <c r="X83" s="41" t="n">
        <f aca="false">IF(OR(W83="",F83=""),"",W83/(1+F83))</f>
        <v>16.2072072072072</v>
      </c>
      <c r="Y83" s="42" t="n">
        <f aca="false">IF(OR(H83="",H83=0,X83="",X83=0),"",H83/X83)</f>
        <v>0.324182317954419</v>
      </c>
    </row>
    <row r="84" customFormat="false" ht="15" hidden="false" customHeight="true" outlineLevel="0" collapsed="false">
      <c r="A84" s="5" t="s">
        <v>716</v>
      </c>
      <c r="B84" s="5" t="s">
        <v>405</v>
      </c>
      <c r="C84" s="5" t="s">
        <v>389</v>
      </c>
      <c r="D84" s="5" t="s">
        <v>642</v>
      </c>
      <c r="E84" s="5" t="s">
        <v>643</v>
      </c>
      <c r="F84" s="28" t="n">
        <f aca="false">IF(E84="","",IF(E84="DRINKS",0.21,0.11))</f>
        <v>0.11</v>
      </c>
      <c r="G84" s="29" t="n">
        <f aca="false">IF(B84="","",SUMIF(RETETAR!A:A,B84,RETETAR!F:F))</f>
        <v>8.39815</v>
      </c>
      <c r="H84" s="30" t="n">
        <f aca="false">IF(B84="","",SUMIF(RETETAR!A:A,B84,RETETAR!H:H))</f>
        <v>8.39815</v>
      </c>
      <c r="I84" s="31" t="n">
        <v>21</v>
      </c>
      <c r="J84" s="32" t="n">
        <f aca="false">IF(OR(I84="",F84=""),"",I84/(1+F84))</f>
        <v>18.9189189189189</v>
      </c>
      <c r="K84" s="33" t="n">
        <f aca="false">IF(OR(G84="",G84=0,J84="",J84=0),"",G84/J84)</f>
        <v>0.443902214285714</v>
      </c>
      <c r="L84" s="34" t="n">
        <f aca="false">IF(OR(H84="",H84=0,J84="",J84=0),"",H84/J84)</f>
        <v>0.443902214285714</v>
      </c>
      <c r="M84" s="35"/>
      <c r="N84" s="36" t="n">
        <v>0.25</v>
      </c>
      <c r="O84" s="36" t="n">
        <v>0.25</v>
      </c>
      <c r="P84" s="36" t="n">
        <v>0.49</v>
      </c>
      <c r="Q84" s="37" t="n">
        <f aca="false">IF(I84="","",I84+N(N84))</f>
        <v>21.25</v>
      </c>
      <c r="R84" s="37" t="n">
        <f aca="false">IF(OR(Q84="",F84=""),"",Q84/(1+F84))</f>
        <v>19.1441441441441</v>
      </c>
      <c r="S84" s="38" t="n">
        <f aca="false">IF(OR(H84="",H84=0,R84="",R84=0),"",H84/R84)</f>
        <v>0.438679835294118</v>
      </c>
      <c r="T84" s="39" t="n">
        <f aca="false">IF(I84="","",I84+N(N84+O84))</f>
        <v>21.5</v>
      </c>
      <c r="U84" s="39" t="n">
        <f aca="false">IF(OR(T84="",F84=""),"",T84/(1+F84))</f>
        <v>19.3693693693694</v>
      </c>
      <c r="V84" s="40" t="n">
        <f aca="false">IF(OR(H84="",H84=0,U84="",U84=0),"",H84/U84)</f>
        <v>0.433578906976744</v>
      </c>
      <c r="W84" s="41" t="n">
        <f aca="false">IF(I84="","",I84+N(N84+O84+P84))</f>
        <v>21.99</v>
      </c>
      <c r="X84" s="41" t="n">
        <f aca="false">IF(OR(W84="",F84=""),"",W84/(1+F84))</f>
        <v>19.8108108108108</v>
      </c>
      <c r="Y84" s="42" t="n">
        <f aca="false">IF(OR(H84="",H84=0,X84="",X84=0),"",H84/X84)</f>
        <v>0.423917530695771</v>
      </c>
    </row>
    <row r="85" customFormat="false" ht="15" hidden="false" customHeight="true" outlineLevel="0" collapsed="false">
      <c r="A85" s="5" t="s">
        <v>717</v>
      </c>
      <c r="B85" s="5" t="s">
        <v>406</v>
      </c>
      <c r="C85" s="5" t="s">
        <v>389</v>
      </c>
      <c r="D85" s="5" t="s">
        <v>645</v>
      </c>
      <c r="E85" s="5" t="s">
        <v>643</v>
      </c>
      <c r="F85" s="28" t="n">
        <f aca="false">IF(E85="","",IF(E85="DRINKS",0.21,0.11))</f>
        <v>0.11</v>
      </c>
      <c r="G85" s="29" t="n">
        <f aca="false">IF(B85="","",SUMIF(RETETAR!A:A,B85,RETETAR!F:F))</f>
        <v>8.39815</v>
      </c>
      <c r="H85" s="30" t="n">
        <f aca="false">IF(B85="","",SUMIF(RETETAR!A:A,B85,RETETAR!H:H))</f>
        <v>8.39815</v>
      </c>
      <c r="I85" s="31" t="n">
        <v>27.5</v>
      </c>
      <c r="J85" s="32" t="n">
        <f aca="false">IF(OR(I85="",F85=""),"",I85/(1+F85))</f>
        <v>24.7747747747748</v>
      </c>
      <c r="K85" s="33" t="n">
        <f aca="false">IF(OR(G85="",G85=0,J85="",J85=0),"",G85/J85)</f>
        <v>0.338979872727273</v>
      </c>
      <c r="L85" s="34" t="n">
        <f aca="false">IF(OR(H85="",H85=0,J85="",J85=0),"",H85/J85)</f>
        <v>0.338979872727273</v>
      </c>
      <c r="M85" s="35"/>
      <c r="N85" s="36" t="n">
        <v>0.25</v>
      </c>
      <c r="O85" s="36" t="n">
        <v>0.25</v>
      </c>
      <c r="P85" s="36" t="n">
        <v>0.49</v>
      </c>
      <c r="Q85" s="37" t="n">
        <f aca="false">IF(I85="","",I85+N(N85))</f>
        <v>27.75</v>
      </c>
      <c r="R85" s="37" t="n">
        <f aca="false">IF(OR(Q85="",F85=""),"",Q85/(1+F85))</f>
        <v>25</v>
      </c>
      <c r="S85" s="38" t="n">
        <f aca="false">IF(OR(H85="",H85=0,R85="",R85=0),"",H85/R85)</f>
        <v>0.335926</v>
      </c>
      <c r="T85" s="39" t="n">
        <f aca="false">IF(I85="","",I85+N(N85+O85))</f>
        <v>28</v>
      </c>
      <c r="U85" s="39" t="n">
        <f aca="false">IF(OR(T85="",F85=""),"",T85/(1+F85))</f>
        <v>25.2252252252252</v>
      </c>
      <c r="V85" s="40" t="n">
        <f aca="false">IF(OR(H85="",H85=0,U85="",U85=0),"",H85/U85)</f>
        <v>0.332926660714286</v>
      </c>
      <c r="W85" s="41" t="n">
        <f aca="false">IF(I85="","",I85+N(N85+O85+P85))</f>
        <v>28.49</v>
      </c>
      <c r="X85" s="41" t="n">
        <f aca="false">IF(OR(W85="",F85=""),"",W85/(1+F85))</f>
        <v>25.6666666666667</v>
      </c>
      <c r="Y85" s="42" t="n">
        <f aca="false">IF(OR(H85="",H85=0,X85="",X85=0),"",H85/X85)</f>
        <v>0.327200649350649</v>
      </c>
    </row>
    <row r="86" customFormat="false" ht="15" hidden="false" customHeight="true" outlineLevel="0" collapsed="false">
      <c r="A86" s="5" t="s">
        <v>718</v>
      </c>
      <c r="B86" s="5" t="s">
        <v>407</v>
      </c>
      <c r="C86" s="5" t="s">
        <v>389</v>
      </c>
      <c r="D86" s="5" t="s">
        <v>642</v>
      </c>
      <c r="E86" s="5" t="s">
        <v>643</v>
      </c>
      <c r="F86" s="28" t="n">
        <f aca="false">IF(E86="","",IF(E86="DRINKS",0.21,0.11))</f>
        <v>0.11</v>
      </c>
      <c r="G86" s="29" t="n">
        <f aca="false">IF(B86="","",SUMIF(RETETAR!A:A,B86,RETETAR!F:F))</f>
        <v>11.54221</v>
      </c>
      <c r="H86" s="30" t="n">
        <f aca="false">IF(B86="","",SUMIF(RETETAR!A:A,B86,RETETAR!H:H))</f>
        <v>11.54221</v>
      </c>
      <c r="I86" s="31" t="n">
        <v>26.5</v>
      </c>
      <c r="J86" s="32" t="n">
        <f aca="false">IF(OR(I86="",F86=""),"",I86/(1+F86))</f>
        <v>23.8738738738739</v>
      </c>
      <c r="K86" s="33" t="n">
        <f aca="false">IF(OR(G86="",G86=0,J86="",J86=0),"",G86/J86)</f>
        <v>0.483466154716981</v>
      </c>
      <c r="L86" s="34" t="n">
        <f aca="false">IF(OR(H86="",H86=0,J86="",J86=0),"",H86/J86)</f>
        <v>0.483466154716981</v>
      </c>
      <c r="M86" s="35"/>
      <c r="N86" s="36" t="n">
        <v>0.25</v>
      </c>
      <c r="O86" s="36" t="n">
        <v>0.25</v>
      </c>
      <c r="P86" s="36" t="n">
        <v>0.49</v>
      </c>
      <c r="Q86" s="37" t="n">
        <f aca="false">IF(I86="","",I86+N(N86))</f>
        <v>26.75</v>
      </c>
      <c r="R86" s="37" t="n">
        <f aca="false">IF(OR(Q86="",F86=""),"",Q86/(1+F86))</f>
        <v>24.0990990990991</v>
      </c>
      <c r="S86" s="38" t="n">
        <f aca="false">IF(OR(H86="",H86=0,R86="",R86=0),"",H86/R86)</f>
        <v>0.478947779439252</v>
      </c>
      <c r="T86" s="39" t="n">
        <f aca="false">IF(I86="","",I86+N(N86+O86))</f>
        <v>27</v>
      </c>
      <c r="U86" s="39" t="n">
        <f aca="false">IF(OR(T86="",F86=""),"",T86/(1+F86))</f>
        <v>24.3243243243243</v>
      </c>
      <c r="V86" s="40" t="n">
        <f aca="false">IF(OR(H86="",H86=0,U86="",U86=0),"",H86/U86)</f>
        <v>0.474513077777778</v>
      </c>
      <c r="W86" s="41" t="n">
        <f aca="false">IF(I86="","",I86+N(N86+O86+P86))</f>
        <v>27.49</v>
      </c>
      <c r="X86" s="41" t="n">
        <f aca="false">IF(OR(W86="",F86=""),"",W86/(1+F86))</f>
        <v>24.7657657657658</v>
      </c>
      <c r="Y86" s="42" t="n">
        <f aca="false">IF(OR(H86="",H86=0,X86="",X86=0),"",H86/X86)</f>
        <v>0.466055041833394</v>
      </c>
    </row>
    <row r="87" customFormat="false" ht="15" hidden="false" customHeight="true" outlineLevel="0" collapsed="false">
      <c r="A87" s="5" t="s">
        <v>719</v>
      </c>
      <c r="B87" s="5" t="s">
        <v>408</v>
      </c>
      <c r="C87" s="5" t="s">
        <v>389</v>
      </c>
      <c r="D87" s="5" t="s">
        <v>645</v>
      </c>
      <c r="E87" s="5" t="s">
        <v>643</v>
      </c>
      <c r="F87" s="28" t="n">
        <f aca="false">IF(E87="","",IF(E87="DRINKS",0.21,0.11))</f>
        <v>0.11</v>
      </c>
      <c r="G87" s="29" t="n">
        <f aca="false">IF(B87="","",SUMIF(RETETAR!A:A,B87,RETETAR!F:F))</f>
        <v>11.54221</v>
      </c>
      <c r="H87" s="30" t="n">
        <f aca="false">IF(B87="","",SUMIF(RETETAR!A:A,B87,RETETAR!H:H))</f>
        <v>11.54221</v>
      </c>
      <c r="I87" s="31" t="n">
        <v>30.5</v>
      </c>
      <c r="J87" s="32" t="n">
        <f aca="false">IF(OR(I87="",F87=""),"",I87/(1+F87))</f>
        <v>27.4774774774775</v>
      </c>
      <c r="K87" s="33" t="n">
        <f aca="false">IF(OR(G87="",G87=0,J87="",J87=0),"",G87/J87)</f>
        <v>0.420060757377049</v>
      </c>
      <c r="L87" s="34" t="n">
        <f aca="false">IF(OR(H87="",H87=0,J87="",J87=0),"",H87/J87)</f>
        <v>0.420060757377049</v>
      </c>
      <c r="M87" s="35"/>
      <c r="N87" s="36" t="n">
        <v>0.25</v>
      </c>
      <c r="O87" s="36" t="n">
        <v>0.25</v>
      </c>
      <c r="P87" s="36" t="n">
        <v>0.49</v>
      </c>
      <c r="Q87" s="37" t="n">
        <f aca="false">IF(I87="","",I87+N(N87))</f>
        <v>30.75</v>
      </c>
      <c r="R87" s="37" t="n">
        <f aca="false">IF(OR(Q87="",F87=""),"",Q87/(1+F87))</f>
        <v>27.7027027027027</v>
      </c>
      <c r="S87" s="38" t="n">
        <f aca="false">IF(OR(H87="",H87=0,R87="",R87=0),"",H87/R87)</f>
        <v>0.416645629268293</v>
      </c>
      <c r="T87" s="39" t="n">
        <f aca="false">IF(I87="","",I87+N(N87+O87))</f>
        <v>31</v>
      </c>
      <c r="U87" s="39" t="n">
        <f aca="false">IF(OR(T87="",F87=""),"",T87/(1+F87))</f>
        <v>27.9279279279279</v>
      </c>
      <c r="V87" s="40" t="n">
        <f aca="false">IF(OR(H87="",H87=0,U87="",U87=0),"",H87/U87)</f>
        <v>0.413285583870968</v>
      </c>
      <c r="W87" s="41" t="n">
        <f aca="false">IF(I87="","",I87+N(N87+O87+P87))</f>
        <v>31.49</v>
      </c>
      <c r="X87" s="41" t="n">
        <f aca="false">IF(OR(W87="",F87=""),"",W87/(1+F87))</f>
        <v>28.3693693693694</v>
      </c>
      <c r="Y87" s="42" t="n">
        <f aca="false">IF(OR(H87="",H87=0,X87="",X87=0),"",H87/X87)</f>
        <v>0.406854655446173</v>
      </c>
    </row>
    <row r="88" customFormat="false" ht="15" hidden="false" customHeight="true" outlineLevel="0" collapsed="false">
      <c r="A88" s="5" t="s">
        <v>720</v>
      </c>
      <c r="B88" s="5" t="s">
        <v>409</v>
      </c>
      <c r="C88" s="5" t="s">
        <v>389</v>
      </c>
      <c r="D88" s="5" t="s">
        <v>642</v>
      </c>
      <c r="E88" s="5" t="s">
        <v>643</v>
      </c>
      <c r="F88" s="28" t="n">
        <f aca="false">IF(E88="","",IF(E88="DRINKS",0.21,0.11))</f>
        <v>0.11</v>
      </c>
      <c r="G88" s="29" t="n">
        <f aca="false">IF(B88="","",SUMIF(RETETAR!A:A,B88,RETETAR!F:F))</f>
        <v>14.68627</v>
      </c>
      <c r="H88" s="30" t="n">
        <f aca="false">IF(B88="","",SUMIF(RETETAR!A:A,B88,RETETAR!H:H))</f>
        <v>14.68627</v>
      </c>
      <c r="I88" s="31" t="n">
        <v>31.5</v>
      </c>
      <c r="J88" s="32" t="n">
        <f aca="false">IF(OR(I88="",F88=""),"",I88/(1+F88))</f>
        <v>28.3783783783784</v>
      </c>
      <c r="K88" s="33" t="n">
        <f aca="false">IF(OR(G88="",G88=0,J88="",J88=0),"",G88/J88)</f>
        <v>0.517516180952381</v>
      </c>
      <c r="L88" s="34" t="n">
        <f aca="false">IF(OR(H88="",H88=0,J88="",J88=0),"",H88/J88)</f>
        <v>0.517516180952381</v>
      </c>
      <c r="M88" s="35"/>
      <c r="N88" s="36" t="n">
        <v>0.25</v>
      </c>
      <c r="O88" s="36" t="n">
        <v>0.25</v>
      </c>
      <c r="P88" s="36" t="n">
        <v>0.49</v>
      </c>
      <c r="Q88" s="37" t="n">
        <f aca="false">IF(I88="","",I88+N(N88))</f>
        <v>31.75</v>
      </c>
      <c r="R88" s="37" t="n">
        <f aca="false">IF(OR(Q88="",F88=""),"",Q88/(1+F88))</f>
        <v>28.6036036036036</v>
      </c>
      <c r="S88" s="38" t="n">
        <f aca="false">IF(OR(H88="",H88=0,R88="",R88=0),"",H88/R88)</f>
        <v>0.513441250393701</v>
      </c>
      <c r="T88" s="39" t="n">
        <f aca="false">IF(I88="","",I88+N(N88+O88))</f>
        <v>32</v>
      </c>
      <c r="U88" s="39" t="n">
        <f aca="false">IF(OR(T88="",F88=""),"",T88/(1+F88))</f>
        <v>28.8288288288288</v>
      </c>
      <c r="V88" s="40" t="n">
        <f aca="false">IF(OR(H88="",H88=0,U88="",U88=0),"",H88/U88)</f>
        <v>0.509429990625</v>
      </c>
      <c r="W88" s="41" t="n">
        <f aca="false">IF(I88="","",I88+N(N88+O88+P88))</f>
        <v>32.49</v>
      </c>
      <c r="X88" s="41" t="n">
        <f aca="false">IF(OR(W88="",F88=""),"",W88/(1+F88))</f>
        <v>29.2702702702703</v>
      </c>
      <c r="Y88" s="42" t="n">
        <f aca="false">IF(OR(H88="",H88=0,X88="",X88=0),"",H88/X88)</f>
        <v>0.501746989843029</v>
      </c>
    </row>
    <row r="89" customFormat="false" ht="15" hidden="false" customHeight="true" outlineLevel="0" collapsed="false">
      <c r="A89" s="5" t="s">
        <v>721</v>
      </c>
      <c r="B89" s="5" t="s">
        <v>410</v>
      </c>
      <c r="C89" s="5" t="s">
        <v>389</v>
      </c>
      <c r="D89" s="5" t="s">
        <v>645</v>
      </c>
      <c r="E89" s="5" t="s">
        <v>643</v>
      </c>
      <c r="F89" s="28" t="n">
        <f aca="false">IF(E89="","",IF(E89="DRINKS",0.21,0.11))</f>
        <v>0.11</v>
      </c>
      <c r="G89" s="29" t="n">
        <f aca="false">IF(B89="","",SUMIF(RETETAR!A:A,B89,RETETAR!F:F))</f>
        <v>14.68627</v>
      </c>
      <c r="H89" s="30" t="n">
        <f aca="false">IF(B89="","",SUMIF(RETETAR!A:A,B89,RETETAR!H:H))</f>
        <v>14.68627</v>
      </c>
      <c r="I89" s="31" t="n">
        <v>36</v>
      </c>
      <c r="J89" s="32" t="n">
        <f aca="false">IF(OR(I89="",F89=""),"",I89/(1+F89))</f>
        <v>32.4324324324324</v>
      </c>
      <c r="K89" s="33" t="n">
        <f aca="false">IF(OR(G89="",G89=0,J89="",J89=0),"",G89/J89)</f>
        <v>0.452826658333333</v>
      </c>
      <c r="L89" s="34" t="n">
        <f aca="false">IF(OR(H89="",H89=0,J89="",J89=0),"",H89/J89)</f>
        <v>0.452826658333333</v>
      </c>
      <c r="M89" s="35"/>
      <c r="N89" s="36" t="n">
        <v>0.25</v>
      </c>
      <c r="O89" s="36" t="n">
        <v>0.25</v>
      </c>
      <c r="P89" s="36" t="n">
        <v>0.49</v>
      </c>
      <c r="Q89" s="37" t="n">
        <f aca="false">IF(I89="","",I89+N(N89))</f>
        <v>36.25</v>
      </c>
      <c r="R89" s="37" t="n">
        <f aca="false">IF(OR(Q89="",F89=""),"",Q89/(1+F89))</f>
        <v>32.6576576576577</v>
      </c>
      <c r="S89" s="38" t="n">
        <f aca="false">IF(OR(H89="",H89=0,R89="",R89=0),"",H89/R89)</f>
        <v>0.449703715862069</v>
      </c>
      <c r="T89" s="39" t="n">
        <f aca="false">IF(I89="","",I89+N(N89+O89))</f>
        <v>36.5</v>
      </c>
      <c r="U89" s="39" t="n">
        <f aca="false">IF(OR(T89="",F89=""),"",T89/(1+F89))</f>
        <v>32.8828828828829</v>
      </c>
      <c r="V89" s="40" t="n">
        <f aca="false">IF(OR(H89="",H89=0,U89="",U89=0),"",H89/U89)</f>
        <v>0.446623553424658</v>
      </c>
      <c r="W89" s="41" t="n">
        <f aca="false">IF(I89="","",I89+N(N89+O89+P89))</f>
        <v>36.99</v>
      </c>
      <c r="X89" s="41" t="n">
        <f aca="false">IF(OR(W89="",F89=""),"",W89/(1+F89))</f>
        <v>33.3243243243243</v>
      </c>
      <c r="Y89" s="42" t="n">
        <f aca="false">IF(OR(H89="",H89=0,X89="",X89=0),"",H89/X89)</f>
        <v>0.440707210056772</v>
      </c>
    </row>
    <row r="90" customFormat="false" ht="15" hidden="false" customHeight="true" outlineLevel="0" collapsed="false">
      <c r="A90" s="5" t="s">
        <v>722</v>
      </c>
      <c r="B90" s="5" t="s">
        <v>411</v>
      </c>
      <c r="C90" s="5" t="s">
        <v>389</v>
      </c>
      <c r="D90" s="5" t="s">
        <v>642</v>
      </c>
      <c r="E90" s="5" t="s">
        <v>643</v>
      </c>
      <c r="F90" s="28" t="n">
        <f aca="false">IF(E90="","",IF(E90="DRINKS",0.21,0.11))</f>
        <v>0.11</v>
      </c>
      <c r="G90" s="29" t="n">
        <f aca="false">IF(B90="","",SUMIF(RETETAR!A:A,B90,RETETAR!F:F))</f>
        <v>8.73895</v>
      </c>
      <c r="H90" s="30" t="n">
        <f aca="false">IF(B90="","",SUMIF(RETETAR!A:A,B90,RETETAR!H:H))</f>
        <v>8.73895</v>
      </c>
      <c r="I90" s="31" t="n">
        <v>18</v>
      </c>
      <c r="J90" s="32" t="n">
        <f aca="false">IF(OR(I90="",F90=""),"",I90/(1+F90))</f>
        <v>16.2162162162162</v>
      </c>
      <c r="K90" s="33" t="n">
        <f aca="false">IF(OR(G90="",G90=0,J90="",J90=0),"",G90/J90)</f>
        <v>0.538901916666667</v>
      </c>
      <c r="L90" s="34" t="n">
        <f aca="false">IF(OR(H90="",H90=0,J90="",J90=0),"",H90/J90)</f>
        <v>0.538901916666667</v>
      </c>
      <c r="M90" s="35"/>
      <c r="N90" s="36" t="n">
        <v>0.25</v>
      </c>
      <c r="O90" s="36" t="n">
        <v>0.25</v>
      </c>
      <c r="P90" s="36" t="n">
        <v>0.49</v>
      </c>
      <c r="Q90" s="37" t="n">
        <f aca="false">IF(I90="","",I90+N(N90))</f>
        <v>18.25</v>
      </c>
      <c r="R90" s="37" t="n">
        <f aca="false">IF(OR(Q90="",F90=""),"",Q90/(1+F90))</f>
        <v>16.4414414414414</v>
      </c>
      <c r="S90" s="38" t="n">
        <f aca="false">IF(OR(H90="",H90=0,R90="",R90=0),"",H90/R90)</f>
        <v>0.531519698630137</v>
      </c>
      <c r="T90" s="39" t="n">
        <f aca="false">IF(I90="","",I90+N(N90+O90))</f>
        <v>18.5</v>
      </c>
      <c r="U90" s="39" t="n">
        <f aca="false">IF(OR(T90="",F90=""),"",T90/(1+F90))</f>
        <v>16.6666666666667</v>
      </c>
      <c r="V90" s="40" t="n">
        <f aca="false">IF(OR(H90="",H90=0,U90="",U90=0),"",H90/U90)</f>
        <v>0.524337</v>
      </c>
      <c r="W90" s="41" t="n">
        <f aca="false">IF(I90="","",I90+N(N90+O90+P90))</f>
        <v>18.99</v>
      </c>
      <c r="X90" s="41" t="n">
        <f aca="false">IF(OR(W90="",F90=""),"",W90/(1+F90))</f>
        <v>17.1081081081081</v>
      </c>
      <c r="Y90" s="42" t="n">
        <f aca="false">IF(OR(H90="",H90=0,X90="",X90=0),"",H90/X90)</f>
        <v>0.510807503949447</v>
      </c>
    </row>
    <row r="91" customFormat="false" ht="15" hidden="false" customHeight="true" outlineLevel="0" collapsed="false">
      <c r="A91" s="5" t="s">
        <v>723</v>
      </c>
      <c r="B91" s="5" t="s">
        <v>412</v>
      </c>
      <c r="C91" s="5" t="s">
        <v>389</v>
      </c>
      <c r="D91" s="5" t="s">
        <v>645</v>
      </c>
      <c r="E91" s="5" t="s">
        <v>643</v>
      </c>
      <c r="F91" s="28" t="n">
        <f aca="false">IF(E91="","",IF(E91="DRINKS",0.21,0.11))</f>
        <v>0.11</v>
      </c>
      <c r="G91" s="29" t="n">
        <f aca="false">IF(B91="","",SUMIF(RETETAR!A:A,B91,RETETAR!F:F))</f>
        <v>8.73895</v>
      </c>
      <c r="H91" s="30" t="n">
        <f aca="false">IF(B91="","",SUMIF(RETETAR!A:A,B91,RETETAR!H:H))</f>
        <v>8.73895</v>
      </c>
      <c r="I91" s="31" t="n">
        <v>20.5</v>
      </c>
      <c r="J91" s="32" t="n">
        <f aca="false">IF(OR(I91="",F91=""),"",I91/(1+F91))</f>
        <v>18.4684684684685</v>
      </c>
      <c r="K91" s="33" t="n">
        <f aca="false">IF(OR(G91="",G91=0,J91="",J91=0),"",G91/J91)</f>
        <v>0.473182170731707</v>
      </c>
      <c r="L91" s="34" t="n">
        <f aca="false">IF(OR(H91="",H91=0,J91="",J91=0),"",H91/J91)</f>
        <v>0.473182170731707</v>
      </c>
      <c r="M91" s="35"/>
      <c r="N91" s="36" t="n">
        <v>0.25</v>
      </c>
      <c r="O91" s="36" t="n">
        <v>0.25</v>
      </c>
      <c r="P91" s="36" t="n">
        <v>0.49</v>
      </c>
      <c r="Q91" s="37" t="n">
        <f aca="false">IF(I91="","",I91+N(N91))</f>
        <v>20.75</v>
      </c>
      <c r="R91" s="37" t="n">
        <f aca="false">IF(OR(Q91="",F91=""),"",Q91/(1+F91))</f>
        <v>18.6936936936937</v>
      </c>
      <c r="S91" s="38" t="n">
        <f aca="false">IF(OR(H91="",H91=0,R91="",R91=0),"",H91/R91)</f>
        <v>0.467481180722892</v>
      </c>
      <c r="T91" s="39" t="n">
        <f aca="false">IF(I91="","",I91+N(N91+O91))</f>
        <v>21</v>
      </c>
      <c r="U91" s="39" t="n">
        <f aca="false">IF(OR(T91="",F91=""),"",T91/(1+F91))</f>
        <v>18.9189189189189</v>
      </c>
      <c r="V91" s="40" t="n">
        <f aca="false">IF(OR(H91="",H91=0,U91="",U91=0),"",H91/U91)</f>
        <v>0.461915928571429</v>
      </c>
      <c r="W91" s="41" t="n">
        <f aca="false">IF(I91="","",I91+N(N91+O91+P91))</f>
        <v>21.49</v>
      </c>
      <c r="X91" s="41" t="n">
        <f aca="false">IF(OR(W91="",F91=""),"",W91/(1+F91))</f>
        <v>19.3603603603604</v>
      </c>
      <c r="Y91" s="42" t="n">
        <f aca="false">IF(OR(H91="",H91=0,X91="",X91=0),"",H91/X91)</f>
        <v>0.451383643555142</v>
      </c>
    </row>
    <row r="92" customFormat="false" ht="15" hidden="false" customHeight="true" outlineLevel="0" collapsed="false">
      <c r="A92" s="5" t="s">
        <v>724</v>
      </c>
      <c r="B92" s="5" t="s">
        <v>413</v>
      </c>
      <c r="C92" s="5" t="s">
        <v>389</v>
      </c>
      <c r="D92" s="5" t="s">
        <v>642</v>
      </c>
      <c r="E92" s="5" t="s">
        <v>643</v>
      </c>
      <c r="F92" s="28" t="n">
        <f aca="false">IF(E92="","",IF(E92="DRINKS",0.21,0.11))</f>
        <v>0.11</v>
      </c>
      <c r="G92" s="29" t="n">
        <f aca="false">IF(B92="","",SUMIF(RETETAR!A:A,B92,RETETAR!F:F))</f>
        <v>11.6096</v>
      </c>
      <c r="H92" s="30" t="n">
        <f aca="false">IF(B92="","",SUMIF(RETETAR!A:A,B92,RETETAR!H:H))</f>
        <v>11.6096</v>
      </c>
      <c r="I92" s="31" t="n">
        <v>24</v>
      </c>
      <c r="J92" s="32" t="n">
        <f aca="false">IF(OR(I92="",F92=""),"",I92/(1+F92))</f>
        <v>21.6216216216216</v>
      </c>
      <c r="K92" s="33" t="n">
        <f aca="false">IF(OR(G92="",G92=0,J92="",J92=0),"",G92/J92)</f>
        <v>0.536944</v>
      </c>
      <c r="L92" s="34" t="n">
        <f aca="false">IF(OR(H92="",H92=0,J92="",J92=0),"",H92/J92)</f>
        <v>0.536944</v>
      </c>
      <c r="M92" s="35"/>
      <c r="N92" s="36" t="n">
        <v>0.25</v>
      </c>
      <c r="O92" s="36" t="n">
        <v>0.25</v>
      </c>
      <c r="P92" s="36" t="n">
        <v>0.49</v>
      </c>
      <c r="Q92" s="37" t="n">
        <f aca="false">IF(I92="","",I92+N(N92))</f>
        <v>24.25</v>
      </c>
      <c r="R92" s="37" t="n">
        <f aca="false">IF(OR(Q92="",F92=""),"",Q92/(1+F92))</f>
        <v>21.8468468468468</v>
      </c>
      <c r="S92" s="38" t="n">
        <f aca="false">IF(OR(H92="",H92=0,R92="",R92=0),"",H92/R92)</f>
        <v>0.531408494845361</v>
      </c>
      <c r="T92" s="39" t="n">
        <f aca="false">IF(I92="","",I92+N(N92+O92))</f>
        <v>24.5</v>
      </c>
      <c r="U92" s="39" t="n">
        <f aca="false">IF(OR(T92="",F92=""),"",T92/(1+F92))</f>
        <v>22.0720720720721</v>
      </c>
      <c r="V92" s="40" t="n">
        <f aca="false">IF(OR(H92="",H92=0,U92="",U92=0),"",H92/U92)</f>
        <v>0.525985959183674</v>
      </c>
      <c r="W92" s="41" t="n">
        <f aca="false">IF(I92="","",I92+N(N92+O92+P92))</f>
        <v>24.99</v>
      </c>
      <c r="X92" s="41" t="n">
        <f aca="false">IF(OR(W92="",F92=""),"",W92/(1+F92))</f>
        <v>22.5135135135135</v>
      </c>
      <c r="Y92" s="42" t="n">
        <f aca="false">IF(OR(H92="",H92=0,X92="",X92=0),"",H92/X92)</f>
        <v>0.515672509003602</v>
      </c>
    </row>
    <row r="93" customFormat="false" ht="15" hidden="false" customHeight="true" outlineLevel="0" collapsed="false">
      <c r="A93" s="5" t="s">
        <v>725</v>
      </c>
      <c r="B93" s="5" t="s">
        <v>414</v>
      </c>
      <c r="C93" s="5" t="s">
        <v>389</v>
      </c>
      <c r="D93" s="5" t="s">
        <v>645</v>
      </c>
      <c r="E93" s="5" t="s">
        <v>643</v>
      </c>
      <c r="F93" s="28" t="n">
        <f aca="false">IF(E93="","",IF(E93="DRINKS",0.21,0.11))</f>
        <v>0.11</v>
      </c>
      <c r="G93" s="29" t="n">
        <f aca="false">IF(B93="","",SUMIF(RETETAR!A:A,B93,RETETAR!F:F))</f>
        <v>11.6096</v>
      </c>
      <c r="H93" s="30" t="n">
        <f aca="false">IF(B93="","",SUMIF(RETETAR!A:A,B93,RETETAR!H:H))</f>
        <v>11.6096</v>
      </c>
      <c r="I93" s="31" t="n">
        <v>28</v>
      </c>
      <c r="J93" s="32" t="n">
        <f aca="false">IF(OR(I93="",F93=""),"",I93/(1+F93))</f>
        <v>25.2252252252252</v>
      </c>
      <c r="K93" s="33" t="n">
        <f aca="false">IF(OR(G93="",G93=0,J93="",J93=0),"",G93/J93)</f>
        <v>0.460237714285714</v>
      </c>
      <c r="L93" s="34" t="n">
        <f aca="false">IF(OR(H93="",H93=0,J93="",J93=0),"",H93/J93)</f>
        <v>0.460237714285714</v>
      </c>
      <c r="M93" s="35"/>
      <c r="N93" s="36" t="n">
        <v>0.25</v>
      </c>
      <c r="O93" s="36" t="n">
        <v>0.25</v>
      </c>
      <c r="P93" s="36" t="n">
        <v>0.49</v>
      </c>
      <c r="Q93" s="37" t="n">
        <f aca="false">IF(I93="","",I93+N(N93))</f>
        <v>28.25</v>
      </c>
      <c r="R93" s="37" t="n">
        <f aca="false">IF(OR(Q93="",F93=""),"",Q93/(1+F93))</f>
        <v>25.4504504504504</v>
      </c>
      <c r="S93" s="38" t="n">
        <f aca="false">IF(OR(H93="",H93=0,R93="",R93=0),"",H93/R93)</f>
        <v>0.456164814159292</v>
      </c>
      <c r="T93" s="39" t="n">
        <f aca="false">IF(I93="","",I93+N(N93+O93))</f>
        <v>28.5</v>
      </c>
      <c r="U93" s="39" t="n">
        <f aca="false">IF(OR(T93="",F93=""),"",T93/(1+F93))</f>
        <v>25.6756756756757</v>
      </c>
      <c r="V93" s="40" t="n">
        <f aca="false">IF(OR(H93="",H93=0,U93="",U93=0),"",H93/U93)</f>
        <v>0.452163368421053</v>
      </c>
      <c r="W93" s="41" t="n">
        <f aca="false">IF(I93="","",I93+N(N93+O93+P93))</f>
        <v>28.99</v>
      </c>
      <c r="X93" s="41" t="n">
        <f aca="false">IF(OR(W93="",F93=""),"",W93/(1+F93))</f>
        <v>26.1171171171171</v>
      </c>
      <c r="Y93" s="42" t="n">
        <f aca="false">IF(OR(H93="",H93=0,X93="",X93=0),"",H93/X93)</f>
        <v>0.444520731286651</v>
      </c>
    </row>
    <row r="94" customFormat="false" ht="15" hidden="false" customHeight="true" outlineLevel="0" collapsed="false">
      <c r="A94" s="5" t="s">
        <v>726</v>
      </c>
      <c r="B94" s="5" t="s">
        <v>415</v>
      </c>
      <c r="C94" s="5" t="s">
        <v>389</v>
      </c>
      <c r="D94" s="5" t="s">
        <v>642</v>
      </c>
      <c r="E94" s="5" t="s">
        <v>643</v>
      </c>
      <c r="F94" s="28" t="n">
        <f aca="false">IF(E94="","",IF(E94="DRINKS",0.21,0.11))</f>
        <v>0.11</v>
      </c>
      <c r="G94" s="29" t="n">
        <f aca="false">IF(B94="","",SUMIF(RETETAR!A:A,B94,RETETAR!F:F))</f>
        <v>14.48025</v>
      </c>
      <c r="H94" s="30" t="n">
        <f aca="false">IF(B94="","",SUMIF(RETETAR!A:A,B94,RETETAR!H:H))</f>
        <v>14.48025</v>
      </c>
      <c r="I94" s="31" t="n">
        <v>30</v>
      </c>
      <c r="J94" s="32" t="n">
        <f aca="false">IF(OR(I94="",F94=""),"",I94/(1+F94))</f>
        <v>27.027027027027</v>
      </c>
      <c r="K94" s="33" t="n">
        <f aca="false">IF(OR(G94="",G94=0,J94="",J94=0),"",G94/J94)</f>
        <v>0.53576925</v>
      </c>
      <c r="L94" s="34" t="n">
        <f aca="false">IF(OR(H94="",H94=0,J94="",J94=0),"",H94/J94)</f>
        <v>0.53576925</v>
      </c>
      <c r="M94" s="35"/>
      <c r="N94" s="36" t="n">
        <v>0.25</v>
      </c>
      <c r="O94" s="36" t="n">
        <v>0.25</v>
      </c>
      <c r="P94" s="36" t="n">
        <v>0.49</v>
      </c>
      <c r="Q94" s="37" t="n">
        <f aca="false">IF(I94="","",I94+N(N94))</f>
        <v>30.25</v>
      </c>
      <c r="R94" s="37" t="n">
        <f aca="false">IF(OR(Q94="",F94=""),"",Q94/(1+F94))</f>
        <v>27.2522522522523</v>
      </c>
      <c r="S94" s="38" t="n">
        <f aca="false">IF(OR(H94="",H94=0,R94="",R94=0),"",H94/R94)</f>
        <v>0.531341404958678</v>
      </c>
      <c r="T94" s="39" t="n">
        <f aca="false">IF(I94="","",I94+N(N94+O94))</f>
        <v>30.5</v>
      </c>
      <c r="U94" s="39" t="n">
        <f aca="false">IF(OR(T94="",F94=""),"",T94/(1+F94))</f>
        <v>27.4774774774775</v>
      </c>
      <c r="V94" s="40" t="n">
        <f aca="false">IF(OR(H94="",H94=0,U94="",U94=0),"",H94/U94)</f>
        <v>0.526986147540984</v>
      </c>
      <c r="W94" s="41" t="n">
        <f aca="false">IF(I94="","",I94+N(N94+O94+P94))</f>
        <v>30.99</v>
      </c>
      <c r="X94" s="41" t="n">
        <f aca="false">IF(OR(W94="",F94=""),"",W94/(1+F94))</f>
        <v>27.9189189189189</v>
      </c>
      <c r="Y94" s="42" t="n">
        <f aca="false">IF(OR(H94="",H94=0,X94="",X94=0),"",H94/X94)</f>
        <v>0.518653678606002</v>
      </c>
    </row>
    <row r="95" customFormat="false" ht="15" hidden="false" customHeight="true" outlineLevel="0" collapsed="false">
      <c r="A95" s="5" t="s">
        <v>727</v>
      </c>
      <c r="B95" s="5" t="s">
        <v>416</v>
      </c>
      <c r="C95" s="5" t="s">
        <v>389</v>
      </c>
      <c r="D95" s="5" t="s">
        <v>645</v>
      </c>
      <c r="E95" s="5" t="s">
        <v>643</v>
      </c>
      <c r="F95" s="28" t="n">
        <f aca="false">IF(E95="","",IF(E95="DRINKS",0.21,0.11))</f>
        <v>0.11</v>
      </c>
      <c r="G95" s="29" t="n">
        <f aca="false">IF(B95="","",SUMIF(RETETAR!A:A,B95,RETETAR!F:F))</f>
        <v>14.48025</v>
      </c>
      <c r="H95" s="30" t="n">
        <f aca="false">IF(B95="","",SUMIF(RETETAR!A:A,B95,RETETAR!H:H))</f>
        <v>14.48025</v>
      </c>
      <c r="I95" s="31" t="n">
        <v>34</v>
      </c>
      <c r="J95" s="32" t="n">
        <f aca="false">IF(OR(I95="",F95=""),"",I95/(1+F95))</f>
        <v>30.6306306306306</v>
      </c>
      <c r="K95" s="33" t="n">
        <f aca="false">IF(OR(G95="",G95=0,J95="",J95=0),"",G95/J95)</f>
        <v>0.472737573529412</v>
      </c>
      <c r="L95" s="34" t="n">
        <f aca="false">IF(OR(H95="",H95=0,J95="",J95=0),"",H95/J95)</f>
        <v>0.472737573529412</v>
      </c>
      <c r="M95" s="35"/>
      <c r="N95" s="36" t="n">
        <v>0.25</v>
      </c>
      <c r="O95" s="36" t="n">
        <v>0.25</v>
      </c>
      <c r="P95" s="36" t="n">
        <v>0.49</v>
      </c>
      <c r="Q95" s="37" t="n">
        <f aca="false">IF(I95="","",I95+N(N95))</f>
        <v>34.25</v>
      </c>
      <c r="R95" s="37" t="n">
        <f aca="false">IF(OR(Q95="",F95=""),"",Q95/(1+F95))</f>
        <v>30.8558558558559</v>
      </c>
      <c r="S95" s="38" t="n">
        <f aca="false">IF(OR(H95="",H95=0,R95="",R95=0),"",H95/R95)</f>
        <v>0.469286934306569</v>
      </c>
      <c r="T95" s="39" t="n">
        <f aca="false">IF(I95="","",I95+N(N95+O95))</f>
        <v>34.5</v>
      </c>
      <c r="U95" s="39" t="n">
        <f aca="false">IF(OR(T95="",F95=""),"",T95/(1+F95))</f>
        <v>31.0810810810811</v>
      </c>
      <c r="V95" s="40" t="n">
        <f aca="false">IF(OR(H95="",H95=0,U95="",U95=0),"",H95/U95)</f>
        <v>0.465886304347826</v>
      </c>
      <c r="W95" s="41" t="n">
        <f aca="false">IF(I95="","",I95+N(N95+O95+P95))</f>
        <v>34.99</v>
      </c>
      <c r="X95" s="41" t="n">
        <f aca="false">IF(OR(W95="",F95=""),"",W95/(1+F95))</f>
        <v>31.5225225225225</v>
      </c>
      <c r="Y95" s="42" t="n">
        <f aca="false">IF(OR(H95="",H95=0,X95="",X95=0),"",H95/X95)</f>
        <v>0.459362032009146</v>
      </c>
    </row>
    <row r="96" customFormat="false" ht="15" hidden="false" customHeight="true" outlineLevel="0" collapsed="false">
      <c r="A96" s="5" t="s">
        <v>728</v>
      </c>
      <c r="B96" s="5" t="s">
        <v>417</v>
      </c>
      <c r="C96" s="5" t="s">
        <v>389</v>
      </c>
      <c r="D96" s="5" t="s">
        <v>642</v>
      </c>
      <c r="E96" s="5" t="s">
        <v>643</v>
      </c>
      <c r="F96" s="28" t="n">
        <f aca="false">IF(E96="","",IF(E96="DRINKS",0.21,0.11))</f>
        <v>0.11</v>
      </c>
      <c r="G96" s="29" t="n">
        <f aca="false">IF(B96="","",SUMIF(RETETAR!A:A,B96,RETETAR!F:F))</f>
        <v>59.473</v>
      </c>
      <c r="H96" s="30" t="n">
        <f aca="false">IF(B96="","",SUMIF(RETETAR!A:A,B96,RETETAR!H:H))</f>
        <v>59.473</v>
      </c>
      <c r="I96" s="31" t="n">
        <v>100</v>
      </c>
      <c r="J96" s="32" t="n">
        <f aca="false">IF(OR(I96="",F96=""),"",I96/(1+F96))</f>
        <v>90.0900900900901</v>
      </c>
      <c r="K96" s="33" t="n">
        <f aca="false">IF(OR(G96="",G96=0,J96="",J96=0),"",G96/J96)</f>
        <v>0.6601503</v>
      </c>
      <c r="L96" s="34" t="n">
        <f aca="false">IF(OR(H96="",H96=0,J96="",J96=0),"",H96/J96)</f>
        <v>0.6601503</v>
      </c>
      <c r="M96" s="35"/>
      <c r="N96" s="36" t="n">
        <v>0.99</v>
      </c>
      <c r="O96" s="36" t="n">
        <v>0</v>
      </c>
      <c r="P96" s="36" t="n">
        <v>0</v>
      </c>
      <c r="Q96" s="37" t="n">
        <f aca="false">IF(I96="","",I96+N(N96))</f>
        <v>100.99</v>
      </c>
      <c r="R96" s="37" t="n">
        <f aca="false">IF(OR(Q96="",F96=""),"",Q96/(1+F96))</f>
        <v>90.981981981982</v>
      </c>
      <c r="S96" s="38" t="n">
        <f aca="false">IF(OR(H96="",H96=0,R96="",R96=0),"",H96/R96)</f>
        <v>0.65367887909694</v>
      </c>
      <c r="T96" s="39" t="n">
        <f aca="false">IF(I96="","",I96+N(N96+O96))</f>
        <v>100.99</v>
      </c>
      <c r="U96" s="39" t="n">
        <f aca="false">IF(OR(T96="",F96=""),"",T96/(1+F96))</f>
        <v>90.981981981982</v>
      </c>
      <c r="V96" s="40" t="n">
        <f aca="false">IF(OR(H96="",H96=0,U96="",U96=0),"",H96/U96)</f>
        <v>0.65367887909694</v>
      </c>
      <c r="W96" s="41" t="n">
        <f aca="false">IF(I96="","",I96+N(N96+O96+P96))</f>
        <v>100.99</v>
      </c>
      <c r="X96" s="41" t="n">
        <f aca="false">IF(OR(W96="",F96=""),"",W96/(1+F96))</f>
        <v>90.981981981982</v>
      </c>
      <c r="Y96" s="42" t="n">
        <f aca="false">IF(OR(H96="",H96=0,X96="",X96=0),"",H96/X96)</f>
        <v>0.65367887909694</v>
      </c>
    </row>
    <row r="97" customFormat="false" ht="15" hidden="false" customHeight="true" outlineLevel="0" collapsed="false">
      <c r="A97" s="5" t="s">
        <v>729</v>
      </c>
      <c r="B97" s="5" t="s">
        <v>418</v>
      </c>
      <c r="C97" s="5" t="s">
        <v>389</v>
      </c>
      <c r="D97" s="5" t="s">
        <v>645</v>
      </c>
      <c r="E97" s="5" t="s">
        <v>643</v>
      </c>
      <c r="F97" s="28" t="n">
        <f aca="false">IF(E97="","",IF(E97="DRINKS",0.21,0.11))</f>
        <v>0.11</v>
      </c>
      <c r="G97" s="29" t="n">
        <f aca="false">IF(B97="","",SUMIF(RETETAR!A:A,B97,RETETAR!F:F))</f>
        <v>59.473</v>
      </c>
      <c r="H97" s="30" t="n">
        <f aca="false">IF(B97="","",SUMIF(RETETAR!A:A,B97,RETETAR!H:H))</f>
        <v>59.473</v>
      </c>
      <c r="I97" s="31" t="n">
        <v>120</v>
      </c>
      <c r="J97" s="32" t="n">
        <f aca="false">IF(OR(I97="",F97=""),"",I97/(1+F97))</f>
        <v>108.108108108108</v>
      </c>
      <c r="K97" s="33" t="n">
        <f aca="false">IF(OR(G97="",G97=0,J97="",J97=0),"",G97/J97)</f>
        <v>0.55012525</v>
      </c>
      <c r="L97" s="34" t="n">
        <f aca="false">IF(OR(H97="",H97=0,J97="",J97=0),"",H97/J97)</f>
        <v>0.55012525</v>
      </c>
      <c r="M97" s="35"/>
      <c r="N97" s="36" t="n">
        <v>0.99</v>
      </c>
      <c r="O97" s="36" t="n">
        <v>0</v>
      </c>
      <c r="P97" s="36" t="n">
        <v>0</v>
      </c>
      <c r="Q97" s="37" t="n">
        <f aca="false">IF(I97="","",I97+N(N97))</f>
        <v>120.99</v>
      </c>
      <c r="R97" s="37" t="n">
        <f aca="false">IF(OR(Q97="",F97=""),"",Q97/(1+F97))</f>
        <v>109</v>
      </c>
      <c r="S97" s="38" t="n">
        <f aca="false">IF(OR(H97="",H97=0,R97="",R97=0),"",H97/R97)</f>
        <v>0.545623853211009</v>
      </c>
      <c r="T97" s="39" t="n">
        <f aca="false">IF(I97="","",I97+N(N97+O97))</f>
        <v>120.99</v>
      </c>
      <c r="U97" s="39" t="n">
        <f aca="false">IF(OR(T97="",F97=""),"",T97/(1+F97))</f>
        <v>109</v>
      </c>
      <c r="V97" s="40" t="n">
        <f aca="false">IF(OR(H97="",H97=0,U97="",U97=0),"",H97/U97)</f>
        <v>0.545623853211009</v>
      </c>
      <c r="W97" s="41" t="n">
        <f aca="false">IF(I97="","",I97+N(N97+O97+P97))</f>
        <v>120.99</v>
      </c>
      <c r="X97" s="41" t="n">
        <f aca="false">IF(OR(W97="",F97=""),"",W97/(1+F97))</f>
        <v>109</v>
      </c>
      <c r="Y97" s="42" t="n">
        <f aca="false">IF(OR(H97="",H97=0,X97="",X97=0),"",H97/X97)</f>
        <v>0.545623853211009</v>
      </c>
    </row>
    <row r="98" customFormat="false" ht="15" hidden="false" customHeight="true" outlineLevel="0" collapsed="false">
      <c r="A98" s="5" t="s">
        <v>730</v>
      </c>
      <c r="B98" s="5" t="s">
        <v>419</v>
      </c>
      <c r="C98" s="5" t="s">
        <v>389</v>
      </c>
      <c r="D98" s="5" t="s">
        <v>642</v>
      </c>
      <c r="E98" s="5" t="s">
        <v>643</v>
      </c>
      <c r="F98" s="28" t="n">
        <f aca="false">IF(E98="","",IF(E98="DRINKS",0.21,0.11))</f>
        <v>0.11</v>
      </c>
      <c r="G98" s="29" t="n">
        <f aca="false">IF(B98="","",SUMIF(RETETAR!A:A,B98,RETETAR!F:F))</f>
        <v>45.8249</v>
      </c>
      <c r="H98" s="30" t="n">
        <f aca="false">IF(B98="","",SUMIF(RETETAR!A:A,B98,RETETAR!H:H))</f>
        <v>45.8249</v>
      </c>
      <c r="I98" s="31" t="n">
        <v>100</v>
      </c>
      <c r="J98" s="32" t="n">
        <f aca="false">IF(OR(I98="",F98=""),"",I98/(1+F98))</f>
        <v>90.0900900900901</v>
      </c>
      <c r="K98" s="33" t="n">
        <f aca="false">IF(OR(G98="",G98=0,J98="",J98=0),"",G98/J98)</f>
        <v>0.50865639</v>
      </c>
      <c r="L98" s="34" t="n">
        <f aca="false">IF(OR(H98="",H98=0,J98="",J98=0),"",H98/J98)</f>
        <v>0.50865639</v>
      </c>
      <c r="M98" s="35"/>
      <c r="N98" s="36" t="n">
        <v>0.99</v>
      </c>
      <c r="O98" s="36" t="n">
        <v>0</v>
      </c>
      <c r="P98" s="36" t="n">
        <v>0</v>
      </c>
      <c r="Q98" s="37" t="n">
        <f aca="false">IF(I98="","",I98+N(N98))</f>
        <v>100.99</v>
      </c>
      <c r="R98" s="37" t="n">
        <f aca="false">IF(OR(Q98="",F98=""),"",Q98/(1+F98))</f>
        <v>90.981981981982</v>
      </c>
      <c r="S98" s="38" t="n">
        <f aca="false">IF(OR(H98="",H98=0,R98="",R98=0),"",H98/R98)</f>
        <v>0.503670056441232</v>
      </c>
      <c r="T98" s="39" t="n">
        <f aca="false">IF(I98="","",I98+N(N98+O98))</f>
        <v>100.99</v>
      </c>
      <c r="U98" s="39" t="n">
        <f aca="false">IF(OR(T98="",F98=""),"",T98/(1+F98))</f>
        <v>90.981981981982</v>
      </c>
      <c r="V98" s="40" t="n">
        <f aca="false">IF(OR(H98="",H98=0,U98="",U98=0),"",H98/U98)</f>
        <v>0.503670056441232</v>
      </c>
      <c r="W98" s="41" t="n">
        <f aca="false">IF(I98="","",I98+N(N98+O98+P98))</f>
        <v>100.99</v>
      </c>
      <c r="X98" s="41" t="n">
        <f aca="false">IF(OR(W98="",F98=""),"",W98/(1+F98))</f>
        <v>90.981981981982</v>
      </c>
      <c r="Y98" s="42" t="n">
        <f aca="false">IF(OR(H98="",H98=0,X98="",X98=0),"",H98/X98)</f>
        <v>0.503670056441232</v>
      </c>
    </row>
    <row r="99" customFormat="false" ht="15" hidden="false" customHeight="true" outlineLevel="0" collapsed="false">
      <c r="A99" s="5" t="s">
        <v>731</v>
      </c>
      <c r="B99" s="5" t="s">
        <v>420</v>
      </c>
      <c r="C99" s="5" t="s">
        <v>389</v>
      </c>
      <c r="D99" s="5" t="s">
        <v>645</v>
      </c>
      <c r="E99" s="5" t="s">
        <v>643</v>
      </c>
      <c r="F99" s="28" t="n">
        <f aca="false">IF(E99="","",IF(E99="DRINKS",0.21,0.11))</f>
        <v>0.11</v>
      </c>
      <c r="G99" s="29" t="n">
        <f aca="false">IF(B99="","",SUMIF(RETETAR!A:A,B99,RETETAR!F:F))</f>
        <v>45.8249</v>
      </c>
      <c r="H99" s="30" t="n">
        <f aca="false">IF(B99="","",SUMIF(RETETAR!A:A,B99,RETETAR!H:H))</f>
        <v>45.8249</v>
      </c>
      <c r="I99" s="31" t="n">
        <v>120</v>
      </c>
      <c r="J99" s="32" t="n">
        <f aca="false">IF(OR(I99="",F99=""),"",I99/(1+F99))</f>
        <v>108.108108108108</v>
      </c>
      <c r="K99" s="33" t="n">
        <f aca="false">IF(OR(G99="",G99=0,J99="",J99=0),"",G99/J99)</f>
        <v>0.423880325</v>
      </c>
      <c r="L99" s="34" t="n">
        <f aca="false">IF(OR(H99="",H99=0,J99="",J99=0),"",H99/J99)</f>
        <v>0.423880325</v>
      </c>
      <c r="M99" s="35"/>
      <c r="N99" s="36" t="n">
        <v>0.99</v>
      </c>
      <c r="O99" s="36" t="n">
        <v>0</v>
      </c>
      <c r="P99" s="36" t="n">
        <v>0</v>
      </c>
      <c r="Q99" s="37" t="n">
        <f aca="false">IF(I99="","",I99+N(N99))</f>
        <v>120.99</v>
      </c>
      <c r="R99" s="37" t="n">
        <f aca="false">IF(OR(Q99="",F99=""),"",Q99/(1+F99))</f>
        <v>109</v>
      </c>
      <c r="S99" s="38" t="n">
        <f aca="false">IF(OR(H99="",H99=0,R99="",R99=0),"",H99/R99)</f>
        <v>0.420411926605505</v>
      </c>
      <c r="T99" s="39" t="n">
        <f aca="false">IF(I99="","",I99+N(N99+O99))</f>
        <v>120.99</v>
      </c>
      <c r="U99" s="39" t="n">
        <f aca="false">IF(OR(T99="",F99=""),"",T99/(1+F99))</f>
        <v>109</v>
      </c>
      <c r="V99" s="40" t="n">
        <f aca="false">IF(OR(H99="",H99=0,U99="",U99=0),"",H99/U99)</f>
        <v>0.420411926605505</v>
      </c>
      <c r="W99" s="41" t="n">
        <f aca="false">IF(I99="","",I99+N(N99+O99+P99))</f>
        <v>120.99</v>
      </c>
      <c r="X99" s="41" t="n">
        <f aca="false">IF(OR(W99="",F99=""),"",W99/(1+F99))</f>
        <v>109</v>
      </c>
      <c r="Y99" s="42" t="n">
        <f aca="false">IF(OR(H99="",H99=0,X99="",X99=0),"",H99/X99)</f>
        <v>0.420411926605505</v>
      </c>
    </row>
    <row r="100" customFormat="false" ht="15" hidden="false" customHeight="true" outlineLevel="0" collapsed="false">
      <c r="A100" s="5" t="s">
        <v>732</v>
      </c>
      <c r="B100" s="5" t="s">
        <v>421</v>
      </c>
      <c r="C100" s="5" t="s">
        <v>389</v>
      </c>
      <c r="D100" s="5" t="s">
        <v>642</v>
      </c>
      <c r="E100" s="5" t="s">
        <v>643</v>
      </c>
      <c r="F100" s="28" t="n">
        <f aca="false">IF(E100="","",IF(E100="DRINKS",0.21,0.11))</f>
        <v>0.11</v>
      </c>
      <c r="G100" s="29" t="n">
        <f aca="false">IF(B100="","",SUMIF(RETETAR!A:A,B100,RETETAR!F:F))</f>
        <v>49.4189</v>
      </c>
      <c r="H100" s="30" t="n">
        <f aca="false">IF(B100="","",SUMIF(RETETAR!A:A,B100,RETETAR!H:H))</f>
        <v>49.4189</v>
      </c>
      <c r="I100" s="31" t="n">
        <v>100</v>
      </c>
      <c r="J100" s="32" t="n">
        <f aca="false">IF(OR(I100="",F100=""),"",I100/(1+F100))</f>
        <v>90.0900900900901</v>
      </c>
      <c r="K100" s="33" t="n">
        <f aca="false">IF(OR(G100="",G100=0,J100="",J100=0),"",G100/J100)</f>
        <v>0.54854979</v>
      </c>
      <c r="L100" s="34" t="n">
        <f aca="false">IF(OR(H100="",H100=0,J100="",J100=0),"",H100/J100)</f>
        <v>0.54854979</v>
      </c>
      <c r="M100" s="35"/>
      <c r="N100" s="36" t="n">
        <v>0.99</v>
      </c>
      <c r="O100" s="36" t="n">
        <v>0</v>
      </c>
      <c r="P100" s="36" t="n">
        <v>0</v>
      </c>
      <c r="Q100" s="37" t="n">
        <f aca="false">IF(I100="","",I100+N(N100))</f>
        <v>100.99</v>
      </c>
      <c r="R100" s="37" t="n">
        <f aca="false">IF(OR(Q100="",F100=""),"",Q100/(1+F100))</f>
        <v>90.981981981982</v>
      </c>
      <c r="S100" s="38" t="n">
        <f aca="false">IF(OR(H100="",H100=0,R100="",R100=0),"",H100/R100)</f>
        <v>0.543172383404298</v>
      </c>
      <c r="T100" s="39" t="n">
        <f aca="false">IF(I100="","",I100+N(N100+O100))</f>
        <v>100.99</v>
      </c>
      <c r="U100" s="39" t="n">
        <f aca="false">IF(OR(T100="",F100=""),"",T100/(1+F100))</f>
        <v>90.981981981982</v>
      </c>
      <c r="V100" s="40" t="n">
        <f aca="false">IF(OR(H100="",H100=0,U100="",U100=0),"",H100/U100)</f>
        <v>0.543172383404298</v>
      </c>
      <c r="W100" s="41" t="n">
        <f aca="false">IF(I100="","",I100+N(N100+O100+P100))</f>
        <v>100.99</v>
      </c>
      <c r="X100" s="41" t="n">
        <f aca="false">IF(OR(W100="",F100=""),"",W100/(1+F100))</f>
        <v>90.981981981982</v>
      </c>
      <c r="Y100" s="42" t="n">
        <f aca="false">IF(OR(H100="",H100=0,X100="",X100=0),"",H100/X100)</f>
        <v>0.543172383404298</v>
      </c>
    </row>
    <row r="101" customFormat="false" ht="15" hidden="false" customHeight="true" outlineLevel="0" collapsed="false">
      <c r="A101" s="5" t="s">
        <v>733</v>
      </c>
      <c r="B101" s="5" t="s">
        <v>422</v>
      </c>
      <c r="C101" s="5" t="s">
        <v>389</v>
      </c>
      <c r="D101" s="5" t="s">
        <v>645</v>
      </c>
      <c r="E101" s="5" t="s">
        <v>643</v>
      </c>
      <c r="F101" s="28" t="n">
        <f aca="false">IF(E101="","",IF(E101="DRINKS",0.21,0.11))</f>
        <v>0.11</v>
      </c>
      <c r="G101" s="29" t="n">
        <f aca="false">IF(B101="","",SUMIF(RETETAR!A:A,B101,RETETAR!F:F))</f>
        <v>49.4189</v>
      </c>
      <c r="H101" s="30" t="n">
        <f aca="false">IF(B101="","",SUMIF(RETETAR!A:A,B101,RETETAR!H:H))</f>
        <v>49.4189</v>
      </c>
      <c r="I101" s="31" t="n">
        <v>120</v>
      </c>
      <c r="J101" s="32" t="n">
        <f aca="false">IF(OR(I101="",F101=""),"",I101/(1+F101))</f>
        <v>108.108108108108</v>
      </c>
      <c r="K101" s="33" t="n">
        <f aca="false">IF(OR(G101="",G101=0,J101="",J101=0),"",G101/J101)</f>
        <v>0.457124825</v>
      </c>
      <c r="L101" s="34" t="n">
        <f aca="false">IF(OR(H101="",H101=0,J101="",J101=0),"",H101/J101)</f>
        <v>0.457124825</v>
      </c>
      <c r="M101" s="35"/>
      <c r="N101" s="36" t="n">
        <v>0.99</v>
      </c>
      <c r="O101" s="36" t="n">
        <v>0</v>
      </c>
      <c r="P101" s="36" t="n">
        <v>0</v>
      </c>
      <c r="Q101" s="37" t="n">
        <f aca="false">IF(I101="","",I101+N(N101))</f>
        <v>120.99</v>
      </c>
      <c r="R101" s="37" t="n">
        <f aca="false">IF(OR(Q101="",F101=""),"",Q101/(1+F101))</f>
        <v>109</v>
      </c>
      <c r="S101" s="38" t="n">
        <f aca="false">IF(OR(H101="",H101=0,R101="",R101=0),"",H101/R101)</f>
        <v>0.453384403669725</v>
      </c>
      <c r="T101" s="39" t="n">
        <f aca="false">IF(I101="","",I101+N(N101+O101))</f>
        <v>120.99</v>
      </c>
      <c r="U101" s="39" t="n">
        <f aca="false">IF(OR(T101="",F101=""),"",T101/(1+F101))</f>
        <v>109</v>
      </c>
      <c r="V101" s="40" t="n">
        <f aca="false">IF(OR(H101="",H101=0,U101="",U101=0),"",H101/U101)</f>
        <v>0.453384403669725</v>
      </c>
      <c r="W101" s="41" t="n">
        <f aca="false">IF(I101="","",I101+N(N101+O101+P101))</f>
        <v>120.99</v>
      </c>
      <c r="X101" s="41" t="n">
        <f aca="false">IF(OR(W101="",F101=""),"",W101/(1+F101))</f>
        <v>109</v>
      </c>
      <c r="Y101" s="42" t="n">
        <f aca="false">IF(OR(H101="",H101=0,X101="",X101=0),"",H101/X101)</f>
        <v>0.453384403669725</v>
      </c>
    </row>
    <row r="102" customFormat="false" ht="15" hidden="false" customHeight="true" outlineLevel="0" collapsed="false">
      <c r="A102" s="5" t="s">
        <v>423</v>
      </c>
      <c r="B102" s="5" t="s">
        <v>423</v>
      </c>
      <c r="C102" s="5" t="s">
        <v>424</v>
      </c>
      <c r="D102" s="5" t="s">
        <v>642</v>
      </c>
      <c r="E102" s="5" t="s">
        <v>643</v>
      </c>
      <c r="F102" s="28" t="n">
        <f aca="false">IF(E102="","",IF(E102="DRINKS",0.21,0.11))</f>
        <v>0.11</v>
      </c>
      <c r="G102" s="29" t="n">
        <f aca="false">IF(B102="","",SUMIF(RETETAR!A:A,B102,RETETAR!F:F))</f>
        <v>3.784852</v>
      </c>
      <c r="H102" s="30" t="n">
        <f aca="false">IF(B102="","",SUMIF(RETETAR!A:A,B102,RETETAR!H:H))</f>
        <v>3.784852</v>
      </c>
      <c r="I102" s="31" t="n">
        <v>11.9</v>
      </c>
      <c r="J102" s="32" t="n">
        <f aca="false">IF(OR(I102="",F102=""),"",I102/(1+F102))</f>
        <v>10.7207207207207</v>
      </c>
      <c r="K102" s="33" t="n">
        <f aca="false">IF(OR(G102="",G102=0,J102="",J102=0),"",G102/J102)</f>
        <v>0.353040816806723</v>
      </c>
      <c r="L102" s="34" t="n">
        <f aca="false">IF(OR(H102="",H102=0,J102="",J102=0),"",H102/J102)</f>
        <v>0.353040816806723</v>
      </c>
      <c r="M102" s="35" t="s">
        <v>734</v>
      </c>
      <c r="N102" s="36" t="n">
        <v>0.25</v>
      </c>
      <c r="O102" s="36" t="n">
        <v>0.25</v>
      </c>
      <c r="P102" s="36" t="n">
        <v>0.49</v>
      </c>
      <c r="Q102" s="37" t="n">
        <f aca="false">IF(I102="","",I102+N(N102))</f>
        <v>12.15</v>
      </c>
      <c r="R102" s="37" t="n">
        <f aca="false">IF(OR(Q102="",F102=""),"",Q102/(1+F102))</f>
        <v>10.9459459459459</v>
      </c>
      <c r="S102" s="38" t="n">
        <f aca="false">IF(OR(H102="",H102=0,R102="",R102=0),"",H102/R102)</f>
        <v>0.345776602469136</v>
      </c>
      <c r="T102" s="39" t="n">
        <f aca="false">IF(I102="","",I102+N(N102+O102))</f>
        <v>12.4</v>
      </c>
      <c r="U102" s="39" t="n">
        <f aca="false">IF(OR(T102="",F102=""),"",T102/(1+F102))</f>
        <v>11.1711711711712</v>
      </c>
      <c r="V102" s="40" t="n">
        <f aca="false">IF(OR(H102="",H102=0,U102="",U102=0),"",H102/U102)</f>
        <v>0.3388053</v>
      </c>
      <c r="W102" s="41" t="n">
        <f aca="false">IF(I102="","",I102+N(N102+O102+P102))</f>
        <v>12.89</v>
      </c>
      <c r="X102" s="41" t="n">
        <f aca="false">IF(OR(W102="",F102=""),"",W102/(1+F102))</f>
        <v>11.6126126126126</v>
      </c>
      <c r="Y102" s="42" t="n">
        <f aca="false">IF(OR(H102="",H102=0,X102="",X102=0),"",H102/X102)</f>
        <v>0.325925967416602</v>
      </c>
    </row>
    <row r="103" customFormat="false" ht="15" hidden="false" customHeight="true" outlineLevel="0" collapsed="false">
      <c r="A103" s="5" t="s">
        <v>735</v>
      </c>
      <c r="B103" s="5" t="s">
        <v>425</v>
      </c>
      <c r="C103" s="5" t="s">
        <v>424</v>
      </c>
      <c r="D103" s="5" t="s">
        <v>642</v>
      </c>
      <c r="E103" s="5" t="s">
        <v>643</v>
      </c>
      <c r="F103" s="28" t="n">
        <f aca="false">IF(E103="","",IF(E103="DRINKS",0.21,0.11))</f>
        <v>0.11</v>
      </c>
      <c r="G103" s="29" t="n">
        <f aca="false">IF(B103="","",SUMIF(RETETAR!A:A,B103,RETETAR!F:F))</f>
        <v>4.207672</v>
      </c>
      <c r="H103" s="30" t="n">
        <f aca="false">IF(B103="","",SUMIF(RETETAR!A:A,B103,RETETAR!H:H))</f>
        <v>4.207672</v>
      </c>
      <c r="I103" s="31" t="n">
        <v>15</v>
      </c>
      <c r="J103" s="32" t="n">
        <f aca="false">IF(OR(I103="",F103=""),"",I103/(1+F103))</f>
        <v>13.5135135135135</v>
      </c>
      <c r="K103" s="33" t="n">
        <f aca="false">IF(OR(G103="",G103=0,J103="",J103=0),"",G103/J103)</f>
        <v>0.311367728</v>
      </c>
      <c r="L103" s="34" t="n">
        <f aca="false">IF(OR(H103="",H103=0,J103="",J103=0),"",H103/J103)</f>
        <v>0.311367728</v>
      </c>
      <c r="M103" s="35" t="s">
        <v>736</v>
      </c>
      <c r="N103" s="36" t="n">
        <v>0.25</v>
      </c>
      <c r="O103" s="36" t="n">
        <v>0.25</v>
      </c>
      <c r="P103" s="36" t="n">
        <v>0.49</v>
      </c>
      <c r="Q103" s="37" t="n">
        <f aca="false">IF(I103="","",I103+N(N103))</f>
        <v>15.25</v>
      </c>
      <c r="R103" s="37" t="n">
        <f aca="false">IF(OR(Q103="",F103=""),"",Q103/(1+F103))</f>
        <v>13.7387387387387</v>
      </c>
      <c r="S103" s="38" t="n">
        <f aca="false">IF(OR(H103="",H103=0,R103="",R103=0),"",H103/R103)</f>
        <v>0.306263339016393</v>
      </c>
      <c r="T103" s="39" t="n">
        <f aca="false">IF(I103="","",I103+N(N103+O103))</f>
        <v>15.5</v>
      </c>
      <c r="U103" s="39" t="n">
        <f aca="false">IF(OR(T103="",F103=""),"",T103/(1+F103))</f>
        <v>13.963963963964</v>
      </c>
      <c r="V103" s="40" t="n">
        <f aca="false">IF(OR(H103="",H103=0,U103="",U103=0),"",H103/U103)</f>
        <v>0.301323607741936</v>
      </c>
      <c r="W103" s="41" t="n">
        <f aca="false">IF(I103="","",I103+N(N103+O103+P103))</f>
        <v>15.99</v>
      </c>
      <c r="X103" s="41" t="n">
        <f aca="false">IF(OR(W103="",F103=""),"",W103/(1+F103))</f>
        <v>14.4054054054054</v>
      </c>
      <c r="Y103" s="42" t="n">
        <f aca="false">IF(OR(H103="",H103=0,X103="",X103=0),"",H103/X103)</f>
        <v>0.292089801125704</v>
      </c>
    </row>
    <row r="104" customFormat="false" ht="15" hidden="false" customHeight="true" outlineLevel="0" collapsed="false">
      <c r="A104" s="5" t="s">
        <v>737</v>
      </c>
      <c r="B104" s="5" t="s">
        <v>426</v>
      </c>
      <c r="C104" s="5" t="s">
        <v>424</v>
      </c>
      <c r="D104" s="5" t="s">
        <v>645</v>
      </c>
      <c r="E104" s="5" t="s">
        <v>643</v>
      </c>
      <c r="F104" s="28" t="n">
        <f aca="false">IF(E104="","",IF(E104="DRINKS",0.21,0.11))</f>
        <v>0.11</v>
      </c>
      <c r="G104" s="29" t="n">
        <f aca="false">IF(B104="","",SUMIF(RETETAR!A:A,B104,RETETAR!F:F))</f>
        <v>4.2076889</v>
      </c>
      <c r="H104" s="30" t="n">
        <f aca="false">IF(B104="","",SUMIF(RETETAR!A:A,B104,RETETAR!H:H))</f>
        <v>4.2076889</v>
      </c>
      <c r="I104" s="31" t="n">
        <v>13.65</v>
      </c>
      <c r="J104" s="32" t="n">
        <f aca="false">IF(OR(I104="",F104=""),"",I104/(1+F104))</f>
        <v>12.2972972972973</v>
      </c>
      <c r="K104" s="33" t="n">
        <f aca="false">IF(OR(G104="",G104=0,J104="",J104=0),"",G104/J104)</f>
        <v>0.342163712747253</v>
      </c>
      <c r="L104" s="34" t="n">
        <f aca="false">IF(OR(H104="",H104=0,J104="",J104=0),"",H104/J104)</f>
        <v>0.342163712747253</v>
      </c>
      <c r="M104" s="35"/>
      <c r="N104" s="36" t="n">
        <v>0.25</v>
      </c>
      <c r="O104" s="36" t="n">
        <v>0.25</v>
      </c>
      <c r="P104" s="36" t="n">
        <v>0.49</v>
      </c>
      <c r="Q104" s="37" t="n">
        <f aca="false">IF(I104="","",I104+N(N104))</f>
        <v>13.9</v>
      </c>
      <c r="R104" s="37" t="n">
        <f aca="false">IF(OR(Q104="",F104=""),"",Q104/(1+F104))</f>
        <v>12.5225225225225</v>
      </c>
      <c r="S104" s="38" t="n">
        <f aca="false">IF(OR(H104="",H104=0,R104="",R104=0),"",H104/R104)</f>
        <v>0.336009689136691</v>
      </c>
      <c r="T104" s="39" t="n">
        <f aca="false">IF(I104="","",I104+N(N104+O104))</f>
        <v>14.15</v>
      </c>
      <c r="U104" s="39" t="n">
        <f aca="false">IF(OR(T104="",F104=""),"",T104/(1+F104))</f>
        <v>12.7477477477477</v>
      </c>
      <c r="V104" s="40" t="n">
        <f aca="false">IF(OR(H104="",H104=0,U104="",U104=0),"",H104/U104)</f>
        <v>0.330073122190813</v>
      </c>
      <c r="W104" s="41" t="n">
        <f aca="false">IF(I104="","",I104+N(N104+O104+P104))</f>
        <v>14.64</v>
      </c>
      <c r="X104" s="41" t="n">
        <f aca="false">IF(OR(W104="",F104=""),"",W104/(1+F104))</f>
        <v>13.1891891891892</v>
      </c>
      <c r="Y104" s="42" t="n">
        <f aca="false">IF(OR(H104="",H104=0,X104="",X104=0),"",H104/X104)</f>
        <v>0.319025592827869</v>
      </c>
    </row>
    <row r="105" customFormat="false" ht="15" hidden="false" customHeight="true" outlineLevel="0" collapsed="false">
      <c r="A105" s="5" t="s">
        <v>738</v>
      </c>
      <c r="B105" s="5" t="s">
        <v>427</v>
      </c>
      <c r="C105" s="5" t="s">
        <v>424</v>
      </c>
      <c r="D105" s="5" t="s">
        <v>645</v>
      </c>
      <c r="E105" s="5" t="s">
        <v>643</v>
      </c>
      <c r="F105" s="28" t="n">
        <f aca="false">IF(E105="","",IF(E105="DRINKS",0.21,0.11))</f>
        <v>0.11</v>
      </c>
      <c r="G105" s="29" t="n">
        <f aca="false">IF(B105="","",SUMIF(RETETAR!A:A,B105,RETETAR!F:F))</f>
        <v>2.3752</v>
      </c>
      <c r="H105" s="30" t="n">
        <f aca="false">IF(B105="","",SUMIF(RETETAR!A:A,B105,RETETAR!H:H))</f>
        <v>2.3752</v>
      </c>
      <c r="I105" s="31" t="n">
        <v>13.99</v>
      </c>
      <c r="J105" s="32" t="n">
        <f aca="false">IF(OR(I105="",F105=""),"",I105/(1+F105))</f>
        <v>12.6036036036036</v>
      </c>
      <c r="K105" s="33" t="n">
        <f aca="false">IF(OR(G105="",G105=0,J105="",J105=0),"",G105/J105)</f>
        <v>0.188454038598999</v>
      </c>
      <c r="L105" s="34" t="n">
        <f aca="false">IF(OR(H105="",H105=0,J105="",J105=0),"",H105/J105)</f>
        <v>0.188454038598999</v>
      </c>
      <c r="M105" s="35"/>
      <c r="N105" s="36" t="n">
        <v>0.25</v>
      </c>
      <c r="O105" s="36" t="n">
        <v>0.25</v>
      </c>
      <c r="P105" s="36" t="n">
        <v>0.49</v>
      </c>
      <c r="Q105" s="37" t="n">
        <f aca="false">IF(I105="","",I105+N(N105))</f>
        <v>14.24</v>
      </c>
      <c r="R105" s="37" t="n">
        <f aca="false">IF(OR(Q105="",F105=""),"",Q105/(1+F105))</f>
        <v>12.8288288288288</v>
      </c>
      <c r="S105" s="38" t="n">
        <f aca="false">IF(OR(H105="",H105=0,R105="",R105=0),"",H105/R105)</f>
        <v>0.185145505617978</v>
      </c>
      <c r="T105" s="39" t="n">
        <f aca="false">IF(I105="","",I105+N(N105+O105))</f>
        <v>14.49</v>
      </c>
      <c r="U105" s="39" t="n">
        <f aca="false">IF(OR(T105="",F105=""),"",T105/(1+F105))</f>
        <v>13.0540540540541</v>
      </c>
      <c r="V105" s="40" t="n">
        <f aca="false">IF(OR(H105="",H105=0,U105="",U105=0),"",H105/U105)</f>
        <v>0.181951138716356</v>
      </c>
      <c r="W105" s="41" t="n">
        <f aca="false">IF(I105="","",I105+N(N105+O105+P105))</f>
        <v>14.98</v>
      </c>
      <c r="X105" s="41" t="n">
        <f aca="false">IF(OR(W105="",F105=""),"",W105/(1+F105))</f>
        <v>13.4954954954955</v>
      </c>
      <c r="Y105" s="42" t="n">
        <f aca="false">IF(OR(H105="",H105=0,X105="",X105=0),"",H105/X105)</f>
        <v>0.175999465954606</v>
      </c>
    </row>
    <row r="106" customFormat="false" ht="15" hidden="false" customHeight="true" outlineLevel="0" collapsed="false">
      <c r="A106" s="5" t="s">
        <v>739</v>
      </c>
      <c r="B106" s="5" t="s">
        <v>428</v>
      </c>
      <c r="C106" s="5" t="s">
        <v>424</v>
      </c>
      <c r="D106" s="5" t="s">
        <v>645</v>
      </c>
      <c r="E106" s="5" t="s">
        <v>643</v>
      </c>
      <c r="F106" s="28" t="n">
        <f aca="false">IF(E106="","",IF(E106="DRINKS",0.21,0.11))</f>
        <v>0.11</v>
      </c>
      <c r="G106" s="29" t="n">
        <f aca="false">IF(B106="","",SUMIF(RETETAR!A:A,B106,RETETAR!F:F))</f>
        <v>4.65138</v>
      </c>
      <c r="H106" s="30" t="n">
        <f aca="false">IF(B106="","",SUMIF(RETETAR!A:A,B106,RETETAR!H:H))</f>
        <v>4.65138</v>
      </c>
      <c r="I106" s="31" t="n">
        <v>15.99</v>
      </c>
      <c r="J106" s="32" t="n">
        <f aca="false">IF(OR(I106="",F106=""),"",I106/(1+F106))</f>
        <v>14.4054054054054</v>
      </c>
      <c r="K106" s="33" t="n">
        <f aca="false">IF(OR(G106="",G106=0,J106="",J106=0),"",G106/J106)</f>
        <v>0.322891294559099</v>
      </c>
      <c r="L106" s="34" t="n">
        <f aca="false">IF(OR(H106="",H106=0,J106="",J106=0),"",H106/J106)</f>
        <v>0.322891294559099</v>
      </c>
      <c r="M106" s="35"/>
      <c r="N106" s="36" t="n">
        <v>0.25</v>
      </c>
      <c r="O106" s="36" t="n">
        <v>0.25</v>
      </c>
      <c r="P106" s="36" t="n">
        <v>0.49</v>
      </c>
      <c r="Q106" s="37" t="n">
        <f aca="false">IF(I106="","",I106+N(N106))</f>
        <v>16.24</v>
      </c>
      <c r="R106" s="37" t="n">
        <f aca="false">IF(OR(Q106="",F106=""),"",Q106/(1+F106))</f>
        <v>14.6306306306306</v>
      </c>
      <c r="S106" s="38" t="n">
        <f aca="false">IF(OR(H106="",H106=0,R106="",R106=0),"",H106/R106)</f>
        <v>0.317920677339902</v>
      </c>
      <c r="T106" s="39" t="n">
        <f aca="false">IF(I106="","",I106+N(N106+O106))</f>
        <v>16.49</v>
      </c>
      <c r="U106" s="39" t="n">
        <f aca="false">IF(OR(T106="",F106=""),"",T106/(1+F106))</f>
        <v>14.8558558558559</v>
      </c>
      <c r="V106" s="40" t="n">
        <f aca="false">IF(OR(H106="",H106=0,U106="",U106=0),"",H106/U106)</f>
        <v>0.313100776228017</v>
      </c>
      <c r="W106" s="41" t="n">
        <f aca="false">IF(I106="","",I106+N(N106+O106+P106))</f>
        <v>16.98</v>
      </c>
      <c r="X106" s="41" t="n">
        <f aca="false">IF(OR(W106="",F106=""),"",W106/(1+F106))</f>
        <v>15.2972972972973</v>
      </c>
      <c r="Y106" s="42" t="n">
        <f aca="false">IF(OR(H106="",H106=0,X106="",X106=0),"",H106/X106)</f>
        <v>0.304065477031802</v>
      </c>
    </row>
    <row r="107" customFormat="false" ht="15" hidden="false" customHeight="true" outlineLevel="0" collapsed="false">
      <c r="A107" s="5" t="s">
        <v>740</v>
      </c>
      <c r="B107" s="5" t="s">
        <v>429</v>
      </c>
      <c r="C107" s="5" t="s">
        <v>424</v>
      </c>
      <c r="D107" s="5" t="s">
        <v>645</v>
      </c>
      <c r="E107" s="5" t="s">
        <v>643</v>
      </c>
      <c r="F107" s="28" t="n">
        <f aca="false">IF(E107="","",IF(E107="DRINKS",0.21,0.11))</f>
        <v>0.11</v>
      </c>
      <c r="G107" s="29" t="n">
        <f aca="false">IF(B107="","",SUMIF(RETETAR!A:A,B107,RETETAR!F:F))</f>
        <v>5.25982</v>
      </c>
      <c r="H107" s="30" t="n">
        <f aca="false">IF(B107="","",SUMIF(RETETAR!A:A,B107,RETETAR!H:H))</f>
        <v>5.25982</v>
      </c>
      <c r="I107" s="31" t="n">
        <v>22.99</v>
      </c>
      <c r="J107" s="32" t="n">
        <f aca="false">IF(OR(I107="",F107=""),"",I107/(1+F107))</f>
        <v>20.7117117117117</v>
      </c>
      <c r="K107" s="33" t="n">
        <f aca="false">IF(OR(G107="",G107=0,J107="",J107=0),"",G107/J107)</f>
        <v>0.25395390169639</v>
      </c>
      <c r="L107" s="34" t="n">
        <f aca="false">IF(OR(H107="",H107=0,J107="",J107=0),"",H107/J107)</f>
        <v>0.25395390169639</v>
      </c>
      <c r="M107" s="35"/>
      <c r="N107" s="36" t="n">
        <v>0.25</v>
      </c>
      <c r="O107" s="36" t="n">
        <v>0.25</v>
      </c>
      <c r="P107" s="36" t="n">
        <v>0.49</v>
      </c>
      <c r="Q107" s="37" t="n">
        <f aca="false">IF(I107="","",I107+N(N107))</f>
        <v>23.24</v>
      </c>
      <c r="R107" s="37" t="n">
        <f aca="false">IF(OR(Q107="",F107=""),"",Q107/(1+F107))</f>
        <v>20.9369369369369</v>
      </c>
      <c r="S107" s="38" t="n">
        <f aca="false">IF(OR(H107="",H107=0,R107="",R107=0),"",H107/R107)</f>
        <v>0.251222039586919</v>
      </c>
      <c r="T107" s="39" t="n">
        <f aca="false">IF(I107="","",I107+N(N107+O107))</f>
        <v>23.49</v>
      </c>
      <c r="U107" s="39" t="n">
        <f aca="false">IF(OR(T107="",F107=""),"",T107/(1+F107))</f>
        <v>21.1621621621622</v>
      </c>
      <c r="V107" s="40" t="n">
        <f aca="false">IF(OR(H107="",H107=0,U107="",U107=0),"",H107/U107)</f>
        <v>0.248548326947637</v>
      </c>
      <c r="W107" s="41" t="n">
        <f aca="false">IF(I107="","",I107+N(N107+O107+P107))</f>
        <v>23.98</v>
      </c>
      <c r="X107" s="41" t="n">
        <f aca="false">IF(OR(W107="",F107=""),"",W107/(1+F107))</f>
        <v>21.6036036036036</v>
      </c>
      <c r="Y107" s="42" t="n">
        <f aca="false">IF(OR(H107="",H107=0,X107="",X107=0),"",H107/X107)</f>
        <v>0.243469566305254</v>
      </c>
    </row>
    <row r="108" customFormat="false" ht="15" hidden="false" customHeight="true" outlineLevel="0" collapsed="false">
      <c r="A108" s="5" t="s">
        <v>741</v>
      </c>
      <c r="B108" s="5" t="s">
        <v>430</v>
      </c>
      <c r="C108" s="5" t="s">
        <v>431</v>
      </c>
      <c r="D108" s="5" t="s">
        <v>642</v>
      </c>
      <c r="E108" s="5" t="s">
        <v>643</v>
      </c>
      <c r="F108" s="28" t="n">
        <f aca="false">IF(E108="","",IF(E108="DRINKS",0.21,0.11))</f>
        <v>0.11</v>
      </c>
      <c r="G108" s="29" t="n">
        <f aca="false">IF(B108="","",SUMIF(RETETAR!A:A,B108,RETETAR!F:F))</f>
        <v>5.82192</v>
      </c>
      <c r="H108" s="30" t="n">
        <f aca="false">IF(B108="","",SUMIF(RETETAR!A:A,B108,RETETAR!H:H))</f>
        <v>5.82192</v>
      </c>
      <c r="I108" s="31" t="n">
        <v>16.5</v>
      </c>
      <c r="J108" s="32" t="n">
        <f aca="false">IF(OR(I108="",F108=""),"",I108/(1+F108))</f>
        <v>14.8648648648649</v>
      </c>
      <c r="K108" s="33" t="n">
        <f aca="false">IF(OR(G108="",G108=0,J108="",J108=0),"",G108/J108)</f>
        <v>0.391656436363636</v>
      </c>
      <c r="L108" s="34" t="n">
        <f aca="false">IF(OR(H108="",H108=0,J108="",J108=0),"",H108/J108)</f>
        <v>0.391656436363636</v>
      </c>
      <c r="M108" s="35"/>
      <c r="N108" s="36" t="n">
        <v>0</v>
      </c>
      <c r="O108" s="36" t="n">
        <v>0</v>
      </c>
      <c r="P108" s="36" t="n">
        <v>0</v>
      </c>
      <c r="Q108" s="37" t="n">
        <f aca="false">IF(I108="","",I108+N(N108))</f>
        <v>16.5</v>
      </c>
      <c r="R108" s="37" t="n">
        <f aca="false">IF(OR(Q108="",F108=""),"",Q108/(1+F108))</f>
        <v>14.8648648648649</v>
      </c>
      <c r="S108" s="38" t="n">
        <f aca="false">IF(OR(H108="",H108=0,R108="",R108=0),"",H108/R108)</f>
        <v>0.391656436363636</v>
      </c>
      <c r="T108" s="39" t="n">
        <f aca="false">IF(I108="","",I108+N(N108+O108))</f>
        <v>16.5</v>
      </c>
      <c r="U108" s="39" t="n">
        <f aca="false">IF(OR(T108="",F108=""),"",T108/(1+F108))</f>
        <v>14.8648648648649</v>
      </c>
      <c r="V108" s="40" t="n">
        <f aca="false">IF(OR(H108="",H108=0,U108="",U108=0),"",H108/U108)</f>
        <v>0.391656436363636</v>
      </c>
      <c r="W108" s="41" t="n">
        <f aca="false">IF(I108="","",I108+N(N108+O108+P108))</f>
        <v>16.5</v>
      </c>
      <c r="X108" s="41" t="n">
        <f aca="false">IF(OR(W108="",F108=""),"",W108/(1+F108))</f>
        <v>14.8648648648649</v>
      </c>
      <c r="Y108" s="42" t="n">
        <f aca="false">IF(OR(H108="",H108=0,X108="",X108=0),"",H108/X108)</f>
        <v>0.391656436363636</v>
      </c>
    </row>
    <row r="109" customFormat="false" ht="15" hidden="false" customHeight="true" outlineLevel="0" collapsed="false">
      <c r="A109" s="5" t="s">
        <v>742</v>
      </c>
      <c r="B109" s="5" t="s">
        <v>432</v>
      </c>
      <c r="C109" s="5" t="s">
        <v>431</v>
      </c>
      <c r="D109" s="5" t="s">
        <v>645</v>
      </c>
      <c r="E109" s="5" t="s">
        <v>643</v>
      </c>
      <c r="F109" s="28" t="n">
        <f aca="false">IF(E109="","",IF(E109="DRINKS",0.21,0.11))</f>
        <v>0.11</v>
      </c>
      <c r="G109" s="29" t="n">
        <f aca="false">IF(B109="","",SUMIF(RETETAR!A:A,B109,RETETAR!F:F))</f>
        <v>5.82192</v>
      </c>
      <c r="H109" s="30" t="n">
        <f aca="false">IF(B109="","",SUMIF(RETETAR!A:A,B109,RETETAR!H:H))</f>
        <v>5.82192</v>
      </c>
      <c r="I109" s="31" t="n">
        <v>16.5</v>
      </c>
      <c r="J109" s="32" t="n">
        <f aca="false">IF(OR(I109="",F109=""),"",I109/(1+F109))</f>
        <v>14.8648648648649</v>
      </c>
      <c r="K109" s="33" t="n">
        <f aca="false">IF(OR(G109="",G109=0,J109="",J109=0),"",G109/J109)</f>
        <v>0.391656436363636</v>
      </c>
      <c r="L109" s="34" t="n">
        <f aca="false">IF(OR(H109="",H109=0,J109="",J109=0),"",H109/J109)</f>
        <v>0.391656436363636</v>
      </c>
      <c r="M109" s="35"/>
      <c r="N109" s="36" t="n">
        <v>0</v>
      </c>
      <c r="O109" s="36" t="n">
        <v>0</v>
      </c>
      <c r="P109" s="36" t="n">
        <v>0</v>
      </c>
      <c r="Q109" s="37" t="n">
        <f aca="false">IF(I109="","",I109+N(N109))</f>
        <v>16.5</v>
      </c>
      <c r="R109" s="37" t="n">
        <f aca="false">IF(OR(Q109="",F109=""),"",Q109/(1+F109))</f>
        <v>14.8648648648649</v>
      </c>
      <c r="S109" s="38" t="n">
        <f aca="false">IF(OR(H109="",H109=0,R109="",R109=0),"",H109/R109)</f>
        <v>0.391656436363636</v>
      </c>
      <c r="T109" s="39" t="n">
        <f aca="false">IF(I109="","",I109+N(N109+O109))</f>
        <v>16.5</v>
      </c>
      <c r="U109" s="39" t="n">
        <f aca="false">IF(OR(T109="",F109=""),"",T109/(1+F109))</f>
        <v>14.8648648648649</v>
      </c>
      <c r="V109" s="40" t="n">
        <f aca="false">IF(OR(H109="",H109=0,U109="",U109=0),"",H109/U109)</f>
        <v>0.391656436363636</v>
      </c>
      <c r="W109" s="41" t="n">
        <f aca="false">IF(I109="","",I109+N(N109+O109+P109))</f>
        <v>16.5</v>
      </c>
      <c r="X109" s="41" t="n">
        <f aca="false">IF(OR(W109="",F109=""),"",W109/(1+F109))</f>
        <v>14.8648648648649</v>
      </c>
      <c r="Y109" s="42" t="n">
        <f aca="false">IF(OR(H109="",H109=0,X109="",X109=0),"",H109/X109)</f>
        <v>0.391656436363636</v>
      </c>
    </row>
    <row r="110" customFormat="false" ht="15" hidden="false" customHeight="true" outlineLevel="0" collapsed="false">
      <c r="A110" s="5" t="s">
        <v>743</v>
      </c>
      <c r="B110" s="5" t="s">
        <v>433</v>
      </c>
      <c r="C110" s="5" t="s">
        <v>431</v>
      </c>
      <c r="D110" s="5" t="s">
        <v>642</v>
      </c>
      <c r="E110" s="5" t="s">
        <v>643</v>
      </c>
      <c r="F110" s="28" t="n">
        <f aca="false">IF(E110="","",IF(E110="DRINKS",0.21,0.11))</f>
        <v>0.11</v>
      </c>
      <c r="G110" s="29" t="n">
        <f aca="false">IF(B110="","",SUMIF(RETETAR!A:A,B110,RETETAR!F:F))</f>
        <v>3.5025</v>
      </c>
      <c r="H110" s="30" t="n">
        <f aca="false">IF(B110="","",SUMIF(RETETAR!A:A,B110,RETETAR!H:H))</f>
        <v>3.5025</v>
      </c>
      <c r="I110" s="31" t="n">
        <v>10</v>
      </c>
      <c r="J110" s="32" t="n">
        <f aca="false">IF(OR(I110="",F110=""),"",I110/(1+F110))</f>
        <v>9.00900900900901</v>
      </c>
      <c r="K110" s="33" t="n">
        <f aca="false">IF(OR(G110="",G110=0,J110="",J110=0),"",G110/J110)</f>
        <v>0.3887775</v>
      </c>
      <c r="L110" s="34" t="n">
        <f aca="false">IF(OR(H110="",H110=0,J110="",J110=0),"",H110/J110)</f>
        <v>0.3887775</v>
      </c>
      <c r="M110" s="35"/>
      <c r="N110" s="36" t="n">
        <v>0.25</v>
      </c>
      <c r="O110" s="36" t="n">
        <v>0.25</v>
      </c>
      <c r="P110" s="36" t="n">
        <v>0.49</v>
      </c>
      <c r="Q110" s="37" t="n">
        <f aca="false">IF(I110="","",I110+N(N110))</f>
        <v>10.25</v>
      </c>
      <c r="R110" s="37" t="n">
        <f aca="false">IF(OR(Q110="",F110=""),"",Q110/(1+F110))</f>
        <v>9.23423423423423</v>
      </c>
      <c r="S110" s="38" t="n">
        <f aca="false">IF(OR(H110="",H110=0,R110="",R110=0),"",H110/R110)</f>
        <v>0.37929512195122</v>
      </c>
      <c r="T110" s="39" t="n">
        <f aca="false">IF(I110="","",I110+N(N110+O110))</f>
        <v>10.5</v>
      </c>
      <c r="U110" s="39" t="n">
        <f aca="false">IF(OR(T110="",F110=""),"",T110/(1+F110))</f>
        <v>9.45945945945946</v>
      </c>
      <c r="V110" s="40" t="n">
        <f aca="false">IF(OR(H110="",H110=0,U110="",U110=0),"",H110/U110)</f>
        <v>0.370264285714286</v>
      </c>
      <c r="W110" s="41" t="n">
        <f aca="false">IF(I110="","",I110+N(N110+O110+P110))</f>
        <v>10.99</v>
      </c>
      <c r="X110" s="41" t="n">
        <f aca="false">IF(OR(W110="",F110=""),"",W110/(1+F110))</f>
        <v>9.9009009009009</v>
      </c>
      <c r="Y110" s="42" t="n">
        <f aca="false">IF(OR(H110="",H110=0,X110="",X110=0),"",H110/X110)</f>
        <v>0.353755686988171</v>
      </c>
    </row>
    <row r="111" customFormat="false" ht="15" hidden="false" customHeight="true" outlineLevel="0" collapsed="false">
      <c r="A111" s="5" t="s">
        <v>744</v>
      </c>
      <c r="B111" s="5" t="s">
        <v>434</v>
      </c>
      <c r="C111" s="5" t="s">
        <v>431</v>
      </c>
      <c r="D111" s="5" t="s">
        <v>645</v>
      </c>
      <c r="E111" s="5" t="s">
        <v>643</v>
      </c>
      <c r="F111" s="28" t="n">
        <f aca="false">IF(E111="","",IF(E111="DRINKS",0.21,0.11))</f>
        <v>0.11</v>
      </c>
      <c r="G111" s="29" t="n">
        <f aca="false">IF(B111="","",SUMIF(RETETAR!A:A,B111,RETETAR!F:F))</f>
        <v>3.5025</v>
      </c>
      <c r="H111" s="30" t="n">
        <f aca="false">IF(B111="","",SUMIF(RETETAR!A:A,B111,RETETAR!H:H))</f>
        <v>3.5025</v>
      </c>
      <c r="I111" s="31" t="n">
        <v>10</v>
      </c>
      <c r="J111" s="32" t="n">
        <f aca="false">IF(OR(I111="",F111=""),"",I111/(1+F111))</f>
        <v>9.00900900900901</v>
      </c>
      <c r="K111" s="33" t="n">
        <f aca="false">IF(OR(G111="",G111=0,J111="",J111=0),"",G111/J111)</f>
        <v>0.3887775</v>
      </c>
      <c r="L111" s="34" t="n">
        <f aca="false">IF(OR(H111="",H111=0,J111="",J111=0),"",H111/J111)</f>
        <v>0.3887775</v>
      </c>
      <c r="M111" s="35"/>
      <c r="N111" s="36" t="n">
        <v>0.25</v>
      </c>
      <c r="O111" s="36" t="n">
        <v>0.25</v>
      </c>
      <c r="P111" s="36" t="n">
        <v>0.49</v>
      </c>
      <c r="Q111" s="37" t="n">
        <f aca="false">IF(I111="","",I111+N(N111))</f>
        <v>10.25</v>
      </c>
      <c r="R111" s="37" t="n">
        <f aca="false">IF(OR(Q111="",F111=""),"",Q111/(1+F111))</f>
        <v>9.23423423423423</v>
      </c>
      <c r="S111" s="38" t="n">
        <f aca="false">IF(OR(H111="",H111=0,R111="",R111=0),"",H111/R111)</f>
        <v>0.37929512195122</v>
      </c>
      <c r="T111" s="39" t="n">
        <f aca="false">IF(I111="","",I111+N(N111+O111))</f>
        <v>10.5</v>
      </c>
      <c r="U111" s="39" t="n">
        <f aca="false">IF(OR(T111="",F111=""),"",T111/(1+F111))</f>
        <v>9.45945945945946</v>
      </c>
      <c r="V111" s="40" t="n">
        <f aca="false">IF(OR(H111="",H111=0,U111="",U111=0),"",H111/U111)</f>
        <v>0.370264285714286</v>
      </c>
      <c r="W111" s="41" t="n">
        <f aca="false">IF(I111="","",I111+N(N111+O111+P111))</f>
        <v>10.99</v>
      </c>
      <c r="X111" s="41" t="n">
        <f aca="false">IF(OR(W111="",F111=""),"",W111/(1+F111))</f>
        <v>9.9009009009009</v>
      </c>
      <c r="Y111" s="42" t="n">
        <f aca="false">IF(OR(H111="",H111=0,X111="",X111=0),"",H111/X111)</f>
        <v>0.353755686988171</v>
      </c>
    </row>
    <row r="112" customFormat="false" ht="15" hidden="false" customHeight="true" outlineLevel="0" collapsed="false">
      <c r="A112" s="5" t="s">
        <v>745</v>
      </c>
      <c r="B112" s="5" t="s">
        <v>435</v>
      </c>
      <c r="C112" s="5" t="s">
        <v>431</v>
      </c>
      <c r="D112" s="5" t="s">
        <v>642</v>
      </c>
      <c r="E112" s="5" t="s">
        <v>643</v>
      </c>
      <c r="F112" s="28" t="n">
        <f aca="false">IF(E112="","",IF(E112="DRINKS",0.21,0.11))</f>
        <v>0.11</v>
      </c>
      <c r="G112" s="29" t="n">
        <f aca="false">IF(B112="","",SUMIF(RETETAR!A:A,B112,RETETAR!F:F))</f>
        <v>0.4896</v>
      </c>
      <c r="H112" s="30" t="n">
        <f aca="false">IF(B112="","",SUMIF(RETETAR!A:A,B112,RETETAR!H:H))</f>
        <v>0.4896</v>
      </c>
      <c r="I112" s="31" t="n">
        <v>5</v>
      </c>
      <c r="J112" s="32" t="n">
        <f aca="false">IF(OR(I112="",F112=""),"",I112/(1+F112))</f>
        <v>4.5045045045045</v>
      </c>
      <c r="K112" s="33" t="n">
        <f aca="false">IF(OR(G112="",G112=0,J112="",J112=0),"",G112/J112)</f>
        <v>0.1086912</v>
      </c>
      <c r="L112" s="34" t="n">
        <f aca="false">IF(OR(H112="",H112=0,J112="",J112=0),"",H112/J112)</f>
        <v>0.1086912</v>
      </c>
      <c r="M112" s="35"/>
      <c r="N112" s="36" t="n">
        <v>0</v>
      </c>
      <c r="O112" s="36" t="n">
        <v>0</v>
      </c>
      <c r="P112" s="36" t="n">
        <v>0</v>
      </c>
      <c r="Q112" s="37" t="n">
        <f aca="false">IF(I112="","",I112+N(N112))</f>
        <v>5</v>
      </c>
      <c r="R112" s="37" t="n">
        <f aca="false">IF(OR(Q112="",F112=""),"",Q112/(1+F112))</f>
        <v>4.5045045045045</v>
      </c>
      <c r="S112" s="38" t="n">
        <f aca="false">IF(OR(H112="",H112=0,R112="",R112=0),"",H112/R112)</f>
        <v>0.1086912</v>
      </c>
      <c r="T112" s="39" t="n">
        <f aca="false">IF(I112="","",I112+N(N112+O112))</f>
        <v>5</v>
      </c>
      <c r="U112" s="39" t="n">
        <f aca="false">IF(OR(T112="",F112=""),"",T112/(1+F112))</f>
        <v>4.5045045045045</v>
      </c>
      <c r="V112" s="40" t="n">
        <f aca="false">IF(OR(H112="",H112=0,U112="",U112=0),"",H112/U112)</f>
        <v>0.1086912</v>
      </c>
      <c r="W112" s="41" t="n">
        <f aca="false">IF(I112="","",I112+N(N112+O112+P112))</f>
        <v>5</v>
      </c>
      <c r="X112" s="41" t="n">
        <f aca="false">IF(OR(W112="",F112=""),"",W112/(1+F112))</f>
        <v>4.5045045045045</v>
      </c>
      <c r="Y112" s="42" t="n">
        <f aca="false">IF(OR(H112="",H112=0,X112="",X112=0),"",H112/X112)</f>
        <v>0.1086912</v>
      </c>
    </row>
    <row r="113" customFormat="false" ht="15" hidden="false" customHeight="true" outlineLevel="0" collapsed="false">
      <c r="A113" s="5" t="s">
        <v>746</v>
      </c>
      <c r="B113" s="5" t="s">
        <v>436</v>
      </c>
      <c r="C113" s="5" t="s">
        <v>431</v>
      </c>
      <c r="D113" s="5" t="s">
        <v>645</v>
      </c>
      <c r="E113" s="5" t="s">
        <v>643</v>
      </c>
      <c r="F113" s="28" t="n">
        <f aca="false">IF(E113="","",IF(E113="DRINKS",0.21,0.11))</f>
        <v>0.11</v>
      </c>
      <c r="G113" s="29" t="n">
        <f aca="false">IF(B113="","",SUMIF(RETETAR!A:A,B113,RETETAR!F:F))</f>
        <v>0.4896</v>
      </c>
      <c r="H113" s="30" t="n">
        <f aca="false">IF(B113="","",SUMIF(RETETAR!A:A,B113,RETETAR!H:H))</f>
        <v>0.4896</v>
      </c>
      <c r="I113" s="31" t="n">
        <v>2</v>
      </c>
      <c r="J113" s="32" t="n">
        <f aca="false">IF(OR(I113="",F113=""),"",I113/(1+F113))</f>
        <v>1.8018018018018</v>
      </c>
      <c r="K113" s="33" t="n">
        <f aca="false">IF(OR(G113="",G113=0,J113="",J113=0),"",G113/J113)</f>
        <v>0.271728</v>
      </c>
      <c r="L113" s="34" t="n">
        <f aca="false">IF(OR(H113="",H113=0,J113="",J113=0),"",H113/J113)</f>
        <v>0.271728</v>
      </c>
      <c r="M113" s="35"/>
      <c r="N113" s="36" t="n">
        <v>0</v>
      </c>
      <c r="O113" s="36" t="n">
        <v>0</v>
      </c>
      <c r="P113" s="36" t="n">
        <v>0</v>
      </c>
      <c r="Q113" s="37" t="n">
        <f aca="false">IF(I113="","",I113+N(N113))</f>
        <v>2</v>
      </c>
      <c r="R113" s="37" t="n">
        <f aca="false">IF(OR(Q113="",F113=""),"",Q113/(1+F113))</f>
        <v>1.8018018018018</v>
      </c>
      <c r="S113" s="38" t="n">
        <f aca="false">IF(OR(H113="",H113=0,R113="",R113=0),"",H113/R113)</f>
        <v>0.271728</v>
      </c>
      <c r="T113" s="39" t="n">
        <f aca="false">IF(I113="","",I113+N(N113+O113))</f>
        <v>2</v>
      </c>
      <c r="U113" s="39" t="n">
        <f aca="false">IF(OR(T113="",F113=""),"",T113/(1+F113))</f>
        <v>1.8018018018018</v>
      </c>
      <c r="V113" s="40" t="n">
        <f aca="false">IF(OR(H113="",H113=0,U113="",U113=0),"",H113/U113)</f>
        <v>0.271728</v>
      </c>
      <c r="W113" s="41" t="n">
        <f aca="false">IF(I113="","",I113+N(N113+O113+P113))</f>
        <v>2</v>
      </c>
      <c r="X113" s="41" t="n">
        <f aca="false">IF(OR(W113="",F113=""),"",W113/(1+F113))</f>
        <v>1.8018018018018</v>
      </c>
      <c r="Y113" s="42" t="n">
        <f aca="false">IF(OR(H113="",H113=0,X113="",X113=0),"",H113/X113)</f>
        <v>0.271728</v>
      </c>
    </row>
    <row r="114" customFormat="false" ht="15" hidden="false" customHeight="true" outlineLevel="0" collapsed="false">
      <c r="A114" s="5" t="s">
        <v>747</v>
      </c>
      <c r="B114" s="5" t="s">
        <v>437</v>
      </c>
      <c r="C114" s="5" t="s">
        <v>431</v>
      </c>
      <c r="D114" s="5" t="s">
        <v>642</v>
      </c>
      <c r="E114" s="5" t="s">
        <v>643</v>
      </c>
      <c r="F114" s="28" t="n">
        <f aca="false">IF(E114="","",IF(E114="DRINKS",0.21,0.11))</f>
        <v>0.11</v>
      </c>
      <c r="G114" s="29" t="n">
        <f aca="false">IF(B114="","",SUMIF(RETETAR!A:A,B114,RETETAR!F:F))</f>
        <v>0.61567</v>
      </c>
      <c r="H114" s="30" t="n">
        <f aca="false">IF(B114="","",SUMIF(RETETAR!A:A,B114,RETETAR!H:H))</f>
        <v>0.61567</v>
      </c>
      <c r="I114" s="31" t="n">
        <v>3</v>
      </c>
      <c r="J114" s="32" t="n">
        <f aca="false">IF(OR(I114="",F114=""),"",I114/(1+F114))</f>
        <v>2.7027027027027</v>
      </c>
      <c r="K114" s="33" t="n">
        <f aca="false">IF(OR(G114="",G114=0,J114="",J114=0),"",G114/J114)</f>
        <v>0.2277979</v>
      </c>
      <c r="L114" s="34" t="n">
        <f aca="false">IF(OR(H114="",H114=0,J114="",J114=0),"",H114/J114)</f>
        <v>0.2277979</v>
      </c>
      <c r="M114" s="35"/>
      <c r="N114" s="36" t="n">
        <v>0</v>
      </c>
      <c r="O114" s="36" t="n">
        <v>0</v>
      </c>
      <c r="P114" s="36" t="n">
        <v>0</v>
      </c>
      <c r="Q114" s="37" t="n">
        <f aca="false">IF(I114="","",I114+N(N114))</f>
        <v>3</v>
      </c>
      <c r="R114" s="37" t="n">
        <f aca="false">IF(OR(Q114="",F114=""),"",Q114/(1+F114))</f>
        <v>2.7027027027027</v>
      </c>
      <c r="S114" s="38" t="n">
        <f aca="false">IF(OR(H114="",H114=0,R114="",R114=0),"",H114/R114)</f>
        <v>0.2277979</v>
      </c>
      <c r="T114" s="39" t="n">
        <f aca="false">IF(I114="","",I114+N(N114+O114))</f>
        <v>3</v>
      </c>
      <c r="U114" s="39" t="n">
        <f aca="false">IF(OR(T114="",F114=""),"",T114/(1+F114))</f>
        <v>2.7027027027027</v>
      </c>
      <c r="V114" s="40" t="n">
        <f aca="false">IF(OR(H114="",H114=0,U114="",U114=0),"",H114/U114)</f>
        <v>0.2277979</v>
      </c>
      <c r="W114" s="41" t="n">
        <f aca="false">IF(I114="","",I114+N(N114+O114+P114))</f>
        <v>3</v>
      </c>
      <c r="X114" s="41" t="n">
        <f aca="false">IF(OR(W114="",F114=""),"",W114/(1+F114))</f>
        <v>2.7027027027027</v>
      </c>
      <c r="Y114" s="42" t="n">
        <f aca="false">IF(OR(H114="",H114=0,X114="",X114=0),"",H114/X114)</f>
        <v>0.2277979</v>
      </c>
    </row>
    <row r="115" customFormat="false" ht="15" hidden="false" customHeight="true" outlineLevel="0" collapsed="false">
      <c r="A115" s="5" t="s">
        <v>748</v>
      </c>
      <c r="B115" s="5" t="s">
        <v>438</v>
      </c>
      <c r="C115" s="5" t="s">
        <v>431</v>
      </c>
      <c r="D115" s="5" t="s">
        <v>645</v>
      </c>
      <c r="E115" s="5" t="s">
        <v>643</v>
      </c>
      <c r="F115" s="28" t="n">
        <f aca="false">IF(E115="","",IF(E115="DRINKS",0.21,0.11))</f>
        <v>0.11</v>
      </c>
      <c r="G115" s="29" t="n">
        <f aca="false">IF(B115="","",SUMIF(RETETAR!A:A,B115,RETETAR!F:F))</f>
        <v>0.61567</v>
      </c>
      <c r="H115" s="30" t="n">
        <f aca="false">IF(B115="","",SUMIF(RETETAR!A:A,B115,RETETAR!H:H))</f>
        <v>0.61567</v>
      </c>
      <c r="I115" s="31" t="n">
        <v>3</v>
      </c>
      <c r="J115" s="32" t="n">
        <f aca="false">IF(OR(I115="",F115=""),"",I115/(1+F115))</f>
        <v>2.7027027027027</v>
      </c>
      <c r="K115" s="33" t="n">
        <f aca="false">IF(OR(G115="",G115=0,J115="",J115=0),"",G115/J115)</f>
        <v>0.2277979</v>
      </c>
      <c r="L115" s="34" t="n">
        <f aca="false">IF(OR(H115="",H115=0,J115="",J115=0),"",H115/J115)</f>
        <v>0.2277979</v>
      </c>
      <c r="M115" s="35"/>
      <c r="N115" s="36" t="n">
        <v>0</v>
      </c>
      <c r="O115" s="36" t="n">
        <v>0</v>
      </c>
      <c r="P115" s="36" t="n">
        <v>0</v>
      </c>
      <c r="Q115" s="37" t="n">
        <f aca="false">IF(I115="","",I115+N(N115))</f>
        <v>3</v>
      </c>
      <c r="R115" s="37" t="n">
        <f aca="false">IF(OR(Q115="",F115=""),"",Q115/(1+F115))</f>
        <v>2.7027027027027</v>
      </c>
      <c r="S115" s="38" t="n">
        <f aca="false">IF(OR(H115="",H115=0,R115="",R115=0),"",H115/R115)</f>
        <v>0.2277979</v>
      </c>
      <c r="T115" s="39" t="n">
        <f aca="false">IF(I115="","",I115+N(N115+O115))</f>
        <v>3</v>
      </c>
      <c r="U115" s="39" t="n">
        <f aca="false">IF(OR(T115="",F115=""),"",T115/(1+F115))</f>
        <v>2.7027027027027</v>
      </c>
      <c r="V115" s="40" t="n">
        <f aca="false">IF(OR(H115="",H115=0,U115="",U115=0),"",H115/U115)</f>
        <v>0.2277979</v>
      </c>
      <c r="W115" s="41" t="n">
        <f aca="false">IF(I115="","",I115+N(N115+O115+P115))</f>
        <v>3</v>
      </c>
      <c r="X115" s="41" t="n">
        <f aca="false">IF(OR(W115="",F115=""),"",W115/(1+F115))</f>
        <v>2.7027027027027</v>
      </c>
      <c r="Y115" s="42" t="n">
        <f aca="false">IF(OR(H115="",H115=0,X115="",X115=0),"",H115/X115)</f>
        <v>0.2277979</v>
      </c>
    </row>
    <row r="116" customFormat="false" ht="15" hidden="false" customHeight="true" outlineLevel="0" collapsed="false">
      <c r="A116" s="5" t="s">
        <v>439</v>
      </c>
      <c r="B116" s="5" t="s">
        <v>439</v>
      </c>
      <c r="C116" s="5" t="s">
        <v>431</v>
      </c>
      <c r="D116" s="5" t="s">
        <v>642</v>
      </c>
      <c r="E116" s="5" t="s">
        <v>643</v>
      </c>
      <c r="F116" s="28" t="n">
        <f aca="false">IF(E116="","",IF(E116="DRINKS",0.21,0.11))</f>
        <v>0.11</v>
      </c>
      <c r="G116" s="29" t="n">
        <f aca="false">IF(B116="","",SUMIF(RETETAR!A:A,B116,RETETAR!F:F))</f>
        <v>0.939</v>
      </c>
      <c r="H116" s="30" t="n">
        <f aca="false">IF(B116="","",SUMIF(RETETAR!A:A,B116,RETETAR!H:H))</f>
        <v>0.939</v>
      </c>
      <c r="I116" s="31" t="n">
        <v>1</v>
      </c>
      <c r="J116" s="32" t="n">
        <f aca="false">IF(OR(I116="",F116=""),"",I116/(1+F116))</f>
        <v>0.900900900900901</v>
      </c>
      <c r="K116" s="33" t="n">
        <f aca="false">IF(OR(G116="",G116=0,J116="",J116=0),"",G116/J116)</f>
        <v>1.04229</v>
      </c>
      <c r="L116" s="34" t="n">
        <f aca="false">IF(OR(H116="",H116=0,J116="",J116=0),"",H116/J116)</f>
        <v>1.04229</v>
      </c>
      <c r="M116" s="35"/>
      <c r="N116" s="36" t="n">
        <v>0</v>
      </c>
      <c r="O116" s="36" t="n">
        <v>0</v>
      </c>
      <c r="P116" s="36" t="n">
        <v>0</v>
      </c>
      <c r="Q116" s="37" t="n">
        <f aca="false">IF(I116="","",I116+N(N116))</f>
        <v>1</v>
      </c>
      <c r="R116" s="37" t="n">
        <f aca="false">IF(OR(Q116="",F116=""),"",Q116/(1+F116))</f>
        <v>0.900900900900901</v>
      </c>
      <c r="S116" s="38" t="n">
        <f aca="false">IF(OR(H116="",H116=0,R116="",R116=0),"",H116/R116)</f>
        <v>1.04229</v>
      </c>
      <c r="T116" s="39" t="n">
        <f aca="false">IF(I116="","",I116+N(N116+O116))</f>
        <v>1</v>
      </c>
      <c r="U116" s="39" t="n">
        <f aca="false">IF(OR(T116="",F116=""),"",T116/(1+F116))</f>
        <v>0.900900900900901</v>
      </c>
      <c r="V116" s="40" t="n">
        <f aca="false">IF(OR(H116="",H116=0,U116="",U116=0),"",H116/U116)</f>
        <v>1.04229</v>
      </c>
      <c r="W116" s="41" t="n">
        <f aca="false">IF(I116="","",I116+N(N116+O116+P116))</f>
        <v>1</v>
      </c>
      <c r="X116" s="41" t="n">
        <f aca="false">IF(OR(W116="",F116=""),"",W116/(1+F116))</f>
        <v>0.900900900900901</v>
      </c>
      <c r="Y116" s="42" t="n">
        <f aca="false">IF(OR(H116="",H116=0,X116="",X116=0),"",H116/X116)</f>
        <v>1.04229</v>
      </c>
    </row>
    <row r="117" customFormat="false" ht="15" hidden="false" customHeight="true" outlineLevel="0" collapsed="false">
      <c r="A117" s="5" t="s">
        <v>440</v>
      </c>
      <c r="B117" s="5" t="s">
        <v>440</v>
      </c>
      <c r="C117" s="5" t="s">
        <v>431</v>
      </c>
      <c r="D117" s="5" t="s">
        <v>642</v>
      </c>
      <c r="E117" s="5" t="s">
        <v>643</v>
      </c>
      <c r="F117" s="28" t="n">
        <f aca="false">IF(E117="","",IF(E117="DRINKS",0.21,0.11))</f>
        <v>0.11</v>
      </c>
      <c r="G117" s="29" t="n">
        <f aca="false">IF(B117="","",SUMIF(RETETAR!A:A,B117,RETETAR!F:F))</f>
        <v>0.529</v>
      </c>
      <c r="H117" s="30" t="n">
        <f aca="false">IF(B117="","",SUMIF(RETETAR!A:A,B117,RETETAR!H:H))</f>
        <v>0.529</v>
      </c>
      <c r="I117" s="31" t="n">
        <v>0.5</v>
      </c>
      <c r="J117" s="32" t="n">
        <f aca="false">IF(OR(I117="",F117=""),"",I117/(1+F117))</f>
        <v>0.45045045045045</v>
      </c>
      <c r="K117" s="33" t="n">
        <f aca="false">IF(OR(G117="",G117=0,J117="",J117=0),"",G117/J117)</f>
        <v>1.17438</v>
      </c>
      <c r="L117" s="34" t="n">
        <f aca="false">IF(OR(H117="",H117=0,J117="",J117=0),"",H117/J117)</f>
        <v>1.17438</v>
      </c>
      <c r="M117" s="35"/>
      <c r="N117" s="36" t="n">
        <v>0</v>
      </c>
      <c r="O117" s="36" t="n">
        <v>0</v>
      </c>
      <c r="P117" s="36" t="n">
        <v>0</v>
      </c>
      <c r="Q117" s="37" t="n">
        <f aca="false">IF(I117="","",I117+N(N117))</f>
        <v>0.5</v>
      </c>
      <c r="R117" s="37" t="n">
        <f aca="false">IF(OR(Q117="",F117=""),"",Q117/(1+F117))</f>
        <v>0.45045045045045</v>
      </c>
      <c r="S117" s="38" t="n">
        <f aca="false">IF(OR(H117="",H117=0,R117="",R117=0),"",H117/R117)</f>
        <v>1.17438</v>
      </c>
      <c r="T117" s="39" t="n">
        <f aca="false">IF(I117="","",I117+N(N117+O117))</f>
        <v>0.5</v>
      </c>
      <c r="U117" s="39" t="n">
        <f aca="false">IF(OR(T117="",F117=""),"",T117/(1+F117))</f>
        <v>0.45045045045045</v>
      </c>
      <c r="V117" s="40" t="n">
        <f aca="false">IF(OR(H117="",H117=0,U117="",U117=0),"",H117/U117)</f>
        <v>1.17438</v>
      </c>
      <c r="W117" s="41" t="n">
        <f aca="false">IF(I117="","",I117+N(N117+O117+P117))</f>
        <v>0.5</v>
      </c>
      <c r="X117" s="41" t="n">
        <f aca="false">IF(OR(W117="",F117=""),"",W117/(1+F117))</f>
        <v>0.45045045045045</v>
      </c>
      <c r="Y117" s="42" t="n">
        <f aca="false">IF(OR(H117="",H117=0,X117="",X117=0),"",H117/X117)</f>
        <v>1.17438</v>
      </c>
    </row>
    <row r="118" customFormat="false" ht="15" hidden="false" customHeight="true" outlineLevel="0" collapsed="false">
      <c r="A118" s="5" t="s">
        <v>441</v>
      </c>
      <c r="B118" s="5" t="s">
        <v>441</v>
      </c>
      <c r="C118" s="5" t="s">
        <v>431</v>
      </c>
      <c r="D118" s="5" t="s">
        <v>645</v>
      </c>
      <c r="E118" s="5" t="s">
        <v>643</v>
      </c>
      <c r="F118" s="28" t="n">
        <f aca="false">IF(E118="","",IF(E118="DRINKS",0.21,0.11))</f>
        <v>0.11</v>
      </c>
      <c r="G118" s="29" t="n">
        <f aca="false">IF(B118="","",SUMIF(RETETAR!A:A,B118,RETETAR!F:F))</f>
        <v>0.529</v>
      </c>
      <c r="H118" s="30" t="n">
        <f aca="false">IF(B118="","",SUMIF(RETETAR!A:A,B118,RETETAR!H:H))</f>
        <v>0.529</v>
      </c>
      <c r="I118" s="31" t="n">
        <v>0.5</v>
      </c>
      <c r="J118" s="32" t="n">
        <f aca="false">IF(OR(I118="",F118=""),"",I118/(1+F118))</f>
        <v>0.45045045045045</v>
      </c>
      <c r="K118" s="33" t="n">
        <f aca="false">IF(OR(G118="",G118=0,J118="",J118=0),"",G118/J118)</f>
        <v>1.17438</v>
      </c>
      <c r="L118" s="34" t="n">
        <f aca="false">IF(OR(H118="",H118=0,J118="",J118=0),"",H118/J118)</f>
        <v>1.17438</v>
      </c>
      <c r="M118" s="35"/>
      <c r="N118" s="36" t="n">
        <v>0</v>
      </c>
      <c r="O118" s="36" t="n">
        <v>0</v>
      </c>
      <c r="P118" s="36" t="n">
        <v>0</v>
      </c>
      <c r="Q118" s="37" t="n">
        <f aca="false">IF(I118="","",I118+N(N118))</f>
        <v>0.5</v>
      </c>
      <c r="R118" s="37" t="n">
        <f aca="false">IF(OR(Q118="",F118=""),"",Q118/(1+F118))</f>
        <v>0.45045045045045</v>
      </c>
      <c r="S118" s="38" t="n">
        <f aca="false">IF(OR(H118="",H118=0,R118="",R118=0),"",H118/R118)</f>
        <v>1.17438</v>
      </c>
      <c r="T118" s="39" t="n">
        <f aca="false">IF(I118="","",I118+N(N118+O118))</f>
        <v>0.5</v>
      </c>
      <c r="U118" s="39" t="n">
        <f aca="false">IF(OR(T118="",F118=""),"",T118/(1+F118))</f>
        <v>0.45045045045045</v>
      </c>
      <c r="V118" s="40" t="n">
        <f aca="false">IF(OR(H118="",H118=0,U118="",U118=0),"",H118/U118)</f>
        <v>1.17438</v>
      </c>
      <c r="W118" s="41" t="n">
        <f aca="false">IF(I118="","",I118+N(N118+O118+P118))</f>
        <v>0.5</v>
      </c>
      <c r="X118" s="41" t="n">
        <f aca="false">IF(OR(W118="",F118=""),"",W118/(1+F118))</f>
        <v>0.45045045045045</v>
      </c>
      <c r="Y118" s="42" t="n">
        <f aca="false">IF(OR(H118="",H118=0,X118="",X118=0),"",H118/X118)</f>
        <v>1.17438</v>
      </c>
    </row>
    <row r="119" customFormat="false" ht="15" hidden="false" customHeight="true" outlineLevel="0" collapsed="false">
      <c r="A119" s="5" t="s">
        <v>442</v>
      </c>
      <c r="B119" s="5" t="s">
        <v>442</v>
      </c>
      <c r="C119" s="5" t="s">
        <v>431</v>
      </c>
      <c r="D119" s="5" t="s">
        <v>642</v>
      </c>
      <c r="E119" s="5" t="s">
        <v>643</v>
      </c>
      <c r="F119" s="28" t="n">
        <f aca="false">IF(E119="","",IF(E119="DRINKS",0.21,0.11))</f>
        <v>0.11</v>
      </c>
      <c r="G119" s="29" t="n">
        <f aca="false">IF(B119="","",SUMIF(RETETAR!A:A,B119,RETETAR!F:F))</f>
        <v>0.765</v>
      </c>
      <c r="H119" s="30" t="n">
        <f aca="false">IF(B119="","",SUMIF(RETETAR!A:A,B119,RETETAR!H:H))</f>
        <v>0.765</v>
      </c>
      <c r="I119" s="31" t="n">
        <v>1.5</v>
      </c>
      <c r="J119" s="32" t="n">
        <f aca="false">IF(OR(I119="",F119=""),"",I119/(1+F119))</f>
        <v>1.35135135135135</v>
      </c>
      <c r="K119" s="33" t="n">
        <f aca="false">IF(OR(G119="",G119=0,J119="",J119=0),"",G119/J119)</f>
        <v>0.5661</v>
      </c>
      <c r="L119" s="34" t="n">
        <f aca="false">IF(OR(H119="",H119=0,J119="",J119=0),"",H119/J119)</f>
        <v>0.5661</v>
      </c>
      <c r="M119" s="35"/>
      <c r="N119" s="36" t="n">
        <v>0</v>
      </c>
      <c r="O119" s="36" t="n">
        <v>0</v>
      </c>
      <c r="P119" s="36" t="n">
        <v>0</v>
      </c>
      <c r="Q119" s="37" t="n">
        <f aca="false">IF(I119="","",I119+N(N119))</f>
        <v>1.5</v>
      </c>
      <c r="R119" s="37" t="n">
        <f aca="false">IF(OR(Q119="",F119=""),"",Q119/(1+F119))</f>
        <v>1.35135135135135</v>
      </c>
      <c r="S119" s="38" t="n">
        <f aca="false">IF(OR(H119="",H119=0,R119="",R119=0),"",H119/R119)</f>
        <v>0.5661</v>
      </c>
      <c r="T119" s="39" t="n">
        <f aca="false">IF(I119="","",I119+N(N119+O119))</f>
        <v>1.5</v>
      </c>
      <c r="U119" s="39" t="n">
        <f aca="false">IF(OR(T119="",F119=""),"",T119/(1+F119))</f>
        <v>1.35135135135135</v>
      </c>
      <c r="V119" s="40" t="n">
        <f aca="false">IF(OR(H119="",H119=0,U119="",U119=0),"",H119/U119)</f>
        <v>0.5661</v>
      </c>
      <c r="W119" s="41" t="n">
        <f aca="false">IF(I119="","",I119+N(N119+O119+P119))</f>
        <v>1.5</v>
      </c>
      <c r="X119" s="41" t="n">
        <f aca="false">IF(OR(W119="",F119=""),"",W119/(1+F119))</f>
        <v>1.35135135135135</v>
      </c>
      <c r="Y119" s="42" t="n">
        <f aca="false">IF(OR(H119="",H119=0,X119="",X119=0),"",H119/X119)</f>
        <v>0.5661</v>
      </c>
    </row>
    <row r="120" customFormat="false" ht="15" hidden="false" customHeight="true" outlineLevel="0" collapsed="false">
      <c r="A120" s="5" t="s">
        <v>443</v>
      </c>
      <c r="B120" s="5" t="s">
        <v>443</v>
      </c>
      <c r="C120" s="5" t="s">
        <v>431</v>
      </c>
      <c r="D120" s="5" t="s">
        <v>645</v>
      </c>
      <c r="E120" s="5" t="s">
        <v>643</v>
      </c>
      <c r="F120" s="28" t="n">
        <f aca="false">IF(E120="","",IF(E120="DRINKS",0.21,0.11))</f>
        <v>0.11</v>
      </c>
      <c r="G120" s="29" t="n">
        <f aca="false">IF(B120="","",SUMIF(RETETAR!A:A,B120,RETETAR!F:F))</f>
        <v>0.765</v>
      </c>
      <c r="H120" s="30" t="n">
        <f aca="false">IF(B120="","",SUMIF(RETETAR!A:A,B120,RETETAR!H:H))</f>
        <v>0.765</v>
      </c>
      <c r="I120" s="31" t="n">
        <v>1.5</v>
      </c>
      <c r="J120" s="32" t="n">
        <f aca="false">IF(OR(I120="",F120=""),"",I120/(1+F120))</f>
        <v>1.35135135135135</v>
      </c>
      <c r="K120" s="33" t="n">
        <f aca="false">IF(OR(G120="",G120=0,J120="",J120=0),"",G120/J120)</f>
        <v>0.5661</v>
      </c>
      <c r="L120" s="34" t="n">
        <f aca="false">IF(OR(H120="",H120=0,J120="",J120=0),"",H120/J120)</f>
        <v>0.5661</v>
      </c>
      <c r="M120" s="35"/>
      <c r="N120" s="36" t="n">
        <v>0</v>
      </c>
      <c r="O120" s="36" t="n">
        <v>0</v>
      </c>
      <c r="P120" s="36" t="n">
        <v>0</v>
      </c>
      <c r="Q120" s="37" t="n">
        <f aca="false">IF(I120="","",I120+N(N120))</f>
        <v>1.5</v>
      </c>
      <c r="R120" s="37" t="n">
        <f aca="false">IF(OR(Q120="",F120=""),"",Q120/(1+F120))</f>
        <v>1.35135135135135</v>
      </c>
      <c r="S120" s="38" t="n">
        <f aca="false">IF(OR(H120="",H120=0,R120="",R120=0),"",H120/R120)</f>
        <v>0.5661</v>
      </c>
      <c r="T120" s="39" t="n">
        <f aca="false">IF(I120="","",I120+N(N120+O120))</f>
        <v>1.5</v>
      </c>
      <c r="U120" s="39" t="n">
        <f aca="false">IF(OR(T120="",F120=""),"",T120/(1+F120))</f>
        <v>1.35135135135135</v>
      </c>
      <c r="V120" s="40" t="n">
        <f aca="false">IF(OR(H120="",H120=0,U120="",U120=0),"",H120/U120)</f>
        <v>0.5661</v>
      </c>
      <c r="W120" s="41" t="n">
        <f aca="false">IF(I120="","",I120+N(N120+O120+P120))</f>
        <v>1.5</v>
      </c>
      <c r="X120" s="41" t="n">
        <f aca="false">IF(OR(W120="",F120=""),"",W120/(1+F120))</f>
        <v>1.35135135135135</v>
      </c>
      <c r="Y120" s="42" t="n">
        <f aca="false">IF(OR(H120="",H120=0,X120="",X120=0),"",H120/X120)</f>
        <v>0.5661</v>
      </c>
    </row>
    <row r="121" customFormat="false" ht="15" hidden="false" customHeight="true" outlineLevel="0" collapsed="false">
      <c r="A121" s="5" t="s">
        <v>749</v>
      </c>
      <c r="B121" s="5" t="s">
        <v>444</v>
      </c>
      <c r="C121" s="5" t="s">
        <v>431</v>
      </c>
      <c r="D121" s="5" t="s">
        <v>642</v>
      </c>
      <c r="E121" s="5" t="s">
        <v>643</v>
      </c>
      <c r="F121" s="28" t="n">
        <f aca="false">IF(E121="","",IF(E121="DRINKS",0.21,0.11))</f>
        <v>0.11</v>
      </c>
      <c r="G121" s="29" t="n">
        <f aca="false">IF(B121="","",SUMIF(RETETAR!A:A,B121,RETETAR!F:F))</f>
        <v>0.24702</v>
      </c>
      <c r="H121" s="30" t="n">
        <f aca="false">IF(B121="","",SUMIF(RETETAR!A:A,B121,RETETAR!H:H))</f>
        <v>0.24702</v>
      </c>
      <c r="I121" s="31" t="n">
        <v>2</v>
      </c>
      <c r="J121" s="32" t="n">
        <f aca="false">IF(OR(I121="",F121=""),"",I121/(1+F121))</f>
        <v>1.8018018018018</v>
      </c>
      <c r="K121" s="33" t="n">
        <f aca="false">IF(OR(G121="",G121=0,J121="",J121=0),"",G121/J121)</f>
        <v>0.1370961</v>
      </c>
      <c r="L121" s="34" t="n">
        <f aca="false">IF(OR(H121="",H121=0,J121="",J121=0),"",H121/J121)</f>
        <v>0.1370961</v>
      </c>
      <c r="M121" s="35"/>
      <c r="N121" s="36" t="n">
        <v>0</v>
      </c>
      <c r="O121" s="36" t="n">
        <v>0</v>
      </c>
      <c r="P121" s="36" t="n">
        <v>0</v>
      </c>
      <c r="Q121" s="37" t="n">
        <f aca="false">IF(I121="","",I121+N(N121))</f>
        <v>2</v>
      </c>
      <c r="R121" s="37" t="n">
        <f aca="false">IF(OR(Q121="",F121=""),"",Q121/(1+F121))</f>
        <v>1.8018018018018</v>
      </c>
      <c r="S121" s="38" t="n">
        <f aca="false">IF(OR(H121="",H121=0,R121="",R121=0),"",H121/R121)</f>
        <v>0.1370961</v>
      </c>
      <c r="T121" s="39" t="n">
        <f aca="false">IF(I121="","",I121+N(N121+O121))</f>
        <v>2</v>
      </c>
      <c r="U121" s="39" t="n">
        <f aca="false">IF(OR(T121="",F121=""),"",T121/(1+F121))</f>
        <v>1.8018018018018</v>
      </c>
      <c r="V121" s="40" t="n">
        <f aca="false">IF(OR(H121="",H121=0,U121="",U121=0),"",H121/U121)</f>
        <v>0.1370961</v>
      </c>
      <c r="W121" s="41" t="n">
        <f aca="false">IF(I121="","",I121+N(N121+O121+P121))</f>
        <v>2</v>
      </c>
      <c r="X121" s="41" t="n">
        <f aca="false">IF(OR(W121="",F121=""),"",W121/(1+F121))</f>
        <v>1.8018018018018</v>
      </c>
      <c r="Y121" s="42" t="n">
        <f aca="false">IF(OR(H121="",H121=0,X121="",X121=0),"",H121/X121)</f>
        <v>0.1370961</v>
      </c>
    </row>
    <row r="122" customFormat="false" ht="15" hidden="false" customHeight="true" outlineLevel="0" collapsed="false">
      <c r="A122" s="5" t="s">
        <v>750</v>
      </c>
      <c r="B122" s="5" t="s">
        <v>445</v>
      </c>
      <c r="C122" s="5" t="s">
        <v>431</v>
      </c>
      <c r="D122" s="5" t="s">
        <v>645</v>
      </c>
      <c r="E122" s="5" t="s">
        <v>643</v>
      </c>
      <c r="F122" s="28" t="n">
        <f aca="false">IF(E122="","",IF(E122="DRINKS",0.21,0.11))</f>
        <v>0.11</v>
      </c>
      <c r="G122" s="29" t="n">
        <f aca="false">IF(B122="","",SUMIF(RETETAR!A:A,B122,RETETAR!F:F))</f>
        <v>0.24702</v>
      </c>
      <c r="H122" s="30" t="n">
        <f aca="false">IF(B122="","",SUMIF(RETETAR!A:A,B122,RETETAR!H:H))</f>
        <v>0.24702</v>
      </c>
      <c r="I122" s="31" t="n">
        <v>2</v>
      </c>
      <c r="J122" s="32" t="n">
        <f aca="false">IF(OR(I122="",F122=""),"",I122/(1+F122))</f>
        <v>1.8018018018018</v>
      </c>
      <c r="K122" s="33" t="n">
        <f aca="false">IF(OR(G122="",G122=0,J122="",J122=0),"",G122/J122)</f>
        <v>0.1370961</v>
      </c>
      <c r="L122" s="34" t="n">
        <f aca="false">IF(OR(H122="",H122=0,J122="",J122=0),"",H122/J122)</f>
        <v>0.1370961</v>
      </c>
      <c r="M122" s="35"/>
      <c r="N122" s="36" t="n">
        <v>0</v>
      </c>
      <c r="O122" s="36" t="n">
        <v>0</v>
      </c>
      <c r="P122" s="36" t="n">
        <v>0</v>
      </c>
      <c r="Q122" s="37" t="n">
        <f aca="false">IF(I122="","",I122+N(N122))</f>
        <v>2</v>
      </c>
      <c r="R122" s="37" t="n">
        <f aca="false">IF(OR(Q122="",F122=""),"",Q122/(1+F122))</f>
        <v>1.8018018018018</v>
      </c>
      <c r="S122" s="38" t="n">
        <f aca="false">IF(OR(H122="",H122=0,R122="",R122=0),"",H122/R122)</f>
        <v>0.1370961</v>
      </c>
      <c r="T122" s="39" t="n">
        <f aca="false">IF(I122="","",I122+N(N122+O122))</f>
        <v>2</v>
      </c>
      <c r="U122" s="39" t="n">
        <f aca="false">IF(OR(T122="",F122=""),"",T122/(1+F122))</f>
        <v>1.8018018018018</v>
      </c>
      <c r="V122" s="40" t="n">
        <f aca="false">IF(OR(H122="",H122=0,U122="",U122=0),"",H122/U122)</f>
        <v>0.1370961</v>
      </c>
      <c r="W122" s="41" t="n">
        <f aca="false">IF(I122="","",I122+N(N122+O122+P122))</f>
        <v>2</v>
      </c>
      <c r="X122" s="41" t="n">
        <f aca="false">IF(OR(W122="",F122=""),"",W122/(1+F122))</f>
        <v>1.8018018018018</v>
      </c>
      <c r="Y122" s="42" t="n">
        <f aca="false">IF(OR(H122="",H122=0,X122="",X122=0),"",H122/X122)</f>
        <v>0.1370961</v>
      </c>
    </row>
    <row r="123" customFormat="false" ht="15" hidden="false" customHeight="true" outlineLevel="0" collapsed="false">
      <c r="A123" s="5" t="s">
        <v>751</v>
      </c>
      <c r="B123" s="5" t="s">
        <v>446</v>
      </c>
      <c r="C123" s="5" t="s">
        <v>431</v>
      </c>
      <c r="D123" s="5" t="s">
        <v>642</v>
      </c>
      <c r="E123" s="5" t="s">
        <v>643</v>
      </c>
      <c r="F123" s="28" t="n">
        <f aca="false">IF(E123="","",IF(E123="DRINKS",0.21,0.11))</f>
        <v>0.11</v>
      </c>
      <c r="G123" s="29" t="n">
        <f aca="false">IF(B123="","",SUMIF(RETETAR!A:A,B123,RETETAR!F:F))</f>
        <v>2.87065</v>
      </c>
      <c r="H123" s="30" t="n">
        <f aca="false">IF(B123="","",SUMIF(RETETAR!A:A,B123,RETETAR!H:H))</f>
        <v>2.87065</v>
      </c>
      <c r="I123" s="31" t="n">
        <v>7</v>
      </c>
      <c r="J123" s="32" t="n">
        <f aca="false">IF(OR(I123="",F123=""),"",I123/(1+F123))</f>
        <v>6.30630630630631</v>
      </c>
      <c r="K123" s="33" t="n">
        <f aca="false">IF(OR(G123="",G123=0,J123="",J123=0),"",G123/J123)</f>
        <v>0.455203071428571</v>
      </c>
      <c r="L123" s="34" t="n">
        <f aca="false">IF(OR(H123="",H123=0,J123="",J123=0),"",H123/J123)</f>
        <v>0.455203071428571</v>
      </c>
      <c r="M123" s="35"/>
      <c r="N123" s="36" t="n">
        <v>0</v>
      </c>
      <c r="O123" s="36" t="n">
        <v>0</v>
      </c>
      <c r="P123" s="36" t="n">
        <v>0</v>
      </c>
      <c r="Q123" s="37" t="n">
        <f aca="false">IF(I123="","",I123+N(N123))</f>
        <v>7</v>
      </c>
      <c r="R123" s="37" t="n">
        <f aca="false">IF(OR(Q123="",F123=""),"",Q123/(1+F123))</f>
        <v>6.30630630630631</v>
      </c>
      <c r="S123" s="38" t="n">
        <f aca="false">IF(OR(H123="",H123=0,R123="",R123=0),"",H123/R123)</f>
        <v>0.455203071428571</v>
      </c>
      <c r="T123" s="39" t="n">
        <f aca="false">IF(I123="","",I123+N(N123+O123))</f>
        <v>7</v>
      </c>
      <c r="U123" s="39" t="n">
        <f aca="false">IF(OR(T123="",F123=""),"",T123/(1+F123))</f>
        <v>6.30630630630631</v>
      </c>
      <c r="V123" s="40" t="n">
        <f aca="false">IF(OR(H123="",H123=0,U123="",U123=0),"",H123/U123)</f>
        <v>0.455203071428571</v>
      </c>
      <c r="W123" s="41" t="n">
        <f aca="false">IF(I123="","",I123+N(N123+O123+P123))</f>
        <v>7</v>
      </c>
      <c r="X123" s="41" t="n">
        <f aca="false">IF(OR(W123="",F123=""),"",W123/(1+F123))</f>
        <v>6.30630630630631</v>
      </c>
      <c r="Y123" s="42" t="n">
        <f aca="false">IF(OR(H123="",H123=0,X123="",X123=0),"",H123/X123)</f>
        <v>0.455203071428571</v>
      </c>
    </row>
    <row r="124" customFormat="false" ht="15" hidden="false" customHeight="true" outlineLevel="0" collapsed="false">
      <c r="A124" s="5" t="s">
        <v>752</v>
      </c>
      <c r="B124" s="5" t="s">
        <v>447</v>
      </c>
      <c r="C124" s="5" t="s">
        <v>431</v>
      </c>
      <c r="D124" s="5" t="s">
        <v>645</v>
      </c>
      <c r="E124" s="5" t="s">
        <v>643</v>
      </c>
      <c r="F124" s="28" t="n">
        <f aca="false">IF(E124="","",IF(E124="DRINKS",0.21,0.11))</f>
        <v>0.11</v>
      </c>
      <c r="G124" s="29" t="n">
        <f aca="false">IF(B124="","",SUMIF(RETETAR!A:A,B124,RETETAR!F:F))</f>
        <v>2.87065</v>
      </c>
      <c r="H124" s="30" t="n">
        <f aca="false">IF(B124="","",SUMIF(RETETAR!A:A,B124,RETETAR!H:H))</f>
        <v>2.87065</v>
      </c>
      <c r="I124" s="31" t="n">
        <v>7</v>
      </c>
      <c r="J124" s="32" t="n">
        <f aca="false">IF(OR(I124="",F124=""),"",I124/(1+F124))</f>
        <v>6.30630630630631</v>
      </c>
      <c r="K124" s="33" t="n">
        <f aca="false">IF(OR(G124="",G124=0,J124="",J124=0),"",G124/J124)</f>
        <v>0.455203071428571</v>
      </c>
      <c r="L124" s="34" t="n">
        <f aca="false">IF(OR(H124="",H124=0,J124="",J124=0),"",H124/J124)</f>
        <v>0.455203071428571</v>
      </c>
      <c r="M124" s="35"/>
      <c r="N124" s="36" t="n">
        <v>0</v>
      </c>
      <c r="O124" s="36" t="n">
        <v>0</v>
      </c>
      <c r="P124" s="36" t="n">
        <v>0</v>
      </c>
      <c r="Q124" s="37" t="n">
        <f aca="false">IF(I124="","",I124+N(N124))</f>
        <v>7</v>
      </c>
      <c r="R124" s="37" t="n">
        <f aca="false">IF(OR(Q124="",F124=""),"",Q124/(1+F124))</f>
        <v>6.30630630630631</v>
      </c>
      <c r="S124" s="38" t="n">
        <f aca="false">IF(OR(H124="",H124=0,R124="",R124=0),"",H124/R124)</f>
        <v>0.455203071428571</v>
      </c>
      <c r="T124" s="39" t="n">
        <f aca="false">IF(I124="","",I124+N(N124+O124))</f>
        <v>7</v>
      </c>
      <c r="U124" s="39" t="n">
        <f aca="false">IF(OR(T124="",F124=""),"",T124/(1+F124))</f>
        <v>6.30630630630631</v>
      </c>
      <c r="V124" s="40" t="n">
        <f aca="false">IF(OR(H124="",H124=0,U124="",U124=0),"",H124/U124)</f>
        <v>0.455203071428571</v>
      </c>
      <c r="W124" s="41" t="n">
        <f aca="false">IF(I124="","",I124+N(N124+O124+P124))</f>
        <v>7</v>
      </c>
      <c r="X124" s="41" t="n">
        <f aca="false">IF(OR(W124="",F124=""),"",W124/(1+F124))</f>
        <v>6.30630630630631</v>
      </c>
      <c r="Y124" s="42" t="n">
        <f aca="false">IF(OR(H124="",H124=0,X124="",X124=0),"",H124/X124)</f>
        <v>0.455203071428571</v>
      </c>
    </row>
    <row r="125" customFormat="false" ht="15" hidden="false" customHeight="true" outlineLevel="0" collapsed="false">
      <c r="A125" s="5" t="s">
        <v>448</v>
      </c>
      <c r="B125" s="5" t="s">
        <v>448</v>
      </c>
      <c r="C125" s="5" t="s">
        <v>431</v>
      </c>
      <c r="D125" s="5" t="s">
        <v>642</v>
      </c>
      <c r="E125" s="5" t="s">
        <v>643</v>
      </c>
      <c r="F125" s="28" t="n">
        <f aca="false">IF(E125="","",IF(E125="DRINKS",0.21,0.11))</f>
        <v>0.11</v>
      </c>
      <c r="G125" s="29" t="n">
        <f aca="false">IF(B125="","",SUMIF(RETETAR!A:A,B125,RETETAR!F:F))</f>
        <v>0.765</v>
      </c>
      <c r="H125" s="30" t="n">
        <f aca="false">IF(B125="","",SUMIF(RETETAR!A:A,B125,RETETAR!H:H))</f>
        <v>0.765</v>
      </c>
      <c r="I125" s="31" t="n">
        <v>5</v>
      </c>
      <c r="J125" s="32" t="n">
        <f aca="false">IF(OR(I125="",F125=""),"",I125/(1+F125))</f>
        <v>4.5045045045045</v>
      </c>
      <c r="K125" s="33" t="n">
        <f aca="false">IF(OR(G125="",G125=0,J125="",J125=0),"",G125/J125)</f>
        <v>0.16983</v>
      </c>
      <c r="L125" s="34" t="n">
        <f aca="false">IF(OR(H125="",H125=0,J125="",J125=0),"",H125/J125)</f>
        <v>0.16983</v>
      </c>
      <c r="M125" s="35"/>
      <c r="N125" s="36" t="n">
        <v>0</v>
      </c>
      <c r="O125" s="36" t="n">
        <v>0</v>
      </c>
      <c r="P125" s="36" t="n">
        <v>0</v>
      </c>
      <c r="Q125" s="37" t="n">
        <f aca="false">IF(I125="","",I125+N(N125))</f>
        <v>5</v>
      </c>
      <c r="R125" s="37" t="n">
        <f aca="false">IF(OR(Q125="",F125=""),"",Q125/(1+F125))</f>
        <v>4.5045045045045</v>
      </c>
      <c r="S125" s="38" t="n">
        <f aca="false">IF(OR(H125="",H125=0,R125="",R125=0),"",H125/R125)</f>
        <v>0.16983</v>
      </c>
      <c r="T125" s="39" t="n">
        <f aca="false">IF(I125="","",I125+N(N125+O125))</f>
        <v>5</v>
      </c>
      <c r="U125" s="39" t="n">
        <f aca="false">IF(OR(T125="",F125=""),"",T125/(1+F125))</f>
        <v>4.5045045045045</v>
      </c>
      <c r="V125" s="40" t="n">
        <f aca="false">IF(OR(H125="",H125=0,U125="",U125=0),"",H125/U125)</f>
        <v>0.16983</v>
      </c>
      <c r="W125" s="41" t="n">
        <f aca="false">IF(I125="","",I125+N(N125+O125+P125))</f>
        <v>5</v>
      </c>
      <c r="X125" s="41" t="n">
        <f aca="false">IF(OR(W125="",F125=""),"",W125/(1+F125))</f>
        <v>4.5045045045045</v>
      </c>
      <c r="Y125" s="42" t="n">
        <f aca="false">IF(OR(H125="",H125=0,X125="",X125=0),"",H125/X125)</f>
        <v>0.16983</v>
      </c>
    </row>
    <row r="126" customFormat="false" ht="15" hidden="false" customHeight="true" outlineLevel="0" collapsed="false">
      <c r="A126" s="5" t="s">
        <v>449</v>
      </c>
      <c r="B126" s="5" t="s">
        <v>449</v>
      </c>
      <c r="C126" s="5" t="s">
        <v>431</v>
      </c>
      <c r="D126" s="5" t="s">
        <v>645</v>
      </c>
      <c r="E126" s="5" t="s">
        <v>643</v>
      </c>
      <c r="F126" s="28" t="n">
        <f aca="false">IF(E126="","",IF(E126="DRINKS",0.21,0.11))</f>
        <v>0.11</v>
      </c>
      <c r="G126" s="29" t="n">
        <f aca="false">IF(B126="","",SUMIF(RETETAR!A:A,B126,RETETAR!F:F))</f>
        <v>0.765</v>
      </c>
      <c r="H126" s="30" t="n">
        <f aca="false">IF(B126="","",SUMIF(RETETAR!A:A,B126,RETETAR!H:H))</f>
        <v>0.765</v>
      </c>
      <c r="I126" s="31" t="n">
        <v>5</v>
      </c>
      <c r="J126" s="32" t="n">
        <f aca="false">IF(OR(I126="",F126=""),"",I126/(1+F126))</f>
        <v>4.5045045045045</v>
      </c>
      <c r="K126" s="33" t="n">
        <f aca="false">IF(OR(G126="",G126=0,J126="",J126=0),"",G126/J126)</f>
        <v>0.16983</v>
      </c>
      <c r="L126" s="34" t="n">
        <f aca="false">IF(OR(H126="",H126=0,J126="",J126=0),"",H126/J126)</f>
        <v>0.16983</v>
      </c>
      <c r="M126" s="35"/>
      <c r="N126" s="36" t="n">
        <v>0</v>
      </c>
      <c r="O126" s="36" t="n">
        <v>0</v>
      </c>
      <c r="P126" s="36" t="n">
        <v>0</v>
      </c>
      <c r="Q126" s="37" t="n">
        <f aca="false">IF(I126="","",I126+N(N126))</f>
        <v>5</v>
      </c>
      <c r="R126" s="37" t="n">
        <f aca="false">IF(OR(Q126="",F126=""),"",Q126/(1+F126))</f>
        <v>4.5045045045045</v>
      </c>
      <c r="S126" s="38" t="n">
        <f aca="false">IF(OR(H126="",H126=0,R126="",R126=0),"",H126/R126)</f>
        <v>0.16983</v>
      </c>
      <c r="T126" s="39" t="n">
        <f aca="false">IF(I126="","",I126+N(N126+O126))</f>
        <v>5</v>
      </c>
      <c r="U126" s="39" t="n">
        <f aca="false">IF(OR(T126="",F126=""),"",T126/(1+F126))</f>
        <v>4.5045045045045</v>
      </c>
      <c r="V126" s="40" t="n">
        <f aca="false">IF(OR(H126="",H126=0,U126="",U126=0),"",H126/U126)</f>
        <v>0.16983</v>
      </c>
      <c r="W126" s="41" t="n">
        <f aca="false">IF(I126="","",I126+N(N126+O126+P126))</f>
        <v>5</v>
      </c>
      <c r="X126" s="41" t="n">
        <f aca="false">IF(OR(W126="",F126=""),"",W126/(1+F126))</f>
        <v>4.5045045045045</v>
      </c>
      <c r="Y126" s="42" t="n">
        <f aca="false">IF(OR(H126="",H126=0,X126="",X126=0),"",H126/X126)</f>
        <v>0.16983</v>
      </c>
    </row>
    <row r="127" customFormat="false" ht="15" hidden="false" customHeight="true" outlineLevel="0" collapsed="false">
      <c r="A127" s="5" t="s">
        <v>450</v>
      </c>
      <c r="B127" s="5" t="s">
        <v>450</v>
      </c>
      <c r="C127" s="5" t="s">
        <v>431</v>
      </c>
      <c r="D127" s="5" t="s">
        <v>642</v>
      </c>
      <c r="E127" s="5" t="s">
        <v>643</v>
      </c>
      <c r="F127" s="28" t="n">
        <f aca="false">IF(E127="","",IF(E127="DRINKS",0.21,0.11))</f>
        <v>0.11</v>
      </c>
      <c r="G127" s="29" t="n">
        <f aca="false">IF(B127="","",SUMIF(RETETAR!A:A,B127,RETETAR!F:F))</f>
        <v>0.491</v>
      </c>
      <c r="H127" s="30" t="n">
        <f aca="false">IF(B127="","",SUMIF(RETETAR!A:A,B127,RETETAR!H:H))</f>
        <v>0.491</v>
      </c>
      <c r="I127" s="31" t="n">
        <v>5</v>
      </c>
      <c r="J127" s="32" t="n">
        <f aca="false">IF(OR(I127="",F127=""),"",I127/(1+F127))</f>
        <v>4.5045045045045</v>
      </c>
      <c r="K127" s="33" t="n">
        <f aca="false">IF(OR(G127="",G127=0,J127="",J127=0),"",G127/J127)</f>
        <v>0.109002</v>
      </c>
      <c r="L127" s="34" t="n">
        <f aca="false">IF(OR(H127="",H127=0,J127="",J127=0),"",H127/J127)</f>
        <v>0.109002</v>
      </c>
      <c r="M127" s="35"/>
      <c r="N127" s="36" t="n">
        <v>0</v>
      </c>
      <c r="O127" s="36" t="n">
        <v>0</v>
      </c>
      <c r="P127" s="36" t="n">
        <v>0</v>
      </c>
      <c r="Q127" s="37" t="n">
        <f aca="false">IF(I127="","",I127+N(N127))</f>
        <v>5</v>
      </c>
      <c r="R127" s="37" t="n">
        <f aca="false">IF(OR(Q127="",F127=""),"",Q127/(1+F127))</f>
        <v>4.5045045045045</v>
      </c>
      <c r="S127" s="38" t="n">
        <f aca="false">IF(OR(H127="",H127=0,R127="",R127=0),"",H127/R127)</f>
        <v>0.109002</v>
      </c>
      <c r="T127" s="39" t="n">
        <f aca="false">IF(I127="","",I127+N(N127+O127))</f>
        <v>5</v>
      </c>
      <c r="U127" s="39" t="n">
        <f aca="false">IF(OR(T127="",F127=""),"",T127/(1+F127))</f>
        <v>4.5045045045045</v>
      </c>
      <c r="V127" s="40" t="n">
        <f aca="false">IF(OR(H127="",H127=0,U127="",U127=0),"",H127/U127)</f>
        <v>0.109002</v>
      </c>
      <c r="W127" s="41" t="n">
        <f aca="false">IF(I127="","",I127+N(N127+O127+P127))</f>
        <v>5</v>
      </c>
      <c r="X127" s="41" t="n">
        <f aca="false">IF(OR(W127="",F127=""),"",W127/(1+F127))</f>
        <v>4.5045045045045</v>
      </c>
      <c r="Y127" s="42" t="n">
        <f aca="false">IF(OR(H127="",H127=0,X127="",X127=0),"",H127/X127)</f>
        <v>0.109002</v>
      </c>
    </row>
    <row r="128" customFormat="false" ht="15" hidden="false" customHeight="true" outlineLevel="0" collapsed="false">
      <c r="A128" s="5" t="s">
        <v>451</v>
      </c>
      <c r="B128" s="5" t="s">
        <v>451</v>
      </c>
      <c r="C128" s="5" t="s">
        <v>431</v>
      </c>
      <c r="D128" s="5" t="s">
        <v>645</v>
      </c>
      <c r="E128" s="5" t="s">
        <v>643</v>
      </c>
      <c r="F128" s="28" t="n">
        <f aca="false">IF(E128="","",IF(E128="DRINKS",0.21,0.11))</f>
        <v>0.11</v>
      </c>
      <c r="G128" s="29" t="n">
        <f aca="false">IF(B128="","",SUMIF(RETETAR!A:A,B128,RETETAR!F:F))</f>
        <v>0.491</v>
      </c>
      <c r="H128" s="30" t="n">
        <f aca="false">IF(B128="","",SUMIF(RETETAR!A:A,B128,RETETAR!H:H))</f>
        <v>0.491</v>
      </c>
      <c r="I128" s="31" t="n">
        <v>5</v>
      </c>
      <c r="J128" s="32" t="n">
        <f aca="false">IF(OR(I128="",F128=""),"",I128/(1+F128))</f>
        <v>4.5045045045045</v>
      </c>
      <c r="K128" s="33" t="n">
        <f aca="false">IF(OR(G128="",G128=0,J128="",J128=0),"",G128/J128)</f>
        <v>0.109002</v>
      </c>
      <c r="L128" s="34" t="n">
        <f aca="false">IF(OR(H128="",H128=0,J128="",J128=0),"",H128/J128)</f>
        <v>0.109002</v>
      </c>
      <c r="M128" s="35"/>
      <c r="N128" s="36" t="n">
        <v>0</v>
      </c>
      <c r="O128" s="36" t="n">
        <v>0</v>
      </c>
      <c r="P128" s="36" t="n">
        <v>0</v>
      </c>
      <c r="Q128" s="37" t="n">
        <f aca="false">IF(I128="","",I128+N(N128))</f>
        <v>5</v>
      </c>
      <c r="R128" s="37" t="n">
        <f aca="false">IF(OR(Q128="",F128=""),"",Q128/(1+F128))</f>
        <v>4.5045045045045</v>
      </c>
      <c r="S128" s="38" t="n">
        <f aca="false">IF(OR(H128="",H128=0,R128="",R128=0),"",H128/R128)</f>
        <v>0.109002</v>
      </c>
      <c r="T128" s="39" t="n">
        <f aca="false">IF(I128="","",I128+N(N128+O128))</f>
        <v>5</v>
      </c>
      <c r="U128" s="39" t="n">
        <f aca="false">IF(OR(T128="",F128=""),"",T128/(1+F128))</f>
        <v>4.5045045045045</v>
      </c>
      <c r="V128" s="40" t="n">
        <f aca="false">IF(OR(H128="",H128=0,U128="",U128=0),"",H128/U128)</f>
        <v>0.109002</v>
      </c>
      <c r="W128" s="41" t="n">
        <f aca="false">IF(I128="","",I128+N(N128+O128+P128))</f>
        <v>5</v>
      </c>
      <c r="X128" s="41" t="n">
        <f aca="false">IF(OR(W128="",F128=""),"",W128/(1+F128))</f>
        <v>4.5045045045045</v>
      </c>
      <c r="Y128" s="42" t="n">
        <f aca="false">IF(OR(H128="",H128=0,X128="",X128=0),"",H128/X128)</f>
        <v>0.109002</v>
      </c>
    </row>
    <row r="129" customFormat="false" ht="15" hidden="false" customHeight="true" outlineLevel="0" collapsed="false">
      <c r="A129" s="5" t="s">
        <v>753</v>
      </c>
      <c r="B129" s="5" t="s">
        <v>452</v>
      </c>
      <c r="C129" s="5" t="s">
        <v>453</v>
      </c>
      <c r="D129" s="5" t="s">
        <v>642</v>
      </c>
      <c r="E129" s="5" t="s">
        <v>643</v>
      </c>
      <c r="F129" s="28" t="n">
        <f aca="false">IF(E129="","",IF(E129="DRINKS",0.21,0.11))</f>
        <v>0.11</v>
      </c>
      <c r="G129" s="29" t="n">
        <f aca="false">IF(B129="","",SUMIF(RETETAR!A:A,B129,RETETAR!F:F))</f>
        <v>2.272</v>
      </c>
      <c r="H129" s="30" t="n">
        <f aca="false">IF(B129="","",SUMIF(RETETAR!A:A,B129,RETETAR!H:H))</f>
        <v>2.272</v>
      </c>
      <c r="I129" s="31" t="n">
        <v>6</v>
      </c>
      <c r="J129" s="32" t="n">
        <f aca="false">IF(OR(I129="",F129=""),"",I129/(1+F129))</f>
        <v>5.40540540540541</v>
      </c>
      <c r="K129" s="33" t="n">
        <f aca="false">IF(OR(G129="",G129=0,J129="",J129=0),"",G129/J129)</f>
        <v>0.42032</v>
      </c>
      <c r="L129" s="34" t="n">
        <f aca="false">IF(OR(H129="",H129=0,J129="",J129=0),"",H129/J129)</f>
        <v>0.42032</v>
      </c>
      <c r="M129" s="35"/>
      <c r="N129" s="36" t="n">
        <v>0.1</v>
      </c>
      <c r="O129" s="36" t="n">
        <v>0.2</v>
      </c>
      <c r="P129" s="36" t="n">
        <v>0.19</v>
      </c>
      <c r="Q129" s="37" t="n">
        <f aca="false">IF(I129="","",I129+N(N129))</f>
        <v>6.1</v>
      </c>
      <c r="R129" s="37" t="n">
        <f aca="false">IF(OR(Q129="",F129=""),"",Q129/(1+F129))</f>
        <v>5.49549549549549</v>
      </c>
      <c r="S129" s="38" t="n">
        <f aca="false">IF(OR(H129="",H129=0,R129="",R129=0),"",H129/R129)</f>
        <v>0.413429508196721</v>
      </c>
      <c r="T129" s="39" t="n">
        <f aca="false">IF(I129="","",I129+N(N129+O129))</f>
        <v>6.3</v>
      </c>
      <c r="U129" s="39" t="n">
        <f aca="false">IF(OR(T129="",F129=""),"",T129/(1+F129))</f>
        <v>5.67567567567568</v>
      </c>
      <c r="V129" s="40" t="n">
        <f aca="false">IF(OR(H129="",H129=0,U129="",U129=0),"",H129/U129)</f>
        <v>0.400304761904762</v>
      </c>
      <c r="W129" s="41" t="n">
        <f aca="false">IF(I129="","",I129+N(N129+O129+P129))</f>
        <v>6.49</v>
      </c>
      <c r="X129" s="41" t="n">
        <f aca="false">IF(OR(W129="",F129=""),"",W129/(1+F129))</f>
        <v>5.84684684684685</v>
      </c>
      <c r="Y129" s="42" t="n">
        <f aca="false">IF(OR(H129="",H129=0,X129="",X129=0),"",H129/X129)</f>
        <v>0.388585516178737</v>
      </c>
    </row>
    <row r="130" customFormat="false" ht="15" hidden="false" customHeight="true" outlineLevel="0" collapsed="false">
      <c r="A130" s="5" t="s">
        <v>754</v>
      </c>
      <c r="B130" s="5" t="s">
        <v>454</v>
      </c>
      <c r="C130" s="5" t="s">
        <v>453</v>
      </c>
      <c r="D130" s="5" t="s">
        <v>645</v>
      </c>
      <c r="E130" s="5" t="s">
        <v>643</v>
      </c>
      <c r="F130" s="28" t="n">
        <f aca="false">IF(E130="","",IF(E130="DRINKS",0.21,0.11))</f>
        <v>0.11</v>
      </c>
      <c r="G130" s="29" t="n">
        <f aca="false">IF(B130="","",SUMIF(RETETAR!A:A,B130,RETETAR!F:F))</f>
        <v>2.272</v>
      </c>
      <c r="H130" s="30" t="n">
        <f aca="false">IF(B130="","",SUMIF(RETETAR!A:A,B130,RETETAR!H:H))</f>
        <v>2.272</v>
      </c>
      <c r="I130" s="31" t="n">
        <v>6</v>
      </c>
      <c r="J130" s="32" t="n">
        <f aca="false">IF(OR(I130="",F130=""),"",I130/(1+F130))</f>
        <v>5.40540540540541</v>
      </c>
      <c r="K130" s="33" t="n">
        <f aca="false">IF(OR(G130="",G130=0,J130="",J130=0),"",G130/J130)</f>
        <v>0.42032</v>
      </c>
      <c r="L130" s="34" t="n">
        <f aca="false">IF(OR(H130="",H130=0,J130="",J130=0),"",H130/J130)</f>
        <v>0.42032</v>
      </c>
      <c r="M130" s="35"/>
      <c r="N130" s="36" t="n">
        <v>0.1</v>
      </c>
      <c r="O130" s="36" t="n">
        <v>0.2</v>
      </c>
      <c r="P130" s="36" t="n">
        <v>0.19</v>
      </c>
      <c r="Q130" s="37" t="n">
        <f aca="false">IF(I130="","",I130+N(N130))</f>
        <v>6.1</v>
      </c>
      <c r="R130" s="37" t="n">
        <f aca="false">IF(OR(Q130="",F130=""),"",Q130/(1+F130))</f>
        <v>5.49549549549549</v>
      </c>
      <c r="S130" s="38" t="n">
        <f aca="false">IF(OR(H130="",H130=0,R130="",R130=0),"",H130/R130)</f>
        <v>0.413429508196721</v>
      </c>
      <c r="T130" s="39" t="n">
        <f aca="false">IF(I130="","",I130+N(N130+O130))</f>
        <v>6.3</v>
      </c>
      <c r="U130" s="39" t="n">
        <f aca="false">IF(OR(T130="",F130=""),"",T130/(1+F130))</f>
        <v>5.67567567567568</v>
      </c>
      <c r="V130" s="40" t="n">
        <f aca="false">IF(OR(H130="",H130=0,U130="",U130=0),"",H130/U130)</f>
        <v>0.400304761904762</v>
      </c>
      <c r="W130" s="41" t="n">
        <f aca="false">IF(I130="","",I130+N(N130+O130+P130))</f>
        <v>6.49</v>
      </c>
      <c r="X130" s="41" t="n">
        <f aca="false">IF(OR(W130="",F130=""),"",W130/(1+F130))</f>
        <v>5.84684684684685</v>
      </c>
      <c r="Y130" s="42" t="n">
        <f aca="false">IF(OR(H130="",H130=0,X130="",X130=0),"",H130/X130)</f>
        <v>0.388585516178737</v>
      </c>
    </row>
    <row r="131" customFormat="false" ht="15" hidden="false" customHeight="true" outlineLevel="0" collapsed="false">
      <c r="A131" s="5" t="s">
        <v>755</v>
      </c>
      <c r="B131" s="5" t="s">
        <v>455</v>
      </c>
      <c r="C131" s="5" t="s">
        <v>453</v>
      </c>
      <c r="D131" s="5" t="s">
        <v>642</v>
      </c>
      <c r="E131" s="5" t="s">
        <v>643</v>
      </c>
      <c r="F131" s="28" t="n">
        <f aca="false">IF(E131="","",IF(E131="DRINKS",0.21,0.11))</f>
        <v>0.11</v>
      </c>
      <c r="G131" s="29" t="n">
        <f aca="false">IF(B131="","",SUMIF(RETETAR!A:A,B131,RETETAR!F:F))</f>
        <v>2.112</v>
      </c>
      <c r="H131" s="30" t="n">
        <f aca="false">IF(B131="","",SUMIF(RETETAR!A:A,B131,RETETAR!H:H))</f>
        <v>2.112</v>
      </c>
      <c r="I131" s="31" t="n">
        <v>6</v>
      </c>
      <c r="J131" s="32" t="n">
        <f aca="false">IF(OR(I131="",F131=""),"",I131/(1+F131))</f>
        <v>5.40540540540541</v>
      </c>
      <c r="K131" s="33" t="n">
        <f aca="false">IF(OR(G131="",G131=0,J131="",J131=0),"",G131/J131)</f>
        <v>0.39072</v>
      </c>
      <c r="L131" s="34" t="n">
        <f aca="false">IF(OR(H131="",H131=0,J131="",J131=0),"",H131/J131)</f>
        <v>0.39072</v>
      </c>
      <c r="M131" s="35"/>
      <c r="N131" s="36" t="n">
        <v>0.1</v>
      </c>
      <c r="O131" s="36" t="n">
        <v>0.2</v>
      </c>
      <c r="P131" s="36" t="n">
        <v>0.19</v>
      </c>
      <c r="Q131" s="37" t="n">
        <f aca="false">IF(I131="","",I131+N(N131))</f>
        <v>6.1</v>
      </c>
      <c r="R131" s="37" t="n">
        <f aca="false">IF(OR(Q131="",F131=""),"",Q131/(1+F131))</f>
        <v>5.49549549549549</v>
      </c>
      <c r="S131" s="38" t="n">
        <f aca="false">IF(OR(H131="",H131=0,R131="",R131=0),"",H131/R131)</f>
        <v>0.384314754098361</v>
      </c>
      <c r="T131" s="39" t="n">
        <f aca="false">IF(I131="","",I131+N(N131+O131))</f>
        <v>6.3</v>
      </c>
      <c r="U131" s="39" t="n">
        <f aca="false">IF(OR(T131="",F131=""),"",T131/(1+F131))</f>
        <v>5.67567567567568</v>
      </c>
      <c r="V131" s="40" t="n">
        <f aca="false">IF(OR(H131="",H131=0,U131="",U131=0),"",H131/U131)</f>
        <v>0.372114285714286</v>
      </c>
      <c r="W131" s="41" t="n">
        <f aca="false">IF(I131="","",I131+N(N131+O131+P131))</f>
        <v>6.49</v>
      </c>
      <c r="X131" s="41" t="n">
        <f aca="false">IF(OR(W131="",F131=""),"",W131/(1+F131))</f>
        <v>5.84684684684685</v>
      </c>
      <c r="Y131" s="42" t="n">
        <f aca="false">IF(OR(H131="",H131=0,X131="",X131=0),"",H131/X131)</f>
        <v>0.361220338983051</v>
      </c>
    </row>
    <row r="132" customFormat="false" ht="15" hidden="false" customHeight="true" outlineLevel="0" collapsed="false">
      <c r="A132" s="5" t="s">
        <v>756</v>
      </c>
      <c r="B132" s="5" t="s">
        <v>456</v>
      </c>
      <c r="C132" s="5" t="s">
        <v>453</v>
      </c>
      <c r="D132" s="5" t="s">
        <v>645</v>
      </c>
      <c r="E132" s="5" t="s">
        <v>643</v>
      </c>
      <c r="F132" s="28" t="n">
        <f aca="false">IF(E132="","",IF(E132="DRINKS",0.21,0.11))</f>
        <v>0.11</v>
      </c>
      <c r="G132" s="29" t="n">
        <f aca="false">IF(B132="","",SUMIF(RETETAR!A:A,B132,RETETAR!F:F))</f>
        <v>2.112</v>
      </c>
      <c r="H132" s="30" t="n">
        <f aca="false">IF(B132="","",SUMIF(RETETAR!A:A,B132,RETETAR!H:H))</f>
        <v>2.112</v>
      </c>
      <c r="I132" s="31" t="n">
        <v>6</v>
      </c>
      <c r="J132" s="32" t="n">
        <f aca="false">IF(OR(I132="",F132=""),"",I132/(1+F132))</f>
        <v>5.40540540540541</v>
      </c>
      <c r="K132" s="33" t="n">
        <f aca="false">IF(OR(G132="",G132=0,J132="",J132=0),"",G132/J132)</f>
        <v>0.39072</v>
      </c>
      <c r="L132" s="34" t="n">
        <f aca="false">IF(OR(H132="",H132=0,J132="",J132=0),"",H132/J132)</f>
        <v>0.39072</v>
      </c>
      <c r="M132" s="35"/>
      <c r="N132" s="36" t="n">
        <v>0.1</v>
      </c>
      <c r="O132" s="36" t="n">
        <v>0.2</v>
      </c>
      <c r="P132" s="36" t="n">
        <v>0.19</v>
      </c>
      <c r="Q132" s="37" t="n">
        <f aca="false">IF(I132="","",I132+N(N132))</f>
        <v>6.1</v>
      </c>
      <c r="R132" s="37" t="n">
        <f aca="false">IF(OR(Q132="",F132=""),"",Q132/(1+F132))</f>
        <v>5.49549549549549</v>
      </c>
      <c r="S132" s="38" t="n">
        <f aca="false">IF(OR(H132="",H132=0,R132="",R132=0),"",H132/R132)</f>
        <v>0.384314754098361</v>
      </c>
      <c r="T132" s="39" t="n">
        <f aca="false">IF(I132="","",I132+N(N132+O132))</f>
        <v>6.3</v>
      </c>
      <c r="U132" s="39" t="n">
        <f aca="false">IF(OR(T132="",F132=""),"",T132/(1+F132))</f>
        <v>5.67567567567568</v>
      </c>
      <c r="V132" s="40" t="n">
        <f aca="false">IF(OR(H132="",H132=0,U132="",U132=0),"",H132/U132)</f>
        <v>0.372114285714286</v>
      </c>
      <c r="W132" s="41" t="n">
        <f aca="false">IF(I132="","",I132+N(N132+O132+P132))</f>
        <v>6.49</v>
      </c>
      <c r="X132" s="41" t="n">
        <f aca="false">IF(OR(W132="",F132=""),"",W132/(1+F132))</f>
        <v>5.84684684684685</v>
      </c>
      <c r="Y132" s="42" t="n">
        <f aca="false">IF(OR(H132="",H132=0,X132="",X132=0),"",H132/X132)</f>
        <v>0.361220338983051</v>
      </c>
    </row>
    <row r="133" customFormat="false" ht="15" hidden="false" customHeight="true" outlineLevel="0" collapsed="false">
      <c r="A133" s="5" t="s">
        <v>757</v>
      </c>
      <c r="B133" s="5" t="s">
        <v>457</v>
      </c>
      <c r="C133" s="5" t="s">
        <v>453</v>
      </c>
      <c r="D133" s="5" t="s">
        <v>642</v>
      </c>
      <c r="E133" s="5" t="s">
        <v>643</v>
      </c>
      <c r="F133" s="28" t="n">
        <f aca="false">IF(E133="","",IF(E133="DRINKS",0.21,0.11))</f>
        <v>0.11</v>
      </c>
      <c r="G133" s="29" t="n">
        <f aca="false">IF(B133="","",SUMIF(RETETAR!A:A,B133,RETETAR!F:F))</f>
        <v>1.984</v>
      </c>
      <c r="H133" s="30" t="n">
        <f aca="false">IF(B133="","",SUMIF(RETETAR!A:A,B133,RETETAR!H:H))</f>
        <v>1.984</v>
      </c>
      <c r="I133" s="31" t="n">
        <v>6</v>
      </c>
      <c r="J133" s="32" t="n">
        <f aca="false">IF(OR(I133="",F133=""),"",I133/(1+F133))</f>
        <v>5.40540540540541</v>
      </c>
      <c r="K133" s="33" t="n">
        <f aca="false">IF(OR(G133="",G133=0,J133="",J133=0),"",G133/J133)</f>
        <v>0.36704</v>
      </c>
      <c r="L133" s="34" t="n">
        <f aca="false">IF(OR(H133="",H133=0,J133="",J133=0),"",H133/J133)</f>
        <v>0.36704</v>
      </c>
      <c r="M133" s="35"/>
      <c r="N133" s="36" t="n">
        <v>0.1</v>
      </c>
      <c r="O133" s="36" t="n">
        <v>0.2</v>
      </c>
      <c r="P133" s="36" t="n">
        <v>0.19</v>
      </c>
      <c r="Q133" s="37" t="n">
        <f aca="false">IF(I133="","",I133+N(N133))</f>
        <v>6.1</v>
      </c>
      <c r="R133" s="37" t="n">
        <f aca="false">IF(OR(Q133="",F133=""),"",Q133/(1+F133))</f>
        <v>5.49549549549549</v>
      </c>
      <c r="S133" s="38" t="n">
        <f aca="false">IF(OR(H133="",H133=0,R133="",R133=0),"",H133/R133)</f>
        <v>0.361022950819672</v>
      </c>
      <c r="T133" s="39" t="n">
        <f aca="false">IF(I133="","",I133+N(N133+O133))</f>
        <v>6.3</v>
      </c>
      <c r="U133" s="39" t="n">
        <f aca="false">IF(OR(T133="",F133=""),"",T133/(1+F133))</f>
        <v>5.67567567567568</v>
      </c>
      <c r="V133" s="40" t="n">
        <f aca="false">IF(OR(H133="",H133=0,U133="",U133=0),"",H133/U133)</f>
        <v>0.349561904761905</v>
      </c>
      <c r="W133" s="41" t="n">
        <f aca="false">IF(I133="","",I133+N(N133+O133+P133))</f>
        <v>6.49</v>
      </c>
      <c r="X133" s="41" t="n">
        <f aca="false">IF(OR(W133="",F133=""),"",W133/(1+F133))</f>
        <v>5.84684684684685</v>
      </c>
      <c r="Y133" s="42" t="n">
        <f aca="false">IF(OR(H133="",H133=0,X133="",X133=0),"",H133/X133)</f>
        <v>0.339328197226502</v>
      </c>
    </row>
    <row r="134" customFormat="false" ht="15" hidden="false" customHeight="true" outlineLevel="0" collapsed="false">
      <c r="A134" s="5" t="s">
        <v>758</v>
      </c>
      <c r="B134" s="5" t="s">
        <v>458</v>
      </c>
      <c r="C134" s="5" t="s">
        <v>453</v>
      </c>
      <c r="D134" s="5" t="s">
        <v>645</v>
      </c>
      <c r="E134" s="5" t="s">
        <v>643</v>
      </c>
      <c r="F134" s="28" t="n">
        <f aca="false">IF(E134="","",IF(E134="DRINKS",0.21,0.11))</f>
        <v>0.11</v>
      </c>
      <c r="G134" s="29" t="n">
        <f aca="false">IF(B134="","",SUMIF(RETETAR!A:A,B134,RETETAR!F:F))</f>
        <v>1.984</v>
      </c>
      <c r="H134" s="30" t="n">
        <f aca="false">IF(B134="","",SUMIF(RETETAR!A:A,B134,RETETAR!H:H))</f>
        <v>1.984</v>
      </c>
      <c r="I134" s="31" t="n">
        <v>6</v>
      </c>
      <c r="J134" s="32" t="n">
        <f aca="false">IF(OR(I134="",F134=""),"",I134/(1+F134))</f>
        <v>5.40540540540541</v>
      </c>
      <c r="K134" s="33" t="n">
        <f aca="false">IF(OR(G134="",G134=0,J134="",J134=0),"",G134/J134)</f>
        <v>0.36704</v>
      </c>
      <c r="L134" s="34" t="n">
        <f aca="false">IF(OR(H134="",H134=0,J134="",J134=0),"",H134/J134)</f>
        <v>0.36704</v>
      </c>
      <c r="M134" s="35"/>
      <c r="N134" s="36" t="n">
        <v>0.1</v>
      </c>
      <c r="O134" s="36" t="n">
        <v>0.2</v>
      </c>
      <c r="P134" s="36" t="n">
        <v>0.19</v>
      </c>
      <c r="Q134" s="37" t="n">
        <f aca="false">IF(I134="","",I134+N(N134))</f>
        <v>6.1</v>
      </c>
      <c r="R134" s="37" t="n">
        <f aca="false">IF(OR(Q134="",F134=""),"",Q134/(1+F134))</f>
        <v>5.49549549549549</v>
      </c>
      <c r="S134" s="38" t="n">
        <f aca="false">IF(OR(H134="",H134=0,R134="",R134=0),"",H134/R134)</f>
        <v>0.361022950819672</v>
      </c>
      <c r="T134" s="39" t="n">
        <f aca="false">IF(I134="","",I134+N(N134+O134))</f>
        <v>6.3</v>
      </c>
      <c r="U134" s="39" t="n">
        <f aca="false">IF(OR(T134="",F134=""),"",T134/(1+F134))</f>
        <v>5.67567567567568</v>
      </c>
      <c r="V134" s="40" t="n">
        <f aca="false">IF(OR(H134="",H134=0,U134="",U134=0),"",H134/U134)</f>
        <v>0.349561904761905</v>
      </c>
      <c r="W134" s="41" t="n">
        <f aca="false">IF(I134="","",I134+N(N134+O134+P134))</f>
        <v>6.49</v>
      </c>
      <c r="X134" s="41" t="n">
        <f aca="false">IF(OR(W134="",F134=""),"",W134/(1+F134))</f>
        <v>5.84684684684685</v>
      </c>
      <c r="Y134" s="42" t="n">
        <f aca="false">IF(OR(H134="",H134=0,X134="",X134=0),"",H134/X134)</f>
        <v>0.339328197226502</v>
      </c>
    </row>
    <row r="135" customFormat="false" ht="15" hidden="false" customHeight="true" outlineLevel="0" collapsed="false">
      <c r="A135" s="5" t="s">
        <v>759</v>
      </c>
      <c r="B135" s="5" t="s">
        <v>459</v>
      </c>
      <c r="C135" s="5" t="s">
        <v>453</v>
      </c>
      <c r="D135" s="5" t="s">
        <v>642</v>
      </c>
      <c r="E135" s="5" t="s">
        <v>643</v>
      </c>
      <c r="F135" s="28" t="n">
        <f aca="false">IF(E135="","",IF(E135="DRINKS",0.21,0.11))</f>
        <v>0.11</v>
      </c>
      <c r="G135" s="29" t="n">
        <f aca="false">IF(B135="","",SUMIF(RETETAR!A:A,B135,RETETAR!F:F))</f>
        <v>2.0238</v>
      </c>
      <c r="H135" s="30" t="n">
        <f aca="false">IF(B135="","",SUMIF(RETETAR!A:A,B135,RETETAR!H:H))</f>
        <v>2.0238</v>
      </c>
      <c r="I135" s="31" t="n">
        <v>6</v>
      </c>
      <c r="J135" s="32" t="n">
        <f aca="false">IF(OR(I135="",F135=""),"",I135/(1+F135))</f>
        <v>5.40540540540541</v>
      </c>
      <c r="K135" s="33" t="n">
        <f aca="false">IF(OR(G135="",G135=0,J135="",J135=0),"",G135/J135)</f>
        <v>0.374403</v>
      </c>
      <c r="L135" s="34" t="n">
        <f aca="false">IF(OR(H135="",H135=0,J135="",J135=0),"",H135/J135)</f>
        <v>0.374403</v>
      </c>
      <c r="M135" s="35"/>
      <c r="N135" s="36" t="n">
        <v>0.1</v>
      </c>
      <c r="O135" s="36" t="n">
        <v>0.2</v>
      </c>
      <c r="P135" s="36" t="n">
        <v>0.19</v>
      </c>
      <c r="Q135" s="37" t="n">
        <f aca="false">IF(I135="","",I135+N(N135))</f>
        <v>6.1</v>
      </c>
      <c r="R135" s="37" t="n">
        <f aca="false">IF(OR(Q135="",F135=""),"",Q135/(1+F135))</f>
        <v>5.49549549549549</v>
      </c>
      <c r="S135" s="38" t="n">
        <f aca="false">IF(OR(H135="",H135=0,R135="",R135=0),"",H135/R135)</f>
        <v>0.368265245901639</v>
      </c>
      <c r="T135" s="39" t="n">
        <f aca="false">IF(I135="","",I135+N(N135+O135))</f>
        <v>6.3</v>
      </c>
      <c r="U135" s="39" t="n">
        <f aca="false">IF(OR(T135="",F135=""),"",T135/(1+F135))</f>
        <v>5.67567567567568</v>
      </c>
      <c r="V135" s="40" t="n">
        <f aca="false">IF(OR(H135="",H135=0,U135="",U135=0),"",H135/U135)</f>
        <v>0.356574285714286</v>
      </c>
      <c r="W135" s="41" t="n">
        <f aca="false">IF(I135="","",I135+N(N135+O135+P135))</f>
        <v>6.49</v>
      </c>
      <c r="X135" s="41" t="n">
        <f aca="false">IF(OR(W135="",F135=""),"",W135/(1+F135))</f>
        <v>5.84684684684685</v>
      </c>
      <c r="Y135" s="42" t="n">
        <f aca="false">IF(OR(H135="",H135=0,X135="",X135=0),"",H135/X135)</f>
        <v>0.346135285053929</v>
      </c>
    </row>
    <row r="136" customFormat="false" ht="15" hidden="false" customHeight="true" outlineLevel="0" collapsed="false">
      <c r="A136" s="5" t="s">
        <v>760</v>
      </c>
      <c r="B136" s="5" t="s">
        <v>460</v>
      </c>
      <c r="C136" s="5" t="s">
        <v>453</v>
      </c>
      <c r="D136" s="5" t="s">
        <v>645</v>
      </c>
      <c r="E136" s="5" t="s">
        <v>643</v>
      </c>
      <c r="F136" s="28" t="n">
        <f aca="false">IF(E136="","",IF(E136="DRINKS",0.21,0.11))</f>
        <v>0.11</v>
      </c>
      <c r="G136" s="29" t="n">
        <f aca="false">IF(B136="","",SUMIF(RETETAR!A:A,B136,RETETAR!F:F))</f>
        <v>2.0238</v>
      </c>
      <c r="H136" s="30" t="n">
        <f aca="false">IF(B136="","",SUMIF(RETETAR!A:A,B136,RETETAR!H:H))</f>
        <v>2.0238</v>
      </c>
      <c r="I136" s="31" t="n">
        <v>6.5</v>
      </c>
      <c r="J136" s="32" t="n">
        <f aca="false">IF(OR(I136="",F136=""),"",I136/(1+F136))</f>
        <v>5.85585585585586</v>
      </c>
      <c r="K136" s="33" t="n">
        <f aca="false">IF(OR(G136="",G136=0,J136="",J136=0),"",G136/J136)</f>
        <v>0.345602769230769</v>
      </c>
      <c r="L136" s="34" t="n">
        <f aca="false">IF(OR(H136="",H136=0,J136="",J136=0),"",H136/J136)</f>
        <v>0.345602769230769</v>
      </c>
      <c r="M136" s="35"/>
      <c r="N136" s="36" t="n">
        <v>0.1</v>
      </c>
      <c r="O136" s="36" t="n">
        <v>0.2</v>
      </c>
      <c r="P136" s="36" t="n">
        <v>0.19</v>
      </c>
      <c r="Q136" s="37" t="n">
        <f aca="false">IF(I136="","",I136+N(N136))</f>
        <v>6.6</v>
      </c>
      <c r="R136" s="37" t="n">
        <f aca="false">IF(OR(Q136="",F136=""),"",Q136/(1+F136))</f>
        <v>5.94594594594595</v>
      </c>
      <c r="S136" s="38" t="n">
        <f aca="false">IF(OR(H136="",H136=0,R136="",R136=0),"",H136/R136)</f>
        <v>0.340366363636364</v>
      </c>
      <c r="T136" s="39" t="n">
        <f aca="false">IF(I136="","",I136+N(N136+O136))</f>
        <v>6.8</v>
      </c>
      <c r="U136" s="39" t="n">
        <f aca="false">IF(OR(T136="",F136=""),"",T136/(1+F136))</f>
        <v>6.12612612612613</v>
      </c>
      <c r="V136" s="40" t="n">
        <f aca="false">IF(OR(H136="",H136=0,U136="",U136=0),"",H136/U136)</f>
        <v>0.330355588235294</v>
      </c>
      <c r="W136" s="41" t="n">
        <f aca="false">IF(I136="","",I136+N(N136+O136+P136))</f>
        <v>6.99</v>
      </c>
      <c r="X136" s="41" t="n">
        <f aca="false">IF(OR(W136="",F136=""),"",W136/(1+F136))</f>
        <v>6.2972972972973</v>
      </c>
      <c r="Y136" s="42" t="n">
        <f aca="false">IF(OR(H136="",H136=0,X136="",X136=0),"",H136/X136)</f>
        <v>0.321375965665236</v>
      </c>
    </row>
    <row r="137" customFormat="false" ht="15" hidden="false" customHeight="true" outlineLevel="0" collapsed="false">
      <c r="A137" s="5" t="s">
        <v>761</v>
      </c>
      <c r="B137" s="5" t="s">
        <v>461</v>
      </c>
      <c r="C137" s="5" t="s">
        <v>453</v>
      </c>
      <c r="D137" s="5" t="s">
        <v>642</v>
      </c>
      <c r="E137" s="5" t="s">
        <v>643</v>
      </c>
      <c r="F137" s="28" t="n">
        <f aca="false">IF(E137="","",IF(E137="DRINKS",0.21,0.11))</f>
        <v>0.11</v>
      </c>
      <c r="G137" s="29" t="n">
        <f aca="false">IF(B137="","",SUMIF(RETETAR!A:A,B137,RETETAR!F:F))</f>
        <v>1.2662</v>
      </c>
      <c r="H137" s="30" t="n">
        <f aca="false">IF(B137="","",SUMIF(RETETAR!A:A,B137,RETETAR!H:H))</f>
        <v>1.2662</v>
      </c>
      <c r="I137" s="31" t="n">
        <v>6</v>
      </c>
      <c r="J137" s="32" t="n">
        <f aca="false">IF(OR(I137="",F137=""),"",I137/(1+F137))</f>
        <v>5.40540540540541</v>
      </c>
      <c r="K137" s="33" t="n">
        <f aca="false">IF(OR(G137="",G137=0,J137="",J137=0),"",G137/J137)</f>
        <v>0.234247</v>
      </c>
      <c r="L137" s="34" t="n">
        <f aca="false">IF(OR(H137="",H137=0,J137="",J137=0),"",H137/J137)</f>
        <v>0.234247</v>
      </c>
      <c r="M137" s="35"/>
      <c r="N137" s="36" t="n">
        <v>0.1</v>
      </c>
      <c r="O137" s="36" t="n">
        <v>0.2</v>
      </c>
      <c r="P137" s="36" t="n">
        <v>0.19</v>
      </c>
      <c r="Q137" s="37" t="n">
        <f aca="false">IF(I137="","",I137+N(N137))</f>
        <v>6.1</v>
      </c>
      <c r="R137" s="37" t="n">
        <f aca="false">IF(OR(Q137="",F137=""),"",Q137/(1+F137))</f>
        <v>5.49549549549549</v>
      </c>
      <c r="S137" s="38" t="n">
        <f aca="false">IF(OR(H137="",H137=0,R137="",R137=0),"",H137/R137)</f>
        <v>0.230406885245902</v>
      </c>
      <c r="T137" s="39" t="n">
        <f aca="false">IF(I137="","",I137+N(N137+O137))</f>
        <v>6.3</v>
      </c>
      <c r="U137" s="39" t="n">
        <f aca="false">IF(OR(T137="",F137=""),"",T137/(1+F137))</f>
        <v>5.67567567567568</v>
      </c>
      <c r="V137" s="40" t="n">
        <f aca="false">IF(OR(H137="",H137=0,U137="",U137=0),"",H137/U137)</f>
        <v>0.223092380952381</v>
      </c>
      <c r="W137" s="41" t="n">
        <f aca="false">IF(I137="","",I137+N(N137+O137+P137))</f>
        <v>6.49</v>
      </c>
      <c r="X137" s="41" t="n">
        <f aca="false">IF(OR(W137="",F137=""),"",W137/(1+F137))</f>
        <v>5.84684684684685</v>
      </c>
      <c r="Y137" s="42" t="n">
        <f aca="false">IF(OR(H137="",H137=0,X137="",X137=0),"",H137/X137)</f>
        <v>0.216561171032357</v>
      </c>
    </row>
    <row r="138" customFormat="false" ht="15" hidden="false" customHeight="true" outlineLevel="0" collapsed="false">
      <c r="A138" s="5" t="s">
        <v>762</v>
      </c>
      <c r="B138" s="5" t="s">
        <v>462</v>
      </c>
      <c r="C138" s="5" t="s">
        <v>453</v>
      </c>
      <c r="D138" s="5" t="s">
        <v>645</v>
      </c>
      <c r="E138" s="5" t="s">
        <v>643</v>
      </c>
      <c r="F138" s="28" t="n">
        <f aca="false">IF(E138="","",IF(E138="DRINKS",0.21,0.11))</f>
        <v>0.11</v>
      </c>
      <c r="G138" s="29" t="n">
        <f aca="false">IF(B138="","",SUMIF(RETETAR!A:A,B138,RETETAR!F:F))</f>
        <v>1.2662</v>
      </c>
      <c r="H138" s="30" t="n">
        <f aca="false">IF(B138="","",SUMIF(RETETAR!A:A,B138,RETETAR!H:H))</f>
        <v>1.2662</v>
      </c>
      <c r="I138" s="31" t="n">
        <v>6</v>
      </c>
      <c r="J138" s="32" t="n">
        <f aca="false">IF(OR(I138="",F138=""),"",I138/(1+F138))</f>
        <v>5.40540540540541</v>
      </c>
      <c r="K138" s="33" t="n">
        <f aca="false">IF(OR(G138="",G138=0,J138="",J138=0),"",G138/J138)</f>
        <v>0.234247</v>
      </c>
      <c r="L138" s="34" t="n">
        <f aca="false">IF(OR(H138="",H138=0,J138="",J138=0),"",H138/J138)</f>
        <v>0.234247</v>
      </c>
      <c r="M138" s="35"/>
      <c r="N138" s="36" t="n">
        <v>0.1</v>
      </c>
      <c r="O138" s="36" t="n">
        <v>0.2</v>
      </c>
      <c r="P138" s="36" t="n">
        <v>0.19</v>
      </c>
      <c r="Q138" s="37" t="n">
        <f aca="false">IF(I138="","",I138+N(N138))</f>
        <v>6.1</v>
      </c>
      <c r="R138" s="37" t="n">
        <f aca="false">IF(OR(Q138="",F138=""),"",Q138/(1+F138))</f>
        <v>5.49549549549549</v>
      </c>
      <c r="S138" s="38" t="n">
        <f aca="false">IF(OR(H138="",H138=0,R138="",R138=0),"",H138/R138)</f>
        <v>0.230406885245902</v>
      </c>
      <c r="T138" s="39" t="n">
        <f aca="false">IF(I138="","",I138+N(N138+O138))</f>
        <v>6.3</v>
      </c>
      <c r="U138" s="39" t="n">
        <f aca="false">IF(OR(T138="",F138=""),"",T138/(1+F138))</f>
        <v>5.67567567567568</v>
      </c>
      <c r="V138" s="40" t="n">
        <f aca="false">IF(OR(H138="",H138=0,U138="",U138=0),"",H138/U138)</f>
        <v>0.223092380952381</v>
      </c>
      <c r="W138" s="41" t="n">
        <f aca="false">IF(I138="","",I138+N(N138+O138+P138))</f>
        <v>6.49</v>
      </c>
      <c r="X138" s="41" t="n">
        <f aca="false">IF(OR(W138="",F138=""),"",W138/(1+F138))</f>
        <v>5.84684684684685</v>
      </c>
      <c r="Y138" s="42" t="n">
        <f aca="false">IF(OR(H138="",H138=0,X138="",X138=0),"",H138/X138)</f>
        <v>0.216561171032357</v>
      </c>
    </row>
    <row r="139" customFormat="false" ht="15" hidden="false" customHeight="true" outlineLevel="0" collapsed="false">
      <c r="A139" s="5" t="s">
        <v>763</v>
      </c>
      <c r="B139" s="5" t="s">
        <v>463</v>
      </c>
      <c r="C139" s="5" t="s">
        <v>453</v>
      </c>
      <c r="D139" s="5" t="s">
        <v>642</v>
      </c>
      <c r="E139" s="5" t="s">
        <v>643</v>
      </c>
      <c r="F139" s="28" t="n">
        <f aca="false">IF(E139="","",IF(E139="DRINKS",0.21,0.11))</f>
        <v>0.11</v>
      </c>
      <c r="G139" s="29" t="n">
        <f aca="false">IF(B139="","",SUMIF(RETETAR!A:A,B139,RETETAR!F:F))</f>
        <v>0.452</v>
      </c>
      <c r="H139" s="30" t="n">
        <f aca="false">IF(B139="","",SUMIF(RETETAR!A:A,B139,RETETAR!H:H))</f>
        <v>0.452</v>
      </c>
      <c r="I139" s="31" t="n">
        <v>3</v>
      </c>
      <c r="J139" s="32" t="n">
        <f aca="false">IF(OR(I139="",F139=""),"",I139/(1+F139))</f>
        <v>2.7027027027027</v>
      </c>
      <c r="K139" s="33" t="n">
        <f aca="false">IF(OR(G139="",G139=0,J139="",J139=0),"",G139/J139)</f>
        <v>0.16724</v>
      </c>
      <c r="L139" s="34" t="n">
        <f aca="false">IF(OR(H139="",H139=0,J139="",J139=0),"",H139/J139)</f>
        <v>0.16724</v>
      </c>
      <c r="M139" s="35"/>
      <c r="N139" s="36" t="n">
        <v>0.1</v>
      </c>
      <c r="O139" s="36" t="n">
        <v>0.2</v>
      </c>
      <c r="P139" s="36" t="n">
        <v>0.19</v>
      </c>
      <c r="Q139" s="37" t="n">
        <f aca="false">IF(I139="","",I139+N(N139))</f>
        <v>3.1</v>
      </c>
      <c r="R139" s="37" t="n">
        <f aca="false">IF(OR(Q139="",F139=""),"",Q139/(1+F139))</f>
        <v>2.79279279279279</v>
      </c>
      <c r="S139" s="38" t="n">
        <f aca="false">IF(OR(H139="",H139=0,R139="",R139=0),"",H139/R139)</f>
        <v>0.161845161290323</v>
      </c>
      <c r="T139" s="39" t="n">
        <f aca="false">IF(I139="","",I139+N(N139+O139))</f>
        <v>3.3</v>
      </c>
      <c r="U139" s="39" t="n">
        <f aca="false">IF(OR(T139="",F139=""),"",T139/(1+F139))</f>
        <v>2.97297297297297</v>
      </c>
      <c r="V139" s="40" t="n">
        <f aca="false">IF(OR(H139="",H139=0,U139="",U139=0),"",H139/U139)</f>
        <v>0.152036363636364</v>
      </c>
      <c r="W139" s="41" t="n">
        <f aca="false">IF(I139="","",I139+N(N139+O139+P139))</f>
        <v>3.49</v>
      </c>
      <c r="X139" s="41" t="n">
        <f aca="false">IF(OR(W139="",F139=""),"",W139/(1+F139))</f>
        <v>3.14414414414414</v>
      </c>
      <c r="Y139" s="42" t="n">
        <f aca="false">IF(OR(H139="",H139=0,X139="",X139=0),"",H139/X139)</f>
        <v>0.143759312320917</v>
      </c>
    </row>
    <row r="140" customFormat="false" ht="15" hidden="false" customHeight="true" outlineLevel="0" collapsed="false">
      <c r="A140" s="5" t="s">
        <v>764</v>
      </c>
      <c r="B140" s="5" t="s">
        <v>464</v>
      </c>
      <c r="C140" s="5" t="s">
        <v>453</v>
      </c>
      <c r="D140" s="5" t="s">
        <v>645</v>
      </c>
      <c r="E140" s="5" t="s">
        <v>643</v>
      </c>
      <c r="F140" s="28" t="n">
        <f aca="false">IF(E140="","",IF(E140="DRINKS",0.21,0.11))</f>
        <v>0.11</v>
      </c>
      <c r="G140" s="29" t="n">
        <f aca="false">IF(B140="","",SUMIF(RETETAR!A:A,B140,RETETAR!F:F))</f>
        <v>0.452</v>
      </c>
      <c r="H140" s="30" t="n">
        <f aca="false">IF(B140="","",SUMIF(RETETAR!A:A,B140,RETETAR!H:H))</f>
        <v>0.452</v>
      </c>
      <c r="I140" s="31" t="n">
        <v>3.5</v>
      </c>
      <c r="J140" s="32" t="n">
        <f aca="false">IF(OR(I140="",F140=""),"",I140/(1+F140))</f>
        <v>3.15315315315315</v>
      </c>
      <c r="K140" s="33" t="n">
        <f aca="false">IF(OR(G140="",G140=0,J140="",J140=0),"",G140/J140)</f>
        <v>0.143348571428571</v>
      </c>
      <c r="L140" s="34" t="n">
        <f aca="false">IF(OR(H140="",H140=0,J140="",J140=0),"",H140/J140)</f>
        <v>0.143348571428571</v>
      </c>
      <c r="M140" s="35"/>
      <c r="N140" s="36" t="n">
        <v>0.1</v>
      </c>
      <c r="O140" s="36" t="n">
        <v>0.2</v>
      </c>
      <c r="P140" s="36" t="n">
        <v>0.19</v>
      </c>
      <c r="Q140" s="37" t="n">
        <f aca="false">IF(I140="","",I140+N(N140))</f>
        <v>3.6</v>
      </c>
      <c r="R140" s="37" t="n">
        <f aca="false">IF(OR(Q140="",F140=""),"",Q140/(1+F140))</f>
        <v>3.24324324324324</v>
      </c>
      <c r="S140" s="38" t="n">
        <f aca="false">IF(OR(H140="",H140=0,R140="",R140=0),"",H140/R140)</f>
        <v>0.139366666666667</v>
      </c>
      <c r="T140" s="39" t="n">
        <f aca="false">IF(I140="","",I140+N(N140+O140))</f>
        <v>3.8</v>
      </c>
      <c r="U140" s="39" t="n">
        <f aca="false">IF(OR(T140="",F140=""),"",T140/(1+F140))</f>
        <v>3.42342342342342</v>
      </c>
      <c r="V140" s="40" t="n">
        <f aca="false">IF(OR(H140="",H140=0,U140="",U140=0),"",H140/U140)</f>
        <v>0.132031578947368</v>
      </c>
      <c r="W140" s="41" t="n">
        <f aca="false">IF(I140="","",I140+N(N140+O140+P140))</f>
        <v>3.99</v>
      </c>
      <c r="X140" s="41" t="n">
        <f aca="false">IF(OR(W140="",F140=""),"",W140/(1+F140))</f>
        <v>3.59459459459459</v>
      </c>
      <c r="Y140" s="42" t="n">
        <f aca="false">IF(OR(H140="",H140=0,X140="",X140=0),"",H140/X140)</f>
        <v>0.125744360902256</v>
      </c>
    </row>
    <row r="141" customFormat="false" ht="15" hidden="false" customHeight="true" outlineLevel="0" collapsed="false">
      <c r="A141" s="5" t="s">
        <v>765</v>
      </c>
      <c r="B141" s="5" t="s">
        <v>465</v>
      </c>
      <c r="C141" s="5" t="s">
        <v>453</v>
      </c>
      <c r="D141" s="5" t="s">
        <v>642</v>
      </c>
      <c r="E141" s="5" t="s">
        <v>643</v>
      </c>
      <c r="F141" s="28" t="n">
        <f aca="false">IF(E141="","",IF(E141="DRINKS",0.21,0.11))</f>
        <v>0.11</v>
      </c>
      <c r="G141" s="29" t="n">
        <f aca="false">IF(B141="","",SUMIF(RETETAR!A:A,B141,RETETAR!F:F))</f>
        <v>0.45</v>
      </c>
      <c r="H141" s="30" t="n">
        <f aca="false">IF(B141="","",SUMIF(RETETAR!A:A,B141,RETETAR!H:H))</f>
        <v>0.45</v>
      </c>
      <c r="I141" s="31" t="n">
        <v>3</v>
      </c>
      <c r="J141" s="32" t="n">
        <f aca="false">IF(OR(I141="",F141=""),"",I141/(1+F141))</f>
        <v>2.7027027027027</v>
      </c>
      <c r="K141" s="33" t="n">
        <f aca="false">IF(OR(G141="",G141=0,J141="",J141=0),"",G141/J141)</f>
        <v>0.1665</v>
      </c>
      <c r="L141" s="34" t="n">
        <f aca="false">IF(OR(H141="",H141=0,J141="",J141=0),"",H141/J141)</f>
        <v>0.1665</v>
      </c>
      <c r="M141" s="35"/>
      <c r="N141" s="36" t="n">
        <v>0.1</v>
      </c>
      <c r="O141" s="36" t="n">
        <v>0.2</v>
      </c>
      <c r="P141" s="36" t="n">
        <v>0.19</v>
      </c>
      <c r="Q141" s="37" t="n">
        <f aca="false">IF(I141="","",I141+N(N141))</f>
        <v>3.1</v>
      </c>
      <c r="R141" s="37" t="n">
        <f aca="false">IF(OR(Q141="",F141=""),"",Q141/(1+F141))</f>
        <v>2.79279279279279</v>
      </c>
      <c r="S141" s="38" t="n">
        <f aca="false">IF(OR(H141="",H141=0,R141="",R141=0),"",H141/R141)</f>
        <v>0.161129032258065</v>
      </c>
      <c r="T141" s="39" t="n">
        <f aca="false">IF(I141="","",I141+N(N141+O141))</f>
        <v>3.3</v>
      </c>
      <c r="U141" s="39" t="n">
        <f aca="false">IF(OR(T141="",F141=""),"",T141/(1+F141))</f>
        <v>2.97297297297297</v>
      </c>
      <c r="V141" s="40" t="n">
        <f aca="false">IF(OR(H141="",H141=0,U141="",U141=0),"",H141/U141)</f>
        <v>0.151363636363636</v>
      </c>
      <c r="W141" s="41" t="n">
        <f aca="false">IF(I141="","",I141+N(N141+O141+P141))</f>
        <v>3.49</v>
      </c>
      <c r="X141" s="41" t="n">
        <f aca="false">IF(OR(W141="",F141=""),"",W141/(1+F141))</f>
        <v>3.14414414414414</v>
      </c>
      <c r="Y141" s="42" t="n">
        <f aca="false">IF(OR(H141="",H141=0,X141="",X141=0),"",H141/X141)</f>
        <v>0.143123209169054</v>
      </c>
    </row>
    <row r="142" customFormat="false" ht="15" hidden="false" customHeight="true" outlineLevel="0" collapsed="false">
      <c r="A142" s="5" t="s">
        <v>766</v>
      </c>
      <c r="B142" s="5" t="s">
        <v>466</v>
      </c>
      <c r="C142" s="5" t="s">
        <v>453</v>
      </c>
      <c r="D142" s="5" t="s">
        <v>645</v>
      </c>
      <c r="E142" s="5" t="s">
        <v>643</v>
      </c>
      <c r="F142" s="28" t="n">
        <f aca="false">IF(E142="","",IF(E142="DRINKS",0.21,0.11))</f>
        <v>0.11</v>
      </c>
      <c r="G142" s="29" t="n">
        <f aca="false">IF(B142="","",SUMIF(RETETAR!A:A,B142,RETETAR!F:F))</f>
        <v>0.45</v>
      </c>
      <c r="H142" s="30" t="n">
        <f aca="false">IF(B142="","",SUMIF(RETETAR!A:A,B142,RETETAR!H:H))</f>
        <v>0.45</v>
      </c>
      <c r="I142" s="31" t="n">
        <v>3.5</v>
      </c>
      <c r="J142" s="32" t="n">
        <f aca="false">IF(OR(I142="",F142=""),"",I142/(1+F142))</f>
        <v>3.15315315315315</v>
      </c>
      <c r="K142" s="33" t="n">
        <f aca="false">IF(OR(G142="",G142=0,J142="",J142=0),"",G142/J142)</f>
        <v>0.142714285714286</v>
      </c>
      <c r="L142" s="34" t="n">
        <f aca="false">IF(OR(H142="",H142=0,J142="",J142=0),"",H142/J142)</f>
        <v>0.142714285714286</v>
      </c>
      <c r="M142" s="35"/>
      <c r="N142" s="36" t="n">
        <v>0.1</v>
      </c>
      <c r="O142" s="36" t="n">
        <v>0.2</v>
      </c>
      <c r="P142" s="36" t="n">
        <v>0.19</v>
      </c>
      <c r="Q142" s="37" t="n">
        <f aca="false">IF(I142="","",I142+N(N142))</f>
        <v>3.6</v>
      </c>
      <c r="R142" s="37" t="n">
        <f aca="false">IF(OR(Q142="",F142=""),"",Q142/(1+F142))</f>
        <v>3.24324324324324</v>
      </c>
      <c r="S142" s="38" t="n">
        <f aca="false">IF(OR(H142="",H142=0,R142="",R142=0),"",H142/R142)</f>
        <v>0.13875</v>
      </c>
      <c r="T142" s="39" t="n">
        <f aca="false">IF(I142="","",I142+N(N142+O142))</f>
        <v>3.8</v>
      </c>
      <c r="U142" s="39" t="n">
        <f aca="false">IF(OR(T142="",F142=""),"",T142/(1+F142))</f>
        <v>3.42342342342342</v>
      </c>
      <c r="V142" s="40" t="n">
        <f aca="false">IF(OR(H142="",H142=0,U142="",U142=0),"",H142/U142)</f>
        <v>0.131447368421053</v>
      </c>
      <c r="W142" s="41" t="n">
        <f aca="false">IF(I142="","",I142+N(N142+O142+P142))</f>
        <v>3.99</v>
      </c>
      <c r="X142" s="41" t="n">
        <f aca="false">IF(OR(W142="",F142=""),"",W142/(1+F142))</f>
        <v>3.59459459459459</v>
      </c>
      <c r="Y142" s="42" t="n">
        <f aca="false">IF(OR(H142="",H142=0,X142="",X142=0),"",H142/X142)</f>
        <v>0.125187969924812</v>
      </c>
    </row>
    <row r="143" customFormat="false" ht="15" hidden="false" customHeight="true" outlineLevel="0" collapsed="false">
      <c r="A143" s="5" t="s">
        <v>767</v>
      </c>
      <c r="B143" s="5" t="s">
        <v>467</v>
      </c>
      <c r="C143" s="5" t="s">
        <v>453</v>
      </c>
      <c r="D143" s="5" t="s">
        <v>642</v>
      </c>
      <c r="E143" s="5" t="s">
        <v>643</v>
      </c>
      <c r="F143" s="28" t="n">
        <f aca="false">IF(E143="","",IF(E143="DRINKS",0.21,0.11))</f>
        <v>0.11</v>
      </c>
      <c r="G143" s="29" t="n">
        <f aca="false">IF(B143="","",SUMIF(RETETAR!A:A,B143,RETETAR!F:F))</f>
        <v>1.082</v>
      </c>
      <c r="H143" s="30" t="n">
        <f aca="false">IF(B143="","",SUMIF(RETETAR!A:A,B143,RETETAR!H:H))</f>
        <v>1.082</v>
      </c>
      <c r="I143" s="31" t="n">
        <v>5</v>
      </c>
      <c r="J143" s="32" t="n">
        <f aca="false">IF(OR(I143="",F143=""),"",I143/(1+F143))</f>
        <v>4.5045045045045</v>
      </c>
      <c r="K143" s="33" t="n">
        <f aca="false">IF(OR(G143="",G143=0,J143="",J143=0),"",G143/J143)</f>
        <v>0.240204</v>
      </c>
      <c r="L143" s="34" t="n">
        <f aca="false">IF(OR(H143="",H143=0,J143="",J143=0),"",H143/J143)</f>
        <v>0.240204</v>
      </c>
      <c r="M143" s="35"/>
      <c r="N143" s="36" t="n">
        <v>0.1</v>
      </c>
      <c r="O143" s="36" t="n">
        <v>0.2</v>
      </c>
      <c r="P143" s="36" t="n">
        <v>0.19</v>
      </c>
      <c r="Q143" s="37" t="n">
        <f aca="false">IF(I143="","",I143+N(N143))</f>
        <v>5.1</v>
      </c>
      <c r="R143" s="37" t="n">
        <f aca="false">IF(OR(Q143="",F143=""),"",Q143/(1+F143))</f>
        <v>4.59459459459459</v>
      </c>
      <c r="S143" s="38" t="n">
        <f aca="false">IF(OR(H143="",H143=0,R143="",R143=0),"",H143/R143)</f>
        <v>0.235494117647059</v>
      </c>
      <c r="T143" s="39" t="n">
        <f aca="false">IF(I143="","",I143+N(N143+O143))</f>
        <v>5.3</v>
      </c>
      <c r="U143" s="39" t="n">
        <f aca="false">IF(OR(T143="",F143=""),"",T143/(1+F143))</f>
        <v>4.77477477477477</v>
      </c>
      <c r="V143" s="40" t="n">
        <f aca="false">IF(OR(H143="",H143=0,U143="",U143=0),"",H143/U143)</f>
        <v>0.226607547169811</v>
      </c>
      <c r="W143" s="41" t="n">
        <f aca="false">IF(I143="","",I143+N(N143+O143+P143))</f>
        <v>5.49</v>
      </c>
      <c r="X143" s="41" t="n">
        <f aca="false">IF(OR(W143="",F143=""),"",W143/(1+F143))</f>
        <v>4.94594594594595</v>
      </c>
      <c r="Y143" s="42" t="n">
        <f aca="false">IF(OR(H143="",H143=0,X143="",X143=0),"",H143/X143)</f>
        <v>0.218765027322404</v>
      </c>
    </row>
    <row r="144" customFormat="false" ht="15" hidden="false" customHeight="true" outlineLevel="0" collapsed="false">
      <c r="A144" s="5" t="s">
        <v>768</v>
      </c>
      <c r="B144" s="5" t="s">
        <v>468</v>
      </c>
      <c r="C144" s="5" t="s">
        <v>453</v>
      </c>
      <c r="D144" s="5" t="s">
        <v>645</v>
      </c>
      <c r="E144" s="5" t="s">
        <v>643</v>
      </c>
      <c r="F144" s="28" t="n">
        <f aca="false">IF(E144="","",IF(E144="DRINKS",0.21,0.11))</f>
        <v>0.11</v>
      </c>
      <c r="G144" s="29" t="n">
        <f aca="false">IF(B144="","",SUMIF(RETETAR!A:A,B144,RETETAR!F:F))</f>
        <v>1.082</v>
      </c>
      <c r="H144" s="30" t="n">
        <f aca="false">IF(B144="","",SUMIF(RETETAR!A:A,B144,RETETAR!H:H))</f>
        <v>1.082</v>
      </c>
      <c r="I144" s="31" t="n">
        <v>5.2</v>
      </c>
      <c r="J144" s="32" t="n">
        <f aca="false">IF(OR(I144="",F144=""),"",I144/(1+F144))</f>
        <v>4.68468468468469</v>
      </c>
      <c r="K144" s="33" t="n">
        <f aca="false">IF(OR(G144="",G144=0,J144="",J144=0),"",G144/J144)</f>
        <v>0.230965384615385</v>
      </c>
      <c r="L144" s="34" t="n">
        <f aca="false">IF(OR(H144="",H144=0,J144="",J144=0),"",H144/J144)</f>
        <v>0.230965384615385</v>
      </c>
      <c r="M144" s="35"/>
      <c r="N144" s="36" t="n">
        <v>0.1</v>
      </c>
      <c r="O144" s="36" t="n">
        <v>0.2</v>
      </c>
      <c r="P144" s="36" t="n">
        <v>0.19</v>
      </c>
      <c r="Q144" s="37" t="n">
        <f aca="false">IF(I144="","",I144+N(N144))</f>
        <v>5.3</v>
      </c>
      <c r="R144" s="37" t="n">
        <f aca="false">IF(OR(Q144="",F144=""),"",Q144/(1+F144))</f>
        <v>4.77477477477477</v>
      </c>
      <c r="S144" s="38" t="n">
        <f aca="false">IF(OR(H144="",H144=0,R144="",R144=0),"",H144/R144)</f>
        <v>0.226607547169811</v>
      </c>
      <c r="T144" s="39" t="n">
        <f aca="false">IF(I144="","",I144+N(N144+O144))</f>
        <v>5.5</v>
      </c>
      <c r="U144" s="39" t="n">
        <f aca="false">IF(OR(T144="",F144=""),"",T144/(1+F144))</f>
        <v>4.95495495495495</v>
      </c>
      <c r="V144" s="40" t="n">
        <f aca="false">IF(OR(H144="",H144=0,U144="",U144=0),"",H144/U144)</f>
        <v>0.218367272727273</v>
      </c>
      <c r="W144" s="41" t="n">
        <f aca="false">IF(I144="","",I144+N(N144+O144+P144))</f>
        <v>5.69</v>
      </c>
      <c r="X144" s="41" t="n">
        <f aca="false">IF(OR(W144="",F144=""),"",W144/(1+F144))</f>
        <v>5.12612612612613</v>
      </c>
      <c r="Y144" s="42" t="n">
        <f aca="false">IF(OR(H144="",H144=0,X144="",X144=0),"",H144/X144)</f>
        <v>0.211075571177504</v>
      </c>
    </row>
    <row r="145" customFormat="false" ht="15" hidden="false" customHeight="true" outlineLevel="0" collapsed="false">
      <c r="A145" s="5" t="s">
        <v>769</v>
      </c>
      <c r="B145" s="5" t="s">
        <v>469</v>
      </c>
      <c r="C145" s="5" t="s">
        <v>453</v>
      </c>
      <c r="D145" s="5" t="s">
        <v>642</v>
      </c>
      <c r="E145" s="5" t="s">
        <v>643</v>
      </c>
      <c r="F145" s="28" t="n">
        <f aca="false">IF(E145="","",IF(E145="DRINKS",0.21,0.11))</f>
        <v>0.11</v>
      </c>
      <c r="G145" s="29" t="n">
        <f aca="false">IF(B145="","",SUMIF(RETETAR!A:A,B145,RETETAR!F:F))</f>
        <v>1.43</v>
      </c>
      <c r="H145" s="30" t="n">
        <f aca="false">IF(B145="","",SUMIF(RETETAR!A:A,B145,RETETAR!H:H))</f>
        <v>1.43</v>
      </c>
      <c r="I145" s="31" t="n">
        <v>5</v>
      </c>
      <c r="J145" s="32" t="n">
        <f aca="false">IF(OR(I145="",F145=""),"",I145/(1+F145))</f>
        <v>4.5045045045045</v>
      </c>
      <c r="K145" s="33" t="n">
        <f aca="false">IF(OR(G145="",G145=0,J145="",J145=0),"",G145/J145)</f>
        <v>0.31746</v>
      </c>
      <c r="L145" s="34" t="n">
        <f aca="false">IF(OR(H145="",H145=0,J145="",J145=0),"",H145/J145)</f>
        <v>0.31746</v>
      </c>
      <c r="M145" s="35"/>
      <c r="N145" s="36" t="n">
        <v>0.1</v>
      </c>
      <c r="O145" s="36" t="n">
        <v>0.2</v>
      </c>
      <c r="P145" s="36" t="n">
        <v>0.19</v>
      </c>
      <c r="Q145" s="37" t="n">
        <f aca="false">IF(I145="","",I145+N(N145))</f>
        <v>5.1</v>
      </c>
      <c r="R145" s="37" t="n">
        <f aca="false">IF(OR(Q145="",F145=""),"",Q145/(1+F145))</f>
        <v>4.59459459459459</v>
      </c>
      <c r="S145" s="38" t="n">
        <f aca="false">IF(OR(H145="",H145=0,R145="",R145=0),"",H145/R145)</f>
        <v>0.311235294117647</v>
      </c>
      <c r="T145" s="39" t="n">
        <f aca="false">IF(I145="","",I145+N(N145+O145))</f>
        <v>5.3</v>
      </c>
      <c r="U145" s="39" t="n">
        <f aca="false">IF(OR(T145="",F145=""),"",T145/(1+F145))</f>
        <v>4.77477477477477</v>
      </c>
      <c r="V145" s="40" t="n">
        <f aca="false">IF(OR(H145="",H145=0,U145="",U145=0),"",H145/U145)</f>
        <v>0.299490566037736</v>
      </c>
      <c r="W145" s="41" t="n">
        <f aca="false">IF(I145="","",I145+N(N145+O145+P145))</f>
        <v>5.49</v>
      </c>
      <c r="X145" s="41" t="n">
        <f aca="false">IF(OR(W145="",F145=""),"",W145/(1+F145))</f>
        <v>4.94594594594595</v>
      </c>
      <c r="Y145" s="42" t="n">
        <f aca="false">IF(OR(H145="",H145=0,X145="",X145=0),"",H145/X145)</f>
        <v>0.289125683060109</v>
      </c>
    </row>
    <row r="146" customFormat="false" ht="15" hidden="false" customHeight="true" outlineLevel="0" collapsed="false">
      <c r="A146" s="5" t="s">
        <v>770</v>
      </c>
      <c r="B146" s="5" t="s">
        <v>470</v>
      </c>
      <c r="C146" s="5" t="s">
        <v>453</v>
      </c>
      <c r="D146" s="5" t="s">
        <v>645</v>
      </c>
      <c r="E146" s="5" t="s">
        <v>643</v>
      </c>
      <c r="F146" s="28" t="n">
        <f aca="false">IF(E146="","",IF(E146="DRINKS",0.21,0.11))</f>
        <v>0.11</v>
      </c>
      <c r="G146" s="29" t="n">
        <f aca="false">IF(B146="","",SUMIF(RETETAR!A:A,B146,RETETAR!F:F))</f>
        <v>1.43</v>
      </c>
      <c r="H146" s="30" t="n">
        <f aca="false">IF(B146="","",SUMIF(RETETAR!A:A,B146,RETETAR!H:H))</f>
        <v>1.43</v>
      </c>
      <c r="I146" s="31" t="n">
        <v>5.2</v>
      </c>
      <c r="J146" s="32" t="n">
        <f aca="false">IF(OR(I146="",F146=""),"",I146/(1+F146))</f>
        <v>4.68468468468469</v>
      </c>
      <c r="K146" s="33" t="n">
        <f aca="false">IF(OR(G146="",G146=0,J146="",J146=0),"",G146/J146)</f>
        <v>0.30525</v>
      </c>
      <c r="L146" s="34" t="n">
        <f aca="false">IF(OR(H146="",H146=0,J146="",J146=0),"",H146/J146)</f>
        <v>0.30525</v>
      </c>
      <c r="M146" s="35"/>
      <c r="N146" s="36" t="n">
        <v>0.1</v>
      </c>
      <c r="O146" s="36" t="n">
        <v>0.2</v>
      </c>
      <c r="P146" s="36" t="n">
        <v>0.19</v>
      </c>
      <c r="Q146" s="37" t="n">
        <f aca="false">IF(I146="","",I146+N(N146))</f>
        <v>5.3</v>
      </c>
      <c r="R146" s="37" t="n">
        <f aca="false">IF(OR(Q146="",F146=""),"",Q146/(1+F146))</f>
        <v>4.77477477477477</v>
      </c>
      <c r="S146" s="38" t="n">
        <f aca="false">IF(OR(H146="",H146=0,R146="",R146=0),"",H146/R146)</f>
        <v>0.299490566037736</v>
      </c>
      <c r="T146" s="39" t="n">
        <f aca="false">IF(I146="","",I146+N(N146+O146))</f>
        <v>5.5</v>
      </c>
      <c r="U146" s="39" t="n">
        <f aca="false">IF(OR(T146="",F146=""),"",T146/(1+F146))</f>
        <v>4.95495495495495</v>
      </c>
      <c r="V146" s="40" t="n">
        <f aca="false">IF(OR(H146="",H146=0,U146="",U146=0),"",H146/U146)</f>
        <v>0.2886</v>
      </c>
      <c r="W146" s="41" t="n">
        <f aca="false">IF(I146="","",I146+N(N146+O146+P146))</f>
        <v>5.69</v>
      </c>
      <c r="X146" s="41" t="n">
        <f aca="false">IF(OR(W146="",F146=""),"",W146/(1+F146))</f>
        <v>5.12612612612613</v>
      </c>
      <c r="Y146" s="42" t="n">
        <f aca="false">IF(OR(H146="",H146=0,X146="",X146=0),"",H146/X146)</f>
        <v>0.27896309314587</v>
      </c>
    </row>
    <row r="147" customFormat="false" ht="15" hidden="false" customHeight="true" outlineLevel="0" collapsed="false">
      <c r="A147" s="5" t="s">
        <v>771</v>
      </c>
      <c r="B147" s="5" t="s">
        <v>471</v>
      </c>
      <c r="C147" s="5" t="s">
        <v>453</v>
      </c>
      <c r="D147" s="5" t="s">
        <v>642</v>
      </c>
      <c r="E147" s="5" t="s">
        <v>643</v>
      </c>
      <c r="F147" s="28" t="n">
        <f aca="false">IF(E147="","",IF(E147="DRINKS",0.21,0.11))</f>
        <v>0.11</v>
      </c>
      <c r="G147" s="29" t="n">
        <f aca="false">IF(B147="","",SUMIF(RETETAR!A:A,B147,RETETAR!F:F))</f>
        <v>1.43</v>
      </c>
      <c r="H147" s="30" t="n">
        <f aca="false">IF(B147="","",SUMIF(RETETAR!A:A,B147,RETETAR!H:H))</f>
        <v>1.43</v>
      </c>
      <c r="I147" s="31" t="n">
        <v>5</v>
      </c>
      <c r="J147" s="32" t="n">
        <f aca="false">IF(OR(I147="",F147=""),"",I147/(1+F147))</f>
        <v>4.5045045045045</v>
      </c>
      <c r="K147" s="33" t="n">
        <f aca="false">IF(OR(G147="",G147=0,J147="",J147=0),"",G147/J147)</f>
        <v>0.31746</v>
      </c>
      <c r="L147" s="34" t="n">
        <f aca="false">IF(OR(H147="",H147=0,J147="",J147=0),"",H147/J147)</f>
        <v>0.31746</v>
      </c>
      <c r="M147" s="35"/>
      <c r="N147" s="36" t="n">
        <v>0.1</v>
      </c>
      <c r="O147" s="36" t="n">
        <v>0.2</v>
      </c>
      <c r="P147" s="36" t="n">
        <v>0.19</v>
      </c>
      <c r="Q147" s="37" t="n">
        <f aca="false">IF(I147="","",I147+N(N147))</f>
        <v>5.1</v>
      </c>
      <c r="R147" s="37" t="n">
        <f aca="false">IF(OR(Q147="",F147=""),"",Q147/(1+F147))</f>
        <v>4.59459459459459</v>
      </c>
      <c r="S147" s="38" t="n">
        <f aca="false">IF(OR(H147="",H147=0,R147="",R147=0),"",H147/R147)</f>
        <v>0.311235294117647</v>
      </c>
      <c r="T147" s="39" t="n">
        <f aca="false">IF(I147="","",I147+N(N147+O147))</f>
        <v>5.3</v>
      </c>
      <c r="U147" s="39" t="n">
        <f aca="false">IF(OR(T147="",F147=""),"",T147/(1+F147))</f>
        <v>4.77477477477477</v>
      </c>
      <c r="V147" s="40" t="n">
        <f aca="false">IF(OR(H147="",H147=0,U147="",U147=0),"",H147/U147)</f>
        <v>0.299490566037736</v>
      </c>
      <c r="W147" s="41" t="n">
        <f aca="false">IF(I147="","",I147+N(N147+O147+P147))</f>
        <v>5.49</v>
      </c>
      <c r="X147" s="41" t="n">
        <f aca="false">IF(OR(W147="",F147=""),"",W147/(1+F147))</f>
        <v>4.94594594594595</v>
      </c>
      <c r="Y147" s="42" t="n">
        <f aca="false">IF(OR(H147="",H147=0,X147="",X147=0),"",H147/X147)</f>
        <v>0.289125683060109</v>
      </c>
    </row>
    <row r="148" customFormat="false" ht="15" hidden="false" customHeight="true" outlineLevel="0" collapsed="false">
      <c r="A148" s="5" t="s">
        <v>772</v>
      </c>
      <c r="B148" s="5" t="s">
        <v>472</v>
      </c>
      <c r="C148" s="5" t="s">
        <v>453</v>
      </c>
      <c r="D148" s="5" t="s">
        <v>645</v>
      </c>
      <c r="E148" s="5" t="s">
        <v>643</v>
      </c>
      <c r="F148" s="28" t="n">
        <f aca="false">IF(E148="","",IF(E148="DRINKS",0.21,0.11))</f>
        <v>0.11</v>
      </c>
      <c r="G148" s="29" t="n">
        <f aca="false">IF(B148="","",SUMIF(RETETAR!A:A,B148,RETETAR!F:F))</f>
        <v>1.43</v>
      </c>
      <c r="H148" s="30" t="n">
        <f aca="false">IF(B148="","",SUMIF(RETETAR!A:A,B148,RETETAR!H:H))</f>
        <v>1.43</v>
      </c>
      <c r="I148" s="31" t="n">
        <v>5.2</v>
      </c>
      <c r="J148" s="32" t="n">
        <f aca="false">IF(OR(I148="",F148=""),"",I148/(1+F148))</f>
        <v>4.68468468468469</v>
      </c>
      <c r="K148" s="33" t="n">
        <f aca="false">IF(OR(G148="",G148=0,J148="",J148=0),"",G148/J148)</f>
        <v>0.30525</v>
      </c>
      <c r="L148" s="34" t="n">
        <f aca="false">IF(OR(H148="",H148=0,J148="",J148=0),"",H148/J148)</f>
        <v>0.30525</v>
      </c>
      <c r="M148" s="35"/>
      <c r="N148" s="36" t="n">
        <v>0.1</v>
      </c>
      <c r="O148" s="36" t="n">
        <v>0.2</v>
      </c>
      <c r="P148" s="36" t="n">
        <v>0.19</v>
      </c>
      <c r="Q148" s="37" t="n">
        <f aca="false">IF(I148="","",I148+N(N148))</f>
        <v>5.3</v>
      </c>
      <c r="R148" s="37" t="n">
        <f aca="false">IF(OR(Q148="",F148=""),"",Q148/(1+F148))</f>
        <v>4.77477477477477</v>
      </c>
      <c r="S148" s="38" t="n">
        <f aca="false">IF(OR(H148="",H148=0,R148="",R148=0),"",H148/R148)</f>
        <v>0.299490566037736</v>
      </c>
      <c r="T148" s="39" t="n">
        <f aca="false">IF(I148="","",I148+N(N148+O148))</f>
        <v>5.5</v>
      </c>
      <c r="U148" s="39" t="n">
        <f aca="false">IF(OR(T148="",F148=""),"",T148/(1+F148))</f>
        <v>4.95495495495495</v>
      </c>
      <c r="V148" s="40" t="n">
        <f aca="false">IF(OR(H148="",H148=0,U148="",U148=0),"",H148/U148)</f>
        <v>0.2886</v>
      </c>
      <c r="W148" s="41" t="n">
        <f aca="false">IF(I148="","",I148+N(N148+O148+P148))</f>
        <v>5.69</v>
      </c>
      <c r="X148" s="41" t="n">
        <f aca="false">IF(OR(W148="",F148=""),"",W148/(1+F148))</f>
        <v>5.12612612612613</v>
      </c>
      <c r="Y148" s="42" t="n">
        <f aca="false">IF(OR(H148="",H148=0,X148="",X148=0),"",H148/X148)</f>
        <v>0.27896309314587</v>
      </c>
    </row>
    <row r="149" customFormat="false" ht="15" hidden="false" customHeight="true" outlineLevel="0" collapsed="false">
      <c r="A149" s="5" t="s">
        <v>773</v>
      </c>
      <c r="B149" s="5" t="s">
        <v>473</v>
      </c>
      <c r="C149" s="5" t="s">
        <v>453</v>
      </c>
      <c r="D149" s="5" t="s">
        <v>642</v>
      </c>
      <c r="E149" s="5" t="s">
        <v>643</v>
      </c>
      <c r="F149" s="28" t="n">
        <f aca="false">IF(E149="","",IF(E149="DRINKS",0.21,0.11))</f>
        <v>0.11</v>
      </c>
      <c r="G149" s="29" t="n">
        <f aca="false">IF(B149="","",SUMIF(RETETAR!A:A,B149,RETETAR!F:F))</f>
        <v>0.904</v>
      </c>
      <c r="H149" s="30" t="n">
        <f aca="false">IF(B149="","",SUMIF(RETETAR!A:A,B149,RETETAR!H:H))</f>
        <v>0.904</v>
      </c>
      <c r="I149" s="31" t="n">
        <v>5</v>
      </c>
      <c r="J149" s="32" t="n">
        <f aca="false">IF(OR(I149="",F149=""),"",I149/(1+F149))</f>
        <v>4.5045045045045</v>
      </c>
      <c r="K149" s="33" t="n">
        <f aca="false">IF(OR(G149="",G149=0,J149="",J149=0),"",G149/J149)</f>
        <v>0.200688</v>
      </c>
      <c r="L149" s="34" t="n">
        <f aca="false">IF(OR(H149="",H149=0,J149="",J149=0),"",H149/J149)</f>
        <v>0.200688</v>
      </c>
      <c r="M149" s="35" t="s">
        <v>774</v>
      </c>
      <c r="N149" s="36" t="n">
        <v>0.1</v>
      </c>
      <c r="O149" s="36" t="n">
        <v>0.2</v>
      </c>
      <c r="P149" s="36" t="n">
        <v>0.19</v>
      </c>
      <c r="Q149" s="37" t="n">
        <f aca="false">IF(I149="","",I149+N(N149))</f>
        <v>5.1</v>
      </c>
      <c r="R149" s="37" t="n">
        <f aca="false">IF(OR(Q149="",F149=""),"",Q149/(1+F149))</f>
        <v>4.59459459459459</v>
      </c>
      <c r="S149" s="38" t="n">
        <f aca="false">IF(OR(H149="",H149=0,R149="",R149=0),"",H149/R149)</f>
        <v>0.196752941176471</v>
      </c>
      <c r="T149" s="39" t="n">
        <f aca="false">IF(I149="","",I149+N(N149+O149))</f>
        <v>5.3</v>
      </c>
      <c r="U149" s="39" t="n">
        <f aca="false">IF(OR(T149="",F149=""),"",T149/(1+F149))</f>
        <v>4.77477477477477</v>
      </c>
      <c r="V149" s="40" t="n">
        <f aca="false">IF(OR(H149="",H149=0,U149="",U149=0),"",H149/U149)</f>
        <v>0.189328301886792</v>
      </c>
      <c r="W149" s="41" t="n">
        <f aca="false">IF(I149="","",I149+N(N149+O149+P149))</f>
        <v>5.49</v>
      </c>
      <c r="X149" s="41" t="n">
        <f aca="false">IF(OR(W149="",F149=""),"",W149/(1+F149))</f>
        <v>4.94594594594595</v>
      </c>
      <c r="Y149" s="42" t="n">
        <f aca="false">IF(OR(H149="",H149=0,X149="",X149=0),"",H149/X149)</f>
        <v>0.182775956284153</v>
      </c>
    </row>
    <row r="150" customFormat="false" ht="15" hidden="false" customHeight="true" outlineLevel="0" collapsed="false">
      <c r="A150" s="5" t="s">
        <v>775</v>
      </c>
      <c r="B150" s="5" t="s">
        <v>474</v>
      </c>
      <c r="C150" s="5" t="s">
        <v>453</v>
      </c>
      <c r="D150" s="5" t="s">
        <v>642</v>
      </c>
      <c r="E150" s="5" t="s">
        <v>643</v>
      </c>
      <c r="F150" s="28" t="n">
        <f aca="false">IF(E150="","",IF(E150="DRINKS",0.21,0.11))</f>
        <v>0.11</v>
      </c>
      <c r="G150" s="29" t="n">
        <f aca="false">IF(B150="","",SUMIF(RETETAR!A:A,B150,RETETAR!F:F))</f>
        <v>4.887</v>
      </c>
      <c r="H150" s="30" t="n">
        <f aca="false">IF(B150="","",SUMIF(RETETAR!A:A,B150,RETETAR!H:H))</f>
        <v>4.887</v>
      </c>
      <c r="I150" s="31" t="n">
        <v>13.98</v>
      </c>
      <c r="J150" s="32" t="n">
        <f aca="false">IF(OR(I150="",F150=""),"",I150/(1+F150))</f>
        <v>12.5945945945946</v>
      </c>
      <c r="K150" s="33" t="n">
        <f aca="false">IF(OR(G150="",G150=0,J150="",J150=0),"",G150/J150)</f>
        <v>0.388023605150215</v>
      </c>
      <c r="L150" s="34" t="n">
        <f aca="false">IF(OR(H150="",H150=0,J150="",J150=0),"",H150/J150)</f>
        <v>0.388023605150215</v>
      </c>
      <c r="M150" s="35"/>
      <c r="N150" s="36" t="n">
        <v>0</v>
      </c>
      <c r="O150" s="36" t="n">
        <v>0</v>
      </c>
      <c r="P150" s="36" t="n">
        <v>0</v>
      </c>
      <c r="Q150" s="37" t="n">
        <f aca="false">IF(I150="","",I150+N(N150))</f>
        <v>13.98</v>
      </c>
      <c r="R150" s="37" t="n">
        <f aca="false">IF(OR(Q150="",F150=""),"",Q150/(1+F150))</f>
        <v>12.5945945945946</v>
      </c>
      <c r="S150" s="38" t="n">
        <f aca="false">IF(OR(H150="",H150=0,R150="",R150=0),"",H150/R150)</f>
        <v>0.388023605150215</v>
      </c>
      <c r="T150" s="39" t="n">
        <f aca="false">IF(I150="","",I150+N(N150+O150))</f>
        <v>13.98</v>
      </c>
      <c r="U150" s="39" t="n">
        <f aca="false">IF(OR(T150="",F150=""),"",T150/(1+F150))</f>
        <v>12.5945945945946</v>
      </c>
      <c r="V150" s="40" t="n">
        <f aca="false">IF(OR(H150="",H150=0,U150="",U150=0),"",H150/U150)</f>
        <v>0.388023605150215</v>
      </c>
      <c r="W150" s="41" t="n">
        <f aca="false">IF(I150="","",I150+N(N150+O150+P150))</f>
        <v>13.98</v>
      </c>
      <c r="X150" s="41" t="n">
        <f aca="false">IF(OR(W150="",F150=""),"",W150/(1+F150))</f>
        <v>12.5945945945946</v>
      </c>
      <c r="Y150" s="42" t="n">
        <f aca="false">IF(OR(H150="",H150=0,X150="",X150=0),"",H150/X150)</f>
        <v>0.388023605150215</v>
      </c>
    </row>
    <row r="151" customFormat="false" ht="15" hidden="false" customHeight="true" outlineLevel="0" collapsed="false">
      <c r="A151" s="5" t="s">
        <v>776</v>
      </c>
      <c r="B151" s="5" t="s">
        <v>475</v>
      </c>
      <c r="C151" s="5" t="s">
        <v>453</v>
      </c>
      <c r="D151" s="5" t="s">
        <v>645</v>
      </c>
      <c r="E151" s="5" t="s">
        <v>643</v>
      </c>
      <c r="F151" s="28" t="n">
        <f aca="false">IF(E151="","",IF(E151="DRINKS",0.21,0.11))</f>
        <v>0.11</v>
      </c>
      <c r="G151" s="29" t="n">
        <f aca="false">IF(B151="","",SUMIF(RETETAR!A:A,B151,RETETAR!F:F))</f>
        <v>4.887</v>
      </c>
      <c r="H151" s="30" t="n">
        <f aca="false">IF(B151="","",SUMIF(RETETAR!A:A,B151,RETETAR!H:H))</f>
        <v>4.887</v>
      </c>
      <c r="I151" s="31" t="n">
        <v>13.98</v>
      </c>
      <c r="J151" s="32" t="n">
        <f aca="false">IF(OR(I151="",F151=""),"",I151/(1+F151))</f>
        <v>12.5945945945946</v>
      </c>
      <c r="K151" s="33" t="n">
        <f aca="false">IF(OR(G151="",G151=0,J151="",J151=0),"",G151/J151)</f>
        <v>0.388023605150215</v>
      </c>
      <c r="L151" s="34" t="n">
        <f aca="false">IF(OR(H151="",H151=0,J151="",J151=0),"",H151/J151)</f>
        <v>0.388023605150215</v>
      </c>
      <c r="M151" s="35"/>
      <c r="N151" s="36" t="n">
        <v>0</v>
      </c>
      <c r="O151" s="36" t="n">
        <v>0</v>
      </c>
      <c r="P151" s="36" t="n">
        <v>0</v>
      </c>
      <c r="Q151" s="37" t="n">
        <f aca="false">IF(I151="","",I151+N(N151))</f>
        <v>13.98</v>
      </c>
      <c r="R151" s="37" t="n">
        <f aca="false">IF(OR(Q151="",F151=""),"",Q151/(1+F151))</f>
        <v>12.5945945945946</v>
      </c>
      <c r="S151" s="38" t="n">
        <f aca="false">IF(OR(H151="",H151=0,R151="",R151=0),"",H151/R151)</f>
        <v>0.388023605150215</v>
      </c>
      <c r="T151" s="39" t="n">
        <f aca="false">IF(I151="","",I151+N(N151+O151))</f>
        <v>13.98</v>
      </c>
      <c r="U151" s="39" t="n">
        <f aca="false">IF(OR(T151="",F151=""),"",T151/(1+F151))</f>
        <v>12.5945945945946</v>
      </c>
      <c r="V151" s="40" t="n">
        <f aca="false">IF(OR(H151="",H151=0,U151="",U151=0),"",H151/U151)</f>
        <v>0.388023605150215</v>
      </c>
      <c r="W151" s="41" t="n">
        <f aca="false">IF(I151="","",I151+N(N151+O151+P151))</f>
        <v>13.98</v>
      </c>
      <c r="X151" s="41" t="n">
        <f aca="false">IF(OR(W151="",F151=""),"",W151/(1+F151))</f>
        <v>12.5945945945946</v>
      </c>
      <c r="Y151" s="42" t="n">
        <f aca="false">IF(OR(H151="",H151=0,X151="",X151=0),"",H151/X151)</f>
        <v>0.388023605150215</v>
      </c>
    </row>
    <row r="152" customFormat="false" ht="15" hidden="false" customHeight="true" outlineLevel="0" collapsed="false">
      <c r="A152" s="5" t="s">
        <v>777</v>
      </c>
      <c r="B152" s="5" t="s">
        <v>476</v>
      </c>
      <c r="C152" s="5" t="s">
        <v>453</v>
      </c>
      <c r="D152" s="5" t="s">
        <v>642</v>
      </c>
      <c r="E152" s="5" t="s">
        <v>643</v>
      </c>
      <c r="F152" s="28" t="n">
        <f aca="false">IF(E152="","",IF(E152="DRINKS",0.21,0.11))</f>
        <v>0.11</v>
      </c>
      <c r="G152" s="29" t="n">
        <f aca="false">IF(B152="","",SUMIF(RETETAR!A:A,B152,RETETAR!F:F))</f>
        <v>2.993</v>
      </c>
      <c r="H152" s="30" t="n">
        <f aca="false">IF(B152="","",SUMIF(RETETAR!A:A,B152,RETETAR!H:H))</f>
        <v>2.993</v>
      </c>
      <c r="I152" s="31" t="n">
        <v>13.98</v>
      </c>
      <c r="J152" s="32" t="n">
        <f aca="false">IF(OR(I152="",F152=""),"",I152/(1+F152))</f>
        <v>12.5945945945946</v>
      </c>
      <c r="K152" s="33" t="n">
        <f aca="false">IF(OR(G152="",G152=0,J152="",J152=0),"",G152/J152)</f>
        <v>0.237641630901288</v>
      </c>
      <c r="L152" s="34" t="n">
        <f aca="false">IF(OR(H152="",H152=0,J152="",J152=0),"",H152/J152)</f>
        <v>0.237641630901288</v>
      </c>
      <c r="M152" s="35"/>
      <c r="N152" s="36" t="n">
        <v>0.1</v>
      </c>
      <c r="O152" s="36" t="n">
        <v>0.2</v>
      </c>
      <c r="P152" s="36" t="n">
        <v>0.19</v>
      </c>
      <c r="Q152" s="37" t="n">
        <f aca="false">IF(I152="","",I152+N(N152))</f>
        <v>14.08</v>
      </c>
      <c r="R152" s="37" t="n">
        <f aca="false">IF(OR(Q152="",F152=""),"",Q152/(1+F152))</f>
        <v>12.6846846846847</v>
      </c>
      <c r="S152" s="38" t="n">
        <f aca="false">IF(OR(H152="",H152=0,R152="",R152=0),"",H152/R152)</f>
        <v>0.235953835227273</v>
      </c>
      <c r="T152" s="39" t="n">
        <f aca="false">IF(I152="","",I152+N(N152+O152))</f>
        <v>14.28</v>
      </c>
      <c r="U152" s="39" t="n">
        <f aca="false">IF(OR(T152="",F152=""),"",T152/(1+F152))</f>
        <v>12.8648648648649</v>
      </c>
      <c r="V152" s="40" t="n">
        <f aca="false">IF(OR(H152="",H152=0,U152="",U152=0),"",H152/U152)</f>
        <v>0.232649159663866</v>
      </c>
      <c r="W152" s="41" t="n">
        <f aca="false">IF(I152="","",I152+N(N152+O152+P152))</f>
        <v>14.47</v>
      </c>
      <c r="X152" s="41" t="n">
        <f aca="false">IF(OR(W152="",F152=""),"",W152/(1+F152))</f>
        <v>13.036036036036</v>
      </c>
      <c r="Y152" s="42" t="n">
        <f aca="false">IF(OR(H152="",H152=0,X152="",X152=0),"",H152/X152)</f>
        <v>0.229594333102972</v>
      </c>
    </row>
    <row r="153" customFormat="false" ht="15" hidden="false" customHeight="true" outlineLevel="0" collapsed="false">
      <c r="A153" s="5" t="s">
        <v>778</v>
      </c>
      <c r="B153" s="5" t="s">
        <v>477</v>
      </c>
      <c r="C153" s="5" t="s">
        <v>453</v>
      </c>
      <c r="D153" s="5" t="s">
        <v>645</v>
      </c>
      <c r="E153" s="5" t="s">
        <v>643</v>
      </c>
      <c r="F153" s="28" t="n">
        <f aca="false">IF(E153="","",IF(E153="DRINKS",0.21,0.11))</f>
        <v>0.11</v>
      </c>
      <c r="G153" s="29" t="n">
        <f aca="false">IF(B153="","",SUMIF(RETETAR!A:A,B153,RETETAR!F:F))</f>
        <v>2.993</v>
      </c>
      <c r="H153" s="30" t="n">
        <f aca="false">IF(B153="","",SUMIF(RETETAR!A:A,B153,RETETAR!H:H))</f>
        <v>2.993</v>
      </c>
      <c r="I153" s="31" t="n">
        <v>13.98</v>
      </c>
      <c r="J153" s="32" t="n">
        <f aca="false">IF(OR(I153="",F153=""),"",I153/(1+F153))</f>
        <v>12.5945945945946</v>
      </c>
      <c r="K153" s="33" t="n">
        <f aca="false">IF(OR(G153="",G153=0,J153="",J153=0),"",G153/J153)</f>
        <v>0.237641630901288</v>
      </c>
      <c r="L153" s="34" t="n">
        <f aca="false">IF(OR(H153="",H153=0,J153="",J153=0),"",H153/J153)</f>
        <v>0.237641630901288</v>
      </c>
      <c r="M153" s="35"/>
      <c r="N153" s="36" t="n">
        <v>0.1</v>
      </c>
      <c r="O153" s="36" t="n">
        <v>0.2</v>
      </c>
      <c r="P153" s="36" t="n">
        <v>0.19</v>
      </c>
      <c r="Q153" s="37" t="n">
        <f aca="false">IF(I153="","",I153+N(N153))</f>
        <v>14.08</v>
      </c>
      <c r="R153" s="37" t="n">
        <f aca="false">IF(OR(Q153="",F153=""),"",Q153/(1+F153))</f>
        <v>12.6846846846847</v>
      </c>
      <c r="S153" s="38" t="n">
        <f aca="false">IF(OR(H153="",H153=0,R153="",R153=0),"",H153/R153)</f>
        <v>0.235953835227273</v>
      </c>
      <c r="T153" s="39" t="n">
        <f aca="false">IF(I153="","",I153+N(N153+O153))</f>
        <v>14.28</v>
      </c>
      <c r="U153" s="39" t="n">
        <f aca="false">IF(OR(T153="",F153=""),"",T153/(1+F153))</f>
        <v>12.8648648648649</v>
      </c>
      <c r="V153" s="40" t="n">
        <f aca="false">IF(OR(H153="",H153=0,U153="",U153=0),"",H153/U153)</f>
        <v>0.232649159663866</v>
      </c>
      <c r="W153" s="41" t="n">
        <f aca="false">IF(I153="","",I153+N(N153+O153+P153))</f>
        <v>14.47</v>
      </c>
      <c r="X153" s="41" t="n">
        <f aca="false">IF(OR(W153="",F153=""),"",W153/(1+F153))</f>
        <v>13.036036036036</v>
      </c>
      <c r="Y153" s="42" t="n">
        <f aca="false">IF(OR(H153="",H153=0,X153="",X153=0),"",H153/X153)</f>
        <v>0.229594333102972</v>
      </c>
    </row>
    <row r="154" customFormat="false" ht="15" hidden="false" customHeight="true" outlineLevel="0" collapsed="false">
      <c r="A154" s="5" t="s">
        <v>779</v>
      </c>
      <c r="B154" s="5" t="s">
        <v>478</v>
      </c>
      <c r="C154" s="5" t="s">
        <v>453</v>
      </c>
      <c r="D154" s="5" t="s">
        <v>642</v>
      </c>
      <c r="E154" s="5" t="s">
        <v>643</v>
      </c>
      <c r="F154" s="28" t="n">
        <f aca="false">IF(E154="","",IF(E154="DRINKS",0.21,0.11))</f>
        <v>0.11</v>
      </c>
      <c r="G154" s="29" t="n">
        <f aca="false">IF(B154="","",SUMIF(RETETAR!A:A,B154,RETETAR!F:F))</f>
        <v>6.9255</v>
      </c>
      <c r="H154" s="30" t="n">
        <f aca="false">IF(B154="","",SUMIF(RETETAR!A:A,B154,RETETAR!H:H))</f>
        <v>6.9255</v>
      </c>
      <c r="I154" s="31" t="n">
        <v>25</v>
      </c>
      <c r="J154" s="32" t="n">
        <f aca="false">IF(OR(I154="",F154=""),"",I154/(1+F154))</f>
        <v>22.5225225225225</v>
      </c>
      <c r="K154" s="33" t="n">
        <f aca="false">IF(OR(G154="",G154=0,J154="",J154=0),"",G154/J154)</f>
        <v>0.3074922</v>
      </c>
      <c r="L154" s="34" t="n">
        <f aca="false">IF(OR(H154="",H154=0,J154="",J154=0),"",H154/J154)</f>
        <v>0.3074922</v>
      </c>
      <c r="M154" s="35"/>
      <c r="N154" s="36" t="n">
        <v>0.1</v>
      </c>
      <c r="O154" s="36" t="n">
        <v>0.2</v>
      </c>
      <c r="P154" s="36" t="n">
        <v>0.19</v>
      </c>
      <c r="Q154" s="37" t="n">
        <f aca="false">IF(I154="","",I154+N(N154))</f>
        <v>25.1</v>
      </c>
      <c r="R154" s="37" t="n">
        <f aca="false">IF(OR(Q154="",F154=""),"",Q154/(1+F154))</f>
        <v>22.6126126126126</v>
      </c>
      <c r="S154" s="38" t="n">
        <f aca="false">IF(OR(H154="",H154=0,R154="",R154=0),"",H154/R154)</f>
        <v>0.306267131474104</v>
      </c>
      <c r="T154" s="39" t="n">
        <f aca="false">IF(I154="","",I154+N(N154+O154))</f>
        <v>25.3</v>
      </c>
      <c r="U154" s="39" t="n">
        <f aca="false">IF(OR(T154="",F154=""),"",T154/(1+F154))</f>
        <v>22.7927927927928</v>
      </c>
      <c r="V154" s="40" t="n">
        <f aca="false">IF(OR(H154="",H154=0,U154="",U154=0),"",H154/U154)</f>
        <v>0.30384604743083</v>
      </c>
      <c r="W154" s="41" t="n">
        <f aca="false">IF(I154="","",I154+N(N154+O154+P154))</f>
        <v>25.49</v>
      </c>
      <c r="X154" s="41" t="n">
        <f aca="false">IF(OR(W154="",F154=""),"",W154/(1+F154))</f>
        <v>22.963963963964</v>
      </c>
      <c r="Y154" s="42" t="n">
        <f aca="false">IF(OR(H154="",H154=0,X154="",X154=0),"",H154/X154)</f>
        <v>0.301581208316987</v>
      </c>
    </row>
    <row r="155" customFormat="false" ht="15" hidden="false" customHeight="true" outlineLevel="0" collapsed="false">
      <c r="A155" s="5" t="s">
        <v>780</v>
      </c>
      <c r="B155" s="5" t="s">
        <v>479</v>
      </c>
      <c r="C155" s="5" t="s">
        <v>453</v>
      </c>
      <c r="D155" s="5" t="s">
        <v>645</v>
      </c>
      <c r="E155" s="5" t="s">
        <v>643</v>
      </c>
      <c r="F155" s="28" t="n">
        <f aca="false">IF(E155="","",IF(E155="DRINKS",0.21,0.11))</f>
        <v>0.11</v>
      </c>
      <c r="G155" s="29" t="n">
        <f aca="false">IF(B155="","",SUMIF(RETETAR!A:A,B155,RETETAR!F:F))</f>
        <v>6.9255</v>
      </c>
      <c r="H155" s="30" t="n">
        <f aca="false">IF(B155="","",SUMIF(RETETAR!A:A,B155,RETETAR!H:H))</f>
        <v>6.9255</v>
      </c>
      <c r="I155" s="31" t="n">
        <v>25</v>
      </c>
      <c r="J155" s="32" t="n">
        <f aca="false">IF(OR(I155="",F155=""),"",I155/(1+F155))</f>
        <v>22.5225225225225</v>
      </c>
      <c r="K155" s="33" t="n">
        <f aca="false">IF(OR(G155="",G155=0,J155="",J155=0),"",G155/J155)</f>
        <v>0.3074922</v>
      </c>
      <c r="L155" s="34" t="n">
        <f aca="false">IF(OR(H155="",H155=0,J155="",J155=0),"",H155/J155)</f>
        <v>0.3074922</v>
      </c>
      <c r="M155" s="35"/>
      <c r="N155" s="36" t="n">
        <v>0.1</v>
      </c>
      <c r="O155" s="36" t="n">
        <v>0.2</v>
      </c>
      <c r="P155" s="36" t="n">
        <v>0.19</v>
      </c>
      <c r="Q155" s="37" t="n">
        <f aca="false">IF(I155="","",I155+N(N155))</f>
        <v>25.1</v>
      </c>
      <c r="R155" s="37" t="n">
        <f aca="false">IF(OR(Q155="",F155=""),"",Q155/(1+F155))</f>
        <v>22.6126126126126</v>
      </c>
      <c r="S155" s="38" t="n">
        <f aca="false">IF(OR(H155="",H155=0,R155="",R155=0),"",H155/R155)</f>
        <v>0.306267131474104</v>
      </c>
      <c r="T155" s="39" t="n">
        <f aca="false">IF(I155="","",I155+N(N155+O155))</f>
        <v>25.3</v>
      </c>
      <c r="U155" s="39" t="n">
        <f aca="false">IF(OR(T155="",F155=""),"",T155/(1+F155))</f>
        <v>22.7927927927928</v>
      </c>
      <c r="V155" s="40" t="n">
        <f aca="false">IF(OR(H155="",H155=0,U155="",U155=0),"",H155/U155)</f>
        <v>0.30384604743083</v>
      </c>
      <c r="W155" s="41" t="n">
        <f aca="false">IF(I155="","",I155+N(N155+O155+P155))</f>
        <v>25.49</v>
      </c>
      <c r="X155" s="41" t="n">
        <f aca="false">IF(OR(W155="",F155=""),"",W155/(1+F155))</f>
        <v>22.963963963964</v>
      </c>
      <c r="Y155" s="42" t="n">
        <f aca="false">IF(OR(H155="",H155=0,X155="",X155=0),"",H155/X155)</f>
        <v>0.301581208316987</v>
      </c>
    </row>
    <row r="156" customFormat="false" ht="15" hidden="false" customHeight="true" outlineLevel="0" collapsed="false">
      <c r="A156" s="5" t="s">
        <v>781</v>
      </c>
      <c r="B156" s="5" t="s">
        <v>480</v>
      </c>
      <c r="C156" s="5" t="s">
        <v>453</v>
      </c>
      <c r="D156" s="5" t="s">
        <v>642</v>
      </c>
      <c r="E156" s="5" t="s">
        <v>643</v>
      </c>
      <c r="F156" s="28" t="n">
        <f aca="false">IF(E156="","",IF(E156="DRINKS",0.21,0.11))</f>
        <v>0.11</v>
      </c>
      <c r="G156" s="29" t="n">
        <f aca="false">IF(B156="","",SUMIF(RETETAR!A:A,B156,RETETAR!F:F))</f>
        <v>10.896</v>
      </c>
      <c r="H156" s="30" t="n">
        <f aca="false">IF(B156="","",SUMIF(RETETAR!A:A,B156,RETETAR!H:H))</f>
        <v>10.896</v>
      </c>
      <c r="I156" s="31" t="n">
        <v>35</v>
      </c>
      <c r="J156" s="32" t="n">
        <f aca="false">IF(OR(I156="",F156=""),"",I156/(1+F156))</f>
        <v>31.5315315315315</v>
      </c>
      <c r="K156" s="33" t="n">
        <f aca="false">IF(OR(G156="",G156=0,J156="",J156=0),"",G156/J156)</f>
        <v>0.345558857142857</v>
      </c>
      <c r="L156" s="34" t="n">
        <f aca="false">IF(OR(H156="",H156=0,J156="",J156=0),"",H156/J156)</f>
        <v>0.345558857142857</v>
      </c>
      <c r="M156" s="35"/>
      <c r="N156" s="36" t="n">
        <v>0.1</v>
      </c>
      <c r="O156" s="36" t="n">
        <v>0.2</v>
      </c>
      <c r="P156" s="36" t="n">
        <v>0.19</v>
      </c>
      <c r="Q156" s="37" t="n">
        <f aca="false">IF(I156="","",I156+N(N156))</f>
        <v>35.1</v>
      </c>
      <c r="R156" s="37" t="n">
        <f aca="false">IF(OR(Q156="",F156=""),"",Q156/(1+F156))</f>
        <v>31.6216216216216</v>
      </c>
      <c r="S156" s="38" t="n">
        <f aca="false">IF(OR(H156="",H156=0,R156="",R156=0),"",H156/R156)</f>
        <v>0.344574358974359</v>
      </c>
      <c r="T156" s="39" t="n">
        <f aca="false">IF(I156="","",I156+N(N156+O156))</f>
        <v>35.3</v>
      </c>
      <c r="U156" s="39" t="n">
        <f aca="false">IF(OR(T156="",F156=""),"",T156/(1+F156))</f>
        <v>31.8018018018018</v>
      </c>
      <c r="V156" s="40" t="n">
        <f aca="false">IF(OR(H156="",H156=0,U156="",U156=0),"",H156/U156)</f>
        <v>0.34262209631728</v>
      </c>
      <c r="W156" s="41" t="n">
        <f aca="false">IF(I156="","",I156+N(N156+O156+P156))</f>
        <v>35.49</v>
      </c>
      <c r="X156" s="41" t="n">
        <f aca="false">IF(OR(W156="",F156=""),"",W156/(1+F156))</f>
        <v>31.972972972973</v>
      </c>
      <c r="Y156" s="42" t="n">
        <f aca="false">IF(OR(H156="",H156=0,X156="",X156=0),"",H156/X156)</f>
        <v>0.340787827557058</v>
      </c>
    </row>
    <row r="157" customFormat="false" ht="15" hidden="false" customHeight="true" outlineLevel="0" collapsed="false">
      <c r="A157" s="5" t="s">
        <v>782</v>
      </c>
      <c r="B157" s="5" t="s">
        <v>481</v>
      </c>
      <c r="C157" s="5" t="s">
        <v>453</v>
      </c>
      <c r="D157" s="5" t="s">
        <v>645</v>
      </c>
      <c r="E157" s="5" t="s">
        <v>643</v>
      </c>
      <c r="F157" s="28" t="n">
        <f aca="false">IF(E157="","",IF(E157="DRINKS",0.21,0.11))</f>
        <v>0.11</v>
      </c>
      <c r="G157" s="29" t="n">
        <f aca="false">IF(B157="","",SUMIF(RETETAR!A:A,B157,RETETAR!F:F))</f>
        <v>10.896</v>
      </c>
      <c r="H157" s="30" t="n">
        <f aca="false">IF(B157="","",SUMIF(RETETAR!A:A,B157,RETETAR!H:H))</f>
        <v>10.896</v>
      </c>
      <c r="I157" s="31" t="n">
        <v>35</v>
      </c>
      <c r="J157" s="32" t="n">
        <f aca="false">IF(OR(I157="",F157=""),"",I157/(1+F157))</f>
        <v>31.5315315315315</v>
      </c>
      <c r="K157" s="33" t="n">
        <f aca="false">IF(OR(G157="",G157=0,J157="",J157=0),"",G157/J157)</f>
        <v>0.345558857142857</v>
      </c>
      <c r="L157" s="34" t="n">
        <f aca="false">IF(OR(H157="",H157=0,J157="",J157=0),"",H157/J157)</f>
        <v>0.345558857142857</v>
      </c>
      <c r="M157" s="35"/>
      <c r="N157" s="36" t="n">
        <v>0.1</v>
      </c>
      <c r="O157" s="36" t="n">
        <v>0.2</v>
      </c>
      <c r="P157" s="36" t="n">
        <v>0.19</v>
      </c>
      <c r="Q157" s="37" t="n">
        <f aca="false">IF(I157="","",I157+N(N157))</f>
        <v>35.1</v>
      </c>
      <c r="R157" s="37" t="n">
        <f aca="false">IF(OR(Q157="",F157=""),"",Q157/(1+F157))</f>
        <v>31.6216216216216</v>
      </c>
      <c r="S157" s="38" t="n">
        <f aca="false">IF(OR(H157="",H157=0,R157="",R157=0),"",H157/R157)</f>
        <v>0.344574358974359</v>
      </c>
      <c r="T157" s="39" t="n">
        <f aca="false">IF(I157="","",I157+N(N157+O157))</f>
        <v>35.3</v>
      </c>
      <c r="U157" s="39" t="n">
        <f aca="false">IF(OR(T157="",F157=""),"",T157/(1+F157))</f>
        <v>31.8018018018018</v>
      </c>
      <c r="V157" s="40" t="n">
        <f aca="false">IF(OR(H157="",H157=0,U157="",U157=0),"",H157/U157)</f>
        <v>0.34262209631728</v>
      </c>
      <c r="W157" s="41" t="n">
        <f aca="false">IF(I157="","",I157+N(N157+O157+P157))</f>
        <v>35.49</v>
      </c>
      <c r="X157" s="41" t="n">
        <f aca="false">IF(OR(W157="",F157=""),"",W157/(1+F157))</f>
        <v>31.972972972973</v>
      </c>
      <c r="Y157" s="42" t="n">
        <f aca="false">IF(OR(H157="",H157=0,X157="",X157=0),"",H157/X157)</f>
        <v>0.340787827557058</v>
      </c>
    </row>
    <row r="158" customFormat="false" ht="15" hidden="false" customHeight="true" outlineLevel="0" collapsed="false">
      <c r="A158" s="5" t="s">
        <v>783</v>
      </c>
      <c r="B158" s="5" t="s">
        <v>482</v>
      </c>
      <c r="C158" s="5" t="s">
        <v>453</v>
      </c>
      <c r="D158" s="5" t="s">
        <v>642</v>
      </c>
      <c r="E158" s="5" t="s">
        <v>643</v>
      </c>
      <c r="F158" s="28" t="n">
        <f aca="false">IF(E158="","",IF(E158="DRINKS",0.21,0.11))</f>
        <v>0.11</v>
      </c>
      <c r="G158" s="29" t="n">
        <f aca="false">IF(B158="","",SUMIF(RETETAR!A:A,B158,RETETAR!F:F))</f>
        <v>3.886</v>
      </c>
      <c r="H158" s="30" t="n">
        <f aca="false">IF(B158="","",SUMIF(RETETAR!A:A,B158,RETETAR!H:H))</f>
        <v>3.886</v>
      </c>
      <c r="I158" s="31" t="n">
        <v>13.98</v>
      </c>
      <c r="J158" s="32" t="n">
        <f aca="false">IF(OR(I158="",F158=""),"",I158/(1+F158))</f>
        <v>12.5945945945946</v>
      </c>
      <c r="K158" s="33" t="n">
        <f aca="false">IF(OR(G158="",G158=0,J158="",J158=0),"",G158/J158)</f>
        <v>0.308545064377682</v>
      </c>
      <c r="L158" s="34" t="n">
        <f aca="false">IF(OR(H158="",H158=0,J158="",J158=0),"",H158/J158)</f>
        <v>0.308545064377682</v>
      </c>
      <c r="M158" s="35"/>
      <c r="N158" s="36" t="n">
        <v>0</v>
      </c>
      <c r="O158" s="36" t="n">
        <v>0</v>
      </c>
      <c r="P158" s="36" t="n">
        <v>0</v>
      </c>
      <c r="Q158" s="37" t="n">
        <f aca="false">IF(I158="","",I158+N(N158))</f>
        <v>13.98</v>
      </c>
      <c r="R158" s="37" t="n">
        <f aca="false">IF(OR(Q158="",F158=""),"",Q158/(1+F158))</f>
        <v>12.5945945945946</v>
      </c>
      <c r="S158" s="38" t="n">
        <f aca="false">IF(OR(H158="",H158=0,R158="",R158=0),"",H158/R158)</f>
        <v>0.308545064377682</v>
      </c>
      <c r="T158" s="39" t="n">
        <f aca="false">IF(I158="","",I158+N(N158+O158))</f>
        <v>13.98</v>
      </c>
      <c r="U158" s="39" t="n">
        <f aca="false">IF(OR(T158="",F158=""),"",T158/(1+F158))</f>
        <v>12.5945945945946</v>
      </c>
      <c r="V158" s="40" t="n">
        <f aca="false">IF(OR(H158="",H158=0,U158="",U158=0),"",H158/U158)</f>
        <v>0.308545064377682</v>
      </c>
      <c r="W158" s="41" t="n">
        <f aca="false">IF(I158="","",I158+N(N158+O158+P158))</f>
        <v>13.98</v>
      </c>
      <c r="X158" s="41" t="n">
        <f aca="false">IF(OR(W158="",F158=""),"",W158/(1+F158))</f>
        <v>12.5945945945946</v>
      </c>
      <c r="Y158" s="42" t="n">
        <f aca="false">IF(OR(H158="",H158=0,X158="",X158=0),"",H158/X158)</f>
        <v>0.308545064377682</v>
      </c>
    </row>
    <row r="159" customFormat="false" ht="15" hidden="false" customHeight="true" outlineLevel="0" collapsed="false">
      <c r="A159" s="5" t="s">
        <v>784</v>
      </c>
      <c r="B159" s="5" t="s">
        <v>483</v>
      </c>
      <c r="C159" s="5" t="s">
        <v>453</v>
      </c>
      <c r="D159" s="5" t="s">
        <v>645</v>
      </c>
      <c r="E159" s="5" t="s">
        <v>643</v>
      </c>
      <c r="F159" s="28" t="n">
        <f aca="false">IF(E159="","",IF(E159="DRINKS",0.21,0.11))</f>
        <v>0.11</v>
      </c>
      <c r="G159" s="29" t="n">
        <f aca="false">IF(B159="","",SUMIF(RETETAR!A:A,B159,RETETAR!F:F))</f>
        <v>3.886</v>
      </c>
      <c r="H159" s="30" t="n">
        <f aca="false">IF(B159="","",SUMIF(RETETAR!A:A,B159,RETETAR!H:H))</f>
        <v>3.886</v>
      </c>
      <c r="I159" s="31" t="n">
        <v>13.98</v>
      </c>
      <c r="J159" s="32" t="n">
        <f aca="false">IF(OR(I159="",F159=""),"",I159/(1+F159))</f>
        <v>12.5945945945946</v>
      </c>
      <c r="K159" s="33" t="n">
        <f aca="false">IF(OR(G159="",G159=0,J159="",J159=0),"",G159/J159)</f>
        <v>0.308545064377682</v>
      </c>
      <c r="L159" s="34" t="n">
        <f aca="false">IF(OR(H159="",H159=0,J159="",J159=0),"",H159/J159)</f>
        <v>0.308545064377682</v>
      </c>
      <c r="M159" s="35"/>
      <c r="N159" s="36" t="n">
        <v>0</v>
      </c>
      <c r="O159" s="36" t="n">
        <v>0</v>
      </c>
      <c r="P159" s="36" t="n">
        <v>0</v>
      </c>
      <c r="Q159" s="37" t="n">
        <f aca="false">IF(I159="","",I159+N(N159))</f>
        <v>13.98</v>
      </c>
      <c r="R159" s="37" t="n">
        <f aca="false">IF(OR(Q159="",F159=""),"",Q159/(1+F159))</f>
        <v>12.5945945945946</v>
      </c>
      <c r="S159" s="38" t="n">
        <f aca="false">IF(OR(H159="",H159=0,R159="",R159=0),"",H159/R159)</f>
        <v>0.308545064377682</v>
      </c>
      <c r="T159" s="39" t="n">
        <f aca="false">IF(I159="","",I159+N(N159+O159))</f>
        <v>13.98</v>
      </c>
      <c r="U159" s="39" t="n">
        <f aca="false">IF(OR(T159="",F159=""),"",T159/(1+F159))</f>
        <v>12.5945945945946</v>
      </c>
      <c r="V159" s="40" t="n">
        <f aca="false">IF(OR(H159="",H159=0,U159="",U159=0),"",H159/U159)</f>
        <v>0.308545064377682</v>
      </c>
      <c r="W159" s="41" t="n">
        <f aca="false">IF(I159="","",I159+N(N159+O159+P159))</f>
        <v>13.98</v>
      </c>
      <c r="X159" s="41" t="n">
        <f aca="false">IF(OR(W159="",F159=""),"",W159/(1+F159))</f>
        <v>12.5945945945946</v>
      </c>
      <c r="Y159" s="42" t="n">
        <f aca="false">IF(OR(H159="",H159=0,X159="",X159=0),"",H159/X159)</f>
        <v>0.308545064377682</v>
      </c>
    </row>
    <row r="160" customFormat="false" ht="15" hidden="false" customHeight="true" outlineLevel="0" collapsed="false">
      <c r="A160" s="5" t="s">
        <v>785</v>
      </c>
      <c r="B160" s="5" t="s">
        <v>484</v>
      </c>
      <c r="C160" s="5" t="s">
        <v>485</v>
      </c>
      <c r="D160" s="5" t="s">
        <v>642</v>
      </c>
      <c r="E160" s="5" t="s">
        <v>643</v>
      </c>
      <c r="F160" s="28" t="n">
        <f aca="false">IF(E160="","",IF(E160="DRINKS",0.21,0.11))</f>
        <v>0.11</v>
      </c>
      <c r="G160" s="29" t="n">
        <f aca="false">IF(B160="","",SUMIF(RETETAR!A:A,B160,RETETAR!F:F))</f>
        <v>3.668</v>
      </c>
      <c r="H160" s="30" t="n">
        <f aca="false">IF(B160="","",SUMIF(RETETAR!A:A,B160,RETETAR!H:H))</f>
        <v>3.668</v>
      </c>
      <c r="I160" s="31" t="n">
        <v>10</v>
      </c>
      <c r="J160" s="32" t="n">
        <f aca="false">IF(OR(I160="",F160=""),"",I160/(1+F160))</f>
        <v>9.00900900900901</v>
      </c>
      <c r="K160" s="33" t="n">
        <f aca="false">IF(OR(G160="",G160=0,J160="",J160=0),"",G160/J160)</f>
        <v>0.407148</v>
      </c>
      <c r="L160" s="34" t="n">
        <f aca="false">IF(OR(H160="",H160=0,J160="",J160=0),"",H160/J160)</f>
        <v>0.407148</v>
      </c>
      <c r="M160" s="35" t="s">
        <v>786</v>
      </c>
      <c r="N160" s="36" t="n">
        <v>0</v>
      </c>
      <c r="O160" s="36" t="n">
        <v>0</v>
      </c>
      <c r="P160" s="36" t="n">
        <v>0</v>
      </c>
      <c r="Q160" s="37" t="n">
        <f aca="false">IF(I160="","",I160+N(N160))</f>
        <v>10</v>
      </c>
      <c r="R160" s="37" t="n">
        <f aca="false">IF(OR(Q160="",F160=""),"",Q160/(1+F160))</f>
        <v>9.00900900900901</v>
      </c>
      <c r="S160" s="38" t="n">
        <f aca="false">IF(OR(H160="",H160=0,R160="",R160=0),"",H160/R160)</f>
        <v>0.407148</v>
      </c>
      <c r="T160" s="39" t="n">
        <f aca="false">IF(I160="","",I160+N(N160+O160))</f>
        <v>10</v>
      </c>
      <c r="U160" s="39" t="n">
        <f aca="false">IF(OR(T160="",F160=""),"",T160/(1+F160))</f>
        <v>9.00900900900901</v>
      </c>
      <c r="V160" s="40" t="n">
        <f aca="false">IF(OR(H160="",H160=0,U160="",U160=0),"",H160/U160)</f>
        <v>0.407148</v>
      </c>
      <c r="W160" s="41" t="n">
        <f aca="false">IF(I160="","",I160+N(N160+O160+P160))</f>
        <v>10</v>
      </c>
      <c r="X160" s="41" t="n">
        <f aca="false">IF(OR(W160="",F160=""),"",W160/(1+F160))</f>
        <v>9.00900900900901</v>
      </c>
      <c r="Y160" s="42" t="n">
        <f aca="false">IF(OR(H160="",H160=0,X160="",X160=0),"",H160/X160)</f>
        <v>0.407148</v>
      </c>
    </row>
    <row r="161" customFormat="false" ht="15" hidden="false" customHeight="true" outlineLevel="0" collapsed="false">
      <c r="A161" s="5" t="s">
        <v>787</v>
      </c>
      <c r="B161" s="5" t="s">
        <v>486</v>
      </c>
      <c r="C161" s="5" t="s">
        <v>485</v>
      </c>
      <c r="D161" s="5" t="s">
        <v>645</v>
      </c>
      <c r="E161" s="5" t="s">
        <v>643</v>
      </c>
      <c r="F161" s="28" t="n">
        <f aca="false">IF(E161="","",IF(E161="DRINKS",0.21,0.11))</f>
        <v>0.11</v>
      </c>
      <c r="G161" s="29" t="n">
        <f aca="false">IF(B161="","",SUMIF(RETETAR!A:A,B161,RETETAR!F:F))</f>
        <v>3.668</v>
      </c>
      <c r="H161" s="30" t="n">
        <f aca="false">IF(B161="","",SUMIF(RETETAR!A:A,B161,RETETAR!H:H))</f>
        <v>3.668</v>
      </c>
      <c r="I161" s="31" t="n">
        <v>10.9</v>
      </c>
      <c r="J161" s="32" t="n">
        <f aca="false">IF(OR(I161="",F161=""),"",I161/(1+F161))</f>
        <v>9.81981981981982</v>
      </c>
      <c r="K161" s="33" t="n">
        <f aca="false">IF(OR(G161="",G161=0,J161="",J161=0),"",G161/J161)</f>
        <v>0.373530275229358</v>
      </c>
      <c r="L161" s="34" t="n">
        <f aca="false">IF(OR(H161="",H161=0,J161="",J161=0),"",H161/J161)</f>
        <v>0.373530275229358</v>
      </c>
      <c r="M161" s="35"/>
      <c r="N161" s="36" t="n">
        <v>0</v>
      </c>
      <c r="O161" s="36" t="n">
        <v>0</v>
      </c>
      <c r="P161" s="36" t="n">
        <v>0</v>
      </c>
      <c r="Q161" s="37" t="n">
        <f aca="false">IF(I161="","",I161+N(N161))</f>
        <v>10.9</v>
      </c>
      <c r="R161" s="37" t="n">
        <f aca="false">IF(OR(Q161="",F161=""),"",Q161/(1+F161))</f>
        <v>9.81981981981982</v>
      </c>
      <c r="S161" s="38" t="n">
        <f aca="false">IF(OR(H161="",H161=0,R161="",R161=0),"",H161/R161)</f>
        <v>0.373530275229358</v>
      </c>
      <c r="T161" s="39" t="n">
        <f aca="false">IF(I161="","",I161+N(N161+O161))</f>
        <v>10.9</v>
      </c>
      <c r="U161" s="39" t="n">
        <f aca="false">IF(OR(T161="",F161=""),"",T161/(1+F161))</f>
        <v>9.81981981981982</v>
      </c>
      <c r="V161" s="40" t="n">
        <f aca="false">IF(OR(H161="",H161=0,U161="",U161=0),"",H161/U161)</f>
        <v>0.373530275229358</v>
      </c>
      <c r="W161" s="41" t="n">
        <f aca="false">IF(I161="","",I161+N(N161+O161+P161))</f>
        <v>10.9</v>
      </c>
      <c r="X161" s="41" t="n">
        <f aca="false">IF(OR(W161="",F161=""),"",W161/(1+F161))</f>
        <v>9.81981981981982</v>
      </c>
      <c r="Y161" s="42" t="n">
        <f aca="false">IF(OR(H161="",H161=0,X161="",X161=0),"",H161/X161)</f>
        <v>0.373530275229358</v>
      </c>
    </row>
    <row r="162" customFormat="false" ht="15" hidden="false" customHeight="true" outlineLevel="0" collapsed="false">
      <c r="A162" s="5" t="s">
        <v>788</v>
      </c>
      <c r="B162" s="5" t="s">
        <v>487</v>
      </c>
      <c r="C162" s="5" t="s">
        <v>485</v>
      </c>
      <c r="D162" s="5" t="s">
        <v>642</v>
      </c>
      <c r="E162" s="5" t="s">
        <v>643</v>
      </c>
      <c r="F162" s="28" t="n">
        <f aca="false">IF(E162="","",IF(E162="DRINKS",0.21,0.11))</f>
        <v>0.11</v>
      </c>
      <c r="G162" s="29" t="n">
        <f aca="false">IF(B162="","",SUMIF(RETETAR!A:A,B162,RETETAR!F:F))</f>
        <v>3.7981</v>
      </c>
      <c r="H162" s="30" t="n">
        <f aca="false">IF(B162="","",SUMIF(RETETAR!A:A,B162,RETETAR!H:H))</f>
        <v>3.7981</v>
      </c>
      <c r="I162" s="31" t="n">
        <v>10</v>
      </c>
      <c r="J162" s="32" t="n">
        <f aca="false">IF(OR(I162="",F162=""),"",I162/(1+F162))</f>
        <v>9.00900900900901</v>
      </c>
      <c r="K162" s="33" t="n">
        <f aca="false">IF(OR(G162="",G162=0,J162="",J162=0),"",G162/J162)</f>
        <v>0.4215891</v>
      </c>
      <c r="L162" s="34" t="n">
        <f aca="false">IF(OR(H162="",H162=0,J162="",J162=0),"",H162/J162)</f>
        <v>0.4215891</v>
      </c>
      <c r="M162" s="35"/>
      <c r="N162" s="36" t="n">
        <v>0</v>
      </c>
      <c r="O162" s="36" t="n">
        <v>0</v>
      </c>
      <c r="P162" s="36" t="n">
        <v>0</v>
      </c>
      <c r="Q162" s="37" t="n">
        <f aca="false">IF(I162="","",I162+N(N162))</f>
        <v>10</v>
      </c>
      <c r="R162" s="37" t="n">
        <f aca="false">IF(OR(Q162="",F162=""),"",Q162/(1+F162))</f>
        <v>9.00900900900901</v>
      </c>
      <c r="S162" s="38" t="n">
        <f aca="false">IF(OR(H162="",H162=0,R162="",R162=0),"",H162/R162)</f>
        <v>0.4215891</v>
      </c>
      <c r="T162" s="39" t="n">
        <f aca="false">IF(I162="","",I162+N(N162+O162))</f>
        <v>10</v>
      </c>
      <c r="U162" s="39" t="n">
        <f aca="false">IF(OR(T162="",F162=""),"",T162/(1+F162))</f>
        <v>9.00900900900901</v>
      </c>
      <c r="V162" s="40" t="n">
        <f aca="false">IF(OR(H162="",H162=0,U162="",U162=0),"",H162/U162)</f>
        <v>0.4215891</v>
      </c>
      <c r="W162" s="41" t="n">
        <f aca="false">IF(I162="","",I162+N(N162+O162+P162))</f>
        <v>10</v>
      </c>
      <c r="X162" s="41" t="n">
        <f aca="false">IF(OR(W162="",F162=""),"",W162/(1+F162))</f>
        <v>9.00900900900901</v>
      </c>
      <c r="Y162" s="42" t="n">
        <f aca="false">IF(OR(H162="",H162=0,X162="",X162=0),"",H162/X162)</f>
        <v>0.4215891</v>
      </c>
    </row>
    <row r="163" customFormat="false" ht="15" hidden="false" customHeight="true" outlineLevel="0" collapsed="false">
      <c r="A163" s="5" t="s">
        <v>789</v>
      </c>
      <c r="B163" s="5" t="s">
        <v>488</v>
      </c>
      <c r="C163" s="5" t="s">
        <v>485</v>
      </c>
      <c r="D163" s="5" t="s">
        <v>645</v>
      </c>
      <c r="E163" s="5" t="s">
        <v>643</v>
      </c>
      <c r="F163" s="28" t="n">
        <f aca="false">IF(E163="","",IF(E163="DRINKS",0.21,0.11))</f>
        <v>0.11</v>
      </c>
      <c r="G163" s="29" t="n">
        <f aca="false">IF(B163="","",SUMIF(RETETAR!A:A,B163,RETETAR!F:F))</f>
        <v>3.7981</v>
      </c>
      <c r="H163" s="30" t="n">
        <f aca="false">IF(B163="","",SUMIF(RETETAR!A:A,B163,RETETAR!H:H))</f>
        <v>3.7981</v>
      </c>
      <c r="I163" s="31" t="n">
        <v>12</v>
      </c>
      <c r="J163" s="32" t="n">
        <f aca="false">IF(OR(I163="",F163=""),"",I163/(1+F163))</f>
        <v>10.8108108108108</v>
      </c>
      <c r="K163" s="33" t="n">
        <f aca="false">IF(OR(G163="",G163=0,J163="",J163=0),"",G163/J163)</f>
        <v>0.35132425</v>
      </c>
      <c r="L163" s="34" t="n">
        <f aca="false">IF(OR(H163="",H163=0,J163="",J163=0),"",H163/J163)</f>
        <v>0.35132425</v>
      </c>
      <c r="M163" s="35"/>
      <c r="N163" s="36" t="n">
        <v>0</v>
      </c>
      <c r="O163" s="36" t="n">
        <v>0</v>
      </c>
      <c r="P163" s="36" t="n">
        <v>0</v>
      </c>
      <c r="Q163" s="37" t="n">
        <f aca="false">IF(I163="","",I163+N(N163))</f>
        <v>12</v>
      </c>
      <c r="R163" s="37" t="n">
        <f aca="false">IF(OR(Q163="",F163=""),"",Q163/(1+F163))</f>
        <v>10.8108108108108</v>
      </c>
      <c r="S163" s="38" t="n">
        <f aca="false">IF(OR(H163="",H163=0,R163="",R163=0),"",H163/R163)</f>
        <v>0.35132425</v>
      </c>
      <c r="T163" s="39" t="n">
        <f aca="false">IF(I163="","",I163+N(N163+O163))</f>
        <v>12</v>
      </c>
      <c r="U163" s="39" t="n">
        <f aca="false">IF(OR(T163="",F163=""),"",T163/(1+F163))</f>
        <v>10.8108108108108</v>
      </c>
      <c r="V163" s="40" t="n">
        <f aca="false">IF(OR(H163="",H163=0,U163="",U163=0),"",H163/U163)</f>
        <v>0.35132425</v>
      </c>
      <c r="W163" s="41" t="n">
        <f aca="false">IF(I163="","",I163+N(N163+O163+P163))</f>
        <v>12</v>
      </c>
      <c r="X163" s="41" t="n">
        <f aca="false">IF(OR(W163="",F163=""),"",W163/(1+F163))</f>
        <v>10.8108108108108</v>
      </c>
      <c r="Y163" s="42" t="n">
        <f aca="false">IF(OR(H163="",H163=0,X163="",X163=0),"",H163/X163)</f>
        <v>0.35132425</v>
      </c>
    </row>
    <row r="164" customFormat="false" ht="15" hidden="false" customHeight="true" outlineLevel="0" collapsed="false">
      <c r="A164" s="5" t="s">
        <v>790</v>
      </c>
      <c r="B164" s="5" t="s">
        <v>489</v>
      </c>
      <c r="C164" s="5" t="s">
        <v>485</v>
      </c>
      <c r="D164" s="5" t="s">
        <v>642</v>
      </c>
      <c r="E164" s="5" t="s">
        <v>643</v>
      </c>
      <c r="F164" s="28" t="n">
        <f aca="false">IF(E164="","",IF(E164="DRINKS",0.21,0.11))</f>
        <v>0.11</v>
      </c>
      <c r="G164" s="29" t="n">
        <f aca="false">IF(B164="","",SUMIF(RETETAR!A:A,B164,RETETAR!F:F))</f>
        <v>4.5231</v>
      </c>
      <c r="H164" s="30" t="n">
        <f aca="false">IF(B164="","",SUMIF(RETETAR!A:A,B164,RETETAR!H:H))</f>
        <v>4.5231</v>
      </c>
      <c r="I164" s="31" t="n">
        <v>12</v>
      </c>
      <c r="J164" s="32" t="n">
        <f aca="false">IF(OR(I164="",F164=""),"",I164/(1+F164))</f>
        <v>10.8108108108108</v>
      </c>
      <c r="K164" s="33" t="n">
        <f aca="false">IF(OR(G164="",G164=0,J164="",J164=0),"",G164/J164)</f>
        <v>0.41838675</v>
      </c>
      <c r="L164" s="34" t="n">
        <f aca="false">IF(OR(H164="",H164=0,J164="",J164=0),"",H164/J164)</f>
        <v>0.41838675</v>
      </c>
      <c r="M164" s="35"/>
      <c r="N164" s="36" t="n">
        <v>0</v>
      </c>
      <c r="O164" s="36" t="n">
        <v>0</v>
      </c>
      <c r="P164" s="36" t="n">
        <v>0</v>
      </c>
      <c r="Q164" s="37" t="n">
        <f aca="false">IF(I164="","",I164+N(N164))</f>
        <v>12</v>
      </c>
      <c r="R164" s="37" t="n">
        <f aca="false">IF(OR(Q164="",F164=""),"",Q164/(1+F164))</f>
        <v>10.8108108108108</v>
      </c>
      <c r="S164" s="38" t="n">
        <f aca="false">IF(OR(H164="",H164=0,R164="",R164=0),"",H164/R164)</f>
        <v>0.41838675</v>
      </c>
      <c r="T164" s="39" t="n">
        <f aca="false">IF(I164="","",I164+N(N164+O164))</f>
        <v>12</v>
      </c>
      <c r="U164" s="39" t="n">
        <f aca="false">IF(OR(T164="",F164=""),"",T164/(1+F164))</f>
        <v>10.8108108108108</v>
      </c>
      <c r="V164" s="40" t="n">
        <f aca="false">IF(OR(H164="",H164=0,U164="",U164=0),"",H164/U164)</f>
        <v>0.41838675</v>
      </c>
      <c r="W164" s="41" t="n">
        <f aca="false">IF(I164="","",I164+N(N164+O164+P164))</f>
        <v>12</v>
      </c>
      <c r="X164" s="41" t="n">
        <f aca="false">IF(OR(W164="",F164=""),"",W164/(1+F164))</f>
        <v>10.8108108108108</v>
      </c>
      <c r="Y164" s="42" t="n">
        <f aca="false">IF(OR(H164="",H164=0,X164="",X164=0),"",H164/X164)</f>
        <v>0.41838675</v>
      </c>
    </row>
    <row r="165" customFormat="false" ht="15" hidden="false" customHeight="true" outlineLevel="0" collapsed="false">
      <c r="A165" s="5" t="s">
        <v>791</v>
      </c>
      <c r="B165" s="5" t="s">
        <v>490</v>
      </c>
      <c r="C165" s="5" t="s">
        <v>485</v>
      </c>
      <c r="D165" s="5" t="s">
        <v>645</v>
      </c>
      <c r="E165" s="5" t="s">
        <v>643</v>
      </c>
      <c r="F165" s="28" t="n">
        <f aca="false">IF(E165="","",IF(E165="DRINKS",0.21,0.11))</f>
        <v>0.11</v>
      </c>
      <c r="G165" s="29" t="n">
        <f aca="false">IF(B165="","",SUMIF(RETETAR!A:A,B165,RETETAR!F:F))</f>
        <v>4.5231</v>
      </c>
      <c r="H165" s="30" t="n">
        <f aca="false">IF(B165="","",SUMIF(RETETAR!A:A,B165,RETETAR!H:H))</f>
        <v>4.5231</v>
      </c>
      <c r="I165" s="31" t="n">
        <v>14</v>
      </c>
      <c r="J165" s="32" t="n">
        <f aca="false">IF(OR(I165="",F165=""),"",I165/(1+F165))</f>
        <v>12.6126126126126</v>
      </c>
      <c r="K165" s="33" t="n">
        <f aca="false">IF(OR(G165="",G165=0,J165="",J165=0),"",G165/J165)</f>
        <v>0.358617214285714</v>
      </c>
      <c r="L165" s="34" t="n">
        <f aca="false">IF(OR(H165="",H165=0,J165="",J165=0),"",H165/J165)</f>
        <v>0.358617214285714</v>
      </c>
      <c r="M165" s="35"/>
      <c r="N165" s="36" t="n">
        <v>0</v>
      </c>
      <c r="O165" s="36" t="n">
        <v>0</v>
      </c>
      <c r="P165" s="36" t="n">
        <v>0</v>
      </c>
      <c r="Q165" s="37" t="n">
        <f aca="false">IF(I165="","",I165+N(N165))</f>
        <v>14</v>
      </c>
      <c r="R165" s="37" t="n">
        <f aca="false">IF(OR(Q165="",F165=""),"",Q165/(1+F165))</f>
        <v>12.6126126126126</v>
      </c>
      <c r="S165" s="38" t="n">
        <f aca="false">IF(OR(H165="",H165=0,R165="",R165=0),"",H165/R165)</f>
        <v>0.358617214285714</v>
      </c>
      <c r="T165" s="39" t="n">
        <f aca="false">IF(I165="","",I165+N(N165+O165))</f>
        <v>14</v>
      </c>
      <c r="U165" s="39" t="n">
        <f aca="false">IF(OR(T165="",F165=""),"",T165/(1+F165))</f>
        <v>12.6126126126126</v>
      </c>
      <c r="V165" s="40" t="n">
        <f aca="false">IF(OR(H165="",H165=0,U165="",U165=0),"",H165/U165)</f>
        <v>0.358617214285714</v>
      </c>
      <c r="W165" s="41" t="n">
        <f aca="false">IF(I165="","",I165+N(N165+O165+P165))</f>
        <v>14</v>
      </c>
      <c r="X165" s="41" t="n">
        <f aca="false">IF(OR(W165="",F165=""),"",W165/(1+F165))</f>
        <v>12.6126126126126</v>
      </c>
      <c r="Y165" s="42" t="n">
        <f aca="false">IF(OR(H165="",H165=0,X165="",X165=0),"",H165/X165)</f>
        <v>0.358617214285714</v>
      </c>
    </row>
    <row r="166" customFormat="false" ht="15" hidden="false" customHeight="true" outlineLevel="0" collapsed="false">
      <c r="A166" s="5" t="s">
        <v>792</v>
      </c>
      <c r="B166" s="5" t="s">
        <v>491</v>
      </c>
      <c r="C166" s="5" t="s">
        <v>485</v>
      </c>
      <c r="D166" s="5" t="s">
        <v>642</v>
      </c>
      <c r="E166" s="5" t="s">
        <v>643</v>
      </c>
      <c r="F166" s="28" t="n">
        <f aca="false">IF(E166="","",IF(E166="DRINKS",0.21,0.11))</f>
        <v>0.11</v>
      </c>
      <c r="G166" s="29" t="n">
        <f aca="false">IF(B166="","",SUMIF(RETETAR!A:A,B166,RETETAR!F:F))</f>
        <v>4.1231</v>
      </c>
      <c r="H166" s="30" t="n">
        <f aca="false">IF(B166="","",SUMIF(RETETAR!A:A,B166,RETETAR!H:H))</f>
        <v>4.1231</v>
      </c>
      <c r="I166" s="31" t="n">
        <v>12</v>
      </c>
      <c r="J166" s="32" t="n">
        <f aca="false">IF(OR(I166="",F166=""),"",I166/(1+F166))</f>
        <v>10.8108108108108</v>
      </c>
      <c r="K166" s="33" t="n">
        <f aca="false">IF(OR(G166="",G166=0,J166="",J166=0),"",G166/J166)</f>
        <v>0.38138675</v>
      </c>
      <c r="L166" s="34" t="n">
        <f aca="false">IF(OR(H166="",H166=0,J166="",J166=0),"",H166/J166)</f>
        <v>0.38138675</v>
      </c>
      <c r="M166" s="35"/>
      <c r="N166" s="36" t="n">
        <v>0</v>
      </c>
      <c r="O166" s="36" t="n">
        <v>0</v>
      </c>
      <c r="P166" s="36" t="n">
        <v>0</v>
      </c>
      <c r="Q166" s="37" t="n">
        <f aca="false">IF(I166="","",I166+N(N166))</f>
        <v>12</v>
      </c>
      <c r="R166" s="37" t="n">
        <f aca="false">IF(OR(Q166="",F166=""),"",Q166/(1+F166))</f>
        <v>10.8108108108108</v>
      </c>
      <c r="S166" s="38" t="n">
        <f aca="false">IF(OR(H166="",H166=0,R166="",R166=0),"",H166/R166)</f>
        <v>0.38138675</v>
      </c>
      <c r="T166" s="39" t="n">
        <f aca="false">IF(I166="","",I166+N(N166+O166))</f>
        <v>12</v>
      </c>
      <c r="U166" s="39" t="n">
        <f aca="false">IF(OR(T166="",F166=""),"",T166/(1+F166))</f>
        <v>10.8108108108108</v>
      </c>
      <c r="V166" s="40" t="n">
        <f aca="false">IF(OR(H166="",H166=0,U166="",U166=0),"",H166/U166)</f>
        <v>0.38138675</v>
      </c>
      <c r="W166" s="41" t="n">
        <f aca="false">IF(I166="","",I166+N(N166+O166+P166))</f>
        <v>12</v>
      </c>
      <c r="X166" s="41" t="n">
        <f aca="false">IF(OR(W166="",F166=""),"",W166/(1+F166))</f>
        <v>10.8108108108108</v>
      </c>
      <c r="Y166" s="42" t="n">
        <f aca="false">IF(OR(H166="",H166=0,X166="",X166=0),"",H166/X166)</f>
        <v>0.38138675</v>
      </c>
    </row>
    <row r="167" customFormat="false" ht="15" hidden="false" customHeight="true" outlineLevel="0" collapsed="false">
      <c r="A167" s="5" t="s">
        <v>793</v>
      </c>
      <c r="B167" s="5" t="s">
        <v>492</v>
      </c>
      <c r="C167" s="5" t="s">
        <v>485</v>
      </c>
      <c r="D167" s="5" t="s">
        <v>645</v>
      </c>
      <c r="E167" s="5" t="s">
        <v>643</v>
      </c>
      <c r="F167" s="28" t="n">
        <f aca="false">IF(E167="","",IF(E167="DRINKS",0.21,0.11))</f>
        <v>0.11</v>
      </c>
      <c r="G167" s="29" t="n">
        <f aca="false">IF(B167="","",SUMIF(RETETAR!A:A,B167,RETETAR!F:F))</f>
        <v>4.1231</v>
      </c>
      <c r="H167" s="30" t="n">
        <f aca="false">IF(B167="","",SUMIF(RETETAR!A:A,B167,RETETAR!H:H))</f>
        <v>4.1231</v>
      </c>
      <c r="I167" s="31" t="n">
        <v>14</v>
      </c>
      <c r="J167" s="32" t="n">
        <f aca="false">IF(OR(I167="",F167=""),"",I167/(1+F167))</f>
        <v>12.6126126126126</v>
      </c>
      <c r="K167" s="33" t="n">
        <f aca="false">IF(OR(G167="",G167=0,J167="",J167=0),"",G167/J167)</f>
        <v>0.326902928571429</v>
      </c>
      <c r="L167" s="34" t="n">
        <f aca="false">IF(OR(H167="",H167=0,J167="",J167=0),"",H167/J167)</f>
        <v>0.326902928571429</v>
      </c>
      <c r="M167" s="35"/>
      <c r="N167" s="36" t="n">
        <v>0</v>
      </c>
      <c r="O167" s="36" t="n">
        <v>0</v>
      </c>
      <c r="P167" s="36" t="n">
        <v>0</v>
      </c>
      <c r="Q167" s="37" t="n">
        <f aca="false">IF(I167="","",I167+N(N167))</f>
        <v>14</v>
      </c>
      <c r="R167" s="37" t="n">
        <f aca="false">IF(OR(Q167="",F167=""),"",Q167/(1+F167))</f>
        <v>12.6126126126126</v>
      </c>
      <c r="S167" s="38" t="n">
        <f aca="false">IF(OR(H167="",H167=0,R167="",R167=0),"",H167/R167)</f>
        <v>0.326902928571429</v>
      </c>
      <c r="T167" s="39" t="n">
        <f aca="false">IF(I167="","",I167+N(N167+O167))</f>
        <v>14</v>
      </c>
      <c r="U167" s="39" t="n">
        <f aca="false">IF(OR(T167="",F167=""),"",T167/(1+F167))</f>
        <v>12.6126126126126</v>
      </c>
      <c r="V167" s="40" t="n">
        <f aca="false">IF(OR(H167="",H167=0,U167="",U167=0),"",H167/U167)</f>
        <v>0.326902928571429</v>
      </c>
      <c r="W167" s="41" t="n">
        <f aca="false">IF(I167="","",I167+N(N167+O167+P167))</f>
        <v>14</v>
      </c>
      <c r="X167" s="41" t="n">
        <f aca="false">IF(OR(W167="",F167=""),"",W167/(1+F167))</f>
        <v>12.6126126126126</v>
      </c>
      <c r="Y167" s="42" t="n">
        <f aca="false">IF(OR(H167="",H167=0,X167="",X167=0),"",H167/X167)</f>
        <v>0.326902928571429</v>
      </c>
    </row>
    <row r="168" customFormat="false" ht="15" hidden="false" customHeight="true" outlineLevel="0" collapsed="false">
      <c r="A168" s="5" t="s">
        <v>794</v>
      </c>
      <c r="B168" s="5" t="s">
        <v>493</v>
      </c>
      <c r="C168" s="5" t="s">
        <v>485</v>
      </c>
      <c r="D168" s="5" t="s">
        <v>642</v>
      </c>
      <c r="E168" s="5" t="s">
        <v>643</v>
      </c>
      <c r="F168" s="28" t="n">
        <f aca="false">IF(E168="","",IF(E168="DRINKS",0.21,0.11))</f>
        <v>0.11</v>
      </c>
      <c r="G168" s="29" t="n">
        <f aca="false">IF(B168="","",SUMIF(RETETAR!A:A,B168,RETETAR!F:F))</f>
        <v>6.66</v>
      </c>
      <c r="H168" s="30" t="n">
        <f aca="false">IF(B168="","",SUMIF(RETETAR!A:A,B168,RETETAR!H:H))</f>
        <v>6.66</v>
      </c>
      <c r="I168" s="31" t="n">
        <v>18</v>
      </c>
      <c r="J168" s="32" t="n">
        <f aca="false">IF(OR(I168="",F168=""),"",I168/(1+F168))</f>
        <v>16.2162162162162</v>
      </c>
      <c r="K168" s="33" t="n">
        <f aca="false">IF(OR(G168="",G168=0,J168="",J168=0),"",G168/J168)</f>
        <v>0.4107</v>
      </c>
      <c r="L168" s="34" t="n">
        <f aca="false">IF(OR(H168="",H168=0,J168="",J168=0),"",H168/J168)</f>
        <v>0.4107</v>
      </c>
      <c r="M168" s="35"/>
      <c r="N168" s="36" t="n">
        <v>0</v>
      </c>
      <c r="O168" s="36" t="n">
        <v>0</v>
      </c>
      <c r="P168" s="36" t="n">
        <v>0</v>
      </c>
      <c r="Q168" s="37" t="n">
        <f aca="false">IF(I168="","",I168+N(N168))</f>
        <v>18</v>
      </c>
      <c r="R168" s="37" t="n">
        <f aca="false">IF(OR(Q168="",F168=""),"",Q168/(1+F168))</f>
        <v>16.2162162162162</v>
      </c>
      <c r="S168" s="38" t="n">
        <f aca="false">IF(OR(H168="",H168=0,R168="",R168=0),"",H168/R168)</f>
        <v>0.4107</v>
      </c>
      <c r="T168" s="39" t="n">
        <f aca="false">IF(I168="","",I168+N(N168+O168))</f>
        <v>18</v>
      </c>
      <c r="U168" s="39" t="n">
        <f aca="false">IF(OR(T168="",F168=""),"",T168/(1+F168))</f>
        <v>16.2162162162162</v>
      </c>
      <c r="V168" s="40" t="n">
        <f aca="false">IF(OR(H168="",H168=0,U168="",U168=0),"",H168/U168)</f>
        <v>0.4107</v>
      </c>
      <c r="W168" s="41" t="n">
        <f aca="false">IF(I168="","",I168+N(N168+O168+P168))</f>
        <v>18</v>
      </c>
      <c r="X168" s="41" t="n">
        <f aca="false">IF(OR(W168="",F168=""),"",W168/(1+F168))</f>
        <v>16.2162162162162</v>
      </c>
      <c r="Y168" s="42" t="n">
        <f aca="false">IF(OR(H168="",H168=0,X168="",X168=0),"",H168/X168)</f>
        <v>0.4107</v>
      </c>
    </row>
    <row r="169" customFormat="false" ht="15" hidden="false" customHeight="true" outlineLevel="0" collapsed="false">
      <c r="A169" s="5" t="s">
        <v>795</v>
      </c>
      <c r="B169" s="5" t="s">
        <v>494</v>
      </c>
      <c r="C169" s="5" t="s">
        <v>485</v>
      </c>
      <c r="D169" s="5" t="s">
        <v>642</v>
      </c>
      <c r="E169" s="5" t="s">
        <v>643</v>
      </c>
      <c r="F169" s="28" t="n">
        <f aca="false">IF(E169="","",IF(E169="DRINKS",0.21,0.11))</f>
        <v>0.11</v>
      </c>
      <c r="G169" s="29" t="n">
        <f aca="false">IF(B169="","",SUMIF(RETETAR!A:A,B169,RETETAR!F:F))</f>
        <v>6.6574</v>
      </c>
      <c r="H169" s="30" t="n">
        <f aca="false">IF(B169="","",SUMIF(RETETAR!A:A,B169,RETETAR!H:H))</f>
        <v>6.6574</v>
      </c>
      <c r="I169" s="31" t="n">
        <v>18</v>
      </c>
      <c r="J169" s="32" t="n">
        <f aca="false">IF(OR(I169="",F169=""),"",I169/(1+F169))</f>
        <v>16.2162162162162</v>
      </c>
      <c r="K169" s="33" t="n">
        <f aca="false">IF(OR(G169="",G169=0,J169="",J169=0),"",G169/J169)</f>
        <v>0.410539666666667</v>
      </c>
      <c r="L169" s="34" t="n">
        <f aca="false">IF(OR(H169="",H169=0,J169="",J169=0),"",H169/J169)</f>
        <v>0.410539666666667</v>
      </c>
      <c r="M169" s="35"/>
      <c r="N169" s="36" t="n">
        <v>0</v>
      </c>
      <c r="O169" s="36" t="n">
        <v>0</v>
      </c>
      <c r="P169" s="36" t="n">
        <v>0</v>
      </c>
      <c r="Q169" s="37" t="n">
        <f aca="false">IF(I169="","",I169+N(N169))</f>
        <v>18</v>
      </c>
      <c r="R169" s="37" t="n">
        <f aca="false">IF(OR(Q169="",F169=""),"",Q169/(1+F169))</f>
        <v>16.2162162162162</v>
      </c>
      <c r="S169" s="38" t="n">
        <f aca="false">IF(OR(H169="",H169=0,R169="",R169=0),"",H169/R169)</f>
        <v>0.410539666666667</v>
      </c>
      <c r="T169" s="39" t="n">
        <f aca="false">IF(I169="","",I169+N(N169+O169))</f>
        <v>18</v>
      </c>
      <c r="U169" s="39" t="n">
        <f aca="false">IF(OR(T169="",F169=""),"",T169/(1+F169))</f>
        <v>16.2162162162162</v>
      </c>
      <c r="V169" s="40" t="n">
        <f aca="false">IF(OR(H169="",H169=0,U169="",U169=0),"",H169/U169)</f>
        <v>0.410539666666667</v>
      </c>
      <c r="W169" s="41" t="n">
        <f aca="false">IF(I169="","",I169+N(N169+O169+P169))</f>
        <v>18</v>
      </c>
      <c r="X169" s="41" t="n">
        <f aca="false">IF(OR(W169="",F169=""),"",W169/(1+F169))</f>
        <v>16.2162162162162</v>
      </c>
      <c r="Y169" s="42" t="n">
        <f aca="false">IF(OR(H169="",H169=0,X169="",X169=0),"",H169/X169)</f>
        <v>0.410539666666667</v>
      </c>
    </row>
    <row r="170" customFormat="false" ht="15" hidden="false" customHeight="true" outlineLevel="0" collapsed="false">
      <c r="A170" s="5" t="s">
        <v>796</v>
      </c>
      <c r="B170" s="5" t="s">
        <v>495</v>
      </c>
      <c r="C170" s="5" t="s">
        <v>485</v>
      </c>
      <c r="D170" s="5" t="s">
        <v>642</v>
      </c>
      <c r="E170" s="5" t="s">
        <v>643</v>
      </c>
      <c r="F170" s="28" t="n">
        <f aca="false">IF(E170="","",IF(E170="DRINKS",0.21,0.11))</f>
        <v>0.11</v>
      </c>
      <c r="G170" s="29" t="n">
        <f aca="false">IF(B170="","",SUMIF(RETETAR!A:A,B170,RETETAR!F:F))</f>
        <v>5.151</v>
      </c>
      <c r="H170" s="30" t="n">
        <f aca="false">IF(B170="","",SUMIF(RETETAR!A:A,B170,RETETAR!H:H))</f>
        <v>5.151</v>
      </c>
      <c r="I170" s="31" t="n">
        <v>18</v>
      </c>
      <c r="J170" s="32" t="n">
        <f aca="false">IF(OR(I170="",F170=""),"",I170/(1+F170))</f>
        <v>16.2162162162162</v>
      </c>
      <c r="K170" s="33" t="n">
        <f aca="false">IF(OR(G170="",G170=0,J170="",J170=0),"",G170/J170)</f>
        <v>0.317645</v>
      </c>
      <c r="L170" s="34" t="n">
        <f aca="false">IF(OR(H170="",H170=0,J170="",J170=0),"",H170/J170)</f>
        <v>0.317645</v>
      </c>
      <c r="M170" s="35"/>
      <c r="N170" s="36" t="n">
        <v>0</v>
      </c>
      <c r="O170" s="36" t="n">
        <v>0</v>
      </c>
      <c r="P170" s="36" t="n">
        <v>0</v>
      </c>
      <c r="Q170" s="37" t="n">
        <f aca="false">IF(I170="","",I170+N(N170))</f>
        <v>18</v>
      </c>
      <c r="R170" s="37" t="n">
        <f aca="false">IF(OR(Q170="",F170=""),"",Q170/(1+F170))</f>
        <v>16.2162162162162</v>
      </c>
      <c r="S170" s="38" t="n">
        <f aca="false">IF(OR(H170="",H170=0,R170="",R170=0),"",H170/R170)</f>
        <v>0.317645</v>
      </c>
      <c r="T170" s="39" t="n">
        <f aca="false">IF(I170="","",I170+N(N170+O170))</f>
        <v>18</v>
      </c>
      <c r="U170" s="39" t="n">
        <f aca="false">IF(OR(T170="",F170=""),"",T170/(1+F170))</f>
        <v>16.2162162162162</v>
      </c>
      <c r="V170" s="40" t="n">
        <f aca="false">IF(OR(H170="",H170=0,U170="",U170=0),"",H170/U170)</f>
        <v>0.317645</v>
      </c>
      <c r="W170" s="41" t="n">
        <f aca="false">IF(I170="","",I170+N(N170+O170+P170))</f>
        <v>18</v>
      </c>
      <c r="X170" s="41" t="n">
        <f aca="false">IF(OR(W170="",F170=""),"",W170/(1+F170))</f>
        <v>16.2162162162162</v>
      </c>
      <c r="Y170" s="42" t="n">
        <f aca="false">IF(OR(H170="",H170=0,X170="",X170=0),"",H170/X170)</f>
        <v>0.317645</v>
      </c>
    </row>
    <row r="171" customFormat="false" ht="15" hidden="false" customHeight="true" outlineLevel="0" collapsed="false">
      <c r="A171" s="5" t="s">
        <v>797</v>
      </c>
      <c r="B171" s="5" t="s">
        <v>496</v>
      </c>
      <c r="C171" s="5" t="s">
        <v>485</v>
      </c>
      <c r="D171" s="5" t="s">
        <v>642</v>
      </c>
      <c r="E171" s="5" t="s">
        <v>643</v>
      </c>
      <c r="F171" s="28" t="n">
        <f aca="false">IF(E171="","",IF(E171="DRINKS",0.21,0.11))</f>
        <v>0.11</v>
      </c>
      <c r="G171" s="29" t="n">
        <f aca="false">IF(B171="","",SUMIF(RETETAR!A:A,B171,RETETAR!F:F))</f>
        <v>6.46305</v>
      </c>
      <c r="H171" s="30" t="n">
        <f aca="false">IF(B171="","",SUMIF(RETETAR!A:A,B171,RETETAR!H:H))</f>
        <v>6.46305</v>
      </c>
      <c r="I171" s="31" t="n">
        <v>18</v>
      </c>
      <c r="J171" s="32" t="n">
        <f aca="false">IF(OR(I171="",F171=""),"",I171/(1+F171))</f>
        <v>16.2162162162162</v>
      </c>
      <c r="K171" s="33" t="n">
        <f aca="false">IF(OR(G171="",G171=0,J171="",J171=0),"",G171/J171)</f>
        <v>0.39855475</v>
      </c>
      <c r="L171" s="34" t="n">
        <f aca="false">IF(OR(H171="",H171=0,J171="",J171=0),"",H171/J171)</f>
        <v>0.39855475</v>
      </c>
      <c r="M171" s="35"/>
      <c r="N171" s="36" t="n">
        <v>0</v>
      </c>
      <c r="O171" s="36" t="n">
        <v>0</v>
      </c>
      <c r="P171" s="36" t="n">
        <v>0</v>
      </c>
      <c r="Q171" s="37" t="n">
        <f aca="false">IF(I171="","",I171+N(N171))</f>
        <v>18</v>
      </c>
      <c r="R171" s="37" t="n">
        <f aca="false">IF(OR(Q171="",F171=""),"",Q171/(1+F171))</f>
        <v>16.2162162162162</v>
      </c>
      <c r="S171" s="38" t="n">
        <f aca="false">IF(OR(H171="",H171=0,R171="",R171=0),"",H171/R171)</f>
        <v>0.39855475</v>
      </c>
      <c r="T171" s="39" t="n">
        <f aca="false">IF(I171="","",I171+N(N171+O171))</f>
        <v>18</v>
      </c>
      <c r="U171" s="39" t="n">
        <f aca="false">IF(OR(T171="",F171=""),"",T171/(1+F171))</f>
        <v>16.2162162162162</v>
      </c>
      <c r="V171" s="40" t="n">
        <f aca="false">IF(OR(H171="",H171=0,U171="",U171=0),"",H171/U171)</f>
        <v>0.39855475</v>
      </c>
      <c r="W171" s="41" t="n">
        <f aca="false">IF(I171="","",I171+N(N171+O171+P171))</f>
        <v>18</v>
      </c>
      <c r="X171" s="41" t="n">
        <f aca="false">IF(OR(W171="",F171=""),"",W171/(1+F171))</f>
        <v>16.2162162162162</v>
      </c>
      <c r="Y171" s="42" t="n">
        <f aca="false">IF(OR(H171="",H171=0,X171="",X171=0),"",H171/X171)</f>
        <v>0.39855475</v>
      </c>
    </row>
    <row r="172" customFormat="false" ht="15" hidden="false" customHeight="true" outlineLevel="0" collapsed="false">
      <c r="A172" s="5" t="s">
        <v>798</v>
      </c>
      <c r="B172" s="5" t="s">
        <v>497</v>
      </c>
      <c r="C172" s="5" t="s">
        <v>485</v>
      </c>
      <c r="D172" s="5" t="s">
        <v>642</v>
      </c>
      <c r="E172" s="5" t="s">
        <v>643</v>
      </c>
      <c r="F172" s="28" t="n">
        <f aca="false">IF(E172="","",IF(E172="DRINKS",0.21,0.11))</f>
        <v>0.11</v>
      </c>
      <c r="G172" s="29" t="n">
        <f aca="false">IF(B172="","",SUMIF(RETETAR!A:A,B172,RETETAR!F:F))</f>
        <v>6.46305</v>
      </c>
      <c r="H172" s="30" t="n">
        <f aca="false">IF(B172="","",SUMIF(RETETAR!A:A,B172,RETETAR!H:H))</f>
        <v>6.46305</v>
      </c>
      <c r="I172" s="31" t="n">
        <v>18</v>
      </c>
      <c r="J172" s="32" t="n">
        <f aca="false">IF(OR(I172="",F172=""),"",I172/(1+F172))</f>
        <v>16.2162162162162</v>
      </c>
      <c r="K172" s="33" t="n">
        <f aca="false">IF(OR(G172="",G172=0,J172="",J172=0),"",G172/J172)</f>
        <v>0.39855475</v>
      </c>
      <c r="L172" s="34" t="n">
        <f aca="false">IF(OR(H172="",H172=0,J172="",J172=0),"",H172/J172)</f>
        <v>0.39855475</v>
      </c>
      <c r="M172" s="35"/>
      <c r="N172" s="36" t="n">
        <v>0</v>
      </c>
      <c r="O172" s="36" t="n">
        <v>0</v>
      </c>
      <c r="P172" s="36" t="n">
        <v>0</v>
      </c>
      <c r="Q172" s="37" t="n">
        <f aca="false">IF(I172="","",I172+N(N172))</f>
        <v>18</v>
      </c>
      <c r="R172" s="37" t="n">
        <f aca="false">IF(OR(Q172="",F172=""),"",Q172/(1+F172))</f>
        <v>16.2162162162162</v>
      </c>
      <c r="S172" s="38" t="n">
        <f aca="false">IF(OR(H172="",H172=0,R172="",R172=0),"",H172/R172)</f>
        <v>0.39855475</v>
      </c>
      <c r="T172" s="39" t="n">
        <f aca="false">IF(I172="","",I172+N(N172+O172))</f>
        <v>18</v>
      </c>
      <c r="U172" s="39" t="n">
        <f aca="false">IF(OR(T172="",F172=""),"",T172/(1+F172))</f>
        <v>16.2162162162162</v>
      </c>
      <c r="V172" s="40" t="n">
        <f aca="false">IF(OR(H172="",H172=0,U172="",U172=0),"",H172/U172)</f>
        <v>0.39855475</v>
      </c>
      <c r="W172" s="41" t="n">
        <f aca="false">IF(I172="","",I172+N(N172+O172+P172))</f>
        <v>18</v>
      </c>
      <c r="X172" s="41" t="n">
        <f aca="false">IF(OR(W172="",F172=""),"",W172/(1+F172))</f>
        <v>16.2162162162162</v>
      </c>
      <c r="Y172" s="42" t="n">
        <f aca="false">IF(OR(H172="",H172=0,X172="",X172=0),"",H172/X172)</f>
        <v>0.39855475</v>
      </c>
    </row>
    <row r="173" customFormat="false" ht="15" hidden="false" customHeight="true" outlineLevel="0" collapsed="false">
      <c r="A173" s="5" t="s">
        <v>799</v>
      </c>
      <c r="B173" s="5" t="s">
        <v>498</v>
      </c>
      <c r="C173" s="5" t="s">
        <v>485</v>
      </c>
      <c r="D173" s="5" t="s">
        <v>642</v>
      </c>
      <c r="E173" s="5" t="s">
        <v>643</v>
      </c>
      <c r="F173" s="28" t="n">
        <f aca="false">IF(E173="","",IF(E173="DRINKS",0.21,0.11))</f>
        <v>0.11</v>
      </c>
      <c r="G173" s="29" t="n">
        <f aca="false">IF(B173="","",SUMIF(RETETAR!A:A,B173,RETETAR!F:F))</f>
        <v>6.0675</v>
      </c>
      <c r="H173" s="30" t="n">
        <f aca="false">IF(B173="","",SUMIF(RETETAR!A:A,B173,RETETAR!H:H))</f>
        <v>6.0675</v>
      </c>
      <c r="I173" s="31" t="n">
        <v>18</v>
      </c>
      <c r="J173" s="32" t="n">
        <f aca="false">IF(OR(I173="",F173=""),"",I173/(1+F173))</f>
        <v>16.2162162162162</v>
      </c>
      <c r="K173" s="33" t="n">
        <f aca="false">IF(OR(G173="",G173=0,J173="",J173=0),"",G173/J173)</f>
        <v>0.3741625</v>
      </c>
      <c r="L173" s="34" t="n">
        <f aca="false">IF(OR(H173="",H173=0,J173="",J173=0),"",H173/J173)</f>
        <v>0.3741625</v>
      </c>
      <c r="M173" s="35"/>
      <c r="N173" s="36" t="n">
        <v>0</v>
      </c>
      <c r="O173" s="36" t="n">
        <v>0</v>
      </c>
      <c r="P173" s="36" t="n">
        <v>0</v>
      </c>
      <c r="Q173" s="37" t="n">
        <f aca="false">IF(I173="","",I173+N(N173))</f>
        <v>18</v>
      </c>
      <c r="R173" s="37" t="n">
        <f aca="false">IF(OR(Q173="",F173=""),"",Q173/(1+F173))</f>
        <v>16.2162162162162</v>
      </c>
      <c r="S173" s="38" t="n">
        <f aca="false">IF(OR(H173="",H173=0,R173="",R173=0),"",H173/R173)</f>
        <v>0.3741625</v>
      </c>
      <c r="T173" s="39" t="n">
        <f aca="false">IF(I173="","",I173+N(N173+O173))</f>
        <v>18</v>
      </c>
      <c r="U173" s="39" t="n">
        <f aca="false">IF(OR(T173="",F173=""),"",T173/(1+F173))</f>
        <v>16.2162162162162</v>
      </c>
      <c r="V173" s="40" t="n">
        <f aca="false">IF(OR(H173="",H173=0,U173="",U173=0),"",H173/U173)</f>
        <v>0.3741625</v>
      </c>
      <c r="W173" s="41" t="n">
        <f aca="false">IF(I173="","",I173+N(N173+O173+P173))</f>
        <v>18</v>
      </c>
      <c r="X173" s="41" t="n">
        <f aca="false">IF(OR(W173="",F173=""),"",W173/(1+F173))</f>
        <v>16.2162162162162</v>
      </c>
      <c r="Y173" s="42" t="n">
        <f aca="false">IF(OR(H173="",H173=0,X173="",X173=0),"",H173/X173)</f>
        <v>0.3741625</v>
      </c>
    </row>
    <row r="174" customFormat="false" ht="15" hidden="false" customHeight="true" outlineLevel="0" collapsed="false">
      <c r="A174" s="5" t="s">
        <v>800</v>
      </c>
      <c r="B174" s="5" t="s">
        <v>499</v>
      </c>
      <c r="C174" s="5" t="s">
        <v>485</v>
      </c>
      <c r="D174" s="5" t="s">
        <v>642</v>
      </c>
      <c r="E174" s="5" t="s">
        <v>643</v>
      </c>
      <c r="F174" s="28" t="n">
        <f aca="false">IF(E174="","",IF(E174="DRINKS",0.21,0.11))</f>
        <v>0.11</v>
      </c>
      <c r="G174" s="29" t="n">
        <f aca="false">IF(B174="","",SUMIF(RETETAR!A:A,B174,RETETAR!F:F))</f>
        <v>7.336</v>
      </c>
      <c r="H174" s="30" t="n">
        <f aca="false">IF(B174="","",SUMIF(RETETAR!A:A,B174,RETETAR!H:H))</f>
        <v>7.336</v>
      </c>
      <c r="I174" s="31" t="n">
        <v>15</v>
      </c>
      <c r="J174" s="32" t="n">
        <f aca="false">IF(OR(I174="",F174=""),"",I174/(1+F174))</f>
        <v>13.5135135135135</v>
      </c>
      <c r="K174" s="33" t="n">
        <f aca="false">IF(OR(G174="",G174=0,J174="",J174=0),"",G174/J174)</f>
        <v>0.542864</v>
      </c>
      <c r="L174" s="34" t="n">
        <f aca="false">IF(OR(H174="",H174=0,J174="",J174=0),"",H174/J174)</f>
        <v>0.542864</v>
      </c>
      <c r="M174" s="35"/>
      <c r="N174" s="36" t="n">
        <v>0</v>
      </c>
      <c r="O174" s="36" t="n">
        <v>0</v>
      </c>
      <c r="P174" s="36" t="n">
        <v>0</v>
      </c>
      <c r="Q174" s="37" t="n">
        <f aca="false">IF(I174="","",I174+N(N174))</f>
        <v>15</v>
      </c>
      <c r="R174" s="37" t="n">
        <f aca="false">IF(OR(Q174="",F174=""),"",Q174/(1+F174))</f>
        <v>13.5135135135135</v>
      </c>
      <c r="S174" s="38" t="n">
        <f aca="false">IF(OR(H174="",H174=0,R174="",R174=0),"",H174/R174)</f>
        <v>0.542864</v>
      </c>
      <c r="T174" s="39" t="n">
        <f aca="false">IF(I174="","",I174+N(N174+O174))</f>
        <v>15</v>
      </c>
      <c r="U174" s="39" t="n">
        <f aca="false">IF(OR(T174="",F174=""),"",T174/(1+F174))</f>
        <v>13.5135135135135</v>
      </c>
      <c r="V174" s="40" t="n">
        <f aca="false">IF(OR(H174="",H174=0,U174="",U174=0),"",H174/U174)</f>
        <v>0.542864</v>
      </c>
      <c r="W174" s="41" t="n">
        <f aca="false">IF(I174="","",I174+N(N174+O174+P174))</f>
        <v>15</v>
      </c>
      <c r="X174" s="41" t="n">
        <f aca="false">IF(OR(W174="",F174=""),"",W174/(1+F174))</f>
        <v>13.5135135135135</v>
      </c>
      <c r="Y174" s="42" t="n">
        <f aca="false">IF(OR(H174="",H174=0,X174="",X174=0),"",H174/X174)</f>
        <v>0.542864</v>
      </c>
    </row>
    <row r="175" customFormat="false" ht="15" hidden="false" customHeight="true" outlineLevel="0" collapsed="false">
      <c r="A175" s="5" t="s">
        <v>801</v>
      </c>
      <c r="B175" s="5" t="s">
        <v>500</v>
      </c>
      <c r="C175" s="5" t="s">
        <v>485</v>
      </c>
      <c r="D175" s="5" t="s">
        <v>645</v>
      </c>
      <c r="E175" s="5" t="s">
        <v>643</v>
      </c>
      <c r="F175" s="28" t="n">
        <f aca="false">IF(E175="","",IF(E175="DRINKS",0.21,0.11))</f>
        <v>0.11</v>
      </c>
      <c r="G175" s="29" t="n">
        <f aca="false">IF(B175="","",SUMIF(RETETAR!A:A,B175,RETETAR!F:F))</f>
        <v>7.336</v>
      </c>
      <c r="H175" s="30" t="n">
        <f aca="false">IF(B175="","",SUMIF(RETETAR!A:A,B175,RETETAR!H:H))</f>
        <v>7.336</v>
      </c>
      <c r="I175" s="31" t="n">
        <v>15</v>
      </c>
      <c r="J175" s="32" t="n">
        <f aca="false">IF(OR(I175="",F175=""),"",I175/(1+F175))</f>
        <v>13.5135135135135</v>
      </c>
      <c r="K175" s="33" t="n">
        <f aca="false">IF(OR(G175="",G175=0,J175="",J175=0),"",G175/J175)</f>
        <v>0.542864</v>
      </c>
      <c r="L175" s="34" t="n">
        <f aca="false">IF(OR(H175="",H175=0,J175="",J175=0),"",H175/J175)</f>
        <v>0.542864</v>
      </c>
      <c r="M175" s="35"/>
      <c r="N175" s="36" t="n">
        <v>0</v>
      </c>
      <c r="O175" s="36" t="n">
        <v>0</v>
      </c>
      <c r="P175" s="36" t="n">
        <v>0</v>
      </c>
      <c r="Q175" s="37" t="n">
        <f aca="false">IF(I175="","",I175+N(N175))</f>
        <v>15</v>
      </c>
      <c r="R175" s="37" t="n">
        <f aca="false">IF(OR(Q175="",F175=""),"",Q175/(1+F175))</f>
        <v>13.5135135135135</v>
      </c>
      <c r="S175" s="38" t="n">
        <f aca="false">IF(OR(H175="",H175=0,R175="",R175=0),"",H175/R175)</f>
        <v>0.542864</v>
      </c>
      <c r="T175" s="39" t="n">
        <f aca="false">IF(I175="","",I175+N(N175+O175))</f>
        <v>15</v>
      </c>
      <c r="U175" s="39" t="n">
        <f aca="false">IF(OR(T175="",F175=""),"",T175/(1+F175))</f>
        <v>13.5135135135135</v>
      </c>
      <c r="V175" s="40" t="n">
        <f aca="false">IF(OR(H175="",H175=0,U175="",U175=0),"",H175/U175)</f>
        <v>0.542864</v>
      </c>
      <c r="W175" s="41" t="n">
        <f aca="false">IF(I175="","",I175+N(N175+O175+P175))</f>
        <v>15</v>
      </c>
      <c r="X175" s="41" t="n">
        <f aca="false">IF(OR(W175="",F175=""),"",W175/(1+F175))</f>
        <v>13.5135135135135</v>
      </c>
      <c r="Y175" s="42" t="n">
        <f aca="false">IF(OR(H175="",H175=0,X175="",X175=0),"",H175/X175)</f>
        <v>0.542864</v>
      </c>
    </row>
    <row r="176" customFormat="false" ht="15" hidden="false" customHeight="true" outlineLevel="0" collapsed="false">
      <c r="A176" s="5" t="s">
        <v>802</v>
      </c>
      <c r="B176" s="5" t="s">
        <v>501</v>
      </c>
      <c r="C176" s="5" t="s">
        <v>485</v>
      </c>
      <c r="D176" s="5" t="s">
        <v>642</v>
      </c>
      <c r="E176" s="5" t="s">
        <v>643</v>
      </c>
      <c r="F176" s="28" t="n">
        <f aca="false">IF(E176="","",IF(E176="DRINKS",0.21,0.11))</f>
        <v>0.11</v>
      </c>
      <c r="G176" s="29" t="n">
        <f aca="false">IF(B176="","",SUMIF(RETETAR!A:A,B176,RETETAR!F:F))</f>
        <v>0.82485</v>
      </c>
      <c r="H176" s="30" t="n">
        <f aca="false">IF(B176="","",SUMIF(RETETAR!A:A,B176,RETETAR!H:H))</f>
        <v>0.82485</v>
      </c>
      <c r="I176" s="31" t="n">
        <v>3</v>
      </c>
      <c r="J176" s="32" t="n">
        <f aca="false">IF(OR(I176="",F176=""),"",I176/(1+F176))</f>
        <v>2.7027027027027</v>
      </c>
      <c r="K176" s="33" t="n">
        <f aca="false">IF(OR(G176="",G176=0,J176="",J176=0),"",G176/J176)</f>
        <v>0.3051945</v>
      </c>
      <c r="L176" s="34" t="n">
        <f aca="false">IF(OR(H176="",H176=0,J176="",J176=0),"",H176/J176)</f>
        <v>0.3051945</v>
      </c>
      <c r="M176" s="35"/>
      <c r="N176" s="36" t="n">
        <v>0</v>
      </c>
      <c r="O176" s="36" t="n">
        <v>0</v>
      </c>
      <c r="P176" s="36" t="n">
        <v>0</v>
      </c>
      <c r="Q176" s="37" t="n">
        <f aca="false">IF(I176="","",I176+N(N176))</f>
        <v>3</v>
      </c>
      <c r="R176" s="37" t="n">
        <f aca="false">IF(OR(Q176="",F176=""),"",Q176/(1+F176))</f>
        <v>2.7027027027027</v>
      </c>
      <c r="S176" s="38" t="n">
        <f aca="false">IF(OR(H176="",H176=0,R176="",R176=0),"",H176/R176)</f>
        <v>0.3051945</v>
      </c>
      <c r="T176" s="39" t="n">
        <f aca="false">IF(I176="","",I176+N(N176+O176))</f>
        <v>3</v>
      </c>
      <c r="U176" s="39" t="n">
        <f aca="false">IF(OR(T176="",F176=""),"",T176/(1+F176))</f>
        <v>2.7027027027027</v>
      </c>
      <c r="V176" s="40" t="n">
        <f aca="false">IF(OR(H176="",H176=0,U176="",U176=0),"",H176/U176)</f>
        <v>0.3051945</v>
      </c>
      <c r="W176" s="41" t="n">
        <f aca="false">IF(I176="","",I176+N(N176+O176+P176))</f>
        <v>3</v>
      </c>
      <c r="X176" s="41" t="n">
        <f aca="false">IF(OR(W176="",F176=""),"",W176/(1+F176))</f>
        <v>2.7027027027027</v>
      </c>
      <c r="Y176" s="42" t="n">
        <f aca="false">IF(OR(H176="",H176=0,X176="",X176=0),"",H176/X176)</f>
        <v>0.3051945</v>
      </c>
    </row>
    <row r="177" customFormat="false" ht="15" hidden="false" customHeight="true" outlineLevel="0" collapsed="false">
      <c r="A177" s="5" t="s">
        <v>803</v>
      </c>
      <c r="B177" s="5" t="s">
        <v>502</v>
      </c>
      <c r="C177" s="5" t="s">
        <v>485</v>
      </c>
      <c r="D177" s="5" t="s">
        <v>642</v>
      </c>
      <c r="E177" s="5" t="s">
        <v>643</v>
      </c>
      <c r="F177" s="28" t="n">
        <f aca="false">IF(E177="","",IF(E177="DRINKS",0.21,0.11))</f>
        <v>0.11</v>
      </c>
      <c r="G177" s="29" t="n">
        <f aca="false">IF(B177="","",SUMIF(RETETAR!A:A,B177,RETETAR!F:F))</f>
        <v>0.28</v>
      </c>
      <c r="H177" s="30" t="n">
        <f aca="false">IF(B177="","",SUMIF(RETETAR!A:A,B177,RETETAR!H:H))</f>
        <v>0.28</v>
      </c>
      <c r="I177" s="31" t="n">
        <v>3</v>
      </c>
      <c r="J177" s="32" t="n">
        <f aca="false">IF(OR(I177="",F177=""),"",I177/(1+F177))</f>
        <v>2.7027027027027</v>
      </c>
      <c r="K177" s="33" t="n">
        <f aca="false">IF(OR(G177="",G177=0,J177="",J177=0),"",G177/J177)</f>
        <v>0.1036</v>
      </c>
      <c r="L177" s="34" t="n">
        <f aca="false">IF(OR(H177="",H177=0,J177="",J177=0),"",H177/J177)</f>
        <v>0.1036</v>
      </c>
      <c r="M177" s="35"/>
      <c r="N177" s="36" t="n">
        <v>0</v>
      </c>
      <c r="O177" s="36" t="n">
        <v>0</v>
      </c>
      <c r="P177" s="36" t="n">
        <v>0</v>
      </c>
      <c r="Q177" s="37" t="n">
        <f aca="false">IF(I177="","",I177+N(N177))</f>
        <v>3</v>
      </c>
      <c r="R177" s="37" t="n">
        <f aca="false">IF(OR(Q177="",F177=""),"",Q177/(1+F177))</f>
        <v>2.7027027027027</v>
      </c>
      <c r="S177" s="38" t="n">
        <f aca="false">IF(OR(H177="",H177=0,R177="",R177=0),"",H177/R177)</f>
        <v>0.1036</v>
      </c>
      <c r="T177" s="39" t="n">
        <f aca="false">IF(I177="","",I177+N(N177+O177))</f>
        <v>3</v>
      </c>
      <c r="U177" s="39" t="n">
        <f aca="false">IF(OR(T177="",F177=""),"",T177/(1+F177))</f>
        <v>2.7027027027027</v>
      </c>
      <c r="V177" s="40" t="n">
        <f aca="false">IF(OR(H177="",H177=0,U177="",U177=0),"",H177/U177)</f>
        <v>0.1036</v>
      </c>
      <c r="W177" s="41" t="n">
        <f aca="false">IF(I177="","",I177+N(N177+O177+P177))</f>
        <v>3</v>
      </c>
      <c r="X177" s="41" t="n">
        <f aca="false">IF(OR(W177="",F177=""),"",W177/(1+F177))</f>
        <v>2.7027027027027</v>
      </c>
      <c r="Y177" s="42" t="n">
        <f aca="false">IF(OR(H177="",H177=0,X177="",X177=0),"",H177/X177)</f>
        <v>0.1036</v>
      </c>
    </row>
    <row r="178" customFormat="false" ht="15" hidden="false" customHeight="true" outlineLevel="0" collapsed="false">
      <c r="A178" s="5" t="s">
        <v>503</v>
      </c>
      <c r="B178" s="5" t="s">
        <v>503</v>
      </c>
      <c r="C178" s="5" t="s">
        <v>485</v>
      </c>
      <c r="D178" s="5" t="s">
        <v>642</v>
      </c>
      <c r="E178" s="5" t="s">
        <v>643</v>
      </c>
      <c r="F178" s="28" t="n">
        <f aca="false">IF(E178="","",IF(E178="DRINKS",0.21,0.11))</f>
        <v>0.11</v>
      </c>
      <c r="G178" s="29" t="n">
        <f aca="false">IF(B178="","",SUMIF(RETETAR!A:A,B178,RETETAR!F:F))</f>
        <v>1.509</v>
      </c>
      <c r="H178" s="30" t="n">
        <f aca="false">IF(B178="","",SUMIF(RETETAR!A:A,B178,RETETAR!H:H))</f>
        <v>1.509</v>
      </c>
      <c r="I178" s="31" t="n">
        <v>4</v>
      </c>
      <c r="J178" s="32" t="n">
        <f aca="false">IF(OR(I178="",F178=""),"",I178/(1+F178))</f>
        <v>3.6036036036036</v>
      </c>
      <c r="K178" s="33" t="n">
        <f aca="false">IF(OR(G178="",G178=0,J178="",J178=0),"",G178/J178)</f>
        <v>0.4187475</v>
      </c>
      <c r="L178" s="34" t="n">
        <f aca="false">IF(OR(H178="",H178=0,J178="",J178=0),"",H178/J178)</f>
        <v>0.4187475</v>
      </c>
      <c r="M178" s="35"/>
      <c r="N178" s="36" t="n">
        <v>0</v>
      </c>
      <c r="O178" s="36" t="n">
        <v>0</v>
      </c>
      <c r="P178" s="36" t="n">
        <v>0</v>
      </c>
      <c r="Q178" s="37" t="n">
        <f aca="false">IF(I178="","",I178+N(N178))</f>
        <v>4</v>
      </c>
      <c r="R178" s="37" t="n">
        <f aca="false">IF(OR(Q178="",F178=""),"",Q178/(1+F178))</f>
        <v>3.6036036036036</v>
      </c>
      <c r="S178" s="38" t="n">
        <f aca="false">IF(OR(H178="",H178=0,R178="",R178=0),"",H178/R178)</f>
        <v>0.4187475</v>
      </c>
      <c r="T178" s="39" t="n">
        <f aca="false">IF(I178="","",I178+N(N178+O178))</f>
        <v>4</v>
      </c>
      <c r="U178" s="39" t="n">
        <f aca="false">IF(OR(T178="",F178=""),"",T178/(1+F178))</f>
        <v>3.6036036036036</v>
      </c>
      <c r="V178" s="40" t="n">
        <f aca="false">IF(OR(H178="",H178=0,U178="",U178=0),"",H178/U178)</f>
        <v>0.4187475</v>
      </c>
      <c r="W178" s="41" t="n">
        <f aca="false">IF(I178="","",I178+N(N178+O178+P178))</f>
        <v>4</v>
      </c>
      <c r="X178" s="41" t="n">
        <f aca="false">IF(OR(W178="",F178=""),"",W178/(1+F178))</f>
        <v>3.6036036036036</v>
      </c>
      <c r="Y178" s="42" t="n">
        <f aca="false">IF(OR(H178="",H178=0,X178="",X178=0),"",H178/X178)</f>
        <v>0.4187475</v>
      </c>
    </row>
    <row r="179" customFormat="false" ht="15" hidden="false" customHeight="true" outlineLevel="0" collapsed="false">
      <c r="A179" s="5" t="s">
        <v>804</v>
      </c>
      <c r="B179" s="5" t="s">
        <v>504</v>
      </c>
      <c r="C179" s="5" t="s">
        <v>485</v>
      </c>
      <c r="D179" s="5" t="s">
        <v>642</v>
      </c>
      <c r="E179" s="5" t="s">
        <v>643</v>
      </c>
      <c r="F179" s="28" t="n">
        <f aca="false">IF(E179="","",IF(E179="DRINKS",0.21,0.11))</f>
        <v>0.11</v>
      </c>
      <c r="G179" s="29" t="n">
        <f aca="false">IF(B179="","",SUMIF(RETETAR!A:A,B179,RETETAR!F:F))</f>
        <v>1.895</v>
      </c>
      <c r="H179" s="30" t="n">
        <f aca="false">IF(B179="","",SUMIF(RETETAR!A:A,B179,RETETAR!H:H))</f>
        <v>1.895</v>
      </c>
      <c r="I179" s="31" t="n">
        <v>4</v>
      </c>
      <c r="J179" s="32" t="n">
        <f aca="false">IF(OR(I179="",F179=""),"",I179/(1+F179))</f>
        <v>3.6036036036036</v>
      </c>
      <c r="K179" s="33" t="n">
        <f aca="false">IF(OR(G179="",G179=0,J179="",J179=0),"",G179/J179)</f>
        <v>0.5258625</v>
      </c>
      <c r="L179" s="34" t="n">
        <f aca="false">IF(OR(H179="",H179=0,J179="",J179=0),"",H179/J179)</f>
        <v>0.5258625</v>
      </c>
      <c r="M179" s="35"/>
      <c r="N179" s="36" t="n">
        <v>0</v>
      </c>
      <c r="O179" s="36" t="n">
        <v>0</v>
      </c>
      <c r="P179" s="36" t="n">
        <v>0</v>
      </c>
      <c r="Q179" s="37" t="n">
        <f aca="false">IF(I179="","",I179+N(N179))</f>
        <v>4</v>
      </c>
      <c r="R179" s="37" t="n">
        <f aca="false">IF(OR(Q179="",F179=""),"",Q179/(1+F179))</f>
        <v>3.6036036036036</v>
      </c>
      <c r="S179" s="38" t="n">
        <f aca="false">IF(OR(H179="",H179=0,R179="",R179=0),"",H179/R179)</f>
        <v>0.5258625</v>
      </c>
      <c r="T179" s="39" t="n">
        <f aca="false">IF(I179="","",I179+N(N179+O179))</f>
        <v>4</v>
      </c>
      <c r="U179" s="39" t="n">
        <f aca="false">IF(OR(T179="",F179=""),"",T179/(1+F179))</f>
        <v>3.6036036036036</v>
      </c>
      <c r="V179" s="40" t="n">
        <f aca="false">IF(OR(H179="",H179=0,U179="",U179=0),"",H179/U179)</f>
        <v>0.5258625</v>
      </c>
      <c r="W179" s="41" t="n">
        <f aca="false">IF(I179="","",I179+N(N179+O179+P179))</f>
        <v>4</v>
      </c>
      <c r="X179" s="41" t="n">
        <f aca="false">IF(OR(W179="",F179=""),"",W179/(1+F179))</f>
        <v>3.6036036036036</v>
      </c>
      <c r="Y179" s="42" t="n">
        <f aca="false">IF(OR(H179="",H179=0,X179="",X179=0),"",H179/X179)</f>
        <v>0.5258625</v>
      </c>
    </row>
    <row r="180" customFormat="false" ht="15" hidden="false" customHeight="true" outlineLevel="0" collapsed="false">
      <c r="A180" s="5" t="s">
        <v>805</v>
      </c>
      <c r="B180" s="5" t="s">
        <v>505</v>
      </c>
      <c r="C180" s="5" t="s">
        <v>485</v>
      </c>
      <c r="D180" s="5" t="s">
        <v>642</v>
      </c>
      <c r="E180" s="5" t="s">
        <v>643</v>
      </c>
      <c r="F180" s="28" t="n">
        <f aca="false">IF(E180="","",IF(E180="DRINKS",0.21,0.11))</f>
        <v>0.11</v>
      </c>
      <c r="G180" s="29" t="n">
        <f aca="false">IF(B180="","",SUMIF(RETETAR!A:A,B180,RETETAR!F:F))</f>
        <v>1.372</v>
      </c>
      <c r="H180" s="30" t="n">
        <f aca="false">IF(B180="","",SUMIF(RETETAR!A:A,B180,RETETAR!H:H))</f>
        <v>1.372</v>
      </c>
      <c r="I180" s="31" t="n">
        <v>4</v>
      </c>
      <c r="J180" s="32" t="n">
        <f aca="false">IF(OR(I180="",F180=""),"",I180/(1+F180))</f>
        <v>3.6036036036036</v>
      </c>
      <c r="K180" s="33" t="n">
        <f aca="false">IF(OR(G180="",G180=0,J180="",J180=0),"",G180/J180)</f>
        <v>0.38073</v>
      </c>
      <c r="L180" s="34" t="n">
        <f aca="false">IF(OR(H180="",H180=0,J180="",J180=0),"",H180/J180)</f>
        <v>0.38073</v>
      </c>
      <c r="M180" s="35"/>
      <c r="N180" s="36" t="n">
        <v>0</v>
      </c>
      <c r="O180" s="36" t="n">
        <v>0</v>
      </c>
      <c r="P180" s="36" t="n">
        <v>0</v>
      </c>
      <c r="Q180" s="37" t="n">
        <f aca="false">IF(I180="","",I180+N(N180))</f>
        <v>4</v>
      </c>
      <c r="R180" s="37" t="n">
        <f aca="false">IF(OR(Q180="",F180=""),"",Q180/(1+F180))</f>
        <v>3.6036036036036</v>
      </c>
      <c r="S180" s="38" t="n">
        <f aca="false">IF(OR(H180="",H180=0,R180="",R180=0),"",H180/R180)</f>
        <v>0.38073</v>
      </c>
      <c r="T180" s="39" t="n">
        <f aca="false">IF(I180="","",I180+N(N180+O180))</f>
        <v>4</v>
      </c>
      <c r="U180" s="39" t="n">
        <f aca="false">IF(OR(T180="",F180=""),"",T180/(1+F180))</f>
        <v>3.6036036036036</v>
      </c>
      <c r="V180" s="40" t="n">
        <f aca="false">IF(OR(H180="",H180=0,U180="",U180=0),"",H180/U180)</f>
        <v>0.38073</v>
      </c>
      <c r="W180" s="41" t="n">
        <f aca="false">IF(I180="","",I180+N(N180+O180+P180))</f>
        <v>4</v>
      </c>
      <c r="X180" s="41" t="n">
        <f aca="false">IF(OR(W180="",F180=""),"",W180/(1+F180))</f>
        <v>3.6036036036036</v>
      </c>
      <c r="Y180" s="42" t="n">
        <f aca="false">IF(OR(H180="",H180=0,X180="",X180=0),"",H180/X180)</f>
        <v>0.38073</v>
      </c>
    </row>
    <row r="181" customFormat="false" ht="15" hidden="false" customHeight="true" outlineLevel="0" collapsed="false">
      <c r="A181" s="5" t="s">
        <v>806</v>
      </c>
      <c r="B181" s="5" t="s">
        <v>506</v>
      </c>
      <c r="C181" s="5" t="s">
        <v>485</v>
      </c>
      <c r="D181" s="5" t="s">
        <v>642</v>
      </c>
      <c r="E181" s="5" t="s">
        <v>643</v>
      </c>
      <c r="F181" s="28" t="n">
        <f aca="false">IF(E181="","",IF(E181="DRINKS",0.21,0.11))</f>
        <v>0.11</v>
      </c>
      <c r="G181" s="29" t="n">
        <f aca="false">IF(B181="","",SUMIF(RETETAR!A:A,B181,RETETAR!F:F))</f>
        <v>0.7532</v>
      </c>
      <c r="H181" s="30" t="n">
        <f aca="false">IF(B181="","",SUMIF(RETETAR!A:A,B181,RETETAR!H:H))</f>
        <v>0.7532</v>
      </c>
      <c r="I181" s="31" t="n">
        <v>3</v>
      </c>
      <c r="J181" s="32" t="n">
        <f aca="false">IF(OR(I181="",F181=""),"",I181/(1+F181))</f>
        <v>2.7027027027027</v>
      </c>
      <c r="K181" s="33" t="n">
        <f aca="false">IF(OR(G181="",G181=0,J181="",J181=0),"",G181/J181)</f>
        <v>0.278684</v>
      </c>
      <c r="L181" s="34" t="n">
        <f aca="false">IF(OR(H181="",H181=0,J181="",J181=0),"",H181/J181)</f>
        <v>0.278684</v>
      </c>
      <c r="M181" s="35"/>
      <c r="N181" s="36" t="n">
        <v>0</v>
      </c>
      <c r="O181" s="36" t="n">
        <v>0</v>
      </c>
      <c r="P181" s="36" t="n">
        <v>0</v>
      </c>
      <c r="Q181" s="37" t="n">
        <f aca="false">IF(I181="","",I181+N(N181))</f>
        <v>3</v>
      </c>
      <c r="R181" s="37" t="n">
        <f aca="false">IF(OR(Q181="",F181=""),"",Q181/(1+F181))</f>
        <v>2.7027027027027</v>
      </c>
      <c r="S181" s="38" t="n">
        <f aca="false">IF(OR(H181="",H181=0,R181="",R181=0),"",H181/R181)</f>
        <v>0.278684</v>
      </c>
      <c r="T181" s="39" t="n">
        <f aca="false">IF(I181="","",I181+N(N181+O181))</f>
        <v>3</v>
      </c>
      <c r="U181" s="39" t="n">
        <f aca="false">IF(OR(T181="",F181=""),"",T181/(1+F181))</f>
        <v>2.7027027027027</v>
      </c>
      <c r="V181" s="40" t="n">
        <f aca="false">IF(OR(H181="",H181=0,U181="",U181=0),"",H181/U181)</f>
        <v>0.278684</v>
      </c>
      <c r="W181" s="41" t="n">
        <f aca="false">IF(I181="","",I181+N(N181+O181+P181))</f>
        <v>3</v>
      </c>
      <c r="X181" s="41" t="n">
        <f aca="false">IF(OR(W181="",F181=""),"",W181/(1+F181))</f>
        <v>2.7027027027027</v>
      </c>
      <c r="Y181" s="42" t="n">
        <f aca="false">IF(OR(H181="",H181=0,X181="",X181=0),"",H181/X181)</f>
        <v>0.278684</v>
      </c>
    </row>
    <row r="182" customFormat="false" ht="15" hidden="false" customHeight="true" outlineLevel="0" collapsed="false">
      <c r="A182" s="5" t="s">
        <v>807</v>
      </c>
      <c r="B182" s="5" t="s">
        <v>507</v>
      </c>
      <c r="C182" s="5" t="s">
        <v>485</v>
      </c>
      <c r="D182" s="5" t="s">
        <v>642</v>
      </c>
      <c r="E182" s="5" t="s">
        <v>643</v>
      </c>
      <c r="F182" s="28" t="n">
        <f aca="false">IF(E182="","",IF(E182="DRINKS",0.21,0.11))</f>
        <v>0.11</v>
      </c>
      <c r="G182" s="29" t="n">
        <f aca="false">IF(B182="","",SUMIF(RETETAR!A:A,B182,RETETAR!F:F))</f>
        <v>0.9165</v>
      </c>
      <c r="H182" s="30" t="n">
        <f aca="false">IF(B182="","",SUMIF(RETETAR!A:A,B182,RETETAR!H:H))</f>
        <v>0.9165</v>
      </c>
      <c r="I182" s="31" t="n">
        <v>3</v>
      </c>
      <c r="J182" s="32" t="n">
        <f aca="false">IF(OR(I182="",F182=""),"",I182/(1+F182))</f>
        <v>2.7027027027027</v>
      </c>
      <c r="K182" s="33" t="n">
        <f aca="false">IF(OR(G182="",G182=0,J182="",J182=0),"",G182/J182)</f>
        <v>0.339105</v>
      </c>
      <c r="L182" s="34" t="n">
        <f aca="false">IF(OR(H182="",H182=0,J182="",J182=0),"",H182/J182)</f>
        <v>0.339105</v>
      </c>
      <c r="M182" s="35"/>
      <c r="N182" s="36" t="n">
        <v>0</v>
      </c>
      <c r="O182" s="36" t="n">
        <v>0</v>
      </c>
      <c r="P182" s="36" t="n">
        <v>0</v>
      </c>
      <c r="Q182" s="37" t="n">
        <f aca="false">IF(I182="","",I182+N(N182))</f>
        <v>3</v>
      </c>
      <c r="R182" s="37" t="n">
        <f aca="false">IF(OR(Q182="",F182=""),"",Q182/(1+F182))</f>
        <v>2.7027027027027</v>
      </c>
      <c r="S182" s="38" t="n">
        <f aca="false">IF(OR(H182="",H182=0,R182="",R182=0),"",H182/R182)</f>
        <v>0.339105</v>
      </c>
      <c r="T182" s="39" t="n">
        <f aca="false">IF(I182="","",I182+N(N182+O182))</f>
        <v>3</v>
      </c>
      <c r="U182" s="39" t="n">
        <f aca="false">IF(OR(T182="",F182=""),"",T182/(1+F182))</f>
        <v>2.7027027027027</v>
      </c>
      <c r="V182" s="40" t="n">
        <f aca="false">IF(OR(H182="",H182=0,U182="",U182=0),"",H182/U182)</f>
        <v>0.339105</v>
      </c>
      <c r="W182" s="41" t="n">
        <f aca="false">IF(I182="","",I182+N(N182+O182+P182))</f>
        <v>3</v>
      </c>
      <c r="X182" s="41" t="n">
        <f aca="false">IF(OR(W182="",F182=""),"",W182/(1+F182))</f>
        <v>2.7027027027027</v>
      </c>
      <c r="Y182" s="42" t="n">
        <f aca="false">IF(OR(H182="",H182=0,X182="",X182=0),"",H182/X182)</f>
        <v>0.339105</v>
      </c>
    </row>
    <row r="183" customFormat="false" ht="15" hidden="false" customHeight="true" outlineLevel="0" collapsed="false">
      <c r="A183" s="5" t="s">
        <v>808</v>
      </c>
      <c r="B183" s="5" t="s">
        <v>508</v>
      </c>
      <c r="C183" s="5" t="s">
        <v>485</v>
      </c>
      <c r="D183" s="5" t="s">
        <v>642</v>
      </c>
      <c r="E183" s="5" t="s">
        <v>643</v>
      </c>
      <c r="F183" s="28" t="n">
        <f aca="false">IF(E183="","",IF(E183="DRINKS",0.21,0.11))</f>
        <v>0.11</v>
      </c>
      <c r="G183" s="29" t="n">
        <f aca="false">IF(B183="","",SUMIF(RETETAR!A:A,B183,RETETAR!F:F))</f>
        <v>0.68</v>
      </c>
      <c r="H183" s="30" t="n">
        <f aca="false">IF(B183="","",SUMIF(RETETAR!A:A,B183,RETETAR!H:H))</f>
        <v>0.68</v>
      </c>
      <c r="I183" s="31" t="n">
        <v>3</v>
      </c>
      <c r="J183" s="32" t="n">
        <f aca="false">IF(OR(I183="",F183=""),"",I183/(1+F183))</f>
        <v>2.7027027027027</v>
      </c>
      <c r="K183" s="33" t="n">
        <f aca="false">IF(OR(G183="",G183=0,J183="",J183=0),"",G183/J183)</f>
        <v>0.2516</v>
      </c>
      <c r="L183" s="34" t="n">
        <f aca="false">IF(OR(H183="",H183=0,J183="",J183=0),"",H183/J183)</f>
        <v>0.2516</v>
      </c>
      <c r="M183" s="35"/>
      <c r="N183" s="36" t="n">
        <v>0</v>
      </c>
      <c r="O183" s="36" t="n">
        <v>0</v>
      </c>
      <c r="P183" s="36" t="n">
        <v>0</v>
      </c>
      <c r="Q183" s="37" t="n">
        <f aca="false">IF(I183="","",I183+N(N183))</f>
        <v>3</v>
      </c>
      <c r="R183" s="37" t="n">
        <f aca="false">IF(OR(Q183="",F183=""),"",Q183/(1+F183))</f>
        <v>2.7027027027027</v>
      </c>
      <c r="S183" s="38" t="n">
        <f aca="false">IF(OR(H183="",H183=0,R183="",R183=0),"",H183/R183)</f>
        <v>0.2516</v>
      </c>
      <c r="T183" s="39" t="n">
        <f aca="false">IF(I183="","",I183+N(N183+O183))</f>
        <v>3</v>
      </c>
      <c r="U183" s="39" t="n">
        <f aca="false">IF(OR(T183="",F183=""),"",T183/(1+F183))</f>
        <v>2.7027027027027</v>
      </c>
      <c r="V183" s="40" t="n">
        <f aca="false">IF(OR(H183="",H183=0,U183="",U183=0),"",H183/U183)</f>
        <v>0.2516</v>
      </c>
      <c r="W183" s="41" t="n">
        <f aca="false">IF(I183="","",I183+N(N183+O183+P183))</f>
        <v>3</v>
      </c>
      <c r="X183" s="41" t="n">
        <f aca="false">IF(OR(W183="",F183=""),"",W183/(1+F183))</f>
        <v>2.7027027027027</v>
      </c>
      <c r="Y183" s="42" t="n">
        <f aca="false">IF(OR(H183="",H183=0,X183="",X183=0),"",H183/X183)</f>
        <v>0.2516</v>
      </c>
    </row>
    <row r="184" customFormat="false" ht="15" hidden="false" customHeight="true" outlineLevel="0" collapsed="false">
      <c r="A184" s="5" t="s">
        <v>509</v>
      </c>
      <c r="B184" s="5" t="s">
        <v>509</v>
      </c>
      <c r="C184" s="5" t="s">
        <v>485</v>
      </c>
      <c r="D184" s="5" t="s">
        <v>642</v>
      </c>
      <c r="E184" s="5" t="s">
        <v>643</v>
      </c>
      <c r="F184" s="28" t="n">
        <f aca="false">IF(E184="","",IF(E184="DRINKS",0.21,0.11))</f>
        <v>0.11</v>
      </c>
      <c r="G184" s="29" t="n">
        <f aca="false">IF(B184="","",SUMIF(RETETAR!A:A,B184,RETETAR!F:F))</f>
        <v>3.115</v>
      </c>
      <c r="H184" s="30" t="n">
        <f aca="false">IF(B184="","",SUMIF(RETETAR!A:A,B184,RETETAR!H:H))</f>
        <v>3.115</v>
      </c>
      <c r="I184" s="31" t="n">
        <v>12</v>
      </c>
      <c r="J184" s="32" t="n">
        <f aca="false">IF(OR(I184="",F184=""),"",I184/(1+F184))</f>
        <v>10.8108108108108</v>
      </c>
      <c r="K184" s="33" t="n">
        <f aca="false">IF(OR(G184="",G184=0,J184="",J184=0),"",G184/J184)</f>
        <v>0.2881375</v>
      </c>
      <c r="L184" s="34" t="n">
        <f aca="false">IF(OR(H184="",H184=0,J184="",J184=0),"",H184/J184)</f>
        <v>0.2881375</v>
      </c>
      <c r="M184" s="35"/>
      <c r="N184" s="36" t="n">
        <v>0</v>
      </c>
      <c r="O184" s="36" t="n">
        <v>0</v>
      </c>
      <c r="P184" s="36" t="n">
        <v>0</v>
      </c>
      <c r="Q184" s="37" t="n">
        <f aca="false">IF(I184="","",I184+N(N184))</f>
        <v>12</v>
      </c>
      <c r="R184" s="37" t="n">
        <f aca="false">IF(OR(Q184="",F184=""),"",Q184/(1+F184))</f>
        <v>10.8108108108108</v>
      </c>
      <c r="S184" s="38" t="n">
        <f aca="false">IF(OR(H184="",H184=0,R184="",R184=0),"",H184/R184)</f>
        <v>0.2881375</v>
      </c>
      <c r="T184" s="39" t="n">
        <f aca="false">IF(I184="","",I184+N(N184+O184))</f>
        <v>12</v>
      </c>
      <c r="U184" s="39" t="n">
        <f aca="false">IF(OR(T184="",F184=""),"",T184/(1+F184))</f>
        <v>10.8108108108108</v>
      </c>
      <c r="V184" s="40" t="n">
        <f aca="false">IF(OR(H184="",H184=0,U184="",U184=0),"",H184/U184)</f>
        <v>0.2881375</v>
      </c>
      <c r="W184" s="41" t="n">
        <f aca="false">IF(I184="","",I184+N(N184+O184+P184))</f>
        <v>12</v>
      </c>
      <c r="X184" s="41" t="n">
        <f aca="false">IF(OR(W184="",F184=""),"",W184/(1+F184))</f>
        <v>10.8108108108108</v>
      </c>
      <c r="Y184" s="42" t="n">
        <f aca="false">IF(OR(H184="",H184=0,X184="",X184=0),"",H184/X184)</f>
        <v>0.2881375</v>
      </c>
    </row>
    <row r="185" customFormat="false" ht="15" hidden="false" customHeight="true" outlineLevel="0" collapsed="false">
      <c r="A185" s="5" t="s">
        <v>510</v>
      </c>
      <c r="B185" s="5" t="s">
        <v>510</v>
      </c>
      <c r="C185" s="5" t="s">
        <v>485</v>
      </c>
      <c r="D185" s="5" t="s">
        <v>645</v>
      </c>
      <c r="E185" s="5" t="s">
        <v>643</v>
      </c>
      <c r="F185" s="28" t="n">
        <f aca="false">IF(E185="","",IF(E185="DRINKS",0.21,0.11))</f>
        <v>0.11</v>
      </c>
      <c r="G185" s="29" t="n">
        <f aca="false">IF(B185="","",SUMIF(RETETAR!A:A,B185,RETETAR!F:F))</f>
        <v>5.216</v>
      </c>
      <c r="H185" s="30" t="n">
        <f aca="false">IF(B185="","",SUMIF(RETETAR!A:A,B185,RETETAR!H:H))</f>
        <v>5.216</v>
      </c>
      <c r="I185" s="31" t="n">
        <v>14</v>
      </c>
      <c r="J185" s="32" t="n">
        <f aca="false">IF(OR(I185="",F185=""),"",I185/(1+F185))</f>
        <v>12.6126126126126</v>
      </c>
      <c r="K185" s="33" t="n">
        <f aca="false">IF(OR(G185="",G185=0,J185="",J185=0),"",G185/J185)</f>
        <v>0.413554285714286</v>
      </c>
      <c r="L185" s="34" t="n">
        <f aca="false">IF(OR(H185="",H185=0,J185="",J185=0),"",H185/J185)</f>
        <v>0.413554285714286</v>
      </c>
      <c r="M185" s="35"/>
      <c r="N185" s="36" t="n">
        <v>0</v>
      </c>
      <c r="O185" s="36" t="n">
        <v>0</v>
      </c>
      <c r="P185" s="36" t="n">
        <v>0</v>
      </c>
      <c r="Q185" s="37" t="n">
        <f aca="false">IF(I185="","",I185+N(N185))</f>
        <v>14</v>
      </c>
      <c r="R185" s="37" t="n">
        <f aca="false">IF(OR(Q185="",F185=""),"",Q185/(1+F185))</f>
        <v>12.6126126126126</v>
      </c>
      <c r="S185" s="38" t="n">
        <f aca="false">IF(OR(H185="",H185=0,R185="",R185=0),"",H185/R185)</f>
        <v>0.413554285714286</v>
      </c>
      <c r="T185" s="39" t="n">
        <f aca="false">IF(I185="","",I185+N(N185+O185))</f>
        <v>14</v>
      </c>
      <c r="U185" s="39" t="n">
        <f aca="false">IF(OR(T185="",F185=""),"",T185/(1+F185))</f>
        <v>12.6126126126126</v>
      </c>
      <c r="V185" s="40" t="n">
        <f aca="false">IF(OR(H185="",H185=0,U185="",U185=0),"",H185/U185)</f>
        <v>0.413554285714286</v>
      </c>
      <c r="W185" s="41" t="n">
        <f aca="false">IF(I185="","",I185+N(N185+O185+P185))</f>
        <v>14</v>
      </c>
      <c r="X185" s="41" t="n">
        <f aca="false">IF(OR(W185="",F185=""),"",W185/(1+F185))</f>
        <v>12.6126126126126</v>
      </c>
      <c r="Y185" s="42" t="n">
        <f aca="false">IF(OR(H185="",H185=0,X185="",X185=0),"",H185/X185)</f>
        <v>0.413554285714286</v>
      </c>
    </row>
    <row r="186" customFormat="false" ht="15" hidden="false" customHeight="true" outlineLevel="0" collapsed="false">
      <c r="A186" s="5" t="s">
        <v>511</v>
      </c>
      <c r="B186" s="5" t="s">
        <v>511</v>
      </c>
      <c r="C186" s="5" t="s">
        <v>485</v>
      </c>
      <c r="D186" s="5" t="s">
        <v>642</v>
      </c>
      <c r="E186" s="5" t="s">
        <v>643</v>
      </c>
      <c r="F186" s="28" t="n">
        <f aca="false">IF(E186="","",IF(E186="DRINKS",0.21,0.11))</f>
        <v>0.11</v>
      </c>
      <c r="G186" s="29" t="n">
        <f aca="false">IF(B186="","",SUMIF(RETETAR!A:A,B186,RETETAR!F:F))</f>
        <v>4.0315</v>
      </c>
      <c r="H186" s="30" t="n">
        <f aca="false">IF(B186="","",SUMIF(RETETAR!A:A,B186,RETETAR!H:H))</f>
        <v>4.0315</v>
      </c>
      <c r="I186" s="31" t="n">
        <v>14</v>
      </c>
      <c r="J186" s="32" t="n">
        <f aca="false">IF(OR(I186="",F186=""),"",I186/(1+F186))</f>
        <v>12.6126126126126</v>
      </c>
      <c r="K186" s="33" t="n">
        <f aca="false">IF(OR(G186="",G186=0,J186="",J186=0),"",G186/J186)</f>
        <v>0.319640357142857</v>
      </c>
      <c r="L186" s="34" t="n">
        <f aca="false">IF(OR(H186="",H186=0,J186="",J186=0),"",H186/J186)</f>
        <v>0.319640357142857</v>
      </c>
      <c r="M186" s="35"/>
      <c r="N186" s="36" t="n">
        <v>0</v>
      </c>
      <c r="O186" s="36" t="n">
        <v>0</v>
      </c>
      <c r="P186" s="36" t="n">
        <v>0</v>
      </c>
      <c r="Q186" s="37" t="n">
        <f aca="false">IF(I186="","",I186+N(N186))</f>
        <v>14</v>
      </c>
      <c r="R186" s="37" t="n">
        <f aca="false">IF(OR(Q186="",F186=""),"",Q186/(1+F186))</f>
        <v>12.6126126126126</v>
      </c>
      <c r="S186" s="38" t="n">
        <f aca="false">IF(OR(H186="",H186=0,R186="",R186=0),"",H186/R186)</f>
        <v>0.319640357142857</v>
      </c>
      <c r="T186" s="39" t="n">
        <f aca="false">IF(I186="","",I186+N(N186+O186))</f>
        <v>14</v>
      </c>
      <c r="U186" s="39" t="n">
        <f aca="false">IF(OR(T186="",F186=""),"",T186/(1+F186))</f>
        <v>12.6126126126126</v>
      </c>
      <c r="V186" s="40" t="n">
        <f aca="false">IF(OR(H186="",H186=0,U186="",U186=0),"",H186/U186)</f>
        <v>0.319640357142857</v>
      </c>
      <c r="W186" s="41" t="n">
        <f aca="false">IF(I186="","",I186+N(N186+O186+P186))</f>
        <v>14</v>
      </c>
      <c r="X186" s="41" t="n">
        <f aca="false">IF(OR(W186="",F186=""),"",W186/(1+F186))</f>
        <v>12.6126126126126</v>
      </c>
      <c r="Y186" s="42" t="n">
        <f aca="false">IF(OR(H186="",H186=0,X186="",X186=0),"",H186/X186)</f>
        <v>0.319640357142857</v>
      </c>
    </row>
    <row r="187" customFormat="false" ht="15" hidden="false" customHeight="true" outlineLevel="0" collapsed="false">
      <c r="A187" s="5" t="s">
        <v>512</v>
      </c>
      <c r="B187" s="5" t="s">
        <v>512</v>
      </c>
      <c r="C187" s="5" t="s">
        <v>485</v>
      </c>
      <c r="D187" s="5" t="s">
        <v>645</v>
      </c>
      <c r="E187" s="5" t="s">
        <v>643</v>
      </c>
      <c r="F187" s="28" t="n">
        <f aca="false">IF(E187="","",IF(E187="DRINKS",0.21,0.11))</f>
        <v>0.11</v>
      </c>
      <c r="G187" s="29" t="n">
        <f aca="false">IF(B187="","",SUMIF(RETETAR!A:A,B187,RETETAR!F:F))</f>
        <v>6.1325</v>
      </c>
      <c r="H187" s="30" t="n">
        <f aca="false">IF(B187="","",SUMIF(RETETAR!A:A,B187,RETETAR!H:H))</f>
        <v>6.1325</v>
      </c>
      <c r="I187" s="31" t="n">
        <v>16</v>
      </c>
      <c r="J187" s="32" t="n">
        <f aca="false">IF(OR(I187="",F187=""),"",I187/(1+F187))</f>
        <v>14.4144144144144</v>
      </c>
      <c r="K187" s="33" t="n">
        <f aca="false">IF(OR(G187="",G187=0,J187="",J187=0),"",G187/J187)</f>
        <v>0.4254421875</v>
      </c>
      <c r="L187" s="34" t="n">
        <f aca="false">IF(OR(H187="",H187=0,J187="",J187=0),"",H187/J187)</f>
        <v>0.4254421875</v>
      </c>
      <c r="M187" s="35"/>
      <c r="N187" s="36" t="n">
        <v>0</v>
      </c>
      <c r="O187" s="36" t="n">
        <v>0</v>
      </c>
      <c r="P187" s="36" t="n">
        <v>0</v>
      </c>
      <c r="Q187" s="37" t="n">
        <f aca="false">IF(I187="","",I187+N(N187))</f>
        <v>16</v>
      </c>
      <c r="R187" s="37" t="n">
        <f aca="false">IF(OR(Q187="",F187=""),"",Q187/(1+F187))</f>
        <v>14.4144144144144</v>
      </c>
      <c r="S187" s="38" t="n">
        <f aca="false">IF(OR(H187="",H187=0,R187="",R187=0),"",H187/R187)</f>
        <v>0.4254421875</v>
      </c>
      <c r="T187" s="39" t="n">
        <f aca="false">IF(I187="","",I187+N(N187+O187))</f>
        <v>16</v>
      </c>
      <c r="U187" s="39" t="n">
        <f aca="false">IF(OR(T187="",F187=""),"",T187/(1+F187))</f>
        <v>14.4144144144144</v>
      </c>
      <c r="V187" s="40" t="n">
        <f aca="false">IF(OR(H187="",H187=0,U187="",U187=0),"",H187/U187)</f>
        <v>0.4254421875</v>
      </c>
      <c r="W187" s="41" t="n">
        <f aca="false">IF(I187="","",I187+N(N187+O187+P187))</f>
        <v>16</v>
      </c>
      <c r="X187" s="41" t="n">
        <f aca="false">IF(OR(W187="",F187=""),"",W187/(1+F187))</f>
        <v>14.4144144144144</v>
      </c>
      <c r="Y187" s="42" t="n">
        <f aca="false">IF(OR(H187="",H187=0,X187="",X187=0),"",H187/X187)</f>
        <v>0.4254421875</v>
      </c>
    </row>
    <row r="188" customFormat="false" ht="15" hidden="false" customHeight="true" outlineLevel="0" collapsed="false">
      <c r="A188" s="5" t="s">
        <v>513</v>
      </c>
      <c r="B188" s="5" t="s">
        <v>513</v>
      </c>
      <c r="C188" s="5" t="s">
        <v>485</v>
      </c>
      <c r="D188" s="5" t="s">
        <v>642</v>
      </c>
      <c r="E188" s="5" t="s">
        <v>643</v>
      </c>
      <c r="F188" s="28" t="n">
        <f aca="false">IF(E188="","",IF(E188="DRINKS",0.21,0.11))</f>
        <v>0.11</v>
      </c>
      <c r="G188" s="29" t="n">
        <f aca="false">IF(B188="","",SUMIF(RETETAR!A:A,B188,RETETAR!F:F))</f>
        <v>4.42705</v>
      </c>
      <c r="H188" s="30" t="n">
        <f aca="false">IF(B188="","",SUMIF(RETETAR!A:A,B188,RETETAR!H:H))</f>
        <v>4.42705</v>
      </c>
      <c r="I188" s="31" t="n">
        <v>14</v>
      </c>
      <c r="J188" s="32" t="n">
        <f aca="false">IF(OR(I188="",F188=""),"",I188/(1+F188))</f>
        <v>12.6126126126126</v>
      </c>
      <c r="K188" s="33" t="n">
        <f aca="false">IF(OR(G188="",G188=0,J188="",J188=0),"",G188/J188)</f>
        <v>0.351001821428572</v>
      </c>
      <c r="L188" s="34" t="n">
        <f aca="false">IF(OR(H188="",H188=0,J188="",J188=0),"",H188/J188)</f>
        <v>0.351001821428572</v>
      </c>
      <c r="M188" s="35"/>
      <c r="N188" s="36" t="n">
        <v>0</v>
      </c>
      <c r="O188" s="36" t="n">
        <v>0</v>
      </c>
      <c r="P188" s="36" t="n">
        <v>0</v>
      </c>
      <c r="Q188" s="37" t="n">
        <f aca="false">IF(I188="","",I188+N(N188))</f>
        <v>14</v>
      </c>
      <c r="R188" s="37" t="n">
        <f aca="false">IF(OR(Q188="",F188=""),"",Q188/(1+F188))</f>
        <v>12.6126126126126</v>
      </c>
      <c r="S188" s="38" t="n">
        <f aca="false">IF(OR(H188="",H188=0,R188="",R188=0),"",H188/R188)</f>
        <v>0.351001821428572</v>
      </c>
      <c r="T188" s="39" t="n">
        <f aca="false">IF(I188="","",I188+N(N188+O188))</f>
        <v>14</v>
      </c>
      <c r="U188" s="39" t="n">
        <f aca="false">IF(OR(T188="",F188=""),"",T188/(1+F188))</f>
        <v>12.6126126126126</v>
      </c>
      <c r="V188" s="40" t="n">
        <f aca="false">IF(OR(H188="",H188=0,U188="",U188=0),"",H188/U188)</f>
        <v>0.351001821428572</v>
      </c>
      <c r="W188" s="41" t="n">
        <f aca="false">IF(I188="","",I188+N(N188+O188+P188))</f>
        <v>14</v>
      </c>
      <c r="X188" s="41" t="n">
        <f aca="false">IF(OR(W188="",F188=""),"",W188/(1+F188))</f>
        <v>12.6126126126126</v>
      </c>
      <c r="Y188" s="42" t="n">
        <f aca="false">IF(OR(H188="",H188=0,X188="",X188=0),"",H188/X188)</f>
        <v>0.351001821428572</v>
      </c>
    </row>
    <row r="189" customFormat="false" ht="15" hidden="false" customHeight="true" outlineLevel="0" collapsed="false">
      <c r="A189" s="5" t="s">
        <v>514</v>
      </c>
      <c r="B189" s="5" t="s">
        <v>514</v>
      </c>
      <c r="C189" s="5" t="s">
        <v>485</v>
      </c>
      <c r="D189" s="5" t="s">
        <v>645</v>
      </c>
      <c r="E189" s="5" t="s">
        <v>643</v>
      </c>
      <c r="F189" s="28" t="n">
        <f aca="false">IF(E189="","",IF(E189="DRINKS",0.21,0.11))</f>
        <v>0.11</v>
      </c>
      <c r="G189" s="29" t="n">
        <f aca="false">IF(B189="","",SUMIF(RETETAR!A:A,B189,RETETAR!F:F))</f>
        <v>6.52805</v>
      </c>
      <c r="H189" s="30" t="n">
        <f aca="false">IF(B189="","",SUMIF(RETETAR!A:A,B189,RETETAR!H:H))</f>
        <v>6.52805</v>
      </c>
      <c r="I189" s="31" t="n">
        <v>16</v>
      </c>
      <c r="J189" s="32" t="n">
        <f aca="false">IF(OR(I189="",F189=""),"",I189/(1+F189))</f>
        <v>14.4144144144144</v>
      </c>
      <c r="K189" s="33" t="n">
        <f aca="false">IF(OR(G189="",G189=0,J189="",J189=0),"",G189/J189)</f>
        <v>0.45288346875</v>
      </c>
      <c r="L189" s="34" t="n">
        <f aca="false">IF(OR(H189="",H189=0,J189="",J189=0),"",H189/J189)</f>
        <v>0.45288346875</v>
      </c>
      <c r="M189" s="35"/>
      <c r="N189" s="36" t="n">
        <v>0</v>
      </c>
      <c r="O189" s="36" t="n">
        <v>0</v>
      </c>
      <c r="P189" s="36" t="n">
        <v>0</v>
      </c>
      <c r="Q189" s="37" t="n">
        <f aca="false">IF(I189="","",I189+N(N189))</f>
        <v>16</v>
      </c>
      <c r="R189" s="37" t="n">
        <f aca="false">IF(OR(Q189="",F189=""),"",Q189/(1+F189))</f>
        <v>14.4144144144144</v>
      </c>
      <c r="S189" s="38" t="n">
        <f aca="false">IF(OR(H189="",H189=0,R189="",R189=0),"",H189/R189)</f>
        <v>0.45288346875</v>
      </c>
      <c r="T189" s="39" t="n">
        <f aca="false">IF(I189="","",I189+N(N189+O189))</f>
        <v>16</v>
      </c>
      <c r="U189" s="39" t="n">
        <f aca="false">IF(OR(T189="",F189=""),"",T189/(1+F189))</f>
        <v>14.4144144144144</v>
      </c>
      <c r="V189" s="40" t="n">
        <f aca="false">IF(OR(H189="",H189=0,U189="",U189=0),"",H189/U189)</f>
        <v>0.45288346875</v>
      </c>
      <c r="W189" s="41" t="n">
        <f aca="false">IF(I189="","",I189+N(N189+O189+P189))</f>
        <v>16</v>
      </c>
      <c r="X189" s="41" t="n">
        <f aca="false">IF(OR(W189="",F189=""),"",W189/(1+F189))</f>
        <v>14.4144144144144</v>
      </c>
      <c r="Y189" s="42" t="n">
        <f aca="false">IF(OR(H189="",H189=0,X189="",X189=0),"",H189/X189)</f>
        <v>0.45288346875</v>
      </c>
    </row>
    <row r="190" customFormat="false" ht="15" hidden="false" customHeight="true" outlineLevel="0" collapsed="false">
      <c r="A190" s="5" t="s">
        <v>515</v>
      </c>
      <c r="B190" s="5" t="s">
        <v>515</v>
      </c>
      <c r="C190" s="5" t="s">
        <v>485</v>
      </c>
      <c r="D190" s="5" t="s">
        <v>642</v>
      </c>
      <c r="E190" s="5" t="s">
        <v>643</v>
      </c>
      <c r="F190" s="28" t="n">
        <f aca="false">IF(E190="","",IF(E190="DRINKS",0.21,0.11))</f>
        <v>0.11</v>
      </c>
      <c r="G190" s="29" t="n">
        <f aca="false">IF(B190="","",SUMIF(RETETAR!A:A,B190,RETETAR!F:F))</f>
        <v>4.42705</v>
      </c>
      <c r="H190" s="30" t="n">
        <f aca="false">IF(B190="","",SUMIF(RETETAR!A:A,B190,RETETAR!H:H))</f>
        <v>4.42705</v>
      </c>
      <c r="I190" s="31" t="n">
        <v>14</v>
      </c>
      <c r="J190" s="32" t="n">
        <f aca="false">IF(OR(I190="",F190=""),"",I190/(1+F190))</f>
        <v>12.6126126126126</v>
      </c>
      <c r="K190" s="33" t="n">
        <f aca="false">IF(OR(G190="",G190=0,J190="",J190=0),"",G190/J190)</f>
        <v>0.351001821428572</v>
      </c>
      <c r="L190" s="34" t="n">
        <f aca="false">IF(OR(H190="",H190=0,J190="",J190=0),"",H190/J190)</f>
        <v>0.351001821428572</v>
      </c>
      <c r="M190" s="35"/>
      <c r="N190" s="36" t="n">
        <v>0</v>
      </c>
      <c r="O190" s="36" t="n">
        <v>0</v>
      </c>
      <c r="P190" s="36" t="n">
        <v>0</v>
      </c>
      <c r="Q190" s="37" t="n">
        <f aca="false">IF(I190="","",I190+N(N190))</f>
        <v>14</v>
      </c>
      <c r="R190" s="37" t="n">
        <f aca="false">IF(OR(Q190="",F190=""),"",Q190/(1+F190))</f>
        <v>12.6126126126126</v>
      </c>
      <c r="S190" s="38" t="n">
        <f aca="false">IF(OR(H190="",H190=0,R190="",R190=0),"",H190/R190)</f>
        <v>0.351001821428572</v>
      </c>
      <c r="T190" s="39" t="n">
        <f aca="false">IF(I190="","",I190+N(N190+O190))</f>
        <v>14</v>
      </c>
      <c r="U190" s="39" t="n">
        <f aca="false">IF(OR(T190="",F190=""),"",T190/(1+F190))</f>
        <v>12.6126126126126</v>
      </c>
      <c r="V190" s="40" t="n">
        <f aca="false">IF(OR(H190="",H190=0,U190="",U190=0),"",H190/U190)</f>
        <v>0.351001821428572</v>
      </c>
      <c r="W190" s="41" t="n">
        <f aca="false">IF(I190="","",I190+N(N190+O190+P190))</f>
        <v>14</v>
      </c>
      <c r="X190" s="41" t="n">
        <f aca="false">IF(OR(W190="",F190=""),"",W190/(1+F190))</f>
        <v>12.6126126126126</v>
      </c>
      <c r="Y190" s="42" t="n">
        <f aca="false">IF(OR(H190="",H190=0,X190="",X190=0),"",H190/X190)</f>
        <v>0.351001821428572</v>
      </c>
    </row>
    <row r="191" customFormat="false" ht="15" hidden="false" customHeight="true" outlineLevel="0" collapsed="false">
      <c r="A191" s="5" t="s">
        <v>809</v>
      </c>
      <c r="B191" s="5" t="s">
        <v>515</v>
      </c>
      <c r="C191" s="5" t="s">
        <v>485</v>
      </c>
      <c r="D191" s="5" t="s">
        <v>645</v>
      </c>
      <c r="E191" s="5" t="s">
        <v>643</v>
      </c>
      <c r="F191" s="28" t="n">
        <f aca="false">IF(E191="","",IF(E191="DRINKS",0.21,0.11))</f>
        <v>0.11</v>
      </c>
      <c r="G191" s="29" t="n">
        <f aca="false">IF(B191="","",SUMIF(RETETAR!A:A,B191,RETETAR!F:F))</f>
        <v>4.42705</v>
      </c>
      <c r="H191" s="30" t="n">
        <f aca="false">IF(B191="","",SUMIF(RETETAR!A:A,B191,RETETAR!H:H))</f>
        <v>4.42705</v>
      </c>
      <c r="I191" s="31" t="n">
        <v>16</v>
      </c>
      <c r="J191" s="32" t="n">
        <f aca="false">IF(OR(I191="",F191=""),"",I191/(1+F191))</f>
        <v>14.4144144144144</v>
      </c>
      <c r="K191" s="33" t="n">
        <f aca="false">IF(OR(G191="",G191=0,J191="",J191=0),"",G191/J191)</f>
        <v>0.30712659375</v>
      </c>
      <c r="L191" s="34" t="n">
        <f aca="false">IF(OR(H191="",H191=0,J191="",J191=0),"",H191/J191)</f>
        <v>0.30712659375</v>
      </c>
      <c r="M191" s="35"/>
      <c r="N191" s="36" t="n">
        <v>0</v>
      </c>
      <c r="O191" s="36" t="n">
        <v>0</v>
      </c>
      <c r="P191" s="36" t="n">
        <v>0</v>
      </c>
      <c r="Q191" s="37" t="n">
        <f aca="false">IF(I191="","",I191+N(N191))</f>
        <v>16</v>
      </c>
      <c r="R191" s="37" t="n">
        <f aca="false">IF(OR(Q191="",F191=""),"",Q191/(1+F191))</f>
        <v>14.4144144144144</v>
      </c>
      <c r="S191" s="38" t="n">
        <f aca="false">IF(OR(H191="",H191=0,R191="",R191=0),"",H191/R191)</f>
        <v>0.30712659375</v>
      </c>
      <c r="T191" s="39" t="n">
        <f aca="false">IF(I191="","",I191+N(N191+O191))</f>
        <v>16</v>
      </c>
      <c r="U191" s="39" t="n">
        <f aca="false">IF(OR(T191="",F191=""),"",T191/(1+F191))</f>
        <v>14.4144144144144</v>
      </c>
      <c r="V191" s="40" t="n">
        <f aca="false">IF(OR(H191="",H191=0,U191="",U191=0),"",H191/U191)</f>
        <v>0.30712659375</v>
      </c>
      <c r="W191" s="41" t="n">
        <f aca="false">IF(I191="","",I191+N(N191+O191+P191))</f>
        <v>16</v>
      </c>
      <c r="X191" s="41" t="n">
        <f aca="false">IF(OR(W191="",F191=""),"",W191/(1+F191))</f>
        <v>14.4144144144144</v>
      </c>
      <c r="Y191" s="42" t="n">
        <f aca="false">IF(OR(H191="",H191=0,X191="",X191=0),"",H191/X191)</f>
        <v>0.30712659375</v>
      </c>
    </row>
    <row r="192" customFormat="false" ht="15" hidden="false" customHeight="true" outlineLevel="0" collapsed="false">
      <c r="A192" s="5" t="s">
        <v>810</v>
      </c>
      <c r="B192" s="5" t="s">
        <v>516</v>
      </c>
      <c r="C192" s="5" t="s">
        <v>485</v>
      </c>
      <c r="D192" s="5" t="s">
        <v>642</v>
      </c>
      <c r="E192" s="5" t="s">
        <v>643</v>
      </c>
      <c r="F192" s="28" t="n">
        <f aca="false">IF(E192="","",IF(E192="DRINKS",0.21,0.11))</f>
        <v>0.11</v>
      </c>
      <c r="G192" s="29" t="n">
        <f aca="false">IF(B192="","",SUMIF(RETETAR!A:A,B192,RETETAR!F:F))</f>
        <v>6.725</v>
      </c>
      <c r="H192" s="30" t="n">
        <f aca="false">IF(B192="","",SUMIF(RETETAR!A:A,B192,RETETAR!H:H))</f>
        <v>6.725</v>
      </c>
      <c r="I192" s="31" t="n">
        <v>14</v>
      </c>
      <c r="J192" s="32" t="n">
        <f aca="false">IF(OR(I192="",F192=""),"",I192/(1+F192))</f>
        <v>12.6126126126126</v>
      </c>
      <c r="K192" s="33" t="n">
        <f aca="false">IF(OR(G192="",G192=0,J192="",J192=0),"",G192/J192)</f>
        <v>0.533196428571429</v>
      </c>
      <c r="L192" s="34" t="n">
        <f aca="false">IF(OR(H192="",H192=0,J192="",J192=0),"",H192/J192)</f>
        <v>0.533196428571429</v>
      </c>
      <c r="M192" s="35"/>
      <c r="N192" s="36" t="n">
        <v>0</v>
      </c>
      <c r="O192" s="36" t="n">
        <v>0</v>
      </c>
      <c r="P192" s="36" t="n">
        <v>0</v>
      </c>
      <c r="Q192" s="37" t="n">
        <f aca="false">IF(I192="","",I192+N(N192))</f>
        <v>14</v>
      </c>
      <c r="R192" s="37" t="n">
        <f aca="false">IF(OR(Q192="",F192=""),"",Q192/(1+F192))</f>
        <v>12.6126126126126</v>
      </c>
      <c r="S192" s="38" t="n">
        <f aca="false">IF(OR(H192="",H192=0,R192="",R192=0),"",H192/R192)</f>
        <v>0.533196428571429</v>
      </c>
      <c r="T192" s="39" t="n">
        <f aca="false">IF(I192="","",I192+N(N192+O192))</f>
        <v>14</v>
      </c>
      <c r="U192" s="39" t="n">
        <f aca="false">IF(OR(T192="",F192=""),"",T192/(1+F192))</f>
        <v>12.6126126126126</v>
      </c>
      <c r="V192" s="40" t="n">
        <f aca="false">IF(OR(H192="",H192=0,U192="",U192=0),"",H192/U192)</f>
        <v>0.533196428571429</v>
      </c>
      <c r="W192" s="41" t="n">
        <f aca="false">IF(I192="","",I192+N(N192+O192+P192))</f>
        <v>14</v>
      </c>
      <c r="X192" s="41" t="n">
        <f aca="false">IF(OR(W192="",F192=""),"",W192/(1+F192))</f>
        <v>12.6126126126126</v>
      </c>
      <c r="Y192" s="42" t="n">
        <f aca="false">IF(OR(H192="",H192=0,X192="",X192=0),"",H192/X192)</f>
        <v>0.533196428571429</v>
      </c>
    </row>
    <row r="193" customFormat="false" ht="15" hidden="false" customHeight="true" outlineLevel="0" collapsed="false">
      <c r="A193" s="5" t="s">
        <v>516</v>
      </c>
      <c r="B193" s="5" t="s">
        <v>516</v>
      </c>
      <c r="C193" s="5" t="s">
        <v>485</v>
      </c>
      <c r="D193" s="5" t="s">
        <v>645</v>
      </c>
      <c r="E193" s="5" t="s">
        <v>643</v>
      </c>
      <c r="F193" s="28" t="n">
        <f aca="false">IF(E193="","",IF(E193="DRINKS",0.21,0.11))</f>
        <v>0.11</v>
      </c>
      <c r="G193" s="29" t="n">
        <f aca="false">IF(B193="","",SUMIF(RETETAR!A:A,B193,RETETAR!F:F))</f>
        <v>6.725</v>
      </c>
      <c r="H193" s="30" t="n">
        <f aca="false">IF(B193="","",SUMIF(RETETAR!A:A,B193,RETETAR!H:H))</f>
        <v>6.725</v>
      </c>
      <c r="I193" s="31" t="n">
        <v>16</v>
      </c>
      <c r="J193" s="32" t="n">
        <f aca="false">IF(OR(I193="",F193=""),"",I193/(1+F193))</f>
        <v>14.4144144144144</v>
      </c>
      <c r="K193" s="33" t="n">
        <f aca="false">IF(OR(G193="",G193=0,J193="",J193=0),"",G193/J193)</f>
        <v>0.466546875</v>
      </c>
      <c r="L193" s="34" t="n">
        <f aca="false">IF(OR(H193="",H193=0,J193="",J193=0),"",H193/J193)</f>
        <v>0.466546875</v>
      </c>
      <c r="M193" s="35"/>
      <c r="N193" s="36" t="n">
        <v>0</v>
      </c>
      <c r="O193" s="36" t="n">
        <v>0</v>
      </c>
      <c r="P193" s="36" t="n">
        <v>0</v>
      </c>
      <c r="Q193" s="37" t="n">
        <f aca="false">IF(I193="","",I193+N(N193))</f>
        <v>16</v>
      </c>
      <c r="R193" s="37" t="n">
        <f aca="false">IF(OR(Q193="",F193=""),"",Q193/(1+F193))</f>
        <v>14.4144144144144</v>
      </c>
      <c r="S193" s="38" t="n">
        <f aca="false">IF(OR(H193="",H193=0,R193="",R193=0),"",H193/R193)</f>
        <v>0.466546875</v>
      </c>
      <c r="T193" s="39" t="n">
        <f aca="false">IF(I193="","",I193+N(N193+O193))</f>
        <v>16</v>
      </c>
      <c r="U193" s="39" t="n">
        <f aca="false">IF(OR(T193="",F193=""),"",T193/(1+F193))</f>
        <v>14.4144144144144</v>
      </c>
      <c r="V193" s="40" t="n">
        <f aca="false">IF(OR(H193="",H193=0,U193="",U193=0),"",H193/U193)</f>
        <v>0.466546875</v>
      </c>
      <c r="W193" s="41" t="n">
        <f aca="false">IF(I193="","",I193+N(N193+O193+P193))</f>
        <v>16</v>
      </c>
      <c r="X193" s="41" t="n">
        <f aca="false">IF(OR(W193="",F193=""),"",W193/(1+F193))</f>
        <v>14.4144144144144</v>
      </c>
      <c r="Y193" s="42" t="n">
        <f aca="false">IF(OR(H193="",H193=0,X193="",X193=0),"",H193/X193)</f>
        <v>0.466546875</v>
      </c>
    </row>
    <row r="194" customFormat="false" ht="15" hidden="false" customHeight="true" outlineLevel="0" collapsed="false">
      <c r="A194" s="5" t="s">
        <v>517</v>
      </c>
      <c r="B194" s="5" t="s">
        <v>517</v>
      </c>
      <c r="C194" s="5" t="s">
        <v>485</v>
      </c>
      <c r="D194" s="5" t="s">
        <v>642</v>
      </c>
      <c r="E194" s="5" t="s">
        <v>643</v>
      </c>
      <c r="F194" s="28" t="n">
        <f aca="false">IF(E194="","",IF(E194="DRINKS",0.21,0.11))</f>
        <v>0.11</v>
      </c>
      <c r="G194" s="29" t="n">
        <f aca="false">IF(B194="","",SUMIF(RETETAR!A:A,B194,RETETAR!F:F))</f>
        <v>3.8682</v>
      </c>
      <c r="H194" s="30" t="n">
        <f aca="false">IF(B194="","",SUMIF(RETETAR!A:A,B194,RETETAR!H:H))</f>
        <v>3.8682</v>
      </c>
      <c r="I194" s="31" t="n">
        <v>14</v>
      </c>
      <c r="J194" s="32" t="n">
        <f aca="false">IF(OR(I194="",F194=""),"",I194/(1+F194))</f>
        <v>12.6126126126126</v>
      </c>
      <c r="K194" s="33" t="n">
        <f aca="false">IF(OR(G194="",G194=0,J194="",J194=0),"",G194/J194)</f>
        <v>0.306693</v>
      </c>
      <c r="L194" s="34" t="n">
        <f aca="false">IF(OR(H194="",H194=0,J194="",J194=0),"",H194/J194)</f>
        <v>0.306693</v>
      </c>
      <c r="M194" s="35"/>
      <c r="N194" s="36" t="n">
        <v>0</v>
      </c>
      <c r="O194" s="36" t="n">
        <v>0</v>
      </c>
      <c r="P194" s="36" t="n">
        <v>0</v>
      </c>
      <c r="Q194" s="37" t="n">
        <f aca="false">IF(I194="","",I194+N(N194))</f>
        <v>14</v>
      </c>
      <c r="R194" s="37" t="n">
        <f aca="false">IF(OR(Q194="",F194=""),"",Q194/(1+F194))</f>
        <v>12.6126126126126</v>
      </c>
      <c r="S194" s="38" t="n">
        <f aca="false">IF(OR(H194="",H194=0,R194="",R194=0),"",H194/R194)</f>
        <v>0.306693</v>
      </c>
      <c r="T194" s="39" t="n">
        <f aca="false">IF(I194="","",I194+N(N194+O194))</f>
        <v>14</v>
      </c>
      <c r="U194" s="39" t="n">
        <f aca="false">IF(OR(T194="",F194=""),"",T194/(1+F194))</f>
        <v>12.6126126126126</v>
      </c>
      <c r="V194" s="40" t="n">
        <f aca="false">IF(OR(H194="",H194=0,U194="",U194=0),"",H194/U194)</f>
        <v>0.306693</v>
      </c>
      <c r="W194" s="41" t="n">
        <f aca="false">IF(I194="","",I194+N(N194+O194+P194))</f>
        <v>14</v>
      </c>
      <c r="X194" s="41" t="n">
        <f aca="false">IF(OR(W194="",F194=""),"",W194/(1+F194))</f>
        <v>12.6126126126126</v>
      </c>
      <c r="Y194" s="42" t="n">
        <f aca="false">IF(OR(H194="",H194=0,X194="",X194=0),"",H194/X194)</f>
        <v>0.306693</v>
      </c>
    </row>
    <row r="195" customFormat="false" ht="15" hidden="false" customHeight="true" outlineLevel="0" collapsed="false">
      <c r="A195" s="5" t="s">
        <v>518</v>
      </c>
      <c r="B195" s="5" t="s">
        <v>518</v>
      </c>
      <c r="C195" s="5" t="s">
        <v>485</v>
      </c>
      <c r="D195" s="5" t="s">
        <v>645</v>
      </c>
      <c r="E195" s="5" t="s">
        <v>643</v>
      </c>
      <c r="F195" s="28" t="n">
        <f aca="false">IF(E195="","",IF(E195="DRINKS",0.21,0.11))</f>
        <v>0.11</v>
      </c>
      <c r="G195" s="29" t="n">
        <f aca="false">IF(B195="","",SUMIF(RETETAR!A:A,B195,RETETAR!F:F))</f>
        <v>5.9692</v>
      </c>
      <c r="H195" s="30" t="n">
        <f aca="false">IF(B195="","",SUMIF(RETETAR!A:A,B195,RETETAR!H:H))</f>
        <v>5.9692</v>
      </c>
      <c r="I195" s="31" t="n">
        <v>16</v>
      </c>
      <c r="J195" s="32" t="n">
        <f aca="false">IF(OR(I195="",F195=""),"",I195/(1+F195))</f>
        <v>14.4144144144144</v>
      </c>
      <c r="K195" s="33" t="n">
        <f aca="false">IF(OR(G195="",G195=0,J195="",J195=0),"",G195/J195)</f>
        <v>0.41411325</v>
      </c>
      <c r="L195" s="34" t="n">
        <f aca="false">IF(OR(H195="",H195=0,J195="",J195=0),"",H195/J195)</f>
        <v>0.41411325</v>
      </c>
      <c r="M195" s="35"/>
      <c r="N195" s="36" t="n">
        <v>0</v>
      </c>
      <c r="O195" s="36" t="n">
        <v>0</v>
      </c>
      <c r="P195" s="36" t="n">
        <v>0</v>
      </c>
      <c r="Q195" s="37" t="n">
        <f aca="false">IF(I195="","",I195+N(N195))</f>
        <v>16</v>
      </c>
      <c r="R195" s="37" t="n">
        <f aca="false">IF(OR(Q195="",F195=""),"",Q195/(1+F195))</f>
        <v>14.4144144144144</v>
      </c>
      <c r="S195" s="38" t="n">
        <f aca="false">IF(OR(H195="",H195=0,R195="",R195=0),"",H195/R195)</f>
        <v>0.41411325</v>
      </c>
      <c r="T195" s="39" t="n">
        <f aca="false">IF(I195="","",I195+N(N195+O195))</f>
        <v>16</v>
      </c>
      <c r="U195" s="39" t="n">
        <f aca="false">IF(OR(T195="",F195=""),"",T195/(1+F195))</f>
        <v>14.4144144144144</v>
      </c>
      <c r="V195" s="40" t="n">
        <f aca="false">IF(OR(H195="",H195=0,U195="",U195=0),"",H195/U195)</f>
        <v>0.41411325</v>
      </c>
      <c r="W195" s="41" t="n">
        <f aca="false">IF(I195="","",I195+N(N195+O195+P195))</f>
        <v>16</v>
      </c>
      <c r="X195" s="41" t="n">
        <f aca="false">IF(OR(W195="",F195=""),"",W195/(1+F195))</f>
        <v>14.4144144144144</v>
      </c>
      <c r="Y195" s="42" t="n">
        <f aca="false">IF(OR(H195="",H195=0,X195="",X195=0),"",H195/X195)</f>
        <v>0.41411325</v>
      </c>
    </row>
    <row r="196" customFormat="false" ht="15" hidden="false" customHeight="true" outlineLevel="0" collapsed="false">
      <c r="A196" s="5" t="s">
        <v>811</v>
      </c>
      <c r="B196" s="5" t="s">
        <v>519</v>
      </c>
      <c r="C196" s="5" t="s">
        <v>485</v>
      </c>
      <c r="D196" s="5" t="s">
        <v>645</v>
      </c>
      <c r="E196" s="5" t="s">
        <v>643</v>
      </c>
      <c r="F196" s="28" t="n">
        <f aca="false">IF(E196="","",IF(E196="DRINKS",0.21,0.11))</f>
        <v>0.11</v>
      </c>
      <c r="G196" s="29" t="n">
        <f aca="false">IF(B196="","",SUMIF(RETETAR!A:A,B196,RETETAR!F:F))</f>
        <v>5.216</v>
      </c>
      <c r="H196" s="30" t="n">
        <f aca="false">IF(B196="","",SUMIF(RETETAR!A:A,B196,RETETAR!H:H))</f>
        <v>5.216</v>
      </c>
      <c r="I196" s="31" t="n">
        <v>16</v>
      </c>
      <c r="J196" s="32" t="n">
        <f aca="false">IF(OR(I196="",F196=""),"",I196/(1+F196))</f>
        <v>14.4144144144144</v>
      </c>
      <c r="K196" s="33" t="n">
        <f aca="false">IF(OR(G196="",G196=0,J196="",J196=0),"",G196/J196)</f>
        <v>0.36186</v>
      </c>
      <c r="L196" s="34" t="n">
        <f aca="false">IF(OR(H196="",H196=0,J196="",J196=0),"",H196/J196)</f>
        <v>0.36186</v>
      </c>
      <c r="M196" s="35"/>
      <c r="N196" s="36" t="n">
        <v>0</v>
      </c>
      <c r="O196" s="36" t="n">
        <v>0</v>
      </c>
      <c r="P196" s="36" t="n">
        <v>0</v>
      </c>
      <c r="Q196" s="37" t="n">
        <f aca="false">IF(I196="","",I196+N(N196))</f>
        <v>16</v>
      </c>
      <c r="R196" s="37" t="n">
        <f aca="false">IF(OR(Q196="",F196=""),"",Q196/(1+F196))</f>
        <v>14.4144144144144</v>
      </c>
      <c r="S196" s="38" t="n">
        <f aca="false">IF(OR(H196="",H196=0,R196="",R196=0),"",H196/R196)</f>
        <v>0.36186</v>
      </c>
      <c r="T196" s="39" t="n">
        <f aca="false">IF(I196="","",I196+N(N196+O196))</f>
        <v>16</v>
      </c>
      <c r="U196" s="39" t="n">
        <f aca="false">IF(OR(T196="",F196=""),"",T196/(1+F196))</f>
        <v>14.4144144144144</v>
      </c>
      <c r="V196" s="40" t="n">
        <f aca="false">IF(OR(H196="",H196=0,U196="",U196=0),"",H196/U196)</f>
        <v>0.36186</v>
      </c>
      <c r="W196" s="41" t="n">
        <f aca="false">IF(I196="","",I196+N(N196+O196+P196))</f>
        <v>16</v>
      </c>
      <c r="X196" s="41" t="n">
        <f aca="false">IF(OR(W196="",F196=""),"",W196/(1+F196))</f>
        <v>14.4144144144144</v>
      </c>
      <c r="Y196" s="42" t="n">
        <f aca="false">IF(OR(H196="",H196=0,X196="",X196=0),"",H196/X196)</f>
        <v>0.36186</v>
      </c>
    </row>
    <row r="197" customFormat="false" ht="15" hidden="false" customHeight="true" outlineLevel="0" collapsed="false">
      <c r="A197" s="5" t="s">
        <v>812</v>
      </c>
      <c r="B197" s="5" t="s">
        <v>520</v>
      </c>
      <c r="C197" s="5" t="s">
        <v>485</v>
      </c>
      <c r="D197" s="5" t="s">
        <v>645</v>
      </c>
      <c r="E197" s="5" t="s">
        <v>643</v>
      </c>
      <c r="F197" s="28" t="n">
        <f aca="false">IF(E197="","",IF(E197="DRINKS",0.21,0.11))</f>
        <v>0.11</v>
      </c>
      <c r="G197" s="29" t="n">
        <f aca="false">IF(B197="","",SUMIF(RETETAR!A:A,B197,RETETAR!F:F))</f>
        <v>5.216</v>
      </c>
      <c r="H197" s="30" t="n">
        <f aca="false">IF(B197="","",SUMIF(RETETAR!A:A,B197,RETETAR!H:H))</f>
        <v>5.216</v>
      </c>
      <c r="I197" s="31" t="n">
        <v>16</v>
      </c>
      <c r="J197" s="32" t="n">
        <f aca="false">IF(OR(I197="",F197=""),"",I197/(1+F197))</f>
        <v>14.4144144144144</v>
      </c>
      <c r="K197" s="33" t="n">
        <f aca="false">IF(OR(G197="",G197=0,J197="",J197=0),"",G197/J197)</f>
        <v>0.36186</v>
      </c>
      <c r="L197" s="34" t="n">
        <f aca="false">IF(OR(H197="",H197=0,J197="",J197=0),"",H197/J197)</f>
        <v>0.36186</v>
      </c>
      <c r="M197" s="35"/>
      <c r="N197" s="36" t="n">
        <v>0</v>
      </c>
      <c r="O197" s="36" t="n">
        <v>0</v>
      </c>
      <c r="P197" s="36" t="n">
        <v>0</v>
      </c>
      <c r="Q197" s="37" t="n">
        <f aca="false">IF(I197="","",I197+N(N197))</f>
        <v>16</v>
      </c>
      <c r="R197" s="37" t="n">
        <f aca="false">IF(OR(Q197="",F197=""),"",Q197/(1+F197))</f>
        <v>14.4144144144144</v>
      </c>
      <c r="S197" s="38" t="n">
        <f aca="false">IF(OR(H197="",H197=0,R197="",R197=0),"",H197/R197)</f>
        <v>0.36186</v>
      </c>
      <c r="T197" s="39" t="n">
        <f aca="false">IF(I197="","",I197+N(N197+O197))</f>
        <v>16</v>
      </c>
      <c r="U197" s="39" t="n">
        <f aca="false">IF(OR(T197="",F197=""),"",T197/(1+F197))</f>
        <v>14.4144144144144</v>
      </c>
      <c r="V197" s="40" t="n">
        <f aca="false">IF(OR(H197="",H197=0,U197="",U197=0),"",H197/U197)</f>
        <v>0.36186</v>
      </c>
      <c r="W197" s="41" t="n">
        <f aca="false">IF(I197="","",I197+N(N197+O197+P197))</f>
        <v>16</v>
      </c>
      <c r="X197" s="41" t="n">
        <f aca="false">IF(OR(W197="",F197=""),"",W197/(1+F197))</f>
        <v>14.4144144144144</v>
      </c>
      <c r="Y197" s="42" t="n">
        <f aca="false">IF(OR(H197="",H197=0,X197="",X197=0),"",H197/X197)</f>
        <v>0.36186</v>
      </c>
    </row>
    <row r="198" customFormat="false" ht="15" hidden="false" customHeight="true" outlineLevel="0" collapsed="false">
      <c r="A198" s="5" t="s">
        <v>521</v>
      </c>
      <c r="B198" s="5" t="s">
        <v>521</v>
      </c>
      <c r="C198" s="5" t="s">
        <v>485</v>
      </c>
      <c r="D198" s="5" t="s">
        <v>642</v>
      </c>
      <c r="E198" s="5" t="s">
        <v>643</v>
      </c>
      <c r="F198" s="28" t="n">
        <f aca="false">IF(E198="","",IF(E198="DRINKS",0.21,0.11))</f>
        <v>0.11</v>
      </c>
      <c r="G198" s="29" t="n">
        <f aca="false">IF(B198="","",SUMIF(RETETAR!A:A,B198,RETETAR!F:F))</f>
        <v>5.1634</v>
      </c>
      <c r="H198" s="30" t="n">
        <f aca="false">IF(B198="","",SUMIF(RETETAR!A:A,B198,RETETAR!H:H))</f>
        <v>5.1634</v>
      </c>
      <c r="I198" s="31" t="n">
        <v>19.9</v>
      </c>
      <c r="J198" s="32" t="n">
        <f aca="false">IF(OR(I198="",F198=""),"",I198/(1+F198))</f>
        <v>17.9279279279279</v>
      </c>
      <c r="K198" s="33" t="n">
        <f aca="false">IF(OR(G198="",G198=0,J198="",J198=0),"",G198/J198)</f>
        <v>0.288008743718593</v>
      </c>
      <c r="L198" s="34" t="n">
        <f aca="false">IF(OR(H198="",H198=0,J198="",J198=0),"",H198/J198)</f>
        <v>0.288008743718593</v>
      </c>
      <c r="M198" s="35"/>
      <c r="N198" s="36" t="n">
        <v>0</v>
      </c>
      <c r="O198" s="36" t="n">
        <v>0</v>
      </c>
      <c r="P198" s="36" t="n">
        <v>0</v>
      </c>
      <c r="Q198" s="37" t="n">
        <f aca="false">IF(I198="","",I198+N(N198))</f>
        <v>19.9</v>
      </c>
      <c r="R198" s="37" t="n">
        <f aca="false">IF(OR(Q198="",F198=""),"",Q198/(1+F198))</f>
        <v>17.9279279279279</v>
      </c>
      <c r="S198" s="38" t="n">
        <f aca="false">IF(OR(H198="",H198=0,R198="",R198=0),"",H198/R198)</f>
        <v>0.288008743718593</v>
      </c>
      <c r="T198" s="39" t="n">
        <f aca="false">IF(I198="","",I198+N(N198+O198))</f>
        <v>19.9</v>
      </c>
      <c r="U198" s="39" t="n">
        <f aca="false">IF(OR(T198="",F198=""),"",T198/(1+F198))</f>
        <v>17.9279279279279</v>
      </c>
      <c r="V198" s="40" t="n">
        <f aca="false">IF(OR(H198="",H198=0,U198="",U198=0),"",H198/U198)</f>
        <v>0.288008743718593</v>
      </c>
      <c r="W198" s="41" t="n">
        <f aca="false">IF(I198="","",I198+N(N198+O198+P198))</f>
        <v>19.9</v>
      </c>
      <c r="X198" s="41" t="n">
        <f aca="false">IF(OR(W198="",F198=""),"",W198/(1+F198))</f>
        <v>17.9279279279279</v>
      </c>
      <c r="Y198" s="42" t="n">
        <f aca="false">IF(OR(H198="",H198=0,X198="",X198=0),"",H198/X198)</f>
        <v>0.288008743718593</v>
      </c>
    </row>
    <row r="199" customFormat="false" ht="15" hidden="false" customHeight="true" outlineLevel="0" collapsed="false">
      <c r="A199" s="5" t="s">
        <v>813</v>
      </c>
      <c r="B199" s="5" t="s">
        <v>522</v>
      </c>
      <c r="C199" s="5" t="s">
        <v>523</v>
      </c>
      <c r="D199" s="5" t="s">
        <v>642</v>
      </c>
      <c r="E199" s="5" t="s">
        <v>523</v>
      </c>
      <c r="F199" s="28" t="n">
        <f aca="false">IF(E199="","",IF(E199="DRINKS",0.21,0.11))</f>
        <v>0.21</v>
      </c>
      <c r="G199" s="29" t="n">
        <f aca="false">IF(B199="","",SUMIF(RETETAR!A:A,B199,RETETAR!F:F))</f>
        <v>2.5212004</v>
      </c>
      <c r="H199" s="30" t="n">
        <f aca="false">IF(B199="","",SUMIF(RETETAR!A:A,B199,RETETAR!H:H))</f>
        <v>2.5212004</v>
      </c>
      <c r="I199" s="31" t="n">
        <v>7</v>
      </c>
      <c r="J199" s="32" t="n">
        <f aca="false">IF(OR(I199="",F199=""),"",I199/(1+F199))</f>
        <v>5.78512396694215</v>
      </c>
      <c r="K199" s="33" t="n">
        <f aca="false">IF(OR(G199="",G199=0,J199="",J199=0),"",G199/J199)</f>
        <v>0.435807497714286</v>
      </c>
      <c r="L199" s="34" t="n">
        <f aca="false">IF(OR(H199="",H199=0,J199="",J199=0),"",H199/J199)</f>
        <v>0.435807497714286</v>
      </c>
      <c r="M199" s="35" t="s">
        <v>814</v>
      </c>
      <c r="N199" s="36" t="n">
        <v>0</v>
      </c>
      <c r="O199" s="36" t="n">
        <v>0</v>
      </c>
      <c r="P199" s="36" t="n">
        <v>0</v>
      </c>
      <c r="Q199" s="37" t="n">
        <f aca="false">IF(I199="","",I199+N(N199))</f>
        <v>7</v>
      </c>
      <c r="R199" s="37" t="n">
        <f aca="false">IF(OR(Q199="",F199=""),"",Q199/(1+F199))</f>
        <v>5.78512396694215</v>
      </c>
      <c r="S199" s="38" t="n">
        <f aca="false">IF(OR(H199="",H199=0,R199="",R199=0),"",H199/R199)</f>
        <v>0.435807497714286</v>
      </c>
      <c r="T199" s="39" t="n">
        <f aca="false">IF(I199="","",I199+N(N199+O199))</f>
        <v>7</v>
      </c>
      <c r="U199" s="39" t="n">
        <f aca="false">IF(OR(T199="",F199=""),"",T199/(1+F199))</f>
        <v>5.78512396694215</v>
      </c>
      <c r="V199" s="40" t="n">
        <f aca="false">IF(OR(H199="",H199=0,U199="",U199=0),"",H199/U199)</f>
        <v>0.435807497714286</v>
      </c>
      <c r="W199" s="41" t="n">
        <f aca="false">IF(I199="","",I199+N(N199+O199+P199))</f>
        <v>7</v>
      </c>
      <c r="X199" s="41" t="n">
        <f aca="false">IF(OR(W199="",F199=""),"",W199/(1+F199))</f>
        <v>5.78512396694215</v>
      </c>
      <c r="Y199" s="42" t="n">
        <f aca="false">IF(OR(H199="",H199=0,X199="",X199=0),"",H199/X199)</f>
        <v>0.435807497714286</v>
      </c>
    </row>
    <row r="200" customFormat="false" ht="15" hidden="false" customHeight="true" outlineLevel="0" collapsed="false">
      <c r="A200" s="5" t="s">
        <v>815</v>
      </c>
      <c r="B200" s="5" t="s">
        <v>524</v>
      </c>
      <c r="C200" s="5" t="s">
        <v>523</v>
      </c>
      <c r="D200" s="5" t="s">
        <v>642</v>
      </c>
      <c r="E200" s="5" t="s">
        <v>523</v>
      </c>
      <c r="F200" s="28" t="n">
        <f aca="false">IF(E200="","",IF(E200="DRINKS",0.21,0.11))</f>
        <v>0.21</v>
      </c>
      <c r="G200" s="29" t="n">
        <f aca="false">IF(B200="","",SUMIF(RETETAR!A:A,B200,RETETAR!F:F))</f>
        <v>4.5494008</v>
      </c>
      <c r="H200" s="30" t="n">
        <f aca="false">IF(B200="","",SUMIF(RETETAR!A:A,B200,RETETAR!H:H))</f>
        <v>4.5494008</v>
      </c>
      <c r="I200" s="31" t="n">
        <v>10</v>
      </c>
      <c r="J200" s="32" t="n">
        <f aca="false">IF(OR(I200="",F200=""),"",I200/(1+F200))</f>
        <v>8.26446280991736</v>
      </c>
      <c r="K200" s="33" t="n">
        <f aca="false">IF(OR(G200="",G200=0,J200="",J200=0),"",G200/J200)</f>
        <v>0.5504774968</v>
      </c>
      <c r="L200" s="34" t="n">
        <f aca="false">IF(OR(H200="",H200=0,J200="",J200=0),"",H200/J200)</f>
        <v>0.5504774968</v>
      </c>
      <c r="M200" s="35" t="s">
        <v>816</v>
      </c>
      <c r="N200" s="36" t="n">
        <v>0</v>
      </c>
      <c r="O200" s="36" t="n">
        <v>0</v>
      </c>
      <c r="P200" s="36" t="n">
        <v>0</v>
      </c>
      <c r="Q200" s="37" t="n">
        <f aca="false">IF(I200="","",I200+N(N200))</f>
        <v>10</v>
      </c>
      <c r="R200" s="37" t="n">
        <f aca="false">IF(OR(Q200="",F200=""),"",Q200/(1+F200))</f>
        <v>8.26446280991736</v>
      </c>
      <c r="S200" s="38" t="n">
        <f aca="false">IF(OR(H200="",H200=0,R200="",R200=0),"",H200/R200)</f>
        <v>0.5504774968</v>
      </c>
      <c r="T200" s="39" t="n">
        <f aca="false">IF(I200="","",I200+N(N200+O200))</f>
        <v>10</v>
      </c>
      <c r="U200" s="39" t="n">
        <f aca="false">IF(OR(T200="",F200=""),"",T200/(1+F200))</f>
        <v>8.26446280991736</v>
      </c>
      <c r="V200" s="40" t="n">
        <f aca="false">IF(OR(H200="",H200=0,U200="",U200=0),"",H200/U200)</f>
        <v>0.5504774968</v>
      </c>
      <c r="W200" s="41" t="n">
        <f aca="false">IF(I200="","",I200+N(N200+O200+P200))</f>
        <v>10</v>
      </c>
      <c r="X200" s="41" t="n">
        <f aca="false">IF(OR(W200="",F200=""),"",W200/(1+F200))</f>
        <v>8.26446280991736</v>
      </c>
      <c r="Y200" s="42" t="n">
        <f aca="false">IF(OR(H200="",H200=0,X200="",X200=0),"",H200/X200)</f>
        <v>0.5504774968</v>
      </c>
    </row>
    <row r="201" customFormat="false" ht="15" hidden="false" customHeight="true" outlineLevel="0" collapsed="false">
      <c r="A201" s="5" t="s">
        <v>817</v>
      </c>
      <c r="B201" s="5" t="s">
        <v>525</v>
      </c>
      <c r="C201" s="5" t="s">
        <v>523</v>
      </c>
      <c r="D201" s="5" t="s">
        <v>642</v>
      </c>
      <c r="E201" s="5" t="s">
        <v>523</v>
      </c>
      <c r="F201" s="28" t="n">
        <f aca="false">IF(E201="","",IF(E201="DRINKS",0.21,0.11))</f>
        <v>0.21</v>
      </c>
      <c r="G201" s="29" t="n">
        <f aca="false">IF(B201="","",SUMIF(RETETAR!A:A,B201,RETETAR!F:F))</f>
        <v>2.75</v>
      </c>
      <c r="H201" s="30" t="n">
        <f aca="false">IF(B201="","",SUMIF(RETETAR!A:A,B201,RETETAR!H:H))</f>
        <v>2.75</v>
      </c>
      <c r="I201" s="31" t="n">
        <v>10</v>
      </c>
      <c r="J201" s="32" t="n">
        <f aca="false">IF(OR(I201="",F201=""),"",I201/(1+F201))</f>
        <v>8.26446280991736</v>
      </c>
      <c r="K201" s="33" t="n">
        <f aca="false">IF(OR(G201="",G201=0,J201="",J201=0),"",G201/J201)</f>
        <v>0.33275</v>
      </c>
      <c r="L201" s="34" t="n">
        <f aca="false">IF(OR(H201="",H201=0,J201="",J201=0),"",H201/J201)</f>
        <v>0.33275</v>
      </c>
      <c r="M201" s="35"/>
      <c r="N201" s="36" t="n">
        <v>0</v>
      </c>
      <c r="O201" s="36" t="n">
        <v>0</v>
      </c>
      <c r="P201" s="36" t="n">
        <v>0</v>
      </c>
      <c r="Q201" s="37" t="n">
        <f aca="false">IF(I201="","",I201+N(N201))</f>
        <v>10</v>
      </c>
      <c r="R201" s="37" t="n">
        <f aca="false">IF(OR(Q201="",F201=""),"",Q201/(1+F201))</f>
        <v>8.26446280991736</v>
      </c>
      <c r="S201" s="38" t="n">
        <f aca="false">IF(OR(H201="",H201=0,R201="",R201=0),"",H201/R201)</f>
        <v>0.33275</v>
      </c>
      <c r="T201" s="39" t="n">
        <f aca="false">IF(I201="","",I201+N(N201+O201))</f>
        <v>10</v>
      </c>
      <c r="U201" s="39" t="n">
        <f aca="false">IF(OR(T201="",F201=""),"",T201/(1+F201))</f>
        <v>8.26446280991736</v>
      </c>
      <c r="V201" s="40" t="n">
        <f aca="false">IF(OR(H201="",H201=0,U201="",U201=0),"",H201/U201)</f>
        <v>0.33275</v>
      </c>
      <c r="W201" s="41" t="n">
        <f aca="false">IF(I201="","",I201+N(N201+O201+P201))</f>
        <v>10</v>
      </c>
      <c r="X201" s="41" t="n">
        <f aca="false">IF(OR(W201="",F201=""),"",W201/(1+F201))</f>
        <v>8.26446280991736</v>
      </c>
      <c r="Y201" s="42" t="n">
        <f aca="false">IF(OR(H201="",H201=0,X201="",X201=0),"",H201/X201)</f>
        <v>0.33275</v>
      </c>
    </row>
    <row r="202" customFormat="false" ht="15" hidden="false" customHeight="true" outlineLevel="0" collapsed="false">
      <c r="A202" s="5" t="s">
        <v>818</v>
      </c>
      <c r="B202" s="5" t="s">
        <v>526</v>
      </c>
      <c r="C202" s="5" t="s">
        <v>523</v>
      </c>
      <c r="D202" s="5" t="s">
        <v>645</v>
      </c>
      <c r="E202" s="5" t="s">
        <v>523</v>
      </c>
      <c r="F202" s="28" t="n">
        <f aca="false">IF(E202="","",IF(E202="DRINKS",0.21,0.11))</f>
        <v>0.21</v>
      </c>
      <c r="G202" s="29" t="n">
        <f aca="false">IF(B202="","",SUMIF(RETETAR!A:A,B202,RETETAR!F:F))</f>
        <v>2.75</v>
      </c>
      <c r="H202" s="30" t="n">
        <f aca="false">IF(B202="","",SUMIF(RETETAR!A:A,B202,RETETAR!H:H))</f>
        <v>2.75</v>
      </c>
      <c r="I202" s="31" t="n">
        <v>11</v>
      </c>
      <c r="J202" s="32" t="n">
        <f aca="false">IF(OR(I202="",F202=""),"",I202/(1+F202))</f>
        <v>9.09090909090909</v>
      </c>
      <c r="K202" s="33" t="n">
        <f aca="false">IF(OR(G202="",G202=0,J202="",J202=0),"",G202/J202)</f>
        <v>0.3025</v>
      </c>
      <c r="L202" s="34" t="n">
        <f aca="false">IF(OR(H202="",H202=0,J202="",J202=0),"",H202/J202)</f>
        <v>0.3025</v>
      </c>
      <c r="M202" s="35"/>
      <c r="N202" s="36" t="n">
        <v>0</v>
      </c>
      <c r="O202" s="36" t="n">
        <v>0</v>
      </c>
      <c r="P202" s="36" t="n">
        <v>0</v>
      </c>
      <c r="Q202" s="37" t="n">
        <f aca="false">IF(I202="","",I202+N(N202))</f>
        <v>11</v>
      </c>
      <c r="R202" s="37" t="n">
        <f aca="false">IF(OR(Q202="",F202=""),"",Q202/(1+F202))</f>
        <v>9.09090909090909</v>
      </c>
      <c r="S202" s="38" t="n">
        <f aca="false">IF(OR(H202="",H202=0,R202="",R202=0),"",H202/R202)</f>
        <v>0.3025</v>
      </c>
      <c r="T202" s="39" t="n">
        <f aca="false">IF(I202="","",I202+N(N202+O202))</f>
        <v>11</v>
      </c>
      <c r="U202" s="39" t="n">
        <f aca="false">IF(OR(T202="",F202=""),"",T202/(1+F202))</f>
        <v>9.09090909090909</v>
      </c>
      <c r="V202" s="40" t="n">
        <f aca="false">IF(OR(H202="",H202=0,U202="",U202=0),"",H202/U202)</f>
        <v>0.3025</v>
      </c>
      <c r="W202" s="41" t="n">
        <f aca="false">IF(I202="","",I202+N(N202+O202+P202))</f>
        <v>11</v>
      </c>
      <c r="X202" s="41" t="n">
        <f aca="false">IF(OR(W202="",F202=""),"",W202/(1+F202))</f>
        <v>9.09090909090909</v>
      </c>
      <c r="Y202" s="42" t="n">
        <f aca="false">IF(OR(H202="",H202=0,X202="",X202=0),"",H202/X202)</f>
        <v>0.3025</v>
      </c>
    </row>
    <row r="203" customFormat="false" ht="15" hidden="false" customHeight="true" outlineLevel="0" collapsed="false">
      <c r="A203" s="5" t="s">
        <v>819</v>
      </c>
      <c r="B203" s="5" t="s">
        <v>527</v>
      </c>
      <c r="C203" s="5" t="s">
        <v>523</v>
      </c>
      <c r="D203" s="5" t="s">
        <v>642</v>
      </c>
      <c r="E203" s="5" t="s">
        <v>523</v>
      </c>
      <c r="F203" s="28" t="n">
        <f aca="false">IF(E203="","",IF(E203="DRINKS",0.21,0.11))</f>
        <v>0.21</v>
      </c>
      <c r="G203" s="29" t="n">
        <f aca="false">IF(B203="","",SUMIF(RETETAR!A:A,B203,RETETAR!F:F))</f>
        <v>2.75</v>
      </c>
      <c r="H203" s="30" t="n">
        <f aca="false">IF(B203="","",SUMIF(RETETAR!A:A,B203,RETETAR!H:H))</f>
        <v>2.75</v>
      </c>
      <c r="I203" s="31" t="n">
        <v>10</v>
      </c>
      <c r="J203" s="32" t="n">
        <f aca="false">IF(OR(I203="",F203=""),"",I203/(1+F203))</f>
        <v>8.26446280991736</v>
      </c>
      <c r="K203" s="33" t="n">
        <f aca="false">IF(OR(G203="",G203=0,J203="",J203=0),"",G203/J203)</f>
        <v>0.33275</v>
      </c>
      <c r="L203" s="34" t="n">
        <f aca="false">IF(OR(H203="",H203=0,J203="",J203=0),"",H203/J203)</f>
        <v>0.33275</v>
      </c>
      <c r="M203" s="35"/>
      <c r="N203" s="36" t="n">
        <v>0</v>
      </c>
      <c r="O203" s="36" t="n">
        <v>0</v>
      </c>
      <c r="P203" s="36" t="n">
        <v>0</v>
      </c>
      <c r="Q203" s="37" t="n">
        <f aca="false">IF(I203="","",I203+N(N203))</f>
        <v>10</v>
      </c>
      <c r="R203" s="37" t="n">
        <f aca="false">IF(OR(Q203="",F203=""),"",Q203/(1+F203))</f>
        <v>8.26446280991736</v>
      </c>
      <c r="S203" s="38" t="n">
        <f aca="false">IF(OR(H203="",H203=0,R203="",R203=0),"",H203/R203)</f>
        <v>0.33275</v>
      </c>
      <c r="T203" s="39" t="n">
        <f aca="false">IF(I203="","",I203+N(N203+O203))</f>
        <v>10</v>
      </c>
      <c r="U203" s="39" t="n">
        <f aca="false">IF(OR(T203="",F203=""),"",T203/(1+F203))</f>
        <v>8.26446280991736</v>
      </c>
      <c r="V203" s="40" t="n">
        <f aca="false">IF(OR(H203="",H203=0,U203="",U203=0),"",H203/U203)</f>
        <v>0.33275</v>
      </c>
      <c r="W203" s="41" t="n">
        <f aca="false">IF(I203="","",I203+N(N203+O203+P203))</f>
        <v>10</v>
      </c>
      <c r="X203" s="41" t="n">
        <f aca="false">IF(OR(W203="",F203=""),"",W203/(1+F203))</f>
        <v>8.26446280991736</v>
      </c>
      <c r="Y203" s="42" t="n">
        <f aca="false">IF(OR(H203="",H203=0,X203="",X203=0),"",H203/X203)</f>
        <v>0.33275</v>
      </c>
    </row>
    <row r="204" customFormat="false" ht="15" hidden="false" customHeight="true" outlineLevel="0" collapsed="false">
      <c r="A204" s="5" t="s">
        <v>820</v>
      </c>
      <c r="B204" s="5" t="s">
        <v>528</v>
      </c>
      <c r="C204" s="5" t="s">
        <v>523</v>
      </c>
      <c r="D204" s="5" t="s">
        <v>645</v>
      </c>
      <c r="E204" s="5" t="s">
        <v>523</v>
      </c>
      <c r="F204" s="28" t="n">
        <f aca="false">IF(E204="","",IF(E204="DRINKS",0.21,0.11))</f>
        <v>0.21</v>
      </c>
      <c r="G204" s="29" t="n">
        <f aca="false">IF(B204="","",SUMIF(RETETAR!A:A,B204,RETETAR!F:F))</f>
        <v>2.75</v>
      </c>
      <c r="H204" s="30" t="n">
        <f aca="false">IF(B204="","",SUMIF(RETETAR!A:A,B204,RETETAR!H:H))</f>
        <v>2.75</v>
      </c>
      <c r="I204" s="31" t="n">
        <v>11</v>
      </c>
      <c r="J204" s="32" t="n">
        <f aca="false">IF(OR(I204="",F204=""),"",I204/(1+F204))</f>
        <v>9.09090909090909</v>
      </c>
      <c r="K204" s="33" t="n">
        <f aca="false">IF(OR(G204="",G204=0,J204="",J204=0),"",G204/J204)</f>
        <v>0.3025</v>
      </c>
      <c r="L204" s="34" t="n">
        <f aca="false">IF(OR(H204="",H204=0,J204="",J204=0),"",H204/J204)</f>
        <v>0.3025</v>
      </c>
      <c r="M204" s="35"/>
      <c r="N204" s="36" t="n">
        <v>0</v>
      </c>
      <c r="O204" s="36" t="n">
        <v>0</v>
      </c>
      <c r="P204" s="36" t="n">
        <v>0</v>
      </c>
      <c r="Q204" s="37" t="n">
        <f aca="false">IF(I204="","",I204+N(N204))</f>
        <v>11</v>
      </c>
      <c r="R204" s="37" t="n">
        <f aca="false">IF(OR(Q204="",F204=""),"",Q204/(1+F204))</f>
        <v>9.09090909090909</v>
      </c>
      <c r="S204" s="38" t="n">
        <f aca="false">IF(OR(H204="",H204=0,R204="",R204=0),"",H204/R204)</f>
        <v>0.3025</v>
      </c>
      <c r="T204" s="39" t="n">
        <f aca="false">IF(I204="","",I204+N(N204+O204))</f>
        <v>11</v>
      </c>
      <c r="U204" s="39" t="n">
        <f aca="false">IF(OR(T204="",F204=""),"",T204/(1+F204))</f>
        <v>9.09090909090909</v>
      </c>
      <c r="V204" s="40" t="n">
        <f aca="false">IF(OR(H204="",H204=0,U204="",U204=0),"",H204/U204)</f>
        <v>0.3025</v>
      </c>
      <c r="W204" s="41" t="n">
        <f aca="false">IF(I204="","",I204+N(N204+O204+P204))</f>
        <v>11</v>
      </c>
      <c r="X204" s="41" t="n">
        <f aca="false">IF(OR(W204="",F204=""),"",W204/(1+F204))</f>
        <v>9.09090909090909</v>
      </c>
      <c r="Y204" s="42" t="n">
        <f aca="false">IF(OR(H204="",H204=0,X204="",X204=0),"",H204/X204)</f>
        <v>0.3025</v>
      </c>
    </row>
    <row r="205" customFormat="false" ht="15" hidden="false" customHeight="true" outlineLevel="0" collapsed="false">
      <c r="A205" s="5" t="s">
        <v>821</v>
      </c>
      <c r="B205" s="5" t="s">
        <v>529</v>
      </c>
      <c r="C205" s="5" t="s">
        <v>523</v>
      </c>
      <c r="D205" s="5" t="s">
        <v>642</v>
      </c>
      <c r="E205" s="5" t="s">
        <v>523</v>
      </c>
      <c r="F205" s="28" t="n">
        <f aca="false">IF(E205="","",IF(E205="DRINKS",0.21,0.11))</f>
        <v>0.21</v>
      </c>
      <c r="G205" s="29" t="n">
        <f aca="false">IF(B205="","",SUMIF(RETETAR!A:A,B205,RETETAR!F:F))</f>
        <v>4.17</v>
      </c>
      <c r="H205" s="30" t="n">
        <f aca="false">IF(B205="","",SUMIF(RETETAR!A:A,B205,RETETAR!H:H))</f>
        <v>4.17</v>
      </c>
      <c r="I205" s="31" t="n">
        <v>10</v>
      </c>
      <c r="J205" s="32" t="n">
        <f aca="false">IF(OR(I205="",F205=""),"",I205/(1+F205))</f>
        <v>8.26446280991736</v>
      </c>
      <c r="K205" s="33" t="n">
        <f aca="false">IF(OR(G205="",G205=0,J205="",J205=0),"",G205/J205)</f>
        <v>0.50457</v>
      </c>
      <c r="L205" s="34" t="n">
        <f aca="false">IF(OR(H205="",H205=0,J205="",J205=0),"",H205/J205)</f>
        <v>0.50457</v>
      </c>
      <c r="M205" s="35" t="s">
        <v>822</v>
      </c>
      <c r="N205" s="36" t="n">
        <v>0</v>
      </c>
      <c r="O205" s="36" t="n">
        <v>0</v>
      </c>
      <c r="P205" s="36" t="n">
        <v>0</v>
      </c>
      <c r="Q205" s="37" t="n">
        <f aca="false">IF(I205="","",I205+N(N205))</f>
        <v>10</v>
      </c>
      <c r="R205" s="37" t="n">
        <f aca="false">IF(OR(Q205="",F205=""),"",Q205/(1+F205))</f>
        <v>8.26446280991736</v>
      </c>
      <c r="S205" s="38" t="n">
        <f aca="false">IF(OR(H205="",H205=0,R205="",R205=0),"",H205/R205)</f>
        <v>0.50457</v>
      </c>
      <c r="T205" s="39" t="n">
        <f aca="false">IF(I205="","",I205+N(N205+O205))</f>
        <v>10</v>
      </c>
      <c r="U205" s="39" t="n">
        <f aca="false">IF(OR(T205="",F205=""),"",T205/(1+F205))</f>
        <v>8.26446280991736</v>
      </c>
      <c r="V205" s="40" t="n">
        <f aca="false">IF(OR(H205="",H205=0,U205="",U205=0),"",H205/U205)</f>
        <v>0.50457</v>
      </c>
      <c r="W205" s="41" t="n">
        <f aca="false">IF(I205="","",I205+N(N205+O205+P205))</f>
        <v>10</v>
      </c>
      <c r="X205" s="41" t="n">
        <f aca="false">IF(OR(W205="",F205=""),"",W205/(1+F205))</f>
        <v>8.26446280991736</v>
      </c>
      <c r="Y205" s="42" t="n">
        <f aca="false">IF(OR(H205="",H205=0,X205="",X205=0),"",H205/X205)</f>
        <v>0.50457</v>
      </c>
    </row>
    <row r="206" customFormat="false" ht="15" hidden="false" customHeight="true" outlineLevel="0" collapsed="false">
      <c r="A206" s="5" t="s">
        <v>823</v>
      </c>
      <c r="B206" s="5" t="s">
        <v>530</v>
      </c>
      <c r="C206" s="5" t="s">
        <v>523</v>
      </c>
      <c r="D206" s="5" t="s">
        <v>645</v>
      </c>
      <c r="E206" s="5" t="s">
        <v>523</v>
      </c>
      <c r="F206" s="28" t="n">
        <f aca="false">IF(E206="","",IF(E206="DRINKS",0.21,0.11))</f>
        <v>0.21</v>
      </c>
      <c r="G206" s="29" t="n">
        <f aca="false">IF(B206="","",SUMIF(RETETAR!A:A,B206,RETETAR!F:F))</f>
        <v>4.17</v>
      </c>
      <c r="H206" s="30" t="n">
        <f aca="false">IF(B206="","",SUMIF(RETETAR!A:A,B206,RETETAR!H:H))</f>
        <v>4.17</v>
      </c>
      <c r="I206" s="31" t="n">
        <v>12</v>
      </c>
      <c r="J206" s="32" t="n">
        <f aca="false">IF(OR(I206="",F206=""),"",I206/(1+F206))</f>
        <v>9.91735537190083</v>
      </c>
      <c r="K206" s="33" t="n">
        <f aca="false">IF(OR(G206="",G206=0,J206="",J206=0),"",G206/J206)</f>
        <v>0.420475</v>
      </c>
      <c r="L206" s="34" t="n">
        <f aca="false">IF(OR(H206="",H206=0,J206="",J206=0),"",H206/J206)</f>
        <v>0.420475</v>
      </c>
      <c r="M206" s="35"/>
      <c r="N206" s="36" t="n">
        <v>0</v>
      </c>
      <c r="O206" s="36" t="n">
        <v>0</v>
      </c>
      <c r="P206" s="36" t="n">
        <v>0</v>
      </c>
      <c r="Q206" s="37" t="n">
        <f aca="false">IF(I206="","",I206+N(N206))</f>
        <v>12</v>
      </c>
      <c r="R206" s="37" t="n">
        <f aca="false">IF(OR(Q206="",F206=""),"",Q206/(1+F206))</f>
        <v>9.91735537190083</v>
      </c>
      <c r="S206" s="38" t="n">
        <f aca="false">IF(OR(H206="",H206=0,R206="",R206=0),"",H206/R206)</f>
        <v>0.420475</v>
      </c>
      <c r="T206" s="39" t="n">
        <f aca="false">IF(I206="","",I206+N(N206+O206))</f>
        <v>12</v>
      </c>
      <c r="U206" s="39" t="n">
        <f aca="false">IF(OR(T206="",F206=""),"",T206/(1+F206))</f>
        <v>9.91735537190083</v>
      </c>
      <c r="V206" s="40" t="n">
        <f aca="false">IF(OR(H206="",H206=0,U206="",U206=0),"",H206/U206)</f>
        <v>0.420475</v>
      </c>
      <c r="W206" s="41" t="n">
        <f aca="false">IF(I206="","",I206+N(N206+O206+P206))</f>
        <v>12</v>
      </c>
      <c r="X206" s="41" t="n">
        <f aca="false">IF(OR(W206="",F206=""),"",W206/(1+F206))</f>
        <v>9.91735537190083</v>
      </c>
      <c r="Y206" s="42" t="n">
        <f aca="false">IF(OR(H206="",H206=0,X206="",X206=0),"",H206/X206)</f>
        <v>0.420475</v>
      </c>
    </row>
    <row r="207" customFormat="false" ht="15" hidden="false" customHeight="true" outlineLevel="0" collapsed="false">
      <c r="A207" s="5" t="s">
        <v>824</v>
      </c>
      <c r="B207" s="5" t="s">
        <v>531</v>
      </c>
      <c r="C207" s="5" t="s">
        <v>523</v>
      </c>
      <c r="D207" s="5" t="s">
        <v>642</v>
      </c>
      <c r="E207" s="5" t="s">
        <v>523</v>
      </c>
      <c r="F207" s="28" t="n">
        <f aca="false">IF(E207="","",IF(E207="DRINKS",0.21,0.11))</f>
        <v>0.21</v>
      </c>
      <c r="G207" s="29" t="n">
        <f aca="false">IF(B207="","",SUMIF(RETETAR!A:A,B207,RETETAR!F:F))</f>
        <v>3.64</v>
      </c>
      <c r="H207" s="30" t="n">
        <f aca="false">IF(B207="","",SUMIF(RETETAR!A:A,B207,RETETAR!H:H))</f>
        <v>3.64</v>
      </c>
      <c r="I207" s="31" t="n">
        <v>11</v>
      </c>
      <c r="J207" s="32" t="n">
        <f aca="false">IF(OR(I207="",F207=""),"",I207/(1+F207))</f>
        <v>9.09090909090909</v>
      </c>
      <c r="K207" s="33" t="n">
        <f aca="false">IF(OR(G207="",G207=0,J207="",J207=0),"",G207/J207)</f>
        <v>0.4004</v>
      </c>
      <c r="L207" s="34" t="n">
        <f aca="false">IF(OR(H207="",H207=0,J207="",J207=0),"",H207/J207)</f>
        <v>0.4004</v>
      </c>
      <c r="M207" s="35"/>
      <c r="N207" s="36" t="n">
        <v>0</v>
      </c>
      <c r="O207" s="36" t="n">
        <v>0</v>
      </c>
      <c r="P207" s="36" t="n">
        <v>0</v>
      </c>
      <c r="Q207" s="37" t="n">
        <f aca="false">IF(I207="","",I207+N(N207))</f>
        <v>11</v>
      </c>
      <c r="R207" s="37" t="n">
        <f aca="false">IF(OR(Q207="",F207=""),"",Q207/(1+F207))</f>
        <v>9.09090909090909</v>
      </c>
      <c r="S207" s="38" t="n">
        <f aca="false">IF(OR(H207="",H207=0,R207="",R207=0),"",H207/R207)</f>
        <v>0.4004</v>
      </c>
      <c r="T207" s="39" t="n">
        <f aca="false">IF(I207="","",I207+N(N207+O207))</f>
        <v>11</v>
      </c>
      <c r="U207" s="39" t="n">
        <f aca="false">IF(OR(T207="",F207=""),"",T207/(1+F207))</f>
        <v>9.09090909090909</v>
      </c>
      <c r="V207" s="40" t="n">
        <f aca="false">IF(OR(H207="",H207=0,U207="",U207=0),"",H207/U207)</f>
        <v>0.4004</v>
      </c>
      <c r="W207" s="41" t="n">
        <f aca="false">IF(I207="","",I207+N(N207+O207+P207))</f>
        <v>11</v>
      </c>
      <c r="X207" s="41" t="n">
        <f aca="false">IF(OR(W207="",F207=""),"",W207/(1+F207))</f>
        <v>9.09090909090909</v>
      </c>
      <c r="Y207" s="42" t="n">
        <f aca="false">IF(OR(H207="",H207=0,X207="",X207=0),"",H207/X207)</f>
        <v>0.4004</v>
      </c>
    </row>
    <row r="208" customFormat="false" ht="15" hidden="false" customHeight="true" outlineLevel="0" collapsed="false">
      <c r="A208" s="5" t="s">
        <v>825</v>
      </c>
      <c r="B208" s="5" t="s">
        <v>532</v>
      </c>
      <c r="C208" s="5" t="s">
        <v>523</v>
      </c>
      <c r="D208" s="5" t="s">
        <v>645</v>
      </c>
      <c r="E208" s="5" t="s">
        <v>523</v>
      </c>
      <c r="F208" s="28" t="n">
        <f aca="false">IF(E208="","",IF(E208="DRINKS",0.21,0.11))</f>
        <v>0.21</v>
      </c>
      <c r="G208" s="29" t="n">
        <f aca="false">IF(B208="","",SUMIF(RETETAR!A:A,B208,RETETAR!F:F))</f>
        <v>3.64</v>
      </c>
      <c r="H208" s="30" t="n">
        <f aca="false">IF(B208="","",SUMIF(RETETAR!A:A,B208,RETETAR!H:H))</f>
        <v>3.64</v>
      </c>
      <c r="I208" s="31" t="n">
        <v>12</v>
      </c>
      <c r="J208" s="32" t="n">
        <f aca="false">IF(OR(I208="",F208=""),"",I208/(1+F208))</f>
        <v>9.91735537190083</v>
      </c>
      <c r="K208" s="33" t="n">
        <f aca="false">IF(OR(G208="",G208=0,J208="",J208=0),"",G208/J208)</f>
        <v>0.367033333333333</v>
      </c>
      <c r="L208" s="34" t="n">
        <f aca="false">IF(OR(H208="",H208=0,J208="",J208=0),"",H208/J208)</f>
        <v>0.367033333333333</v>
      </c>
      <c r="M208" s="35"/>
      <c r="N208" s="36" t="n">
        <v>0</v>
      </c>
      <c r="O208" s="36" t="n">
        <v>0</v>
      </c>
      <c r="P208" s="36" t="n">
        <v>0</v>
      </c>
      <c r="Q208" s="37" t="n">
        <f aca="false">IF(I208="","",I208+N(N208))</f>
        <v>12</v>
      </c>
      <c r="R208" s="37" t="n">
        <f aca="false">IF(OR(Q208="",F208=""),"",Q208/(1+F208))</f>
        <v>9.91735537190083</v>
      </c>
      <c r="S208" s="38" t="n">
        <f aca="false">IF(OR(H208="",H208=0,R208="",R208=0),"",H208/R208)</f>
        <v>0.367033333333333</v>
      </c>
      <c r="T208" s="39" t="n">
        <f aca="false">IF(I208="","",I208+N(N208+O208))</f>
        <v>12</v>
      </c>
      <c r="U208" s="39" t="n">
        <f aca="false">IF(OR(T208="",F208=""),"",T208/(1+F208))</f>
        <v>9.91735537190083</v>
      </c>
      <c r="V208" s="40" t="n">
        <f aca="false">IF(OR(H208="",H208=0,U208="",U208=0),"",H208/U208)</f>
        <v>0.367033333333333</v>
      </c>
      <c r="W208" s="41" t="n">
        <f aca="false">IF(I208="","",I208+N(N208+O208+P208))</f>
        <v>12</v>
      </c>
      <c r="X208" s="41" t="n">
        <f aca="false">IF(OR(W208="",F208=""),"",W208/(1+F208))</f>
        <v>9.91735537190083</v>
      </c>
      <c r="Y208" s="42" t="n">
        <f aca="false">IF(OR(H208="",H208=0,X208="",X208=0),"",H208/X208)</f>
        <v>0.367033333333333</v>
      </c>
    </row>
    <row r="209" customFormat="false" ht="15" hidden="false" customHeight="true" outlineLevel="0" collapsed="false">
      <c r="A209" s="5" t="s">
        <v>826</v>
      </c>
      <c r="B209" s="5" t="s">
        <v>533</v>
      </c>
      <c r="C209" s="5" t="s">
        <v>523</v>
      </c>
      <c r="D209" s="5" t="s">
        <v>642</v>
      </c>
      <c r="E209" s="5" t="s">
        <v>523</v>
      </c>
      <c r="F209" s="28" t="n">
        <f aca="false">IF(E209="","",IF(E209="DRINKS",0.21,0.11))</f>
        <v>0.21</v>
      </c>
      <c r="G209" s="29" t="n">
        <f aca="false">IF(B209="","",SUMIF(RETETAR!A:A,B209,RETETAR!F:F))</f>
        <v>6.08</v>
      </c>
      <c r="H209" s="30" t="n">
        <f aca="false">IF(B209="","",SUMIF(RETETAR!A:A,B209,RETETAR!H:H))</f>
        <v>6.08</v>
      </c>
      <c r="I209" s="31" t="n">
        <v>15</v>
      </c>
      <c r="J209" s="32" t="n">
        <f aca="false">IF(OR(I209="",F209=""),"",I209/(1+F209))</f>
        <v>12.396694214876</v>
      </c>
      <c r="K209" s="33" t="n">
        <f aca="false">IF(OR(G209="",G209=0,J209="",J209=0),"",G209/J209)</f>
        <v>0.490453333333333</v>
      </c>
      <c r="L209" s="34" t="n">
        <f aca="false">IF(OR(H209="",H209=0,J209="",J209=0),"",H209/J209)</f>
        <v>0.490453333333333</v>
      </c>
      <c r="M209" s="35"/>
      <c r="N209" s="36" t="n">
        <v>0</v>
      </c>
      <c r="O209" s="36" t="n">
        <v>0</v>
      </c>
      <c r="P209" s="36" t="n">
        <v>0</v>
      </c>
      <c r="Q209" s="37" t="n">
        <f aca="false">IF(I209="","",I209+N(N209))</f>
        <v>15</v>
      </c>
      <c r="R209" s="37" t="n">
        <f aca="false">IF(OR(Q209="",F209=""),"",Q209/(1+F209))</f>
        <v>12.396694214876</v>
      </c>
      <c r="S209" s="38" t="n">
        <f aca="false">IF(OR(H209="",H209=0,R209="",R209=0),"",H209/R209)</f>
        <v>0.490453333333333</v>
      </c>
      <c r="T209" s="39" t="n">
        <f aca="false">IF(I209="","",I209+N(N209+O209))</f>
        <v>15</v>
      </c>
      <c r="U209" s="39" t="n">
        <f aca="false">IF(OR(T209="",F209=""),"",T209/(1+F209))</f>
        <v>12.396694214876</v>
      </c>
      <c r="V209" s="40" t="n">
        <f aca="false">IF(OR(H209="",H209=0,U209="",U209=0),"",H209/U209)</f>
        <v>0.490453333333333</v>
      </c>
      <c r="W209" s="41" t="n">
        <f aca="false">IF(I209="","",I209+N(N209+O209+P209))</f>
        <v>15</v>
      </c>
      <c r="X209" s="41" t="n">
        <f aca="false">IF(OR(W209="",F209=""),"",W209/(1+F209))</f>
        <v>12.396694214876</v>
      </c>
      <c r="Y209" s="42" t="n">
        <f aca="false">IF(OR(H209="",H209=0,X209="",X209=0),"",H209/X209)</f>
        <v>0.490453333333333</v>
      </c>
    </row>
    <row r="210" customFormat="false" ht="15" hidden="false" customHeight="true" outlineLevel="0" collapsed="false">
      <c r="A210" s="5" t="s">
        <v>827</v>
      </c>
      <c r="B210" s="5" t="s">
        <v>534</v>
      </c>
      <c r="C210" s="5" t="s">
        <v>523</v>
      </c>
      <c r="D210" s="5" t="s">
        <v>645</v>
      </c>
      <c r="E210" s="5" t="s">
        <v>523</v>
      </c>
      <c r="F210" s="28" t="n">
        <f aca="false">IF(E210="","",IF(E210="DRINKS",0.21,0.11))</f>
        <v>0.21</v>
      </c>
      <c r="G210" s="29" t="n">
        <f aca="false">IF(B210="","",SUMIF(RETETAR!A:A,B210,RETETAR!F:F))</f>
        <v>6.08</v>
      </c>
      <c r="H210" s="30" t="n">
        <f aca="false">IF(B210="","",SUMIF(RETETAR!A:A,B210,RETETAR!H:H))</f>
        <v>6.08</v>
      </c>
      <c r="I210" s="31" t="n">
        <v>17</v>
      </c>
      <c r="J210" s="32" t="n">
        <f aca="false">IF(OR(I210="",F210=""),"",I210/(1+F210))</f>
        <v>14.0495867768595</v>
      </c>
      <c r="K210" s="33" t="n">
        <f aca="false">IF(OR(G210="",G210=0,J210="",J210=0),"",G210/J210)</f>
        <v>0.432752941176471</v>
      </c>
      <c r="L210" s="34" t="n">
        <f aca="false">IF(OR(H210="",H210=0,J210="",J210=0),"",H210/J210)</f>
        <v>0.432752941176471</v>
      </c>
      <c r="M210" s="35"/>
      <c r="N210" s="36" t="n">
        <v>0</v>
      </c>
      <c r="O210" s="36" t="n">
        <v>0</v>
      </c>
      <c r="P210" s="36" t="n">
        <v>0</v>
      </c>
      <c r="Q210" s="37" t="n">
        <f aca="false">IF(I210="","",I210+N(N210))</f>
        <v>17</v>
      </c>
      <c r="R210" s="37" t="n">
        <f aca="false">IF(OR(Q210="",F210=""),"",Q210/(1+F210))</f>
        <v>14.0495867768595</v>
      </c>
      <c r="S210" s="38" t="n">
        <f aca="false">IF(OR(H210="",H210=0,R210="",R210=0),"",H210/R210)</f>
        <v>0.432752941176471</v>
      </c>
      <c r="T210" s="39" t="n">
        <f aca="false">IF(I210="","",I210+N(N210+O210))</f>
        <v>17</v>
      </c>
      <c r="U210" s="39" t="n">
        <f aca="false">IF(OR(T210="",F210=""),"",T210/(1+F210))</f>
        <v>14.0495867768595</v>
      </c>
      <c r="V210" s="40" t="n">
        <f aca="false">IF(OR(H210="",H210=0,U210="",U210=0),"",H210/U210)</f>
        <v>0.432752941176471</v>
      </c>
      <c r="W210" s="41" t="n">
        <f aca="false">IF(I210="","",I210+N(N210+O210+P210))</f>
        <v>17</v>
      </c>
      <c r="X210" s="41" t="n">
        <f aca="false">IF(OR(W210="",F210=""),"",W210/(1+F210))</f>
        <v>14.0495867768595</v>
      </c>
      <c r="Y210" s="42" t="n">
        <f aca="false">IF(OR(H210="",H210=0,X210="",X210=0),"",H210/X210)</f>
        <v>0.432752941176471</v>
      </c>
    </row>
    <row r="211" customFormat="false" ht="15" hidden="false" customHeight="true" outlineLevel="0" collapsed="false">
      <c r="A211" s="5" t="s">
        <v>828</v>
      </c>
      <c r="B211" s="5" t="s">
        <v>535</v>
      </c>
      <c r="C211" s="5" t="s">
        <v>523</v>
      </c>
      <c r="D211" s="5" t="s">
        <v>642</v>
      </c>
      <c r="E211" s="5" t="s">
        <v>523</v>
      </c>
      <c r="F211" s="28" t="n">
        <f aca="false">IF(E211="","",IF(E211="DRINKS",0.21,0.11))</f>
        <v>0.21</v>
      </c>
      <c r="G211" s="29" t="n">
        <f aca="false">IF(B211="","",SUMIF(RETETAR!A:A,B211,RETETAR!F:F))</f>
        <v>6.97</v>
      </c>
      <c r="H211" s="30" t="n">
        <f aca="false">IF(B211="","",SUMIF(RETETAR!A:A,B211,RETETAR!H:H))</f>
        <v>6.97</v>
      </c>
      <c r="I211" s="31" t="n">
        <v>15</v>
      </c>
      <c r="J211" s="32" t="n">
        <f aca="false">IF(OR(I211="",F211=""),"",I211/(1+F211))</f>
        <v>12.396694214876</v>
      </c>
      <c r="K211" s="33" t="n">
        <f aca="false">IF(OR(G211="",G211=0,J211="",J211=0),"",G211/J211)</f>
        <v>0.562246666666667</v>
      </c>
      <c r="L211" s="34" t="n">
        <f aca="false">IF(OR(H211="",H211=0,J211="",J211=0),"",H211/J211)</f>
        <v>0.562246666666667</v>
      </c>
      <c r="M211" s="35"/>
      <c r="N211" s="36" t="n">
        <v>0</v>
      </c>
      <c r="O211" s="36" t="n">
        <v>0</v>
      </c>
      <c r="P211" s="36" t="n">
        <v>0</v>
      </c>
      <c r="Q211" s="37" t="n">
        <f aca="false">IF(I211="","",I211+N(N211))</f>
        <v>15</v>
      </c>
      <c r="R211" s="37" t="n">
        <f aca="false">IF(OR(Q211="",F211=""),"",Q211/(1+F211))</f>
        <v>12.396694214876</v>
      </c>
      <c r="S211" s="38" t="n">
        <f aca="false">IF(OR(H211="",H211=0,R211="",R211=0),"",H211/R211)</f>
        <v>0.562246666666667</v>
      </c>
      <c r="T211" s="39" t="n">
        <f aca="false">IF(I211="","",I211+N(N211+O211))</f>
        <v>15</v>
      </c>
      <c r="U211" s="39" t="n">
        <f aca="false">IF(OR(T211="",F211=""),"",T211/(1+F211))</f>
        <v>12.396694214876</v>
      </c>
      <c r="V211" s="40" t="n">
        <f aca="false">IF(OR(H211="",H211=0,U211="",U211=0),"",H211/U211)</f>
        <v>0.562246666666667</v>
      </c>
      <c r="W211" s="41" t="n">
        <f aca="false">IF(I211="","",I211+N(N211+O211+P211))</f>
        <v>15</v>
      </c>
      <c r="X211" s="41" t="n">
        <f aca="false">IF(OR(W211="",F211=""),"",W211/(1+F211))</f>
        <v>12.396694214876</v>
      </c>
      <c r="Y211" s="42" t="n">
        <f aca="false">IF(OR(H211="",H211=0,X211="",X211=0),"",H211/X211)</f>
        <v>0.562246666666667</v>
      </c>
    </row>
    <row r="212" customFormat="false" ht="15" hidden="false" customHeight="true" outlineLevel="0" collapsed="false">
      <c r="A212" s="5" t="s">
        <v>829</v>
      </c>
      <c r="B212" s="5" t="s">
        <v>536</v>
      </c>
      <c r="C212" s="5" t="s">
        <v>523</v>
      </c>
      <c r="D212" s="5" t="s">
        <v>645</v>
      </c>
      <c r="E212" s="5" t="s">
        <v>523</v>
      </c>
      <c r="F212" s="28" t="n">
        <f aca="false">IF(E212="","",IF(E212="DRINKS",0.21,0.11))</f>
        <v>0.21</v>
      </c>
      <c r="G212" s="29" t="n">
        <f aca="false">IF(B212="","",SUMIF(RETETAR!A:A,B212,RETETAR!F:F))</f>
        <v>6.97</v>
      </c>
      <c r="H212" s="30" t="n">
        <f aca="false">IF(B212="","",SUMIF(RETETAR!A:A,B212,RETETAR!H:H))</f>
        <v>6.97</v>
      </c>
      <c r="I212" s="31" t="n">
        <v>19</v>
      </c>
      <c r="J212" s="32" t="n">
        <f aca="false">IF(OR(I212="",F212=""),"",I212/(1+F212))</f>
        <v>15.702479338843</v>
      </c>
      <c r="K212" s="33" t="n">
        <f aca="false">IF(OR(G212="",G212=0,J212="",J212=0),"",G212/J212)</f>
        <v>0.443878947368421</v>
      </c>
      <c r="L212" s="34" t="n">
        <f aca="false">IF(OR(H212="",H212=0,J212="",J212=0),"",H212/J212)</f>
        <v>0.443878947368421</v>
      </c>
      <c r="M212" s="35"/>
      <c r="N212" s="36" t="n">
        <v>0</v>
      </c>
      <c r="O212" s="36" t="n">
        <v>0</v>
      </c>
      <c r="P212" s="36" t="n">
        <v>0</v>
      </c>
      <c r="Q212" s="37" t="n">
        <f aca="false">IF(I212="","",I212+N(N212))</f>
        <v>19</v>
      </c>
      <c r="R212" s="37" t="n">
        <f aca="false">IF(OR(Q212="",F212=""),"",Q212/(1+F212))</f>
        <v>15.702479338843</v>
      </c>
      <c r="S212" s="38" t="n">
        <f aca="false">IF(OR(H212="",H212=0,R212="",R212=0),"",H212/R212)</f>
        <v>0.443878947368421</v>
      </c>
      <c r="T212" s="39" t="n">
        <f aca="false">IF(I212="","",I212+N(N212+O212))</f>
        <v>19</v>
      </c>
      <c r="U212" s="39" t="n">
        <f aca="false">IF(OR(T212="",F212=""),"",T212/(1+F212))</f>
        <v>15.702479338843</v>
      </c>
      <c r="V212" s="40" t="n">
        <f aca="false">IF(OR(H212="",H212=0,U212="",U212=0),"",H212/U212)</f>
        <v>0.443878947368421</v>
      </c>
      <c r="W212" s="41" t="n">
        <f aca="false">IF(I212="","",I212+N(N212+O212+P212))</f>
        <v>19</v>
      </c>
      <c r="X212" s="41" t="n">
        <f aca="false">IF(OR(W212="",F212=""),"",W212/(1+F212))</f>
        <v>15.702479338843</v>
      </c>
      <c r="Y212" s="42" t="n">
        <f aca="false">IF(OR(H212="",H212=0,X212="",X212=0),"",H212/X212)</f>
        <v>0.443878947368421</v>
      </c>
    </row>
    <row r="213" customFormat="false" ht="15" hidden="false" customHeight="true" outlineLevel="0" collapsed="false">
      <c r="A213" s="5" t="s">
        <v>830</v>
      </c>
      <c r="B213" s="5" t="s">
        <v>537</v>
      </c>
      <c r="C213" s="5" t="s">
        <v>523</v>
      </c>
      <c r="D213" s="5" t="s">
        <v>642</v>
      </c>
      <c r="E213" s="5" t="s">
        <v>523</v>
      </c>
      <c r="F213" s="28" t="n">
        <f aca="false">IF(E213="","",IF(E213="DRINKS",0.21,0.11))</f>
        <v>0.21</v>
      </c>
      <c r="G213" s="29" t="n">
        <f aca="false">IF(B213="","",SUMIF(RETETAR!A:A,B213,RETETAR!F:F))</f>
        <v>6.23</v>
      </c>
      <c r="H213" s="30" t="n">
        <f aca="false">IF(B213="","",SUMIF(RETETAR!A:A,B213,RETETAR!H:H))</f>
        <v>6.23</v>
      </c>
      <c r="I213" s="31" t="n">
        <v>15</v>
      </c>
      <c r="J213" s="32" t="n">
        <f aca="false">IF(OR(I213="",F213=""),"",I213/(1+F213))</f>
        <v>12.396694214876</v>
      </c>
      <c r="K213" s="33" t="n">
        <f aca="false">IF(OR(G213="",G213=0,J213="",J213=0),"",G213/J213)</f>
        <v>0.502553333333333</v>
      </c>
      <c r="L213" s="34" t="n">
        <f aca="false">IF(OR(H213="",H213=0,J213="",J213=0),"",H213/J213)</f>
        <v>0.502553333333333</v>
      </c>
      <c r="M213" s="35"/>
      <c r="N213" s="36" t="n">
        <v>0</v>
      </c>
      <c r="O213" s="36" t="n">
        <v>0</v>
      </c>
      <c r="P213" s="36" t="n">
        <v>0</v>
      </c>
      <c r="Q213" s="37" t="n">
        <f aca="false">IF(I213="","",I213+N(N213))</f>
        <v>15</v>
      </c>
      <c r="R213" s="37" t="n">
        <f aca="false">IF(OR(Q213="",F213=""),"",Q213/(1+F213))</f>
        <v>12.396694214876</v>
      </c>
      <c r="S213" s="38" t="n">
        <f aca="false">IF(OR(H213="",H213=0,R213="",R213=0),"",H213/R213)</f>
        <v>0.502553333333333</v>
      </c>
      <c r="T213" s="39" t="n">
        <f aca="false">IF(I213="","",I213+N(N213+O213))</f>
        <v>15</v>
      </c>
      <c r="U213" s="39" t="n">
        <f aca="false">IF(OR(T213="",F213=""),"",T213/(1+F213))</f>
        <v>12.396694214876</v>
      </c>
      <c r="V213" s="40" t="n">
        <f aca="false">IF(OR(H213="",H213=0,U213="",U213=0),"",H213/U213)</f>
        <v>0.502553333333333</v>
      </c>
      <c r="W213" s="41" t="n">
        <f aca="false">IF(I213="","",I213+N(N213+O213+P213))</f>
        <v>15</v>
      </c>
      <c r="X213" s="41" t="n">
        <f aca="false">IF(OR(W213="",F213=""),"",W213/(1+F213))</f>
        <v>12.396694214876</v>
      </c>
      <c r="Y213" s="42" t="n">
        <f aca="false">IF(OR(H213="",H213=0,X213="",X213=0),"",H213/X213)</f>
        <v>0.502553333333333</v>
      </c>
    </row>
    <row r="214" customFormat="false" ht="15" hidden="false" customHeight="true" outlineLevel="0" collapsed="false">
      <c r="A214" s="5" t="s">
        <v>831</v>
      </c>
      <c r="B214" s="5" t="s">
        <v>538</v>
      </c>
      <c r="C214" s="5" t="s">
        <v>523</v>
      </c>
      <c r="D214" s="5" t="s">
        <v>645</v>
      </c>
      <c r="E214" s="5" t="s">
        <v>523</v>
      </c>
      <c r="F214" s="28" t="n">
        <f aca="false">IF(E214="","",IF(E214="DRINKS",0.21,0.11))</f>
        <v>0.21</v>
      </c>
      <c r="G214" s="29" t="n">
        <f aca="false">IF(B214="","",SUMIF(RETETAR!A:A,B214,RETETAR!F:F))</f>
        <v>6.23</v>
      </c>
      <c r="H214" s="30" t="n">
        <f aca="false">IF(B214="","",SUMIF(RETETAR!A:A,B214,RETETAR!H:H))</f>
        <v>6.23</v>
      </c>
      <c r="I214" s="31" t="n">
        <v>18</v>
      </c>
      <c r="J214" s="32" t="n">
        <f aca="false">IF(OR(I214="",F214=""),"",I214/(1+F214))</f>
        <v>14.8760330578512</v>
      </c>
      <c r="K214" s="33" t="n">
        <f aca="false">IF(OR(G214="",G214=0,J214="",J214=0),"",G214/J214)</f>
        <v>0.418794444444444</v>
      </c>
      <c r="L214" s="34" t="n">
        <f aca="false">IF(OR(H214="",H214=0,J214="",J214=0),"",H214/J214)</f>
        <v>0.418794444444444</v>
      </c>
      <c r="M214" s="35"/>
      <c r="N214" s="36" t="n">
        <v>0</v>
      </c>
      <c r="O214" s="36" t="n">
        <v>0</v>
      </c>
      <c r="P214" s="36" t="n">
        <v>0</v>
      </c>
      <c r="Q214" s="37" t="n">
        <f aca="false">IF(I214="","",I214+N(N214))</f>
        <v>18</v>
      </c>
      <c r="R214" s="37" t="n">
        <f aca="false">IF(OR(Q214="",F214=""),"",Q214/(1+F214))</f>
        <v>14.8760330578512</v>
      </c>
      <c r="S214" s="38" t="n">
        <f aca="false">IF(OR(H214="",H214=0,R214="",R214=0),"",H214/R214)</f>
        <v>0.418794444444444</v>
      </c>
      <c r="T214" s="39" t="n">
        <f aca="false">IF(I214="","",I214+N(N214+O214))</f>
        <v>18</v>
      </c>
      <c r="U214" s="39" t="n">
        <f aca="false">IF(OR(T214="",F214=""),"",T214/(1+F214))</f>
        <v>14.8760330578512</v>
      </c>
      <c r="V214" s="40" t="n">
        <f aca="false">IF(OR(H214="",H214=0,U214="",U214=0),"",H214/U214)</f>
        <v>0.418794444444444</v>
      </c>
      <c r="W214" s="41" t="n">
        <f aca="false">IF(I214="","",I214+N(N214+O214+P214))</f>
        <v>18</v>
      </c>
      <c r="X214" s="41" t="n">
        <f aca="false">IF(OR(W214="",F214=""),"",W214/(1+F214))</f>
        <v>14.8760330578512</v>
      </c>
      <c r="Y214" s="42" t="n">
        <f aca="false">IF(OR(H214="",H214=0,X214="",X214=0),"",H214/X214)</f>
        <v>0.418794444444444</v>
      </c>
    </row>
    <row r="215" customFormat="false" ht="15" hidden="false" customHeight="true" outlineLevel="0" collapsed="false">
      <c r="A215" s="5" t="s">
        <v>832</v>
      </c>
      <c r="B215" s="5" t="s">
        <v>539</v>
      </c>
      <c r="C215" s="5" t="s">
        <v>523</v>
      </c>
      <c r="D215" s="5" t="s">
        <v>642</v>
      </c>
      <c r="E215" s="5" t="s">
        <v>523</v>
      </c>
      <c r="F215" s="28" t="n">
        <f aca="false">IF(E215="","",IF(E215="DRINKS",0.21,0.11))</f>
        <v>0.21</v>
      </c>
      <c r="G215" s="29" t="n">
        <f aca="false">IF(B215="","",SUMIF(RETETAR!A:A,B215,RETETAR!F:F))</f>
        <v>6.57</v>
      </c>
      <c r="H215" s="30" t="n">
        <f aca="false">IF(B215="","",SUMIF(RETETAR!A:A,B215,RETETAR!H:H))</f>
        <v>6.57</v>
      </c>
      <c r="I215" s="31" t="n">
        <v>15</v>
      </c>
      <c r="J215" s="32" t="n">
        <f aca="false">IF(OR(I215="",F215=""),"",I215/(1+F215))</f>
        <v>12.396694214876</v>
      </c>
      <c r="K215" s="33" t="n">
        <f aca="false">IF(OR(G215="",G215=0,J215="",J215=0),"",G215/J215)</f>
        <v>0.52998</v>
      </c>
      <c r="L215" s="34" t="n">
        <f aca="false">IF(OR(H215="",H215=0,J215="",J215=0),"",H215/J215)</f>
        <v>0.52998</v>
      </c>
      <c r="M215" s="35"/>
      <c r="N215" s="36" t="n">
        <v>0</v>
      </c>
      <c r="O215" s="36" t="n">
        <v>0</v>
      </c>
      <c r="P215" s="36" t="n">
        <v>0</v>
      </c>
      <c r="Q215" s="37" t="n">
        <f aca="false">IF(I215="","",I215+N(N215))</f>
        <v>15</v>
      </c>
      <c r="R215" s="37" t="n">
        <f aca="false">IF(OR(Q215="",F215=""),"",Q215/(1+F215))</f>
        <v>12.396694214876</v>
      </c>
      <c r="S215" s="38" t="n">
        <f aca="false">IF(OR(H215="",H215=0,R215="",R215=0),"",H215/R215)</f>
        <v>0.52998</v>
      </c>
      <c r="T215" s="39" t="n">
        <f aca="false">IF(I215="","",I215+N(N215+O215))</f>
        <v>15</v>
      </c>
      <c r="U215" s="39" t="n">
        <f aca="false">IF(OR(T215="",F215=""),"",T215/(1+F215))</f>
        <v>12.396694214876</v>
      </c>
      <c r="V215" s="40" t="n">
        <f aca="false">IF(OR(H215="",H215=0,U215="",U215=0),"",H215/U215)</f>
        <v>0.52998</v>
      </c>
      <c r="W215" s="41" t="n">
        <f aca="false">IF(I215="","",I215+N(N215+O215+P215))</f>
        <v>15</v>
      </c>
      <c r="X215" s="41" t="n">
        <f aca="false">IF(OR(W215="",F215=""),"",W215/(1+F215))</f>
        <v>12.396694214876</v>
      </c>
      <c r="Y215" s="42" t="n">
        <f aca="false">IF(OR(H215="",H215=0,X215="",X215=0),"",H215/X215)</f>
        <v>0.52998</v>
      </c>
    </row>
    <row r="216" customFormat="false" ht="15" hidden="false" customHeight="true" outlineLevel="0" collapsed="false">
      <c r="A216" s="5" t="s">
        <v>833</v>
      </c>
      <c r="B216" s="5" t="s">
        <v>540</v>
      </c>
      <c r="C216" s="5" t="s">
        <v>523</v>
      </c>
      <c r="D216" s="5" t="s">
        <v>645</v>
      </c>
      <c r="E216" s="5" t="s">
        <v>523</v>
      </c>
      <c r="F216" s="28" t="n">
        <f aca="false">IF(E216="","",IF(E216="DRINKS",0.21,0.11))</f>
        <v>0.21</v>
      </c>
      <c r="G216" s="29" t="n">
        <f aca="false">IF(B216="","",SUMIF(RETETAR!A:A,B216,RETETAR!F:F))</f>
        <v>6.57</v>
      </c>
      <c r="H216" s="30" t="n">
        <f aca="false">IF(B216="","",SUMIF(RETETAR!A:A,B216,RETETAR!H:H))</f>
        <v>6.57</v>
      </c>
      <c r="I216" s="31" t="n">
        <v>17</v>
      </c>
      <c r="J216" s="32" t="n">
        <f aca="false">IF(OR(I216="",F216=""),"",I216/(1+F216))</f>
        <v>14.0495867768595</v>
      </c>
      <c r="K216" s="33" t="n">
        <f aca="false">IF(OR(G216="",G216=0,J216="",J216=0),"",G216/J216)</f>
        <v>0.467629411764706</v>
      </c>
      <c r="L216" s="34" t="n">
        <f aca="false">IF(OR(H216="",H216=0,J216="",J216=0),"",H216/J216)</f>
        <v>0.467629411764706</v>
      </c>
      <c r="M216" s="35"/>
      <c r="N216" s="36" t="n">
        <v>0</v>
      </c>
      <c r="O216" s="36" t="n">
        <v>0</v>
      </c>
      <c r="P216" s="36" t="n">
        <v>0</v>
      </c>
      <c r="Q216" s="37" t="n">
        <f aca="false">IF(I216="","",I216+N(N216))</f>
        <v>17</v>
      </c>
      <c r="R216" s="37" t="n">
        <f aca="false">IF(OR(Q216="",F216=""),"",Q216/(1+F216))</f>
        <v>14.0495867768595</v>
      </c>
      <c r="S216" s="38" t="n">
        <f aca="false">IF(OR(H216="",H216=0,R216="",R216=0),"",H216/R216)</f>
        <v>0.467629411764706</v>
      </c>
      <c r="T216" s="39" t="n">
        <f aca="false">IF(I216="","",I216+N(N216+O216))</f>
        <v>17</v>
      </c>
      <c r="U216" s="39" t="n">
        <f aca="false">IF(OR(T216="",F216=""),"",T216/(1+F216))</f>
        <v>14.0495867768595</v>
      </c>
      <c r="V216" s="40" t="n">
        <f aca="false">IF(OR(H216="",H216=0,U216="",U216=0),"",H216/U216)</f>
        <v>0.467629411764706</v>
      </c>
      <c r="W216" s="41" t="n">
        <f aca="false">IF(I216="","",I216+N(N216+O216+P216))</f>
        <v>17</v>
      </c>
      <c r="X216" s="41" t="n">
        <f aca="false">IF(OR(W216="",F216=""),"",W216/(1+F216))</f>
        <v>14.0495867768595</v>
      </c>
      <c r="Y216" s="42" t="n">
        <f aca="false">IF(OR(H216="",H216=0,X216="",X216=0),"",H216/X216)</f>
        <v>0.467629411764706</v>
      </c>
    </row>
    <row r="217" customFormat="false" ht="15" hidden="false" customHeight="true" outlineLevel="0" collapsed="false">
      <c r="A217" s="5" t="s">
        <v>834</v>
      </c>
      <c r="B217" s="5" t="s">
        <v>541</v>
      </c>
      <c r="C217" s="5" t="s">
        <v>523</v>
      </c>
      <c r="D217" s="5" t="s">
        <v>642</v>
      </c>
      <c r="E217" s="5" t="s">
        <v>523</v>
      </c>
      <c r="F217" s="28" t="n">
        <f aca="false">IF(E217="","",IF(E217="DRINKS",0.21,0.11))</f>
        <v>0.21</v>
      </c>
      <c r="G217" s="29" t="n">
        <f aca="false">IF(B217="","",SUMIF(RETETAR!A:A,B217,RETETAR!F:F))</f>
        <v>3.393092</v>
      </c>
      <c r="H217" s="30" t="n">
        <f aca="false">IF(B217="","",SUMIF(RETETAR!A:A,B217,RETETAR!H:H))</f>
        <v>3.393092</v>
      </c>
      <c r="I217" s="31" t="n">
        <v>13</v>
      </c>
      <c r="J217" s="32" t="n">
        <f aca="false">IF(OR(I217="",F217=""),"",I217/(1+F217))</f>
        <v>10.7438016528926</v>
      </c>
      <c r="K217" s="33" t="n">
        <f aca="false">IF(OR(G217="",G217=0,J217="",J217=0),"",G217/J217)</f>
        <v>0.315818563076923</v>
      </c>
      <c r="L217" s="34" t="n">
        <f aca="false">IF(OR(H217="",H217=0,J217="",J217=0),"",H217/J217)</f>
        <v>0.315818563076923</v>
      </c>
      <c r="M217" s="35"/>
      <c r="N217" s="36" t="n">
        <v>0</v>
      </c>
      <c r="O217" s="36" t="n">
        <v>0</v>
      </c>
      <c r="P217" s="36" t="n">
        <v>0</v>
      </c>
      <c r="Q217" s="37" t="n">
        <f aca="false">IF(I217="","",I217+N(N217))</f>
        <v>13</v>
      </c>
      <c r="R217" s="37" t="n">
        <f aca="false">IF(OR(Q217="",F217=""),"",Q217/(1+F217))</f>
        <v>10.7438016528926</v>
      </c>
      <c r="S217" s="38" t="n">
        <f aca="false">IF(OR(H217="",H217=0,R217="",R217=0),"",H217/R217)</f>
        <v>0.315818563076923</v>
      </c>
      <c r="T217" s="39" t="n">
        <f aca="false">IF(I217="","",I217+N(N217+O217))</f>
        <v>13</v>
      </c>
      <c r="U217" s="39" t="n">
        <f aca="false">IF(OR(T217="",F217=""),"",T217/(1+F217))</f>
        <v>10.7438016528926</v>
      </c>
      <c r="V217" s="40" t="n">
        <f aca="false">IF(OR(H217="",H217=0,U217="",U217=0),"",H217/U217)</f>
        <v>0.315818563076923</v>
      </c>
      <c r="W217" s="41" t="n">
        <f aca="false">IF(I217="","",I217+N(N217+O217+P217))</f>
        <v>13</v>
      </c>
      <c r="X217" s="41" t="n">
        <f aca="false">IF(OR(W217="",F217=""),"",W217/(1+F217))</f>
        <v>10.7438016528926</v>
      </c>
      <c r="Y217" s="42" t="n">
        <f aca="false">IF(OR(H217="",H217=0,X217="",X217=0),"",H217/X217)</f>
        <v>0.315818563076923</v>
      </c>
    </row>
    <row r="218" customFormat="false" ht="15" hidden="false" customHeight="true" outlineLevel="0" collapsed="false">
      <c r="A218" s="5" t="s">
        <v>835</v>
      </c>
      <c r="B218" s="5" t="s">
        <v>542</v>
      </c>
      <c r="C218" s="5" t="s">
        <v>523</v>
      </c>
      <c r="D218" s="5" t="s">
        <v>642</v>
      </c>
      <c r="E218" s="5" t="s">
        <v>523</v>
      </c>
      <c r="F218" s="28" t="n">
        <f aca="false">IF(E218="","",IF(E218="DRINKS",0.21,0.11))</f>
        <v>0.21</v>
      </c>
      <c r="G218" s="29" t="n">
        <f aca="false">IF(B218="","",SUMIF(RETETAR!A:A,B218,RETETAR!F:F))</f>
        <v>3.393092</v>
      </c>
      <c r="H218" s="30" t="n">
        <f aca="false">IF(B218="","",SUMIF(RETETAR!A:A,B218,RETETAR!H:H))</f>
        <v>3.393092</v>
      </c>
      <c r="I218" s="31" t="n">
        <v>13</v>
      </c>
      <c r="J218" s="32" t="n">
        <f aca="false">IF(OR(I218="",F218=""),"",I218/(1+F218))</f>
        <v>10.7438016528926</v>
      </c>
      <c r="K218" s="33" t="n">
        <f aca="false">IF(OR(G218="",G218=0,J218="",J218=0),"",G218/J218)</f>
        <v>0.315818563076923</v>
      </c>
      <c r="L218" s="34" t="n">
        <f aca="false">IF(OR(H218="",H218=0,J218="",J218=0),"",H218/J218)</f>
        <v>0.315818563076923</v>
      </c>
      <c r="M218" s="35"/>
      <c r="N218" s="36" t="n">
        <v>0</v>
      </c>
      <c r="O218" s="36" t="n">
        <v>0</v>
      </c>
      <c r="P218" s="36" t="n">
        <v>0</v>
      </c>
      <c r="Q218" s="37" t="n">
        <f aca="false">IF(I218="","",I218+N(N218))</f>
        <v>13</v>
      </c>
      <c r="R218" s="37" t="n">
        <f aca="false">IF(OR(Q218="",F218=""),"",Q218/(1+F218))</f>
        <v>10.7438016528926</v>
      </c>
      <c r="S218" s="38" t="n">
        <f aca="false">IF(OR(H218="",H218=0,R218="",R218=0),"",H218/R218)</f>
        <v>0.315818563076923</v>
      </c>
      <c r="T218" s="39" t="n">
        <f aca="false">IF(I218="","",I218+N(N218+O218))</f>
        <v>13</v>
      </c>
      <c r="U218" s="39" t="n">
        <f aca="false">IF(OR(T218="",F218=""),"",T218/(1+F218))</f>
        <v>10.7438016528926</v>
      </c>
      <c r="V218" s="40" t="n">
        <f aca="false">IF(OR(H218="",H218=0,U218="",U218=0),"",H218/U218)</f>
        <v>0.315818563076923</v>
      </c>
      <c r="W218" s="41" t="n">
        <f aca="false">IF(I218="","",I218+N(N218+O218+P218))</f>
        <v>13</v>
      </c>
      <c r="X218" s="41" t="n">
        <f aca="false">IF(OR(W218="",F218=""),"",W218/(1+F218))</f>
        <v>10.7438016528926</v>
      </c>
      <c r="Y218" s="42" t="n">
        <f aca="false">IF(OR(H218="",H218=0,X218="",X218=0),"",H218/X218)</f>
        <v>0.315818563076923</v>
      </c>
    </row>
    <row r="219" customFormat="false" ht="15" hidden="false" customHeight="true" outlineLevel="0" collapsed="false">
      <c r="A219" s="5" t="s">
        <v>836</v>
      </c>
      <c r="B219" s="5" t="s">
        <v>543</v>
      </c>
      <c r="C219" s="5" t="s">
        <v>523</v>
      </c>
      <c r="D219" s="5" t="s">
        <v>642</v>
      </c>
      <c r="E219" s="5" t="s">
        <v>523</v>
      </c>
      <c r="F219" s="28" t="n">
        <f aca="false">IF(E219="","",IF(E219="DRINKS",0.21,0.11))</f>
        <v>0.21</v>
      </c>
      <c r="G219" s="29" t="n">
        <f aca="false">IF(B219="","",SUMIF(RETETAR!A:A,B219,RETETAR!F:F))</f>
        <v>3.393092</v>
      </c>
      <c r="H219" s="30" t="n">
        <f aca="false">IF(B219="","",SUMIF(RETETAR!A:A,B219,RETETAR!H:H))</f>
        <v>3.393092</v>
      </c>
      <c r="I219" s="31" t="n">
        <v>13</v>
      </c>
      <c r="J219" s="32" t="n">
        <f aca="false">IF(OR(I219="",F219=""),"",I219/(1+F219))</f>
        <v>10.7438016528926</v>
      </c>
      <c r="K219" s="33" t="n">
        <f aca="false">IF(OR(G219="",G219=0,J219="",J219=0),"",G219/J219)</f>
        <v>0.315818563076923</v>
      </c>
      <c r="L219" s="34" t="n">
        <f aca="false">IF(OR(H219="",H219=0,J219="",J219=0),"",H219/J219)</f>
        <v>0.315818563076923</v>
      </c>
      <c r="M219" s="35"/>
      <c r="N219" s="36" t="n">
        <v>0</v>
      </c>
      <c r="O219" s="36" t="n">
        <v>0</v>
      </c>
      <c r="P219" s="36" t="n">
        <v>0</v>
      </c>
      <c r="Q219" s="37" t="n">
        <f aca="false">IF(I219="","",I219+N(N219))</f>
        <v>13</v>
      </c>
      <c r="R219" s="37" t="n">
        <f aca="false">IF(OR(Q219="",F219=""),"",Q219/(1+F219))</f>
        <v>10.7438016528926</v>
      </c>
      <c r="S219" s="38" t="n">
        <f aca="false">IF(OR(H219="",H219=0,R219="",R219=0),"",H219/R219)</f>
        <v>0.315818563076923</v>
      </c>
      <c r="T219" s="39" t="n">
        <f aca="false">IF(I219="","",I219+N(N219+O219))</f>
        <v>13</v>
      </c>
      <c r="U219" s="39" t="n">
        <f aca="false">IF(OR(T219="",F219=""),"",T219/(1+F219))</f>
        <v>10.7438016528926</v>
      </c>
      <c r="V219" s="40" t="n">
        <f aca="false">IF(OR(H219="",H219=0,U219="",U219=0),"",H219/U219)</f>
        <v>0.315818563076923</v>
      </c>
      <c r="W219" s="41" t="n">
        <f aca="false">IF(I219="","",I219+N(N219+O219+P219))</f>
        <v>13</v>
      </c>
      <c r="X219" s="41" t="n">
        <f aca="false">IF(OR(W219="",F219=""),"",W219/(1+F219))</f>
        <v>10.7438016528926</v>
      </c>
      <c r="Y219" s="42" t="n">
        <f aca="false">IF(OR(H219="",H219=0,X219="",X219=0),"",H219/X219)</f>
        <v>0.315818563076923</v>
      </c>
    </row>
    <row r="220" customFormat="false" ht="15" hidden="false" customHeight="true" outlineLevel="0" collapsed="false">
      <c r="A220" s="5" t="s">
        <v>837</v>
      </c>
      <c r="B220" s="5" t="s">
        <v>544</v>
      </c>
      <c r="C220" s="5" t="s">
        <v>523</v>
      </c>
      <c r="D220" s="5" t="s">
        <v>642</v>
      </c>
      <c r="E220" s="5" t="s">
        <v>523</v>
      </c>
      <c r="F220" s="28" t="n">
        <f aca="false">IF(E220="","",IF(E220="DRINKS",0.21,0.11))</f>
        <v>0.21</v>
      </c>
      <c r="G220" s="29" t="n">
        <f aca="false">IF(B220="","",SUMIF(RETETAR!A:A,B220,RETETAR!F:F))</f>
        <v>3.393092</v>
      </c>
      <c r="H220" s="30" t="n">
        <f aca="false">IF(B220="","",SUMIF(RETETAR!A:A,B220,RETETAR!H:H))</f>
        <v>3.393092</v>
      </c>
      <c r="I220" s="31" t="n">
        <v>13</v>
      </c>
      <c r="J220" s="32" t="n">
        <f aca="false">IF(OR(I220="",F220=""),"",I220/(1+F220))</f>
        <v>10.7438016528926</v>
      </c>
      <c r="K220" s="33" t="n">
        <f aca="false">IF(OR(G220="",G220=0,J220="",J220=0),"",G220/J220)</f>
        <v>0.315818563076923</v>
      </c>
      <c r="L220" s="34" t="n">
        <f aca="false">IF(OR(H220="",H220=0,J220="",J220=0),"",H220/J220)</f>
        <v>0.315818563076923</v>
      </c>
      <c r="M220" s="35"/>
      <c r="N220" s="36" t="n">
        <v>0</v>
      </c>
      <c r="O220" s="36" t="n">
        <v>0</v>
      </c>
      <c r="P220" s="36" t="n">
        <v>0</v>
      </c>
      <c r="Q220" s="37" t="n">
        <f aca="false">IF(I220="","",I220+N(N220))</f>
        <v>13</v>
      </c>
      <c r="R220" s="37" t="n">
        <f aca="false">IF(OR(Q220="",F220=""),"",Q220/(1+F220))</f>
        <v>10.7438016528926</v>
      </c>
      <c r="S220" s="38" t="n">
        <f aca="false">IF(OR(H220="",H220=0,R220="",R220=0),"",H220/R220)</f>
        <v>0.315818563076923</v>
      </c>
      <c r="T220" s="39" t="n">
        <f aca="false">IF(I220="","",I220+N(N220+O220))</f>
        <v>13</v>
      </c>
      <c r="U220" s="39" t="n">
        <f aca="false">IF(OR(T220="",F220=""),"",T220/(1+F220))</f>
        <v>10.7438016528926</v>
      </c>
      <c r="V220" s="40" t="n">
        <f aca="false">IF(OR(H220="",H220=0,U220="",U220=0),"",H220/U220)</f>
        <v>0.315818563076923</v>
      </c>
      <c r="W220" s="41" t="n">
        <f aca="false">IF(I220="","",I220+N(N220+O220+P220))</f>
        <v>13</v>
      </c>
      <c r="X220" s="41" t="n">
        <f aca="false">IF(OR(W220="",F220=""),"",W220/(1+F220))</f>
        <v>10.7438016528926</v>
      </c>
      <c r="Y220" s="42" t="n">
        <f aca="false">IF(OR(H220="",H220=0,X220="",X220=0),"",H220/X220)</f>
        <v>0.315818563076923</v>
      </c>
    </row>
    <row r="221" customFormat="false" ht="15" hidden="false" customHeight="true" outlineLevel="0" collapsed="false">
      <c r="A221" s="5" t="s">
        <v>838</v>
      </c>
      <c r="B221" s="5" t="s">
        <v>545</v>
      </c>
      <c r="C221" s="5" t="s">
        <v>523</v>
      </c>
      <c r="D221" s="5" t="s">
        <v>642</v>
      </c>
      <c r="E221" s="5" t="s">
        <v>523</v>
      </c>
      <c r="F221" s="28" t="n">
        <f aca="false">IF(E221="","",IF(E221="DRINKS",0.21,0.11))</f>
        <v>0.21</v>
      </c>
      <c r="G221" s="29" t="n">
        <f aca="false">IF(B221="","",SUMIF(RETETAR!A:A,B221,RETETAR!F:F))</f>
        <v>3.71</v>
      </c>
      <c r="H221" s="30" t="n">
        <f aca="false">IF(B221="","",SUMIF(RETETAR!A:A,B221,RETETAR!H:H))</f>
        <v>3.71</v>
      </c>
      <c r="I221" s="31" t="n">
        <v>9.5</v>
      </c>
      <c r="J221" s="32" t="n">
        <f aca="false">IF(OR(I221="",F221=""),"",I221/(1+F221))</f>
        <v>7.85123966942149</v>
      </c>
      <c r="K221" s="33" t="n">
        <f aca="false">IF(OR(G221="",G221=0,J221="",J221=0),"",G221/J221)</f>
        <v>0.472536842105263</v>
      </c>
      <c r="L221" s="34" t="n">
        <f aca="false">IF(OR(H221="",H221=0,J221="",J221=0),"",H221/J221)</f>
        <v>0.472536842105263</v>
      </c>
      <c r="M221" s="35"/>
      <c r="N221" s="36" t="n">
        <v>0</v>
      </c>
      <c r="O221" s="36" t="n">
        <v>0</v>
      </c>
      <c r="P221" s="36" t="n">
        <v>0</v>
      </c>
      <c r="Q221" s="37" t="n">
        <f aca="false">IF(I221="","",I221+N(N221))</f>
        <v>9.5</v>
      </c>
      <c r="R221" s="37" t="n">
        <f aca="false">IF(OR(Q221="",F221=""),"",Q221/(1+F221))</f>
        <v>7.85123966942149</v>
      </c>
      <c r="S221" s="38" t="n">
        <f aca="false">IF(OR(H221="",H221=0,R221="",R221=0),"",H221/R221)</f>
        <v>0.472536842105263</v>
      </c>
      <c r="T221" s="39" t="n">
        <f aca="false">IF(I221="","",I221+N(N221+O221))</f>
        <v>9.5</v>
      </c>
      <c r="U221" s="39" t="n">
        <f aca="false">IF(OR(T221="",F221=""),"",T221/(1+F221))</f>
        <v>7.85123966942149</v>
      </c>
      <c r="V221" s="40" t="n">
        <f aca="false">IF(OR(H221="",H221=0,U221="",U221=0),"",H221/U221)</f>
        <v>0.472536842105263</v>
      </c>
      <c r="W221" s="41" t="n">
        <f aca="false">IF(I221="","",I221+N(N221+O221+P221))</f>
        <v>9.5</v>
      </c>
      <c r="X221" s="41" t="n">
        <f aca="false">IF(OR(W221="",F221=""),"",W221/(1+F221))</f>
        <v>7.85123966942149</v>
      </c>
      <c r="Y221" s="42" t="n">
        <f aca="false">IF(OR(H221="",H221=0,X221="",X221=0),"",H221/X221)</f>
        <v>0.472536842105263</v>
      </c>
    </row>
    <row r="222" customFormat="false" ht="15" hidden="false" customHeight="true" outlineLevel="0" collapsed="false">
      <c r="A222" s="5" t="s">
        <v>839</v>
      </c>
      <c r="B222" s="5" t="s">
        <v>546</v>
      </c>
      <c r="C222" s="5" t="s">
        <v>523</v>
      </c>
      <c r="D222" s="5" t="s">
        <v>645</v>
      </c>
      <c r="E222" s="5" t="s">
        <v>523</v>
      </c>
      <c r="F222" s="28" t="n">
        <f aca="false">IF(E222="","",IF(E222="DRINKS",0.21,0.11))</f>
        <v>0.21</v>
      </c>
      <c r="G222" s="29" t="n">
        <f aca="false">IF(B222="","",SUMIF(RETETAR!A:A,B222,RETETAR!F:F))</f>
        <v>3.71</v>
      </c>
      <c r="H222" s="30" t="n">
        <f aca="false">IF(B222="","",SUMIF(RETETAR!A:A,B222,RETETAR!H:H))</f>
        <v>3.71</v>
      </c>
      <c r="I222" s="31" t="n">
        <v>9.5</v>
      </c>
      <c r="J222" s="32" t="n">
        <f aca="false">IF(OR(I222="",F222=""),"",I222/(1+F222))</f>
        <v>7.85123966942149</v>
      </c>
      <c r="K222" s="33" t="n">
        <f aca="false">IF(OR(G222="",G222=0,J222="",J222=0),"",G222/J222)</f>
        <v>0.472536842105263</v>
      </c>
      <c r="L222" s="34" t="n">
        <f aca="false">IF(OR(H222="",H222=0,J222="",J222=0),"",H222/J222)</f>
        <v>0.472536842105263</v>
      </c>
      <c r="M222" s="35"/>
      <c r="N222" s="36" t="n">
        <v>0</v>
      </c>
      <c r="O222" s="36" t="n">
        <v>0</v>
      </c>
      <c r="P222" s="36" t="n">
        <v>0</v>
      </c>
      <c r="Q222" s="37" t="n">
        <f aca="false">IF(I222="","",I222+N(N222))</f>
        <v>9.5</v>
      </c>
      <c r="R222" s="37" t="n">
        <f aca="false">IF(OR(Q222="",F222=""),"",Q222/(1+F222))</f>
        <v>7.85123966942149</v>
      </c>
      <c r="S222" s="38" t="n">
        <f aca="false">IF(OR(H222="",H222=0,R222="",R222=0),"",H222/R222)</f>
        <v>0.472536842105263</v>
      </c>
      <c r="T222" s="39" t="n">
        <f aca="false">IF(I222="","",I222+N(N222+O222))</f>
        <v>9.5</v>
      </c>
      <c r="U222" s="39" t="n">
        <f aca="false">IF(OR(T222="",F222=""),"",T222/(1+F222))</f>
        <v>7.85123966942149</v>
      </c>
      <c r="V222" s="40" t="n">
        <f aca="false">IF(OR(H222="",H222=0,U222="",U222=0),"",H222/U222)</f>
        <v>0.472536842105263</v>
      </c>
      <c r="W222" s="41" t="n">
        <f aca="false">IF(I222="","",I222+N(N222+O222+P222))</f>
        <v>9.5</v>
      </c>
      <c r="X222" s="41" t="n">
        <f aca="false">IF(OR(W222="",F222=""),"",W222/(1+F222))</f>
        <v>7.85123966942149</v>
      </c>
      <c r="Y222" s="42" t="n">
        <f aca="false">IF(OR(H222="",H222=0,X222="",X222=0),"",H222/X222)</f>
        <v>0.472536842105263</v>
      </c>
    </row>
    <row r="223" customFormat="false" ht="15" hidden="false" customHeight="true" outlineLevel="0" collapsed="false">
      <c r="A223" s="5" t="s">
        <v>840</v>
      </c>
      <c r="B223" s="5" t="s">
        <v>547</v>
      </c>
      <c r="C223" s="5" t="s">
        <v>523</v>
      </c>
      <c r="D223" s="5" t="s">
        <v>642</v>
      </c>
      <c r="E223" s="5" t="s">
        <v>523</v>
      </c>
      <c r="F223" s="28" t="n">
        <f aca="false">IF(E223="","",IF(E223="DRINKS",0.21,0.11))</f>
        <v>0.21</v>
      </c>
      <c r="G223" s="29" t="n">
        <f aca="false">IF(B223="","",SUMIF(RETETAR!A:A,B223,RETETAR!F:F))</f>
        <v>3.71</v>
      </c>
      <c r="H223" s="30" t="n">
        <f aca="false">IF(B223="","",SUMIF(RETETAR!A:A,B223,RETETAR!H:H))</f>
        <v>3.71</v>
      </c>
      <c r="I223" s="31" t="n">
        <v>9.5</v>
      </c>
      <c r="J223" s="32" t="n">
        <f aca="false">IF(OR(I223="",F223=""),"",I223/(1+F223))</f>
        <v>7.85123966942149</v>
      </c>
      <c r="K223" s="33" t="n">
        <f aca="false">IF(OR(G223="",G223=0,J223="",J223=0),"",G223/J223)</f>
        <v>0.472536842105263</v>
      </c>
      <c r="L223" s="34" t="n">
        <f aca="false">IF(OR(H223="",H223=0,J223="",J223=0),"",H223/J223)</f>
        <v>0.472536842105263</v>
      </c>
      <c r="M223" s="35"/>
      <c r="N223" s="36" t="n">
        <v>0</v>
      </c>
      <c r="O223" s="36" t="n">
        <v>0</v>
      </c>
      <c r="P223" s="36" t="n">
        <v>0</v>
      </c>
      <c r="Q223" s="37" t="n">
        <f aca="false">IF(I223="","",I223+N(N223))</f>
        <v>9.5</v>
      </c>
      <c r="R223" s="37" t="n">
        <f aca="false">IF(OR(Q223="",F223=""),"",Q223/(1+F223))</f>
        <v>7.85123966942149</v>
      </c>
      <c r="S223" s="38" t="n">
        <f aca="false">IF(OR(H223="",H223=0,R223="",R223=0),"",H223/R223)</f>
        <v>0.472536842105263</v>
      </c>
      <c r="T223" s="39" t="n">
        <f aca="false">IF(I223="","",I223+N(N223+O223))</f>
        <v>9.5</v>
      </c>
      <c r="U223" s="39" t="n">
        <f aca="false">IF(OR(T223="",F223=""),"",T223/(1+F223))</f>
        <v>7.85123966942149</v>
      </c>
      <c r="V223" s="40" t="n">
        <f aca="false">IF(OR(H223="",H223=0,U223="",U223=0),"",H223/U223)</f>
        <v>0.472536842105263</v>
      </c>
      <c r="W223" s="41" t="n">
        <f aca="false">IF(I223="","",I223+N(N223+O223+P223))</f>
        <v>9.5</v>
      </c>
      <c r="X223" s="41" t="n">
        <f aca="false">IF(OR(W223="",F223=""),"",W223/(1+F223))</f>
        <v>7.85123966942149</v>
      </c>
      <c r="Y223" s="42" t="n">
        <f aca="false">IF(OR(H223="",H223=0,X223="",X223=0),"",H223/X223)</f>
        <v>0.472536842105263</v>
      </c>
    </row>
    <row r="224" customFormat="false" ht="15" hidden="false" customHeight="true" outlineLevel="0" collapsed="false">
      <c r="A224" s="5" t="s">
        <v>841</v>
      </c>
      <c r="B224" s="5" t="s">
        <v>548</v>
      </c>
      <c r="C224" s="5" t="s">
        <v>523</v>
      </c>
      <c r="D224" s="5" t="s">
        <v>645</v>
      </c>
      <c r="E224" s="5" t="s">
        <v>523</v>
      </c>
      <c r="F224" s="28" t="n">
        <f aca="false">IF(E224="","",IF(E224="DRINKS",0.21,0.11))</f>
        <v>0.21</v>
      </c>
      <c r="G224" s="29" t="n">
        <f aca="false">IF(B224="","",SUMIF(RETETAR!A:A,B224,RETETAR!F:F))</f>
        <v>3.71</v>
      </c>
      <c r="H224" s="30" t="n">
        <f aca="false">IF(B224="","",SUMIF(RETETAR!A:A,B224,RETETAR!H:H))</f>
        <v>3.71</v>
      </c>
      <c r="I224" s="31" t="n">
        <v>9.5</v>
      </c>
      <c r="J224" s="32" t="n">
        <f aca="false">IF(OR(I224="",F224=""),"",I224/(1+F224))</f>
        <v>7.85123966942149</v>
      </c>
      <c r="K224" s="33" t="n">
        <f aca="false">IF(OR(G224="",G224=0,J224="",J224=0),"",G224/J224)</f>
        <v>0.472536842105263</v>
      </c>
      <c r="L224" s="34" t="n">
        <f aca="false">IF(OR(H224="",H224=0,J224="",J224=0),"",H224/J224)</f>
        <v>0.472536842105263</v>
      </c>
      <c r="M224" s="35"/>
      <c r="N224" s="36" t="n">
        <v>0</v>
      </c>
      <c r="O224" s="36" t="n">
        <v>0</v>
      </c>
      <c r="P224" s="36" t="n">
        <v>0</v>
      </c>
      <c r="Q224" s="37" t="n">
        <f aca="false">IF(I224="","",I224+N(N224))</f>
        <v>9.5</v>
      </c>
      <c r="R224" s="37" t="n">
        <f aca="false">IF(OR(Q224="",F224=""),"",Q224/(1+F224))</f>
        <v>7.85123966942149</v>
      </c>
      <c r="S224" s="38" t="n">
        <f aca="false">IF(OR(H224="",H224=0,R224="",R224=0),"",H224/R224)</f>
        <v>0.472536842105263</v>
      </c>
      <c r="T224" s="39" t="n">
        <f aca="false">IF(I224="","",I224+N(N224+O224))</f>
        <v>9.5</v>
      </c>
      <c r="U224" s="39" t="n">
        <f aca="false">IF(OR(T224="",F224=""),"",T224/(1+F224))</f>
        <v>7.85123966942149</v>
      </c>
      <c r="V224" s="40" t="n">
        <f aca="false">IF(OR(H224="",H224=0,U224="",U224=0),"",H224/U224)</f>
        <v>0.472536842105263</v>
      </c>
      <c r="W224" s="41" t="n">
        <f aca="false">IF(I224="","",I224+N(N224+O224+P224))</f>
        <v>9.5</v>
      </c>
      <c r="X224" s="41" t="n">
        <f aca="false">IF(OR(W224="",F224=""),"",W224/(1+F224))</f>
        <v>7.85123966942149</v>
      </c>
      <c r="Y224" s="42" t="n">
        <f aca="false">IF(OR(H224="",H224=0,X224="",X224=0),"",H224/X224)</f>
        <v>0.472536842105263</v>
      </c>
    </row>
    <row r="225" customFormat="false" ht="15" hidden="false" customHeight="true" outlineLevel="0" collapsed="false">
      <c r="A225" s="5" t="s">
        <v>842</v>
      </c>
      <c r="B225" s="5" t="s">
        <v>549</v>
      </c>
      <c r="C225" s="5" t="s">
        <v>523</v>
      </c>
      <c r="D225" s="5" t="s">
        <v>645</v>
      </c>
      <c r="E225" s="5" t="s">
        <v>523</v>
      </c>
      <c r="F225" s="28" t="n">
        <f aca="false">IF(E225="","",IF(E225="DRINKS",0.21,0.11))</f>
        <v>0.21</v>
      </c>
      <c r="G225" s="29" t="n">
        <f aca="false">IF(B225="","",SUMIF(RETETAR!A:A,B225,RETETAR!F:F))</f>
        <v>0.643</v>
      </c>
      <c r="H225" s="30" t="n">
        <f aca="false">IF(B225="","",SUMIF(RETETAR!A:A,B225,RETETAR!H:H))</f>
        <v>0.643</v>
      </c>
      <c r="I225" s="31" t="n">
        <v>5.49</v>
      </c>
      <c r="J225" s="32" t="n">
        <f aca="false">IF(OR(I225="",F225=""),"",I225/(1+F225))</f>
        <v>4.53719008264463</v>
      </c>
      <c r="K225" s="33" t="n">
        <f aca="false">IF(OR(G225="",G225=0,J225="",J225=0),"",G225/J225)</f>
        <v>0.14171766848816</v>
      </c>
      <c r="L225" s="34" t="n">
        <f aca="false">IF(OR(H225="",H225=0,J225="",J225=0),"",H225/J225)</f>
        <v>0.14171766848816</v>
      </c>
      <c r="M225" s="35"/>
      <c r="N225" s="36" t="n">
        <v>0</v>
      </c>
      <c r="O225" s="36" t="n">
        <v>0</v>
      </c>
      <c r="P225" s="36" t="n">
        <v>0</v>
      </c>
      <c r="Q225" s="37" t="n">
        <f aca="false">IF(I225="","",I225+N(N225))</f>
        <v>5.49</v>
      </c>
      <c r="R225" s="37" t="n">
        <f aca="false">IF(OR(Q225="",F225=""),"",Q225/(1+F225))</f>
        <v>4.53719008264463</v>
      </c>
      <c r="S225" s="38" t="n">
        <f aca="false">IF(OR(H225="",H225=0,R225="",R225=0),"",H225/R225)</f>
        <v>0.14171766848816</v>
      </c>
      <c r="T225" s="39" t="n">
        <f aca="false">IF(I225="","",I225+N(N225+O225))</f>
        <v>5.49</v>
      </c>
      <c r="U225" s="39" t="n">
        <f aca="false">IF(OR(T225="",F225=""),"",T225/(1+F225))</f>
        <v>4.53719008264463</v>
      </c>
      <c r="V225" s="40" t="n">
        <f aca="false">IF(OR(H225="",H225=0,U225="",U225=0),"",H225/U225)</f>
        <v>0.14171766848816</v>
      </c>
      <c r="W225" s="41" t="n">
        <f aca="false">IF(I225="","",I225+N(N225+O225+P225))</f>
        <v>5.49</v>
      </c>
      <c r="X225" s="41" t="n">
        <f aca="false">IF(OR(W225="",F225=""),"",W225/(1+F225))</f>
        <v>4.53719008264463</v>
      </c>
      <c r="Y225" s="42" t="n">
        <f aca="false">IF(OR(H225="",H225=0,X225="",X225=0),"",H225/X225)</f>
        <v>0.14171766848816</v>
      </c>
    </row>
    <row r="226" customFormat="false" ht="15" hidden="false" customHeight="true" outlineLevel="0" collapsed="false">
      <c r="A226" s="5" t="s">
        <v>843</v>
      </c>
      <c r="B226" s="5" t="s">
        <v>550</v>
      </c>
      <c r="C226" s="5" t="s">
        <v>523</v>
      </c>
      <c r="D226" s="5" t="s">
        <v>645</v>
      </c>
      <c r="E226" s="5" t="s">
        <v>523</v>
      </c>
      <c r="F226" s="28" t="n">
        <f aca="false">IF(E226="","",IF(E226="DRINKS",0.21,0.11))</f>
        <v>0.21</v>
      </c>
      <c r="G226" s="29" t="n">
        <f aca="false">IF(B226="","",SUMIF(RETETAR!A:A,B226,RETETAR!F:F))</f>
        <v>1.935</v>
      </c>
      <c r="H226" s="30" t="n">
        <f aca="false">IF(B226="","",SUMIF(RETETAR!A:A,B226,RETETAR!H:H))</f>
        <v>1.935</v>
      </c>
      <c r="I226" s="31" t="n">
        <v>9.5</v>
      </c>
      <c r="J226" s="32" t="n">
        <f aca="false">IF(OR(I226="",F226=""),"",I226/(1+F226))</f>
        <v>7.85123966942149</v>
      </c>
      <c r="K226" s="33" t="n">
        <f aca="false">IF(OR(G226="",G226=0,J226="",J226=0),"",G226/J226)</f>
        <v>0.246457894736842</v>
      </c>
      <c r="L226" s="34" t="n">
        <f aca="false">IF(OR(H226="",H226=0,J226="",J226=0),"",H226/J226)</f>
        <v>0.246457894736842</v>
      </c>
      <c r="M226" s="35"/>
      <c r="N226" s="36" t="n">
        <v>0</v>
      </c>
      <c r="O226" s="36" t="n">
        <v>0</v>
      </c>
      <c r="P226" s="36" t="n">
        <v>0</v>
      </c>
      <c r="Q226" s="37" t="n">
        <f aca="false">IF(I226="","",I226+N(N226))</f>
        <v>9.5</v>
      </c>
      <c r="R226" s="37" t="n">
        <f aca="false">IF(OR(Q226="",F226=""),"",Q226/(1+F226))</f>
        <v>7.85123966942149</v>
      </c>
      <c r="S226" s="38" t="n">
        <f aca="false">IF(OR(H226="",H226=0,R226="",R226=0),"",H226/R226)</f>
        <v>0.246457894736842</v>
      </c>
      <c r="T226" s="39" t="n">
        <f aca="false">IF(I226="","",I226+N(N226+O226))</f>
        <v>9.5</v>
      </c>
      <c r="U226" s="39" t="n">
        <f aca="false">IF(OR(T226="",F226=""),"",T226/(1+F226))</f>
        <v>7.85123966942149</v>
      </c>
      <c r="V226" s="40" t="n">
        <f aca="false">IF(OR(H226="",H226=0,U226="",U226=0),"",H226/U226)</f>
        <v>0.246457894736842</v>
      </c>
      <c r="W226" s="41" t="n">
        <f aca="false">IF(I226="","",I226+N(N226+O226+P226))</f>
        <v>9.5</v>
      </c>
      <c r="X226" s="41" t="n">
        <f aca="false">IF(OR(W226="",F226=""),"",W226/(1+F226))</f>
        <v>7.85123966942149</v>
      </c>
      <c r="Y226" s="42" t="n">
        <f aca="false">IF(OR(H226="",H226=0,X226="",X226=0),"",H226/X226)</f>
        <v>0.246457894736842</v>
      </c>
    </row>
    <row r="227" customFormat="false" ht="15" hidden="false" customHeight="true" outlineLevel="0" collapsed="false">
      <c r="A227" s="5" t="s">
        <v>844</v>
      </c>
      <c r="B227" s="5" t="s">
        <v>551</v>
      </c>
      <c r="C227" s="5" t="s">
        <v>552</v>
      </c>
      <c r="D227" s="5" t="s">
        <v>642</v>
      </c>
      <c r="E227" s="5" t="s">
        <v>643</v>
      </c>
      <c r="F227" s="28" t="n">
        <f aca="false">IF(E227="","",IF(E227="DRINKS",0.21,0.11))</f>
        <v>0.11</v>
      </c>
      <c r="G227" s="29" t="n">
        <f aca="false">IF(B227="","",SUMIF(RETETAR!A:A,B227,RETETAR!F:F))</f>
        <v>8.783</v>
      </c>
      <c r="H227" s="30" t="n">
        <f aca="false">IF(B227="","",SUMIF(RETETAR!A:A,B227,RETETAR!H:H))</f>
        <v>8.783</v>
      </c>
      <c r="I227" s="31" t="n">
        <v>17</v>
      </c>
      <c r="J227" s="32" t="n">
        <f aca="false">IF(OR(I227="",F227=""),"",I227/(1+F227))</f>
        <v>15.3153153153153</v>
      </c>
      <c r="K227" s="33" t="n">
        <f aca="false">IF(OR(G227="",G227=0,J227="",J227=0),"",G227/J227)</f>
        <v>0.573478235294118</v>
      </c>
      <c r="L227" s="34" t="n">
        <f aca="false">IF(OR(H227="",H227=0,J227="",J227=0),"",H227/J227)</f>
        <v>0.573478235294118</v>
      </c>
      <c r="M227" s="35"/>
      <c r="N227" s="36" t="n">
        <v>0</v>
      </c>
      <c r="O227" s="36" t="n">
        <v>0</v>
      </c>
      <c r="P227" s="36" t="n">
        <v>0</v>
      </c>
      <c r="Q227" s="37" t="n">
        <f aca="false">IF(I227="","",I227+N(N227))</f>
        <v>17</v>
      </c>
      <c r="R227" s="37" t="n">
        <f aca="false">IF(OR(Q227="",F227=""),"",Q227/(1+F227))</f>
        <v>15.3153153153153</v>
      </c>
      <c r="S227" s="38" t="n">
        <f aca="false">IF(OR(H227="",H227=0,R227="",R227=0),"",H227/R227)</f>
        <v>0.573478235294118</v>
      </c>
      <c r="T227" s="39" t="n">
        <f aca="false">IF(I227="","",I227+N(N227+O227))</f>
        <v>17</v>
      </c>
      <c r="U227" s="39" t="n">
        <f aca="false">IF(OR(T227="",F227=""),"",T227/(1+F227))</f>
        <v>15.3153153153153</v>
      </c>
      <c r="V227" s="40" t="n">
        <f aca="false">IF(OR(H227="",H227=0,U227="",U227=0),"",H227/U227)</f>
        <v>0.573478235294118</v>
      </c>
      <c r="W227" s="41" t="n">
        <f aca="false">IF(I227="","",I227+N(N227+O227+P227))</f>
        <v>17</v>
      </c>
      <c r="X227" s="41" t="n">
        <f aca="false">IF(OR(W227="",F227=""),"",W227/(1+F227))</f>
        <v>15.3153153153153</v>
      </c>
      <c r="Y227" s="42" t="n">
        <f aca="false">IF(OR(H227="",H227=0,X227="",X227=0),"",H227/X227)</f>
        <v>0.573478235294118</v>
      </c>
    </row>
    <row r="228" customFormat="false" ht="15" hidden="false" customHeight="true" outlineLevel="0" collapsed="false">
      <c r="A228" s="5" t="s">
        <v>845</v>
      </c>
      <c r="B228" s="5" t="s">
        <v>553</v>
      </c>
      <c r="C228" s="5" t="s">
        <v>552</v>
      </c>
      <c r="D228" s="5" t="s">
        <v>645</v>
      </c>
      <c r="E228" s="5" t="s">
        <v>643</v>
      </c>
      <c r="F228" s="28" t="n">
        <f aca="false">IF(E228="","",IF(E228="DRINKS",0.21,0.11))</f>
        <v>0.11</v>
      </c>
      <c r="G228" s="29" t="n">
        <f aca="false">IF(B228="","",SUMIF(RETETAR!A:A,B228,RETETAR!F:F))</f>
        <v>8.783</v>
      </c>
      <c r="H228" s="30" t="n">
        <f aca="false">IF(B228="","",SUMIF(RETETAR!A:A,B228,RETETAR!H:H))</f>
        <v>8.783</v>
      </c>
      <c r="I228" s="31" t="n">
        <v>18</v>
      </c>
      <c r="J228" s="32" t="n">
        <f aca="false">IF(OR(I228="",F228=""),"",I228/(1+F228))</f>
        <v>16.2162162162162</v>
      </c>
      <c r="K228" s="33" t="n">
        <f aca="false">IF(OR(G228="",G228=0,J228="",J228=0),"",G228/J228)</f>
        <v>0.541618333333333</v>
      </c>
      <c r="L228" s="34" t="n">
        <f aca="false">IF(OR(H228="",H228=0,J228="",J228=0),"",H228/J228)</f>
        <v>0.541618333333333</v>
      </c>
      <c r="M228" s="35"/>
      <c r="N228" s="36" t="n">
        <v>0</v>
      </c>
      <c r="O228" s="36" t="n">
        <v>0</v>
      </c>
      <c r="P228" s="36" t="n">
        <v>0</v>
      </c>
      <c r="Q228" s="37" t="n">
        <f aca="false">IF(I228="","",I228+N(N228))</f>
        <v>18</v>
      </c>
      <c r="R228" s="37" t="n">
        <f aca="false">IF(OR(Q228="",F228=""),"",Q228/(1+F228))</f>
        <v>16.2162162162162</v>
      </c>
      <c r="S228" s="38" t="n">
        <f aca="false">IF(OR(H228="",H228=0,R228="",R228=0),"",H228/R228)</f>
        <v>0.541618333333333</v>
      </c>
      <c r="T228" s="39" t="n">
        <f aca="false">IF(I228="","",I228+N(N228+O228))</f>
        <v>18</v>
      </c>
      <c r="U228" s="39" t="n">
        <f aca="false">IF(OR(T228="",F228=""),"",T228/(1+F228))</f>
        <v>16.2162162162162</v>
      </c>
      <c r="V228" s="40" t="n">
        <f aca="false">IF(OR(H228="",H228=0,U228="",U228=0),"",H228/U228)</f>
        <v>0.541618333333333</v>
      </c>
      <c r="W228" s="41" t="n">
        <f aca="false">IF(I228="","",I228+N(N228+O228+P228))</f>
        <v>18</v>
      </c>
      <c r="X228" s="41" t="n">
        <f aca="false">IF(OR(W228="",F228=""),"",W228/(1+F228))</f>
        <v>16.2162162162162</v>
      </c>
      <c r="Y228" s="42" t="n">
        <f aca="false">IF(OR(H228="",H228=0,X228="",X228=0),"",H228/X228)</f>
        <v>0.541618333333333</v>
      </c>
    </row>
    <row r="229" customFormat="false" ht="15" hidden="false" customHeight="true" outlineLevel="0" collapsed="false">
      <c r="A229" s="5" t="s">
        <v>846</v>
      </c>
      <c r="B229" s="5" t="s">
        <v>554</v>
      </c>
      <c r="C229" s="5" t="s">
        <v>552</v>
      </c>
      <c r="D229" s="5" t="s">
        <v>642</v>
      </c>
      <c r="E229" s="5" t="s">
        <v>643</v>
      </c>
      <c r="F229" s="28" t="n">
        <f aca="false">IF(E229="","",IF(E229="DRINKS",0.21,0.11))</f>
        <v>0.11</v>
      </c>
      <c r="G229" s="29" t="n">
        <f aca="false">IF(B229="","",SUMIF(RETETAR!A:A,B229,RETETAR!F:F))</f>
        <v>5.19</v>
      </c>
      <c r="H229" s="30" t="n">
        <f aca="false">IF(B229="","",SUMIF(RETETAR!A:A,B229,RETETAR!H:H))</f>
        <v>5.19</v>
      </c>
      <c r="I229" s="31" t="n">
        <v>15</v>
      </c>
      <c r="J229" s="32" t="n">
        <f aca="false">IF(OR(I229="",F229=""),"",I229/(1+F229))</f>
        <v>13.5135135135135</v>
      </c>
      <c r="K229" s="33" t="n">
        <f aca="false">IF(OR(G229="",G229=0,J229="",J229=0),"",G229/J229)</f>
        <v>0.38406</v>
      </c>
      <c r="L229" s="34" t="n">
        <f aca="false">IF(OR(H229="",H229=0,J229="",J229=0),"",H229/J229)</f>
        <v>0.38406</v>
      </c>
      <c r="M229" s="35"/>
      <c r="N229" s="36" t="n">
        <v>0</v>
      </c>
      <c r="O229" s="36" t="n">
        <v>0</v>
      </c>
      <c r="P229" s="36" t="n">
        <v>0</v>
      </c>
      <c r="Q229" s="37" t="n">
        <f aca="false">IF(I229="","",I229+N(N229))</f>
        <v>15</v>
      </c>
      <c r="R229" s="37" t="n">
        <f aca="false">IF(OR(Q229="",F229=""),"",Q229/(1+F229))</f>
        <v>13.5135135135135</v>
      </c>
      <c r="S229" s="38" t="n">
        <f aca="false">IF(OR(H229="",H229=0,R229="",R229=0),"",H229/R229)</f>
        <v>0.38406</v>
      </c>
      <c r="T229" s="39" t="n">
        <f aca="false">IF(I229="","",I229+N(N229+O229))</f>
        <v>15</v>
      </c>
      <c r="U229" s="39" t="n">
        <f aca="false">IF(OR(T229="",F229=""),"",T229/(1+F229))</f>
        <v>13.5135135135135</v>
      </c>
      <c r="V229" s="40" t="n">
        <f aca="false">IF(OR(H229="",H229=0,U229="",U229=0),"",H229/U229)</f>
        <v>0.38406</v>
      </c>
      <c r="W229" s="41" t="n">
        <f aca="false">IF(I229="","",I229+N(N229+O229+P229))</f>
        <v>15</v>
      </c>
      <c r="X229" s="41" t="n">
        <f aca="false">IF(OR(W229="",F229=""),"",W229/(1+F229))</f>
        <v>13.5135135135135</v>
      </c>
      <c r="Y229" s="42" t="n">
        <f aca="false">IF(OR(H229="",H229=0,X229="",X229=0),"",H229/X229)</f>
        <v>0.38406</v>
      </c>
    </row>
    <row r="230" customFormat="false" ht="15" hidden="false" customHeight="true" outlineLevel="0" collapsed="false">
      <c r="A230" s="5" t="s">
        <v>847</v>
      </c>
      <c r="B230" s="5" t="s">
        <v>555</v>
      </c>
      <c r="C230" s="5" t="s">
        <v>552</v>
      </c>
      <c r="D230" s="5" t="s">
        <v>645</v>
      </c>
      <c r="E230" s="5" t="s">
        <v>643</v>
      </c>
      <c r="F230" s="28" t="n">
        <f aca="false">IF(E230="","",IF(E230="DRINKS",0.21,0.11))</f>
        <v>0.11</v>
      </c>
      <c r="G230" s="29" t="n">
        <f aca="false">IF(B230="","",SUMIF(RETETAR!A:A,B230,RETETAR!F:F))</f>
        <v>5.19</v>
      </c>
      <c r="H230" s="30" t="n">
        <f aca="false">IF(B230="","",SUMIF(RETETAR!A:A,B230,RETETAR!H:H))</f>
        <v>5.19</v>
      </c>
      <c r="I230" s="31" t="n">
        <v>16</v>
      </c>
      <c r="J230" s="32" t="n">
        <f aca="false">IF(OR(I230="",F230=""),"",I230/(1+F230))</f>
        <v>14.4144144144144</v>
      </c>
      <c r="K230" s="33" t="n">
        <f aca="false">IF(OR(G230="",G230=0,J230="",J230=0),"",G230/J230)</f>
        <v>0.36005625</v>
      </c>
      <c r="L230" s="34" t="n">
        <f aca="false">IF(OR(H230="",H230=0,J230="",J230=0),"",H230/J230)</f>
        <v>0.36005625</v>
      </c>
      <c r="M230" s="35"/>
      <c r="N230" s="36" t="n">
        <v>0</v>
      </c>
      <c r="O230" s="36" t="n">
        <v>0</v>
      </c>
      <c r="P230" s="36" t="n">
        <v>0</v>
      </c>
      <c r="Q230" s="37" t="n">
        <f aca="false">IF(I230="","",I230+N(N230))</f>
        <v>16</v>
      </c>
      <c r="R230" s="37" t="n">
        <f aca="false">IF(OR(Q230="",F230=""),"",Q230/(1+F230))</f>
        <v>14.4144144144144</v>
      </c>
      <c r="S230" s="38" t="n">
        <f aca="false">IF(OR(H230="",H230=0,R230="",R230=0),"",H230/R230)</f>
        <v>0.36005625</v>
      </c>
      <c r="T230" s="39" t="n">
        <f aca="false">IF(I230="","",I230+N(N230+O230))</f>
        <v>16</v>
      </c>
      <c r="U230" s="39" t="n">
        <f aca="false">IF(OR(T230="",F230=""),"",T230/(1+F230))</f>
        <v>14.4144144144144</v>
      </c>
      <c r="V230" s="40" t="n">
        <f aca="false">IF(OR(H230="",H230=0,U230="",U230=0),"",H230/U230)</f>
        <v>0.36005625</v>
      </c>
      <c r="W230" s="41" t="n">
        <f aca="false">IF(I230="","",I230+N(N230+O230+P230))</f>
        <v>16</v>
      </c>
      <c r="X230" s="41" t="n">
        <f aca="false">IF(OR(W230="",F230=""),"",W230/(1+F230))</f>
        <v>14.4144144144144</v>
      </c>
      <c r="Y230" s="42" t="n">
        <f aca="false">IF(OR(H230="",H230=0,X230="",X230=0),"",H230/X230)</f>
        <v>0.36005625</v>
      </c>
    </row>
    <row r="231" customFormat="false" ht="15" hidden="false" customHeight="true" outlineLevel="0" collapsed="false">
      <c r="A231" s="5" t="s">
        <v>848</v>
      </c>
      <c r="B231" s="5" t="s">
        <v>556</v>
      </c>
      <c r="C231" s="5" t="s">
        <v>552</v>
      </c>
      <c r="D231" s="5" t="s">
        <v>642</v>
      </c>
      <c r="E231" s="5" t="s">
        <v>643</v>
      </c>
      <c r="F231" s="28" t="n">
        <f aca="false">IF(E231="","",IF(E231="DRINKS",0.21,0.11))</f>
        <v>0.11</v>
      </c>
      <c r="G231" s="29" t="n">
        <f aca="false">IF(B231="","",SUMIF(RETETAR!A:A,B231,RETETAR!F:F))</f>
        <v>8.278</v>
      </c>
      <c r="H231" s="30" t="n">
        <f aca="false">IF(B231="","",SUMIF(RETETAR!A:A,B231,RETETAR!H:H))</f>
        <v>8.278</v>
      </c>
      <c r="I231" s="31" t="n">
        <v>17</v>
      </c>
      <c r="J231" s="32" t="n">
        <f aca="false">IF(OR(I231="",F231=""),"",I231/(1+F231))</f>
        <v>15.3153153153153</v>
      </c>
      <c r="K231" s="33" t="n">
        <f aca="false">IF(OR(G231="",G231=0,J231="",J231=0),"",G231/J231)</f>
        <v>0.540504705882353</v>
      </c>
      <c r="L231" s="34" t="n">
        <f aca="false">IF(OR(H231="",H231=0,J231="",J231=0),"",H231/J231)</f>
        <v>0.540504705882353</v>
      </c>
      <c r="M231" s="35"/>
      <c r="N231" s="36" t="n">
        <v>0</v>
      </c>
      <c r="O231" s="36" t="n">
        <v>0</v>
      </c>
      <c r="P231" s="36" t="n">
        <v>0</v>
      </c>
      <c r="Q231" s="37" t="n">
        <f aca="false">IF(I231="","",I231+N(N231))</f>
        <v>17</v>
      </c>
      <c r="R231" s="37" t="n">
        <f aca="false">IF(OR(Q231="",F231=""),"",Q231/(1+F231))</f>
        <v>15.3153153153153</v>
      </c>
      <c r="S231" s="38" t="n">
        <f aca="false">IF(OR(H231="",H231=0,R231="",R231=0),"",H231/R231)</f>
        <v>0.540504705882353</v>
      </c>
      <c r="T231" s="39" t="n">
        <f aca="false">IF(I231="","",I231+N(N231+O231))</f>
        <v>17</v>
      </c>
      <c r="U231" s="39" t="n">
        <f aca="false">IF(OR(T231="",F231=""),"",T231/(1+F231))</f>
        <v>15.3153153153153</v>
      </c>
      <c r="V231" s="40" t="n">
        <f aca="false">IF(OR(H231="",H231=0,U231="",U231=0),"",H231/U231)</f>
        <v>0.540504705882353</v>
      </c>
      <c r="W231" s="41" t="n">
        <f aca="false">IF(I231="","",I231+N(N231+O231+P231))</f>
        <v>17</v>
      </c>
      <c r="X231" s="41" t="n">
        <f aca="false">IF(OR(W231="",F231=""),"",W231/(1+F231))</f>
        <v>15.3153153153153</v>
      </c>
      <c r="Y231" s="42" t="n">
        <f aca="false">IF(OR(H231="",H231=0,X231="",X231=0),"",H231/X231)</f>
        <v>0.540504705882353</v>
      </c>
    </row>
    <row r="232" customFormat="false" ht="15" hidden="false" customHeight="true" outlineLevel="0" collapsed="false">
      <c r="A232" s="5" t="s">
        <v>849</v>
      </c>
      <c r="B232" s="5" t="s">
        <v>557</v>
      </c>
      <c r="C232" s="5" t="s">
        <v>552</v>
      </c>
      <c r="D232" s="5" t="s">
        <v>645</v>
      </c>
      <c r="E232" s="5" t="s">
        <v>643</v>
      </c>
      <c r="F232" s="28" t="n">
        <f aca="false">IF(E232="","",IF(E232="DRINKS",0.21,0.11))</f>
        <v>0.11</v>
      </c>
      <c r="G232" s="29" t="n">
        <f aca="false">IF(B232="","",SUMIF(RETETAR!A:A,B232,RETETAR!F:F))</f>
        <v>8.278</v>
      </c>
      <c r="H232" s="30" t="n">
        <f aca="false">IF(B232="","",SUMIF(RETETAR!A:A,B232,RETETAR!H:H))</f>
        <v>8.278</v>
      </c>
      <c r="I232" s="31" t="n">
        <v>18</v>
      </c>
      <c r="J232" s="32" t="n">
        <f aca="false">IF(OR(I232="",F232=""),"",I232/(1+F232))</f>
        <v>16.2162162162162</v>
      </c>
      <c r="K232" s="33" t="n">
        <f aca="false">IF(OR(G232="",G232=0,J232="",J232=0),"",G232/J232)</f>
        <v>0.510476666666667</v>
      </c>
      <c r="L232" s="34" t="n">
        <f aca="false">IF(OR(H232="",H232=0,J232="",J232=0),"",H232/J232)</f>
        <v>0.510476666666667</v>
      </c>
      <c r="M232" s="35"/>
      <c r="N232" s="36" t="n">
        <v>0</v>
      </c>
      <c r="O232" s="36" t="n">
        <v>0</v>
      </c>
      <c r="P232" s="36" t="n">
        <v>0</v>
      </c>
      <c r="Q232" s="37" t="n">
        <f aca="false">IF(I232="","",I232+N(N232))</f>
        <v>18</v>
      </c>
      <c r="R232" s="37" t="n">
        <f aca="false">IF(OR(Q232="",F232=""),"",Q232/(1+F232))</f>
        <v>16.2162162162162</v>
      </c>
      <c r="S232" s="38" t="n">
        <f aca="false">IF(OR(H232="",H232=0,R232="",R232=0),"",H232/R232)</f>
        <v>0.510476666666667</v>
      </c>
      <c r="T232" s="39" t="n">
        <f aca="false">IF(I232="","",I232+N(N232+O232))</f>
        <v>18</v>
      </c>
      <c r="U232" s="39" t="n">
        <f aca="false">IF(OR(T232="",F232=""),"",T232/(1+F232))</f>
        <v>16.2162162162162</v>
      </c>
      <c r="V232" s="40" t="n">
        <f aca="false">IF(OR(H232="",H232=0,U232="",U232=0),"",H232/U232)</f>
        <v>0.510476666666667</v>
      </c>
      <c r="W232" s="41" t="n">
        <f aca="false">IF(I232="","",I232+N(N232+O232+P232))</f>
        <v>18</v>
      </c>
      <c r="X232" s="41" t="n">
        <f aca="false">IF(OR(W232="",F232=""),"",W232/(1+F232))</f>
        <v>16.2162162162162</v>
      </c>
      <c r="Y232" s="42" t="n">
        <f aca="false">IF(OR(H232="",H232=0,X232="",X232=0),"",H232/X232)</f>
        <v>0.510476666666667</v>
      </c>
    </row>
    <row r="233" customFormat="false" ht="15" hidden="false" customHeight="true" outlineLevel="0" collapsed="false">
      <c r="A233" s="5" t="s">
        <v>850</v>
      </c>
      <c r="B233" s="5" t="s">
        <v>558</v>
      </c>
      <c r="C233" s="5" t="s">
        <v>552</v>
      </c>
      <c r="D233" s="5" t="s">
        <v>642</v>
      </c>
      <c r="E233" s="5" t="s">
        <v>643</v>
      </c>
      <c r="F233" s="28" t="n">
        <f aca="false">IF(E233="","",IF(E233="DRINKS",0.21,0.11))</f>
        <v>0.11</v>
      </c>
      <c r="G233" s="29" t="n">
        <f aca="false">IF(B233="","",SUMIF(RETETAR!A:A,B233,RETETAR!F:F))</f>
        <v>7.655</v>
      </c>
      <c r="H233" s="30" t="n">
        <f aca="false">IF(B233="","",SUMIF(RETETAR!A:A,B233,RETETAR!H:H))</f>
        <v>7.655</v>
      </c>
      <c r="I233" s="31" t="n">
        <v>17</v>
      </c>
      <c r="J233" s="32" t="n">
        <f aca="false">IF(OR(I233="",F233=""),"",I233/(1+F233))</f>
        <v>15.3153153153153</v>
      </c>
      <c r="K233" s="33" t="n">
        <f aca="false">IF(OR(G233="",G233=0,J233="",J233=0),"",G233/J233)</f>
        <v>0.499826470588235</v>
      </c>
      <c r="L233" s="34" t="n">
        <f aca="false">IF(OR(H233="",H233=0,J233="",J233=0),"",H233/J233)</f>
        <v>0.499826470588235</v>
      </c>
      <c r="M233" s="35"/>
      <c r="N233" s="36" t="n">
        <v>0</v>
      </c>
      <c r="O233" s="36" t="n">
        <v>0</v>
      </c>
      <c r="P233" s="36" t="n">
        <v>0</v>
      </c>
      <c r="Q233" s="37" t="n">
        <f aca="false">IF(I233="","",I233+N(N233))</f>
        <v>17</v>
      </c>
      <c r="R233" s="37" t="n">
        <f aca="false">IF(OR(Q233="",F233=""),"",Q233/(1+F233))</f>
        <v>15.3153153153153</v>
      </c>
      <c r="S233" s="38" t="n">
        <f aca="false">IF(OR(H233="",H233=0,R233="",R233=0),"",H233/R233)</f>
        <v>0.499826470588235</v>
      </c>
      <c r="T233" s="39" t="n">
        <f aca="false">IF(I233="","",I233+N(N233+O233))</f>
        <v>17</v>
      </c>
      <c r="U233" s="39" t="n">
        <f aca="false">IF(OR(T233="",F233=""),"",T233/(1+F233))</f>
        <v>15.3153153153153</v>
      </c>
      <c r="V233" s="40" t="n">
        <f aca="false">IF(OR(H233="",H233=0,U233="",U233=0),"",H233/U233)</f>
        <v>0.499826470588235</v>
      </c>
      <c r="W233" s="41" t="n">
        <f aca="false">IF(I233="","",I233+N(N233+O233+P233))</f>
        <v>17</v>
      </c>
      <c r="X233" s="41" t="n">
        <f aca="false">IF(OR(W233="",F233=""),"",W233/(1+F233))</f>
        <v>15.3153153153153</v>
      </c>
      <c r="Y233" s="42" t="n">
        <f aca="false">IF(OR(H233="",H233=0,X233="",X233=0),"",H233/X233)</f>
        <v>0.499826470588235</v>
      </c>
    </row>
    <row r="234" customFormat="false" ht="15" hidden="false" customHeight="true" outlineLevel="0" collapsed="false">
      <c r="A234" s="5" t="s">
        <v>851</v>
      </c>
      <c r="B234" s="5" t="s">
        <v>559</v>
      </c>
      <c r="C234" s="5" t="s">
        <v>552</v>
      </c>
      <c r="D234" s="5" t="s">
        <v>645</v>
      </c>
      <c r="E234" s="5" t="s">
        <v>643</v>
      </c>
      <c r="F234" s="28" t="n">
        <f aca="false">IF(E234="","",IF(E234="DRINKS",0.21,0.11))</f>
        <v>0.11</v>
      </c>
      <c r="G234" s="29" t="n">
        <f aca="false">IF(B234="","",SUMIF(RETETAR!A:A,B234,RETETAR!F:F))</f>
        <v>7.655</v>
      </c>
      <c r="H234" s="30" t="n">
        <f aca="false">IF(B234="","",SUMIF(RETETAR!A:A,B234,RETETAR!H:H))</f>
        <v>7.655</v>
      </c>
      <c r="I234" s="31" t="n">
        <v>18</v>
      </c>
      <c r="J234" s="32" t="n">
        <f aca="false">IF(OR(I234="",F234=""),"",I234/(1+F234))</f>
        <v>16.2162162162162</v>
      </c>
      <c r="K234" s="33" t="n">
        <f aca="false">IF(OR(G234="",G234=0,J234="",J234=0),"",G234/J234)</f>
        <v>0.472058333333333</v>
      </c>
      <c r="L234" s="34" t="n">
        <f aca="false">IF(OR(H234="",H234=0,J234="",J234=0),"",H234/J234)</f>
        <v>0.472058333333333</v>
      </c>
      <c r="M234" s="35"/>
      <c r="N234" s="36" t="n">
        <v>0</v>
      </c>
      <c r="O234" s="36" t="n">
        <v>0</v>
      </c>
      <c r="P234" s="36" t="n">
        <v>0</v>
      </c>
      <c r="Q234" s="37" t="n">
        <f aca="false">IF(I234="","",I234+N(N234))</f>
        <v>18</v>
      </c>
      <c r="R234" s="37" t="n">
        <f aca="false">IF(OR(Q234="",F234=""),"",Q234/(1+F234))</f>
        <v>16.2162162162162</v>
      </c>
      <c r="S234" s="38" t="n">
        <f aca="false">IF(OR(H234="",H234=0,R234="",R234=0),"",H234/R234)</f>
        <v>0.472058333333333</v>
      </c>
      <c r="T234" s="39" t="n">
        <f aca="false">IF(I234="","",I234+N(N234+O234))</f>
        <v>18</v>
      </c>
      <c r="U234" s="39" t="n">
        <f aca="false">IF(OR(T234="",F234=""),"",T234/(1+F234))</f>
        <v>16.2162162162162</v>
      </c>
      <c r="V234" s="40" t="n">
        <f aca="false">IF(OR(H234="",H234=0,U234="",U234=0),"",H234/U234)</f>
        <v>0.472058333333333</v>
      </c>
      <c r="W234" s="41" t="n">
        <f aca="false">IF(I234="","",I234+N(N234+O234+P234))</f>
        <v>18</v>
      </c>
      <c r="X234" s="41" t="n">
        <f aca="false">IF(OR(W234="",F234=""),"",W234/(1+F234))</f>
        <v>16.2162162162162</v>
      </c>
      <c r="Y234" s="42" t="n">
        <f aca="false">IF(OR(H234="",H234=0,X234="",X234=0),"",H234/X234)</f>
        <v>0.472058333333333</v>
      </c>
    </row>
    <row r="235" customFormat="false" ht="15" hidden="false" customHeight="true" outlineLevel="0" collapsed="false">
      <c r="A235" s="5" t="s">
        <v>852</v>
      </c>
      <c r="B235" s="5" t="s">
        <v>560</v>
      </c>
      <c r="C235" s="5" t="s">
        <v>552</v>
      </c>
      <c r="D235" s="5" t="s">
        <v>642</v>
      </c>
      <c r="E235" s="5" t="s">
        <v>643</v>
      </c>
      <c r="F235" s="28" t="n">
        <f aca="false">IF(E235="","",IF(E235="DRINKS",0.21,0.11))</f>
        <v>0.11</v>
      </c>
      <c r="G235" s="29" t="n">
        <f aca="false">IF(B235="","",SUMIF(RETETAR!A:A,B235,RETETAR!F:F))</f>
        <v>5.326</v>
      </c>
      <c r="H235" s="30" t="n">
        <f aca="false">IF(B235="","",SUMIF(RETETAR!A:A,B235,RETETAR!H:H))</f>
        <v>5.326</v>
      </c>
      <c r="I235" s="31" t="n">
        <v>15</v>
      </c>
      <c r="J235" s="32" t="n">
        <f aca="false">IF(OR(I235="",F235=""),"",I235/(1+F235))</f>
        <v>13.5135135135135</v>
      </c>
      <c r="K235" s="33" t="n">
        <f aca="false">IF(OR(G235="",G235=0,J235="",J235=0),"",G235/J235)</f>
        <v>0.394124</v>
      </c>
      <c r="L235" s="34" t="n">
        <f aca="false">IF(OR(H235="",H235=0,J235="",J235=0),"",H235/J235)</f>
        <v>0.394124</v>
      </c>
      <c r="M235" s="35"/>
      <c r="N235" s="36" t="n">
        <v>0</v>
      </c>
      <c r="O235" s="36" t="n">
        <v>0</v>
      </c>
      <c r="P235" s="36" t="n">
        <v>0</v>
      </c>
      <c r="Q235" s="37" t="n">
        <f aca="false">IF(I235="","",I235+N(N235))</f>
        <v>15</v>
      </c>
      <c r="R235" s="37" t="n">
        <f aca="false">IF(OR(Q235="",F235=""),"",Q235/(1+F235))</f>
        <v>13.5135135135135</v>
      </c>
      <c r="S235" s="38" t="n">
        <f aca="false">IF(OR(H235="",H235=0,R235="",R235=0),"",H235/R235)</f>
        <v>0.394124</v>
      </c>
      <c r="T235" s="39" t="n">
        <f aca="false">IF(I235="","",I235+N(N235+O235))</f>
        <v>15</v>
      </c>
      <c r="U235" s="39" t="n">
        <f aca="false">IF(OR(T235="",F235=""),"",T235/(1+F235))</f>
        <v>13.5135135135135</v>
      </c>
      <c r="V235" s="40" t="n">
        <f aca="false">IF(OR(H235="",H235=0,U235="",U235=0),"",H235/U235)</f>
        <v>0.394124</v>
      </c>
      <c r="W235" s="41" t="n">
        <f aca="false">IF(I235="","",I235+N(N235+O235+P235))</f>
        <v>15</v>
      </c>
      <c r="X235" s="41" t="n">
        <f aca="false">IF(OR(W235="",F235=""),"",W235/(1+F235))</f>
        <v>13.5135135135135</v>
      </c>
      <c r="Y235" s="42" t="n">
        <f aca="false">IF(OR(H235="",H235=0,X235="",X235=0),"",H235/X235)</f>
        <v>0.394124</v>
      </c>
    </row>
    <row r="236" customFormat="false" ht="15" hidden="false" customHeight="true" outlineLevel="0" collapsed="false">
      <c r="A236" s="5" t="s">
        <v>853</v>
      </c>
      <c r="B236" s="5" t="s">
        <v>561</v>
      </c>
      <c r="C236" s="5" t="s">
        <v>552</v>
      </c>
      <c r="D236" s="5" t="s">
        <v>645</v>
      </c>
      <c r="E236" s="5" t="s">
        <v>643</v>
      </c>
      <c r="F236" s="28" t="n">
        <f aca="false">IF(E236="","",IF(E236="DRINKS",0.21,0.11))</f>
        <v>0.11</v>
      </c>
      <c r="G236" s="29" t="n">
        <f aca="false">IF(B236="","",SUMIF(RETETAR!A:A,B236,RETETAR!F:F))</f>
        <v>5.326</v>
      </c>
      <c r="H236" s="30" t="n">
        <f aca="false">IF(B236="","",SUMIF(RETETAR!A:A,B236,RETETAR!H:H))</f>
        <v>5.326</v>
      </c>
      <c r="I236" s="31" t="n">
        <v>16</v>
      </c>
      <c r="J236" s="32" t="n">
        <f aca="false">IF(OR(I236="",F236=""),"",I236/(1+F236))</f>
        <v>14.4144144144144</v>
      </c>
      <c r="K236" s="33" t="n">
        <f aca="false">IF(OR(G236="",G236=0,J236="",J236=0),"",G236/J236)</f>
        <v>0.36949125</v>
      </c>
      <c r="L236" s="34" t="n">
        <f aca="false">IF(OR(H236="",H236=0,J236="",J236=0),"",H236/J236)</f>
        <v>0.36949125</v>
      </c>
      <c r="M236" s="35"/>
      <c r="N236" s="36" t="n">
        <v>0</v>
      </c>
      <c r="O236" s="36" t="n">
        <v>0</v>
      </c>
      <c r="P236" s="36" t="n">
        <v>0</v>
      </c>
      <c r="Q236" s="37" t="n">
        <f aca="false">IF(I236="","",I236+N(N236))</f>
        <v>16</v>
      </c>
      <c r="R236" s="37" t="n">
        <f aca="false">IF(OR(Q236="",F236=""),"",Q236/(1+F236))</f>
        <v>14.4144144144144</v>
      </c>
      <c r="S236" s="38" t="n">
        <f aca="false">IF(OR(H236="",H236=0,R236="",R236=0),"",H236/R236)</f>
        <v>0.36949125</v>
      </c>
      <c r="T236" s="39" t="n">
        <f aca="false">IF(I236="","",I236+N(N236+O236))</f>
        <v>16</v>
      </c>
      <c r="U236" s="39" t="n">
        <f aca="false">IF(OR(T236="",F236=""),"",T236/(1+F236))</f>
        <v>14.4144144144144</v>
      </c>
      <c r="V236" s="40" t="n">
        <f aca="false">IF(OR(H236="",H236=0,U236="",U236=0),"",H236/U236)</f>
        <v>0.36949125</v>
      </c>
      <c r="W236" s="41" t="n">
        <f aca="false">IF(I236="","",I236+N(N236+O236+P236))</f>
        <v>16</v>
      </c>
      <c r="X236" s="41" t="n">
        <f aca="false">IF(OR(W236="",F236=""),"",W236/(1+F236))</f>
        <v>14.4144144144144</v>
      </c>
      <c r="Y236" s="42" t="n">
        <f aca="false">IF(OR(H236="",H236=0,X236="",X236=0),"",H236/X236)</f>
        <v>0.36949125</v>
      </c>
    </row>
    <row r="237" customFormat="false" ht="15" hidden="false" customHeight="true" outlineLevel="0" collapsed="false">
      <c r="A237" s="5" t="s">
        <v>854</v>
      </c>
      <c r="B237" s="5" t="s">
        <v>562</v>
      </c>
      <c r="C237" s="5" t="s">
        <v>552</v>
      </c>
      <c r="D237" s="5" t="s">
        <v>642</v>
      </c>
      <c r="E237" s="5" t="s">
        <v>643</v>
      </c>
      <c r="F237" s="28" t="n">
        <f aca="false">IF(E237="","",IF(E237="DRINKS",0.21,0.11))</f>
        <v>0.11</v>
      </c>
      <c r="G237" s="29" t="n">
        <f aca="false">IF(B237="","",SUMIF(RETETAR!A:A,B237,RETETAR!F:F))</f>
        <v>7.755</v>
      </c>
      <c r="H237" s="30" t="n">
        <f aca="false">IF(B237="","",SUMIF(RETETAR!A:A,B237,RETETAR!H:H))</f>
        <v>7.755</v>
      </c>
      <c r="I237" s="31" t="n">
        <v>17</v>
      </c>
      <c r="J237" s="32" t="n">
        <f aca="false">IF(OR(I237="",F237=""),"",I237/(1+F237))</f>
        <v>15.3153153153153</v>
      </c>
      <c r="K237" s="33" t="n">
        <f aca="false">IF(OR(G237="",G237=0,J237="",J237=0),"",G237/J237)</f>
        <v>0.506355882352941</v>
      </c>
      <c r="L237" s="34" t="n">
        <f aca="false">IF(OR(H237="",H237=0,J237="",J237=0),"",H237/J237)</f>
        <v>0.506355882352941</v>
      </c>
      <c r="M237" s="35"/>
      <c r="N237" s="36" t="n">
        <v>0</v>
      </c>
      <c r="O237" s="36" t="n">
        <v>0</v>
      </c>
      <c r="P237" s="36" t="n">
        <v>0</v>
      </c>
      <c r="Q237" s="37" t="n">
        <f aca="false">IF(I237="","",I237+N(N237))</f>
        <v>17</v>
      </c>
      <c r="R237" s="37" t="n">
        <f aca="false">IF(OR(Q237="",F237=""),"",Q237/(1+F237))</f>
        <v>15.3153153153153</v>
      </c>
      <c r="S237" s="38" t="n">
        <f aca="false">IF(OR(H237="",H237=0,R237="",R237=0),"",H237/R237)</f>
        <v>0.506355882352941</v>
      </c>
      <c r="T237" s="39" t="n">
        <f aca="false">IF(I237="","",I237+N(N237+O237))</f>
        <v>17</v>
      </c>
      <c r="U237" s="39" t="n">
        <f aca="false">IF(OR(T237="",F237=""),"",T237/(1+F237))</f>
        <v>15.3153153153153</v>
      </c>
      <c r="V237" s="40" t="n">
        <f aca="false">IF(OR(H237="",H237=0,U237="",U237=0),"",H237/U237)</f>
        <v>0.506355882352941</v>
      </c>
      <c r="W237" s="41" t="n">
        <f aca="false">IF(I237="","",I237+N(N237+O237+P237))</f>
        <v>17</v>
      </c>
      <c r="X237" s="41" t="n">
        <f aca="false">IF(OR(W237="",F237=""),"",W237/(1+F237))</f>
        <v>15.3153153153153</v>
      </c>
      <c r="Y237" s="42" t="n">
        <f aca="false">IF(OR(H237="",H237=0,X237="",X237=0),"",H237/X237)</f>
        <v>0.506355882352941</v>
      </c>
    </row>
    <row r="238" customFormat="false" ht="15" hidden="false" customHeight="true" outlineLevel="0" collapsed="false">
      <c r="A238" s="5" t="s">
        <v>855</v>
      </c>
      <c r="B238" s="5" t="s">
        <v>563</v>
      </c>
      <c r="C238" s="5" t="s">
        <v>552</v>
      </c>
      <c r="D238" s="5" t="s">
        <v>645</v>
      </c>
      <c r="E238" s="5" t="s">
        <v>643</v>
      </c>
      <c r="F238" s="28" t="n">
        <f aca="false">IF(E238="","",IF(E238="DRINKS",0.21,0.11))</f>
        <v>0.11</v>
      </c>
      <c r="G238" s="29" t="n">
        <f aca="false">IF(B238="","",SUMIF(RETETAR!A:A,B238,RETETAR!F:F))</f>
        <v>7.755</v>
      </c>
      <c r="H238" s="30" t="n">
        <f aca="false">IF(B238="","",SUMIF(RETETAR!A:A,B238,RETETAR!H:H))</f>
        <v>7.755</v>
      </c>
      <c r="I238" s="31" t="n">
        <v>18</v>
      </c>
      <c r="J238" s="32" t="n">
        <f aca="false">IF(OR(I238="",F238=""),"",I238/(1+F238))</f>
        <v>16.2162162162162</v>
      </c>
      <c r="K238" s="33" t="n">
        <f aca="false">IF(OR(G238="",G238=0,J238="",J238=0),"",G238/J238)</f>
        <v>0.478225</v>
      </c>
      <c r="L238" s="34" t="n">
        <f aca="false">IF(OR(H238="",H238=0,J238="",J238=0),"",H238/J238)</f>
        <v>0.478225</v>
      </c>
      <c r="M238" s="35"/>
      <c r="N238" s="36" t="n">
        <v>0</v>
      </c>
      <c r="O238" s="36" t="n">
        <v>0</v>
      </c>
      <c r="P238" s="36" t="n">
        <v>0</v>
      </c>
      <c r="Q238" s="37" t="n">
        <f aca="false">IF(I238="","",I238+N(N238))</f>
        <v>18</v>
      </c>
      <c r="R238" s="37" t="n">
        <f aca="false">IF(OR(Q238="",F238=""),"",Q238/(1+F238))</f>
        <v>16.2162162162162</v>
      </c>
      <c r="S238" s="38" t="n">
        <f aca="false">IF(OR(H238="",H238=0,R238="",R238=0),"",H238/R238)</f>
        <v>0.478225</v>
      </c>
      <c r="T238" s="39" t="n">
        <f aca="false">IF(I238="","",I238+N(N238+O238))</f>
        <v>18</v>
      </c>
      <c r="U238" s="39" t="n">
        <f aca="false">IF(OR(T238="",F238=""),"",T238/(1+F238))</f>
        <v>16.2162162162162</v>
      </c>
      <c r="V238" s="40" t="n">
        <f aca="false">IF(OR(H238="",H238=0,U238="",U238=0),"",H238/U238)</f>
        <v>0.478225</v>
      </c>
      <c r="W238" s="41" t="n">
        <f aca="false">IF(I238="","",I238+N(N238+O238+P238))</f>
        <v>18</v>
      </c>
      <c r="X238" s="41" t="n">
        <f aca="false">IF(OR(W238="",F238=""),"",W238/(1+F238))</f>
        <v>16.2162162162162</v>
      </c>
      <c r="Y238" s="42" t="n">
        <f aca="false">IF(OR(H238="",H238=0,X238="",X238=0),"",H238/X238)</f>
        <v>0.478225</v>
      </c>
    </row>
    <row r="239" customFormat="false" ht="15" hidden="false" customHeight="true" outlineLevel="0" collapsed="false">
      <c r="A239" s="5" t="s">
        <v>856</v>
      </c>
      <c r="B239" s="5" t="s">
        <v>564</v>
      </c>
      <c r="C239" s="5" t="s">
        <v>552</v>
      </c>
      <c r="D239" s="5" t="s">
        <v>642</v>
      </c>
      <c r="E239" s="5" t="s">
        <v>643</v>
      </c>
      <c r="F239" s="28" t="n">
        <f aca="false">IF(E239="","",IF(E239="DRINKS",0.21,0.11))</f>
        <v>0.11</v>
      </c>
      <c r="G239" s="29" t="n">
        <f aca="false">IF(B239="","",SUMIF(RETETAR!A:A,B239,RETETAR!F:F))</f>
        <v>9.52</v>
      </c>
      <c r="H239" s="30" t="n">
        <f aca="false">IF(B239="","",SUMIF(RETETAR!A:A,B239,RETETAR!H:H))</f>
        <v>9.52</v>
      </c>
      <c r="I239" s="31" t="n">
        <v>17</v>
      </c>
      <c r="J239" s="32" t="n">
        <f aca="false">IF(OR(I239="",F239=""),"",I239/(1+F239))</f>
        <v>15.3153153153153</v>
      </c>
      <c r="K239" s="33" t="n">
        <f aca="false">IF(OR(G239="",G239=0,J239="",J239=0),"",G239/J239)</f>
        <v>0.6216</v>
      </c>
      <c r="L239" s="34" t="n">
        <f aca="false">IF(OR(H239="",H239=0,J239="",J239=0),"",H239/J239)</f>
        <v>0.6216</v>
      </c>
      <c r="M239" s="35"/>
      <c r="N239" s="36" t="n">
        <v>0</v>
      </c>
      <c r="O239" s="36" t="n">
        <v>0</v>
      </c>
      <c r="P239" s="36" t="n">
        <v>0</v>
      </c>
      <c r="Q239" s="37" t="n">
        <f aca="false">IF(I239="","",I239+N(N239))</f>
        <v>17</v>
      </c>
      <c r="R239" s="37" t="n">
        <f aca="false">IF(OR(Q239="",F239=""),"",Q239/(1+F239))</f>
        <v>15.3153153153153</v>
      </c>
      <c r="S239" s="38" t="n">
        <f aca="false">IF(OR(H239="",H239=0,R239="",R239=0),"",H239/R239)</f>
        <v>0.6216</v>
      </c>
      <c r="T239" s="39" t="n">
        <f aca="false">IF(I239="","",I239+N(N239+O239))</f>
        <v>17</v>
      </c>
      <c r="U239" s="39" t="n">
        <f aca="false">IF(OR(T239="",F239=""),"",T239/(1+F239))</f>
        <v>15.3153153153153</v>
      </c>
      <c r="V239" s="40" t="n">
        <f aca="false">IF(OR(H239="",H239=0,U239="",U239=0),"",H239/U239)</f>
        <v>0.6216</v>
      </c>
      <c r="W239" s="41" t="n">
        <f aca="false">IF(I239="","",I239+N(N239+O239+P239))</f>
        <v>17</v>
      </c>
      <c r="X239" s="41" t="n">
        <f aca="false">IF(OR(W239="",F239=""),"",W239/(1+F239))</f>
        <v>15.3153153153153</v>
      </c>
      <c r="Y239" s="42" t="n">
        <f aca="false">IF(OR(H239="",H239=0,X239="",X239=0),"",H239/X239)</f>
        <v>0.6216</v>
      </c>
    </row>
    <row r="240" customFormat="false" ht="15" hidden="false" customHeight="true" outlineLevel="0" collapsed="false">
      <c r="A240" s="5" t="s">
        <v>857</v>
      </c>
      <c r="B240" s="5" t="s">
        <v>565</v>
      </c>
      <c r="C240" s="5" t="s">
        <v>552</v>
      </c>
      <c r="D240" s="5" t="s">
        <v>645</v>
      </c>
      <c r="E240" s="5" t="s">
        <v>643</v>
      </c>
      <c r="F240" s="28" t="n">
        <f aca="false">IF(E240="","",IF(E240="DRINKS",0.21,0.11))</f>
        <v>0.11</v>
      </c>
      <c r="G240" s="29" t="n">
        <f aca="false">IF(B240="","",SUMIF(RETETAR!A:A,B240,RETETAR!F:F))</f>
        <v>9.52</v>
      </c>
      <c r="H240" s="30" t="n">
        <f aca="false">IF(B240="","",SUMIF(RETETAR!A:A,B240,RETETAR!H:H))</f>
        <v>9.52</v>
      </c>
      <c r="I240" s="31" t="n">
        <v>18</v>
      </c>
      <c r="J240" s="32" t="n">
        <f aca="false">IF(OR(I240="",F240=""),"",I240/(1+F240))</f>
        <v>16.2162162162162</v>
      </c>
      <c r="K240" s="33" t="n">
        <f aca="false">IF(OR(G240="",G240=0,J240="",J240=0),"",G240/J240)</f>
        <v>0.587066666666667</v>
      </c>
      <c r="L240" s="34" t="n">
        <f aca="false">IF(OR(H240="",H240=0,J240="",J240=0),"",H240/J240)</f>
        <v>0.587066666666667</v>
      </c>
      <c r="M240" s="35"/>
      <c r="N240" s="36" t="n">
        <v>0</v>
      </c>
      <c r="O240" s="36" t="n">
        <v>0</v>
      </c>
      <c r="P240" s="36" t="n">
        <v>0</v>
      </c>
      <c r="Q240" s="37" t="n">
        <f aca="false">IF(I240="","",I240+N(N240))</f>
        <v>18</v>
      </c>
      <c r="R240" s="37" t="n">
        <f aca="false">IF(OR(Q240="",F240=""),"",Q240/(1+F240))</f>
        <v>16.2162162162162</v>
      </c>
      <c r="S240" s="38" t="n">
        <f aca="false">IF(OR(H240="",H240=0,R240="",R240=0),"",H240/R240)</f>
        <v>0.587066666666667</v>
      </c>
      <c r="T240" s="39" t="n">
        <f aca="false">IF(I240="","",I240+N(N240+O240))</f>
        <v>18</v>
      </c>
      <c r="U240" s="39" t="n">
        <f aca="false">IF(OR(T240="",F240=""),"",T240/(1+F240))</f>
        <v>16.2162162162162</v>
      </c>
      <c r="V240" s="40" t="n">
        <f aca="false">IF(OR(H240="",H240=0,U240="",U240=0),"",H240/U240)</f>
        <v>0.587066666666667</v>
      </c>
      <c r="W240" s="41" t="n">
        <f aca="false">IF(I240="","",I240+N(N240+O240+P240))</f>
        <v>18</v>
      </c>
      <c r="X240" s="41" t="n">
        <f aca="false">IF(OR(W240="",F240=""),"",W240/(1+F240))</f>
        <v>16.2162162162162</v>
      </c>
      <c r="Y240" s="42" t="n">
        <f aca="false">IF(OR(H240="",H240=0,X240="",X240=0),"",H240/X240)</f>
        <v>0.587066666666667</v>
      </c>
    </row>
    <row r="241" customFormat="false" ht="15" hidden="false" customHeight="true" outlineLevel="0" collapsed="false">
      <c r="A241" s="5" t="s">
        <v>858</v>
      </c>
      <c r="B241" s="5" t="s">
        <v>566</v>
      </c>
      <c r="C241" s="5" t="s">
        <v>552</v>
      </c>
      <c r="D241" s="5" t="s">
        <v>642</v>
      </c>
      <c r="E241" s="5" t="s">
        <v>643</v>
      </c>
      <c r="F241" s="28" t="n">
        <f aca="false">IF(E241="","",IF(E241="DRINKS",0.21,0.11))</f>
        <v>0.11</v>
      </c>
      <c r="G241" s="29" t="n">
        <f aca="false">IF(B241="","",SUMIF(RETETAR!A:A,B241,RETETAR!F:F))</f>
        <v>9.621</v>
      </c>
      <c r="H241" s="30" t="n">
        <f aca="false">IF(B241="","",SUMIF(RETETAR!A:A,B241,RETETAR!H:H))</f>
        <v>9.621</v>
      </c>
      <c r="I241" s="31" t="n">
        <v>17</v>
      </c>
      <c r="J241" s="32" t="n">
        <f aca="false">IF(OR(I241="",F241=""),"",I241/(1+F241))</f>
        <v>15.3153153153153</v>
      </c>
      <c r="K241" s="33" t="n">
        <f aca="false">IF(OR(G241="",G241=0,J241="",J241=0),"",G241/J241)</f>
        <v>0.628194705882353</v>
      </c>
      <c r="L241" s="34" t="n">
        <f aca="false">IF(OR(H241="",H241=0,J241="",J241=0),"",H241/J241)</f>
        <v>0.628194705882353</v>
      </c>
      <c r="M241" s="35"/>
      <c r="N241" s="36" t="n">
        <v>0</v>
      </c>
      <c r="O241" s="36" t="n">
        <v>0</v>
      </c>
      <c r="P241" s="36" t="n">
        <v>0</v>
      </c>
      <c r="Q241" s="37" t="n">
        <f aca="false">IF(I241="","",I241+N(N241))</f>
        <v>17</v>
      </c>
      <c r="R241" s="37" t="n">
        <f aca="false">IF(OR(Q241="",F241=""),"",Q241/(1+F241))</f>
        <v>15.3153153153153</v>
      </c>
      <c r="S241" s="38" t="n">
        <f aca="false">IF(OR(H241="",H241=0,R241="",R241=0),"",H241/R241)</f>
        <v>0.628194705882353</v>
      </c>
      <c r="T241" s="39" t="n">
        <f aca="false">IF(I241="","",I241+N(N241+O241))</f>
        <v>17</v>
      </c>
      <c r="U241" s="39" t="n">
        <f aca="false">IF(OR(T241="",F241=""),"",T241/(1+F241))</f>
        <v>15.3153153153153</v>
      </c>
      <c r="V241" s="40" t="n">
        <f aca="false">IF(OR(H241="",H241=0,U241="",U241=0),"",H241/U241)</f>
        <v>0.628194705882353</v>
      </c>
      <c r="W241" s="41" t="n">
        <f aca="false">IF(I241="","",I241+N(N241+O241+P241))</f>
        <v>17</v>
      </c>
      <c r="X241" s="41" t="n">
        <f aca="false">IF(OR(W241="",F241=""),"",W241/(1+F241))</f>
        <v>15.3153153153153</v>
      </c>
      <c r="Y241" s="42" t="n">
        <f aca="false">IF(OR(H241="",H241=0,X241="",X241=0),"",H241/X241)</f>
        <v>0.628194705882353</v>
      </c>
    </row>
    <row r="242" customFormat="false" ht="15" hidden="false" customHeight="true" outlineLevel="0" collapsed="false">
      <c r="A242" s="5" t="s">
        <v>859</v>
      </c>
      <c r="B242" s="5" t="s">
        <v>567</v>
      </c>
      <c r="C242" s="5" t="s">
        <v>552</v>
      </c>
      <c r="D242" s="5" t="s">
        <v>645</v>
      </c>
      <c r="E242" s="5" t="s">
        <v>643</v>
      </c>
      <c r="F242" s="28" t="n">
        <f aca="false">IF(E242="","",IF(E242="DRINKS",0.21,0.11))</f>
        <v>0.11</v>
      </c>
      <c r="G242" s="29" t="n">
        <f aca="false">IF(B242="","",SUMIF(RETETAR!A:A,B242,RETETAR!F:F))</f>
        <v>9.621</v>
      </c>
      <c r="H242" s="30" t="n">
        <f aca="false">IF(B242="","",SUMIF(RETETAR!A:A,B242,RETETAR!H:H))</f>
        <v>9.621</v>
      </c>
      <c r="I242" s="31" t="n">
        <v>18</v>
      </c>
      <c r="J242" s="32" t="n">
        <f aca="false">IF(OR(I242="",F242=""),"",I242/(1+F242))</f>
        <v>16.2162162162162</v>
      </c>
      <c r="K242" s="33" t="n">
        <f aca="false">IF(OR(G242="",G242=0,J242="",J242=0),"",G242/J242)</f>
        <v>0.593295</v>
      </c>
      <c r="L242" s="34" t="n">
        <f aca="false">IF(OR(H242="",H242=0,J242="",J242=0),"",H242/J242)</f>
        <v>0.593295</v>
      </c>
      <c r="M242" s="35"/>
      <c r="N242" s="36" t="n">
        <v>0</v>
      </c>
      <c r="O242" s="36" t="n">
        <v>0</v>
      </c>
      <c r="P242" s="36" t="n">
        <v>0</v>
      </c>
      <c r="Q242" s="37" t="n">
        <f aca="false">IF(I242="","",I242+N(N242))</f>
        <v>18</v>
      </c>
      <c r="R242" s="37" t="n">
        <f aca="false">IF(OR(Q242="",F242=""),"",Q242/(1+F242))</f>
        <v>16.2162162162162</v>
      </c>
      <c r="S242" s="38" t="n">
        <f aca="false">IF(OR(H242="",H242=0,R242="",R242=0),"",H242/R242)</f>
        <v>0.593295</v>
      </c>
      <c r="T242" s="39" t="n">
        <f aca="false">IF(I242="","",I242+N(N242+O242))</f>
        <v>18</v>
      </c>
      <c r="U242" s="39" t="n">
        <f aca="false">IF(OR(T242="",F242=""),"",T242/(1+F242))</f>
        <v>16.2162162162162</v>
      </c>
      <c r="V242" s="40" t="n">
        <f aca="false">IF(OR(H242="",H242=0,U242="",U242=0),"",H242/U242)</f>
        <v>0.593295</v>
      </c>
      <c r="W242" s="41" t="n">
        <f aca="false">IF(I242="","",I242+N(N242+O242+P242))</f>
        <v>18</v>
      </c>
      <c r="X242" s="41" t="n">
        <f aca="false">IF(OR(W242="",F242=""),"",W242/(1+F242))</f>
        <v>16.2162162162162</v>
      </c>
      <c r="Y242" s="42" t="n">
        <f aca="false">IF(OR(H242="",H242=0,X242="",X242=0),"",H242/X242)</f>
        <v>0.593295</v>
      </c>
    </row>
    <row r="243" customFormat="false" ht="15" hidden="false" customHeight="true" outlineLevel="0" collapsed="false">
      <c r="A243" s="5" t="s">
        <v>860</v>
      </c>
      <c r="B243" s="5" t="s">
        <v>568</v>
      </c>
      <c r="C243" s="5" t="s">
        <v>552</v>
      </c>
      <c r="D243" s="5" t="s">
        <v>642</v>
      </c>
      <c r="E243" s="5" t="s">
        <v>643</v>
      </c>
      <c r="F243" s="28" t="n">
        <f aca="false">IF(E243="","",IF(E243="DRINKS",0.21,0.11))</f>
        <v>0.11</v>
      </c>
      <c r="G243" s="29" t="n">
        <f aca="false">IF(B243="","",SUMIF(RETETAR!A:A,B243,RETETAR!F:F))</f>
        <v>8.498</v>
      </c>
      <c r="H243" s="30" t="n">
        <f aca="false">IF(B243="","",SUMIF(RETETAR!A:A,B243,RETETAR!H:H))</f>
        <v>8.498</v>
      </c>
      <c r="I243" s="31" t="n">
        <v>17</v>
      </c>
      <c r="J243" s="32" t="n">
        <f aca="false">IF(OR(I243="",F243=""),"",I243/(1+F243))</f>
        <v>15.3153153153153</v>
      </c>
      <c r="K243" s="33" t="n">
        <f aca="false">IF(OR(G243="",G243=0,J243="",J243=0),"",G243/J243)</f>
        <v>0.554869411764706</v>
      </c>
      <c r="L243" s="34" t="n">
        <f aca="false">IF(OR(H243="",H243=0,J243="",J243=0),"",H243/J243)</f>
        <v>0.554869411764706</v>
      </c>
      <c r="M243" s="35"/>
      <c r="N243" s="36" t="n">
        <v>0</v>
      </c>
      <c r="O243" s="36" t="n">
        <v>0</v>
      </c>
      <c r="P243" s="36" t="n">
        <v>0</v>
      </c>
      <c r="Q243" s="37" t="n">
        <f aca="false">IF(I243="","",I243+N(N243))</f>
        <v>17</v>
      </c>
      <c r="R243" s="37" t="n">
        <f aca="false">IF(OR(Q243="",F243=""),"",Q243/(1+F243))</f>
        <v>15.3153153153153</v>
      </c>
      <c r="S243" s="38" t="n">
        <f aca="false">IF(OR(H243="",H243=0,R243="",R243=0),"",H243/R243)</f>
        <v>0.554869411764706</v>
      </c>
      <c r="T243" s="39" t="n">
        <f aca="false">IF(I243="","",I243+N(N243+O243))</f>
        <v>17</v>
      </c>
      <c r="U243" s="39" t="n">
        <f aca="false">IF(OR(T243="",F243=""),"",T243/(1+F243))</f>
        <v>15.3153153153153</v>
      </c>
      <c r="V243" s="40" t="n">
        <f aca="false">IF(OR(H243="",H243=0,U243="",U243=0),"",H243/U243)</f>
        <v>0.554869411764706</v>
      </c>
      <c r="W243" s="41" t="n">
        <f aca="false">IF(I243="","",I243+N(N243+O243+P243))</f>
        <v>17</v>
      </c>
      <c r="X243" s="41" t="n">
        <f aca="false">IF(OR(W243="",F243=""),"",W243/(1+F243))</f>
        <v>15.3153153153153</v>
      </c>
      <c r="Y243" s="42" t="n">
        <f aca="false">IF(OR(H243="",H243=0,X243="",X243=0),"",H243/X243)</f>
        <v>0.554869411764706</v>
      </c>
    </row>
    <row r="244" customFormat="false" ht="15" hidden="false" customHeight="true" outlineLevel="0" collapsed="false">
      <c r="A244" s="5" t="s">
        <v>861</v>
      </c>
      <c r="B244" s="5" t="s">
        <v>569</v>
      </c>
      <c r="C244" s="5" t="s">
        <v>552</v>
      </c>
      <c r="D244" s="5" t="s">
        <v>645</v>
      </c>
      <c r="E244" s="5" t="s">
        <v>643</v>
      </c>
      <c r="F244" s="28" t="n">
        <f aca="false">IF(E244="","",IF(E244="DRINKS",0.21,0.11))</f>
        <v>0.11</v>
      </c>
      <c r="G244" s="29" t="n">
        <f aca="false">IF(B244="","",SUMIF(RETETAR!A:A,B244,RETETAR!F:F))</f>
        <v>8.498</v>
      </c>
      <c r="H244" s="30" t="n">
        <f aca="false">IF(B244="","",SUMIF(RETETAR!A:A,B244,RETETAR!H:H))</f>
        <v>8.498</v>
      </c>
      <c r="I244" s="31" t="n">
        <v>18</v>
      </c>
      <c r="J244" s="32" t="n">
        <f aca="false">IF(OR(I244="",F244=""),"",I244/(1+F244))</f>
        <v>16.2162162162162</v>
      </c>
      <c r="K244" s="33" t="n">
        <f aca="false">IF(OR(G244="",G244=0,J244="",J244=0),"",G244/J244)</f>
        <v>0.524043333333333</v>
      </c>
      <c r="L244" s="34" t="n">
        <f aca="false">IF(OR(H244="",H244=0,J244="",J244=0),"",H244/J244)</f>
        <v>0.524043333333333</v>
      </c>
      <c r="M244" s="35"/>
      <c r="N244" s="36" t="n">
        <v>0</v>
      </c>
      <c r="O244" s="36" t="n">
        <v>0</v>
      </c>
      <c r="P244" s="36" t="n">
        <v>0</v>
      </c>
      <c r="Q244" s="37" t="n">
        <f aca="false">IF(I244="","",I244+N(N244))</f>
        <v>18</v>
      </c>
      <c r="R244" s="37" t="n">
        <f aca="false">IF(OR(Q244="",F244=""),"",Q244/(1+F244))</f>
        <v>16.2162162162162</v>
      </c>
      <c r="S244" s="38" t="n">
        <f aca="false">IF(OR(H244="",H244=0,R244="",R244=0),"",H244/R244)</f>
        <v>0.524043333333333</v>
      </c>
      <c r="T244" s="39" t="n">
        <f aca="false">IF(I244="","",I244+N(N244+O244))</f>
        <v>18</v>
      </c>
      <c r="U244" s="39" t="n">
        <f aca="false">IF(OR(T244="",F244=""),"",T244/(1+F244))</f>
        <v>16.2162162162162</v>
      </c>
      <c r="V244" s="40" t="n">
        <f aca="false">IF(OR(H244="",H244=0,U244="",U244=0),"",H244/U244)</f>
        <v>0.524043333333333</v>
      </c>
      <c r="W244" s="41" t="n">
        <f aca="false">IF(I244="","",I244+N(N244+O244+P244))</f>
        <v>18</v>
      </c>
      <c r="X244" s="41" t="n">
        <f aca="false">IF(OR(W244="",F244=""),"",W244/(1+F244))</f>
        <v>16.2162162162162</v>
      </c>
      <c r="Y244" s="42" t="n">
        <f aca="false">IF(OR(H244="",H244=0,X244="",X244=0),"",H244/X244)</f>
        <v>0.524043333333333</v>
      </c>
    </row>
    <row r="245" customFormat="false" ht="15" hidden="false" customHeight="true" outlineLevel="0" collapsed="false">
      <c r="A245" s="5" t="s">
        <v>862</v>
      </c>
      <c r="B245" s="5" t="s">
        <v>570</v>
      </c>
      <c r="C245" s="5" t="s">
        <v>552</v>
      </c>
      <c r="D245" s="5" t="s">
        <v>642</v>
      </c>
      <c r="E245" s="5" t="s">
        <v>523</v>
      </c>
      <c r="F245" s="28" t="n">
        <f aca="false">IF(E245="","",IF(E245="DRINKS",0.21,0.11))</f>
        <v>0.21</v>
      </c>
      <c r="G245" s="29" t="n">
        <f aca="false">IF(B245="","",SUMIF(RETETAR!A:A,B245,RETETAR!F:F))</f>
        <v>3.29496</v>
      </c>
      <c r="H245" s="30" t="n">
        <f aca="false">IF(B245="","",SUMIF(RETETAR!A:A,B245,RETETAR!H:H))</f>
        <v>3.29496</v>
      </c>
      <c r="I245" s="31" t="n">
        <v>8</v>
      </c>
      <c r="J245" s="32" t="n">
        <f aca="false">IF(OR(I245="",F245=""),"",I245/(1+F245))</f>
        <v>6.61157024793388</v>
      </c>
      <c r="K245" s="33" t="n">
        <f aca="false">IF(OR(G245="",G245=0,J245="",J245=0),"",G245/J245)</f>
        <v>0.4983627</v>
      </c>
      <c r="L245" s="34" t="n">
        <f aca="false">IF(OR(H245="",H245=0,J245="",J245=0),"",H245/J245)</f>
        <v>0.4983627</v>
      </c>
      <c r="M245" s="35"/>
      <c r="N245" s="36" t="n">
        <v>0</v>
      </c>
      <c r="O245" s="36" t="n">
        <v>0</v>
      </c>
      <c r="P245" s="36" t="n">
        <v>0</v>
      </c>
      <c r="Q245" s="37" t="n">
        <f aca="false">IF(I245="","",I245+N(N245))</f>
        <v>8</v>
      </c>
      <c r="R245" s="37" t="n">
        <f aca="false">IF(OR(Q245="",F245=""),"",Q245/(1+F245))</f>
        <v>6.61157024793388</v>
      </c>
      <c r="S245" s="38" t="n">
        <f aca="false">IF(OR(H245="",H245=0,R245="",R245=0),"",H245/R245)</f>
        <v>0.4983627</v>
      </c>
      <c r="T245" s="39" t="n">
        <f aca="false">IF(I245="","",I245+N(N245+O245))</f>
        <v>8</v>
      </c>
      <c r="U245" s="39" t="n">
        <f aca="false">IF(OR(T245="",F245=""),"",T245/(1+F245))</f>
        <v>6.61157024793388</v>
      </c>
      <c r="V245" s="40" t="n">
        <f aca="false">IF(OR(H245="",H245=0,U245="",U245=0),"",H245/U245)</f>
        <v>0.4983627</v>
      </c>
      <c r="W245" s="41" t="n">
        <f aca="false">IF(I245="","",I245+N(N245+O245+P245))</f>
        <v>8</v>
      </c>
      <c r="X245" s="41" t="n">
        <f aca="false">IF(OR(W245="",F245=""),"",W245/(1+F245))</f>
        <v>6.61157024793388</v>
      </c>
      <c r="Y245" s="42" t="n">
        <f aca="false">IF(OR(H245="",H245=0,X245="",X245=0),"",H245/X245)</f>
        <v>0.4983627</v>
      </c>
    </row>
    <row r="246" customFormat="false" ht="15" hidden="false" customHeight="true" outlineLevel="0" collapsed="false">
      <c r="A246" s="5" t="s">
        <v>863</v>
      </c>
      <c r="B246" s="5" t="s">
        <v>571</v>
      </c>
      <c r="C246" s="5" t="s">
        <v>552</v>
      </c>
      <c r="D246" s="5" t="s">
        <v>645</v>
      </c>
      <c r="E246" s="5" t="s">
        <v>523</v>
      </c>
      <c r="F246" s="28" t="n">
        <f aca="false">IF(E246="","",IF(E246="DRINKS",0.21,0.11))</f>
        <v>0.21</v>
      </c>
      <c r="G246" s="29" t="n">
        <f aca="false">IF(B246="","",SUMIF(RETETAR!A:A,B246,RETETAR!F:F))</f>
        <v>3.29496</v>
      </c>
      <c r="H246" s="30" t="n">
        <f aca="false">IF(B246="","",SUMIF(RETETAR!A:A,B246,RETETAR!H:H))</f>
        <v>3.29496</v>
      </c>
      <c r="I246" s="31" t="n">
        <v>9</v>
      </c>
      <c r="J246" s="32" t="n">
        <f aca="false">IF(OR(I246="",F246=""),"",I246/(1+F246))</f>
        <v>7.43801652892562</v>
      </c>
      <c r="K246" s="33" t="n">
        <f aca="false">IF(OR(G246="",G246=0,J246="",J246=0),"",G246/J246)</f>
        <v>0.442989066666667</v>
      </c>
      <c r="L246" s="34" t="n">
        <f aca="false">IF(OR(H246="",H246=0,J246="",J246=0),"",H246/J246)</f>
        <v>0.442989066666667</v>
      </c>
      <c r="M246" s="35"/>
      <c r="N246" s="36" t="n">
        <v>0</v>
      </c>
      <c r="O246" s="36" t="n">
        <v>0</v>
      </c>
      <c r="P246" s="36" t="n">
        <v>0</v>
      </c>
      <c r="Q246" s="37" t="n">
        <f aca="false">IF(I246="","",I246+N(N246))</f>
        <v>9</v>
      </c>
      <c r="R246" s="37" t="n">
        <f aca="false">IF(OR(Q246="",F246=""),"",Q246/(1+F246))</f>
        <v>7.43801652892562</v>
      </c>
      <c r="S246" s="38" t="n">
        <f aca="false">IF(OR(H246="",H246=0,R246="",R246=0),"",H246/R246)</f>
        <v>0.442989066666667</v>
      </c>
      <c r="T246" s="39" t="n">
        <f aca="false">IF(I246="","",I246+N(N246+O246))</f>
        <v>9</v>
      </c>
      <c r="U246" s="39" t="n">
        <f aca="false">IF(OR(T246="",F246=""),"",T246/(1+F246))</f>
        <v>7.43801652892562</v>
      </c>
      <c r="V246" s="40" t="n">
        <f aca="false">IF(OR(H246="",H246=0,U246="",U246=0),"",H246/U246)</f>
        <v>0.442989066666667</v>
      </c>
      <c r="W246" s="41" t="n">
        <f aca="false">IF(I246="","",I246+N(N246+O246+P246))</f>
        <v>9</v>
      </c>
      <c r="X246" s="41" t="n">
        <f aca="false">IF(OR(W246="",F246=""),"",W246/(1+F246))</f>
        <v>7.43801652892562</v>
      </c>
      <c r="Y246" s="42" t="n">
        <f aca="false">IF(OR(H246="",H246=0,X246="",X246=0),"",H246/X246)</f>
        <v>0.442989066666667</v>
      </c>
    </row>
    <row r="247" customFormat="false" ht="15" hidden="false" customHeight="true" outlineLevel="0" collapsed="false">
      <c r="A247" s="5" t="s">
        <v>864</v>
      </c>
      <c r="B247" s="5" t="s">
        <v>572</v>
      </c>
      <c r="C247" s="5" t="s">
        <v>552</v>
      </c>
      <c r="D247" s="5" t="s">
        <v>642</v>
      </c>
      <c r="E247" s="5" t="s">
        <v>523</v>
      </c>
      <c r="F247" s="28" t="n">
        <f aca="false">IF(E247="","",IF(E247="DRINKS",0.21,0.11))</f>
        <v>0.21</v>
      </c>
      <c r="G247" s="29" t="n">
        <f aca="false">IF(B247="","",SUMIF(RETETAR!A:A,B247,RETETAR!F:F))</f>
        <v>3.77162</v>
      </c>
      <c r="H247" s="30" t="n">
        <f aca="false">IF(B247="","",SUMIF(RETETAR!A:A,B247,RETETAR!H:H))</f>
        <v>3.77162</v>
      </c>
      <c r="I247" s="31" t="n">
        <v>10</v>
      </c>
      <c r="J247" s="32" t="n">
        <f aca="false">IF(OR(I247="",F247=""),"",I247/(1+F247))</f>
        <v>8.26446280991736</v>
      </c>
      <c r="K247" s="33" t="n">
        <f aca="false">IF(OR(G247="",G247=0,J247="",J247=0),"",G247/J247)</f>
        <v>0.45636602</v>
      </c>
      <c r="L247" s="34" t="n">
        <f aca="false">IF(OR(H247="",H247=0,J247="",J247=0),"",H247/J247)</f>
        <v>0.45636602</v>
      </c>
      <c r="M247" s="35"/>
      <c r="N247" s="36" t="n">
        <v>0</v>
      </c>
      <c r="O247" s="36" t="n">
        <v>0</v>
      </c>
      <c r="P247" s="36" t="n">
        <v>0</v>
      </c>
      <c r="Q247" s="37" t="n">
        <f aca="false">IF(I247="","",I247+N(N247))</f>
        <v>10</v>
      </c>
      <c r="R247" s="37" t="n">
        <f aca="false">IF(OR(Q247="",F247=""),"",Q247/(1+F247))</f>
        <v>8.26446280991736</v>
      </c>
      <c r="S247" s="38" t="n">
        <f aca="false">IF(OR(H247="",H247=0,R247="",R247=0),"",H247/R247)</f>
        <v>0.45636602</v>
      </c>
      <c r="T247" s="39" t="n">
        <f aca="false">IF(I247="","",I247+N(N247+O247))</f>
        <v>10</v>
      </c>
      <c r="U247" s="39" t="n">
        <f aca="false">IF(OR(T247="",F247=""),"",T247/(1+F247))</f>
        <v>8.26446280991736</v>
      </c>
      <c r="V247" s="40" t="n">
        <f aca="false">IF(OR(H247="",H247=0,U247="",U247=0),"",H247/U247)</f>
        <v>0.45636602</v>
      </c>
      <c r="W247" s="41" t="n">
        <f aca="false">IF(I247="","",I247+N(N247+O247+P247))</f>
        <v>10</v>
      </c>
      <c r="X247" s="41" t="n">
        <f aca="false">IF(OR(W247="",F247=""),"",W247/(1+F247))</f>
        <v>8.26446280991736</v>
      </c>
      <c r="Y247" s="42" t="n">
        <f aca="false">IF(OR(H247="",H247=0,X247="",X247=0),"",H247/X247)</f>
        <v>0.45636602</v>
      </c>
    </row>
    <row r="248" customFormat="false" ht="15" hidden="false" customHeight="true" outlineLevel="0" collapsed="false">
      <c r="A248" s="5" t="s">
        <v>865</v>
      </c>
      <c r="B248" s="5" t="s">
        <v>573</v>
      </c>
      <c r="C248" s="5" t="s">
        <v>552</v>
      </c>
      <c r="D248" s="5" t="s">
        <v>645</v>
      </c>
      <c r="E248" s="5" t="s">
        <v>523</v>
      </c>
      <c r="F248" s="28" t="n">
        <f aca="false">IF(E248="","",IF(E248="DRINKS",0.21,0.11))</f>
        <v>0.21</v>
      </c>
      <c r="G248" s="29" t="n">
        <f aca="false">IF(B248="","",SUMIF(RETETAR!A:A,B248,RETETAR!F:F))</f>
        <v>3.77162</v>
      </c>
      <c r="H248" s="30" t="n">
        <f aca="false">IF(B248="","",SUMIF(RETETAR!A:A,B248,RETETAR!H:H))</f>
        <v>3.77162</v>
      </c>
      <c r="I248" s="31" t="n">
        <v>11</v>
      </c>
      <c r="J248" s="32" t="n">
        <f aca="false">IF(OR(I248="",F248=""),"",I248/(1+F248))</f>
        <v>9.09090909090909</v>
      </c>
      <c r="K248" s="33" t="n">
        <f aca="false">IF(OR(G248="",G248=0,J248="",J248=0),"",G248/J248)</f>
        <v>0.4148782</v>
      </c>
      <c r="L248" s="34" t="n">
        <f aca="false">IF(OR(H248="",H248=0,J248="",J248=0),"",H248/J248)</f>
        <v>0.4148782</v>
      </c>
      <c r="M248" s="35"/>
      <c r="N248" s="36" t="n">
        <v>0</v>
      </c>
      <c r="O248" s="36" t="n">
        <v>0</v>
      </c>
      <c r="P248" s="36" t="n">
        <v>0</v>
      </c>
      <c r="Q248" s="37" t="n">
        <f aca="false">IF(I248="","",I248+N(N248))</f>
        <v>11</v>
      </c>
      <c r="R248" s="37" t="n">
        <f aca="false">IF(OR(Q248="",F248=""),"",Q248/(1+F248))</f>
        <v>9.09090909090909</v>
      </c>
      <c r="S248" s="38" t="n">
        <f aca="false">IF(OR(H248="",H248=0,R248="",R248=0),"",H248/R248)</f>
        <v>0.4148782</v>
      </c>
      <c r="T248" s="39" t="n">
        <f aca="false">IF(I248="","",I248+N(N248+O248))</f>
        <v>11</v>
      </c>
      <c r="U248" s="39" t="n">
        <f aca="false">IF(OR(T248="",F248=""),"",T248/(1+F248))</f>
        <v>9.09090909090909</v>
      </c>
      <c r="V248" s="40" t="n">
        <f aca="false">IF(OR(H248="",H248=0,U248="",U248=0),"",H248/U248)</f>
        <v>0.4148782</v>
      </c>
      <c r="W248" s="41" t="n">
        <f aca="false">IF(I248="","",I248+N(N248+O248+P248))</f>
        <v>11</v>
      </c>
      <c r="X248" s="41" t="n">
        <f aca="false">IF(OR(W248="",F248=""),"",W248/(1+F248))</f>
        <v>9.09090909090909</v>
      </c>
      <c r="Y248" s="42" t="n">
        <f aca="false">IF(OR(H248="",H248=0,X248="",X248=0),"",H248/X248)</f>
        <v>0.4148782</v>
      </c>
    </row>
    <row r="249" customFormat="false" ht="15" hidden="false" customHeight="true" outlineLevel="0" collapsed="false">
      <c r="A249" s="5" t="s">
        <v>866</v>
      </c>
      <c r="B249" s="5" t="s">
        <v>574</v>
      </c>
      <c r="C249" s="5" t="s">
        <v>552</v>
      </c>
      <c r="D249" s="5" t="s">
        <v>642</v>
      </c>
      <c r="E249" s="5" t="s">
        <v>523</v>
      </c>
      <c r="F249" s="28" t="n">
        <f aca="false">IF(E249="","",IF(E249="DRINKS",0.21,0.11))</f>
        <v>0.21</v>
      </c>
      <c r="G249" s="29" t="n">
        <f aca="false">IF(B249="","",SUMIF(RETETAR!A:A,B249,RETETAR!F:F))</f>
        <v>5.38196</v>
      </c>
      <c r="H249" s="30" t="n">
        <f aca="false">IF(B249="","",SUMIF(RETETAR!A:A,B249,RETETAR!H:H))</f>
        <v>5.38196</v>
      </c>
      <c r="I249" s="31" t="n">
        <v>13</v>
      </c>
      <c r="J249" s="32" t="n">
        <f aca="false">IF(OR(I249="",F249=""),"",I249/(1+F249))</f>
        <v>10.7438016528926</v>
      </c>
      <c r="K249" s="33" t="n">
        <f aca="false">IF(OR(G249="",G249=0,J249="",J249=0),"",G249/J249)</f>
        <v>0.500936276923077</v>
      </c>
      <c r="L249" s="34" t="n">
        <f aca="false">IF(OR(H249="",H249=0,J249="",J249=0),"",H249/J249)</f>
        <v>0.500936276923077</v>
      </c>
      <c r="M249" s="35"/>
      <c r="N249" s="36" t="n">
        <v>0</v>
      </c>
      <c r="O249" s="36" t="n">
        <v>0</v>
      </c>
      <c r="P249" s="36" t="n">
        <v>0</v>
      </c>
      <c r="Q249" s="37" t="n">
        <f aca="false">IF(I249="","",I249+N(N249))</f>
        <v>13</v>
      </c>
      <c r="R249" s="37" t="n">
        <f aca="false">IF(OR(Q249="",F249=""),"",Q249/(1+F249))</f>
        <v>10.7438016528926</v>
      </c>
      <c r="S249" s="38" t="n">
        <f aca="false">IF(OR(H249="",H249=0,R249="",R249=0),"",H249/R249)</f>
        <v>0.500936276923077</v>
      </c>
      <c r="T249" s="39" t="n">
        <f aca="false">IF(I249="","",I249+N(N249+O249))</f>
        <v>13</v>
      </c>
      <c r="U249" s="39" t="n">
        <f aca="false">IF(OR(T249="",F249=""),"",T249/(1+F249))</f>
        <v>10.7438016528926</v>
      </c>
      <c r="V249" s="40" t="n">
        <f aca="false">IF(OR(H249="",H249=0,U249="",U249=0),"",H249/U249)</f>
        <v>0.500936276923077</v>
      </c>
      <c r="W249" s="41" t="n">
        <f aca="false">IF(I249="","",I249+N(N249+O249+P249))</f>
        <v>13</v>
      </c>
      <c r="X249" s="41" t="n">
        <f aca="false">IF(OR(W249="",F249=""),"",W249/(1+F249))</f>
        <v>10.7438016528926</v>
      </c>
      <c r="Y249" s="42" t="n">
        <f aca="false">IF(OR(H249="",H249=0,X249="",X249=0),"",H249/X249)</f>
        <v>0.500936276923077</v>
      </c>
    </row>
    <row r="250" customFormat="false" ht="15" hidden="false" customHeight="true" outlineLevel="0" collapsed="false">
      <c r="A250" s="5" t="s">
        <v>867</v>
      </c>
      <c r="B250" s="5" t="s">
        <v>575</v>
      </c>
      <c r="C250" s="5" t="s">
        <v>552</v>
      </c>
      <c r="D250" s="5" t="s">
        <v>645</v>
      </c>
      <c r="E250" s="5" t="s">
        <v>523</v>
      </c>
      <c r="F250" s="28" t="n">
        <f aca="false">IF(E250="","",IF(E250="DRINKS",0.21,0.11))</f>
        <v>0.21</v>
      </c>
      <c r="G250" s="29" t="n">
        <f aca="false">IF(B250="","",SUMIF(RETETAR!A:A,B250,RETETAR!F:F))</f>
        <v>5.38196</v>
      </c>
      <c r="H250" s="30" t="n">
        <f aca="false">IF(B250="","",SUMIF(RETETAR!A:A,B250,RETETAR!H:H))</f>
        <v>5.38196</v>
      </c>
      <c r="I250" s="31" t="n">
        <v>14</v>
      </c>
      <c r="J250" s="32" t="n">
        <f aca="false">IF(OR(I250="",F250=""),"",I250/(1+F250))</f>
        <v>11.5702479338843</v>
      </c>
      <c r="K250" s="33" t="n">
        <f aca="false">IF(OR(G250="",G250=0,J250="",J250=0),"",G250/J250)</f>
        <v>0.465155114285714</v>
      </c>
      <c r="L250" s="34" t="n">
        <f aca="false">IF(OR(H250="",H250=0,J250="",J250=0),"",H250/J250)</f>
        <v>0.465155114285714</v>
      </c>
      <c r="M250" s="35"/>
      <c r="N250" s="36" t="n">
        <v>0</v>
      </c>
      <c r="O250" s="36" t="n">
        <v>0</v>
      </c>
      <c r="P250" s="36" t="n">
        <v>0</v>
      </c>
      <c r="Q250" s="37" t="n">
        <f aca="false">IF(I250="","",I250+N(N250))</f>
        <v>14</v>
      </c>
      <c r="R250" s="37" t="n">
        <f aca="false">IF(OR(Q250="",F250=""),"",Q250/(1+F250))</f>
        <v>11.5702479338843</v>
      </c>
      <c r="S250" s="38" t="n">
        <f aca="false">IF(OR(H250="",H250=0,R250="",R250=0),"",H250/R250)</f>
        <v>0.465155114285714</v>
      </c>
      <c r="T250" s="39" t="n">
        <f aca="false">IF(I250="","",I250+N(N250+O250))</f>
        <v>14</v>
      </c>
      <c r="U250" s="39" t="n">
        <f aca="false">IF(OR(T250="",F250=""),"",T250/(1+F250))</f>
        <v>11.5702479338843</v>
      </c>
      <c r="V250" s="40" t="n">
        <f aca="false">IF(OR(H250="",H250=0,U250="",U250=0),"",H250/U250)</f>
        <v>0.465155114285714</v>
      </c>
      <c r="W250" s="41" t="n">
        <f aca="false">IF(I250="","",I250+N(N250+O250+P250))</f>
        <v>14</v>
      </c>
      <c r="X250" s="41" t="n">
        <f aca="false">IF(OR(W250="",F250=""),"",W250/(1+F250))</f>
        <v>11.5702479338843</v>
      </c>
      <c r="Y250" s="42" t="n">
        <f aca="false">IF(OR(H250="",H250=0,X250="",X250=0),"",H250/X250)</f>
        <v>0.465155114285714</v>
      </c>
    </row>
    <row r="251" customFormat="false" ht="15" hidden="false" customHeight="true" outlineLevel="0" collapsed="false">
      <c r="A251" s="5" t="s">
        <v>868</v>
      </c>
      <c r="B251" s="5" t="s">
        <v>576</v>
      </c>
      <c r="C251" s="5" t="s">
        <v>552</v>
      </c>
      <c r="D251" s="5" t="s">
        <v>642</v>
      </c>
      <c r="E251" s="5" t="s">
        <v>523</v>
      </c>
      <c r="F251" s="28" t="n">
        <f aca="false">IF(E251="","",IF(E251="DRINKS",0.21,0.11))</f>
        <v>0.21</v>
      </c>
      <c r="G251" s="29" t="n">
        <f aca="false">IF(B251="","",SUMIF(RETETAR!A:A,B251,RETETAR!F:F))</f>
        <v>4.48195</v>
      </c>
      <c r="H251" s="30" t="n">
        <f aca="false">IF(B251="","",SUMIF(RETETAR!A:A,B251,RETETAR!H:H))</f>
        <v>4.48195</v>
      </c>
      <c r="I251" s="31" t="n">
        <v>10</v>
      </c>
      <c r="J251" s="32" t="n">
        <f aca="false">IF(OR(I251="",F251=""),"",I251/(1+F251))</f>
        <v>8.26446280991736</v>
      </c>
      <c r="K251" s="33" t="n">
        <f aca="false">IF(OR(G251="",G251=0,J251="",J251=0),"",G251/J251)</f>
        <v>0.54231595</v>
      </c>
      <c r="L251" s="34" t="n">
        <f aca="false">IF(OR(H251="",H251=0,J251="",J251=0),"",H251/J251)</f>
        <v>0.54231595</v>
      </c>
      <c r="M251" s="35"/>
      <c r="N251" s="36" t="n">
        <v>0</v>
      </c>
      <c r="O251" s="36" t="n">
        <v>0</v>
      </c>
      <c r="P251" s="36" t="n">
        <v>0</v>
      </c>
      <c r="Q251" s="37" t="n">
        <f aca="false">IF(I251="","",I251+N(N251))</f>
        <v>10</v>
      </c>
      <c r="R251" s="37" t="n">
        <f aca="false">IF(OR(Q251="",F251=""),"",Q251/(1+F251))</f>
        <v>8.26446280991736</v>
      </c>
      <c r="S251" s="38" t="n">
        <f aca="false">IF(OR(H251="",H251=0,R251="",R251=0),"",H251/R251)</f>
        <v>0.54231595</v>
      </c>
      <c r="T251" s="39" t="n">
        <f aca="false">IF(I251="","",I251+N(N251+O251))</f>
        <v>10</v>
      </c>
      <c r="U251" s="39" t="n">
        <f aca="false">IF(OR(T251="",F251=""),"",T251/(1+F251))</f>
        <v>8.26446280991736</v>
      </c>
      <c r="V251" s="40" t="n">
        <f aca="false">IF(OR(H251="",H251=0,U251="",U251=0),"",H251/U251)</f>
        <v>0.54231595</v>
      </c>
      <c r="W251" s="41" t="n">
        <f aca="false">IF(I251="","",I251+N(N251+O251+P251))</f>
        <v>10</v>
      </c>
      <c r="X251" s="41" t="n">
        <f aca="false">IF(OR(W251="",F251=""),"",W251/(1+F251))</f>
        <v>8.26446280991736</v>
      </c>
      <c r="Y251" s="42" t="n">
        <f aca="false">IF(OR(H251="",H251=0,X251="",X251=0),"",H251/X251)</f>
        <v>0.54231595</v>
      </c>
    </row>
    <row r="252" customFormat="false" ht="15" hidden="false" customHeight="true" outlineLevel="0" collapsed="false">
      <c r="A252" s="5" t="s">
        <v>869</v>
      </c>
      <c r="B252" s="5" t="s">
        <v>577</v>
      </c>
      <c r="C252" s="5" t="s">
        <v>552</v>
      </c>
      <c r="D252" s="5" t="s">
        <v>645</v>
      </c>
      <c r="E252" s="5" t="s">
        <v>523</v>
      </c>
      <c r="F252" s="28" t="n">
        <f aca="false">IF(E252="","",IF(E252="DRINKS",0.21,0.11))</f>
        <v>0.21</v>
      </c>
      <c r="G252" s="29" t="n">
        <f aca="false">IF(B252="","",SUMIF(RETETAR!A:A,B252,RETETAR!F:F))</f>
        <v>4.48195</v>
      </c>
      <c r="H252" s="30" t="n">
        <f aca="false">IF(B252="","",SUMIF(RETETAR!A:A,B252,RETETAR!H:H))</f>
        <v>4.48195</v>
      </c>
      <c r="I252" s="31" t="n">
        <v>11</v>
      </c>
      <c r="J252" s="32" t="n">
        <f aca="false">IF(OR(I252="",F252=""),"",I252/(1+F252))</f>
        <v>9.09090909090909</v>
      </c>
      <c r="K252" s="33" t="n">
        <f aca="false">IF(OR(G252="",G252=0,J252="",J252=0),"",G252/J252)</f>
        <v>0.4930145</v>
      </c>
      <c r="L252" s="34" t="n">
        <f aca="false">IF(OR(H252="",H252=0,J252="",J252=0),"",H252/J252)</f>
        <v>0.4930145</v>
      </c>
      <c r="M252" s="35"/>
      <c r="N252" s="36" t="n">
        <v>0</v>
      </c>
      <c r="O252" s="36" t="n">
        <v>0</v>
      </c>
      <c r="P252" s="36" t="n">
        <v>0</v>
      </c>
      <c r="Q252" s="37" t="n">
        <f aca="false">IF(I252="","",I252+N(N252))</f>
        <v>11</v>
      </c>
      <c r="R252" s="37" t="n">
        <f aca="false">IF(OR(Q252="",F252=""),"",Q252/(1+F252))</f>
        <v>9.09090909090909</v>
      </c>
      <c r="S252" s="38" t="n">
        <f aca="false">IF(OR(H252="",H252=0,R252="",R252=0),"",H252/R252)</f>
        <v>0.4930145</v>
      </c>
      <c r="T252" s="39" t="n">
        <f aca="false">IF(I252="","",I252+N(N252+O252))</f>
        <v>11</v>
      </c>
      <c r="U252" s="39" t="n">
        <f aca="false">IF(OR(T252="",F252=""),"",T252/(1+F252))</f>
        <v>9.09090909090909</v>
      </c>
      <c r="V252" s="40" t="n">
        <f aca="false">IF(OR(H252="",H252=0,U252="",U252=0),"",H252/U252)</f>
        <v>0.4930145</v>
      </c>
      <c r="W252" s="41" t="n">
        <f aca="false">IF(I252="","",I252+N(N252+O252+P252))</f>
        <v>11</v>
      </c>
      <c r="X252" s="41" t="n">
        <f aca="false">IF(OR(W252="",F252=""),"",W252/(1+F252))</f>
        <v>9.09090909090909</v>
      </c>
      <c r="Y252" s="42" t="n">
        <f aca="false">IF(OR(H252="",H252=0,X252="",X252=0),"",H252/X252)</f>
        <v>0.4930145</v>
      </c>
    </row>
    <row r="253" customFormat="false" ht="15" hidden="false" customHeight="true" outlineLevel="0" collapsed="false">
      <c r="A253" s="5" t="s">
        <v>870</v>
      </c>
      <c r="B253" s="5" t="s">
        <v>578</v>
      </c>
      <c r="C253" s="5" t="s">
        <v>552</v>
      </c>
      <c r="D253" s="5" t="s">
        <v>642</v>
      </c>
      <c r="E253" s="5" t="s">
        <v>523</v>
      </c>
      <c r="F253" s="28" t="n">
        <f aca="false">IF(E253="","",IF(E253="DRINKS",0.21,0.11))</f>
        <v>0.21</v>
      </c>
      <c r="G253" s="29" t="n">
        <f aca="false">IF(B253="","",SUMIF(RETETAR!A:A,B253,RETETAR!F:F))</f>
        <v>4.52228</v>
      </c>
      <c r="H253" s="30" t="n">
        <f aca="false">IF(B253="","",SUMIF(RETETAR!A:A,B253,RETETAR!H:H))</f>
        <v>4.52228</v>
      </c>
      <c r="I253" s="31" t="n">
        <v>13</v>
      </c>
      <c r="J253" s="32" t="n">
        <f aca="false">IF(OR(I253="",F253=""),"",I253/(1+F253))</f>
        <v>10.7438016528926</v>
      </c>
      <c r="K253" s="33" t="n">
        <f aca="false">IF(OR(G253="",G253=0,J253="",J253=0),"",G253/J253)</f>
        <v>0.420919907692308</v>
      </c>
      <c r="L253" s="34" t="n">
        <f aca="false">IF(OR(H253="",H253=0,J253="",J253=0),"",H253/J253)</f>
        <v>0.420919907692308</v>
      </c>
      <c r="M253" s="35"/>
      <c r="N253" s="36" t="n">
        <v>0</v>
      </c>
      <c r="O253" s="36" t="n">
        <v>0</v>
      </c>
      <c r="P253" s="36" t="n">
        <v>0</v>
      </c>
      <c r="Q253" s="37" t="n">
        <f aca="false">IF(I253="","",I253+N(N253))</f>
        <v>13</v>
      </c>
      <c r="R253" s="37" t="n">
        <f aca="false">IF(OR(Q253="",F253=""),"",Q253/(1+F253))</f>
        <v>10.7438016528926</v>
      </c>
      <c r="S253" s="38" t="n">
        <f aca="false">IF(OR(H253="",H253=0,R253="",R253=0),"",H253/R253)</f>
        <v>0.420919907692308</v>
      </c>
      <c r="T253" s="39" t="n">
        <f aca="false">IF(I253="","",I253+N(N253+O253))</f>
        <v>13</v>
      </c>
      <c r="U253" s="39" t="n">
        <f aca="false">IF(OR(T253="",F253=""),"",T253/(1+F253))</f>
        <v>10.7438016528926</v>
      </c>
      <c r="V253" s="40" t="n">
        <f aca="false">IF(OR(H253="",H253=0,U253="",U253=0),"",H253/U253)</f>
        <v>0.420919907692308</v>
      </c>
      <c r="W253" s="41" t="n">
        <f aca="false">IF(I253="","",I253+N(N253+O253+P253))</f>
        <v>13</v>
      </c>
      <c r="X253" s="41" t="n">
        <f aca="false">IF(OR(W253="",F253=""),"",W253/(1+F253))</f>
        <v>10.7438016528926</v>
      </c>
      <c r="Y253" s="42" t="n">
        <f aca="false">IF(OR(H253="",H253=0,X253="",X253=0),"",H253/X253)</f>
        <v>0.420919907692308</v>
      </c>
    </row>
    <row r="254" customFormat="false" ht="15" hidden="false" customHeight="true" outlineLevel="0" collapsed="false">
      <c r="A254" s="5" t="s">
        <v>871</v>
      </c>
      <c r="B254" s="5" t="s">
        <v>579</v>
      </c>
      <c r="C254" s="5" t="s">
        <v>552</v>
      </c>
      <c r="D254" s="5" t="s">
        <v>645</v>
      </c>
      <c r="E254" s="5" t="s">
        <v>523</v>
      </c>
      <c r="F254" s="28" t="n">
        <f aca="false">IF(E254="","",IF(E254="DRINKS",0.21,0.11))</f>
        <v>0.21</v>
      </c>
      <c r="G254" s="29" t="n">
        <f aca="false">IF(B254="","",SUMIF(RETETAR!A:A,B254,RETETAR!F:F))</f>
        <v>4.52228</v>
      </c>
      <c r="H254" s="30" t="n">
        <f aca="false">IF(B254="","",SUMIF(RETETAR!A:A,B254,RETETAR!H:H))</f>
        <v>4.52228</v>
      </c>
      <c r="I254" s="31" t="n">
        <v>14</v>
      </c>
      <c r="J254" s="32" t="n">
        <f aca="false">IF(OR(I254="",F254=""),"",I254/(1+F254))</f>
        <v>11.5702479338843</v>
      </c>
      <c r="K254" s="33" t="n">
        <f aca="false">IF(OR(G254="",G254=0,J254="",J254=0),"",G254/J254)</f>
        <v>0.3908542</v>
      </c>
      <c r="L254" s="34" t="n">
        <f aca="false">IF(OR(H254="",H254=0,J254="",J254=0),"",H254/J254)</f>
        <v>0.3908542</v>
      </c>
      <c r="M254" s="35"/>
      <c r="N254" s="36" t="n">
        <v>0</v>
      </c>
      <c r="O254" s="36" t="n">
        <v>0</v>
      </c>
      <c r="P254" s="36" t="n">
        <v>0</v>
      </c>
      <c r="Q254" s="37" t="n">
        <f aca="false">IF(I254="","",I254+N(N254))</f>
        <v>14</v>
      </c>
      <c r="R254" s="37" t="n">
        <f aca="false">IF(OR(Q254="",F254=""),"",Q254/(1+F254))</f>
        <v>11.5702479338843</v>
      </c>
      <c r="S254" s="38" t="n">
        <f aca="false">IF(OR(H254="",H254=0,R254="",R254=0),"",H254/R254)</f>
        <v>0.3908542</v>
      </c>
      <c r="T254" s="39" t="n">
        <f aca="false">IF(I254="","",I254+N(N254+O254))</f>
        <v>14</v>
      </c>
      <c r="U254" s="39" t="n">
        <f aca="false">IF(OR(T254="",F254=""),"",T254/(1+F254))</f>
        <v>11.5702479338843</v>
      </c>
      <c r="V254" s="40" t="n">
        <f aca="false">IF(OR(H254="",H254=0,U254="",U254=0),"",H254/U254)</f>
        <v>0.3908542</v>
      </c>
      <c r="W254" s="41" t="n">
        <f aca="false">IF(I254="","",I254+N(N254+O254+P254))</f>
        <v>14</v>
      </c>
      <c r="X254" s="41" t="n">
        <f aca="false">IF(OR(W254="",F254=""),"",W254/(1+F254))</f>
        <v>11.5702479338843</v>
      </c>
      <c r="Y254" s="42" t="n">
        <f aca="false">IF(OR(H254="",H254=0,X254="",X254=0),"",H254/X254)</f>
        <v>0.3908542</v>
      </c>
    </row>
    <row r="255" customFormat="false" ht="15" hidden="false" customHeight="true" outlineLevel="0" collapsed="false">
      <c r="A255" s="5" t="s">
        <v>872</v>
      </c>
      <c r="B255" s="5" t="s">
        <v>580</v>
      </c>
      <c r="C255" s="5" t="s">
        <v>552</v>
      </c>
      <c r="D255" s="5" t="s">
        <v>642</v>
      </c>
      <c r="E255" s="5" t="s">
        <v>523</v>
      </c>
      <c r="F255" s="28" t="n">
        <f aca="false">IF(E255="","",IF(E255="DRINKS",0.21,0.11))</f>
        <v>0.21</v>
      </c>
      <c r="G255" s="29" t="n">
        <f aca="false">IF(B255="","",SUMIF(RETETAR!A:A,B255,RETETAR!F:F))</f>
        <v>5.23696</v>
      </c>
      <c r="H255" s="30" t="n">
        <f aca="false">IF(B255="","",SUMIF(RETETAR!A:A,B255,RETETAR!H:H))</f>
        <v>5.23696</v>
      </c>
      <c r="I255" s="31" t="n">
        <v>12</v>
      </c>
      <c r="J255" s="32" t="n">
        <f aca="false">IF(OR(I255="",F255=""),"",I255/(1+F255))</f>
        <v>9.91735537190083</v>
      </c>
      <c r="K255" s="33" t="n">
        <f aca="false">IF(OR(G255="",G255=0,J255="",J255=0),"",G255/J255)</f>
        <v>0.528060133333333</v>
      </c>
      <c r="L255" s="34" t="n">
        <f aca="false">IF(OR(H255="",H255=0,J255="",J255=0),"",H255/J255)</f>
        <v>0.528060133333333</v>
      </c>
      <c r="M255" s="35"/>
      <c r="N255" s="36" t="n">
        <v>0</v>
      </c>
      <c r="O255" s="36" t="n">
        <v>0</v>
      </c>
      <c r="P255" s="36" t="n">
        <v>0</v>
      </c>
      <c r="Q255" s="37" t="n">
        <f aca="false">IF(I255="","",I255+N(N255))</f>
        <v>12</v>
      </c>
      <c r="R255" s="37" t="n">
        <f aca="false">IF(OR(Q255="",F255=""),"",Q255/(1+F255))</f>
        <v>9.91735537190083</v>
      </c>
      <c r="S255" s="38" t="n">
        <f aca="false">IF(OR(H255="",H255=0,R255="",R255=0),"",H255/R255)</f>
        <v>0.528060133333333</v>
      </c>
      <c r="T255" s="39" t="n">
        <f aca="false">IF(I255="","",I255+N(N255+O255))</f>
        <v>12</v>
      </c>
      <c r="U255" s="39" t="n">
        <f aca="false">IF(OR(T255="",F255=""),"",T255/(1+F255))</f>
        <v>9.91735537190083</v>
      </c>
      <c r="V255" s="40" t="n">
        <f aca="false">IF(OR(H255="",H255=0,U255="",U255=0),"",H255/U255)</f>
        <v>0.528060133333333</v>
      </c>
      <c r="W255" s="41" t="n">
        <f aca="false">IF(I255="","",I255+N(N255+O255+P255))</f>
        <v>12</v>
      </c>
      <c r="X255" s="41" t="n">
        <f aca="false">IF(OR(W255="",F255=""),"",W255/(1+F255))</f>
        <v>9.91735537190083</v>
      </c>
      <c r="Y255" s="42" t="n">
        <f aca="false">IF(OR(H255="",H255=0,X255="",X255=0),"",H255/X255)</f>
        <v>0.528060133333333</v>
      </c>
    </row>
    <row r="256" customFormat="false" ht="15" hidden="false" customHeight="true" outlineLevel="0" collapsed="false">
      <c r="A256" s="5" t="s">
        <v>873</v>
      </c>
      <c r="B256" s="5" t="s">
        <v>581</v>
      </c>
      <c r="C256" s="5" t="s">
        <v>552</v>
      </c>
      <c r="D256" s="5" t="s">
        <v>645</v>
      </c>
      <c r="E256" s="5" t="s">
        <v>523</v>
      </c>
      <c r="F256" s="28" t="n">
        <f aca="false">IF(E256="","",IF(E256="DRINKS",0.21,0.11))</f>
        <v>0.21</v>
      </c>
      <c r="G256" s="29" t="n">
        <f aca="false">IF(B256="","",SUMIF(RETETAR!A:A,B256,RETETAR!F:F))</f>
        <v>5.23696</v>
      </c>
      <c r="H256" s="30" t="n">
        <f aca="false">IF(B256="","",SUMIF(RETETAR!A:A,B256,RETETAR!H:H))</f>
        <v>5.23696</v>
      </c>
      <c r="I256" s="31" t="n">
        <v>13</v>
      </c>
      <c r="J256" s="32" t="n">
        <f aca="false">IF(OR(I256="",F256=""),"",I256/(1+F256))</f>
        <v>10.7438016528926</v>
      </c>
      <c r="K256" s="33" t="n">
        <f aca="false">IF(OR(G256="",G256=0,J256="",J256=0),"",G256/J256)</f>
        <v>0.487440123076923</v>
      </c>
      <c r="L256" s="34" t="n">
        <f aca="false">IF(OR(H256="",H256=0,J256="",J256=0),"",H256/J256)</f>
        <v>0.487440123076923</v>
      </c>
      <c r="M256" s="35"/>
      <c r="N256" s="36" t="n">
        <v>0</v>
      </c>
      <c r="O256" s="36" t="n">
        <v>0</v>
      </c>
      <c r="P256" s="36" t="n">
        <v>0</v>
      </c>
      <c r="Q256" s="37" t="n">
        <f aca="false">IF(I256="","",I256+N(N256))</f>
        <v>13</v>
      </c>
      <c r="R256" s="37" t="n">
        <f aca="false">IF(OR(Q256="",F256=""),"",Q256/(1+F256))</f>
        <v>10.7438016528926</v>
      </c>
      <c r="S256" s="38" t="n">
        <f aca="false">IF(OR(H256="",H256=0,R256="",R256=0),"",H256/R256)</f>
        <v>0.487440123076923</v>
      </c>
      <c r="T256" s="39" t="n">
        <f aca="false">IF(I256="","",I256+N(N256+O256))</f>
        <v>13</v>
      </c>
      <c r="U256" s="39" t="n">
        <f aca="false">IF(OR(T256="",F256=""),"",T256/(1+F256))</f>
        <v>10.7438016528926</v>
      </c>
      <c r="V256" s="40" t="n">
        <f aca="false">IF(OR(H256="",H256=0,U256="",U256=0),"",H256/U256)</f>
        <v>0.487440123076923</v>
      </c>
      <c r="W256" s="41" t="n">
        <f aca="false">IF(I256="","",I256+N(N256+O256+P256))</f>
        <v>13</v>
      </c>
      <c r="X256" s="41" t="n">
        <f aca="false">IF(OR(W256="",F256=""),"",W256/(1+F256))</f>
        <v>10.7438016528926</v>
      </c>
      <c r="Y256" s="42" t="n">
        <f aca="false">IF(OR(H256="",H256=0,X256="",X256=0),"",H256/X256)</f>
        <v>0.487440123076923</v>
      </c>
    </row>
    <row r="257" customFormat="false" ht="15" hidden="false" customHeight="true" outlineLevel="0" collapsed="false">
      <c r="A257" s="5" t="s">
        <v>874</v>
      </c>
      <c r="B257" s="5" t="s">
        <v>582</v>
      </c>
      <c r="C257" s="5" t="s">
        <v>552</v>
      </c>
      <c r="D257" s="5" t="s">
        <v>642</v>
      </c>
      <c r="E257" s="5" t="s">
        <v>523</v>
      </c>
      <c r="F257" s="28" t="n">
        <f aca="false">IF(E257="","",IF(E257="DRINKS",0.21,0.11))</f>
        <v>0.21</v>
      </c>
      <c r="G257" s="29" t="n">
        <f aca="false">IF(B257="","",SUMIF(RETETAR!A:A,B257,RETETAR!F:F))</f>
        <v>5.66262</v>
      </c>
      <c r="H257" s="30" t="n">
        <f aca="false">IF(B257="","",SUMIF(RETETAR!A:A,B257,RETETAR!H:H))</f>
        <v>5.66262</v>
      </c>
      <c r="I257" s="31" t="n">
        <v>14</v>
      </c>
      <c r="J257" s="32" t="n">
        <f aca="false">IF(OR(I257="",F257=""),"",I257/(1+F257))</f>
        <v>11.5702479338843</v>
      </c>
      <c r="K257" s="33" t="n">
        <f aca="false">IF(OR(G257="",G257=0,J257="",J257=0),"",G257/J257)</f>
        <v>0.489412157142857</v>
      </c>
      <c r="L257" s="34" t="n">
        <f aca="false">IF(OR(H257="",H257=0,J257="",J257=0),"",H257/J257)</f>
        <v>0.489412157142857</v>
      </c>
      <c r="M257" s="35"/>
      <c r="N257" s="36" t="n">
        <v>0</v>
      </c>
      <c r="O257" s="36" t="n">
        <v>0</v>
      </c>
      <c r="P257" s="36" t="n">
        <v>0</v>
      </c>
      <c r="Q257" s="37" t="n">
        <f aca="false">IF(I257="","",I257+N(N257))</f>
        <v>14</v>
      </c>
      <c r="R257" s="37" t="n">
        <f aca="false">IF(OR(Q257="",F257=""),"",Q257/(1+F257))</f>
        <v>11.5702479338843</v>
      </c>
      <c r="S257" s="38" t="n">
        <f aca="false">IF(OR(H257="",H257=0,R257="",R257=0),"",H257/R257)</f>
        <v>0.489412157142857</v>
      </c>
      <c r="T257" s="39" t="n">
        <f aca="false">IF(I257="","",I257+N(N257+O257))</f>
        <v>14</v>
      </c>
      <c r="U257" s="39" t="n">
        <f aca="false">IF(OR(T257="",F257=""),"",T257/(1+F257))</f>
        <v>11.5702479338843</v>
      </c>
      <c r="V257" s="40" t="n">
        <f aca="false">IF(OR(H257="",H257=0,U257="",U257=0),"",H257/U257)</f>
        <v>0.489412157142857</v>
      </c>
      <c r="W257" s="41" t="n">
        <f aca="false">IF(I257="","",I257+N(N257+O257+P257))</f>
        <v>14</v>
      </c>
      <c r="X257" s="41" t="n">
        <f aca="false">IF(OR(W257="",F257=""),"",W257/(1+F257))</f>
        <v>11.5702479338843</v>
      </c>
      <c r="Y257" s="42" t="n">
        <f aca="false">IF(OR(H257="",H257=0,X257="",X257=0),"",H257/X257)</f>
        <v>0.489412157142857</v>
      </c>
    </row>
    <row r="258" customFormat="false" ht="15" hidden="false" customHeight="true" outlineLevel="0" collapsed="false">
      <c r="A258" s="5" t="s">
        <v>875</v>
      </c>
      <c r="B258" s="5" t="s">
        <v>583</v>
      </c>
      <c r="C258" s="5" t="s">
        <v>552</v>
      </c>
      <c r="D258" s="5" t="s">
        <v>645</v>
      </c>
      <c r="E258" s="5" t="s">
        <v>523</v>
      </c>
      <c r="F258" s="28" t="n">
        <f aca="false">IF(E258="","",IF(E258="DRINKS",0.21,0.11))</f>
        <v>0.21</v>
      </c>
      <c r="G258" s="29" t="n">
        <f aca="false">IF(B258="","",SUMIF(RETETAR!A:A,B258,RETETAR!F:F))</f>
        <v>5.66262</v>
      </c>
      <c r="H258" s="30" t="n">
        <f aca="false">IF(B258="","",SUMIF(RETETAR!A:A,B258,RETETAR!H:H))</f>
        <v>5.66262</v>
      </c>
      <c r="I258" s="31" t="n">
        <v>15</v>
      </c>
      <c r="J258" s="32" t="n">
        <f aca="false">IF(OR(I258="",F258=""),"",I258/(1+F258))</f>
        <v>12.396694214876</v>
      </c>
      <c r="K258" s="33" t="n">
        <f aca="false">IF(OR(G258="",G258=0,J258="",J258=0),"",G258/J258)</f>
        <v>0.45678468</v>
      </c>
      <c r="L258" s="34" t="n">
        <f aca="false">IF(OR(H258="",H258=0,J258="",J258=0),"",H258/J258)</f>
        <v>0.45678468</v>
      </c>
      <c r="M258" s="35"/>
      <c r="N258" s="36" t="n">
        <v>0</v>
      </c>
      <c r="O258" s="36" t="n">
        <v>0</v>
      </c>
      <c r="P258" s="36" t="n">
        <v>0</v>
      </c>
      <c r="Q258" s="37" t="n">
        <f aca="false">IF(I258="","",I258+N(N258))</f>
        <v>15</v>
      </c>
      <c r="R258" s="37" t="n">
        <f aca="false">IF(OR(Q258="",F258=""),"",Q258/(1+F258))</f>
        <v>12.396694214876</v>
      </c>
      <c r="S258" s="38" t="n">
        <f aca="false">IF(OR(H258="",H258=0,R258="",R258=0),"",H258/R258)</f>
        <v>0.45678468</v>
      </c>
      <c r="T258" s="39" t="n">
        <f aca="false">IF(I258="","",I258+N(N258+O258))</f>
        <v>15</v>
      </c>
      <c r="U258" s="39" t="n">
        <f aca="false">IF(OR(T258="",F258=""),"",T258/(1+F258))</f>
        <v>12.396694214876</v>
      </c>
      <c r="V258" s="40" t="n">
        <f aca="false">IF(OR(H258="",H258=0,U258="",U258=0),"",H258/U258)</f>
        <v>0.45678468</v>
      </c>
      <c r="W258" s="41" t="n">
        <f aca="false">IF(I258="","",I258+N(N258+O258+P258))</f>
        <v>15</v>
      </c>
      <c r="X258" s="41" t="n">
        <f aca="false">IF(OR(W258="",F258=""),"",W258/(1+F258))</f>
        <v>12.396694214876</v>
      </c>
      <c r="Y258" s="42" t="n">
        <f aca="false">IF(OR(H258="",H258=0,X258="",X258=0),"",H258/X258)</f>
        <v>0.45678468</v>
      </c>
    </row>
    <row r="259" customFormat="false" ht="15" hidden="false" customHeight="true" outlineLevel="0" collapsed="false">
      <c r="A259" s="5" t="s">
        <v>876</v>
      </c>
      <c r="B259" s="5" t="s">
        <v>584</v>
      </c>
      <c r="C259" s="5" t="s">
        <v>552</v>
      </c>
      <c r="D259" s="5" t="s">
        <v>642</v>
      </c>
      <c r="E259" s="5" t="s">
        <v>523</v>
      </c>
      <c r="F259" s="28" t="n">
        <f aca="false">IF(E259="","",IF(E259="DRINKS",0.21,0.11))</f>
        <v>0.21</v>
      </c>
      <c r="G259" s="29" t="n">
        <f aca="false">IF(B259="","",SUMIF(RETETAR!A:A,B259,RETETAR!F:F))</f>
        <v>6.44195</v>
      </c>
      <c r="H259" s="30" t="n">
        <f aca="false">IF(B259="","",SUMIF(RETETAR!A:A,B259,RETETAR!H:H))</f>
        <v>6.44195</v>
      </c>
      <c r="I259" s="31" t="n">
        <v>12</v>
      </c>
      <c r="J259" s="32" t="n">
        <f aca="false">IF(OR(I259="",F259=""),"",I259/(1+F259))</f>
        <v>9.91735537190083</v>
      </c>
      <c r="K259" s="33" t="n">
        <f aca="false">IF(OR(G259="",G259=0,J259="",J259=0),"",G259/J259)</f>
        <v>0.649563291666667</v>
      </c>
      <c r="L259" s="34" t="n">
        <f aca="false">IF(OR(H259="",H259=0,J259="",J259=0),"",H259/J259)</f>
        <v>0.649563291666667</v>
      </c>
      <c r="M259" s="35"/>
      <c r="N259" s="36" t="n">
        <v>0</v>
      </c>
      <c r="O259" s="36" t="n">
        <v>0</v>
      </c>
      <c r="P259" s="36" t="n">
        <v>0</v>
      </c>
      <c r="Q259" s="37" t="n">
        <f aca="false">IF(I259="","",I259+N(N259))</f>
        <v>12</v>
      </c>
      <c r="R259" s="37" t="n">
        <f aca="false">IF(OR(Q259="",F259=""),"",Q259/(1+F259))</f>
        <v>9.91735537190083</v>
      </c>
      <c r="S259" s="38" t="n">
        <f aca="false">IF(OR(H259="",H259=0,R259="",R259=0),"",H259/R259)</f>
        <v>0.649563291666667</v>
      </c>
      <c r="T259" s="39" t="n">
        <f aca="false">IF(I259="","",I259+N(N259+O259))</f>
        <v>12</v>
      </c>
      <c r="U259" s="39" t="n">
        <f aca="false">IF(OR(T259="",F259=""),"",T259/(1+F259))</f>
        <v>9.91735537190083</v>
      </c>
      <c r="V259" s="40" t="n">
        <f aca="false">IF(OR(H259="",H259=0,U259="",U259=0),"",H259/U259)</f>
        <v>0.649563291666667</v>
      </c>
      <c r="W259" s="41" t="n">
        <f aca="false">IF(I259="","",I259+N(N259+O259+P259))</f>
        <v>12</v>
      </c>
      <c r="X259" s="41" t="n">
        <f aca="false">IF(OR(W259="",F259=""),"",W259/(1+F259))</f>
        <v>9.91735537190083</v>
      </c>
      <c r="Y259" s="42" t="n">
        <f aca="false">IF(OR(H259="",H259=0,X259="",X259=0),"",H259/X259)</f>
        <v>0.649563291666667</v>
      </c>
    </row>
    <row r="260" customFormat="false" ht="15" hidden="false" customHeight="true" outlineLevel="0" collapsed="false">
      <c r="A260" s="5" t="s">
        <v>877</v>
      </c>
      <c r="B260" s="5" t="s">
        <v>585</v>
      </c>
      <c r="C260" s="5" t="s">
        <v>552</v>
      </c>
      <c r="D260" s="5" t="s">
        <v>645</v>
      </c>
      <c r="E260" s="5" t="s">
        <v>523</v>
      </c>
      <c r="F260" s="28" t="n">
        <f aca="false">IF(E260="","",IF(E260="DRINKS",0.21,0.11))</f>
        <v>0.21</v>
      </c>
      <c r="G260" s="29" t="n">
        <f aca="false">IF(B260="","",SUMIF(RETETAR!A:A,B260,RETETAR!F:F))</f>
        <v>6.44195</v>
      </c>
      <c r="H260" s="30" t="n">
        <f aca="false">IF(B260="","",SUMIF(RETETAR!A:A,B260,RETETAR!H:H))</f>
        <v>6.44195</v>
      </c>
      <c r="I260" s="31" t="n">
        <v>14</v>
      </c>
      <c r="J260" s="32" t="n">
        <f aca="false">IF(OR(I260="",F260=""),"",I260/(1+F260))</f>
        <v>11.5702479338843</v>
      </c>
      <c r="K260" s="33" t="n">
        <f aca="false">IF(OR(G260="",G260=0,J260="",J260=0),"",G260/J260)</f>
        <v>0.556768535714286</v>
      </c>
      <c r="L260" s="34" t="n">
        <f aca="false">IF(OR(H260="",H260=0,J260="",J260=0),"",H260/J260)</f>
        <v>0.556768535714286</v>
      </c>
      <c r="M260" s="35"/>
      <c r="N260" s="36" t="n">
        <v>0</v>
      </c>
      <c r="O260" s="36" t="n">
        <v>0</v>
      </c>
      <c r="P260" s="36" t="n">
        <v>0</v>
      </c>
      <c r="Q260" s="37" t="n">
        <f aca="false">IF(I260="","",I260+N(N260))</f>
        <v>14</v>
      </c>
      <c r="R260" s="37" t="n">
        <f aca="false">IF(OR(Q260="",F260=""),"",Q260/(1+F260))</f>
        <v>11.5702479338843</v>
      </c>
      <c r="S260" s="38" t="n">
        <f aca="false">IF(OR(H260="",H260=0,R260="",R260=0),"",H260/R260)</f>
        <v>0.556768535714286</v>
      </c>
      <c r="T260" s="39" t="n">
        <f aca="false">IF(I260="","",I260+N(N260+O260))</f>
        <v>14</v>
      </c>
      <c r="U260" s="39" t="n">
        <f aca="false">IF(OR(T260="",F260=""),"",T260/(1+F260))</f>
        <v>11.5702479338843</v>
      </c>
      <c r="V260" s="40" t="n">
        <f aca="false">IF(OR(H260="",H260=0,U260="",U260=0),"",H260/U260)</f>
        <v>0.556768535714286</v>
      </c>
      <c r="W260" s="41" t="n">
        <f aca="false">IF(I260="","",I260+N(N260+O260+P260))</f>
        <v>14</v>
      </c>
      <c r="X260" s="41" t="n">
        <f aca="false">IF(OR(W260="",F260=""),"",W260/(1+F260))</f>
        <v>11.5702479338843</v>
      </c>
      <c r="Y260" s="42" t="n">
        <f aca="false">IF(OR(H260="",H260=0,X260="",X260=0),"",H260/X260)</f>
        <v>0.556768535714286</v>
      </c>
    </row>
    <row r="261" customFormat="false" ht="15" hidden="false" customHeight="true" outlineLevel="0" collapsed="false">
      <c r="A261" s="5" t="s">
        <v>878</v>
      </c>
      <c r="B261" s="5" t="s">
        <v>586</v>
      </c>
      <c r="C261" s="5" t="s">
        <v>552</v>
      </c>
      <c r="D261" s="5" t="s">
        <v>642</v>
      </c>
      <c r="E261" s="5" t="s">
        <v>523</v>
      </c>
      <c r="F261" s="28" t="n">
        <f aca="false">IF(E261="","",IF(E261="DRINKS",0.21,0.11))</f>
        <v>0.21</v>
      </c>
      <c r="G261" s="29" t="n">
        <f aca="false">IF(B261="","",SUMIF(RETETAR!A:A,B261,RETETAR!F:F))</f>
        <v>5.66262</v>
      </c>
      <c r="H261" s="30" t="n">
        <f aca="false">IF(B261="","",SUMIF(RETETAR!A:A,B261,RETETAR!H:H))</f>
        <v>5.66262</v>
      </c>
      <c r="I261" s="31" t="n">
        <v>14</v>
      </c>
      <c r="J261" s="32" t="n">
        <f aca="false">IF(OR(I261="",F261=""),"",I261/(1+F261))</f>
        <v>11.5702479338843</v>
      </c>
      <c r="K261" s="33" t="n">
        <f aca="false">IF(OR(G261="",G261=0,J261="",J261=0),"",G261/J261)</f>
        <v>0.489412157142857</v>
      </c>
      <c r="L261" s="34" t="n">
        <f aca="false">IF(OR(H261="",H261=0,J261="",J261=0),"",H261/J261)</f>
        <v>0.489412157142857</v>
      </c>
      <c r="M261" s="35"/>
      <c r="N261" s="36" t="n">
        <v>0</v>
      </c>
      <c r="O261" s="36" t="n">
        <v>0</v>
      </c>
      <c r="P261" s="36" t="n">
        <v>0</v>
      </c>
      <c r="Q261" s="37" t="n">
        <f aca="false">IF(I261="","",I261+N(N261))</f>
        <v>14</v>
      </c>
      <c r="R261" s="37" t="n">
        <f aca="false">IF(OR(Q261="",F261=""),"",Q261/(1+F261))</f>
        <v>11.5702479338843</v>
      </c>
      <c r="S261" s="38" t="n">
        <f aca="false">IF(OR(H261="",H261=0,R261="",R261=0),"",H261/R261)</f>
        <v>0.489412157142857</v>
      </c>
      <c r="T261" s="39" t="n">
        <f aca="false">IF(I261="","",I261+N(N261+O261))</f>
        <v>14</v>
      </c>
      <c r="U261" s="39" t="n">
        <f aca="false">IF(OR(T261="",F261=""),"",T261/(1+F261))</f>
        <v>11.5702479338843</v>
      </c>
      <c r="V261" s="40" t="n">
        <f aca="false">IF(OR(H261="",H261=0,U261="",U261=0),"",H261/U261)</f>
        <v>0.489412157142857</v>
      </c>
      <c r="W261" s="41" t="n">
        <f aca="false">IF(I261="","",I261+N(N261+O261+P261))</f>
        <v>14</v>
      </c>
      <c r="X261" s="41" t="n">
        <f aca="false">IF(OR(W261="",F261=""),"",W261/(1+F261))</f>
        <v>11.5702479338843</v>
      </c>
      <c r="Y261" s="42" t="n">
        <f aca="false">IF(OR(H261="",H261=0,X261="",X261=0),"",H261/X261)</f>
        <v>0.489412157142857</v>
      </c>
    </row>
    <row r="262" customFormat="false" ht="15" hidden="false" customHeight="true" outlineLevel="0" collapsed="false">
      <c r="A262" s="5" t="s">
        <v>879</v>
      </c>
      <c r="B262" s="5" t="s">
        <v>587</v>
      </c>
      <c r="C262" s="5" t="s">
        <v>552</v>
      </c>
      <c r="D262" s="5" t="s">
        <v>645</v>
      </c>
      <c r="E262" s="5" t="s">
        <v>523</v>
      </c>
      <c r="F262" s="28" t="n">
        <f aca="false">IF(E262="","",IF(E262="DRINKS",0.21,0.11))</f>
        <v>0.21</v>
      </c>
      <c r="G262" s="29" t="n">
        <f aca="false">IF(B262="","",SUMIF(RETETAR!A:A,B262,RETETAR!F:F))</f>
        <v>5.66262</v>
      </c>
      <c r="H262" s="30" t="n">
        <f aca="false">IF(B262="","",SUMIF(RETETAR!A:A,B262,RETETAR!H:H))</f>
        <v>5.66262</v>
      </c>
      <c r="I262" s="31" t="n">
        <v>15</v>
      </c>
      <c r="J262" s="32" t="n">
        <f aca="false">IF(OR(I262="",F262=""),"",I262/(1+F262))</f>
        <v>12.396694214876</v>
      </c>
      <c r="K262" s="33" t="n">
        <f aca="false">IF(OR(G262="",G262=0,J262="",J262=0),"",G262/J262)</f>
        <v>0.45678468</v>
      </c>
      <c r="L262" s="34" t="n">
        <f aca="false">IF(OR(H262="",H262=0,J262="",J262=0),"",H262/J262)</f>
        <v>0.45678468</v>
      </c>
      <c r="M262" s="35"/>
      <c r="N262" s="36" t="n">
        <v>0</v>
      </c>
      <c r="O262" s="36" t="n">
        <v>0</v>
      </c>
      <c r="P262" s="36" t="n">
        <v>0</v>
      </c>
      <c r="Q262" s="37" t="n">
        <f aca="false">IF(I262="","",I262+N(N262))</f>
        <v>15</v>
      </c>
      <c r="R262" s="37" t="n">
        <f aca="false">IF(OR(Q262="",F262=""),"",Q262/(1+F262))</f>
        <v>12.396694214876</v>
      </c>
      <c r="S262" s="38" t="n">
        <f aca="false">IF(OR(H262="",H262=0,R262="",R262=0),"",H262/R262)</f>
        <v>0.45678468</v>
      </c>
      <c r="T262" s="39" t="n">
        <f aca="false">IF(I262="","",I262+N(N262+O262))</f>
        <v>15</v>
      </c>
      <c r="U262" s="39" t="n">
        <f aca="false">IF(OR(T262="",F262=""),"",T262/(1+F262))</f>
        <v>12.396694214876</v>
      </c>
      <c r="V262" s="40" t="n">
        <f aca="false">IF(OR(H262="",H262=0,U262="",U262=0),"",H262/U262)</f>
        <v>0.45678468</v>
      </c>
      <c r="W262" s="41" t="n">
        <f aca="false">IF(I262="","",I262+N(N262+O262+P262))</f>
        <v>15</v>
      </c>
      <c r="X262" s="41" t="n">
        <f aca="false">IF(OR(W262="",F262=""),"",W262/(1+F262))</f>
        <v>12.396694214876</v>
      </c>
      <c r="Y262" s="42" t="n">
        <f aca="false">IF(OR(H262="",H262=0,X262="",X262=0),"",H262/X262)</f>
        <v>0.45678468</v>
      </c>
    </row>
    <row r="263" customFormat="false" ht="15" hidden="false" customHeight="true" outlineLevel="0" collapsed="false">
      <c r="A263" s="5" t="s">
        <v>880</v>
      </c>
      <c r="B263" s="5" t="s">
        <v>588</v>
      </c>
      <c r="C263" s="5" t="s">
        <v>552</v>
      </c>
      <c r="D263" s="5" t="s">
        <v>642</v>
      </c>
      <c r="E263" s="5" t="s">
        <v>523</v>
      </c>
      <c r="F263" s="28" t="n">
        <f aca="false">IF(E263="","",IF(E263="DRINKS",0.21,0.11))</f>
        <v>0.21</v>
      </c>
      <c r="G263" s="29" t="n">
        <f aca="false">IF(B263="","",SUMIF(RETETAR!A:A,B263,RETETAR!F:F))</f>
        <v>5.04096</v>
      </c>
      <c r="H263" s="30" t="n">
        <f aca="false">IF(B263="","",SUMIF(RETETAR!A:A,B263,RETETAR!H:H))</f>
        <v>5.04096</v>
      </c>
      <c r="I263" s="31" t="n">
        <v>13</v>
      </c>
      <c r="J263" s="32" t="n">
        <f aca="false">IF(OR(I263="",F263=""),"",I263/(1+F263))</f>
        <v>10.7438016528926</v>
      </c>
      <c r="K263" s="33" t="n">
        <f aca="false">IF(OR(G263="",G263=0,J263="",J263=0),"",G263/J263)</f>
        <v>0.469197046153846</v>
      </c>
      <c r="L263" s="34" t="n">
        <f aca="false">IF(OR(H263="",H263=0,J263="",J263=0),"",H263/J263)</f>
        <v>0.469197046153846</v>
      </c>
      <c r="M263" s="35"/>
      <c r="N263" s="36" t="n">
        <v>0</v>
      </c>
      <c r="O263" s="36" t="n">
        <v>0</v>
      </c>
      <c r="P263" s="36" t="n">
        <v>0</v>
      </c>
      <c r="Q263" s="37" t="n">
        <f aca="false">IF(I263="","",I263+N(N263))</f>
        <v>13</v>
      </c>
      <c r="R263" s="37" t="n">
        <f aca="false">IF(OR(Q263="",F263=""),"",Q263/(1+F263))</f>
        <v>10.7438016528926</v>
      </c>
      <c r="S263" s="38" t="n">
        <f aca="false">IF(OR(H263="",H263=0,R263="",R263=0),"",H263/R263)</f>
        <v>0.469197046153846</v>
      </c>
      <c r="T263" s="39" t="n">
        <f aca="false">IF(I263="","",I263+N(N263+O263))</f>
        <v>13</v>
      </c>
      <c r="U263" s="39" t="n">
        <f aca="false">IF(OR(T263="",F263=""),"",T263/(1+F263))</f>
        <v>10.7438016528926</v>
      </c>
      <c r="V263" s="40" t="n">
        <f aca="false">IF(OR(H263="",H263=0,U263="",U263=0),"",H263/U263)</f>
        <v>0.469197046153846</v>
      </c>
      <c r="W263" s="41" t="n">
        <f aca="false">IF(I263="","",I263+N(N263+O263+P263))</f>
        <v>13</v>
      </c>
      <c r="X263" s="41" t="n">
        <f aca="false">IF(OR(W263="",F263=""),"",W263/(1+F263))</f>
        <v>10.7438016528926</v>
      </c>
      <c r="Y263" s="42" t="n">
        <f aca="false">IF(OR(H263="",H263=0,X263="",X263=0),"",H263/X263)</f>
        <v>0.469197046153846</v>
      </c>
    </row>
    <row r="264" customFormat="false" ht="15" hidden="false" customHeight="true" outlineLevel="0" collapsed="false">
      <c r="A264" s="5" t="s">
        <v>881</v>
      </c>
      <c r="B264" s="5" t="s">
        <v>589</v>
      </c>
      <c r="C264" s="5" t="s">
        <v>552</v>
      </c>
      <c r="D264" s="5" t="s">
        <v>645</v>
      </c>
      <c r="E264" s="5" t="s">
        <v>523</v>
      </c>
      <c r="F264" s="28" t="n">
        <f aca="false">IF(E264="","",IF(E264="DRINKS",0.21,0.11))</f>
        <v>0.21</v>
      </c>
      <c r="G264" s="29" t="n">
        <f aca="false">IF(B264="","",SUMIF(RETETAR!A:A,B264,RETETAR!F:F))</f>
        <v>5.04096</v>
      </c>
      <c r="H264" s="30" t="n">
        <f aca="false">IF(B264="","",SUMIF(RETETAR!A:A,B264,RETETAR!H:H))</f>
        <v>5.04096</v>
      </c>
      <c r="I264" s="31" t="n">
        <v>14</v>
      </c>
      <c r="J264" s="32" t="n">
        <f aca="false">IF(OR(I264="",F264=""),"",I264/(1+F264))</f>
        <v>11.5702479338843</v>
      </c>
      <c r="K264" s="33" t="n">
        <f aca="false">IF(OR(G264="",G264=0,J264="",J264=0),"",G264/J264)</f>
        <v>0.435682971428571</v>
      </c>
      <c r="L264" s="34" t="n">
        <f aca="false">IF(OR(H264="",H264=0,J264="",J264=0),"",H264/J264)</f>
        <v>0.435682971428571</v>
      </c>
      <c r="M264" s="35"/>
      <c r="N264" s="36" t="n">
        <v>0</v>
      </c>
      <c r="O264" s="36" t="n">
        <v>0</v>
      </c>
      <c r="P264" s="36" t="n">
        <v>0</v>
      </c>
      <c r="Q264" s="37" t="n">
        <f aca="false">IF(I264="","",I264+N(N264))</f>
        <v>14</v>
      </c>
      <c r="R264" s="37" t="n">
        <f aca="false">IF(OR(Q264="",F264=""),"",Q264/(1+F264))</f>
        <v>11.5702479338843</v>
      </c>
      <c r="S264" s="38" t="n">
        <f aca="false">IF(OR(H264="",H264=0,R264="",R264=0),"",H264/R264)</f>
        <v>0.435682971428571</v>
      </c>
      <c r="T264" s="39" t="n">
        <f aca="false">IF(I264="","",I264+N(N264+O264))</f>
        <v>14</v>
      </c>
      <c r="U264" s="39" t="n">
        <f aca="false">IF(OR(T264="",F264=""),"",T264/(1+F264))</f>
        <v>11.5702479338843</v>
      </c>
      <c r="V264" s="40" t="n">
        <f aca="false">IF(OR(H264="",H264=0,U264="",U264=0),"",H264/U264)</f>
        <v>0.435682971428571</v>
      </c>
      <c r="W264" s="41" t="n">
        <f aca="false">IF(I264="","",I264+N(N264+O264+P264))</f>
        <v>14</v>
      </c>
      <c r="X264" s="41" t="n">
        <f aca="false">IF(OR(W264="",F264=""),"",W264/(1+F264))</f>
        <v>11.5702479338843</v>
      </c>
      <c r="Y264" s="42" t="n">
        <f aca="false">IF(OR(H264="",H264=0,X264="",X264=0),"",H264/X264)</f>
        <v>0.435682971428571</v>
      </c>
    </row>
    <row r="265" customFormat="false" ht="15" hidden="false" customHeight="true" outlineLevel="0" collapsed="false">
      <c r="A265" s="5" t="s">
        <v>882</v>
      </c>
      <c r="B265" s="5" t="s">
        <v>590</v>
      </c>
      <c r="C265" s="5" t="s">
        <v>552</v>
      </c>
      <c r="D265" s="5" t="s">
        <v>642</v>
      </c>
      <c r="E265" s="5" t="s">
        <v>523</v>
      </c>
      <c r="F265" s="28" t="n">
        <f aca="false">IF(E265="","",IF(E265="DRINKS",0.21,0.11))</f>
        <v>0.21</v>
      </c>
      <c r="G265" s="29" t="n">
        <f aca="false">IF(B265="","",SUMIF(RETETAR!A:A,B265,RETETAR!F:F))</f>
        <v>5.66262</v>
      </c>
      <c r="H265" s="30" t="n">
        <f aca="false">IF(B265="","",SUMIF(RETETAR!A:A,B265,RETETAR!H:H))</f>
        <v>5.66262</v>
      </c>
      <c r="I265" s="31" t="n">
        <v>15</v>
      </c>
      <c r="J265" s="32" t="n">
        <f aca="false">IF(OR(I265="",F265=""),"",I265/(1+F265))</f>
        <v>12.396694214876</v>
      </c>
      <c r="K265" s="33" t="n">
        <f aca="false">IF(OR(G265="",G265=0,J265="",J265=0),"",G265/J265)</f>
        <v>0.45678468</v>
      </c>
      <c r="L265" s="34" t="n">
        <f aca="false">IF(OR(H265="",H265=0,J265="",J265=0),"",H265/J265)</f>
        <v>0.45678468</v>
      </c>
      <c r="M265" s="35"/>
      <c r="N265" s="36" t="n">
        <v>0</v>
      </c>
      <c r="O265" s="36" t="n">
        <v>0</v>
      </c>
      <c r="P265" s="36" t="n">
        <v>0</v>
      </c>
      <c r="Q265" s="37" t="n">
        <f aca="false">IF(I265="","",I265+N(N265))</f>
        <v>15</v>
      </c>
      <c r="R265" s="37" t="n">
        <f aca="false">IF(OR(Q265="",F265=""),"",Q265/(1+F265))</f>
        <v>12.396694214876</v>
      </c>
      <c r="S265" s="38" t="n">
        <f aca="false">IF(OR(H265="",H265=0,R265="",R265=0),"",H265/R265)</f>
        <v>0.45678468</v>
      </c>
      <c r="T265" s="39" t="n">
        <f aca="false">IF(I265="","",I265+N(N265+O265))</f>
        <v>15</v>
      </c>
      <c r="U265" s="39" t="n">
        <f aca="false">IF(OR(T265="",F265=""),"",T265/(1+F265))</f>
        <v>12.396694214876</v>
      </c>
      <c r="V265" s="40" t="n">
        <f aca="false">IF(OR(H265="",H265=0,U265="",U265=0),"",H265/U265)</f>
        <v>0.45678468</v>
      </c>
      <c r="W265" s="41" t="n">
        <f aca="false">IF(I265="","",I265+N(N265+O265+P265))</f>
        <v>15</v>
      </c>
      <c r="X265" s="41" t="n">
        <f aca="false">IF(OR(W265="",F265=""),"",W265/(1+F265))</f>
        <v>12.396694214876</v>
      </c>
      <c r="Y265" s="42" t="n">
        <f aca="false">IF(OR(H265="",H265=0,X265="",X265=0),"",H265/X265)</f>
        <v>0.45678468</v>
      </c>
    </row>
    <row r="266" customFormat="false" ht="15" hidden="false" customHeight="true" outlineLevel="0" collapsed="false">
      <c r="A266" s="5" t="s">
        <v>883</v>
      </c>
      <c r="B266" s="5" t="s">
        <v>591</v>
      </c>
      <c r="C266" s="5" t="s">
        <v>552</v>
      </c>
      <c r="D266" s="5" t="s">
        <v>645</v>
      </c>
      <c r="E266" s="5" t="s">
        <v>523</v>
      </c>
      <c r="F266" s="28" t="n">
        <f aca="false">IF(E266="","",IF(E266="DRINKS",0.21,0.11))</f>
        <v>0.21</v>
      </c>
      <c r="G266" s="29" t="n">
        <f aca="false">IF(B266="","",SUMIF(RETETAR!A:A,B266,RETETAR!F:F))</f>
        <v>5.66262</v>
      </c>
      <c r="H266" s="30" t="n">
        <f aca="false">IF(B266="","",SUMIF(RETETAR!A:A,B266,RETETAR!H:H))</f>
        <v>5.66262</v>
      </c>
      <c r="I266" s="31" t="n">
        <v>16</v>
      </c>
      <c r="J266" s="32" t="n">
        <f aca="false">IF(OR(I266="",F266=""),"",I266/(1+F266))</f>
        <v>13.2231404958678</v>
      </c>
      <c r="K266" s="33" t="n">
        <f aca="false">IF(OR(G266="",G266=0,J266="",J266=0),"",G266/J266)</f>
        <v>0.4282356375</v>
      </c>
      <c r="L266" s="34" t="n">
        <f aca="false">IF(OR(H266="",H266=0,J266="",J266=0),"",H266/J266)</f>
        <v>0.4282356375</v>
      </c>
      <c r="M266" s="35"/>
      <c r="N266" s="36" t="n">
        <v>0</v>
      </c>
      <c r="O266" s="36" t="n">
        <v>0</v>
      </c>
      <c r="P266" s="36" t="n">
        <v>0</v>
      </c>
      <c r="Q266" s="37" t="n">
        <f aca="false">IF(I266="","",I266+N(N266))</f>
        <v>16</v>
      </c>
      <c r="R266" s="37" t="n">
        <f aca="false">IF(OR(Q266="",F266=""),"",Q266/(1+F266))</f>
        <v>13.2231404958678</v>
      </c>
      <c r="S266" s="38" t="n">
        <f aca="false">IF(OR(H266="",H266=0,R266="",R266=0),"",H266/R266)</f>
        <v>0.4282356375</v>
      </c>
      <c r="T266" s="39" t="n">
        <f aca="false">IF(I266="","",I266+N(N266+O266))</f>
        <v>16</v>
      </c>
      <c r="U266" s="39" t="n">
        <f aca="false">IF(OR(T266="",F266=""),"",T266/(1+F266))</f>
        <v>13.2231404958678</v>
      </c>
      <c r="V266" s="40" t="n">
        <f aca="false">IF(OR(H266="",H266=0,U266="",U266=0),"",H266/U266)</f>
        <v>0.4282356375</v>
      </c>
      <c r="W266" s="41" t="n">
        <f aca="false">IF(I266="","",I266+N(N266+O266+P266))</f>
        <v>16</v>
      </c>
      <c r="X266" s="41" t="n">
        <f aca="false">IF(OR(W266="",F266=""),"",W266/(1+F266))</f>
        <v>13.2231404958678</v>
      </c>
      <c r="Y266" s="42" t="n">
        <f aca="false">IF(OR(H266="",H266=0,X266="",X266=0),"",H266/X266)</f>
        <v>0.4282356375</v>
      </c>
    </row>
    <row r="267" customFormat="false" ht="15" hidden="false" customHeight="true" outlineLevel="0" collapsed="false">
      <c r="A267" s="5" t="s">
        <v>884</v>
      </c>
      <c r="B267" s="5" t="s">
        <v>592</v>
      </c>
      <c r="C267" s="5" t="s">
        <v>552</v>
      </c>
      <c r="D267" s="5" t="s">
        <v>642</v>
      </c>
      <c r="E267" s="5" t="s">
        <v>523</v>
      </c>
      <c r="F267" s="28" t="n">
        <f aca="false">IF(E267="","",IF(E267="DRINKS",0.21,0.11))</f>
        <v>0.21</v>
      </c>
      <c r="G267" s="29" t="n">
        <f aca="false">IF(B267="","",SUMIF(RETETAR!A:A,B267,RETETAR!F:F))</f>
        <v>5.04096</v>
      </c>
      <c r="H267" s="30" t="n">
        <f aca="false">IF(B267="","",SUMIF(RETETAR!A:A,B267,RETETAR!H:H))</f>
        <v>5.04096</v>
      </c>
      <c r="I267" s="31" t="n">
        <v>13</v>
      </c>
      <c r="J267" s="32" t="n">
        <f aca="false">IF(OR(I267="",F267=""),"",I267/(1+F267))</f>
        <v>10.7438016528926</v>
      </c>
      <c r="K267" s="33" t="n">
        <f aca="false">IF(OR(G267="",G267=0,J267="",J267=0),"",G267/J267)</f>
        <v>0.469197046153846</v>
      </c>
      <c r="L267" s="34" t="n">
        <f aca="false">IF(OR(H267="",H267=0,J267="",J267=0),"",H267/J267)</f>
        <v>0.469197046153846</v>
      </c>
      <c r="M267" s="35"/>
      <c r="N267" s="36" t="n">
        <v>0</v>
      </c>
      <c r="O267" s="36" t="n">
        <v>0</v>
      </c>
      <c r="P267" s="36" t="n">
        <v>0</v>
      </c>
      <c r="Q267" s="37" t="n">
        <f aca="false">IF(I267="","",I267+N(N267))</f>
        <v>13</v>
      </c>
      <c r="R267" s="37" t="n">
        <f aca="false">IF(OR(Q267="",F267=""),"",Q267/(1+F267))</f>
        <v>10.7438016528926</v>
      </c>
      <c r="S267" s="38" t="n">
        <f aca="false">IF(OR(H267="",H267=0,R267="",R267=0),"",H267/R267)</f>
        <v>0.469197046153846</v>
      </c>
      <c r="T267" s="39" t="n">
        <f aca="false">IF(I267="","",I267+N(N267+O267))</f>
        <v>13</v>
      </c>
      <c r="U267" s="39" t="n">
        <f aca="false">IF(OR(T267="",F267=""),"",T267/(1+F267))</f>
        <v>10.7438016528926</v>
      </c>
      <c r="V267" s="40" t="n">
        <f aca="false">IF(OR(H267="",H267=0,U267="",U267=0),"",H267/U267)</f>
        <v>0.469197046153846</v>
      </c>
      <c r="W267" s="41" t="n">
        <f aca="false">IF(I267="","",I267+N(N267+O267+P267))</f>
        <v>13</v>
      </c>
      <c r="X267" s="41" t="n">
        <f aca="false">IF(OR(W267="",F267=""),"",W267/(1+F267))</f>
        <v>10.7438016528926</v>
      </c>
      <c r="Y267" s="42" t="n">
        <f aca="false">IF(OR(H267="",H267=0,X267="",X267=0),"",H267/X267)</f>
        <v>0.469197046153846</v>
      </c>
    </row>
    <row r="268" customFormat="false" ht="15" hidden="false" customHeight="true" outlineLevel="0" collapsed="false">
      <c r="A268" s="5" t="s">
        <v>885</v>
      </c>
      <c r="B268" s="5" t="s">
        <v>593</v>
      </c>
      <c r="C268" s="5" t="s">
        <v>552</v>
      </c>
      <c r="D268" s="5" t="s">
        <v>645</v>
      </c>
      <c r="E268" s="5" t="s">
        <v>523</v>
      </c>
      <c r="F268" s="28" t="n">
        <f aca="false">IF(E268="","",IF(E268="DRINKS",0.21,0.11))</f>
        <v>0.21</v>
      </c>
      <c r="G268" s="29" t="n">
        <f aca="false">IF(B268="","",SUMIF(RETETAR!A:A,B268,RETETAR!F:F))</f>
        <v>5.04096</v>
      </c>
      <c r="H268" s="30" t="n">
        <f aca="false">IF(B268="","",SUMIF(RETETAR!A:A,B268,RETETAR!H:H))</f>
        <v>5.04096</v>
      </c>
      <c r="I268" s="31" t="n">
        <v>14</v>
      </c>
      <c r="J268" s="32" t="n">
        <f aca="false">IF(OR(I268="",F268=""),"",I268/(1+F268))</f>
        <v>11.5702479338843</v>
      </c>
      <c r="K268" s="33" t="n">
        <f aca="false">IF(OR(G268="",G268=0,J268="",J268=0),"",G268/J268)</f>
        <v>0.435682971428571</v>
      </c>
      <c r="L268" s="34" t="n">
        <f aca="false">IF(OR(H268="",H268=0,J268="",J268=0),"",H268/J268)</f>
        <v>0.435682971428571</v>
      </c>
      <c r="M268" s="35"/>
      <c r="N268" s="36" t="n">
        <v>0</v>
      </c>
      <c r="O268" s="36" t="n">
        <v>0</v>
      </c>
      <c r="P268" s="36" t="n">
        <v>0</v>
      </c>
      <c r="Q268" s="37" t="n">
        <f aca="false">IF(I268="","",I268+N(N268))</f>
        <v>14</v>
      </c>
      <c r="R268" s="37" t="n">
        <f aca="false">IF(OR(Q268="",F268=""),"",Q268/(1+F268))</f>
        <v>11.5702479338843</v>
      </c>
      <c r="S268" s="38" t="n">
        <f aca="false">IF(OR(H268="",H268=0,R268="",R268=0),"",H268/R268)</f>
        <v>0.435682971428571</v>
      </c>
      <c r="T268" s="39" t="n">
        <f aca="false">IF(I268="","",I268+N(N268+O268))</f>
        <v>14</v>
      </c>
      <c r="U268" s="39" t="n">
        <f aca="false">IF(OR(T268="",F268=""),"",T268/(1+F268))</f>
        <v>11.5702479338843</v>
      </c>
      <c r="V268" s="40" t="n">
        <f aca="false">IF(OR(H268="",H268=0,U268="",U268=0),"",H268/U268)</f>
        <v>0.435682971428571</v>
      </c>
      <c r="W268" s="41" t="n">
        <f aca="false">IF(I268="","",I268+N(N268+O268+P268))</f>
        <v>14</v>
      </c>
      <c r="X268" s="41" t="n">
        <f aca="false">IF(OR(W268="",F268=""),"",W268/(1+F268))</f>
        <v>11.5702479338843</v>
      </c>
      <c r="Y268" s="42" t="n">
        <f aca="false">IF(OR(H268="",H268=0,X268="",X268=0),"",H268/X268)</f>
        <v>0.435682971428571</v>
      </c>
    </row>
    <row r="269" customFormat="false" ht="15" hidden="false" customHeight="true" outlineLevel="0" collapsed="false">
      <c r="A269" s="5" t="s">
        <v>886</v>
      </c>
      <c r="B269" s="5" t="s">
        <v>594</v>
      </c>
      <c r="C269" s="5" t="s">
        <v>552</v>
      </c>
      <c r="D269" s="5" t="s">
        <v>642</v>
      </c>
      <c r="E269" s="5" t="s">
        <v>523</v>
      </c>
      <c r="F269" s="28" t="n">
        <f aca="false">IF(E269="","",IF(E269="DRINKS",0.21,0.11))</f>
        <v>0.21</v>
      </c>
      <c r="G269" s="29" t="n">
        <f aca="false">IF(B269="","",SUMIF(RETETAR!A:A,B269,RETETAR!F:F))</f>
        <v>5.66262</v>
      </c>
      <c r="H269" s="30" t="n">
        <f aca="false">IF(B269="","",SUMIF(RETETAR!A:A,B269,RETETAR!H:H))</f>
        <v>5.66262</v>
      </c>
      <c r="I269" s="31" t="n">
        <v>15</v>
      </c>
      <c r="J269" s="32" t="n">
        <f aca="false">IF(OR(I269="",F269=""),"",I269/(1+F269))</f>
        <v>12.396694214876</v>
      </c>
      <c r="K269" s="33" t="n">
        <f aca="false">IF(OR(G269="",G269=0,J269="",J269=0),"",G269/J269)</f>
        <v>0.45678468</v>
      </c>
      <c r="L269" s="34" t="n">
        <f aca="false">IF(OR(H269="",H269=0,J269="",J269=0),"",H269/J269)</f>
        <v>0.45678468</v>
      </c>
      <c r="M269" s="35"/>
      <c r="N269" s="36" t="n">
        <v>0</v>
      </c>
      <c r="O269" s="36" t="n">
        <v>0</v>
      </c>
      <c r="P269" s="36" t="n">
        <v>0</v>
      </c>
      <c r="Q269" s="37" t="n">
        <f aca="false">IF(I269="","",I269+N(N269))</f>
        <v>15</v>
      </c>
      <c r="R269" s="37" t="n">
        <f aca="false">IF(OR(Q269="",F269=""),"",Q269/(1+F269))</f>
        <v>12.396694214876</v>
      </c>
      <c r="S269" s="38" t="n">
        <f aca="false">IF(OR(H269="",H269=0,R269="",R269=0),"",H269/R269)</f>
        <v>0.45678468</v>
      </c>
      <c r="T269" s="39" t="n">
        <f aca="false">IF(I269="","",I269+N(N269+O269))</f>
        <v>15</v>
      </c>
      <c r="U269" s="39" t="n">
        <f aca="false">IF(OR(T269="",F269=""),"",T269/(1+F269))</f>
        <v>12.396694214876</v>
      </c>
      <c r="V269" s="40" t="n">
        <f aca="false">IF(OR(H269="",H269=0,U269="",U269=0),"",H269/U269)</f>
        <v>0.45678468</v>
      </c>
      <c r="W269" s="41" t="n">
        <f aca="false">IF(I269="","",I269+N(N269+O269+P269))</f>
        <v>15</v>
      </c>
      <c r="X269" s="41" t="n">
        <f aca="false">IF(OR(W269="",F269=""),"",W269/(1+F269))</f>
        <v>12.396694214876</v>
      </c>
      <c r="Y269" s="42" t="n">
        <f aca="false">IF(OR(H269="",H269=0,X269="",X269=0),"",H269/X269)</f>
        <v>0.45678468</v>
      </c>
    </row>
    <row r="270" customFormat="false" ht="15" hidden="false" customHeight="true" outlineLevel="0" collapsed="false">
      <c r="A270" s="5" t="s">
        <v>887</v>
      </c>
      <c r="B270" s="5" t="s">
        <v>595</v>
      </c>
      <c r="C270" s="5" t="s">
        <v>552</v>
      </c>
      <c r="D270" s="5" t="s">
        <v>645</v>
      </c>
      <c r="E270" s="5" t="s">
        <v>523</v>
      </c>
      <c r="F270" s="28" t="n">
        <f aca="false">IF(E270="","",IF(E270="DRINKS",0.21,0.11))</f>
        <v>0.21</v>
      </c>
      <c r="G270" s="29" t="n">
        <f aca="false">IF(B270="","",SUMIF(RETETAR!A:A,B270,RETETAR!F:F))</f>
        <v>5.66262</v>
      </c>
      <c r="H270" s="30" t="n">
        <f aca="false">IF(B270="","",SUMIF(RETETAR!A:A,B270,RETETAR!H:H))</f>
        <v>5.66262</v>
      </c>
      <c r="I270" s="31" t="n">
        <v>16</v>
      </c>
      <c r="J270" s="32" t="n">
        <f aca="false">IF(OR(I270="",F270=""),"",I270/(1+F270))</f>
        <v>13.2231404958678</v>
      </c>
      <c r="K270" s="33" t="n">
        <f aca="false">IF(OR(G270="",G270=0,J270="",J270=0),"",G270/J270)</f>
        <v>0.4282356375</v>
      </c>
      <c r="L270" s="34" t="n">
        <f aca="false">IF(OR(H270="",H270=0,J270="",J270=0),"",H270/J270)</f>
        <v>0.4282356375</v>
      </c>
      <c r="M270" s="35"/>
      <c r="N270" s="36" t="n">
        <v>0</v>
      </c>
      <c r="O270" s="36" t="n">
        <v>0</v>
      </c>
      <c r="P270" s="36" t="n">
        <v>0</v>
      </c>
      <c r="Q270" s="37" t="n">
        <f aca="false">IF(I270="","",I270+N(N270))</f>
        <v>16</v>
      </c>
      <c r="R270" s="37" t="n">
        <f aca="false">IF(OR(Q270="",F270=""),"",Q270/(1+F270))</f>
        <v>13.2231404958678</v>
      </c>
      <c r="S270" s="38" t="n">
        <f aca="false">IF(OR(H270="",H270=0,R270="",R270=0),"",H270/R270)</f>
        <v>0.4282356375</v>
      </c>
      <c r="T270" s="39" t="n">
        <f aca="false">IF(I270="","",I270+N(N270+O270))</f>
        <v>16</v>
      </c>
      <c r="U270" s="39" t="n">
        <f aca="false">IF(OR(T270="",F270=""),"",T270/(1+F270))</f>
        <v>13.2231404958678</v>
      </c>
      <c r="V270" s="40" t="n">
        <f aca="false">IF(OR(H270="",H270=0,U270="",U270=0),"",H270/U270)</f>
        <v>0.4282356375</v>
      </c>
      <c r="W270" s="41" t="n">
        <f aca="false">IF(I270="","",I270+N(N270+O270+P270))</f>
        <v>16</v>
      </c>
      <c r="X270" s="41" t="n">
        <f aca="false">IF(OR(W270="",F270=""),"",W270/(1+F270))</f>
        <v>13.2231404958678</v>
      </c>
      <c r="Y270" s="42" t="n">
        <f aca="false">IF(OR(H270="",H270=0,X270="",X270=0),"",H270/X270)</f>
        <v>0.4282356375</v>
      </c>
    </row>
    <row r="271" customFormat="false" ht="15" hidden="false" customHeight="true" outlineLevel="0" collapsed="false">
      <c r="A271" s="5" t="s">
        <v>888</v>
      </c>
      <c r="B271" s="5" t="s">
        <v>596</v>
      </c>
      <c r="C271" s="5" t="s">
        <v>552</v>
      </c>
      <c r="D271" s="5" t="s">
        <v>642</v>
      </c>
      <c r="E271" s="5" t="s">
        <v>523</v>
      </c>
      <c r="F271" s="28" t="n">
        <f aca="false">IF(E271="","",IF(E271="DRINKS",0.21,0.11))</f>
        <v>0.21</v>
      </c>
      <c r="G271" s="29" t="n">
        <f aca="false">IF(B271="","",SUMIF(RETETAR!A:A,B271,RETETAR!F:F))</f>
        <v>6.68596</v>
      </c>
      <c r="H271" s="30" t="n">
        <f aca="false">IF(B271="","",SUMIF(RETETAR!A:A,B271,RETETAR!H:H))</f>
        <v>6.68596</v>
      </c>
      <c r="I271" s="31" t="n">
        <v>15</v>
      </c>
      <c r="J271" s="32" t="n">
        <f aca="false">IF(OR(I271="",F271=""),"",I271/(1+F271))</f>
        <v>12.396694214876</v>
      </c>
      <c r="K271" s="33" t="n">
        <f aca="false">IF(OR(G271="",G271=0,J271="",J271=0),"",G271/J271)</f>
        <v>0.539334106666667</v>
      </c>
      <c r="L271" s="34" t="n">
        <f aca="false">IF(OR(H271="",H271=0,J271="",J271=0),"",H271/J271)</f>
        <v>0.539334106666667</v>
      </c>
      <c r="M271" s="35"/>
      <c r="N271" s="36" t="n">
        <v>0</v>
      </c>
      <c r="O271" s="36" t="n">
        <v>0</v>
      </c>
      <c r="P271" s="36" t="n">
        <v>0</v>
      </c>
      <c r="Q271" s="37" t="n">
        <f aca="false">IF(I271="","",I271+N(N271))</f>
        <v>15</v>
      </c>
      <c r="R271" s="37" t="n">
        <f aca="false">IF(OR(Q271="",F271=""),"",Q271/(1+F271))</f>
        <v>12.396694214876</v>
      </c>
      <c r="S271" s="38" t="n">
        <f aca="false">IF(OR(H271="",H271=0,R271="",R271=0),"",H271/R271)</f>
        <v>0.539334106666667</v>
      </c>
      <c r="T271" s="39" t="n">
        <f aca="false">IF(I271="","",I271+N(N271+O271))</f>
        <v>15</v>
      </c>
      <c r="U271" s="39" t="n">
        <f aca="false">IF(OR(T271="",F271=""),"",T271/(1+F271))</f>
        <v>12.396694214876</v>
      </c>
      <c r="V271" s="40" t="n">
        <f aca="false">IF(OR(H271="",H271=0,U271="",U271=0),"",H271/U271)</f>
        <v>0.539334106666667</v>
      </c>
      <c r="W271" s="41" t="n">
        <f aca="false">IF(I271="","",I271+N(N271+O271+P271))</f>
        <v>15</v>
      </c>
      <c r="X271" s="41" t="n">
        <f aca="false">IF(OR(W271="",F271=""),"",W271/(1+F271))</f>
        <v>12.396694214876</v>
      </c>
      <c r="Y271" s="42" t="n">
        <f aca="false">IF(OR(H271="",H271=0,X271="",X271=0),"",H271/X271)</f>
        <v>0.539334106666667</v>
      </c>
    </row>
    <row r="272" customFormat="false" ht="15" hidden="false" customHeight="true" outlineLevel="0" collapsed="false">
      <c r="A272" s="5" t="s">
        <v>889</v>
      </c>
      <c r="B272" s="5" t="s">
        <v>597</v>
      </c>
      <c r="C272" s="5" t="s">
        <v>552</v>
      </c>
      <c r="D272" s="5" t="s">
        <v>645</v>
      </c>
      <c r="E272" s="5" t="s">
        <v>523</v>
      </c>
      <c r="F272" s="28" t="n">
        <f aca="false">IF(E272="","",IF(E272="DRINKS",0.21,0.11))</f>
        <v>0.21</v>
      </c>
      <c r="G272" s="29" t="n">
        <f aca="false">IF(B272="","",SUMIF(RETETAR!A:A,B272,RETETAR!F:F))</f>
        <v>6.68596</v>
      </c>
      <c r="H272" s="30" t="n">
        <f aca="false">IF(B272="","",SUMIF(RETETAR!A:A,B272,RETETAR!H:H))</f>
        <v>6.68596</v>
      </c>
      <c r="I272" s="31" t="n">
        <v>16</v>
      </c>
      <c r="J272" s="32" t="n">
        <f aca="false">IF(OR(I272="",F272=""),"",I272/(1+F272))</f>
        <v>13.2231404958678</v>
      </c>
      <c r="K272" s="33" t="n">
        <f aca="false">IF(OR(G272="",G272=0,J272="",J272=0),"",G272/J272)</f>
        <v>0.505625725</v>
      </c>
      <c r="L272" s="34" t="n">
        <f aca="false">IF(OR(H272="",H272=0,J272="",J272=0),"",H272/J272)</f>
        <v>0.505625725</v>
      </c>
      <c r="M272" s="35"/>
      <c r="N272" s="36" t="n">
        <v>0</v>
      </c>
      <c r="O272" s="36" t="n">
        <v>0</v>
      </c>
      <c r="P272" s="36" t="n">
        <v>0</v>
      </c>
      <c r="Q272" s="37" t="n">
        <f aca="false">IF(I272="","",I272+N(N272))</f>
        <v>16</v>
      </c>
      <c r="R272" s="37" t="n">
        <f aca="false">IF(OR(Q272="",F272=""),"",Q272/(1+F272))</f>
        <v>13.2231404958678</v>
      </c>
      <c r="S272" s="38" t="n">
        <f aca="false">IF(OR(H272="",H272=0,R272="",R272=0),"",H272/R272)</f>
        <v>0.505625725</v>
      </c>
      <c r="T272" s="39" t="n">
        <f aca="false">IF(I272="","",I272+N(N272+O272))</f>
        <v>16</v>
      </c>
      <c r="U272" s="39" t="n">
        <f aca="false">IF(OR(T272="",F272=""),"",T272/(1+F272))</f>
        <v>13.2231404958678</v>
      </c>
      <c r="V272" s="40" t="n">
        <f aca="false">IF(OR(H272="",H272=0,U272="",U272=0),"",H272/U272)</f>
        <v>0.505625725</v>
      </c>
      <c r="W272" s="41" t="n">
        <f aca="false">IF(I272="","",I272+N(N272+O272+P272))</f>
        <v>16</v>
      </c>
      <c r="X272" s="41" t="n">
        <f aca="false">IF(OR(W272="",F272=""),"",W272/(1+F272))</f>
        <v>13.2231404958678</v>
      </c>
      <c r="Y272" s="42" t="n">
        <f aca="false">IF(OR(H272="",H272=0,X272="",X272=0),"",H272/X272)</f>
        <v>0.505625725</v>
      </c>
    </row>
    <row r="273" customFormat="false" ht="15" hidden="false" customHeight="true" outlineLevel="0" collapsed="false">
      <c r="A273" s="5" t="s">
        <v>890</v>
      </c>
      <c r="B273" s="5" t="s">
        <v>598</v>
      </c>
      <c r="C273" s="5" t="s">
        <v>552</v>
      </c>
      <c r="D273" s="5" t="s">
        <v>642</v>
      </c>
      <c r="E273" s="5" t="s">
        <v>523</v>
      </c>
      <c r="F273" s="28" t="n">
        <f aca="false">IF(E273="","",IF(E273="DRINKS",0.21,0.11))</f>
        <v>0.21</v>
      </c>
      <c r="G273" s="29" t="n">
        <f aca="false">IF(B273="","",SUMIF(RETETAR!A:A,B273,RETETAR!F:F))</f>
        <v>5.03596</v>
      </c>
      <c r="H273" s="30" t="n">
        <f aca="false">IF(B273="","",SUMIF(RETETAR!A:A,B273,RETETAR!H:H))</f>
        <v>5.03596</v>
      </c>
      <c r="I273" s="31" t="n">
        <v>13</v>
      </c>
      <c r="J273" s="32" t="n">
        <f aca="false">IF(OR(I273="",F273=""),"",I273/(1+F273))</f>
        <v>10.7438016528926</v>
      </c>
      <c r="K273" s="33" t="n">
        <f aca="false">IF(OR(G273="",G273=0,J273="",J273=0),"",G273/J273)</f>
        <v>0.468731661538462</v>
      </c>
      <c r="L273" s="34" t="n">
        <f aca="false">IF(OR(H273="",H273=0,J273="",J273=0),"",H273/J273)</f>
        <v>0.468731661538462</v>
      </c>
      <c r="M273" s="35"/>
      <c r="N273" s="36" t="n">
        <v>0</v>
      </c>
      <c r="O273" s="36" t="n">
        <v>0</v>
      </c>
      <c r="P273" s="36" t="n">
        <v>0</v>
      </c>
      <c r="Q273" s="37" t="n">
        <f aca="false">IF(I273="","",I273+N(N273))</f>
        <v>13</v>
      </c>
      <c r="R273" s="37" t="n">
        <f aca="false">IF(OR(Q273="",F273=""),"",Q273/(1+F273))</f>
        <v>10.7438016528926</v>
      </c>
      <c r="S273" s="38" t="n">
        <f aca="false">IF(OR(H273="",H273=0,R273="",R273=0),"",H273/R273)</f>
        <v>0.468731661538462</v>
      </c>
      <c r="T273" s="39" t="n">
        <f aca="false">IF(I273="","",I273+N(N273+O273))</f>
        <v>13</v>
      </c>
      <c r="U273" s="39" t="n">
        <f aca="false">IF(OR(T273="",F273=""),"",T273/(1+F273))</f>
        <v>10.7438016528926</v>
      </c>
      <c r="V273" s="40" t="n">
        <f aca="false">IF(OR(H273="",H273=0,U273="",U273=0),"",H273/U273)</f>
        <v>0.468731661538462</v>
      </c>
      <c r="W273" s="41" t="n">
        <f aca="false">IF(I273="","",I273+N(N273+O273+P273))</f>
        <v>13</v>
      </c>
      <c r="X273" s="41" t="n">
        <f aca="false">IF(OR(W273="",F273=""),"",W273/(1+F273))</f>
        <v>10.7438016528926</v>
      </c>
      <c r="Y273" s="42" t="n">
        <f aca="false">IF(OR(H273="",H273=0,X273="",X273=0),"",H273/X273)</f>
        <v>0.468731661538462</v>
      </c>
    </row>
    <row r="274" customFormat="false" ht="15" hidden="false" customHeight="true" outlineLevel="0" collapsed="false">
      <c r="A274" s="5" t="s">
        <v>891</v>
      </c>
      <c r="B274" s="5" t="s">
        <v>599</v>
      </c>
      <c r="C274" s="5" t="s">
        <v>552</v>
      </c>
      <c r="D274" s="5" t="s">
        <v>642</v>
      </c>
      <c r="E274" s="5" t="s">
        <v>523</v>
      </c>
      <c r="F274" s="28" t="n">
        <f aca="false">IF(E274="","",IF(E274="DRINKS",0.21,0.11))</f>
        <v>0.21</v>
      </c>
      <c r="G274" s="29" t="n">
        <f aca="false">IF(B274="","",SUMIF(RETETAR!A:A,B274,RETETAR!F:F))</f>
        <v>2.8051498</v>
      </c>
      <c r="H274" s="30" t="n">
        <f aca="false">IF(B274="","",SUMIF(RETETAR!A:A,B274,RETETAR!H:H))</f>
        <v>2.8051498</v>
      </c>
      <c r="I274" s="31" t="n">
        <v>10</v>
      </c>
      <c r="J274" s="32" t="n">
        <f aca="false">IF(OR(I274="",F274=""),"",I274/(1+F274))</f>
        <v>8.26446280991736</v>
      </c>
      <c r="K274" s="33" t="n">
        <f aca="false">IF(OR(G274="",G274=0,J274="",J274=0),"",G274/J274)</f>
        <v>0.3394231258</v>
      </c>
      <c r="L274" s="34" t="n">
        <f aca="false">IF(OR(H274="",H274=0,J274="",J274=0),"",H274/J274)</f>
        <v>0.3394231258</v>
      </c>
      <c r="M274" s="35"/>
      <c r="N274" s="36" t="n">
        <v>0</v>
      </c>
      <c r="O274" s="36" t="n">
        <v>0</v>
      </c>
      <c r="P274" s="36" t="n">
        <v>0</v>
      </c>
      <c r="Q274" s="37" t="n">
        <f aca="false">IF(I274="","",I274+N(N274))</f>
        <v>10</v>
      </c>
      <c r="R274" s="37" t="n">
        <f aca="false">IF(OR(Q274="",F274=""),"",Q274/(1+F274))</f>
        <v>8.26446280991736</v>
      </c>
      <c r="S274" s="38" t="n">
        <f aca="false">IF(OR(H274="",H274=0,R274="",R274=0),"",H274/R274)</f>
        <v>0.3394231258</v>
      </c>
      <c r="T274" s="39" t="n">
        <f aca="false">IF(I274="","",I274+N(N274+O274))</f>
        <v>10</v>
      </c>
      <c r="U274" s="39" t="n">
        <f aca="false">IF(OR(T274="",F274=""),"",T274/(1+F274))</f>
        <v>8.26446280991736</v>
      </c>
      <c r="V274" s="40" t="n">
        <f aca="false">IF(OR(H274="",H274=0,U274="",U274=0),"",H274/U274)</f>
        <v>0.3394231258</v>
      </c>
      <c r="W274" s="41" t="n">
        <f aca="false">IF(I274="","",I274+N(N274+O274+P274))</f>
        <v>10</v>
      </c>
      <c r="X274" s="41" t="n">
        <f aca="false">IF(OR(W274="",F274=""),"",W274/(1+F274))</f>
        <v>8.26446280991736</v>
      </c>
      <c r="Y274" s="42" t="n">
        <f aca="false">IF(OR(H274="",H274=0,X274="",X274=0),"",H274/X274)</f>
        <v>0.3394231258</v>
      </c>
    </row>
    <row r="275" customFormat="false" ht="15" hidden="false" customHeight="true" outlineLevel="0" collapsed="false">
      <c r="A275" s="5" t="s">
        <v>892</v>
      </c>
      <c r="B275" s="5" t="s">
        <v>600</v>
      </c>
      <c r="C275" s="5" t="s">
        <v>552</v>
      </c>
      <c r="D275" s="5" t="s">
        <v>645</v>
      </c>
      <c r="E275" s="5" t="s">
        <v>523</v>
      </c>
      <c r="F275" s="28" t="n">
        <f aca="false">IF(E275="","",IF(E275="DRINKS",0.21,0.11))</f>
        <v>0.21</v>
      </c>
      <c r="G275" s="29" t="n">
        <f aca="false">IF(B275="","",SUMIF(RETETAR!A:A,B275,RETETAR!F:F))</f>
        <v>2.8051498</v>
      </c>
      <c r="H275" s="30" t="n">
        <f aca="false">IF(B275="","",SUMIF(RETETAR!A:A,B275,RETETAR!H:H))</f>
        <v>2.8051498</v>
      </c>
      <c r="I275" s="31" t="n">
        <v>12.99</v>
      </c>
      <c r="J275" s="32" t="n">
        <f aca="false">IF(OR(I275="",F275=""),"",I275/(1+F275))</f>
        <v>10.7355371900826</v>
      </c>
      <c r="K275" s="33" t="n">
        <f aca="false">IF(OR(G275="",G275=0,J275="",J275=0),"",G275/J275)</f>
        <v>0.261295708852964</v>
      </c>
      <c r="L275" s="34" t="n">
        <f aca="false">IF(OR(H275="",H275=0,J275="",J275=0),"",H275/J275)</f>
        <v>0.261295708852964</v>
      </c>
      <c r="M275" s="35"/>
      <c r="N275" s="36" t="n">
        <v>0</v>
      </c>
      <c r="O275" s="36" t="n">
        <v>0</v>
      </c>
      <c r="P275" s="36" t="n">
        <v>0</v>
      </c>
      <c r="Q275" s="37" t="n">
        <f aca="false">IF(I275="","",I275+N(N275))</f>
        <v>12.99</v>
      </c>
      <c r="R275" s="37" t="n">
        <f aca="false">IF(OR(Q275="",F275=""),"",Q275/(1+F275))</f>
        <v>10.7355371900826</v>
      </c>
      <c r="S275" s="38" t="n">
        <f aca="false">IF(OR(H275="",H275=0,R275="",R275=0),"",H275/R275)</f>
        <v>0.261295708852964</v>
      </c>
      <c r="T275" s="39" t="n">
        <f aca="false">IF(I275="","",I275+N(N275+O275))</f>
        <v>12.99</v>
      </c>
      <c r="U275" s="39" t="n">
        <f aca="false">IF(OR(T275="",F275=""),"",T275/(1+F275))</f>
        <v>10.7355371900826</v>
      </c>
      <c r="V275" s="40" t="n">
        <f aca="false">IF(OR(H275="",H275=0,U275="",U275=0),"",H275/U275)</f>
        <v>0.261295708852964</v>
      </c>
      <c r="W275" s="41" t="n">
        <f aca="false">IF(I275="","",I275+N(N275+O275+P275))</f>
        <v>12.99</v>
      </c>
      <c r="X275" s="41" t="n">
        <f aca="false">IF(OR(W275="",F275=""),"",W275/(1+F275))</f>
        <v>10.7355371900826</v>
      </c>
      <c r="Y275" s="42" t="n">
        <f aca="false">IF(OR(H275="",H275=0,X275="",X275=0),"",H275/X275)</f>
        <v>0.261295708852964</v>
      </c>
    </row>
    <row r="276" customFormat="false" ht="15" hidden="false" customHeight="true" outlineLevel="0" collapsed="false">
      <c r="A276" s="5" t="s">
        <v>893</v>
      </c>
      <c r="B276" s="5" t="s">
        <v>601</v>
      </c>
      <c r="C276" s="5" t="s">
        <v>552</v>
      </c>
      <c r="D276" s="5" t="s">
        <v>642</v>
      </c>
      <c r="E276" s="5" t="s">
        <v>643</v>
      </c>
      <c r="F276" s="28" t="n">
        <f aca="false">IF(E276="","",IF(E276="DRINKS",0.21,0.11))</f>
        <v>0.11</v>
      </c>
      <c r="G276" s="29" t="n">
        <f aca="false">IF(B276="","",SUMIF(RETETAR!A:A,B276,RETETAR!F:F))</f>
        <v>9.562</v>
      </c>
      <c r="H276" s="30" t="n">
        <f aca="false">IF(B276="","",SUMIF(RETETAR!A:A,B276,RETETAR!H:H))</f>
        <v>9.562</v>
      </c>
      <c r="I276" s="31" t="n">
        <v>20</v>
      </c>
      <c r="J276" s="32" t="n">
        <f aca="false">IF(OR(I276="",F276=""),"",I276/(1+F276))</f>
        <v>18.018018018018</v>
      </c>
      <c r="K276" s="33" t="n">
        <f aca="false">IF(OR(G276="",G276=0,J276="",J276=0),"",G276/J276)</f>
        <v>0.530691</v>
      </c>
      <c r="L276" s="34" t="n">
        <f aca="false">IF(OR(H276="",H276=0,J276="",J276=0),"",H276/J276)</f>
        <v>0.530691</v>
      </c>
      <c r="M276" s="35"/>
      <c r="N276" s="36" t="n">
        <v>0</v>
      </c>
      <c r="O276" s="36" t="n">
        <v>0</v>
      </c>
      <c r="P276" s="36" t="n">
        <v>0</v>
      </c>
      <c r="Q276" s="37" t="n">
        <f aca="false">IF(I276="","",I276+N(N276))</f>
        <v>20</v>
      </c>
      <c r="R276" s="37" t="n">
        <f aca="false">IF(OR(Q276="",F276=""),"",Q276/(1+F276))</f>
        <v>18.018018018018</v>
      </c>
      <c r="S276" s="38" t="n">
        <f aca="false">IF(OR(H276="",H276=0,R276="",R276=0),"",H276/R276)</f>
        <v>0.530691</v>
      </c>
      <c r="T276" s="39" t="n">
        <f aca="false">IF(I276="","",I276+N(N276+O276))</f>
        <v>20</v>
      </c>
      <c r="U276" s="39" t="n">
        <f aca="false">IF(OR(T276="",F276=""),"",T276/(1+F276))</f>
        <v>18.018018018018</v>
      </c>
      <c r="V276" s="40" t="n">
        <f aca="false">IF(OR(H276="",H276=0,U276="",U276=0),"",H276/U276)</f>
        <v>0.530691</v>
      </c>
      <c r="W276" s="41" t="n">
        <f aca="false">IF(I276="","",I276+N(N276+O276+P276))</f>
        <v>20</v>
      </c>
      <c r="X276" s="41" t="n">
        <f aca="false">IF(OR(W276="",F276=""),"",W276/(1+F276))</f>
        <v>18.018018018018</v>
      </c>
      <c r="Y276" s="42" t="n">
        <f aca="false">IF(OR(H276="",H276=0,X276="",X276=0),"",H276/X276)</f>
        <v>0.530691</v>
      </c>
    </row>
    <row r="277" customFormat="false" ht="15" hidden="false" customHeight="true" outlineLevel="0" collapsed="false">
      <c r="A277" s="5" t="s">
        <v>894</v>
      </c>
      <c r="B277" s="5" t="s">
        <v>602</v>
      </c>
      <c r="C277" s="5" t="s">
        <v>552</v>
      </c>
      <c r="D277" s="5" t="s">
        <v>645</v>
      </c>
      <c r="E277" s="5" t="s">
        <v>643</v>
      </c>
      <c r="F277" s="28" t="n">
        <f aca="false">IF(E277="","",IF(E277="DRINKS",0.21,0.11))</f>
        <v>0.11</v>
      </c>
      <c r="G277" s="29" t="n">
        <f aca="false">IF(B277="","",SUMIF(RETETAR!A:A,B277,RETETAR!F:F))</f>
        <v>9.562</v>
      </c>
      <c r="H277" s="30" t="n">
        <f aca="false">IF(B277="","",SUMIF(RETETAR!A:A,B277,RETETAR!H:H))</f>
        <v>9.562</v>
      </c>
      <c r="I277" s="31" t="n">
        <v>20</v>
      </c>
      <c r="J277" s="32" t="n">
        <f aca="false">IF(OR(I277="",F277=""),"",I277/(1+F277))</f>
        <v>18.018018018018</v>
      </c>
      <c r="K277" s="33" t="n">
        <f aca="false">IF(OR(G277="",G277=0,J277="",J277=0),"",G277/J277)</f>
        <v>0.530691</v>
      </c>
      <c r="L277" s="34" t="n">
        <f aca="false">IF(OR(H277="",H277=0,J277="",J277=0),"",H277/J277)</f>
        <v>0.530691</v>
      </c>
      <c r="M277" s="35"/>
      <c r="N277" s="36" t="n">
        <v>0</v>
      </c>
      <c r="O277" s="36" t="n">
        <v>0</v>
      </c>
      <c r="P277" s="36" t="n">
        <v>0</v>
      </c>
      <c r="Q277" s="37" t="n">
        <f aca="false">IF(I277="","",I277+N(N277))</f>
        <v>20</v>
      </c>
      <c r="R277" s="37" t="n">
        <f aca="false">IF(OR(Q277="",F277=""),"",Q277/(1+F277))</f>
        <v>18.018018018018</v>
      </c>
      <c r="S277" s="38" t="n">
        <f aca="false">IF(OR(H277="",H277=0,R277="",R277=0),"",H277/R277)</f>
        <v>0.530691</v>
      </c>
      <c r="T277" s="39" t="n">
        <f aca="false">IF(I277="","",I277+N(N277+O277))</f>
        <v>20</v>
      </c>
      <c r="U277" s="39" t="n">
        <f aca="false">IF(OR(T277="",F277=""),"",T277/(1+F277))</f>
        <v>18.018018018018</v>
      </c>
      <c r="V277" s="40" t="n">
        <f aca="false">IF(OR(H277="",H277=0,U277="",U277=0),"",H277/U277)</f>
        <v>0.530691</v>
      </c>
      <c r="W277" s="41" t="n">
        <f aca="false">IF(I277="","",I277+N(N277+O277+P277))</f>
        <v>20</v>
      </c>
      <c r="X277" s="41" t="n">
        <f aca="false">IF(OR(W277="",F277=""),"",W277/(1+F277))</f>
        <v>18.018018018018</v>
      </c>
      <c r="Y277" s="42" t="n">
        <f aca="false">IF(OR(H277="",H277=0,X277="",X277=0),"",H277/X277)</f>
        <v>0.530691</v>
      </c>
    </row>
    <row r="278" customFormat="false" ht="15" hidden="false" customHeight="true" outlineLevel="0" collapsed="false">
      <c r="A278" s="5" t="s">
        <v>895</v>
      </c>
      <c r="B278" s="5" t="s">
        <v>603</v>
      </c>
      <c r="C278" s="5" t="s">
        <v>552</v>
      </c>
      <c r="D278" s="5" t="s">
        <v>642</v>
      </c>
      <c r="E278" s="5" t="s">
        <v>643</v>
      </c>
      <c r="F278" s="28" t="n">
        <f aca="false">IF(E278="","",IF(E278="DRINKS",0.21,0.11))</f>
        <v>0.11</v>
      </c>
      <c r="G278" s="29" t="n">
        <f aca="false">IF(B278="","",SUMIF(RETETAR!A:A,B278,RETETAR!F:F))</f>
        <v>9.295</v>
      </c>
      <c r="H278" s="30" t="n">
        <f aca="false">IF(B278="","",SUMIF(RETETAR!A:A,B278,RETETAR!H:H))</f>
        <v>9.295</v>
      </c>
      <c r="I278" s="31" t="n">
        <v>20</v>
      </c>
      <c r="J278" s="32" t="n">
        <f aca="false">IF(OR(I278="",F278=""),"",I278/(1+F278))</f>
        <v>18.018018018018</v>
      </c>
      <c r="K278" s="33" t="n">
        <f aca="false">IF(OR(G278="",G278=0,J278="",J278=0),"",G278/J278)</f>
        <v>0.5158725</v>
      </c>
      <c r="L278" s="34" t="n">
        <f aca="false">IF(OR(H278="",H278=0,J278="",J278=0),"",H278/J278)</f>
        <v>0.5158725</v>
      </c>
      <c r="M278" s="35"/>
      <c r="N278" s="36" t="n">
        <v>0</v>
      </c>
      <c r="O278" s="36" t="n">
        <v>0</v>
      </c>
      <c r="P278" s="36" t="n">
        <v>0</v>
      </c>
      <c r="Q278" s="37" t="n">
        <f aca="false">IF(I278="","",I278+N(N278))</f>
        <v>20</v>
      </c>
      <c r="R278" s="37" t="n">
        <f aca="false">IF(OR(Q278="",F278=""),"",Q278/(1+F278))</f>
        <v>18.018018018018</v>
      </c>
      <c r="S278" s="38" t="n">
        <f aca="false">IF(OR(H278="",H278=0,R278="",R278=0),"",H278/R278)</f>
        <v>0.5158725</v>
      </c>
      <c r="T278" s="39" t="n">
        <f aca="false">IF(I278="","",I278+N(N278+O278))</f>
        <v>20</v>
      </c>
      <c r="U278" s="39" t="n">
        <f aca="false">IF(OR(T278="",F278=""),"",T278/(1+F278))</f>
        <v>18.018018018018</v>
      </c>
      <c r="V278" s="40" t="n">
        <f aca="false">IF(OR(H278="",H278=0,U278="",U278=0),"",H278/U278)</f>
        <v>0.5158725</v>
      </c>
      <c r="W278" s="41" t="n">
        <f aca="false">IF(I278="","",I278+N(N278+O278+P278))</f>
        <v>20</v>
      </c>
      <c r="X278" s="41" t="n">
        <f aca="false">IF(OR(W278="",F278=""),"",W278/(1+F278))</f>
        <v>18.018018018018</v>
      </c>
      <c r="Y278" s="42" t="n">
        <f aca="false">IF(OR(H278="",H278=0,X278="",X278=0),"",H278/X278)</f>
        <v>0.5158725</v>
      </c>
    </row>
    <row r="279" customFormat="false" ht="15" hidden="false" customHeight="true" outlineLevel="0" collapsed="false">
      <c r="A279" s="5" t="s">
        <v>896</v>
      </c>
      <c r="B279" s="5" t="s">
        <v>604</v>
      </c>
      <c r="C279" s="5" t="s">
        <v>552</v>
      </c>
      <c r="D279" s="5" t="s">
        <v>645</v>
      </c>
      <c r="E279" s="5" t="s">
        <v>643</v>
      </c>
      <c r="F279" s="28" t="n">
        <f aca="false">IF(E279="","",IF(E279="DRINKS",0.21,0.11))</f>
        <v>0.11</v>
      </c>
      <c r="G279" s="29" t="n">
        <f aca="false">IF(B279="","",SUMIF(RETETAR!A:A,B279,RETETAR!F:F))</f>
        <v>9.295</v>
      </c>
      <c r="H279" s="30" t="n">
        <f aca="false">IF(B279="","",SUMIF(RETETAR!A:A,B279,RETETAR!H:H))</f>
        <v>9.295</v>
      </c>
      <c r="I279" s="31" t="n">
        <v>20</v>
      </c>
      <c r="J279" s="32" t="n">
        <f aca="false">IF(OR(I279="",F279=""),"",I279/(1+F279))</f>
        <v>18.018018018018</v>
      </c>
      <c r="K279" s="33" t="n">
        <f aca="false">IF(OR(G279="",G279=0,J279="",J279=0),"",G279/J279)</f>
        <v>0.5158725</v>
      </c>
      <c r="L279" s="34" t="n">
        <f aca="false">IF(OR(H279="",H279=0,J279="",J279=0),"",H279/J279)</f>
        <v>0.5158725</v>
      </c>
      <c r="M279" s="35"/>
      <c r="N279" s="36" t="n">
        <v>0</v>
      </c>
      <c r="O279" s="36" t="n">
        <v>0</v>
      </c>
      <c r="P279" s="36" t="n">
        <v>0</v>
      </c>
      <c r="Q279" s="37" t="n">
        <f aca="false">IF(I279="","",I279+N(N279))</f>
        <v>20</v>
      </c>
      <c r="R279" s="37" t="n">
        <f aca="false">IF(OR(Q279="",F279=""),"",Q279/(1+F279))</f>
        <v>18.018018018018</v>
      </c>
      <c r="S279" s="38" t="n">
        <f aca="false">IF(OR(H279="",H279=0,R279="",R279=0),"",H279/R279)</f>
        <v>0.5158725</v>
      </c>
      <c r="T279" s="39" t="n">
        <f aca="false">IF(I279="","",I279+N(N279+O279))</f>
        <v>20</v>
      </c>
      <c r="U279" s="39" t="n">
        <f aca="false">IF(OR(T279="",F279=""),"",T279/(1+F279))</f>
        <v>18.018018018018</v>
      </c>
      <c r="V279" s="40" t="n">
        <f aca="false">IF(OR(H279="",H279=0,U279="",U279=0),"",H279/U279)</f>
        <v>0.5158725</v>
      </c>
      <c r="W279" s="41" t="n">
        <f aca="false">IF(I279="","",I279+N(N279+O279+P279))</f>
        <v>20</v>
      </c>
      <c r="X279" s="41" t="n">
        <f aca="false">IF(OR(W279="",F279=""),"",W279/(1+F279))</f>
        <v>18.018018018018</v>
      </c>
      <c r="Y279" s="42" t="n">
        <f aca="false">IF(OR(H279="",H279=0,X279="",X279=0),"",H279/X279)</f>
        <v>0.5158725</v>
      </c>
    </row>
    <row r="280" customFormat="false" ht="15" hidden="false" customHeight="true" outlineLevel="0" collapsed="false">
      <c r="A280" s="5" t="s">
        <v>897</v>
      </c>
      <c r="B280" s="5" t="s">
        <v>605</v>
      </c>
      <c r="C280" s="5" t="s">
        <v>552</v>
      </c>
      <c r="D280" s="5" t="s">
        <v>642</v>
      </c>
      <c r="E280" s="5" t="s">
        <v>643</v>
      </c>
      <c r="F280" s="28" t="n">
        <f aca="false">IF(E280="","",IF(E280="DRINKS",0.21,0.11))</f>
        <v>0.11</v>
      </c>
      <c r="G280" s="29" t="n">
        <f aca="false">IF(B280="","",SUMIF(RETETAR!A:A,B280,RETETAR!F:F))</f>
        <v>11.923</v>
      </c>
      <c r="H280" s="30" t="n">
        <f aca="false">IF(B280="","",SUMIF(RETETAR!A:A,B280,RETETAR!H:H))</f>
        <v>11.923</v>
      </c>
      <c r="I280" s="31" t="n">
        <v>21</v>
      </c>
      <c r="J280" s="32" t="n">
        <f aca="false">IF(OR(I280="",F280=""),"",I280/(1+F280))</f>
        <v>18.9189189189189</v>
      </c>
      <c r="K280" s="33" t="n">
        <f aca="false">IF(OR(G280="",G280=0,J280="",J280=0),"",G280/J280)</f>
        <v>0.630215714285714</v>
      </c>
      <c r="L280" s="34" t="n">
        <f aca="false">IF(OR(H280="",H280=0,J280="",J280=0),"",H280/J280)</f>
        <v>0.630215714285714</v>
      </c>
      <c r="M280" s="35"/>
      <c r="N280" s="36" t="n">
        <v>0</v>
      </c>
      <c r="O280" s="36" t="n">
        <v>0</v>
      </c>
      <c r="P280" s="36" t="n">
        <v>0</v>
      </c>
      <c r="Q280" s="37" t="n">
        <f aca="false">IF(I280="","",I280+N(N280))</f>
        <v>21</v>
      </c>
      <c r="R280" s="37" t="n">
        <f aca="false">IF(OR(Q280="",F280=""),"",Q280/(1+F280))</f>
        <v>18.9189189189189</v>
      </c>
      <c r="S280" s="38" t="n">
        <f aca="false">IF(OR(H280="",H280=0,R280="",R280=0),"",H280/R280)</f>
        <v>0.630215714285714</v>
      </c>
      <c r="T280" s="39" t="n">
        <f aca="false">IF(I280="","",I280+N(N280+O280))</f>
        <v>21</v>
      </c>
      <c r="U280" s="39" t="n">
        <f aca="false">IF(OR(T280="",F280=""),"",T280/(1+F280))</f>
        <v>18.9189189189189</v>
      </c>
      <c r="V280" s="40" t="n">
        <f aca="false">IF(OR(H280="",H280=0,U280="",U280=0),"",H280/U280)</f>
        <v>0.630215714285714</v>
      </c>
      <c r="W280" s="41" t="n">
        <f aca="false">IF(I280="","",I280+N(N280+O280+P280))</f>
        <v>21</v>
      </c>
      <c r="X280" s="41" t="n">
        <f aca="false">IF(OR(W280="",F280=""),"",W280/(1+F280))</f>
        <v>18.9189189189189</v>
      </c>
      <c r="Y280" s="42" t="n">
        <f aca="false">IF(OR(H280="",H280=0,X280="",X280=0),"",H280/X280)</f>
        <v>0.630215714285714</v>
      </c>
    </row>
    <row r="281" customFormat="false" ht="15" hidden="false" customHeight="true" outlineLevel="0" collapsed="false">
      <c r="A281" s="5" t="s">
        <v>898</v>
      </c>
      <c r="B281" s="5" t="s">
        <v>606</v>
      </c>
      <c r="C281" s="5" t="s">
        <v>552</v>
      </c>
      <c r="D281" s="5" t="s">
        <v>645</v>
      </c>
      <c r="E281" s="5" t="s">
        <v>643</v>
      </c>
      <c r="F281" s="28" t="n">
        <f aca="false">IF(E281="","",IF(E281="DRINKS",0.21,0.11))</f>
        <v>0.11</v>
      </c>
      <c r="G281" s="29" t="n">
        <f aca="false">IF(B281="","",SUMIF(RETETAR!A:A,B281,RETETAR!F:F))</f>
        <v>11.923</v>
      </c>
      <c r="H281" s="30" t="n">
        <f aca="false">IF(B281="","",SUMIF(RETETAR!A:A,B281,RETETAR!H:H))</f>
        <v>11.923</v>
      </c>
      <c r="I281" s="31" t="n">
        <v>21</v>
      </c>
      <c r="J281" s="32" t="n">
        <f aca="false">IF(OR(I281="",F281=""),"",I281/(1+F281))</f>
        <v>18.9189189189189</v>
      </c>
      <c r="K281" s="33" t="n">
        <f aca="false">IF(OR(G281="",G281=0,J281="",J281=0),"",G281/J281)</f>
        <v>0.630215714285714</v>
      </c>
      <c r="L281" s="34" t="n">
        <f aca="false">IF(OR(H281="",H281=0,J281="",J281=0),"",H281/J281)</f>
        <v>0.630215714285714</v>
      </c>
      <c r="M281" s="35"/>
      <c r="N281" s="36" t="n">
        <v>0</v>
      </c>
      <c r="O281" s="36" t="n">
        <v>0</v>
      </c>
      <c r="P281" s="36" t="n">
        <v>0</v>
      </c>
      <c r="Q281" s="37" t="n">
        <f aca="false">IF(I281="","",I281+N(N281))</f>
        <v>21</v>
      </c>
      <c r="R281" s="37" t="n">
        <f aca="false">IF(OR(Q281="",F281=""),"",Q281/(1+F281))</f>
        <v>18.9189189189189</v>
      </c>
      <c r="S281" s="38" t="n">
        <f aca="false">IF(OR(H281="",H281=0,R281="",R281=0),"",H281/R281)</f>
        <v>0.630215714285714</v>
      </c>
      <c r="T281" s="39" t="n">
        <f aca="false">IF(I281="","",I281+N(N281+O281))</f>
        <v>21</v>
      </c>
      <c r="U281" s="39" t="n">
        <f aca="false">IF(OR(T281="",F281=""),"",T281/(1+F281))</f>
        <v>18.9189189189189</v>
      </c>
      <c r="V281" s="40" t="n">
        <f aca="false">IF(OR(H281="",H281=0,U281="",U281=0),"",H281/U281)</f>
        <v>0.630215714285714</v>
      </c>
      <c r="W281" s="41" t="n">
        <f aca="false">IF(I281="","",I281+N(N281+O281+P281))</f>
        <v>21</v>
      </c>
      <c r="X281" s="41" t="n">
        <f aca="false">IF(OR(W281="",F281=""),"",W281/(1+F281))</f>
        <v>18.9189189189189</v>
      </c>
      <c r="Y281" s="42" t="n">
        <f aca="false">IF(OR(H281="",H281=0,X281="",X281=0),"",H281/X281)</f>
        <v>0.630215714285714</v>
      </c>
    </row>
    <row r="282" customFormat="false" ht="15" hidden="false" customHeight="true" outlineLevel="0" collapsed="false">
      <c r="A282" s="5" t="s">
        <v>899</v>
      </c>
      <c r="B282" s="5" t="s">
        <v>607</v>
      </c>
      <c r="C282" s="5" t="s">
        <v>608</v>
      </c>
      <c r="D282" s="5" t="s">
        <v>642</v>
      </c>
      <c r="E282" s="5" t="s">
        <v>643</v>
      </c>
      <c r="F282" s="28" t="n">
        <f aca="false">IF(E282="","",IF(E282="DRINKS",0.21,0.11))</f>
        <v>0.11</v>
      </c>
      <c r="G282" s="29" t="n">
        <f aca="false">IF(B282="","",SUMIF(RETETAR!A:A,B282,RETETAR!F:F))</f>
        <v>23.0303424</v>
      </c>
      <c r="H282" s="30" t="n">
        <f aca="false">IF(B282="","",SUMIF(RETETAR!A:A,B282,RETETAR!H:H))</f>
        <v>23.4480124</v>
      </c>
      <c r="I282" s="31" t="n">
        <v>39</v>
      </c>
      <c r="J282" s="32" t="n">
        <f aca="false">IF(OR(I282="",F282=""),"",I282/(1+F282))</f>
        <v>35.1351351351351</v>
      </c>
      <c r="K282" s="33" t="n">
        <f aca="false">IF(OR(G282="",G282=0,J282="",J282=0),"",G282/J282)</f>
        <v>0.655478976</v>
      </c>
      <c r="L282" s="34" t="n">
        <f aca="false">IF(OR(H282="",H282=0,J282="",J282=0),"",H282/J282)</f>
        <v>0.667366506769231</v>
      </c>
      <c r="M282" s="35"/>
      <c r="N282" s="36" t="n">
        <v>0</v>
      </c>
      <c r="O282" s="36" t="n">
        <v>0</v>
      </c>
      <c r="P282" s="36" t="n">
        <v>0</v>
      </c>
      <c r="Q282" s="37" t="n">
        <f aca="false">IF(I282="","",I282+N(N282))</f>
        <v>39</v>
      </c>
      <c r="R282" s="37" t="n">
        <f aca="false">IF(OR(Q282="",F282=""),"",Q282/(1+F282))</f>
        <v>35.1351351351351</v>
      </c>
      <c r="S282" s="38" t="n">
        <f aca="false">IF(OR(H282="",H282=0,R282="",R282=0),"",H282/R282)</f>
        <v>0.667366506769231</v>
      </c>
      <c r="T282" s="39" t="n">
        <f aca="false">IF(I282="","",I282+N(N282+O282))</f>
        <v>39</v>
      </c>
      <c r="U282" s="39" t="n">
        <f aca="false">IF(OR(T282="",F282=""),"",T282/(1+F282))</f>
        <v>35.1351351351351</v>
      </c>
      <c r="V282" s="40" t="n">
        <f aca="false">IF(OR(H282="",H282=0,U282="",U282=0),"",H282/U282)</f>
        <v>0.667366506769231</v>
      </c>
      <c r="W282" s="41" t="n">
        <f aca="false">IF(I282="","",I282+N(N282+O282+P282))</f>
        <v>39</v>
      </c>
      <c r="X282" s="41" t="n">
        <f aca="false">IF(OR(W282="",F282=""),"",W282/(1+F282))</f>
        <v>35.1351351351351</v>
      </c>
      <c r="Y282" s="42" t="n">
        <f aca="false">IF(OR(H282="",H282=0,X282="",X282=0),"",H282/X282)</f>
        <v>0.667366506769231</v>
      </c>
    </row>
    <row r="283" customFormat="false" ht="15" hidden="false" customHeight="true" outlineLevel="0" collapsed="false">
      <c r="A283" s="5" t="s">
        <v>900</v>
      </c>
      <c r="B283" s="5" t="s">
        <v>609</v>
      </c>
      <c r="C283" s="5" t="s">
        <v>608</v>
      </c>
      <c r="D283" s="5" t="s">
        <v>645</v>
      </c>
      <c r="E283" s="5" t="s">
        <v>643</v>
      </c>
      <c r="F283" s="28" t="n">
        <f aca="false">IF(E283="","",IF(E283="DRINKS",0.21,0.11))</f>
        <v>0.11</v>
      </c>
      <c r="G283" s="29" t="n">
        <f aca="false">IF(B283="","",SUMIF(RETETAR!A:A,B283,RETETAR!F:F))</f>
        <v>23.0303424</v>
      </c>
      <c r="H283" s="30" t="n">
        <f aca="false">IF(B283="","",SUMIF(RETETAR!A:A,B283,RETETAR!H:H))</f>
        <v>23.4480124</v>
      </c>
      <c r="I283" s="31" t="n">
        <v>39</v>
      </c>
      <c r="J283" s="32" t="n">
        <f aca="false">IF(OR(I283="",F283=""),"",I283/(1+F283))</f>
        <v>35.1351351351351</v>
      </c>
      <c r="K283" s="33" t="n">
        <f aca="false">IF(OR(G283="",G283=0,J283="",J283=0),"",G283/J283)</f>
        <v>0.655478976</v>
      </c>
      <c r="L283" s="34" t="n">
        <f aca="false">IF(OR(H283="",H283=0,J283="",J283=0),"",H283/J283)</f>
        <v>0.667366506769231</v>
      </c>
      <c r="M283" s="35"/>
      <c r="N283" s="36" t="n">
        <v>0</v>
      </c>
      <c r="O283" s="36" t="n">
        <v>0</v>
      </c>
      <c r="P283" s="36" t="n">
        <v>0</v>
      </c>
      <c r="Q283" s="37" t="n">
        <f aca="false">IF(I283="","",I283+N(N283))</f>
        <v>39</v>
      </c>
      <c r="R283" s="37" t="n">
        <f aca="false">IF(OR(Q283="",F283=""),"",Q283/(1+F283))</f>
        <v>35.1351351351351</v>
      </c>
      <c r="S283" s="38" t="n">
        <f aca="false">IF(OR(H283="",H283=0,R283="",R283=0),"",H283/R283)</f>
        <v>0.667366506769231</v>
      </c>
      <c r="T283" s="39" t="n">
        <f aca="false">IF(I283="","",I283+N(N283+O283))</f>
        <v>39</v>
      </c>
      <c r="U283" s="39" t="n">
        <f aca="false">IF(OR(T283="",F283=""),"",T283/(1+F283))</f>
        <v>35.1351351351351</v>
      </c>
      <c r="V283" s="40" t="n">
        <f aca="false">IF(OR(H283="",H283=0,U283="",U283=0),"",H283/U283)</f>
        <v>0.667366506769231</v>
      </c>
      <c r="W283" s="41" t="n">
        <f aca="false">IF(I283="","",I283+N(N283+O283+P283))</f>
        <v>39</v>
      </c>
      <c r="X283" s="41" t="n">
        <f aca="false">IF(OR(W283="",F283=""),"",W283/(1+F283))</f>
        <v>35.1351351351351</v>
      </c>
      <c r="Y283" s="42" t="n">
        <f aca="false">IF(OR(H283="",H283=0,X283="",X283=0),"",H283/X283)</f>
        <v>0.667366506769231</v>
      </c>
    </row>
    <row r="284" customFormat="false" ht="15" hidden="false" customHeight="true" outlineLevel="0" collapsed="false">
      <c r="A284" s="5" t="s">
        <v>901</v>
      </c>
      <c r="B284" s="5" t="s">
        <v>610</v>
      </c>
      <c r="C284" s="5" t="s">
        <v>608</v>
      </c>
      <c r="D284" s="5" t="s">
        <v>642</v>
      </c>
      <c r="E284" s="5" t="s">
        <v>643</v>
      </c>
      <c r="F284" s="28" t="n">
        <f aca="false">IF(E284="","",IF(E284="DRINKS",0.21,0.11))</f>
        <v>0.11</v>
      </c>
      <c r="G284" s="29" t="n">
        <f aca="false">IF(B284="","",SUMIF(RETETAR!A:A,B284,RETETAR!F:F))</f>
        <v>21.6014244</v>
      </c>
      <c r="H284" s="30" t="n">
        <f aca="false">IF(B284="","",SUMIF(RETETAR!A:A,B284,RETETAR!H:H))</f>
        <v>21.6014244</v>
      </c>
      <c r="I284" s="31" t="n">
        <v>39</v>
      </c>
      <c r="J284" s="32" t="n">
        <f aca="false">IF(OR(I284="",F284=""),"",I284/(1+F284))</f>
        <v>35.1351351351351</v>
      </c>
      <c r="K284" s="33" t="n">
        <f aca="false">IF(OR(G284="",G284=0,J284="",J284=0),"",G284/J284)</f>
        <v>0.614809771384616</v>
      </c>
      <c r="L284" s="34" t="n">
        <f aca="false">IF(OR(H284="",H284=0,J284="",J284=0),"",H284/J284)</f>
        <v>0.614809771384616</v>
      </c>
      <c r="M284" s="35"/>
      <c r="N284" s="36" t="n">
        <v>0</v>
      </c>
      <c r="O284" s="36" t="n">
        <v>0.49</v>
      </c>
      <c r="P284" s="36" t="n">
        <v>0.5</v>
      </c>
      <c r="Q284" s="37" t="n">
        <f aca="false">IF(I284="","",I284+N(N284))</f>
        <v>39</v>
      </c>
      <c r="R284" s="37" t="n">
        <f aca="false">IF(OR(Q284="",F284=""),"",Q284/(1+F284))</f>
        <v>35.1351351351351</v>
      </c>
      <c r="S284" s="38" t="n">
        <f aca="false">IF(OR(H284="",H284=0,R284="",R284=0),"",H284/R284)</f>
        <v>0.614809771384616</v>
      </c>
      <c r="T284" s="39" t="n">
        <f aca="false">IF(I284="","",I284+N(N284+O284))</f>
        <v>39.49</v>
      </c>
      <c r="U284" s="39" t="n">
        <f aca="false">IF(OR(T284="",F284=""),"",T284/(1+F284))</f>
        <v>35.5765765765766</v>
      </c>
      <c r="V284" s="40" t="n">
        <f aca="false">IF(OR(H284="",H284=0,U284="",U284=0),"",H284/U284)</f>
        <v>0.607181085945809</v>
      </c>
      <c r="W284" s="41" t="n">
        <f aca="false">IF(I284="","",I284+N(N284+O284+P284))</f>
        <v>39.99</v>
      </c>
      <c r="X284" s="41" t="n">
        <f aca="false">IF(OR(W284="",F284=""),"",W284/(1+F284))</f>
        <v>36.027027027027</v>
      </c>
      <c r="Y284" s="42" t="n">
        <f aca="false">IF(OR(H284="",H284=0,X284="",X284=0),"",H284/X284)</f>
        <v>0.599589424456114</v>
      </c>
    </row>
    <row r="285" customFormat="false" ht="15" hidden="false" customHeight="true" outlineLevel="0" collapsed="false">
      <c r="A285" s="5" t="s">
        <v>902</v>
      </c>
      <c r="B285" s="5" t="s">
        <v>611</v>
      </c>
      <c r="C285" s="5" t="s">
        <v>608</v>
      </c>
      <c r="D285" s="5" t="s">
        <v>645</v>
      </c>
      <c r="E285" s="5" t="s">
        <v>643</v>
      </c>
      <c r="F285" s="28" t="n">
        <f aca="false">IF(E285="","",IF(E285="DRINKS",0.21,0.11))</f>
        <v>0.11</v>
      </c>
      <c r="G285" s="29" t="n">
        <f aca="false">IF(B285="","",SUMIF(RETETAR!A:A,B285,RETETAR!F:F))</f>
        <v>21.6014244</v>
      </c>
      <c r="H285" s="30" t="n">
        <f aca="false">IF(B285="","",SUMIF(RETETAR!A:A,B285,RETETAR!H:H))</f>
        <v>21.6014244</v>
      </c>
      <c r="I285" s="31" t="n">
        <v>39</v>
      </c>
      <c r="J285" s="32" t="n">
        <f aca="false">IF(OR(I285="",F285=""),"",I285/(1+F285))</f>
        <v>35.1351351351351</v>
      </c>
      <c r="K285" s="33" t="n">
        <f aca="false">IF(OR(G285="",G285=0,J285="",J285=0),"",G285/J285)</f>
        <v>0.614809771384616</v>
      </c>
      <c r="L285" s="34" t="n">
        <f aca="false">IF(OR(H285="",H285=0,J285="",J285=0),"",H285/J285)</f>
        <v>0.614809771384616</v>
      </c>
      <c r="M285" s="35"/>
      <c r="N285" s="36" t="n">
        <v>0</v>
      </c>
      <c r="O285" s="36" t="n">
        <v>0.49</v>
      </c>
      <c r="P285" s="36" t="n">
        <v>0.5</v>
      </c>
      <c r="Q285" s="37" t="n">
        <f aca="false">IF(I285="","",I285+N(N285))</f>
        <v>39</v>
      </c>
      <c r="R285" s="37" t="n">
        <f aca="false">IF(OR(Q285="",F285=""),"",Q285/(1+F285))</f>
        <v>35.1351351351351</v>
      </c>
      <c r="S285" s="38" t="n">
        <f aca="false">IF(OR(H285="",H285=0,R285="",R285=0),"",H285/R285)</f>
        <v>0.614809771384616</v>
      </c>
      <c r="T285" s="39" t="n">
        <f aca="false">IF(I285="","",I285+N(N285+O285))</f>
        <v>39.49</v>
      </c>
      <c r="U285" s="39" t="n">
        <f aca="false">IF(OR(T285="",F285=""),"",T285/(1+F285))</f>
        <v>35.5765765765766</v>
      </c>
      <c r="V285" s="40" t="n">
        <f aca="false">IF(OR(H285="",H285=0,U285="",U285=0),"",H285/U285)</f>
        <v>0.607181085945809</v>
      </c>
      <c r="W285" s="41" t="n">
        <f aca="false">IF(I285="","",I285+N(N285+O285+P285))</f>
        <v>39.99</v>
      </c>
      <c r="X285" s="41" t="n">
        <f aca="false">IF(OR(W285="",F285=""),"",W285/(1+F285))</f>
        <v>36.027027027027</v>
      </c>
      <c r="Y285" s="42" t="n">
        <f aca="false">IF(OR(H285="",H285=0,X285="",X285=0),"",H285/X285)</f>
        <v>0.599589424456114</v>
      </c>
    </row>
    <row r="286" customFormat="false" ht="15" hidden="false" customHeight="true" outlineLevel="0" collapsed="false">
      <c r="A286" s="5" t="s">
        <v>903</v>
      </c>
      <c r="B286" s="5" t="s">
        <v>612</v>
      </c>
      <c r="C286" s="5" t="s">
        <v>608</v>
      </c>
      <c r="D286" s="5" t="s">
        <v>642</v>
      </c>
      <c r="E286" s="5" t="s">
        <v>643</v>
      </c>
      <c r="F286" s="28" t="n">
        <f aca="false">IF(E286="","",IF(E286="DRINKS",0.21,0.11))</f>
        <v>0.11</v>
      </c>
      <c r="G286" s="29" t="n">
        <f aca="false">IF(B286="","",SUMIF(RETETAR!A:A,B286,RETETAR!F:F))</f>
        <v>20.3611204</v>
      </c>
      <c r="H286" s="30" t="n">
        <f aca="false">IF(B286="","",SUMIF(RETETAR!A:A,B286,RETETAR!H:H))</f>
        <v>20.3611204</v>
      </c>
      <c r="I286" s="31" t="n">
        <v>39</v>
      </c>
      <c r="J286" s="32" t="n">
        <f aca="false">IF(OR(I286="",F286=""),"",I286/(1+F286))</f>
        <v>35.1351351351351</v>
      </c>
      <c r="K286" s="33" t="n">
        <f aca="false">IF(OR(G286="",G286=0,J286="",J286=0),"",G286/J286)</f>
        <v>0.579508811384616</v>
      </c>
      <c r="L286" s="34" t="n">
        <f aca="false">IF(OR(H286="",H286=0,J286="",J286=0),"",H286/J286)</f>
        <v>0.579508811384616</v>
      </c>
      <c r="M286" s="35"/>
      <c r="N286" s="36" t="n">
        <v>0.25</v>
      </c>
      <c r="O286" s="36" t="n">
        <v>0.25</v>
      </c>
      <c r="P286" s="36" t="n">
        <v>0.49</v>
      </c>
      <c r="Q286" s="37" t="n">
        <f aca="false">IF(I286="","",I286+N(N286))</f>
        <v>39.25</v>
      </c>
      <c r="R286" s="37" t="n">
        <f aca="false">IF(OR(Q286="",F286=""),"",Q286/(1+F286))</f>
        <v>35.3603603603604</v>
      </c>
      <c r="S286" s="38" t="n">
        <f aca="false">IF(OR(H286="",H286=0,R286="",R286=0),"",H286/R286)</f>
        <v>0.575817672458599</v>
      </c>
      <c r="T286" s="39" t="n">
        <f aca="false">IF(I286="","",I286+N(N286+O286))</f>
        <v>39.5</v>
      </c>
      <c r="U286" s="39" t="n">
        <f aca="false">IF(OR(T286="",F286=""),"",T286/(1+F286))</f>
        <v>35.5855855855856</v>
      </c>
      <c r="V286" s="40" t="n">
        <f aca="false">IF(OR(H286="",H286=0,U286="",U286=0),"",H286/U286)</f>
        <v>0.572173256810127</v>
      </c>
      <c r="W286" s="41" t="n">
        <f aca="false">IF(I286="","",I286+N(N286+O286+P286))</f>
        <v>39.99</v>
      </c>
      <c r="X286" s="41" t="n">
        <f aca="false">IF(OR(W286="",F286=""),"",W286/(1+F286))</f>
        <v>36.027027027027</v>
      </c>
      <c r="Y286" s="42" t="n">
        <f aca="false">IF(OR(H286="",H286=0,X286="",X286=0),"",H286/X286)</f>
        <v>0.565162381695424</v>
      </c>
    </row>
    <row r="287" customFormat="false" ht="15" hidden="false" customHeight="true" outlineLevel="0" collapsed="false">
      <c r="A287" s="5" t="s">
        <v>904</v>
      </c>
      <c r="B287" s="5" t="s">
        <v>613</v>
      </c>
      <c r="C287" s="5" t="s">
        <v>608</v>
      </c>
      <c r="D287" s="5" t="s">
        <v>645</v>
      </c>
      <c r="E287" s="5" t="s">
        <v>643</v>
      </c>
      <c r="F287" s="28" t="n">
        <f aca="false">IF(E287="","",IF(E287="DRINKS",0.21,0.11))</f>
        <v>0.11</v>
      </c>
      <c r="G287" s="29" t="n">
        <f aca="false">IF(B287="","",SUMIF(RETETAR!A:A,B287,RETETAR!F:F))</f>
        <v>20.3611204</v>
      </c>
      <c r="H287" s="30" t="n">
        <f aca="false">IF(B287="","",SUMIF(RETETAR!A:A,B287,RETETAR!H:H))</f>
        <v>20.3611204</v>
      </c>
      <c r="I287" s="31" t="n">
        <v>39</v>
      </c>
      <c r="J287" s="32" t="n">
        <f aca="false">IF(OR(I287="",F287=""),"",I287/(1+F287))</f>
        <v>35.1351351351351</v>
      </c>
      <c r="K287" s="33" t="n">
        <f aca="false">IF(OR(G287="",G287=0,J287="",J287=0),"",G287/J287)</f>
        <v>0.579508811384616</v>
      </c>
      <c r="L287" s="34" t="n">
        <f aca="false">IF(OR(H287="",H287=0,J287="",J287=0),"",H287/J287)</f>
        <v>0.579508811384616</v>
      </c>
      <c r="M287" s="35"/>
      <c r="N287" s="36" t="n">
        <v>0.25</v>
      </c>
      <c r="O287" s="36" t="n">
        <v>0.25</v>
      </c>
      <c r="P287" s="36" t="n">
        <v>0.49</v>
      </c>
      <c r="Q287" s="37" t="n">
        <f aca="false">IF(I287="","",I287+N(N287))</f>
        <v>39.25</v>
      </c>
      <c r="R287" s="37" t="n">
        <f aca="false">IF(OR(Q287="",F287=""),"",Q287/(1+F287))</f>
        <v>35.3603603603604</v>
      </c>
      <c r="S287" s="38" t="n">
        <f aca="false">IF(OR(H287="",H287=0,R287="",R287=0),"",H287/R287)</f>
        <v>0.575817672458599</v>
      </c>
      <c r="T287" s="39" t="n">
        <f aca="false">IF(I287="","",I287+N(N287+O287))</f>
        <v>39.5</v>
      </c>
      <c r="U287" s="39" t="n">
        <f aca="false">IF(OR(T287="",F287=""),"",T287/(1+F287))</f>
        <v>35.5855855855856</v>
      </c>
      <c r="V287" s="40" t="n">
        <f aca="false">IF(OR(H287="",H287=0,U287="",U287=0),"",H287/U287)</f>
        <v>0.572173256810127</v>
      </c>
      <c r="W287" s="41" t="n">
        <f aca="false">IF(I287="","",I287+N(N287+O287+P287))</f>
        <v>39.99</v>
      </c>
      <c r="X287" s="41" t="n">
        <f aca="false">IF(OR(W287="",F287=""),"",W287/(1+F287))</f>
        <v>36.027027027027</v>
      </c>
      <c r="Y287" s="42" t="n">
        <f aca="false">IF(OR(H287="",H287=0,X287="",X287=0),"",H287/X287)</f>
        <v>0.565162381695424</v>
      </c>
    </row>
    <row r="289" customFormat="false" ht="15" hidden="false" customHeight="true" outlineLevel="0" collapsed="false">
      <c r="A289" s="5"/>
      <c r="B289" s="5"/>
      <c r="C289" s="5"/>
      <c r="D289" s="5"/>
      <c r="E289" s="5"/>
      <c r="F289" s="28" t="str">
        <f aca="false">IF(E289="","",IF(E289="DRINKS",0.21,0.11))</f>
        <v/>
      </c>
      <c r="G289" s="29" t="str">
        <f aca="false">IF(B289="","",SUMIF(RETETAR!A:A,B289,RETETAR!F:F))</f>
        <v/>
      </c>
      <c r="H289" s="30" t="str">
        <f aca="false">IF(B289="","",SUMIF(RETETAR!A:A,B289,RETETAR!H:H))</f>
        <v/>
      </c>
      <c r="I289" s="31"/>
      <c r="J289" s="32" t="str">
        <f aca="false">IF(OR(I289="",F289=""),"",I289/(1+F289))</f>
        <v/>
      </c>
      <c r="K289" s="33" t="str">
        <f aca="false">IF(OR(G289="",G289=0,J289="",J289=0),"",G289/J289)</f>
        <v/>
      </c>
      <c r="L289" s="34" t="str">
        <f aca="false">IF(OR(H289="",H289=0,J289="",J289=0),"",H289/J289)</f>
        <v/>
      </c>
      <c r="M289" s="35"/>
    </row>
    <row r="290" customFormat="false" ht="15" hidden="false" customHeight="true" outlineLevel="0" collapsed="false">
      <c r="A290" s="5"/>
      <c r="B290" s="5"/>
      <c r="C290" s="5"/>
      <c r="D290" s="5"/>
      <c r="E290" s="5"/>
      <c r="F290" s="28" t="str">
        <f aca="false">IF(E290="","",IF(E290="DRINKS",0.21,0.11))</f>
        <v/>
      </c>
      <c r="G290" s="29" t="str">
        <f aca="false">IF(B290="","",SUMIF(RETETAR!A:A,B290,RETETAR!F:F))</f>
        <v/>
      </c>
      <c r="H290" s="30" t="str">
        <f aca="false">IF(B290="","",SUMIF(RETETAR!A:A,B290,RETETAR!H:H))</f>
        <v/>
      </c>
      <c r="I290" s="31"/>
      <c r="J290" s="32" t="str">
        <f aca="false">IF(OR(I290="",F290=""),"",I290/(1+F290))</f>
        <v/>
      </c>
      <c r="K290" s="33" t="str">
        <f aca="false">IF(OR(G290="",G290=0,J290="",J290=0),"",G290/J290)</f>
        <v/>
      </c>
      <c r="L290" s="34" t="str">
        <f aca="false">IF(OR(H290="",H290=0,J290="",J290=0),"",H290/J290)</f>
        <v/>
      </c>
      <c r="M290" s="35"/>
    </row>
    <row r="291" customFormat="false" ht="15" hidden="false" customHeight="true" outlineLevel="0" collapsed="false">
      <c r="A291" s="5"/>
      <c r="B291" s="5"/>
      <c r="C291" s="5"/>
      <c r="D291" s="5"/>
      <c r="E291" s="5"/>
      <c r="F291" s="28" t="str">
        <f aca="false">IF(E291="","",IF(E291="DRINKS",0.21,0.11))</f>
        <v/>
      </c>
      <c r="G291" s="29" t="str">
        <f aca="false">IF(B291="","",SUMIF(RETETAR!A:A,B291,RETETAR!F:F))</f>
        <v/>
      </c>
      <c r="H291" s="30" t="str">
        <f aca="false">IF(B291="","",SUMIF(RETETAR!A:A,B291,RETETAR!H:H))</f>
        <v/>
      </c>
      <c r="I291" s="31"/>
      <c r="J291" s="32" t="str">
        <f aca="false">IF(OR(I291="",F291=""),"",I291/(1+F291))</f>
        <v/>
      </c>
      <c r="K291" s="33" t="str">
        <f aca="false">IF(OR(G291="",G291=0,J291="",J291=0),"",G291/J291)</f>
        <v/>
      </c>
      <c r="L291" s="34" t="str">
        <f aca="false">IF(OR(H291="",H291=0,J291="",J291=0),"",H291/J291)</f>
        <v/>
      </c>
      <c r="M291" s="35"/>
    </row>
    <row r="292" customFormat="false" ht="15" hidden="false" customHeight="true" outlineLevel="0" collapsed="false">
      <c r="A292" s="5"/>
      <c r="B292" s="5"/>
      <c r="C292" s="5"/>
      <c r="D292" s="5"/>
      <c r="E292" s="5"/>
      <c r="F292" s="28" t="str">
        <f aca="false">IF(E292="","",IF(E292="DRINKS",0.21,0.11))</f>
        <v/>
      </c>
      <c r="G292" s="29" t="str">
        <f aca="false">IF(B292="","",SUMIF(RETETAR!A:A,B292,RETETAR!F:F))</f>
        <v/>
      </c>
      <c r="H292" s="30" t="str">
        <f aca="false">IF(B292="","",SUMIF(RETETAR!A:A,B292,RETETAR!H:H))</f>
        <v/>
      </c>
      <c r="I292" s="31"/>
      <c r="J292" s="32" t="str">
        <f aca="false">IF(OR(I292="",F292=""),"",I292/(1+F292))</f>
        <v/>
      </c>
      <c r="K292" s="33" t="str">
        <f aca="false">IF(OR(G292="",G292=0,J292="",J292=0),"",G292/J292)</f>
        <v/>
      </c>
      <c r="L292" s="34" t="str">
        <f aca="false">IF(OR(H292="",H292=0,J292="",J292=0),"",H292/J292)</f>
        <v/>
      </c>
      <c r="M292" s="35"/>
    </row>
    <row r="293" customFormat="false" ht="15" hidden="false" customHeight="true" outlineLevel="0" collapsed="false">
      <c r="A293" s="5"/>
      <c r="B293" s="5"/>
      <c r="C293" s="5"/>
      <c r="D293" s="5"/>
      <c r="E293" s="5"/>
      <c r="F293" s="28" t="str">
        <f aca="false">IF(E293="","",IF(E293="DRINKS",0.21,0.11))</f>
        <v/>
      </c>
      <c r="G293" s="29" t="str">
        <f aca="false">IF(B293="","",SUMIF(RETETAR!A:A,B293,RETETAR!F:F))</f>
        <v/>
      </c>
      <c r="H293" s="30" t="str">
        <f aca="false">IF(B293="","",SUMIF(RETETAR!A:A,B293,RETETAR!H:H))</f>
        <v/>
      </c>
      <c r="I293" s="31"/>
      <c r="J293" s="32" t="str">
        <f aca="false">IF(OR(I293="",F293=""),"",I293/(1+F293))</f>
        <v/>
      </c>
      <c r="K293" s="33" t="str">
        <f aca="false">IF(OR(G293="",G293=0,J293="",J293=0),"",G293/J293)</f>
        <v/>
      </c>
      <c r="L293" s="34" t="str">
        <f aca="false">IF(OR(H293="",H293=0,J293="",J293=0),"",H293/J293)</f>
        <v/>
      </c>
      <c r="M293" s="35"/>
    </row>
    <row r="294" customFormat="false" ht="15" hidden="false" customHeight="true" outlineLevel="0" collapsed="false">
      <c r="A294" s="5"/>
      <c r="B294" s="5"/>
      <c r="C294" s="5"/>
      <c r="D294" s="5"/>
      <c r="E294" s="5"/>
      <c r="F294" s="28" t="str">
        <f aca="false">IF(E294="","",IF(E294="DRINKS",0.21,0.11))</f>
        <v/>
      </c>
      <c r="G294" s="29" t="str">
        <f aca="false">IF(B294="","",SUMIF(RETETAR!A:A,B294,RETETAR!F:F))</f>
        <v/>
      </c>
      <c r="H294" s="30" t="str">
        <f aca="false">IF(B294="","",SUMIF(RETETAR!A:A,B294,RETETAR!H:H))</f>
        <v/>
      </c>
      <c r="I294" s="31"/>
      <c r="J294" s="32" t="str">
        <f aca="false">IF(OR(I294="",F294=""),"",I294/(1+F294))</f>
        <v/>
      </c>
      <c r="K294" s="33" t="str">
        <f aca="false">IF(OR(G294="",G294=0,J294="",J294=0),"",G294/J294)</f>
        <v/>
      </c>
      <c r="L294" s="34" t="str">
        <f aca="false">IF(OR(H294="",H294=0,J294="",J294=0),"",H294/J294)</f>
        <v/>
      </c>
      <c r="M294" s="35"/>
    </row>
    <row r="295" customFormat="false" ht="15" hidden="false" customHeight="true" outlineLevel="0" collapsed="false">
      <c r="A295" s="5"/>
      <c r="B295" s="5"/>
      <c r="C295" s="5"/>
      <c r="D295" s="5"/>
      <c r="E295" s="5"/>
      <c r="F295" s="28" t="str">
        <f aca="false">IF(E295="","",IF(E295="DRINKS",0.21,0.11))</f>
        <v/>
      </c>
      <c r="G295" s="29" t="str">
        <f aca="false">IF(B295="","",SUMIF(RETETAR!A:A,B295,RETETAR!F:F))</f>
        <v/>
      </c>
      <c r="H295" s="30" t="str">
        <f aca="false">IF(B295="","",SUMIF(RETETAR!A:A,B295,RETETAR!H:H))</f>
        <v/>
      </c>
      <c r="I295" s="31"/>
      <c r="J295" s="32" t="str">
        <f aca="false">IF(OR(I295="",F295=""),"",I295/(1+F295))</f>
        <v/>
      </c>
      <c r="K295" s="33" t="str">
        <f aca="false">IF(OR(G295="",G295=0,J295="",J295=0),"",G295/J295)</f>
        <v/>
      </c>
      <c r="L295" s="34" t="str">
        <f aca="false">IF(OR(H295="",H295=0,J295="",J295=0),"",H295/J295)</f>
        <v/>
      </c>
      <c r="M295" s="35"/>
    </row>
    <row r="296" customFormat="false" ht="15" hidden="false" customHeight="true" outlineLevel="0" collapsed="false">
      <c r="A296" s="5"/>
      <c r="B296" s="5"/>
      <c r="C296" s="5"/>
      <c r="D296" s="5"/>
      <c r="E296" s="5"/>
      <c r="F296" s="28" t="str">
        <f aca="false">IF(E296="","",IF(E296="DRINKS",0.21,0.11))</f>
        <v/>
      </c>
      <c r="G296" s="29" t="str">
        <f aca="false">IF(B296="","",SUMIF(RETETAR!A:A,B296,RETETAR!F:F))</f>
        <v/>
      </c>
      <c r="H296" s="30" t="str">
        <f aca="false">IF(B296="","",SUMIF(RETETAR!A:A,B296,RETETAR!H:H))</f>
        <v/>
      </c>
      <c r="I296" s="31"/>
      <c r="J296" s="32" t="str">
        <f aca="false">IF(OR(I296="",F296=""),"",I296/(1+F296))</f>
        <v/>
      </c>
      <c r="K296" s="33" t="str">
        <f aca="false">IF(OR(G296="",G296=0,J296="",J296=0),"",G296/J296)</f>
        <v/>
      </c>
      <c r="L296" s="34" t="str">
        <f aca="false">IF(OR(H296="",H296=0,J296="",J296=0),"",H296/J296)</f>
        <v/>
      </c>
      <c r="M296" s="35"/>
    </row>
    <row r="297" customFormat="false" ht="15" hidden="false" customHeight="true" outlineLevel="0" collapsed="false">
      <c r="A297" s="5"/>
      <c r="B297" s="5"/>
      <c r="C297" s="5"/>
      <c r="D297" s="5"/>
      <c r="E297" s="5"/>
      <c r="F297" s="28" t="str">
        <f aca="false">IF(E297="","",IF(E297="DRINKS",0.21,0.11))</f>
        <v/>
      </c>
      <c r="G297" s="29" t="str">
        <f aca="false">IF(B297="","",SUMIF(RETETAR!A:A,B297,RETETAR!F:F))</f>
        <v/>
      </c>
      <c r="H297" s="30" t="str">
        <f aca="false">IF(B297="","",SUMIF(RETETAR!A:A,B297,RETETAR!H:H))</f>
        <v/>
      </c>
      <c r="I297" s="31"/>
      <c r="J297" s="32" t="str">
        <f aca="false">IF(OR(I297="",F297=""),"",I297/(1+F297))</f>
        <v/>
      </c>
      <c r="K297" s="33" t="str">
        <f aca="false">IF(OR(G297="",G297=0,J297="",J297=0),"",G297/J297)</f>
        <v/>
      </c>
      <c r="L297" s="34" t="str">
        <f aca="false">IF(OR(H297="",H297=0,J297="",J297=0),"",H297/J297)</f>
        <v/>
      </c>
      <c r="M297" s="35"/>
    </row>
    <row r="298" customFormat="false" ht="15" hidden="false" customHeight="true" outlineLevel="0" collapsed="false">
      <c r="A298" s="5"/>
      <c r="B298" s="5"/>
      <c r="C298" s="5"/>
      <c r="D298" s="5"/>
      <c r="E298" s="5"/>
      <c r="F298" s="28" t="str">
        <f aca="false">IF(E298="","",IF(E298="DRINKS",0.21,0.11))</f>
        <v/>
      </c>
      <c r="G298" s="29" t="str">
        <f aca="false">IF(B298="","",SUMIF(RETETAR!A:A,B298,RETETAR!F:F))</f>
        <v/>
      </c>
      <c r="H298" s="30" t="str">
        <f aca="false">IF(B298="","",SUMIF(RETETAR!A:A,B298,RETETAR!H:H))</f>
        <v/>
      </c>
      <c r="I298" s="31"/>
      <c r="J298" s="32" t="str">
        <f aca="false">IF(OR(I298="",F298=""),"",I298/(1+F298))</f>
        <v/>
      </c>
      <c r="K298" s="33" t="str">
        <f aca="false">IF(OR(G298="",G298=0,J298="",J298=0),"",G298/J298)</f>
        <v/>
      </c>
      <c r="L298" s="34" t="str">
        <f aca="false">IF(OR(H298="",H298=0,J298="",J298=0),"",H298/J298)</f>
        <v/>
      </c>
      <c r="M298" s="35"/>
    </row>
    <row r="299" customFormat="false" ht="15" hidden="false" customHeight="true" outlineLevel="0" collapsed="false">
      <c r="A299" s="5"/>
      <c r="B299" s="5"/>
      <c r="C299" s="5"/>
      <c r="D299" s="5"/>
      <c r="E299" s="5"/>
      <c r="F299" s="28" t="str">
        <f aca="false">IF(E299="","",IF(E299="DRINKS",0.21,0.11))</f>
        <v/>
      </c>
      <c r="G299" s="29" t="str">
        <f aca="false">IF(B299="","",SUMIF(RETETAR!A:A,B299,RETETAR!F:F))</f>
        <v/>
      </c>
      <c r="H299" s="30" t="str">
        <f aca="false">IF(B299="","",SUMIF(RETETAR!A:A,B299,RETETAR!H:H))</f>
        <v/>
      </c>
      <c r="I299" s="31"/>
      <c r="J299" s="32" t="str">
        <f aca="false">IF(OR(I299="",F299=""),"",I299/(1+F299))</f>
        <v/>
      </c>
      <c r="K299" s="33" t="str">
        <f aca="false">IF(OR(G299="",G299=0,J299="",J299=0),"",G299/J299)</f>
        <v/>
      </c>
      <c r="L299" s="34" t="str">
        <f aca="false">IF(OR(H299="",H299=0,J299="",J299=0),"",H299/J299)</f>
        <v/>
      </c>
      <c r="M299" s="35"/>
    </row>
    <row r="300" customFormat="false" ht="15" hidden="false" customHeight="true" outlineLevel="0" collapsed="false">
      <c r="A300" s="5"/>
      <c r="B300" s="5"/>
      <c r="C300" s="5"/>
      <c r="D300" s="5"/>
      <c r="E300" s="5"/>
      <c r="F300" s="28" t="str">
        <f aca="false">IF(E300="","",IF(E300="DRINKS",0.21,0.11))</f>
        <v/>
      </c>
      <c r="G300" s="29" t="str">
        <f aca="false">IF(B300="","",SUMIF(RETETAR!A:A,B300,RETETAR!F:F))</f>
        <v/>
      </c>
      <c r="H300" s="30" t="str">
        <f aca="false">IF(B300="","",SUMIF(RETETAR!A:A,B300,RETETAR!H:H))</f>
        <v/>
      </c>
      <c r="I300" s="31"/>
      <c r="J300" s="32" t="str">
        <f aca="false">IF(OR(I300="",F300=""),"",I300/(1+F300))</f>
        <v/>
      </c>
      <c r="K300" s="33" t="str">
        <f aca="false">IF(OR(G300="",G300=0,J300="",J300=0),"",G300/J300)</f>
        <v/>
      </c>
      <c r="L300" s="34" t="str">
        <f aca="false">IF(OR(H300="",H300=0,J300="",J300=0),"",H300/J300)</f>
        <v/>
      </c>
      <c r="M300" s="35"/>
    </row>
    <row r="301" customFormat="false" ht="15" hidden="false" customHeight="true" outlineLevel="0" collapsed="false">
      <c r="A301" s="5"/>
      <c r="B301" s="5"/>
      <c r="C301" s="5"/>
      <c r="D301" s="5"/>
      <c r="E301" s="5"/>
      <c r="F301" s="28" t="str">
        <f aca="false">IF(E301="","",IF(E301="DRINKS",0.21,0.11))</f>
        <v/>
      </c>
      <c r="G301" s="29" t="str">
        <f aca="false">IF(B301="","",SUMIF(RETETAR!A:A,B301,RETETAR!F:F))</f>
        <v/>
      </c>
      <c r="H301" s="30" t="str">
        <f aca="false">IF(B301="","",SUMIF(RETETAR!A:A,B301,RETETAR!H:H))</f>
        <v/>
      </c>
      <c r="I301" s="31"/>
      <c r="J301" s="32" t="str">
        <f aca="false">IF(OR(I301="",F301=""),"",I301/(1+F301))</f>
        <v/>
      </c>
      <c r="K301" s="33" t="str">
        <f aca="false">IF(OR(G301="",G301=0,J301="",J301=0),"",G301/J301)</f>
        <v/>
      </c>
      <c r="L301" s="34" t="str">
        <f aca="false">IF(OR(H301="",H301=0,J301="",J301=0),"",H301/J301)</f>
        <v/>
      </c>
      <c r="M301" s="35"/>
    </row>
    <row r="302" customFormat="false" ht="15" hidden="false" customHeight="true" outlineLevel="0" collapsed="false">
      <c r="A302" s="5"/>
      <c r="B302" s="5"/>
      <c r="C302" s="5"/>
      <c r="D302" s="5"/>
      <c r="E302" s="5"/>
      <c r="F302" s="28" t="str">
        <f aca="false">IF(E302="","",IF(E302="DRINKS",0.21,0.11))</f>
        <v/>
      </c>
      <c r="G302" s="29" t="str">
        <f aca="false">IF(B302="","",SUMIF(RETETAR!A:A,B302,RETETAR!F:F))</f>
        <v/>
      </c>
      <c r="H302" s="30" t="str">
        <f aca="false">IF(B302="","",SUMIF(RETETAR!A:A,B302,RETETAR!H:H))</f>
        <v/>
      </c>
      <c r="I302" s="31"/>
      <c r="J302" s="32" t="str">
        <f aca="false">IF(OR(I302="",F302=""),"",I302/(1+F302))</f>
        <v/>
      </c>
      <c r="K302" s="33" t="str">
        <f aca="false">IF(OR(G302="",G302=0,J302="",J302=0),"",G302/J302)</f>
        <v/>
      </c>
      <c r="L302" s="34" t="str">
        <f aca="false">IF(OR(H302="",H302=0,J302="",J302=0),"",H302/J302)</f>
        <v/>
      </c>
      <c r="M302" s="35"/>
    </row>
    <row r="303" customFormat="false" ht="15" hidden="false" customHeight="true" outlineLevel="0" collapsed="false">
      <c r="A303" s="5"/>
      <c r="B303" s="5"/>
      <c r="C303" s="5"/>
      <c r="D303" s="5"/>
      <c r="E303" s="5"/>
      <c r="F303" s="28" t="str">
        <f aca="false">IF(E303="","",IF(E303="DRINKS",0.21,0.11))</f>
        <v/>
      </c>
      <c r="G303" s="29" t="str">
        <f aca="false">IF(B303="","",SUMIF(RETETAR!A:A,B303,RETETAR!F:F))</f>
        <v/>
      </c>
      <c r="H303" s="30" t="str">
        <f aca="false">IF(B303="","",SUMIF(RETETAR!A:A,B303,RETETAR!H:H))</f>
        <v/>
      </c>
      <c r="I303" s="31"/>
      <c r="J303" s="32" t="str">
        <f aca="false">IF(OR(I303="",F303=""),"",I303/(1+F303))</f>
        <v/>
      </c>
      <c r="K303" s="33" t="str">
        <f aca="false">IF(OR(G303="",G303=0,J303="",J303=0),"",G303/J303)</f>
        <v/>
      </c>
      <c r="L303" s="34" t="str">
        <f aca="false">IF(OR(H303="",H303=0,J303="",J303=0),"",H303/J303)</f>
        <v/>
      </c>
      <c r="M303" s="35"/>
    </row>
    <row r="304" customFormat="false" ht="15" hidden="false" customHeight="true" outlineLevel="0" collapsed="false">
      <c r="A304" s="5"/>
      <c r="B304" s="5"/>
      <c r="C304" s="5"/>
      <c r="D304" s="5"/>
      <c r="E304" s="5"/>
      <c r="F304" s="28" t="str">
        <f aca="false">IF(E304="","",IF(E304="DRINKS",0.21,0.11))</f>
        <v/>
      </c>
      <c r="G304" s="29" t="str">
        <f aca="false">IF(B304="","",SUMIF(RETETAR!A:A,B304,RETETAR!F:F))</f>
        <v/>
      </c>
      <c r="H304" s="30" t="str">
        <f aca="false">IF(B304="","",SUMIF(RETETAR!A:A,B304,RETETAR!H:H))</f>
        <v/>
      </c>
      <c r="I304" s="31"/>
      <c r="J304" s="32" t="str">
        <f aca="false">IF(OR(I304="",F304=""),"",I304/(1+F304))</f>
        <v/>
      </c>
      <c r="K304" s="33" t="str">
        <f aca="false">IF(OR(G304="",G304=0,J304="",J304=0),"",G304/J304)</f>
        <v/>
      </c>
      <c r="L304" s="34" t="str">
        <f aca="false">IF(OR(H304="",H304=0,J304="",J304=0),"",H304/J304)</f>
        <v/>
      </c>
      <c r="M304" s="35"/>
    </row>
    <row r="305" customFormat="false" ht="15" hidden="false" customHeight="true" outlineLevel="0" collapsed="false">
      <c r="A305" s="5"/>
      <c r="B305" s="5"/>
      <c r="C305" s="5"/>
      <c r="D305" s="5"/>
      <c r="E305" s="5"/>
      <c r="F305" s="28" t="str">
        <f aca="false">IF(E305="","",IF(E305="DRINKS",0.21,0.11))</f>
        <v/>
      </c>
      <c r="G305" s="29" t="str">
        <f aca="false">IF(B305="","",SUMIF(RETETAR!A:A,B305,RETETAR!F:F))</f>
        <v/>
      </c>
      <c r="H305" s="30" t="str">
        <f aca="false">IF(B305="","",SUMIF(RETETAR!A:A,B305,RETETAR!H:H))</f>
        <v/>
      </c>
      <c r="I305" s="31"/>
      <c r="J305" s="32" t="str">
        <f aca="false">IF(OR(I305="",F305=""),"",I305/(1+F305))</f>
        <v/>
      </c>
      <c r="K305" s="33" t="str">
        <f aca="false">IF(OR(G305="",G305=0,J305="",J305=0),"",G305/J305)</f>
        <v/>
      </c>
      <c r="L305" s="34" t="str">
        <f aca="false">IF(OR(H305="",H305=0,J305="",J305=0),"",H305/J305)</f>
        <v/>
      </c>
      <c r="M305" s="35"/>
    </row>
    <row r="306" customFormat="false" ht="15" hidden="false" customHeight="true" outlineLevel="0" collapsed="false">
      <c r="A306" s="5"/>
      <c r="B306" s="5"/>
      <c r="C306" s="5"/>
      <c r="D306" s="5"/>
      <c r="E306" s="5"/>
      <c r="F306" s="28" t="str">
        <f aca="false">IF(E306="","",IF(E306="DRINKS",0.21,0.11))</f>
        <v/>
      </c>
      <c r="G306" s="29" t="str">
        <f aca="false">IF(B306="","",SUMIF(RETETAR!A:A,B306,RETETAR!F:F))</f>
        <v/>
      </c>
      <c r="H306" s="30" t="str">
        <f aca="false">IF(B306="","",SUMIF(RETETAR!A:A,B306,RETETAR!H:H))</f>
        <v/>
      </c>
      <c r="I306" s="31"/>
      <c r="J306" s="32" t="str">
        <f aca="false">IF(OR(I306="",F306=""),"",I306/(1+F306))</f>
        <v/>
      </c>
      <c r="K306" s="33" t="str">
        <f aca="false">IF(OR(G306="",G306=0,J306="",J306=0),"",G306/J306)</f>
        <v/>
      </c>
      <c r="L306" s="34" t="str">
        <f aca="false">IF(OR(H306="",H306=0,J306="",J306=0),"",H306/J306)</f>
        <v/>
      </c>
      <c r="M306" s="35"/>
    </row>
    <row r="307" customFormat="false" ht="15" hidden="false" customHeight="true" outlineLevel="0" collapsed="false">
      <c r="A307" s="5"/>
      <c r="B307" s="5"/>
      <c r="C307" s="5"/>
      <c r="D307" s="5"/>
      <c r="E307" s="5"/>
      <c r="F307" s="28" t="str">
        <f aca="false">IF(E307="","",IF(E307="DRINKS",0.21,0.11))</f>
        <v/>
      </c>
      <c r="G307" s="29" t="str">
        <f aca="false">IF(B307="","",SUMIF(RETETAR!A:A,B307,RETETAR!F:F))</f>
        <v/>
      </c>
      <c r="H307" s="30" t="str">
        <f aca="false">IF(B307="","",SUMIF(RETETAR!A:A,B307,RETETAR!H:H))</f>
        <v/>
      </c>
      <c r="I307" s="31"/>
      <c r="J307" s="32" t="str">
        <f aca="false">IF(OR(I307="",F307=""),"",I307/(1+F307))</f>
        <v/>
      </c>
      <c r="K307" s="33" t="str">
        <f aca="false">IF(OR(G307="",G307=0,J307="",J307=0),"",G307/J307)</f>
        <v/>
      </c>
      <c r="L307" s="34" t="str">
        <f aca="false">IF(OR(H307="",H307=0,J307="",J307=0),"",H307/J307)</f>
        <v/>
      </c>
      <c r="M307" s="35"/>
    </row>
    <row r="308" customFormat="false" ht="15" hidden="false" customHeight="true" outlineLevel="0" collapsed="false">
      <c r="A308" s="5"/>
      <c r="B308" s="5"/>
      <c r="C308" s="5"/>
      <c r="D308" s="5"/>
      <c r="E308" s="5"/>
      <c r="F308" s="28" t="str">
        <f aca="false">IF(E308="","",IF(E308="DRINKS",0.21,0.11))</f>
        <v/>
      </c>
      <c r="G308" s="29" t="str">
        <f aca="false">IF(B308="","",SUMIF(RETETAR!A:A,B308,RETETAR!F:F))</f>
        <v/>
      </c>
      <c r="H308" s="30" t="str">
        <f aca="false">IF(B308="","",SUMIF(RETETAR!A:A,B308,RETETAR!H:H))</f>
        <v/>
      </c>
      <c r="I308" s="31"/>
      <c r="J308" s="32" t="str">
        <f aca="false">IF(OR(I308="",F308=""),"",I308/(1+F308))</f>
        <v/>
      </c>
      <c r="K308" s="33" t="str">
        <f aca="false">IF(OR(G308="",G308=0,J308="",J308=0),"",G308/J308)</f>
        <v/>
      </c>
      <c r="L308" s="34" t="str">
        <f aca="false">IF(OR(H308="",H308=0,J308="",J308=0),"",H308/J308)</f>
        <v/>
      </c>
      <c r="M308" s="35"/>
    </row>
    <row r="309" customFormat="false" ht="15" hidden="false" customHeight="true" outlineLevel="0" collapsed="false">
      <c r="A309" s="5"/>
      <c r="B309" s="5"/>
      <c r="C309" s="5"/>
      <c r="D309" s="5"/>
      <c r="E309" s="5"/>
      <c r="F309" s="28" t="str">
        <f aca="false">IF(E309="","",IF(E309="DRINKS",0.21,0.11))</f>
        <v/>
      </c>
      <c r="G309" s="29" t="str">
        <f aca="false">IF(B309="","",SUMIF(RETETAR!A:A,B309,RETETAR!F:F))</f>
        <v/>
      </c>
      <c r="H309" s="30" t="str">
        <f aca="false">IF(B309="","",SUMIF(RETETAR!A:A,B309,RETETAR!H:H))</f>
        <v/>
      </c>
      <c r="I309" s="31"/>
      <c r="J309" s="32" t="str">
        <f aca="false">IF(OR(I309="",F309=""),"",I309/(1+F309))</f>
        <v/>
      </c>
      <c r="K309" s="33" t="str">
        <f aca="false">IF(OR(G309="",G309=0,J309="",J309=0),"",G309/J309)</f>
        <v/>
      </c>
      <c r="L309" s="34" t="str">
        <f aca="false">IF(OR(H309="",H309=0,J309="",J309=0),"",H309/J309)</f>
        <v/>
      </c>
      <c r="M309" s="35"/>
    </row>
    <row r="310" customFormat="false" ht="15" hidden="false" customHeight="true" outlineLevel="0" collapsed="false">
      <c r="A310" s="5"/>
      <c r="B310" s="5"/>
      <c r="C310" s="5"/>
      <c r="D310" s="5"/>
      <c r="E310" s="5"/>
      <c r="F310" s="28" t="str">
        <f aca="false">IF(E310="","",IF(E310="DRINKS",0.21,0.11))</f>
        <v/>
      </c>
      <c r="G310" s="29" t="str">
        <f aca="false">IF(B310="","",SUMIF(RETETAR!A:A,B310,RETETAR!F:F))</f>
        <v/>
      </c>
      <c r="H310" s="30" t="str">
        <f aca="false">IF(B310="","",SUMIF(RETETAR!A:A,B310,RETETAR!H:H))</f>
        <v/>
      </c>
      <c r="I310" s="31"/>
      <c r="J310" s="32" t="str">
        <f aca="false">IF(OR(I310="",F310=""),"",I310/(1+F310))</f>
        <v/>
      </c>
      <c r="K310" s="33" t="str">
        <f aca="false">IF(OR(G310="",G310=0,J310="",J310=0),"",G310/J310)</f>
        <v/>
      </c>
      <c r="L310" s="34" t="str">
        <f aca="false">IF(OR(H310="",H310=0,J310="",J310=0),"",H310/J310)</f>
        <v/>
      </c>
      <c r="M310" s="35"/>
    </row>
    <row r="311" customFormat="false" ht="15" hidden="false" customHeight="true" outlineLevel="0" collapsed="false">
      <c r="A311" s="5"/>
      <c r="B311" s="5"/>
      <c r="C311" s="5"/>
      <c r="D311" s="5"/>
      <c r="E311" s="5"/>
      <c r="F311" s="28" t="str">
        <f aca="false">IF(E311="","",IF(E311="DRINKS",0.21,0.11))</f>
        <v/>
      </c>
      <c r="G311" s="29" t="str">
        <f aca="false">IF(B311="","",SUMIF(RETETAR!A:A,B311,RETETAR!F:F))</f>
        <v/>
      </c>
      <c r="H311" s="30" t="str">
        <f aca="false">IF(B311="","",SUMIF(RETETAR!A:A,B311,RETETAR!H:H))</f>
        <v/>
      </c>
      <c r="I311" s="31"/>
      <c r="J311" s="32" t="str">
        <f aca="false">IF(OR(I311="",F311=""),"",I311/(1+F311))</f>
        <v/>
      </c>
      <c r="K311" s="33" t="str">
        <f aca="false">IF(OR(G311="",G311=0,J311="",J311=0),"",G311/J311)</f>
        <v/>
      </c>
      <c r="L311" s="34" t="str">
        <f aca="false">IF(OR(H311="",H311=0,J311="",J311=0),"",H311/J311)</f>
        <v/>
      </c>
      <c r="M311" s="35"/>
    </row>
    <row r="312" customFormat="false" ht="15" hidden="false" customHeight="true" outlineLevel="0" collapsed="false">
      <c r="A312" s="5"/>
      <c r="B312" s="5"/>
      <c r="C312" s="5"/>
      <c r="D312" s="5"/>
      <c r="E312" s="5"/>
      <c r="F312" s="28" t="str">
        <f aca="false">IF(E312="","",IF(E312="DRINKS",0.21,0.11))</f>
        <v/>
      </c>
      <c r="G312" s="29" t="str">
        <f aca="false">IF(B312="","",SUMIF(RETETAR!A:A,B312,RETETAR!F:F))</f>
        <v/>
      </c>
      <c r="H312" s="30" t="str">
        <f aca="false">IF(B312="","",SUMIF(RETETAR!A:A,B312,RETETAR!H:H))</f>
        <v/>
      </c>
      <c r="I312" s="31"/>
      <c r="J312" s="32" t="str">
        <f aca="false">IF(OR(I312="",F312=""),"",I312/(1+F312))</f>
        <v/>
      </c>
      <c r="K312" s="33" t="str">
        <f aca="false">IF(OR(G312="",G312=0,J312="",J312=0),"",G312/J312)</f>
        <v/>
      </c>
      <c r="L312" s="34" t="str">
        <f aca="false">IF(OR(H312="",H312=0,J312="",J312=0),"",H312/J312)</f>
        <v/>
      </c>
      <c r="M312" s="35"/>
    </row>
    <row r="313" customFormat="false" ht="15" hidden="false" customHeight="true" outlineLevel="0" collapsed="false">
      <c r="A313" s="5"/>
      <c r="B313" s="5"/>
      <c r="C313" s="5"/>
      <c r="D313" s="5"/>
      <c r="E313" s="5"/>
      <c r="F313" s="28" t="str">
        <f aca="false">IF(E313="","",IF(E313="DRINKS",0.21,0.11))</f>
        <v/>
      </c>
      <c r="G313" s="29" t="str">
        <f aca="false">IF(B313="","",SUMIF(RETETAR!A:A,B313,RETETAR!F:F))</f>
        <v/>
      </c>
      <c r="H313" s="30" t="str">
        <f aca="false">IF(B313="","",SUMIF(RETETAR!A:A,B313,RETETAR!H:H))</f>
        <v/>
      </c>
      <c r="I313" s="31"/>
      <c r="J313" s="32" t="str">
        <f aca="false">IF(OR(I313="",F313=""),"",I313/(1+F313))</f>
        <v/>
      </c>
      <c r="K313" s="33" t="str">
        <f aca="false">IF(OR(G313="",G313=0,J313="",J313=0),"",G313/J313)</f>
        <v/>
      </c>
      <c r="L313" s="34" t="str">
        <f aca="false">IF(OR(H313="",H313=0,J313="",J313=0),"",H313/J313)</f>
        <v/>
      </c>
      <c r="M313" s="35"/>
    </row>
    <row r="314" customFormat="false" ht="15" hidden="false" customHeight="true" outlineLevel="0" collapsed="false">
      <c r="A314" s="5"/>
      <c r="B314" s="5"/>
      <c r="C314" s="5"/>
      <c r="D314" s="5"/>
      <c r="E314" s="5"/>
      <c r="F314" s="28" t="str">
        <f aca="false">IF(E314="","",IF(E314="DRINKS",0.21,0.11))</f>
        <v/>
      </c>
      <c r="G314" s="29" t="str">
        <f aca="false">IF(B314="","",SUMIF(RETETAR!A:A,B314,RETETAR!F:F))</f>
        <v/>
      </c>
      <c r="H314" s="30" t="str">
        <f aca="false">IF(B314="","",SUMIF(RETETAR!A:A,B314,RETETAR!H:H))</f>
        <v/>
      </c>
      <c r="I314" s="31"/>
      <c r="J314" s="32" t="str">
        <f aca="false">IF(OR(I314="",F314=""),"",I314/(1+F314))</f>
        <v/>
      </c>
      <c r="K314" s="33" t="str">
        <f aca="false">IF(OR(G314="",G314=0,J314="",J314=0),"",G314/J314)</f>
        <v/>
      </c>
      <c r="L314" s="34" t="str">
        <f aca="false">IF(OR(H314="",H314=0,J314="",J314=0),"",H314/J314)</f>
        <v/>
      </c>
      <c r="M314" s="35"/>
    </row>
    <row r="315" customFormat="false" ht="15" hidden="false" customHeight="true" outlineLevel="0" collapsed="false">
      <c r="A315" s="5"/>
      <c r="B315" s="5"/>
      <c r="C315" s="5"/>
      <c r="D315" s="5"/>
      <c r="E315" s="5"/>
      <c r="F315" s="28" t="str">
        <f aca="false">IF(E315="","",IF(E315="DRINKS",0.21,0.11))</f>
        <v/>
      </c>
      <c r="G315" s="29" t="str">
        <f aca="false">IF(B315="","",SUMIF(RETETAR!A:A,B315,RETETAR!F:F))</f>
        <v/>
      </c>
      <c r="H315" s="30" t="str">
        <f aca="false">IF(B315="","",SUMIF(RETETAR!A:A,B315,RETETAR!H:H))</f>
        <v/>
      </c>
      <c r="I315" s="31"/>
      <c r="J315" s="32" t="str">
        <f aca="false">IF(OR(I315="",F315=""),"",I315/(1+F315))</f>
        <v/>
      </c>
      <c r="K315" s="33" t="str">
        <f aca="false">IF(OR(G315="",G315=0,J315="",J315=0),"",G315/J315)</f>
        <v/>
      </c>
      <c r="L315" s="34" t="str">
        <f aca="false">IF(OR(H315="",H315=0,J315="",J315=0),"",H315/J315)</f>
        <v/>
      </c>
      <c r="M315" s="35"/>
    </row>
    <row r="316" customFormat="false" ht="15" hidden="false" customHeight="true" outlineLevel="0" collapsed="false">
      <c r="A316" s="5"/>
      <c r="B316" s="5"/>
      <c r="C316" s="5"/>
      <c r="D316" s="5"/>
      <c r="E316" s="5"/>
      <c r="F316" s="28" t="str">
        <f aca="false">IF(E316="","",IF(E316="DRINKS",0.21,0.11))</f>
        <v/>
      </c>
      <c r="G316" s="29" t="str">
        <f aca="false">IF(B316="","",SUMIF(RETETAR!A:A,B316,RETETAR!F:F))</f>
        <v/>
      </c>
      <c r="H316" s="30" t="str">
        <f aca="false">IF(B316="","",SUMIF(RETETAR!A:A,B316,RETETAR!H:H))</f>
        <v/>
      </c>
      <c r="I316" s="31"/>
      <c r="J316" s="32" t="str">
        <f aca="false">IF(OR(I316="",F316=""),"",I316/(1+F316))</f>
        <v/>
      </c>
      <c r="K316" s="33" t="str">
        <f aca="false">IF(OR(G316="",G316=0,J316="",J316=0),"",G316/J316)</f>
        <v/>
      </c>
      <c r="L316" s="34" t="str">
        <f aca="false">IF(OR(H316="",H316=0,J316="",J316=0),"",H316/J316)</f>
        <v/>
      </c>
      <c r="M316" s="35"/>
    </row>
    <row r="317" customFormat="false" ht="15" hidden="false" customHeight="true" outlineLevel="0" collapsed="false">
      <c r="A317" s="5"/>
      <c r="B317" s="5"/>
      <c r="C317" s="5"/>
      <c r="D317" s="5"/>
      <c r="E317" s="5"/>
      <c r="F317" s="28" t="str">
        <f aca="false">IF(E317="","",IF(E317="DRINKS",0.21,0.11))</f>
        <v/>
      </c>
      <c r="G317" s="29" t="str">
        <f aca="false">IF(B317="","",SUMIF(RETETAR!A:A,B317,RETETAR!F:F))</f>
        <v/>
      </c>
      <c r="H317" s="30" t="str">
        <f aca="false">IF(B317="","",SUMIF(RETETAR!A:A,B317,RETETAR!H:H))</f>
        <v/>
      </c>
      <c r="I317" s="31"/>
      <c r="J317" s="32" t="str">
        <f aca="false">IF(OR(I317="",F317=""),"",I317/(1+F317))</f>
        <v/>
      </c>
      <c r="K317" s="33" t="str">
        <f aca="false">IF(OR(G317="",G317=0,J317="",J317=0),"",G317/J317)</f>
        <v/>
      </c>
      <c r="L317" s="34" t="str">
        <f aca="false">IF(OR(H317="",H317=0,J317="",J317=0),"",H317/J317)</f>
        <v/>
      </c>
      <c r="M317" s="35"/>
    </row>
    <row r="318" customFormat="false" ht="15" hidden="false" customHeight="true" outlineLevel="0" collapsed="false">
      <c r="A318" s="5"/>
      <c r="B318" s="5"/>
      <c r="C318" s="5"/>
      <c r="D318" s="5"/>
      <c r="E318" s="5"/>
      <c r="F318" s="28" t="str">
        <f aca="false">IF(E318="","",IF(E318="DRINKS",0.21,0.11))</f>
        <v/>
      </c>
      <c r="G318" s="29" t="str">
        <f aca="false">IF(B318="","",SUMIF(RETETAR!A:A,B318,RETETAR!F:F))</f>
        <v/>
      </c>
      <c r="H318" s="30" t="str">
        <f aca="false">IF(B318="","",SUMIF(RETETAR!A:A,B318,RETETAR!H:H))</f>
        <v/>
      </c>
      <c r="I318" s="31"/>
      <c r="J318" s="32" t="str">
        <f aca="false">IF(OR(I318="",F318=""),"",I318/(1+F318))</f>
        <v/>
      </c>
      <c r="K318" s="33" t="str">
        <f aca="false">IF(OR(G318="",G318=0,J318="",J318=0),"",G318/J318)</f>
        <v/>
      </c>
      <c r="L318" s="34" t="str">
        <f aca="false">IF(OR(H318="",H318=0,J318="",J318=0),"",H318/J318)</f>
        <v/>
      </c>
      <c r="M318" s="35"/>
    </row>
    <row r="319" customFormat="false" ht="15" hidden="false" customHeight="true" outlineLevel="0" collapsed="false">
      <c r="A319" s="5"/>
      <c r="B319" s="5"/>
      <c r="C319" s="5"/>
      <c r="D319" s="5"/>
      <c r="E319" s="5"/>
      <c r="F319" s="28" t="str">
        <f aca="false">IF(E319="","",IF(E319="DRINKS",0.21,0.11))</f>
        <v/>
      </c>
      <c r="G319" s="29" t="str">
        <f aca="false">IF(B319="","",SUMIF(RETETAR!A:A,B319,RETETAR!F:F))</f>
        <v/>
      </c>
      <c r="H319" s="30" t="str">
        <f aca="false">IF(B319="","",SUMIF(RETETAR!A:A,B319,RETETAR!H:H))</f>
        <v/>
      </c>
      <c r="I319" s="31"/>
      <c r="J319" s="32" t="str">
        <f aca="false">IF(OR(I319="",F319=""),"",I319/(1+F319))</f>
        <v/>
      </c>
      <c r="K319" s="33" t="str">
        <f aca="false">IF(OR(G319="",G319=0,J319="",J319=0),"",G319/J319)</f>
        <v/>
      </c>
      <c r="L319" s="34" t="str">
        <f aca="false">IF(OR(H319="",H319=0,J319="",J319=0),"",H319/J319)</f>
        <v/>
      </c>
      <c r="M319" s="35"/>
    </row>
    <row r="320" customFormat="false" ht="15" hidden="false" customHeight="true" outlineLevel="0" collapsed="false">
      <c r="A320" s="5"/>
      <c r="B320" s="5"/>
      <c r="C320" s="5"/>
      <c r="D320" s="5"/>
      <c r="E320" s="5"/>
      <c r="F320" s="28" t="str">
        <f aca="false">IF(E320="","",IF(E320="DRINKS",0.21,0.11))</f>
        <v/>
      </c>
      <c r="G320" s="29" t="str">
        <f aca="false">IF(B320="","",SUMIF(RETETAR!A:A,B320,RETETAR!F:F))</f>
        <v/>
      </c>
      <c r="H320" s="30" t="str">
        <f aca="false">IF(B320="","",SUMIF(RETETAR!A:A,B320,RETETAR!H:H))</f>
        <v/>
      </c>
      <c r="I320" s="31"/>
      <c r="J320" s="32" t="str">
        <f aca="false">IF(OR(I320="",F320=""),"",I320/(1+F320))</f>
        <v/>
      </c>
      <c r="K320" s="33" t="str">
        <f aca="false">IF(OR(G320="",G320=0,J320="",J320=0),"",G320/J320)</f>
        <v/>
      </c>
      <c r="L320" s="34" t="str">
        <f aca="false">IF(OR(H320="",H320=0,J320="",J320=0),"",H320/J320)</f>
        <v/>
      </c>
      <c r="M320" s="35"/>
    </row>
    <row r="321" customFormat="false" ht="15" hidden="false" customHeight="true" outlineLevel="0" collapsed="false">
      <c r="A321" s="5"/>
      <c r="B321" s="5"/>
      <c r="C321" s="5"/>
      <c r="D321" s="5"/>
      <c r="E321" s="5"/>
      <c r="F321" s="28" t="str">
        <f aca="false">IF(E321="","",IF(E321="DRINKS",0.21,0.11))</f>
        <v/>
      </c>
      <c r="G321" s="29" t="str">
        <f aca="false">IF(B321="","",SUMIF(RETETAR!A:A,B321,RETETAR!F:F))</f>
        <v/>
      </c>
      <c r="H321" s="30" t="str">
        <f aca="false">IF(B321="","",SUMIF(RETETAR!A:A,B321,RETETAR!H:H))</f>
        <v/>
      </c>
      <c r="I321" s="31"/>
      <c r="J321" s="32" t="str">
        <f aca="false">IF(OR(I321="",F321=""),"",I321/(1+F321))</f>
        <v/>
      </c>
      <c r="K321" s="33" t="str">
        <f aca="false">IF(OR(G321="",G321=0,J321="",J321=0),"",G321/J321)</f>
        <v/>
      </c>
      <c r="L321" s="34" t="str">
        <f aca="false">IF(OR(H321="",H321=0,J321="",J321=0),"",H321/J321)</f>
        <v/>
      </c>
      <c r="M321" s="35"/>
    </row>
    <row r="322" customFormat="false" ht="15" hidden="false" customHeight="true" outlineLevel="0" collapsed="false">
      <c r="A322" s="5"/>
      <c r="B322" s="5"/>
      <c r="C322" s="5"/>
      <c r="D322" s="5"/>
      <c r="E322" s="5"/>
      <c r="F322" s="28" t="str">
        <f aca="false">IF(E322="","",IF(E322="DRINKS",0.21,0.11))</f>
        <v/>
      </c>
      <c r="G322" s="29" t="str">
        <f aca="false">IF(B322="","",SUMIF(RETETAR!A:A,B322,RETETAR!F:F))</f>
        <v/>
      </c>
      <c r="H322" s="30" t="str">
        <f aca="false">IF(B322="","",SUMIF(RETETAR!A:A,B322,RETETAR!H:H))</f>
        <v/>
      </c>
      <c r="I322" s="31"/>
      <c r="J322" s="32" t="str">
        <f aca="false">IF(OR(I322="",F322=""),"",I322/(1+F322))</f>
        <v/>
      </c>
      <c r="K322" s="33" t="str">
        <f aca="false">IF(OR(G322="",G322=0,J322="",J322=0),"",G322/J322)</f>
        <v/>
      </c>
      <c r="L322" s="34" t="str">
        <f aca="false">IF(OR(H322="",H322=0,J322="",J322=0),"",H322/J322)</f>
        <v/>
      </c>
      <c r="M322" s="35"/>
    </row>
    <row r="323" customFormat="false" ht="15" hidden="false" customHeight="true" outlineLevel="0" collapsed="false">
      <c r="A323" s="5"/>
      <c r="B323" s="5"/>
      <c r="C323" s="5"/>
      <c r="D323" s="5"/>
      <c r="E323" s="5"/>
      <c r="F323" s="28" t="str">
        <f aca="false">IF(E323="","",IF(E323="DRINKS",0.21,0.11))</f>
        <v/>
      </c>
      <c r="G323" s="29" t="str">
        <f aca="false">IF(B323="","",SUMIF(RETETAR!A:A,B323,RETETAR!F:F))</f>
        <v/>
      </c>
      <c r="H323" s="30" t="str">
        <f aca="false">IF(B323="","",SUMIF(RETETAR!A:A,B323,RETETAR!H:H))</f>
        <v/>
      </c>
      <c r="I323" s="31"/>
      <c r="J323" s="32" t="str">
        <f aca="false">IF(OR(I323="",F323=""),"",I323/(1+F323))</f>
        <v/>
      </c>
      <c r="K323" s="33" t="str">
        <f aca="false">IF(OR(G323="",G323=0,J323="",J323=0),"",G323/J323)</f>
        <v/>
      </c>
      <c r="L323" s="34" t="str">
        <f aca="false">IF(OR(H323="",H323=0,J323="",J323=0),"",H323/J323)</f>
        <v/>
      </c>
      <c r="M323" s="35"/>
    </row>
    <row r="324" customFormat="false" ht="15" hidden="false" customHeight="true" outlineLevel="0" collapsed="false">
      <c r="A324" s="5"/>
      <c r="B324" s="5"/>
      <c r="C324" s="5"/>
      <c r="D324" s="5"/>
      <c r="E324" s="5"/>
      <c r="F324" s="28" t="str">
        <f aca="false">IF(E324="","",IF(E324="DRINKS",0.21,0.11))</f>
        <v/>
      </c>
      <c r="G324" s="29" t="str">
        <f aca="false">IF(B324="","",SUMIF(RETETAR!A:A,B324,RETETAR!F:F))</f>
        <v/>
      </c>
      <c r="H324" s="30" t="str">
        <f aca="false">IF(B324="","",SUMIF(RETETAR!A:A,B324,RETETAR!H:H))</f>
        <v/>
      </c>
      <c r="I324" s="31"/>
      <c r="J324" s="32" t="str">
        <f aca="false">IF(OR(I324="",F324=""),"",I324/(1+F324))</f>
        <v/>
      </c>
      <c r="K324" s="33" t="str">
        <f aca="false">IF(OR(G324="",G324=0,J324="",J324=0),"",G324/J324)</f>
        <v/>
      </c>
      <c r="L324" s="34" t="str">
        <f aca="false">IF(OR(H324="",H324=0,J324="",J324=0),"",H324/J324)</f>
        <v/>
      </c>
      <c r="M324" s="35"/>
    </row>
    <row r="325" customFormat="false" ht="15" hidden="false" customHeight="true" outlineLevel="0" collapsed="false">
      <c r="A325" s="5"/>
      <c r="B325" s="5"/>
      <c r="C325" s="5"/>
      <c r="D325" s="5"/>
      <c r="E325" s="5"/>
      <c r="F325" s="28" t="str">
        <f aca="false">IF(E325="","",IF(E325="DRINKS",0.21,0.11))</f>
        <v/>
      </c>
      <c r="G325" s="29" t="str">
        <f aca="false">IF(B325="","",SUMIF(RETETAR!A:A,B325,RETETAR!F:F))</f>
        <v/>
      </c>
      <c r="H325" s="30" t="str">
        <f aca="false">IF(B325="","",SUMIF(RETETAR!A:A,B325,RETETAR!H:H))</f>
        <v/>
      </c>
      <c r="I325" s="31"/>
      <c r="J325" s="32" t="str">
        <f aca="false">IF(OR(I325="",F325=""),"",I325/(1+F325))</f>
        <v/>
      </c>
      <c r="K325" s="33" t="str">
        <f aca="false">IF(OR(G325="",G325=0,J325="",J325=0),"",G325/J325)</f>
        <v/>
      </c>
      <c r="L325" s="34" t="str">
        <f aca="false">IF(OR(H325="",H325=0,J325="",J325=0),"",H325/J325)</f>
        <v/>
      </c>
      <c r="M325" s="35"/>
    </row>
    <row r="326" customFormat="false" ht="15" hidden="false" customHeight="true" outlineLevel="0" collapsed="false">
      <c r="A326" s="5"/>
      <c r="B326" s="5"/>
      <c r="C326" s="5"/>
      <c r="D326" s="5"/>
      <c r="E326" s="5"/>
      <c r="F326" s="28" t="str">
        <f aca="false">IF(E326="","",IF(E326="DRINKS",0.21,0.11))</f>
        <v/>
      </c>
      <c r="G326" s="29" t="str">
        <f aca="false">IF(B326="","",SUMIF(RETETAR!A:A,B326,RETETAR!F:F))</f>
        <v/>
      </c>
      <c r="H326" s="30" t="str">
        <f aca="false">IF(B326="","",SUMIF(RETETAR!A:A,B326,RETETAR!H:H))</f>
        <v/>
      </c>
      <c r="I326" s="31"/>
      <c r="J326" s="32" t="str">
        <f aca="false">IF(OR(I326="",F326=""),"",I326/(1+F326))</f>
        <v/>
      </c>
      <c r="K326" s="33" t="str">
        <f aca="false">IF(OR(G326="",G326=0,J326="",J326=0),"",G326/J326)</f>
        <v/>
      </c>
      <c r="L326" s="34" t="str">
        <f aca="false">IF(OR(H326="",H326=0,J326="",J326=0),"",H326/J326)</f>
        <v/>
      </c>
      <c r="M326" s="35"/>
    </row>
    <row r="327" customFormat="false" ht="15" hidden="false" customHeight="true" outlineLevel="0" collapsed="false">
      <c r="A327" s="5"/>
      <c r="B327" s="5"/>
      <c r="C327" s="5"/>
      <c r="D327" s="5"/>
      <c r="E327" s="5"/>
      <c r="F327" s="28" t="str">
        <f aca="false">IF(E327="","",IF(E327="DRINKS",0.21,0.11))</f>
        <v/>
      </c>
      <c r="G327" s="29" t="str">
        <f aca="false">IF(B327="","",SUMIF(RETETAR!A:A,B327,RETETAR!F:F))</f>
        <v/>
      </c>
      <c r="H327" s="30" t="str">
        <f aca="false">IF(B327="","",SUMIF(RETETAR!A:A,B327,RETETAR!H:H))</f>
        <v/>
      </c>
      <c r="I327" s="31"/>
      <c r="J327" s="32" t="str">
        <f aca="false">IF(OR(I327="",F327=""),"",I327/(1+F327))</f>
        <v/>
      </c>
      <c r="K327" s="33" t="str">
        <f aca="false">IF(OR(G327="",G327=0,J327="",J327=0),"",G327/J327)</f>
        <v/>
      </c>
      <c r="L327" s="34" t="str">
        <f aca="false">IF(OR(H327="",H327=0,J327="",J327=0),"",H327/J327)</f>
        <v/>
      </c>
      <c r="M327" s="35"/>
    </row>
    <row r="328" customFormat="false" ht="15" hidden="false" customHeight="true" outlineLevel="0" collapsed="false">
      <c r="A328" s="5"/>
      <c r="B328" s="5"/>
      <c r="C328" s="5"/>
      <c r="D328" s="5"/>
      <c r="E328" s="5"/>
      <c r="F328" s="28" t="str">
        <f aca="false">IF(E328="","",IF(E328="DRINKS",0.21,0.11))</f>
        <v/>
      </c>
      <c r="G328" s="29" t="str">
        <f aca="false">IF(B328="","",SUMIF(RETETAR!A:A,B328,RETETAR!F:F))</f>
        <v/>
      </c>
      <c r="H328" s="30" t="str">
        <f aca="false">IF(B328="","",SUMIF(RETETAR!A:A,B328,RETETAR!H:H))</f>
        <v/>
      </c>
      <c r="I328" s="31"/>
      <c r="J328" s="32" t="str">
        <f aca="false">IF(OR(I328="",F328=""),"",I328/(1+F328))</f>
        <v/>
      </c>
      <c r="K328" s="33" t="str">
        <f aca="false">IF(OR(G328="",G328=0,J328="",J328=0),"",G328/J328)</f>
        <v/>
      </c>
      <c r="L328" s="34" t="str">
        <f aca="false">IF(OR(H328="",H328=0,J328="",J328=0),"",H328/J328)</f>
        <v/>
      </c>
      <c r="M328" s="35"/>
    </row>
    <row r="329" customFormat="false" ht="15" hidden="false" customHeight="true" outlineLevel="0" collapsed="false">
      <c r="A329" s="5"/>
      <c r="B329" s="5"/>
      <c r="C329" s="5"/>
      <c r="D329" s="5"/>
      <c r="E329" s="5"/>
      <c r="F329" s="28" t="str">
        <f aca="false">IF(E329="","",IF(E329="DRINKS",0.21,0.11))</f>
        <v/>
      </c>
      <c r="G329" s="29" t="str">
        <f aca="false">IF(B329="","",SUMIF(RETETAR!A:A,B329,RETETAR!F:F))</f>
        <v/>
      </c>
      <c r="H329" s="30" t="str">
        <f aca="false">IF(B329="","",SUMIF(RETETAR!A:A,B329,RETETAR!H:H))</f>
        <v/>
      </c>
      <c r="I329" s="31"/>
      <c r="J329" s="32" t="str">
        <f aca="false">IF(OR(I329="",F329=""),"",I329/(1+F329))</f>
        <v/>
      </c>
      <c r="K329" s="33" t="str">
        <f aca="false">IF(OR(G329="",G329=0,J329="",J329=0),"",G329/J329)</f>
        <v/>
      </c>
      <c r="L329" s="34" t="str">
        <f aca="false">IF(OR(H329="",H329=0,J329="",J329=0),"",H329/J329)</f>
        <v/>
      </c>
      <c r="M329" s="35"/>
    </row>
    <row r="330" customFormat="false" ht="15" hidden="false" customHeight="true" outlineLevel="0" collapsed="false">
      <c r="A330" s="5"/>
      <c r="B330" s="5"/>
      <c r="C330" s="5"/>
      <c r="D330" s="5"/>
      <c r="E330" s="5"/>
      <c r="F330" s="28" t="str">
        <f aca="false">IF(E330="","",IF(E330="DRINKS",0.21,0.11))</f>
        <v/>
      </c>
      <c r="G330" s="29" t="str">
        <f aca="false">IF(B330="","",SUMIF(RETETAR!A:A,B330,RETETAR!F:F))</f>
        <v/>
      </c>
      <c r="H330" s="30" t="str">
        <f aca="false">IF(B330="","",SUMIF(RETETAR!A:A,B330,RETETAR!H:H))</f>
        <v/>
      </c>
      <c r="I330" s="31"/>
      <c r="J330" s="32" t="str">
        <f aca="false">IF(OR(I330="",F330=""),"",I330/(1+F330))</f>
        <v/>
      </c>
      <c r="K330" s="33" t="str">
        <f aca="false">IF(OR(G330="",G330=0,J330="",J330=0),"",G330/J330)</f>
        <v/>
      </c>
      <c r="L330" s="34" t="str">
        <f aca="false">IF(OR(H330="",H330=0,J330="",J330=0),"",H330/J330)</f>
        <v/>
      </c>
      <c r="M330" s="35"/>
    </row>
    <row r="331" customFormat="false" ht="15" hidden="false" customHeight="true" outlineLevel="0" collapsed="false">
      <c r="A331" s="5"/>
      <c r="B331" s="5"/>
      <c r="C331" s="5"/>
      <c r="D331" s="5"/>
      <c r="E331" s="5"/>
      <c r="F331" s="28" t="str">
        <f aca="false">IF(E331="","",IF(E331="DRINKS",0.21,0.11))</f>
        <v/>
      </c>
      <c r="G331" s="29" t="str">
        <f aca="false">IF(B331="","",SUMIF(RETETAR!A:A,B331,RETETAR!F:F))</f>
        <v/>
      </c>
      <c r="H331" s="30" t="str">
        <f aca="false">IF(B331="","",SUMIF(RETETAR!A:A,B331,RETETAR!H:H))</f>
        <v/>
      </c>
      <c r="I331" s="31"/>
      <c r="J331" s="32" t="str">
        <f aca="false">IF(OR(I331="",F331=""),"",I331/(1+F331))</f>
        <v/>
      </c>
      <c r="K331" s="33" t="str">
        <f aca="false">IF(OR(G331="",G331=0,J331="",J331=0),"",G331/J331)</f>
        <v/>
      </c>
      <c r="L331" s="34" t="str">
        <f aca="false">IF(OR(H331="",H331=0,J331="",J331=0),"",H331/J331)</f>
        <v/>
      </c>
      <c r="M331" s="35"/>
    </row>
    <row r="332" customFormat="false" ht="15" hidden="false" customHeight="true" outlineLevel="0" collapsed="false">
      <c r="A332" s="5"/>
      <c r="B332" s="5"/>
      <c r="C332" s="5"/>
      <c r="D332" s="5"/>
      <c r="E332" s="5"/>
      <c r="F332" s="28" t="str">
        <f aca="false">IF(E332="","",IF(E332="DRINKS",0.21,0.11))</f>
        <v/>
      </c>
      <c r="G332" s="29" t="str">
        <f aca="false">IF(B332="","",SUMIF(RETETAR!A:A,B332,RETETAR!F:F))</f>
        <v/>
      </c>
      <c r="H332" s="30" t="str">
        <f aca="false">IF(B332="","",SUMIF(RETETAR!A:A,B332,RETETAR!H:H))</f>
        <v/>
      </c>
      <c r="I332" s="31"/>
      <c r="J332" s="32" t="str">
        <f aca="false">IF(OR(I332="",F332=""),"",I332/(1+F332))</f>
        <v/>
      </c>
      <c r="K332" s="33" t="str">
        <f aca="false">IF(OR(G332="",G332=0,J332="",J332=0),"",G332/J332)</f>
        <v/>
      </c>
      <c r="L332" s="34" t="str">
        <f aca="false">IF(OR(H332="",H332=0,J332="",J332=0),"",H332/J332)</f>
        <v/>
      </c>
      <c r="M332" s="35"/>
    </row>
    <row r="333" customFormat="false" ht="15" hidden="false" customHeight="true" outlineLevel="0" collapsed="false">
      <c r="A333" s="5"/>
      <c r="B333" s="5"/>
      <c r="C333" s="5"/>
      <c r="D333" s="5"/>
      <c r="E333" s="5"/>
      <c r="F333" s="28" t="str">
        <f aca="false">IF(E333="","",IF(E333="DRINKS",0.21,0.11))</f>
        <v/>
      </c>
      <c r="G333" s="29" t="str">
        <f aca="false">IF(B333="","",SUMIF(RETETAR!A:A,B333,RETETAR!F:F))</f>
        <v/>
      </c>
      <c r="H333" s="30" t="str">
        <f aca="false">IF(B333="","",SUMIF(RETETAR!A:A,B333,RETETAR!H:H))</f>
        <v/>
      </c>
      <c r="I333" s="31"/>
      <c r="J333" s="32" t="str">
        <f aca="false">IF(OR(I333="",F333=""),"",I333/(1+F333))</f>
        <v/>
      </c>
      <c r="K333" s="33" t="str">
        <f aca="false">IF(OR(G333="",G333=0,J333="",J333=0),"",G333/J333)</f>
        <v/>
      </c>
      <c r="L333" s="34" t="str">
        <f aca="false">IF(OR(H333="",H333=0,J333="",J333=0),"",H333/J333)</f>
        <v/>
      </c>
      <c r="M333" s="35"/>
    </row>
    <row r="334" customFormat="false" ht="15" hidden="false" customHeight="true" outlineLevel="0" collapsed="false">
      <c r="A334" s="5"/>
      <c r="B334" s="5"/>
      <c r="C334" s="5"/>
      <c r="D334" s="5"/>
      <c r="E334" s="5"/>
      <c r="F334" s="28" t="str">
        <f aca="false">IF(E334="","",IF(E334="DRINKS",0.21,0.11))</f>
        <v/>
      </c>
      <c r="G334" s="29" t="str">
        <f aca="false">IF(B334="","",SUMIF(RETETAR!A:A,B334,RETETAR!F:F))</f>
        <v/>
      </c>
      <c r="H334" s="30" t="str">
        <f aca="false">IF(B334="","",SUMIF(RETETAR!A:A,B334,RETETAR!H:H))</f>
        <v/>
      </c>
      <c r="I334" s="31"/>
      <c r="J334" s="32" t="str">
        <f aca="false">IF(OR(I334="",F334=""),"",I334/(1+F334))</f>
        <v/>
      </c>
      <c r="K334" s="33" t="str">
        <f aca="false">IF(OR(G334="",G334=0,J334="",J334=0),"",G334/J334)</f>
        <v/>
      </c>
      <c r="L334" s="34" t="str">
        <f aca="false">IF(OR(H334="",H334=0,J334="",J334=0),"",H334/J334)</f>
        <v/>
      </c>
      <c r="M334" s="35"/>
    </row>
    <row r="335" customFormat="false" ht="15" hidden="false" customHeight="true" outlineLevel="0" collapsed="false">
      <c r="A335" s="5"/>
      <c r="B335" s="5"/>
      <c r="C335" s="5"/>
      <c r="D335" s="5"/>
      <c r="E335" s="5"/>
      <c r="F335" s="28" t="str">
        <f aca="false">IF(E335="","",IF(E335="DRINKS",0.21,0.11))</f>
        <v/>
      </c>
      <c r="G335" s="29" t="str">
        <f aca="false">IF(B335="","",SUMIF(RETETAR!A:A,B335,RETETAR!F:F))</f>
        <v/>
      </c>
      <c r="H335" s="30" t="str">
        <f aca="false">IF(B335="","",SUMIF(RETETAR!A:A,B335,RETETAR!H:H))</f>
        <v/>
      </c>
      <c r="I335" s="31"/>
      <c r="J335" s="32" t="str">
        <f aca="false">IF(OR(I335="",F335=""),"",I335/(1+F335))</f>
        <v/>
      </c>
      <c r="K335" s="33" t="str">
        <f aca="false">IF(OR(G335="",G335=0,J335="",J335=0),"",G335/J335)</f>
        <v/>
      </c>
      <c r="L335" s="34" t="str">
        <f aca="false">IF(OR(H335="",H335=0,J335="",J335=0),"",H335/J335)</f>
        <v/>
      </c>
      <c r="M335" s="35"/>
    </row>
    <row r="336" customFormat="false" ht="15" hidden="false" customHeight="true" outlineLevel="0" collapsed="false">
      <c r="A336" s="5"/>
      <c r="B336" s="5"/>
      <c r="C336" s="5"/>
      <c r="D336" s="5"/>
      <c r="E336" s="5"/>
      <c r="F336" s="28" t="str">
        <f aca="false">IF(E336="","",IF(E336="DRINKS",0.21,0.11))</f>
        <v/>
      </c>
      <c r="G336" s="29" t="str">
        <f aca="false">IF(B336="","",SUMIF(RETETAR!A:A,B336,RETETAR!F:F))</f>
        <v/>
      </c>
      <c r="H336" s="30" t="str">
        <f aca="false">IF(B336="","",SUMIF(RETETAR!A:A,B336,RETETAR!H:H))</f>
        <v/>
      </c>
      <c r="I336" s="31"/>
      <c r="J336" s="32" t="str">
        <f aca="false">IF(OR(I336="",F336=""),"",I336/(1+F336))</f>
        <v/>
      </c>
      <c r="K336" s="33" t="str">
        <f aca="false">IF(OR(G336="",G336=0,J336="",J336=0),"",G336/J336)</f>
        <v/>
      </c>
      <c r="L336" s="34" t="str">
        <f aca="false">IF(OR(H336="",H336=0,J336="",J336=0),"",H336/J336)</f>
        <v/>
      </c>
      <c r="M336" s="35"/>
    </row>
    <row r="337" customFormat="false" ht="15" hidden="false" customHeight="true" outlineLevel="0" collapsed="false">
      <c r="A337" s="5"/>
      <c r="B337" s="5"/>
      <c r="C337" s="5"/>
      <c r="D337" s="5"/>
      <c r="E337" s="5"/>
      <c r="F337" s="28" t="str">
        <f aca="false">IF(E337="","",IF(E337="DRINKS",0.21,0.11))</f>
        <v/>
      </c>
      <c r="G337" s="29" t="str">
        <f aca="false">IF(B337="","",SUMIF(RETETAR!A:A,B337,RETETAR!F:F))</f>
        <v/>
      </c>
      <c r="H337" s="30" t="str">
        <f aca="false">IF(B337="","",SUMIF(RETETAR!A:A,B337,RETETAR!H:H))</f>
        <v/>
      </c>
      <c r="I337" s="31"/>
      <c r="J337" s="32" t="str">
        <f aca="false">IF(OR(I337="",F337=""),"",I337/(1+F337))</f>
        <v/>
      </c>
      <c r="K337" s="33" t="str">
        <f aca="false">IF(OR(G337="",G337=0,J337="",J337=0),"",G337/J337)</f>
        <v/>
      </c>
      <c r="L337" s="34" t="str">
        <f aca="false">IF(OR(H337="",H337=0,J337="",J337=0),"",H337/J337)</f>
        <v/>
      </c>
      <c r="M337" s="35"/>
    </row>
    <row r="338" customFormat="false" ht="15" hidden="false" customHeight="true" outlineLevel="0" collapsed="false">
      <c r="A338" s="5"/>
      <c r="B338" s="5"/>
      <c r="C338" s="5"/>
      <c r="D338" s="5"/>
      <c r="E338" s="5"/>
      <c r="F338" s="28" t="str">
        <f aca="false">IF(E338="","",IF(E338="DRINKS",0.21,0.11))</f>
        <v/>
      </c>
      <c r="G338" s="29" t="str">
        <f aca="false">IF(B338="","",SUMIF(RETETAR!A:A,B338,RETETAR!F:F))</f>
        <v/>
      </c>
      <c r="H338" s="30" t="str">
        <f aca="false">IF(B338="","",SUMIF(RETETAR!A:A,B338,RETETAR!H:H))</f>
        <v/>
      </c>
      <c r="I338" s="31"/>
      <c r="J338" s="32" t="str">
        <f aca="false">IF(OR(I338="",F338=""),"",I338/(1+F338))</f>
        <v/>
      </c>
      <c r="K338" s="33" t="str">
        <f aca="false">IF(OR(G338="",G338=0,J338="",J338=0),"",G338/J338)</f>
        <v/>
      </c>
      <c r="L338" s="34" t="str">
        <f aca="false">IF(OR(H338="",H338=0,J338="",J338=0),"",H338/J338)</f>
        <v/>
      </c>
      <c r="M338" s="35"/>
    </row>
    <row r="339" customFormat="false" ht="15" hidden="false" customHeight="true" outlineLevel="0" collapsed="false">
      <c r="A339" s="5"/>
      <c r="B339" s="5"/>
      <c r="C339" s="5"/>
      <c r="D339" s="5"/>
      <c r="E339" s="5"/>
      <c r="F339" s="28" t="str">
        <f aca="false">IF(E339="","",IF(E339="DRINKS",0.21,0.11))</f>
        <v/>
      </c>
      <c r="G339" s="29" t="str">
        <f aca="false">IF(B339="","",SUMIF(RETETAR!A:A,B339,RETETAR!F:F))</f>
        <v/>
      </c>
      <c r="H339" s="30" t="str">
        <f aca="false">IF(B339="","",SUMIF(RETETAR!A:A,B339,RETETAR!H:H))</f>
        <v/>
      </c>
      <c r="I339" s="31"/>
      <c r="J339" s="32" t="str">
        <f aca="false">IF(OR(I339="",F339=""),"",I339/(1+F339))</f>
        <v/>
      </c>
      <c r="K339" s="33" t="str">
        <f aca="false">IF(OR(G339="",G339=0,J339="",J339=0),"",G339/J339)</f>
        <v/>
      </c>
      <c r="L339" s="34" t="str">
        <f aca="false">IF(OR(H339="",H339=0,J339="",J339=0),"",H339/J339)</f>
        <v/>
      </c>
      <c r="M339" s="35"/>
    </row>
    <row r="340" customFormat="false" ht="15" hidden="false" customHeight="true" outlineLevel="0" collapsed="false">
      <c r="A340" s="5"/>
      <c r="B340" s="5"/>
      <c r="C340" s="5"/>
      <c r="D340" s="5"/>
      <c r="E340" s="5"/>
      <c r="F340" s="28" t="str">
        <f aca="false">IF(E340="","",IF(E340="DRINKS",0.21,0.11))</f>
        <v/>
      </c>
      <c r="G340" s="29" t="str">
        <f aca="false">IF(B340="","",SUMIF(RETETAR!A:A,B340,RETETAR!F:F))</f>
        <v/>
      </c>
      <c r="H340" s="30" t="str">
        <f aca="false">IF(B340="","",SUMIF(RETETAR!A:A,B340,RETETAR!H:H))</f>
        <v/>
      </c>
      <c r="I340" s="31"/>
      <c r="J340" s="32" t="str">
        <f aca="false">IF(OR(I340="",F340=""),"",I340/(1+F340))</f>
        <v/>
      </c>
      <c r="K340" s="33" t="str">
        <f aca="false">IF(OR(G340="",G340=0,J340="",J340=0),"",G340/J340)</f>
        <v/>
      </c>
      <c r="L340" s="34" t="str">
        <f aca="false">IF(OR(H340="",H340=0,J340="",J340=0),"",H340/J340)</f>
        <v/>
      </c>
      <c r="M340" s="35"/>
    </row>
    <row r="341" customFormat="false" ht="15" hidden="false" customHeight="true" outlineLevel="0" collapsed="false">
      <c r="A341" s="5"/>
      <c r="B341" s="5"/>
      <c r="C341" s="5"/>
      <c r="D341" s="5"/>
      <c r="E341" s="5"/>
      <c r="F341" s="28" t="str">
        <f aca="false">IF(E341="","",IF(E341="DRINKS",0.21,0.11))</f>
        <v/>
      </c>
      <c r="G341" s="29" t="str">
        <f aca="false">IF(B341="","",SUMIF(RETETAR!A:A,B341,RETETAR!F:F))</f>
        <v/>
      </c>
      <c r="H341" s="30" t="str">
        <f aca="false">IF(B341="","",SUMIF(RETETAR!A:A,B341,RETETAR!H:H))</f>
        <v/>
      </c>
      <c r="I341" s="31"/>
      <c r="J341" s="32" t="str">
        <f aca="false">IF(OR(I341="",F341=""),"",I341/(1+F341))</f>
        <v/>
      </c>
      <c r="K341" s="33" t="str">
        <f aca="false">IF(OR(G341="",G341=0,J341="",J341=0),"",G341/J341)</f>
        <v/>
      </c>
      <c r="L341" s="34" t="str">
        <f aca="false">IF(OR(H341="",H341=0,J341="",J341=0),"",H341/J341)</f>
        <v/>
      </c>
      <c r="M341" s="35"/>
    </row>
    <row r="342" customFormat="false" ht="15" hidden="false" customHeight="true" outlineLevel="0" collapsed="false">
      <c r="A342" s="5"/>
      <c r="B342" s="5"/>
      <c r="C342" s="5"/>
      <c r="D342" s="5"/>
      <c r="E342" s="5"/>
      <c r="F342" s="28" t="str">
        <f aca="false">IF(E342="","",IF(E342="DRINKS",0.21,0.11))</f>
        <v/>
      </c>
      <c r="G342" s="29" t="str">
        <f aca="false">IF(B342="","",SUMIF(RETETAR!A:A,B342,RETETAR!F:F))</f>
        <v/>
      </c>
      <c r="H342" s="30" t="str">
        <f aca="false">IF(B342="","",SUMIF(RETETAR!A:A,B342,RETETAR!H:H))</f>
        <v/>
      </c>
      <c r="I342" s="31"/>
      <c r="J342" s="32" t="str">
        <f aca="false">IF(OR(I342="",F342=""),"",I342/(1+F342))</f>
        <v/>
      </c>
      <c r="K342" s="33" t="str">
        <f aca="false">IF(OR(G342="",G342=0,J342="",J342=0),"",G342/J342)</f>
        <v/>
      </c>
      <c r="L342" s="34" t="str">
        <f aca="false">IF(OR(H342="",H342=0,J342="",J342=0),"",H342/J342)</f>
        <v/>
      </c>
      <c r="M342" s="35"/>
    </row>
    <row r="343" customFormat="false" ht="15" hidden="false" customHeight="true" outlineLevel="0" collapsed="false">
      <c r="A343" s="5"/>
      <c r="B343" s="5"/>
      <c r="C343" s="5"/>
      <c r="D343" s="5"/>
      <c r="E343" s="5"/>
      <c r="F343" s="28" t="str">
        <f aca="false">IF(E343="","",IF(E343="DRINKS",0.21,0.11))</f>
        <v/>
      </c>
      <c r="G343" s="29" t="str">
        <f aca="false">IF(B343="","",SUMIF(RETETAR!A:A,B343,RETETAR!F:F))</f>
        <v/>
      </c>
      <c r="H343" s="30" t="str">
        <f aca="false">IF(B343="","",SUMIF(RETETAR!A:A,B343,RETETAR!H:H))</f>
        <v/>
      </c>
      <c r="I343" s="31"/>
      <c r="J343" s="32" t="str">
        <f aca="false">IF(OR(I343="",F343=""),"",I343/(1+F343))</f>
        <v/>
      </c>
      <c r="K343" s="33" t="str">
        <f aca="false">IF(OR(G343="",G343=0,J343="",J343=0),"",G343/J343)</f>
        <v/>
      </c>
      <c r="L343" s="34" t="str">
        <f aca="false">IF(OR(H343="",H343=0,J343="",J343=0),"",H343/J343)</f>
        <v/>
      </c>
      <c r="M343" s="35"/>
    </row>
    <row r="344" customFormat="false" ht="15" hidden="false" customHeight="true" outlineLevel="0" collapsed="false">
      <c r="A344" s="5"/>
      <c r="B344" s="5"/>
      <c r="C344" s="5"/>
      <c r="D344" s="5"/>
      <c r="E344" s="5"/>
      <c r="F344" s="28" t="str">
        <f aca="false">IF(E344="","",IF(E344="DRINKS",0.21,0.11))</f>
        <v/>
      </c>
      <c r="G344" s="29" t="str">
        <f aca="false">IF(B344="","",SUMIF(RETETAR!A:A,B344,RETETAR!F:F))</f>
        <v/>
      </c>
      <c r="H344" s="30" t="str">
        <f aca="false">IF(B344="","",SUMIF(RETETAR!A:A,B344,RETETAR!H:H))</f>
        <v/>
      </c>
      <c r="I344" s="31"/>
      <c r="J344" s="32" t="str">
        <f aca="false">IF(OR(I344="",F344=""),"",I344/(1+F344))</f>
        <v/>
      </c>
      <c r="K344" s="33" t="str">
        <f aca="false">IF(OR(G344="",G344=0,J344="",J344=0),"",G344/J344)</f>
        <v/>
      </c>
      <c r="L344" s="34" t="str">
        <f aca="false">IF(OR(H344="",H344=0,J344="",J344=0),"",H344/J344)</f>
        <v/>
      </c>
      <c r="M344" s="35"/>
    </row>
    <row r="345" customFormat="false" ht="15" hidden="false" customHeight="true" outlineLevel="0" collapsed="false">
      <c r="A345" s="5"/>
      <c r="B345" s="5"/>
      <c r="C345" s="5"/>
      <c r="D345" s="5"/>
      <c r="E345" s="5"/>
      <c r="F345" s="28" t="str">
        <f aca="false">IF(E345="","",IF(E345="DRINKS",0.21,0.11))</f>
        <v/>
      </c>
      <c r="G345" s="29" t="str">
        <f aca="false">IF(B345="","",SUMIF(RETETAR!A:A,B345,RETETAR!F:F))</f>
        <v/>
      </c>
      <c r="H345" s="30" t="str">
        <f aca="false">IF(B345="","",SUMIF(RETETAR!A:A,B345,RETETAR!H:H))</f>
        <v/>
      </c>
      <c r="I345" s="31"/>
      <c r="J345" s="32" t="str">
        <f aca="false">IF(OR(I345="",F345=""),"",I345/(1+F345))</f>
        <v/>
      </c>
      <c r="K345" s="33" t="str">
        <f aca="false">IF(OR(G345="",G345=0,J345="",J345=0),"",G345/J345)</f>
        <v/>
      </c>
      <c r="L345" s="34" t="str">
        <f aca="false">IF(OR(H345="",H345=0,J345="",J345=0),"",H345/J345)</f>
        <v/>
      </c>
      <c r="M345" s="35"/>
    </row>
    <row r="346" customFormat="false" ht="15" hidden="false" customHeight="true" outlineLevel="0" collapsed="false">
      <c r="A346" s="5"/>
      <c r="B346" s="5"/>
      <c r="C346" s="5"/>
      <c r="D346" s="5"/>
      <c r="E346" s="5"/>
      <c r="F346" s="28" t="str">
        <f aca="false">IF(E346="","",IF(E346="DRINKS",0.21,0.11))</f>
        <v/>
      </c>
      <c r="G346" s="29" t="str">
        <f aca="false">IF(B346="","",SUMIF(RETETAR!A:A,B346,RETETAR!F:F))</f>
        <v/>
      </c>
      <c r="H346" s="30" t="str">
        <f aca="false">IF(B346="","",SUMIF(RETETAR!A:A,B346,RETETAR!H:H))</f>
        <v/>
      </c>
      <c r="I346" s="31"/>
      <c r="J346" s="32" t="str">
        <f aca="false">IF(OR(I346="",F346=""),"",I346/(1+F346))</f>
        <v/>
      </c>
      <c r="K346" s="33" t="str">
        <f aca="false">IF(OR(G346="",G346=0,J346="",J346=0),"",G346/J346)</f>
        <v/>
      </c>
      <c r="L346" s="34" t="str">
        <f aca="false">IF(OR(H346="",H346=0,J346="",J346=0),"",H346/J346)</f>
        <v/>
      </c>
      <c r="M346" s="35"/>
    </row>
    <row r="347" customFormat="false" ht="15" hidden="false" customHeight="true" outlineLevel="0" collapsed="false">
      <c r="A347" s="5"/>
      <c r="B347" s="5"/>
      <c r="C347" s="5"/>
      <c r="D347" s="5"/>
      <c r="E347" s="5"/>
      <c r="F347" s="28" t="str">
        <f aca="false">IF(E347="","",IF(E347="DRINKS",0.21,0.11))</f>
        <v/>
      </c>
      <c r="G347" s="29" t="str">
        <f aca="false">IF(B347="","",SUMIF(RETETAR!A:A,B347,RETETAR!F:F))</f>
        <v/>
      </c>
      <c r="H347" s="30" t="str">
        <f aca="false">IF(B347="","",SUMIF(RETETAR!A:A,B347,RETETAR!H:H))</f>
        <v/>
      </c>
      <c r="I347" s="31"/>
      <c r="J347" s="32" t="str">
        <f aca="false">IF(OR(I347="",F347=""),"",I347/(1+F347))</f>
        <v/>
      </c>
      <c r="K347" s="33" t="str">
        <f aca="false">IF(OR(G347="",G347=0,J347="",J347=0),"",G347/J347)</f>
        <v/>
      </c>
      <c r="L347" s="34" t="str">
        <f aca="false">IF(OR(H347="",H347=0,J347="",J347=0),"",H347/J347)</f>
        <v/>
      </c>
      <c r="M347" s="35"/>
    </row>
    <row r="348" customFormat="false" ht="15" hidden="false" customHeight="true" outlineLevel="0" collapsed="false">
      <c r="A348" s="5"/>
      <c r="B348" s="5"/>
      <c r="C348" s="5"/>
      <c r="D348" s="5"/>
      <c r="E348" s="5"/>
      <c r="F348" s="28" t="str">
        <f aca="false">IF(E348="","",IF(E348="DRINKS",0.21,0.11))</f>
        <v/>
      </c>
      <c r="G348" s="29" t="str">
        <f aca="false">IF(B348="","",SUMIF(RETETAR!A:A,B348,RETETAR!F:F))</f>
        <v/>
      </c>
      <c r="H348" s="30" t="str">
        <f aca="false">IF(B348="","",SUMIF(RETETAR!A:A,B348,RETETAR!H:H))</f>
        <v/>
      </c>
      <c r="I348" s="31"/>
      <c r="J348" s="32" t="str">
        <f aca="false">IF(OR(I348="",F348=""),"",I348/(1+F348))</f>
        <v/>
      </c>
      <c r="K348" s="33" t="str">
        <f aca="false">IF(OR(G348="",G348=0,J348="",J348=0),"",G348/J348)</f>
        <v/>
      </c>
      <c r="L348" s="34" t="str">
        <f aca="false">IF(OR(H348="",H348=0,J348="",J348=0),"",H348/J348)</f>
        <v/>
      </c>
      <c r="M348" s="3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9"/>
    <col collapsed="false" customWidth="true" hidden="false" outlineLevel="0" max="9" min="6" style="1" width="10"/>
    <col collapsed="false" customWidth="true" hidden="false" outlineLevel="0" max="15" min="10" style="1" width="11"/>
  </cols>
  <sheetData>
    <row r="1" customFormat="false" ht="17.25" hidden="false" customHeight="true" outlineLevel="0" collapsed="false">
      <c r="A1" s="2" t="s">
        <v>905</v>
      </c>
    </row>
    <row r="2" customFormat="false" ht="15" hidden="false" customHeight="true" outlineLevel="0" collapsed="false">
      <c r="A2" s="3" t="s">
        <v>906</v>
      </c>
    </row>
    <row r="3" customFormat="false" ht="15" hidden="false" customHeight="true" outlineLevel="0" collapsed="false">
      <c r="A3" s="43" t="s">
        <v>907</v>
      </c>
      <c r="C3" s="44" t="n">
        <v>15961732</v>
      </c>
    </row>
    <row r="4" customFormat="false" ht="15" hidden="false" customHeight="true" outlineLevel="0" collapsed="false">
      <c r="A4" s="45" t="s">
        <v>908</v>
      </c>
    </row>
    <row r="5" customFormat="false" ht="21.75" hidden="false" customHeight="true" outlineLevel="0" collapsed="false">
      <c r="E5" s="27" t="s">
        <v>909</v>
      </c>
      <c r="F5" s="27" t="s">
        <v>910</v>
      </c>
      <c r="G5" s="27" t="s">
        <v>911</v>
      </c>
      <c r="H5" s="27" t="s">
        <v>912</v>
      </c>
    </row>
    <row r="6" customFormat="false" ht="15.75" hidden="false" customHeight="true" outlineLevel="0" collapsed="false">
      <c r="E6" s="46" t="s">
        <v>913</v>
      </c>
      <c r="F6" s="47" t="n">
        <f aca="false">$C$3</f>
        <v>15961732</v>
      </c>
      <c r="G6" s="48" t="n">
        <f aca="false">J295/$C$3</f>
        <v>0.449747327977622</v>
      </c>
      <c r="H6" s="49" t="n">
        <f aca="false">IF(OR(G6="",$G$6=""),"",(G6-$G$6)*100)</f>
        <v>0</v>
      </c>
    </row>
    <row r="7" customFormat="false" ht="15.75" hidden="false" customHeight="true" outlineLevel="0" collapsed="false">
      <c r="E7" s="46" t="s">
        <v>914</v>
      </c>
      <c r="F7" s="47" t="n">
        <f aca="false">IF(N(M295)=0,"",M295)</f>
        <v>16350953.4083091</v>
      </c>
      <c r="G7" s="50" t="n">
        <f aca="false">IF(N(M295)=0,"",(K295-K294)/M295)</f>
        <v>0.451300516655193</v>
      </c>
      <c r="H7" s="49" t="n">
        <f aca="false">IF(OR(G7="",$G$6=""),"",(G7-$G$6)*100)</f>
        <v>0.15531886775712</v>
      </c>
    </row>
    <row r="8" customFormat="false" ht="15.75" hidden="false" customHeight="true" outlineLevel="0" collapsed="false">
      <c r="E8" s="46" t="s">
        <v>915</v>
      </c>
      <c r="F8" s="47" t="n">
        <f aca="false">IF(N(N295)=0,"",N295)</f>
        <v>16556461.282183</v>
      </c>
      <c r="G8" s="50" t="n">
        <f aca="false">IF(N(N295)=0,"",(K295-K294)/N295)</f>
        <v>0.445698727234419</v>
      </c>
      <c r="H8" s="49" t="n">
        <f aca="false">IF(OR(G8="",$G$6=""),"",(G8-$G$6)*100)</f>
        <v>-0.404860074320296</v>
      </c>
    </row>
    <row r="9" customFormat="false" ht="15.75" hidden="false" customHeight="true" outlineLevel="0" collapsed="false">
      <c r="E9" s="46" t="s">
        <v>916</v>
      </c>
      <c r="F9" s="47" t="n">
        <f aca="false">IF(N(O295)=0,"",O295)</f>
        <v>16840111.8227236</v>
      </c>
      <c r="G9" s="50" t="n">
        <f aca="false">IF(N(O295)=0,"",(K295-K294)/O295)</f>
        <v>0.438191491758246</v>
      </c>
      <c r="H9" s="49" t="n">
        <f aca="false">IF(OR(G9="",$G$6=""),"",(G9-$G$6)*100)</f>
        <v>-1.15558362193762</v>
      </c>
    </row>
    <row r="10" customFormat="false" ht="15" hidden="false" customHeight="true" outlineLevel="0" collapsed="false">
      <c r="A10" s="27" t="s">
        <v>616</v>
      </c>
      <c r="B10" s="27" t="s">
        <v>619</v>
      </c>
      <c r="C10" s="27" t="s">
        <v>917</v>
      </c>
      <c r="D10" s="27" t="s">
        <v>622</v>
      </c>
      <c r="E10" s="27" t="s">
        <v>918</v>
      </c>
      <c r="F10" s="27" t="s">
        <v>919</v>
      </c>
      <c r="G10" s="27" t="s">
        <v>920</v>
      </c>
      <c r="H10" s="27" t="s">
        <v>921</v>
      </c>
      <c r="I10" s="27" t="s">
        <v>922</v>
      </c>
      <c r="J10" s="27" t="s">
        <v>923</v>
      </c>
      <c r="K10" s="27" t="s">
        <v>924</v>
      </c>
      <c r="L10" s="27" t="s">
        <v>925</v>
      </c>
      <c r="M10" s="27" t="s">
        <v>926</v>
      </c>
      <c r="N10" s="27" t="s">
        <v>927</v>
      </c>
      <c r="O10" s="27" t="s">
        <v>928</v>
      </c>
    </row>
    <row r="11" customFormat="false" ht="15" hidden="false" customHeight="true" outlineLevel="0" collapsed="false">
      <c r="A11" s="5" t="s">
        <v>641</v>
      </c>
      <c r="B11" s="5" t="s">
        <v>642</v>
      </c>
      <c r="C11" s="51" t="n">
        <v>17589</v>
      </c>
      <c r="D11" s="29" t="n">
        <f aca="false">IFERROR(VLOOKUP("HAMBURGER",'FOOD COST'!$A:$Y,7,0),"")</f>
        <v>5.765942</v>
      </c>
      <c r="E11" s="30" t="n">
        <f aca="false">IFERROR(VLOOKUP("HAMBURGER",'FOOD COST'!$A:$Y,8,0),"")</f>
        <v>6.183612</v>
      </c>
      <c r="F11" s="29" t="n">
        <f aca="false">IFERROR(VLOOKUP("HAMBURGER",'FOOD COST'!$A:$Y,10,0),"")</f>
        <v>7.20720720720721</v>
      </c>
      <c r="G11" s="29" t="n">
        <f aca="false">IFERROR(VLOOKUP("HAMBURGER",'FOOD COST'!$A:$Y,18,0),"")</f>
        <v>7.20720720720721</v>
      </c>
      <c r="H11" s="29" t="n">
        <f aca="false">IFERROR(VLOOKUP("HAMBURGER",'FOOD COST'!$A:$Y,21,0),"")</f>
        <v>7.64864864864865</v>
      </c>
      <c r="I11" s="29" t="n">
        <f aca="false">IFERROR(VLOOKUP("HAMBURGER",'FOOD COST'!$A:$Y,24,0),"")</f>
        <v>8.0990990990991</v>
      </c>
      <c r="J11" s="32" t="n">
        <f aca="false">IF(OR(C11="",NOT(ISNUMBER(D11))),"",C11*D11)</f>
        <v>101417.153838</v>
      </c>
      <c r="K11" s="52" t="n">
        <f aca="false">IF(OR(C11="",NOT(ISNUMBER(E11))),"",C11*E11)</f>
        <v>108763.551468</v>
      </c>
      <c r="L11" s="32" t="n">
        <f aca="false">IF(OR(C11="",NOT(ISNUMBER(F11))),"",C11*F11)</f>
        <v>126767.567567568</v>
      </c>
      <c r="M11" s="32" t="n">
        <f aca="false">IF(OR(C11="",NOT(ISNUMBER(G11))),"",C11*G11)</f>
        <v>126767.567567568</v>
      </c>
      <c r="N11" s="32" t="n">
        <f aca="false">IF(OR(C11="",NOT(ISNUMBER(H11))),"",C11*H11)</f>
        <v>134532.081081081</v>
      </c>
      <c r="O11" s="32" t="n">
        <f aca="false">IF(OR(C11="",NOT(ISNUMBER(I11))),"",C11*I11)</f>
        <v>142455.054054054</v>
      </c>
    </row>
    <row r="12" customFormat="false" ht="15" hidden="false" customHeight="true" outlineLevel="0" collapsed="false">
      <c r="A12" s="5" t="s">
        <v>644</v>
      </c>
      <c r="B12" s="5" t="s">
        <v>645</v>
      </c>
      <c r="C12" s="51" t="n">
        <v>4393</v>
      </c>
      <c r="D12" s="29" t="n">
        <f aca="false">IFERROR(VLOOKUP("HAMBURGER D",'FOOD COST'!$A:$Y,7,0),"")</f>
        <v>5.765942</v>
      </c>
      <c r="E12" s="30" t="n">
        <f aca="false">IFERROR(VLOOKUP("HAMBURGER D",'FOOD COST'!$A:$Y,8,0),"")</f>
        <v>6.183612</v>
      </c>
      <c r="F12" s="29" t="n">
        <f aca="false">IFERROR(VLOOKUP("HAMBURGER D",'FOOD COST'!$A:$Y,10,0),"")</f>
        <v>9.00900900900901</v>
      </c>
      <c r="G12" s="29" t="n">
        <f aca="false">IFERROR(VLOOKUP("HAMBURGER D",'FOOD COST'!$A:$Y,18,0),"")</f>
        <v>9.00900900900901</v>
      </c>
      <c r="H12" s="29" t="n">
        <f aca="false">IFERROR(VLOOKUP("HAMBURGER D",'FOOD COST'!$A:$Y,21,0),"")</f>
        <v>9.45045045045045</v>
      </c>
      <c r="I12" s="29" t="n">
        <f aca="false">IFERROR(VLOOKUP("HAMBURGER D",'FOOD COST'!$A:$Y,24,0),"")</f>
        <v>9.9009009009009</v>
      </c>
      <c r="J12" s="32" t="n">
        <f aca="false">IF(OR(C12="",NOT(ISNUMBER(D12))),"",C12*D12)</f>
        <v>25329.783206</v>
      </c>
      <c r="K12" s="52" t="n">
        <f aca="false">IF(OR(C12="",NOT(ISNUMBER(E12))),"",C12*E12)</f>
        <v>27164.607516</v>
      </c>
      <c r="L12" s="32" t="n">
        <f aca="false">IF(OR(C12="",NOT(ISNUMBER(F12))),"",C12*F12)</f>
        <v>39576.5765765766</v>
      </c>
      <c r="M12" s="32" t="n">
        <f aca="false">IF(OR(C12="",NOT(ISNUMBER(G12))),"",C12*G12)</f>
        <v>39576.5765765766</v>
      </c>
      <c r="N12" s="32" t="n">
        <f aca="false">IF(OR(C12="",NOT(ISNUMBER(H12))),"",C12*H12)</f>
        <v>41515.8288288288</v>
      </c>
      <c r="O12" s="32" t="n">
        <f aca="false">IF(OR(C12="",NOT(ISNUMBER(I12))),"",C12*I12)</f>
        <v>43494.6576576577</v>
      </c>
    </row>
    <row r="13" customFormat="false" ht="15" hidden="false" customHeight="true" outlineLevel="0" collapsed="false">
      <c r="A13" s="5" t="s">
        <v>646</v>
      </c>
      <c r="B13" s="5" t="s">
        <v>642</v>
      </c>
      <c r="C13" s="51" t="n">
        <v>2251</v>
      </c>
      <c r="D13" s="29" t="n">
        <f aca="false">IFERROR(VLOOKUP("DUBLU HAMBURGER",'FOOD COST'!$A:$Y,7,0),"")</f>
        <v>8.799884</v>
      </c>
      <c r="E13" s="30" t="n">
        <f aca="false">IFERROR(VLOOKUP("DUBLU HAMBURGER",'FOOD COST'!$A:$Y,8,0),"")</f>
        <v>9.635224</v>
      </c>
      <c r="F13" s="29" t="n">
        <f aca="false">IFERROR(VLOOKUP("DUBLU HAMBURGER",'FOOD COST'!$A:$Y,10,0),"")</f>
        <v>12.6126126126126</v>
      </c>
      <c r="G13" s="29" t="n">
        <f aca="false">IFERROR(VLOOKUP("DUBLU HAMBURGER",'FOOD COST'!$A:$Y,18,0),"")</f>
        <v>13.5045045045045</v>
      </c>
      <c r="H13" s="29" t="n">
        <f aca="false">IFERROR(VLOOKUP("DUBLU HAMBURGER",'FOOD COST'!$A:$Y,21,0),"")</f>
        <v>13.5045045045045</v>
      </c>
      <c r="I13" s="29" t="n">
        <f aca="false">IFERROR(VLOOKUP("DUBLU HAMBURGER",'FOOD COST'!$A:$Y,24,0),"")</f>
        <v>13.954954954955</v>
      </c>
      <c r="J13" s="32" t="n">
        <f aca="false">IF(OR(C13="",NOT(ISNUMBER(D13))),"",C13*D13)</f>
        <v>19808.538884</v>
      </c>
      <c r="K13" s="52" t="n">
        <f aca="false">IF(OR(C13="",NOT(ISNUMBER(E13))),"",C13*E13)</f>
        <v>21688.889224</v>
      </c>
      <c r="L13" s="32" t="n">
        <f aca="false">IF(OR(C13="",NOT(ISNUMBER(F13))),"",C13*F13)</f>
        <v>28390.990990991</v>
      </c>
      <c r="M13" s="32" t="n">
        <f aca="false">IF(OR(C13="",NOT(ISNUMBER(G13))),"",C13*G13)</f>
        <v>30398.6396396396</v>
      </c>
      <c r="N13" s="32" t="n">
        <f aca="false">IF(OR(C13="",NOT(ISNUMBER(H13))),"",C13*H13)</f>
        <v>30398.6396396396</v>
      </c>
      <c r="O13" s="32" t="n">
        <f aca="false">IF(OR(C13="",NOT(ISNUMBER(I13))),"",C13*I13)</f>
        <v>31412.6036036036</v>
      </c>
    </row>
    <row r="14" customFormat="false" ht="15" hidden="false" customHeight="true" outlineLevel="0" collapsed="false">
      <c r="A14" s="5" t="s">
        <v>647</v>
      </c>
      <c r="B14" s="5" t="s">
        <v>645</v>
      </c>
      <c r="C14" s="51" t="n">
        <v>1656</v>
      </c>
      <c r="D14" s="29" t="n">
        <f aca="false">IFERROR(VLOOKUP("DUBLU HAMBURGER D",'FOOD COST'!$A:$Y,7,0),"")</f>
        <v>8.799884</v>
      </c>
      <c r="E14" s="30" t="n">
        <f aca="false">IFERROR(VLOOKUP("DUBLU HAMBURGER D",'FOOD COST'!$A:$Y,8,0),"")</f>
        <v>9.635224</v>
      </c>
      <c r="F14" s="29" t="n">
        <f aca="false">IFERROR(VLOOKUP("DUBLU HAMBURGER D",'FOOD COST'!$A:$Y,10,0),"")</f>
        <v>14.4144144144144</v>
      </c>
      <c r="G14" s="29" t="n">
        <f aca="false">IFERROR(VLOOKUP("DUBLU HAMBURGER D",'FOOD COST'!$A:$Y,18,0),"")</f>
        <v>15.3063063063063</v>
      </c>
      <c r="H14" s="29" t="n">
        <f aca="false">IFERROR(VLOOKUP("DUBLU HAMBURGER D",'FOOD COST'!$A:$Y,21,0),"")</f>
        <v>15.3063063063063</v>
      </c>
      <c r="I14" s="29" t="n">
        <f aca="false">IFERROR(VLOOKUP("DUBLU HAMBURGER D",'FOOD COST'!$A:$Y,24,0),"")</f>
        <v>15.7567567567568</v>
      </c>
      <c r="J14" s="32" t="n">
        <f aca="false">IF(OR(C14="",NOT(ISNUMBER(D14))),"",C14*D14)</f>
        <v>14572.607904</v>
      </c>
      <c r="K14" s="52" t="n">
        <f aca="false">IF(OR(C14="",NOT(ISNUMBER(E14))),"",C14*E14)</f>
        <v>15955.930944</v>
      </c>
      <c r="L14" s="32" t="n">
        <f aca="false">IF(OR(C14="",NOT(ISNUMBER(F14))),"",C14*F14)</f>
        <v>23870.2702702703</v>
      </c>
      <c r="M14" s="32" t="n">
        <f aca="false">IF(OR(C14="",NOT(ISNUMBER(G14))),"",C14*G14)</f>
        <v>25347.2432432432</v>
      </c>
      <c r="N14" s="32" t="n">
        <f aca="false">IF(OR(C14="",NOT(ISNUMBER(H14))),"",C14*H14)</f>
        <v>25347.2432432432</v>
      </c>
      <c r="O14" s="32" t="n">
        <f aca="false">IF(OR(C14="",NOT(ISNUMBER(I14))),"",C14*I14)</f>
        <v>26093.1891891892</v>
      </c>
    </row>
    <row r="15" customFormat="false" ht="15" hidden="false" customHeight="true" outlineLevel="0" collapsed="false">
      <c r="A15" s="5" t="s">
        <v>648</v>
      </c>
      <c r="B15" s="5" t="s">
        <v>642</v>
      </c>
      <c r="C15" s="51" t="n">
        <v>24912</v>
      </c>
      <c r="D15" s="29" t="n">
        <f aca="false">IFERROR(VLOOKUP("CHEESEBURGER",'FOOD COST'!$A:$Y,7,0),"")</f>
        <v>6.381612</v>
      </c>
      <c r="E15" s="30" t="n">
        <f aca="false">IFERROR(VLOOKUP("CHEESEBURGER",'FOOD COST'!$A:$Y,8,0),"")</f>
        <v>6.799282</v>
      </c>
      <c r="F15" s="29" t="n">
        <f aca="false">IFERROR(VLOOKUP("CHEESEBURGER",'FOOD COST'!$A:$Y,10,0),"")</f>
        <v>9.90990990990991</v>
      </c>
      <c r="G15" s="29" t="n">
        <f aca="false">IFERROR(VLOOKUP("CHEESEBURGER",'FOOD COST'!$A:$Y,18,0),"")</f>
        <v>10.3513513513514</v>
      </c>
      <c r="H15" s="29" t="n">
        <f aca="false">IFERROR(VLOOKUP("CHEESEBURGER",'FOOD COST'!$A:$Y,21,0),"")</f>
        <v>10.3513513513514</v>
      </c>
      <c r="I15" s="29" t="n">
        <f aca="false">IFERROR(VLOOKUP("CHEESEBURGER",'FOOD COST'!$A:$Y,24,0),"")</f>
        <v>10.8018018018018</v>
      </c>
      <c r="J15" s="32" t="n">
        <f aca="false">IF(OR(C15="",NOT(ISNUMBER(D15))),"",C15*D15)</f>
        <v>158978.718144</v>
      </c>
      <c r="K15" s="52" t="n">
        <f aca="false">IF(OR(C15="",NOT(ISNUMBER(E15))),"",C15*E15)</f>
        <v>169383.713184</v>
      </c>
      <c r="L15" s="32" t="n">
        <f aca="false">IF(OR(C15="",NOT(ISNUMBER(F15))),"",C15*F15)</f>
        <v>246875.675675676</v>
      </c>
      <c r="M15" s="32" t="n">
        <f aca="false">IF(OR(C15="",NOT(ISNUMBER(G15))),"",C15*G15)</f>
        <v>257872.864864865</v>
      </c>
      <c r="N15" s="32" t="n">
        <f aca="false">IF(OR(C15="",NOT(ISNUMBER(H15))),"",C15*H15)</f>
        <v>257872.864864865</v>
      </c>
      <c r="O15" s="32" t="n">
        <f aca="false">IF(OR(C15="",NOT(ISNUMBER(I15))),"",C15*I15)</f>
        <v>269094.486486486</v>
      </c>
    </row>
    <row r="16" customFormat="false" ht="15" hidden="false" customHeight="true" outlineLevel="0" collapsed="false">
      <c r="A16" s="5" t="s">
        <v>649</v>
      </c>
      <c r="B16" s="5" t="s">
        <v>645</v>
      </c>
      <c r="C16" s="51" t="n">
        <v>7262</v>
      </c>
      <c r="D16" s="29" t="n">
        <f aca="false">IFERROR(VLOOKUP("CHEESEBURGER D",'FOOD COST'!$A:$Y,7,0),"")</f>
        <v>6.381612</v>
      </c>
      <c r="E16" s="30" t="n">
        <f aca="false">IFERROR(VLOOKUP("CHEESEBURGER D",'FOOD COST'!$A:$Y,8,0),"")</f>
        <v>6.799282</v>
      </c>
      <c r="F16" s="29" t="n">
        <f aca="false">IFERROR(VLOOKUP("CHEESEBURGER D",'FOOD COST'!$A:$Y,10,0),"")</f>
        <v>11.7117117117117</v>
      </c>
      <c r="G16" s="29" t="n">
        <f aca="false">IFERROR(VLOOKUP("CHEESEBURGER D",'FOOD COST'!$A:$Y,18,0),"")</f>
        <v>12.1531531531532</v>
      </c>
      <c r="H16" s="29" t="n">
        <f aca="false">IFERROR(VLOOKUP("CHEESEBURGER D",'FOOD COST'!$A:$Y,21,0),"")</f>
        <v>12.1531531531532</v>
      </c>
      <c r="I16" s="29" t="n">
        <f aca="false">IFERROR(VLOOKUP("CHEESEBURGER D",'FOOD COST'!$A:$Y,24,0),"")</f>
        <v>12.6036036036036</v>
      </c>
      <c r="J16" s="32" t="n">
        <f aca="false">IF(OR(C16="",NOT(ISNUMBER(D16))),"",C16*D16)</f>
        <v>46343.266344</v>
      </c>
      <c r="K16" s="52" t="n">
        <f aca="false">IF(OR(C16="",NOT(ISNUMBER(E16))),"",C16*E16)</f>
        <v>49376.385884</v>
      </c>
      <c r="L16" s="32" t="n">
        <f aca="false">IF(OR(C16="",NOT(ISNUMBER(F16))),"",C16*F16)</f>
        <v>85050.4504504504</v>
      </c>
      <c r="M16" s="32" t="n">
        <f aca="false">IF(OR(C16="",NOT(ISNUMBER(G16))),"",C16*G16)</f>
        <v>88256.1981981982</v>
      </c>
      <c r="N16" s="32" t="n">
        <f aca="false">IF(OR(C16="",NOT(ISNUMBER(H16))),"",C16*H16)</f>
        <v>88256.1981981982</v>
      </c>
      <c r="O16" s="32" t="n">
        <f aca="false">IF(OR(C16="",NOT(ISNUMBER(I16))),"",C16*I16)</f>
        <v>91527.3693693694</v>
      </c>
    </row>
    <row r="17" customFormat="false" ht="15" hidden="false" customHeight="true" outlineLevel="0" collapsed="false">
      <c r="A17" s="5" t="s">
        <v>650</v>
      </c>
      <c r="B17" s="5" t="s">
        <v>642</v>
      </c>
      <c r="C17" s="51" t="n">
        <v>15886</v>
      </c>
      <c r="D17" s="29" t="n">
        <f aca="false">IFERROR(VLOOKUP("DUBLU CHEESEBURGER",'FOOD COST'!$A:$Y,7,0),"")</f>
        <v>10.031224</v>
      </c>
      <c r="E17" s="30" t="n">
        <f aca="false">IFERROR(VLOOKUP("DUBLU CHEESEBURGER",'FOOD COST'!$A:$Y,8,0),"")</f>
        <v>10.866564</v>
      </c>
      <c r="F17" s="29" t="n">
        <f aca="false">IFERROR(VLOOKUP("DUBLU CHEESEBURGER",'FOOD COST'!$A:$Y,10,0),"")</f>
        <v>15.3153153153153</v>
      </c>
      <c r="G17" s="29" t="n">
        <f aca="false">IFERROR(VLOOKUP("DUBLU CHEESEBURGER",'FOOD COST'!$A:$Y,18,0),"")</f>
        <v>16.2072072072072</v>
      </c>
      <c r="H17" s="29" t="n">
        <f aca="false">IFERROR(VLOOKUP("DUBLU CHEESEBURGER",'FOOD COST'!$A:$Y,21,0),"")</f>
        <v>16.2072072072072</v>
      </c>
      <c r="I17" s="29" t="n">
        <f aca="false">IFERROR(VLOOKUP("DUBLU CHEESEBURGER",'FOOD COST'!$A:$Y,24,0),"")</f>
        <v>16.6576576576577</v>
      </c>
      <c r="J17" s="32" t="n">
        <f aca="false">IF(OR(C17="",NOT(ISNUMBER(D17))),"",C17*D17)</f>
        <v>159356.024464</v>
      </c>
      <c r="K17" s="52" t="n">
        <f aca="false">IF(OR(C17="",NOT(ISNUMBER(E17))),"",C17*E17)</f>
        <v>172626.235704</v>
      </c>
      <c r="L17" s="32" t="n">
        <f aca="false">IF(OR(C17="",NOT(ISNUMBER(F17))),"",C17*F17)</f>
        <v>243299.099099099</v>
      </c>
      <c r="M17" s="32" t="n">
        <f aca="false">IF(OR(C17="",NOT(ISNUMBER(G17))),"",C17*G17)</f>
        <v>257467.693693694</v>
      </c>
      <c r="N17" s="32" t="n">
        <f aca="false">IF(OR(C17="",NOT(ISNUMBER(H17))),"",C17*H17)</f>
        <v>257467.693693694</v>
      </c>
      <c r="O17" s="32" t="n">
        <f aca="false">IF(OR(C17="",NOT(ISNUMBER(I17))),"",C17*I17)</f>
        <v>264623.54954955</v>
      </c>
    </row>
    <row r="18" customFormat="false" ht="15" hidden="false" customHeight="true" outlineLevel="0" collapsed="false">
      <c r="A18" s="5" t="s">
        <v>651</v>
      </c>
      <c r="B18" s="5" t="s">
        <v>645</v>
      </c>
      <c r="C18" s="51" t="n">
        <v>20436</v>
      </c>
      <c r="D18" s="29" t="n">
        <f aca="false">IFERROR(VLOOKUP("DUBLU CHEESEBURGER D",'FOOD COST'!$A:$Y,7,0),"")</f>
        <v>10.031224</v>
      </c>
      <c r="E18" s="30" t="n">
        <f aca="false">IFERROR(VLOOKUP("DUBLU CHEESEBURGER D",'FOOD COST'!$A:$Y,8,0),"")</f>
        <v>10.866564</v>
      </c>
      <c r="F18" s="29" t="n">
        <f aca="false">IFERROR(VLOOKUP("DUBLU CHEESEBURGER D",'FOOD COST'!$A:$Y,10,0),"")</f>
        <v>17.1171171171171</v>
      </c>
      <c r="G18" s="29" t="n">
        <f aca="false">IFERROR(VLOOKUP("DUBLU CHEESEBURGER D",'FOOD COST'!$A:$Y,18,0),"")</f>
        <v>18.009009009009</v>
      </c>
      <c r="H18" s="29" t="n">
        <f aca="false">IFERROR(VLOOKUP("DUBLU CHEESEBURGER D",'FOOD COST'!$A:$Y,21,0),"")</f>
        <v>18.009009009009</v>
      </c>
      <c r="I18" s="29" t="n">
        <f aca="false">IFERROR(VLOOKUP("DUBLU CHEESEBURGER D",'FOOD COST'!$A:$Y,24,0),"")</f>
        <v>18.4594594594595</v>
      </c>
      <c r="J18" s="32" t="n">
        <f aca="false">IF(OR(C18="",NOT(ISNUMBER(D18))),"",C18*D18)</f>
        <v>204998.093664</v>
      </c>
      <c r="K18" s="52" t="n">
        <f aca="false">IF(OR(C18="",NOT(ISNUMBER(E18))),"",C18*E18)</f>
        <v>222069.101904</v>
      </c>
      <c r="L18" s="32" t="n">
        <f aca="false">IF(OR(C18="",NOT(ISNUMBER(F18))),"",C18*F18)</f>
        <v>349805.405405405</v>
      </c>
      <c r="M18" s="32" t="n">
        <f aca="false">IF(OR(C18="",NOT(ISNUMBER(G18))),"",C18*G18)</f>
        <v>368032.108108108</v>
      </c>
      <c r="N18" s="32" t="n">
        <f aca="false">IF(OR(C18="",NOT(ISNUMBER(H18))),"",C18*H18)</f>
        <v>368032.108108108</v>
      </c>
      <c r="O18" s="32" t="n">
        <f aca="false">IF(OR(C18="",NOT(ISNUMBER(I18))),"",C18*I18)</f>
        <v>377237.513513513</v>
      </c>
    </row>
    <row r="19" customFormat="false" ht="15" hidden="false" customHeight="true" outlineLevel="0" collapsed="false">
      <c r="A19" s="5" t="s">
        <v>652</v>
      </c>
      <c r="B19" s="5" t="s">
        <v>642</v>
      </c>
      <c r="C19" s="51" t="n">
        <v>35649</v>
      </c>
      <c r="D19" s="29" t="n">
        <f aca="false">IFERROR(VLOOKUP("AMERICAN CHEESEBURGER",'FOOD COST'!$A:$Y,7,0),"")</f>
        <v>6.059</v>
      </c>
      <c r="E19" s="30" t="n">
        <f aca="false">IFERROR(VLOOKUP("AMERICAN CHEESEBURGER",'FOOD COST'!$A:$Y,8,0),"")</f>
        <v>6.47667</v>
      </c>
      <c r="F19" s="29" t="n">
        <f aca="false">IFERROR(VLOOKUP("AMERICAN CHEESEBURGER",'FOOD COST'!$A:$Y,10,0),"")</f>
        <v>9.00900900900901</v>
      </c>
      <c r="G19" s="29" t="n">
        <f aca="false">IFERROR(VLOOKUP("AMERICAN CHEESEBURGER",'FOOD COST'!$A:$Y,18,0),"")</f>
        <v>9.00900900900901</v>
      </c>
      <c r="H19" s="29" t="n">
        <f aca="false">IFERROR(VLOOKUP("AMERICAN CHEESEBURGER",'FOOD COST'!$A:$Y,21,0),"")</f>
        <v>9.45045045045045</v>
      </c>
      <c r="I19" s="29" t="n">
        <f aca="false">IFERROR(VLOOKUP("AMERICAN CHEESEBURGER",'FOOD COST'!$A:$Y,24,0),"")</f>
        <v>9.9009009009009</v>
      </c>
      <c r="J19" s="32" t="n">
        <f aca="false">IF(OR(C19="",NOT(ISNUMBER(D19))),"",C19*D19)</f>
        <v>215997.291</v>
      </c>
      <c r="K19" s="52" t="n">
        <f aca="false">IF(OR(C19="",NOT(ISNUMBER(E19))),"",C19*E19)</f>
        <v>230886.80883</v>
      </c>
      <c r="L19" s="32" t="n">
        <f aca="false">IF(OR(C19="",NOT(ISNUMBER(F19))),"",C19*F19)</f>
        <v>321162.162162162</v>
      </c>
      <c r="M19" s="32" t="n">
        <f aca="false">IF(OR(C19="",NOT(ISNUMBER(G19))),"",C19*G19)</f>
        <v>321162.162162162</v>
      </c>
      <c r="N19" s="32" t="n">
        <f aca="false">IF(OR(C19="",NOT(ISNUMBER(H19))),"",C19*H19)</f>
        <v>336899.108108108</v>
      </c>
      <c r="O19" s="32" t="n">
        <f aca="false">IF(OR(C19="",NOT(ISNUMBER(I19))),"",C19*I19)</f>
        <v>352957.216216216</v>
      </c>
    </row>
    <row r="20" customFormat="false" ht="15" hidden="false" customHeight="true" outlineLevel="0" collapsed="false">
      <c r="A20" s="5" t="s">
        <v>653</v>
      </c>
      <c r="B20" s="5" t="s">
        <v>645</v>
      </c>
      <c r="C20" s="51" t="n">
        <v>5493</v>
      </c>
      <c r="D20" s="29" t="n">
        <f aca="false">IFERROR(VLOOKUP("AMERICAN CHEESEBURGER D",'FOOD COST'!$A:$Y,7,0),"")</f>
        <v>6.059</v>
      </c>
      <c r="E20" s="30" t="n">
        <f aca="false">IFERROR(VLOOKUP("AMERICAN CHEESEBURGER D",'FOOD COST'!$A:$Y,8,0),"")</f>
        <v>6.47667</v>
      </c>
      <c r="F20" s="29" t="n">
        <f aca="false">IFERROR(VLOOKUP("AMERICAN CHEESEBURGER D",'FOOD COST'!$A:$Y,10,0),"")</f>
        <v>11.7117117117117</v>
      </c>
      <c r="G20" s="29" t="n">
        <f aca="false">IFERROR(VLOOKUP("AMERICAN CHEESEBURGER D",'FOOD COST'!$A:$Y,18,0),"")</f>
        <v>11.7117117117117</v>
      </c>
      <c r="H20" s="29" t="n">
        <f aca="false">IFERROR(VLOOKUP("AMERICAN CHEESEBURGER D",'FOOD COST'!$A:$Y,21,0),"")</f>
        <v>12.1531531531532</v>
      </c>
      <c r="I20" s="29" t="n">
        <f aca="false">IFERROR(VLOOKUP("AMERICAN CHEESEBURGER D",'FOOD COST'!$A:$Y,24,0),"")</f>
        <v>12.6036036036036</v>
      </c>
      <c r="J20" s="32" t="n">
        <f aca="false">IF(OR(C20="",NOT(ISNUMBER(D20))),"",C20*D20)</f>
        <v>33282.087</v>
      </c>
      <c r="K20" s="52" t="n">
        <f aca="false">IF(OR(C20="",NOT(ISNUMBER(E20))),"",C20*E20)</f>
        <v>35576.34831</v>
      </c>
      <c r="L20" s="32" t="n">
        <f aca="false">IF(OR(C20="",NOT(ISNUMBER(F20))),"",C20*F20)</f>
        <v>64332.4324324324</v>
      </c>
      <c r="M20" s="32" t="n">
        <f aca="false">IF(OR(C20="",NOT(ISNUMBER(G20))),"",C20*G20)</f>
        <v>64332.4324324324</v>
      </c>
      <c r="N20" s="32" t="n">
        <f aca="false">IF(OR(C20="",NOT(ISNUMBER(H20))),"",C20*H20)</f>
        <v>66757.2702702703</v>
      </c>
      <c r="O20" s="32" t="n">
        <f aca="false">IF(OR(C20="",NOT(ISNUMBER(I20))),"",C20*I20)</f>
        <v>69231.5945945946</v>
      </c>
    </row>
    <row r="21" customFormat="false" ht="15" hidden="false" customHeight="true" outlineLevel="0" collapsed="false">
      <c r="A21" s="5" t="s">
        <v>654</v>
      </c>
      <c r="B21" s="5" t="s">
        <v>642</v>
      </c>
      <c r="C21" s="51" t="n">
        <v>21099</v>
      </c>
      <c r="D21" s="29" t="n">
        <f aca="false">IFERROR(VLOOKUP("AMERICAN DUBLU CHEESEBURGER",'FOOD COST'!$A:$Y,7,0),"")</f>
        <v>9.607</v>
      </c>
      <c r="E21" s="30" t="n">
        <f aca="false">IFERROR(VLOOKUP("AMERICAN DUBLU CHEESEBURGER",'FOOD COST'!$A:$Y,8,0),"")</f>
        <v>10.44234</v>
      </c>
      <c r="F21" s="29" t="n">
        <f aca="false">IFERROR(VLOOKUP("AMERICAN DUBLU CHEESEBURGER",'FOOD COST'!$A:$Y,10,0),"")</f>
        <v>14.4144144144144</v>
      </c>
      <c r="G21" s="29" t="n">
        <f aca="false">IFERROR(VLOOKUP("AMERICAN DUBLU CHEESEBURGER",'FOOD COST'!$A:$Y,18,0),"")</f>
        <v>14.4144144144144</v>
      </c>
      <c r="H21" s="29" t="n">
        <f aca="false">IFERROR(VLOOKUP("AMERICAN DUBLU CHEESEBURGER",'FOOD COST'!$A:$Y,21,0),"")</f>
        <v>15.3063063063063</v>
      </c>
      <c r="I21" s="29" t="n">
        <f aca="false">IFERROR(VLOOKUP("AMERICAN DUBLU CHEESEBURGER",'FOOD COST'!$A:$Y,24,0),"")</f>
        <v>15.7567567567568</v>
      </c>
      <c r="J21" s="32" t="n">
        <f aca="false">IF(OR(C21="",NOT(ISNUMBER(D21))),"",C21*D21)</f>
        <v>202698.093</v>
      </c>
      <c r="K21" s="52" t="n">
        <f aca="false">IF(OR(C21="",NOT(ISNUMBER(E21))),"",C21*E21)</f>
        <v>220322.93166</v>
      </c>
      <c r="L21" s="32" t="n">
        <f aca="false">IF(OR(C21="",NOT(ISNUMBER(F21))),"",C21*F21)</f>
        <v>304129.72972973</v>
      </c>
      <c r="M21" s="32" t="n">
        <f aca="false">IF(OR(C21="",NOT(ISNUMBER(G21))),"",C21*G21)</f>
        <v>304129.72972973</v>
      </c>
      <c r="N21" s="32" t="n">
        <f aca="false">IF(OR(C21="",NOT(ISNUMBER(H21))),"",C21*H21)</f>
        <v>322947.756756757</v>
      </c>
      <c r="O21" s="32" t="n">
        <f aca="false">IF(OR(C21="",NOT(ISNUMBER(I21))),"",C21*I21)</f>
        <v>332451.810810811</v>
      </c>
    </row>
    <row r="22" customFormat="false" ht="15" hidden="false" customHeight="true" outlineLevel="0" collapsed="false">
      <c r="A22" s="5" t="s">
        <v>655</v>
      </c>
      <c r="B22" s="5" t="s">
        <v>645</v>
      </c>
      <c r="C22" s="51" t="n">
        <v>5572</v>
      </c>
      <c r="D22" s="29" t="n">
        <f aca="false">IFERROR(VLOOKUP("AMERICAN DUBLU CHEESEBURGER D",'FOOD COST'!$A:$Y,7,0),"")</f>
        <v>9.607</v>
      </c>
      <c r="E22" s="30" t="n">
        <f aca="false">IFERROR(VLOOKUP("AMERICAN DUBLU CHEESEBURGER D",'FOOD COST'!$A:$Y,8,0),"")</f>
        <v>10.44234</v>
      </c>
      <c r="F22" s="29" t="n">
        <f aca="false">IFERROR(VLOOKUP("AMERICAN DUBLU CHEESEBURGER D",'FOOD COST'!$A:$Y,10,0),"")</f>
        <v>17.1171171171171</v>
      </c>
      <c r="G22" s="29" t="n">
        <f aca="false">IFERROR(VLOOKUP("AMERICAN DUBLU CHEESEBURGER D",'FOOD COST'!$A:$Y,18,0),"")</f>
        <v>17.1171171171171</v>
      </c>
      <c r="H22" s="29" t="n">
        <f aca="false">IFERROR(VLOOKUP("AMERICAN DUBLU CHEESEBURGER D",'FOOD COST'!$A:$Y,21,0),"")</f>
        <v>18.009009009009</v>
      </c>
      <c r="I22" s="29" t="n">
        <f aca="false">IFERROR(VLOOKUP("AMERICAN DUBLU CHEESEBURGER D",'FOOD COST'!$A:$Y,24,0),"")</f>
        <v>18.4594594594595</v>
      </c>
      <c r="J22" s="32" t="n">
        <f aca="false">IF(OR(C22="",NOT(ISNUMBER(D22))),"",C22*D22)</f>
        <v>53530.204</v>
      </c>
      <c r="K22" s="52" t="n">
        <f aca="false">IF(OR(C22="",NOT(ISNUMBER(E22))),"",C22*E22)</f>
        <v>58184.71848</v>
      </c>
      <c r="L22" s="32" t="n">
        <f aca="false">IF(OR(C22="",NOT(ISNUMBER(F22))),"",C22*F22)</f>
        <v>95376.5765765766</v>
      </c>
      <c r="M22" s="32" t="n">
        <f aca="false">IF(OR(C22="",NOT(ISNUMBER(G22))),"",C22*G22)</f>
        <v>95376.5765765766</v>
      </c>
      <c r="N22" s="32" t="n">
        <f aca="false">IF(OR(C22="",NOT(ISNUMBER(H22))),"",C22*H22)</f>
        <v>100346.198198198</v>
      </c>
      <c r="O22" s="32" t="n">
        <f aca="false">IF(OR(C22="",NOT(ISNUMBER(I22))),"",C22*I22)</f>
        <v>102856.108108108</v>
      </c>
    </row>
    <row r="23" customFormat="false" ht="15" hidden="false" customHeight="true" outlineLevel="0" collapsed="false">
      <c r="A23" s="5" t="s">
        <v>656</v>
      </c>
      <c r="B23" s="5" t="s">
        <v>642</v>
      </c>
      <c r="C23" s="51" t="n">
        <v>10334</v>
      </c>
      <c r="D23" s="29" t="n">
        <f aca="false">IFERROR(VLOOKUP("AMERICAN TRIPLU CHEESEBURGER",'FOOD COST'!$A:$Y,7,0),"")</f>
        <v>13.155</v>
      </c>
      <c r="E23" s="30" t="n">
        <f aca="false">IFERROR(VLOOKUP("AMERICAN TRIPLU CHEESEBURGER",'FOOD COST'!$A:$Y,8,0),"")</f>
        <v>14.40801</v>
      </c>
      <c r="F23" s="29" t="n">
        <f aca="false">IFERROR(VLOOKUP("AMERICAN TRIPLU CHEESEBURGER",'FOOD COST'!$A:$Y,10,0),"")</f>
        <v>19.8198198198198</v>
      </c>
      <c r="G23" s="29" t="n">
        <f aca="false">IFERROR(VLOOKUP("AMERICAN TRIPLU CHEESEBURGER",'FOOD COST'!$A:$Y,18,0),"")</f>
        <v>19.8198198198198</v>
      </c>
      <c r="H23" s="29" t="n">
        <f aca="false">IFERROR(VLOOKUP("AMERICAN TRIPLU CHEESEBURGER",'FOOD COST'!$A:$Y,21,0),"")</f>
        <v>21.1621621621622</v>
      </c>
      <c r="I23" s="29" t="n">
        <f aca="false">IFERROR(VLOOKUP("AMERICAN TRIPLU CHEESEBURGER",'FOOD COST'!$A:$Y,24,0),"")</f>
        <v>21.6126126126126</v>
      </c>
      <c r="J23" s="32" t="n">
        <f aca="false">IF(OR(C23="",NOT(ISNUMBER(D23))),"",C23*D23)</f>
        <v>135943.77</v>
      </c>
      <c r="K23" s="52" t="n">
        <f aca="false">IF(OR(C23="",NOT(ISNUMBER(E23))),"",C23*E23)</f>
        <v>148892.37534</v>
      </c>
      <c r="L23" s="32" t="n">
        <f aca="false">IF(OR(C23="",NOT(ISNUMBER(F23))),"",C23*F23)</f>
        <v>204818.018018018</v>
      </c>
      <c r="M23" s="32" t="n">
        <f aca="false">IF(OR(C23="",NOT(ISNUMBER(G23))),"",C23*G23)</f>
        <v>204818.018018018</v>
      </c>
      <c r="N23" s="32" t="n">
        <f aca="false">IF(OR(C23="",NOT(ISNUMBER(H23))),"",C23*H23)</f>
        <v>218689.783783784</v>
      </c>
      <c r="O23" s="32" t="n">
        <f aca="false">IF(OR(C23="",NOT(ISNUMBER(I23))),"",C23*I23)</f>
        <v>223344.738738739</v>
      </c>
    </row>
    <row r="24" customFormat="false" ht="15" hidden="false" customHeight="true" outlineLevel="0" collapsed="false">
      <c r="A24" s="5" t="s">
        <v>657</v>
      </c>
      <c r="B24" s="5" t="s">
        <v>645</v>
      </c>
      <c r="C24" s="51" t="n">
        <v>6706</v>
      </c>
      <c r="D24" s="29" t="n">
        <f aca="false">IFERROR(VLOOKUP("AMERICAN TRIPLU CHEESEBURGER D",'FOOD COST'!$A:$Y,7,0),"")</f>
        <v>13.155</v>
      </c>
      <c r="E24" s="30" t="n">
        <f aca="false">IFERROR(VLOOKUP("AMERICAN TRIPLU CHEESEBURGER D",'FOOD COST'!$A:$Y,8,0),"")</f>
        <v>14.40801</v>
      </c>
      <c r="F24" s="29" t="n">
        <f aca="false">IFERROR(VLOOKUP("AMERICAN TRIPLU CHEESEBURGER D",'FOOD COST'!$A:$Y,10,0),"")</f>
        <v>22.5225225225225</v>
      </c>
      <c r="G24" s="29" t="n">
        <f aca="false">IFERROR(VLOOKUP("AMERICAN TRIPLU CHEESEBURGER D",'FOOD COST'!$A:$Y,18,0),"")</f>
        <v>22.5225225225225</v>
      </c>
      <c r="H24" s="29" t="n">
        <f aca="false">IFERROR(VLOOKUP("AMERICAN TRIPLU CHEESEBURGER D",'FOOD COST'!$A:$Y,21,0),"")</f>
        <v>23.8648648648649</v>
      </c>
      <c r="I24" s="29" t="n">
        <f aca="false">IFERROR(VLOOKUP("AMERICAN TRIPLU CHEESEBURGER D",'FOOD COST'!$A:$Y,24,0),"")</f>
        <v>24.3153153153153</v>
      </c>
      <c r="J24" s="32" t="n">
        <f aca="false">IF(OR(C24="",NOT(ISNUMBER(D24))),"",C24*D24)</f>
        <v>88217.43</v>
      </c>
      <c r="K24" s="52" t="n">
        <f aca="false">IF(OR(C24="",NOT(ISNUMBER(E24))),"",C24*E24)</f>
        <v>96620.11506</v>
      </c>
      <c r="L24" s="32" t="n">
        <f aca="false">IF(OR(C24="",NOT(ISNUMBER(F24))),"",C24*F24)</f>
        <v>151036.036036036</v>
      </c>
      <c r="M24" s="32" t="n">
        <f aca="false">IF(OR(C24="",NOT(ISNUMBER(G24))),"",C24*G24)</f>
        <v>151036.036036036</v>
      </c>
      <c r="N24" s="32" t="n">
        <f aca="false">IF(OR(C24="",NOT(ISNUMBER(H24))),"",C24*H24)</f>
        <v>160037.783783784</v>
      </c>
      <c r="O24" s="32" t="n">
        <f aca="false">IF(OR(C24="",NOT(ISNUMBER(I24))),"",C24*I24)</f>
        <v>163058.504504505</v>
      </c>
    </row>
    <row r="25" customFormat="false" ht="15" hidden="false" customHeight="true" outlineLevel="0" collapsed="false">
      <c r="A25" s="5" t="s">
        <v>658</v>
      </c>
      <c r="B25" s="5" t="s">
        <v>642</v>
      </c>
      <c r="C25" s="51" t="n">
        <v>14682</v>
      </c>
      <c r="D25" s="29" t="n">
        <f aca="false">IFERROR(VLOOKUP("SMASHED BURGER",'FOOD COST'!$A:$Y,7,0),"")</f>
        <v>7.600648</v>
      </c>
      <c r="E25" s="30" t="n">
        <f aca="false">IFERROR(VLOOKUP("SMASHED BURGER",'FOOD COST'!$A:$Y,8,0),"")</f>
        <v>8.018318</v>
      </c>
      <c r="F25" s="29" t="n">
        <f aca="false">IFERROR(VLOOKUP("SMASHED BURGER",'FOOD COST'!$A:$Y,10,0),"")</f>
        <v>18.9099099099099</v>
      </c>
      <c r="G25" s="29" t="n">
        <f aca="false">IFERROR(VLOOKUP("SMASHED BURGER",'FOOD COST'!$A:$Y,18,0),"")</f>
        <v>19.8018018018018</v>
      </c>
      <c r="H25" s="29" t="n">
        <f aca="false">IFERROR(VLOOKUP("SMASHED BURGER",'FOOD COST'!$A:$Y,21,0),"")</f>
        <v>19.8018018018018</v>
      </c>
      <c r="I25" s="29" t="n">
        <f aca="false">IFERROR(VLOOKUP("SMASHED BURGER",'FOOD COST'!$A:$Y,24,0),"")</f>
        <v>19.8018018018018</v>
      </c>
      <c r="J25" s="32" t="n">
        <f aca="false">IF(OR(C25="",NOT(ISNUMBER(D25))),"",C25*D25)</f>
        <v>111592.713936</v>
      </c>
      <c r="K25" s="52" t="n">
        <f aca="false">IF(OR(C25="",NOT(ISNUMBER(E25))),"",C25*E25)</f>
        <v>117724.944876</v>
      </c>
      <c r="L25" s="32" t="n">
        <f aca="false">IF(OR(C25="",NOT(ISNUMBER(F25))),"",C25*F25)</f>
        <v>277635.297297297</v>
      </c>
      <c r="M25" s="32" t="n">
        <f aca="false">IF(OR(C25="",NOT(ISNUMBER(G25))),"",C25*G25)</f>
        <v>290730.054054054</v>
      </c>
      <c r="N25" s="32" t="n">
        <f aca="false">IF(OR(C25="",NOT(ISNUMBER(H25))),"",C25*H25)</f>
        <v>290730.054054054</v>
      </c>
      <c r="O25" s="32" t="n">
        <f aca="false">IF(OR(C25="",NOT(ISNUMBER(I25))),"",C25*I25)</f>
        <v>290730.054054054</v>
      </c>
    </row>
    <row r="26" customFormat="false" ht="15" hidden="false" customHeight="true" outlineLevel="0" collapsed="false">
      <c r="A26" s="5" t="s">
        <v>659</v>
      </c>
      <c r="B26" s="5" t="s">
        <v>645</v>
      </c>
      <c r="C26" s="51" t="n">
        <v>5447</v>
      </c>
      <c r="D26" s="29" t="n">
        <f aca="false">IFERROR(VLOOKUP("SMASHED BURGER D",'FOOD COST'!$A:$Y,7,0),"")</f>
        <v>7.600648</v>
      </c>
      <c r="E26" s="30" t="n">
        <f aca="false">IFERROR(VLOOKUP("SMASHED BURGER D",'FOOD COST'!$A:$Y,8,0),"")</f>
        <v>8.018318</v>
      </c>
      <c r="F26" s="29" t="n">
        <f aca="false">IFERROR(VLOOKUP("SMASHED BURGER D",'FOOD COST'!$A:$Y,10,0),"")</f>
        <v>22.0720720720721</v>
      </c>
      <c r="G26" s="29" t="n">
        <f aca="false">IFERROR(VLOOKUP("SMASHED BURGER D",'FOOD COST'!$A:$Y,18,0),"")</f>
        <v>22.963963963964</v>
      </c>
      <c r="H26" s="29" t="n">
        <f aca="false">IFERROR(VLOOKUP("SMASHED BURGER D",'FOOD COST'!$A:$Y,21,0),"")</f>
        <v>22.963963963964</v>
      </c>
      <c r="I26" s="29" t="n">
        <f aca="false">IFERROR(VLOOKUP("SMASHED BURGER D",'FOOD COST'!$A:$Y,24,0),"")</f>
        <v>22.963963963964</v>
      </c>
      <c r="J26" s="32" t="n">
        <f aca="false">IF(OR(C26="",NOT(ISNUMBER(D26))),"",C26*D26)</f>
        <v>41400.729656</v>
      </c>
      <c r="K26" s="52" t="n">
        <f aca="false">IF(OR(C26="",NOT(ISNUMBER(E26))),"",C26*E26)</f>
        <v>43675.778146</v>
      </c>
      <c r="L26" s="32" t="n">
        <f aca="false">IF(OR(C26="",NOT(ISNUMBER(F26))),"",C26*F26)</f>
        <v>120226.576576577</v>
      </c>
      <c r="M26" s="32" t="n">
        <f aca="false">IF(OR(C26="",NOT(ISNUMBER(G26))),"",C26*G26)</f>
        <v>125084.711711712</v>
      </c>
      <c r="N26" s="32" t="n">
        <f aca="false">IF(OR(C26="",NOT(ISNUMBER(H26))),"",C26*H26)</f>
        <v>125084.711711712</v>
      </c>
      <c r="O26" s="32" t="n">
        <f aca="false">IF(OR(C26="",NOT(ISNUMBER(I26))),"",C26*I26)</f>
        <v>125084.711711712</v>
      </c>
    </row>
    <row r="27" customFormat="false" ht="15" hidden="false" customHeight="true" outlineLevel="0" collapsed="false">
      <c r="A27" s="5" t="s">
        <v>660</v>
      </c>
      <c r="B27" s="5" t="s">
        <v>642</v>
      </c>
      <c r="C27" s="51" t="n">
        <v>18675</v>
      </c>
      <c r="D27" s="29" t="n">
        <f aca="false">IFERROR(VLOOKUP("DUBLU SMASHED BURGER",'FOOD COST'!$A:$Y,7,0),"")</f>
        <v>11.418948</v>
      </c>
      <c r="E27" s="30" t="n">
        <f aca="false">IFERROR(VLOOKUP("DUBLU SMASHED BURGER",'FOOD COST'!$A:$Y,8,0),"")</f>
        <v>12.254288</v>
      </c>
      <c r="F27" s="29" t="n">
        <f aca="false">IFERROR(VLOOKUP("DUBLU SMASHED BURGER",'FOOD COST'!$A:$Y,10,0),"")</f>
        <v>24.3153153153153</v>
      </c>
      <c r="G27" s="29" t="n">
        <f aca="false">IFERROR(VLOOKUP("DUBLU SMASHED BURGER",'FOOD COST'!$A:$Y,18,0),"")</f>
        <v>26.1081081081081</v>
      </c>
      <c r="H27" s="29" t="n">
        <f aca="false">IFERROR(VLOOKUP("DUBLU SMASHED BURGER",'FOOD COST'!$A:$Y,21,0),"")</f>
        <v>26.1081081081081</v>
      </c>
      <c r="I27" s="29" t="n">
        <f aca="false">IFERROR(VLOOKUP("DUBLU SMASHED BURGER",'FOOD COST'!$A:$Y,24,0),"")</f>
        <v>26.1081081081081</v>
      </c>
      <c r="J27" s="32" t="n">
        <f aca="false">IF(OR(C27="",NOT(ISNUMBER(D27))),"",C27*D27)</f>
        <v>213248.8539</v>
      </c>
      <c r="K27" s="52" t="n">
        <f aca="false">IF(OR(C27="",NOT(ISNUMBER(E27))),"",C27*E27)</f>
        <v>228848.8284</v>
      </c>
      <c r="L27" s="32" t="n">
        <f aca="false">IF(OR(C27="",NOT(ISNUMBER(F27))),"",C27*F27)</f>
        <v>454088.513513514</v>
      </c>
      <c r="M27" s="32" t="n">
        <f aca="false">IF(OR(C27="",NOT(ISNUMBER(G27))),"",C27*G27)</f>
        <v>487568.918918919</v>
      </c>
      <c r="N27" s="32" t="n">
        <f aca="false">IF(OR(C27="",NOT(ISNUMBER(H27))),"",C27*H27)</f>
        <v>487568.918918919</v>
      </c>
      <c r="O27" s="32" t="n">
        <f aca="false">IF(OR(C27="",NOT(ISNUMBER(I27))),"",C27*I27)</f>
        <v>487568.918918919</v>
      </c>
    </row>
    <row r="28" customFormat="false" ht="15" hidden="false" customHeight="true" outlineLevel="0" collapsed="false">
      <c r="A28" s="5" t="s">
        <v>661</v>
      </c>
      <c r="B28" s="5" t="s">
        <v>645</v>
      </c>
      <c r="C28" s="51" t="n">
        <v>11289</v>
      </c>
      <c r="D28" s="29" t="n">
        <f aca="false">IFERROR(VLOOKUP("DUBLU SMASHED BURGER D",'FOOD COST'!$A:$Y,7,0),"")</f>
        <v>11.418948</v>
      </c>
      <c r="E28" s="30" t="n">
        <f aca="false">IFERROR(VLOOKUP("DUBLU SMASHED BURGER D",'FOOD COST'!$A:$Y,8,0),"")</f>
        <v>12.254288</v>
      </c>
      <c r="F28" s="29" t="n">
        <f aca="false">IFERROR(VLOOKUP("DUBLU SMASHED BURGER D",'FOOD COST'!$A:$Y,10,0),"")</f>
        <v>27.4774774774775</v>
      </c>
      <c r="G28" s="29" t="n">
        <f aca="false">IFERROR(VLOOKUP("DUBLU SMASHED BURGER D",'FOOD COST'!$A:$Y,18,0),"")</f>
        <v>29.2702702702703</v>
      </c>
      <c r="H28" s="29" t="n">
        <f aca="false">IFERROR(VLOOKUP("DUBLU SMASHED BURGER D",'FOOD COST'!$A:$Y,21,0),"")</f>
        <v>29.2702702702703</v>
      </c>
      <c r="I28" s="29" t="n">
        <f aca="false">IFERROR(VLOOKUP("DUBLU SMASHED BURGER D",'FOOD COST'!$A:$Y,24,0),"")</f>
        <v>29.2702702702703</v>
      </c>
      <c r="J28" s="32" t="n">
        <f aca="false">IF(OR(C28="",NOT(ISNUMBER(D28))),"",C28*D28)</f>
        <v>128908.503972</v>
      </c>
      <c r="K28" s="52" t="n">
        <f aca="false">IF(OR(C28="",NOT(ISNUMBER(E28))),"",C28*E28)</f>
        <v>138338.657232</v>
      </c>
      <c r="L28" s="32" t="n">
        <f aca="false">IF(OR(C28="",NOT(ISNUMBER(F28))),"",C28*F28)</f>
        <v>310193.243243243</v>
      </c>
      <c r="M28" s="32" t="n">
        <f aca="false">IF(OR(C28="",NOT(ISNUMBER(G28))),"",C28*G28)</f>
        <v>330432.081081081</v>
      </c>
      <c r="N28" s="32" t="n">
        <f aca="false">IF(OR(C28="",NOT(ISNUMBER(H28))),"",C28*H28)</f>
        <v>330432.081081081</v>
      </c>
      <c r="O28" s="32" t="n">
        <f aca="false">IF(OR(C28="",NOT(ISNUMBER(I28))),"",C28*I28)</f>
        <v>330432.081081081</v>
      </c>
    </row>
    <row r="29" customFormat="false" ht="15" hidden="false" customHeight="true" outlineLevel="0" collapsed="false">
      <c r="A29" s="5" t="s">
        <v>662</v>
      </c>
      <c r="B29" s="5" t="s">
        <v>642</v>
      </c>
      <c r="C29" s="51" t="n">
        <v>15161</v>
      </c>
      <c r="D29" s="29" t="n">
        <f aca="false">IFERROR(VLOOKUP("BLACK TRUFFLE SMASHED",'FOOD COST'!$A:$Y,7,0),"")</f>
        <v>8.1968</v>
      </c>
      <c r="E29" s="30" t="n">
        <f aca="false">IFERROR(VLOOKUP("BLACK TRUFFLE SMASHED",'FOOD COST'!$A:$Y,8,0),"")</f>
        <v>8.61447</v>
      </c>
      <c r="F29" s="29" t="n">
        <f aca="false">IFERROR(VLOOKUP("BLACK TRUFFLE SMASHED",'FOOD COST'!$A:$Y,10,0),"")</f>
        <v>19.8198198198198</v>
      </c>
      <c r="G29" s="29" t="n">
        <f aca="false">IFERROR(VLOOKUP("BLACK TRUFFLE SMASHED",'FOOD COST'!$A:$Y,18,0),"")</f>
        <v>20.7117117117117</v>
      </c>
      <c r="H29" s="29" t="n">
        <f aca="false">IFERROR(VLOOKUP("BLACK TRUFFLE SMASHED",'FOOD COST'!$A:$Y,21,0),"")</f>
        <v>20.7117117117117</v>
      </c>
      <c r="I29" s="29" t="n">
        <f aca="false">IFERROR(VLOOKUP("BLACK TRUFFLE SMASHED",'FOOD COST'!$A:$Y,24,0),"")</f>
        <v>20.7117117117117</v>
      </c>
      <c r="J29" s="32" t="n">
        <f aca="false">IF(OR(C29="",NOT(ISNUMBER(D29))),"",C29*D29)</f>
        <v>124271.6848</v>
      </c>
      <c r="K29" s="52" t="n">
        <f aca="false">IF(OR(C29="",NOT(ISNUMBER(E29))),"",C29*E29)</f>
        <v>130603.97967</v>
      </c>
      <c r="L29" s="32" t="n">
        <f aca="false">IF(OR(C29="",NOT(ISNUMBER(F29))),"",C29*F29)</f>
        <v>300488.288288288</v>
      </c>
      <c r="M29" s="32" t="n">
        <f aca="false">IF(OR(C29="",NOT(ISNUMBER(G29))),"",C29*G29)</f>
        <v>314010.261261261</v>
      </c>
      <c r="N29" s="32" t="n">
        <f aca="false">IF(OR(C29="",NOT(ISNUMBER(H29))),"",C29*H29)</f>
        <v>314010.261261261</v>
      </c>
      <c r="O29" s="32" t="n">
        <f aca="false">IF(OR(C29="",NOT(ISNUMBER(I29))),"",C29*I29)</f>
        <v>314010.261261261</v>
      </c>
    </row>
    <row r="30" customFormat="false" ht="15" hidden="false" customHeight="true" outlineLevel="0" collapsed="false">
      <c r="A30" s="5" t="s">
        <v>663</v>
      </c>
      <c r="B30" s="5" t="s">
        <v>645</v>
      </c>
      <c r="C30" s="51" t="n">
        <v>5118</v>
      </c>
      <c r="D30" s="29" t="n">
        <f aca="false">IFERROR(VLOOKUP("BLACK TRUFFLE SMASHED D",'FOOD COST'!$A:$Y,7,0),"")</f>
        <v>8.1968</v>
      </c>
      <c r="E30" s="30" t="n">
        <f aca="false">IFERROR(VLOOKUP("BLACK TRUFFLE SMASHED D",'FOOD COST'!$A:$Y,8,0),"")</f>
        <v>8.61447</v>
      </c>
      <c r="F30" s="29" t="n">
        <f aca="false">IFERROR(VLOOKUP("BLACK TRUFFLE SMASHED D",'FOOD COST'!$A:$Y,10,0),"")</f>
        <v>22.5225225225225</v>
      </c>
      <c r="G30" s="29" t="n">
        <f aca="false">IFERROR(VLOOKUP("BLACK TRUFFLE SMASHED D",'FOOD COST'!$A:$Y,18,0),"")</f>
        <v>23.4144144144144</v>
      </c>
      <c r="H30" s="29" t="n">
        <f aca="false">IFERROR(VLOOKUP("BLACK TRUFFLE SMASHED D",'FOOD COST'!$A:$Y,21,0),"")</f>
        <v>23.4144144144144</v>
      </c>
      <c r="I30" s="29" t="n">
        <f aca="false">IFERROR(VLOOKUP("BLACK TRUFFLE SMASHED D",'FOOD COST'!$A:$Y,24,0),"")</f>
        <v>23.4144144144144</v>
      </c>
      <c r="J30" s="32" t="n">
        <f aca="false">IF(OR(C30="",NOT(ISNUMBER(D30))),"",C30*D30)</f>
        <v>41951.2224</v>
      </c>
      <c r="K30" s="52" t="n">
        <f aca="false">IF(OR(C30="",NOT(ISNUMBER(E30))),"",C30*E30)</f>
        <v>44088.85746</v>
      </c>
      <c r="L30" s="32" t="n">
        <f aca="false">IF(OR(C30="",NOT(ISNUMBER(F30))),"",C30*F30)</f>
        <v>115270.27027027</v>
      </c>
      <c r="M30" s="32" t="n">
        <f aca="false">IF(OR(C30="",NOT(ISNUMBER(G30))),"",C30*G30)</f>
        <v>119834.972972973</v>
      </c>
      <c r="N30" s="32" t="n">
        <f aca="false">IF(OR(C30="",NOT(ISNUMBER(H30))),"",C30*H30)</f>
        <v>119834.972972973</v>
      </c>
      <c r="O30" s="32" t="n">
        <f aca="false">IF(OR(C30="",NOT(ISNUMBER(I30))),"",C30*I30)</f>
        <v>119834.972972973</v>
      </c>
    </row>
    <row r="31" customFormat="false" ht="15" hidden="false" customHeight="true" outlineLevel="0" collapsed="false">
      <c r="A31" s="5" t="s">
        <v>664</v>
      </c>
      <c r="B31" s="5" t="s">
        <v>642</v>
      </c>
      <c r="C31" s="51" t="n">
        <v>20703</v>
      </c>
      <c r="D31" s="29" t="n">
        <f aca="false">IFERROR(VLOOKUP("DUBLU BLACK TRUFFLE SMASHED",'FOOD COST'!$A:$Y,7,0),"")</f>
        <v>12.0954</v>
      </c>
      <c r="E31" s="30" t="n">
        <f aca="false">IFERROR(VLOOKUP("DUBLU BLACK TRUFFLE SMASHED",'FOOD COST'!$A:$Y,8,0),"")</f>
        <v>12.93074</v>
      </c>
      <c r="F31" s="29" t="n">
        <f aca="false">IFERROR(VLOOKUP("DUBLU BLACK TRUFFLE SMASHED",'FOOD COST'!$A:$Y,10,0),"")</f>
        <v>25.2252252252252</v>
      </c>
      <c r="G31" s="29" t="n">
        <f aca="false">IFERROR(VLOOKUP("DUBLU BLACK TRUFFLE SMASHED",'FOOD COST'!$A:$Y,18,0),"")</f>
        <v>27.018018018018</v>
      </c>
      <c r="H31" s="29" t="n">
        <f aca="false">IFERROR(VLOOKUP("DUBLU BLACK TRUFFLE SMASHED",'FOOD COST'!$A:$Y,21,0),"")</f>
        <v>27.018018018018</v>
      </c>
      <c r="I31" s="29" t="n">
        <f aca="false">IFERROR(VLOOKUP("DUBLU BLACK TRUFFLE SMASHED",'FOOD COST'!$A:$Y,24,0),"")</f>
        <v>27.018018018018</v>
      </c>
      <c r="J31" s="32" t="n">
        <f aca="false">IF(OR(C31="",NOT(ISNUMBER(D31))),"",C31*D31)</f>
        <v>250411.0662</v>
      </c>
      <c r="K31" s="52" t="n">
        <f aca="false">IF(OR(C31="",NOT(ISNUMBER(E31))),"",C31*E31)</f>
        <v>267705.11022</v>
      </c>
      <c r="L31" s="32" t="n">
        <f aca="false">IF(OR(C31="",NOT(ISNUMBER(F31))),"",C31*F31)</f>
        <v>522237.837837838</v>
      </c>
      <c r="M31" s="32" t="n">
        <f aca="false">IF(OR(C31="",NOT(ISNUMBER(G31))),"",C31*G31)</f>
        <v>559354.027027027</v>
      </c>
      <c r="N31" s="32" t="n">
        <f aca="false">IF(OR(C31="",NOT(ISNUMBER(H31))),"",C31*H31)</f>
        <v>559354.027027027</v>
      </c>
      <c r="O31" s="32" t="n">
        <f aca="false">IF(OR(C31="",NOT(ISNUMBER(I31))),"",C31*I31)</f>
        <v>559354.027027027</v>
      </c>
    </row>
    <row r="32" customFormat="false" ht="15" hidden="false" customHeight="true" outlineLevel="0" collapsed="false">
      <c r="A32" s="5" t="s">
        <v>665</v>
      </c>
      <c r="B32" s="5" t="s">
        <v>645</v>
      </c>
      <c r="C32" s="51" t="n">
        <v>15509</v>
      </c>
      <c r="D32" s="29" t="n">
        <f aca="false">IFERROR(VLOOKUP("DUBLU BLACK TRUFFLE SMASHED D",'FOOD COST'!$A:$Y,7,0),"")</f>
        <v>12.0954</v>
      </c>
      <c r="E32" s="30" t="n">
        <f aca="false">IFERROR(VLOOKUP("DUBLU BLACK TRUFFLE SMASHED D",'FOOD COST'!$A:$Y,8,0),"")</f>
        <v>12.93074</v>
      </c>
      <c r="F32" s="29" t="n">
        <f aca="false">IFERROR(VLOOKUP("DUBLU BLACK TRUFFLE SMASHED D",'FOOD COST'!$A:$Y,10,0),"")</f>
        <v>27.9279279279279</v>
      </c>
      <c r="G32" s="29" t="n">
        <f aca="false">IFERROR(VLOOKUP("DUBLU BLACK TRUFFLE SMASHED D",'FOOD COST'!$A:$Y,18,0),"")</f>
        <v>29.7207207207207</v>
      </c>
      <c r="H32" s="29" t="n">
        <f aca="false">IFERROR(VLOOKUP("DUBLU BLACK TRUFFLE SMASHED D",'FOOD COST'!$A:$Y,21,0),"")</f>
        <v>29.7207207207207</v>
      </c>
      <c r="I32" s="29" t="n">
        <f aca="false">IFERROR(VLOOKUP("DUBLU BLACK TRUFFLE SMASHED D",'FOOD COST'!$A:$Y,24,0),"")</f>
        <v>29.7207207207207</v>
      </c>
      <c r="J32" s="32" t="n">
        <f aca="false">IF(OR(C32="",NOT(ISNUMBER(D32))),"",C32*D32)</f>
        <v>187587.5586</v>
      </c>
      <c r="K32" s="52" t="n">
        <f aca="false">IF(OR(C32="",NOT(ISNUMBER(E32))),"",C32*E32)</f>
        <v>200542.84666</v>
      </c>
      <c r="L32" s="32" t="n">
        <f aca="false">IF(OR(C32="",NOT(ISNUMBER(F32))),"",C32*F32)</f>
        <v>433134.234234234</v>
      </c>
      <c r="M32" s="32" t="n">
        <f aca="false">IF(OR(C32="",NOT(ISNUMBER(G32))),"",C32*G32)</f>
        <v>460938.657657658</v>
      </c>
      <c r="N32" s="32" t="n">
        <f aca="false">IF(OR(C32="",NOT(ISNUMBER(H32))),"",C32*H32)</f>
        <v>460938.657657658</v>
      </c>
      <c r="O32" s="32" t="n">
        <f aca="false">IF(OR(C32="",NOT(ISNUMBER(I32))),"",C32*I32)</f>
        <v>460938.657657658</v>
      </c>
    </row>
    <row r="33" customFormat="false" ht="15" hidden="false" customHeight="true" outlineLevel="0" collapsed="false">
      <c r="A33" s="5" t="s">
        <v>666</v>
      </c>
      <c r="B33" s="5" t="s">
        <v>642</v>
      </c>
      <c r="C33" s="51" t="n">
        <v>3443</v>
      </c>
      <c r="D33" s="29" t="n">
        <f aca="false">IFERROR(VLOOKUP("RED PEPPER SMASHED",'FOOD COST'!$A:$Y,7,0),"")</f>
        <v>9.40848</v>
      </c>
      <c r="E33" s="30" t="n">
        <f aca="false">IFERROR(VLOOKUP("RED PEPPER SMASHED",'FOOD COST'!$A:$Y,8,0),"")</f>
        <v>9.82615</v>
      </c>
      <c r="F33" s="29" t="n">
        <f aca="false">IFERROR(VLOOKUP("RED PEPPER SMASHED",'FOOD COST'!$A:$Y,10,0),"")</f>
        <v>23.4234234234234</v>
      </c>
      <c r="G33" s="29" t="n">
        <f aca="false">IFERROR(VLOOKUP("RED PEPPER SMASHED",'FOOD COST'!$A:$Y,18,0),"")</f>
        <v>24.3153153153153</v>
      </c>
      <c r="H33" s="29" t="n">
        <f aca="false">IFERROR(VLOOKUP("RED PEPPER SMASHED",'FOOD COST'!$A:$Y,21,0),"")</f>
        <v>24.3153153153153</v>
      </c>
      <c r="I33" s="29" t="n">
        <f aca="false">IFERROR(VLOOKUP("RED PEPPER SMASHED",'FOOD COST'!$A:$Y,24,0),"")</f>
        <v>24.3153153153153</v>
      </c>
      <c r="J33" s="32" t="n">
        <f aca="false">IF(OR(C33="",NOT(ISNUMBER(D33))),"",C33*D33)</f>
        <v>32393.39664</v>
      </c>
      <c r="K33" s="52" t="n">
        <f aca="false">IF(OR(C33="",NOT(ISNUMBER(E33))),"",C33*E33)</f>
        <v>33831.43445</v>
      </c>
      <c r="L33" s="32" t="n">
        <f aca="false">IF(OR(C33="",NOT(ISNUMBER(F33))),"",C33*F33)</f>
        <v>80646.8468468469</v>
      </c>
      <c r="M33" s="32" t="n">
        <f aca="false">IF(OR(C33="",NOT(ISNUMBER(G33))),"",C33*G33)</f>
        <v>83717.6306306306</v>
      </c>
      <c r="N33" s="32" t="n">
        <f aca="false">IF(OR(C33="",NOT(ISNUMBER(H33))),"",C33*H33)</f>
        <v>83717.6306306306</v>
      </c>
      <c r="O33" s="32" t="n">
        <f aca="false">IF(OR(C33="",NOT(ISNUMBER(I33))),"",C33*I33)</f>
        <v>83717.6306306306</v>
      </c>
    </row>
    <row r="34" customFormat="false" ht="15" hidden="false" customHeight="true" outlineLevel="0" collapsed="false">
      <c r="A34" s="5" t="s">
        <v>667</v>
      </c>
      <c r="B34" s="5" t="s">
        <v>645</v>
      </c>
      <c r="C34" s="51" t="n">
        <v>1609</v>
      </c>
      <c r="D34" s="29" t="n">
        <f aca="false">IFERROR(VLOOKUP("RED PEPPER SMASHED D",'FOOD COST'!$A:$Y,7,0),"")</f>
        <v>9.40848</v>
      </c>
      <c r="E34" s="30" t="n">
        <f aca="false">IFERROR(VLOOKUP("RED PEPPER SMASHED D",'FOOD COST'!$A:$Y,8,0),"")</f>
        <v>9.82615</v>
      </c>
      <c r="F34" s="29" t="n">
        <f aca="false">IFERROR(VLOOKUP("RED PEPPER SMASHED D",'FOOD COST'!$A:$Y,10,0),"")</f>
        <v>26.1261261261261</v>
      </c>
      <c r="G34" s="29" t="n">
        <f aca="false">IFERROR(VLOOKUP("RED PEPPER SMASHED D",'FOOD COST'!$A:$Y,18,0),"")</f>
        <v>27.018018018018</v>
      </c>
      <c r="H34" s="29" t="n">
        <f aca="false">IFERROR(VLOOKUP("RED PEPPER SMASHED D",'FOOD COST'!$A:$Y,21,0),"")</f>
        <v>27.018018018018</v>
      </c>
      <c r="I34" s="29" t="n">
        <f aca="false">IFERROR(VLOOKUP("RED PEPPER SMASHED D",'FOOD COST'!$A:$Y,24,0),"")</f>
        <v>27.018018018018</v>
      </c>
      <c r="J34" s="32" t="n">
        <f aca="false">IF(OR(C34="",NOT(ISNUMBER(D34))),"",C34*D34)</f>
        <v>15138.24432</v>
      </c>
      <c r="K34" s="52" t="n">
        <f aca="false">IF(OR(C34="",NOT(ISNUMBER(E34))),"",C34*E34)</f>
        <v>15810.27535</v>
      </c>
      <c r="L34" s="32" t="n">
        <f aca="false">IF(OR(C34="",NOT(ISNUMBER(F34))),"",C34*F34)</f>
        <v>42036.9369369369</v>
      </c>
      <c r="M34" s="32" t="n">
        <f aca="false">IF(OR(C34="",NOT(ISNUMBER(G34))),"",C34*G34)</f>
        <v>43471.990990991</v>
      </c>
      <c r="N34" s="32" t="n">
        <f aca="false">IF(OR(C34="",NOT(ISNUMBER(H34))),"",C34*H34)</f>
        <v>43471.990990991</v>
      </c>
      <c r="O34" s="32" t="n">
        <f aca="false">IF(OR(C34="",NOT(ISNUMBER(I34))),"",C34*I34)</f>
        <v>43471.990990991</v>
      </c>
    </row>
    <row r="35" customFormat="false" ht="15" hidden="false" customHeight="true" outlineLevel="0" collapsed="false">
      <c r="A35" s="5" t="s">
        <v>668</v>
      </c>
      <c r="B35" s="5" t="s">
        <v>642</v>
      </c>
      <c r="C35" s="51" t="n">
        <v>3863</v>
      </c>
      <c r="D35" s="29" t="n">
        <f aca="false">IFERROR(VLOOKUP("DUBLU RED PEPPER SMASHED",'FOOD COST'!$A:$Y,7,0),"")</f>
        <v>13.55128</v>
      </c>
      <c r="E35" s="30" t="n">
        <f aca="false">IFERROR(VLOOKUP("DUBLU RED PEPPER SMASHED",'FOOD COST'!$A:$Y,8,0),"")</f>
        <v>14.38662</v>
      </c>
      <c r="F35" s="29" t="n">
        <f aca="false">IFERROR(VLOOKUP("DUBLU RED PEPPER SMASHED",'FOOD COST'!$A:$Y,10,0),"")</f>
        <v>28.8288288288288</v>
      </c>
      <c r="G35" s="29" t="n">
        <f aca="false">IFERROR(VLOOKUP("DUBLU RED PEPPER SMASHED",'FOOD COST'!$A:$Y,18,0),"")</f>
        <v>30.6216216216216</v>
      </c>
      <c r="H35" s="29" t="n">
        <f aca="false">IFERROR(VLOOKUP("DUBLU RED PEPPER SMASHED",'FOOD COST'!$A:$Y,21,0),"")</f>
        <v>30.6216216216216</v>
      </c>
      <c r="I35" s="29" t="n">
        <f aca="false">IFERROR(VLOOKUP("DUBLU RED PEPPER SMASHED",'FOOD COST'!$A:$Y,24,0),"")</f>
        <v>30.6216216216216</v>
      </c>
      <c r="J35" s="32" t="n">
        <f aca="false">IF(OR(C35="",NOT(ISNUMBER(D35))),"",C35*D35)</f>
        <v>52348.59464</v>
      </c>
      <c r="K35" s="52" t="n">
        <f aca="false">IF(OR(C35="",NOT(ISNUMBER(E35))),"",C35*E35)</f>
        <v>55575.51306</v>
      </c>
      <c r="L35" s="32" t="n">
        <f aca="false">IF(OR(C35="",NOT(ISNUMBER(F35))),"",C35*F35)</f>
        <v>111365.765765766</v>
      </c>
      <c r="M35" s="32" t="n">
        <f aca="false">IF(OR(C35="",NOT(ISNUMBER(G35))),"",C35*G35)</f>
        <v>118291.324324324</v>
      </c>
      <c r="N35" s="32" t="n">
        <f aca="false">IF(OR(C35="",NOT(ISNUMBER(H35))),"",C35*H35)</f>
        <v>118291.324324324</v>
      </c>
      <c r="O35" s="32" t="n">
        <f aca="false">IF(OR(C35="",NOT(ISNUMBER(I35))),"",C35*I35)</f>
        <v>118291.324324324</v>
      </c>
    </row>
    <row r="36" customFormat="false" ht="15" hidden="false" customHeight="true" outlineLevel="0" collapsed="false">
      <c r="A36" s="5" t="s">
        <v>669</v>
      </c>
      <c r="B36" s="5" t="s">
        <v>645</v>
      </c>
      <c r="C36" s="51" t="n">
        <v>1943</v>
      </c>
      <c r="D36" s="29" t="n">
        <f aca="false">IFERROR(VLOOKUP("DUBLU RED PEPPER SMASHED D",'FOOD COST'!$A:$Y,7,0),"")</f>
        <v>13.55128</v>
      </c>
      <c r="E36" s="30" t="n">
        <f aca="false">IFERROR(VLOOKUP("DUBLU RED PEPPER SMASHED D",'FOOD COST'!$A:$Y,8,0),"")</f>
        <v>14.38662</v>
      </c>
      <c r="F36" s="29" t="n">
        <f aca="false">IFERROR(VLOOKUP("DUBLU RED PEPPER SMASHED D",'FOOD COST'!$A:$Y,10,0),"")</f>
        <v>31.5315315315315</v>
      </c>
      <c r="G36" s="29" t="n">
        <f aca="false">IFERROR(VLOOKUP("DUBLU RED PEPPER SMASHED D",'FOOD COST'!$A:$Y,18,0),"")</f>
        <v>33.3243243243243</v>
      </c>
      <c r="H36" s="29" t="n">
        <f aca="false">IFERROR(VLOOKUP("DUBLU RED PEPPER SMASHED D",'FOOD COST'!$A:$Y,21,0),"")</f>
        <v>33.3243243243243</v>
      </c>
      <c r="I36" s="29" t="n">
        <f aca="false">IFERROR(VLOOKUP("DUBLU RED PEPPER SMASHED D",'FOOD COST'!$A:$Y,24,0),"")</f>
        <v>33.3243243243243</v>
      </c>
      <c r="J36" s="32" t="n">
        <f aca="false">IF(OR(C36="",NOT(ISNUMBER(D36))),"",C36*D36)</f>
        <v>26330.13704</v>
      </c>
      <c r="K36" s="52" t="n">
        <f aca="false">IF(OR(C36="",NOT(ISNUMBER(E36))),"",C36*E36)</f>
        <v>27953.20266</v>
      </c>
      <c r="L36" s="32" t="n">
        <f aca="false">IF(OR(C36="",NOT(ISNUMBER(F36))),"",C36*F36)</f>
        <v>61265.7657657658</v>
      </c>
      <c r="M36" s="32" t="n">
        <f aca="false">IF(OR(C36="",NOT(ISNUMBER(G36))),"",C36*G36)</f>
        <v>64749.1621621622</v>
      </c>
      <c r="N36" s="32" t="n">
        <f aca="false">IF(OR(C36="",NOT(ISNUMBER(H36))),"",C36*H36)</f>
        <v>64749.1621621622</v>
      </c>
      <c r="O36" s="32" t="n">
        <f aca="false">IF(OR(C36="",NOT(ISNUMBER(I36))),"",C36*I36)</f>
        <v>64749.1621621622</v>
      </c>
    </row>
    <row r="37" customFormat="false" ht="15" hidden="false" customHeight="true" outlineLevel="0" collapsed="false">
      <c r="A37" s="5" t="s">
        <v>348</v>
      </c>
      <c r="B37" s="5" t="s">
        <v>642</v>
      </c>
      <c r="C37" s="51" t="n">
        <v>8901</v>
      </c>
      <c r="D37" s="29" t="n">
        <f aca="false">IFERROR(VLOOKUP("AMERICAN TRIPLU CHEESEBURGER LETTUCE WRAP",'FOOD COST'!$A:$Y,7,0),"")</f>
        <v>13.23</v>
      </c>
      <c r="E37" s="30" t="n">
        <f aca="false">IFERROR(VLOOKUP("AMERICAN TRIPLU CHEESEBURGER LETTUCE WRAP",'FOOD COST'!$A:$Y,8,0),"")</f>
        <v>14.48301</v>
      </c>
      <c r="F37" s="29" t="n">
        <f aca="false">IFERROR(VLOOKUP("AMERICAN TRIPLU CHEESEBURGER LETTUCE WRAP",'FOOD COST'!$A:$Y,10,0),"")</f>
        <v>19.8198198198198</v>
      </c>
      <c r="G37" s="29" t="n">
        <f aca="false">IFERROR(VLOOKUP("AMERICAN TRIPLU CHEESEBURGER LETTUCE WRAP",'FOOD COST'!$A:$Y,18,0),"")</f>
        <v>20.7117117117117</v>
      </c>
      <c r="H37" s="29" t="n">
        <f aca="false">IFERROR(VLOOKUP("AMERICAN TRIPLU CHEESEBURGER LETTUCE WRAP",'FOOD COST'!$A:$Y,21,0),"")</f>
        <v>20.7117117117117</v>
      </c>
      <c r="I37" s="29" t="n">
        <f aca="false">IFERROR(VLOOKUP("AMERICAN TRIPLU CHEESEBURGER LETTUCE WRAP",'FOOD COST'!$A:$Y,24,0),"")</f>
        <v>20.7117117117117</v>
      </c>
      <c r="J37" s="32" t="n">
        <f aca="false">IF(OR(C37="",NOT(ISNUMBER(D37))),"",C37*D37)</f>
        <v>117760.23</v>
      </c>
      <c r="K37" s="52" t="n">
        <f aca="false">IF(OR(C37="",NOT(ISNUMBER(E37))),"",C37*E37)</f>
        <v>128913.27201</v>
      </c>
      <c r="L37" s="32" t="n">
        <f aca="false">IF(OR(C37="",NOT(ISNUMBER(F37))),"",C37*F37)</f>
        <v>176416.216216216</v>
      </c>
      <c r="M37" s="32" t="n">
        <f aca="false">IF(OR(C37="",NOT(ISNUMBER(G37))),"",C37*G37)</f>
        <v>184354.945945946</v>
      </c>
      <c r="N37" s="32" t="n">
        <f aca="false">IF(OR(C37="",NOT(ISNUMBER(H37))),"",C37*H37)</f>
        <v>184354.945945946</v>
      </c>
      <c r="O37" s="32" t="n">
        <f aca="false">IF(OR(C37="",NOT(ISNUMBER(I37))),"",C37*I37)</f>
        <v>184354.945945946</v>
      </c>
    </row>
    <row r="38" customFormat="false" ht="15" hidden="false" customHeight="true" outlineLevel="0" collapsed="false">
      <c r="A38" s="5" t="s">
        <v>349</v>
      </c>
      <c r="B38" s="5" t="s">
        <v>645</v>
      </c>
      <c r="C38" s="51" t="n">
        <v>5528</v>
      </c>
      <c r="D38" s="29" t="n">
        <f aca="false">IFERROR(VLOOKUP("AMERICAN TRIPLU CHEESEBURGER LETTUCE WRAP D",'FOOD COST'!$A:$Y,7,0),"")</f>
        <v>13.23</v>
      </c>
      <c r="E38" s="30" t="n">
        <f aca="false">IFERROR(VLOOKUP("AMERICAN TRIPLU CHEESEBURGER LETTUCE WRAP D",'FOOD COST'!$A:$Y,8,0),"")</f>
        <v>14.48301</v>
      </c>
      <c r="F38" s="29" t="n">
        <f aca="false">IFERROR(VLOOKUP("AMERICAN TRIPLU CHEESEBURGER LETTUCE WRAP D",'FOOD COST'!$A:$Y,10,0),"")</f>
        <v>22.5225225225225</v>
      </c>
      <c r="G38" s="29" t="n">
        <f aca="false">IFERROR(VLOOKUP("AMERICAN TRIPLU CHEESEBURGER LETTUCE WRAP D",'FOOD COST'!$A:$Y,18,0),"")</f>
        <v>23.4144144144144</v>
      </c>
      <c r="H38" s="29" t="n">
        <f aca="false">IFERROR(VLOOKUP("AMERICAN TRIPLU CHEESEBURGER LETTUCE WRAP D",'FOOD COST'!$A:$Y,21,0),"")</f>
        <v>23.4144144144144</v>
      </c>
      <c r="I38" s="29" t="n">
        <f aca="false">IFERROR(VLOOKUP("AMERICAN TRIPLU CHEESEBURGER LETTUCE WRAP D",'FOOD COST'!$A:$Y,24,0),"")</f>
        <v>23.4144144144144</v>
      </c>
      <c r="J38" s="32" t="n">
        <f aca="false">IF(OR(C38="",NOT(ISNUMBER(D38))),"",C38*D38)</f>
        <v>73135.44</v>
      </c>
      <c r="K38" s="52" t="n">
        <f aca="false">IF(OR(C38="",NOT(ISNUMBER(E38))),"",C38*E38)</f>
        <v>80062.07928</v>
      </c>
      <c r="L38" s="32" t="n">
        <f aca="false">IF(OR(C38="",NOT(ISNUMBER(F38))),"",C38*F38)</f>
        <v>124504.504504505</v>
      </c>
      <c r="M38" s="32" t="n">
        <f aca="false">IF(OR(C38="",NOT(ISNUMBER(G38))),"",C38*G38)</f>
        <v>129434.882882883</v>
      </c>
      <c r="N38" s="32" t="n">
        <f aca="false">IF(OR(C38="",NOT(ISNUMBER(H38))),"",C38*H38)</f>
        <v>129434.882882883</v>
      </c>
      <c r="O38" s="32" t="n">
        <f aca="false">IF(OR(C38="",NOT(ISNUMBER(I38))),"",C38*I38)</f>
        <v>129434.882882883</v>
      </c>
    </row>
    <row r="39" customFormat="false" ht="15" hidden="false" customHeight="true" outlineLevel="0" collapsed="false">
      <c r="A39" s="5" t="s">
        <v>670</v>
      </c>
      <c r="B39" s="5" t="s">
        <v>642</v>
      </c>
      <c r="C39" s="51" t="n">
        <v>36505</v>
      </c>
      <c r="D39" s="29" t="n">
        <f aca="false">IFERROR(VLOOKUP("PUI BURGER",'FOOD COST'!$A:$Y,7,0),"")</f>
        <v>4.337024</v>
      </c>
      <c r="E39" s="30" t="n">
        <f aca="false">IFERROR(VLOOKUP("PUI BURGER",'FOOD COST'!$A:$Y,8,0),"")</f>
        <v>4.337024</v>
      </c>
      <c r="F39" s="29" t="n">
        <f aca="false">IFERROR(VLOOKUP("PUI BURGER",'FOOD COST'!$A:$Y,10,0),"")</f>
        <v>6.30630630630631</v>
      </c>
      <c r="G39" s="29" t="n">
        <f aca="false">IFERROR(VLOOKUP("PUI BURGER",'FOOD COST'!$A:$Y,18,0),"")</f>
        <v>6.30630630630631</v>
      </c>
      <c r="H39" s="29" t="n">
        <f aca="false">IFERROR(VLOOKUP("PUI BURGER",'FOOD COST'!$A:$Y,21,0),"")</f>
        <v>6.74774774774775</v>
      </c>
      <c r="I39" s="29" t="n">
        <f aca="false">IFERROR(VLOOKUP("PUI BURGER",'FOOD COST'!$A:$Y,24,0),"")</f>
        <v>7.1981981981982</v>
      </c>
      <c r="J39" s="32" t="n">
        <f aca="false">IF(OR(C39="",NOT(ISNUMBER(D39))),"",C39*D39)</f>
        <v>158323.06112</v>
      </c>
      <c r="K39" s="52" t="n">
        <f aca="false">IF(OR(C39="",NOT(ISNUMBER(E39))),"",C39*E39)</f>
        <v>158323.06112</v>
      </c>
      <c r="L39" s="32" t="n">
        <f aca="false">IF(OR(C39="",NOT(ISNUMBER(F39))),"",C39*F39)</f>
        <v>230211.711711712</v>
      </c>
      <c r="M39" s="32" t="n">
        <f aca="false">IF(OR(C39="",NOT(ISNUMBER(G39))),"",C39*G39)</f>
        <v>230211.711711712</v>
      </c>
      <c r="N39" s="32" t="n">
        <f aca="false">IF(OR(C39="",NOT(ISNUMBER(H39))),"",C39*H39)</f>
        <v>246326.531531532</v>
      </c>
      <c r="O39" s="32" t="n">
        <f aca="false">IF(OR(C39="",NOT(ISNUMBER(I39))),"",C39*I39)</f>
        <v>262770.225225225</v>
      </c>
    </row>
    <row r="40" customFormat="false" ht="15" hidden="false" customHeight="true" outlineLevel="0" collapsed="false">
      <c r="A40" s="5" t="s">
        <v>671</v>
      </c>
      <c r="B40" s="5" t="s">
        <v>645</v>
      </c>
      <c r="C40" s="51" t="n">
        <v>9356</v>
      </c>
      <c r="D40" s="29" t="n">
        <f aca="false">IFERROR(VLOOKUP("PUI BURGER D",'FOOD COST'!$A:$Y,7,0),"")</f>
        <v>4.337024</v>
      </c>
      <c r="E40" s="30" t="n">
        <f aca="false">IFERROR(VLOOKUP("PUI BURGER D",'FOOD COST'!$A:$Y,8,0),"")</f>
        <v>4.337024</v>
      </c>
      <c r="F40" s="29" t="n">
        <f aca="false">IFERROR(VLOOKUP("PUI BURGER D",'FOOD COST'!$A:$Y,10,0),"")</f>
        <v>9.00900900900901</v>
      </c>
      <c r="G40" s="29" t="n">
        <f aca="false">IFERROR(VLOOKUP("PUI BURGER D",'FOOD COST'!$A:$Y,18,0),"")</f>
        <v>9.00900900900901</v>
      </c>
      <c r="H40" s="29" t="n">
        <f aca="false">IFERROR(VLOOKUP("PUI BURGER D",'FOOD COST'!$A:$Y,21,0),"")</f>
        <v>9.45045045045045</v>
      </c>
      <c r="I40" s="29" t="n">
        <f aca="false">IFERROR(VLOOKUP("PUI BURGER D",'FOOD COST'!$A:$Y,24,0),"")</f>
        <v>9.9009009009009</v>
      </c>
      <c r="J40" s="32" t="n">
        <f aca="false">IF(OR(C40="",NOT(ISNUMBER(D40))),"",C40*D40)</f>
        <v>40577.196544</v>
      </c>
      <c r="K40" s="52" t="n">
        <f aca="false">IF(OR(C40="",NOT(ISNUMBER(E40))),"",C40*E40)</f>
        <v>40577.196544</v>
      </c>
      <c r="L40" s="32" t="n">
        <f aca="false">IF(OR(C40="",NOT(ISNUMBER(F40))),"",C40*F40)</f>
        <v>84288.2882882883</v>
      </c>
      <c r="M40" s="32" t="n">
        <f aca="false">IF(OR(C40="",NOT(ISNUMBER(G40))),"",C40*G40)</f>
        <v>84288.2882882883</v>
      </c>
      <c r="N40" s="32" t="n">
        <f aca="false">IF(OR(C40="",NOT(ISNUMBER(H40))),"",C40*H40)</f>
        <v>88418.4144144144</v>
      </c>
      <c r="O40" s="32" t="n">
        <f aca="false">IF(OR(C40="",NOT(ISNUMBER(I40))),"",C40*I40)</f>
        <v>92632.8288288288</v>
      </c>
    </row>
    <row r="41" customFormat="false" ht="15" hidden="false" customHeight="true" outlineLevel="0" collapsed="false">
      <c r="A41" s="5" t="s">
        <v>672</v>
      </c>
      <c r="B41" s="5" t="s">
        <v>642</v>
      </c>
      <c r="C41" s="51" t="n">
        <v>4418</v>
      </c>
      <c r="D41" s="29" t="n">
        <f aca="false">IFERROR(VLOOKUP("DUBLU PUI BURGER",'FOOD COST'!$A:$Y,7,0),"")</f>
        <v>6.368024</v>
      </c>
      <c r="E41" s="30" t="n">
        <f aca="false">IFERROR(VLOOKUP("DUBLU PUI BURGER",'FOOD COST'!$A:$Y,8,0),"")</f>
        <v>6.368024</v>
      </c>
      <c r="F41" s="29" t="n">
        <f aca="false">IFERROR(VLOOKUP("DUBLU PUI BURGER",'FOOD COST'!$A:$Y,10,0),"")</f>
        <v>13.5135135135135</v>
      </c>
      <c r="G41" s="29" t="n">
        <f aca="false">IFERROR(VLOOKUP("DUBLU PUI BURGER",'FOOD COST'!$A:$Y,18,0),"")</f>
        <v>13.954954954955</v>
      </c>
      <c r="H41" s="29" t="n">
        <f aca="false">IFERROR(VLOOKUP("DUBLU PUI BURGER",'FOOD COST'!$A:$Y,21,0),"")</f>
        <v>14.4054054054054</v>
      </c>
      <c r="I41" s="29" t="n">
        <f aca="false">IFERROR(VLOOKUP("DUBLU PUI BURGER",'FOOD COST'!$A:$Y,24,0),"")</f>
        <v>14.8558558558559</v>
      </c>
      <c r="J41" s="32" t="n">
        <f aca="false">IF(OR(C41="",NOT(ISNUMBER(D41))),"",C41*D41)</f>
        <v>28133.930032</v>
      </c>
      <c r="K41" s="52" t="n">
        <f aca="false">IF(OR(C41="",NOT(ISNUMBER(E41))),"",C41*E41)</f>
        <v>28133.930032</v>
      </c>
      <c r="L41" s="32" t="n">
        <f aca="false">IF(OR(C41="",NOT(ISNUMBER(F41))),"",C41*F41)</f>
        <v>59702.7027027027</v>
      </c>
      <c r="M41" s="32" t="n">
        <f aca="false">IF(OR(C41="",NOT(ISNUMBER(G41))),"",C41*G41)</f>
        <v>61652.990990991</v>
      </c>
      <c r="N41" s="32" t="n">
        <f aca="false">IF(OR(C41="",NOT(ISNUMBER(H41))),"",C41*H41)</f>
        <v>63643.0810810811</v>
      </c>
      <c r="O41" s="32" t="n">
        <f aca="false">IF(OR(C41="",NOT(ISNUMBER(I41))),"",C41*I41)</f>
        <v>65633.1711711712</v>
      </c>
    </row>
    <row r="42" customFormat="false" ht="15" hidden="false" customHeight="true" outlineLevel="0" collapsed="false">
      <c r="A42" s="5" t="s">
        <v>673</v>
      </c>
      <c r="B42" s="5" t="s">
        <v>645</v>
      </c>
      <c r="C42" s="51" t="n">
        <v>4259</v>
      </c>
      <c r="D42" s="29" t="n">
        <f aca="false">IFERROR(VLOOKUP("DUBLU PUI BURGER D",'FOOD COST'!$A:$Y,7,0),"")</f>
        <v>6.368024</v>
      </c>
      <c r="E42" s="30" t="n">
        <f aca="false">IFERROR(VLOOKUP("DUBLU PUI BURGER D",'FOOD COST'!$A:$Y,8,0),"")</f>
        <v>6.368024</v>
      </c>
      <c r="F42" s="29" t="n">
        <f aca="false">IFERROR(VLOOKUP("DUBLU PUI BURGER D",'FOOD COST'!$A:$Y,10,0),"")</f>
        <v>16.2162162162162</v>
      </c>
      <c r="G42" s="29" t="n">
        <f aca="false">IFERROR(VLOOKUP("DUBLU PUI BURGER D",'FOOD COST'!$A:$Y,18,0),"")</f>
        <v>16.6576576576577</v>
      </c>
      <c r="H42" s="29" t="n">
        <f aca="false">IFERROR(VLOOKUP("DUBLU PUI BURGER D",'FOOD COST'!$A:$Y,21,0),"")</f>
        <v>17.1081081081081</v>
      </c>
      <c r="I42" s="29" t="n">
        <f aca="false">IFERROR(VLOOKUP("DUBLU PUI BURGER D",'FOOD COST'!$A:$Y,24,0),"")</f>
        <v>17.5585585585586</v>
      </c>
      <c r="J42" s="32" t="n">
        <f aca="false">IF(OR(C42="",NOT(ISNUMBER(D42))),"",C42*D42)</f>
        <v>27121.414216</v>
      </c>
      <c r="K42" s="52" t="n">
        <f aca="false">IF(OR(C42="",NOT(ISNUMBER(E42))),"",C42*E42)</f>
        <v>27121.414216</v>
      </c>
      <c r="L42" s="32" t="n">
        <f aca="false">IF(OR(C42="",NOT(ISNUMBER(F42))),"",C42*F42)</f>
        <v>69064.8648648649</v>
      </c>
      <c r="M42" s="32" t="n">
        <f aca="false">IF(OR(C42="",NOT(ISNUMBER(G42))),"",C42*G42)</f>
        <v>70944.963963964</v>
      </c>
      <c r="N42" s="32" t="n">
        <f aca="false">IF(OR(C42="",NOT(ISNUMBER(H42))),"",C42*H42)</f>
        <v>72863.4324324324</v>
      </c>
      <c r="O42" s="32" t="n">
        <f aca="false">IF(OR(C42="",NOT(ISNUMBER(I42))),"",C42*I42)</f>
        <v>74781.9009009009</v>
      </c>
    </row>
    <row r="43" customFormat="false" ht="15" hidden="false" customHeight="true" outlineLevel="0" collapsed="false">
      <c r="A43" s="5" t="s">
        <v>674</v>
      </c>
      <c r="B43" s="5" t="s">
        <v>642</v>
      </c>
      <c r="C43" s="51" t="n">
        <v>1850</v>
      </c>
      <c r="D43" s="29" t="n">
        <f aca="false">IFERROR(VLOOKUP("HOMESTYLE CHICKEN PESTO",'FOOD COST'!$A:$Y,7,0),"")</f>
        <v>10.961048</v>
      </c>
      <c r="E43" s="30" t="n">
        <f aca="false">IFERROR(VLOOKUP("HOMESTYLE CHICKEN PESTO",'FOOD COST'!$A:$Y,8,0),"")</f>
        <v>10.961048</v>
      </c>
      <c r="F43" s="29" t="n">
        <f aca="false">IFERROR(VLOOKUP("HOMESTYLE CHICKEN PESTO",'FOOD COST'!$A:$Y,10,0),"")</f>
        <v>23.4234234234234</v>
      </c>
      <c r="G43" s="29" t="n">
        <f aca="false">IFERROR(VLOOKUP("HOMESTYLE CHICKEN PESTO",'FOOD COST'!$A:$Y,18,0),"")</f>
        <v>24.3153153153153</v>
      </c>
      <c r="H43" s="29" t="n">
        <f aca="false">IFERROR(VLOOKUP("HOMESTYLE CHICKEN PESTO",'FOOD COST'!$A:$Y,21,0),"")</f>
        <v>24.3153153153153</v>
      </c>
      <c r="I43" s="29" t="n">
        <f aca="false">IFERROR(VLOOKUP("HOMESTYLE CHICKEN PESTO",'FOOD COST'!$A:$Y,24,0),"")</f>
        <v>24.3153153153153</v>
      </c>
      <c r="J43" s="32" t="n">
        <f aca="false">IF(OR(C43="",NOT(ISNUMBER(D43))),"",C43*D43)</f>
        <v>20277.9388</v>
      </c>
      <c r="K43" s="52" t="n">
        <f aca="false">IF(OR(C43="",NOT(ISNUMBER(E43))),"",C43*E43)</f>
        <v>20277.9388</v>
      </c>
      <c r="L43" s="32" t="n">
        <f aca="false">IF(OR(C43="",NOT(ISNUMBER(F43))),"",C43*F43)</f>
        <v>43333.3333333333</v>
      </c>
      <c r="M43" s="32" t="n">
        <f aca="false">IF(OR(C43="",NOT(ISNUMBER(G43))),"",C43*G43)</f>
        <v>44983.3333333333</v>
      </c>
      <c r="N43" s="32" t="n">
        <f aca="false">IF(OR(C43="",NOT(ISNUMBER(H43))),"",C43*H43)</f>
        <v>44983.3333333333</v>
      </c>
      <c r="O43" s="32" t="n">
        <f aca="false">IF(OR(C43="",NOT(ISNUMBER(I43))),"",C43*I43)</f>
        <v>44983.3333333333</v>
      </c>
    </row>
    <row r="44" customFormat="false" ht="15" hidden="false" customHeight="true" outlineLevel="0" collapsed="false">
      <c r="A44" s="5" t="s">
        <v>675</v>
      </c>
      <c r="B44" s="5" t="s">
        <v>645</v>
      </c>
      <c r="C44" s="51" t="n">
        <v>939</v>
      </c>
      <c r="D44" s="29" t="n">
        <f aca="false">IFERROR(VLOOKUP("HOMESTYLE CHICKEN PESTO D",'FOOD COST'!$A:$Y,7,0),"")</f>
        <v>10.961048</v>
      </c>
      <c r="E44" s="30" t="n">
        <f aca="false">IFERROR(VLOOKUP("HOMESTYLE CHICKEN PESTO D",'FOOD COST'!$A:$Y,8,0),"")</f>
        <v>10.961048</v>
      </c>
      <c r="F44" s="29" t="n">
        <f aca="false">IFERROR(VLOOKUP("HOMESTYLE CHICKEN PESTO D",'FOOD COST'!$A:$Y,10,0),"")</f>
        <v>25.6756756756757</v>
      </c>
      <c r="G44" s="29" t="n">
        <f aca="false">IFERROR(VLOOKUP("HOMESTYLE CHICKEN PESTO D",'FOOD COST'!$A:$Y,18,0),"")</f>
        <v>26.5675675675676</v>
      </c>
      <c r="H44" s="29" t="n">
        <f aca="false">IFERROR(VLOOKUP("HOMESTYLE CHICKEN PESTO D",'FOOD COST'!$A:$Y,21,0),"")</f>
        <v>26.5675675675676</v>
      </c>
      <c r="I44" s="29" t="n">
        <f aca="false">IFERROR(VLOOKUP("HOMESTYLE CHICKEN PESTO D",'FOOD COST'!$A:$Y,24,0),"")</f>
        <v>26.5675675675676</v>
      </c>
      <c r="J44" s="32" t="n">
        <f aca="false">IF(OR(C44="",NOT(ISNUMBER(D44))),"",C44*D44)</f>
        <v>10292.424072</v>
      </c>
      <c r="K44" s="52" t="n">
        <f aca="false">IF(OR(C44="",NOT(ISNUMBER(E44))),"",C44*E44)</f>
        <v>10292.424072</v>
      </c>
      <c r="L44" s="32" t="n">
        <f aca="false">IF(OR(C44="",NOT(ISNUMBER(F44))),"",C44*F44)</f>
        <v>24109.4594594595</v>
      </c>
      <c r="M44" s="32" t="n">
        <f aca="false">IF(OR(C44="",NOT(ISNUMBER(G44))),"",C44*G44)</f>
        <v>24946.9459459459</v>
      </c>
      <c r="N44" s="32" t="n">
        <f aca="false">IF(OR(C44="",NOT(ISNUMBER(H44))),"",C44*H44)</f>
        <v>24946.9459459459</v>
      </c>
      <c r="O44" s="32" t="n">
        <f aca="false">IF(OR(C44="",NOT(ISNUMBER(I44))),"",C44*I44)</f>
        <v>24946.9459459459</v>
      </c>
    </row>
    <row r="45" customFormat="false" ht="15" hidden="false" customHeight="true" outlineLevel="0" collapsed="false">
      <c r="A45" s="5" t="s">
        <v>676</v>
      </c>
      <c r="B45" s="5" t="s">
        <v>642</v>
      </c>
      <c r="C45" s="51" t="n">
        <v>4017</v>
      </c>
      <c r="D45" s="29" t="n">
        <f aca="false">IFERROR(VLOOKUP("HOMESTYLE CHICKEN LEMON",'FOOD COST'!$A:$Y,7,0),"")</f>
        <v>10.811248</v>
      </c>
      <c r="E45" s="30" t="n">
        <f aca="false">IFERROR(VLOOKUP("HOMESTYLE CHICKEN LEMON",'FOOD COST'!$A:$Y,8,0),"")</f>
        <v>10.811248</v>
      </c>
      <c r="F45" s="29" t="n">
        <f aca="false">IFERROR(VLOOKUP("HOMESTYLE CHICKEN LEMON",'FOOD COST'!$A:$Y,10,0),"")</f>
        <v>23.4234234234234</v>
      </c>
      <c r="G45" s="29" t="n">
        <f aca="false">IFERROR(VLOOKUP("HOMESTYLE CHICKEN LEMON",'FOOD COST'!$A:$Y,18,0),"")</f>
        <v>24.3153153153153</v>
      </c>
      <c r="H45" s="29" t="n">
        <f aca="false">IFERROR(VLOOKUP("HOMESTYLE CHICKEN LEMON",'FOOD COST'!$A:$Y,21,0),"")</f>
        <v>24.3153153153153</v>
      </c>
      <c r="I45" s="29" t="n">
        <f aca="false">IFERROR(VLOOKUP("HOMESTYLE CHICKEN LEMON",'FOOD COST'!$A:$Y,24,0),"")</f>
        <v>24.3153153153153</v>
      </c>
      <c r="J45" s="32" t="n">
        <f aca="false">IF(OR(C45="",NOT(ISNUMBER(D45))),"",C45*D45)</f>
        <v>43428.783216</v>
      </c>
      <c r="K45" s="52" t="n">
        <f aca="false">IF(OR(C45="",NOT(ISNUMBER(E45))),"",C45*E45)</f>
        <v>43428.783216</v>
      </c>
      <c r="L45" s="32" t="n">
        <f aca="false">IF(OR(C45="",NOT(ISNUMBER(F45))),"",C45*F45)</f>
        <v>94091.8918918919</v>
      </c>
      <c r="M45" s="32" t="n">
        <f aca="false">IF(OR(C45="",NOT(ISNUMBER(G45))),"",C45*G45)</f>
        <v>97674.6216216216</v>
      </c>
      <c r="N45" s="32" t="n">
        <f aca="false">IF(OR(C45="",NOT(ISNUMBER(H45))),"",C45*H45)</f>
        <v>97674.6216216216</v>
      </c>
      <c r="O45" s="32" t="n">
        <f aca="false">IF(OR(C45="",NOT(ISNUMBER(I45))),"",C45*I45)</f>
        <v>97674.6216216216</v>
      </c>
    </row>
    <row r="46" customFormat="false" ht="15" hidden="false" customHeight="true" outlineLevel="0" collapsed="false">
      <c r="A46" s="5" t="s">
        <v>677</v>
      </c>
      <c r="B46" s="5" t="s">
        <v>645</v>
      </c>
      <c r="C46" s="51" t="n">
        <v>1177</v>
      </c>
      <c r="D46" s="29" t="n">
        <f aca="false">IFERROR(VLOOKUP("HOMESTYLE CHICKEN LEMON D",'FOOD COST'!$A:$Y,7,0),"")</f>
        <v>10.811248</v>
      </c>
      <c r="E46" s="30" t="n">
        <f aca="false">IFERROR(VLOOKUP("HOMESTYLE CHICKEN LEMON D",'FOOD COST'!$A:$Y,8,0),"")</f>
        <v>10.811248</v>
      </c>
      <c r="F46" s="29" t="n">
        <f aca="false">IFERROR(VLOOKUP("HOMESTYLE CHICKEN LEMON D",'FOOD COST'!$A:$Y,10,0),"")</f>
        <v>25.2252252252252</v>
      </c>
      <c r="G46" s="29" t="n">
        <f aca="false">IFERROR(VLOOKUP("HOMESTYLE CHICKEN LEMON D",'FOOD COST'!$A:$Y,18,0),"")</f>
        <v>26.1171171171171</v>
      </c>
      <c r="H46" s="29" t="n">
        <f aca="false">IFERROR(VLOOKUP("HOMESTYLE CHICKEN LEMON D",'FOOD COST'!$A:$Y,21,0),"")</f>
        <v>26.1171171171171</v>
      </c>
      <c r="I46" s="29" t="n">
        <f aca="false">IFERROR(VLOOKUP("HOMESTYLE CHICKEN LEMON D",'FOOD COST'!$A:$Y,24,0),"")</f>
        <v>26.1171171171171</v>
      </c>
      <c r="J46" s="32" t="n">
        <f aca="false">IF(OR(C46="",NOT(ISNUMBER(D46))),"",C46*D46)</f>
        <v>12724.838896</v>
      </c>
      <c r="K46" s="52" t="n">
        <f aca="false">IF(OR(C46="",NOT(ISNUMBER(E46))),"",C46*E46)</f>
        <v>12724.838896</v>
      </c>
      <c r="L46" s="32" t="n">
        <f aca="false">IF(OR(C46="",NOT(ISNUMBER(F46))),"",C46*F46)</f>
        <v>29690.0900900901</v>
      </c>
      <c r="M46" s="32" t="n">
        <f aca="false">IF(OR(C46="",NOT(ISNUMBER(G46))),"",C46*G46)</f>
        <v>30739.8468468468</v>
      </c>
      <c r="N46" s="32" t="n">
        <f aca="false">IF(OR(C46="",NOT(ISNUMBER(H46))),"",C46*H46)</f>
        <v>30739.8468468468</v>
      </c>
      <c r="O46" s="32" t="n">
        <f aca="false">IF(OR(C46="",NOT(ISNUMBER(I46))),"",C46*I46)</f>
        <v>30739.8468468468</v>
      </c>
    </row>
    <row r="47" customFormat="false" ht="15" hidden="false" customHeight="true" outlineLevel="0" collapsed="false">
      <c r="A47" s="5" t="s">
        <v>678</v>
      </c>
      <c r="B47" s="5" t="s">
        <v>642</v>
      </c>
      <c r="C47" s="51" t="n">
        <v>10348</v>
      </c>
      <c r="D47" s="29" t="n">
        <f aca="false">IFERROR(VLOOKUP("HOMESTYLE CHICKEN RANCH",'FOOD COST'!$A:$Y,7,0),"")</f>
        <v>10.196948</v>
      </c>
      <c r="E47" s="30" t="n">
        <f aca="false">IFERROR(VLOOKUP("HOMESTYLE CHICKEN RANCH",'FOOD COST'!$A:$Y,8,0),"")</f>
        <v>10.196948</v>
      </c>
      <c r="F47" s="29" t="n">
        <f aca="false">IFERROR(VLOOKUP("HOMESTYLE CHICKEN RANCH",'FOOD COST'!$A:$Y,10,0),"")</f>
        <v>23.4234234234234</v>
      </c>
      <c r="G47" s="29" t="n">
        <f aca="false">IFERROR(VLOOKUP("HOMESTYLE CHICKEN RANCH",'FOOD COST'!$A:$Y,18,0),"")</f>
        <v>24.3153153153153</v>
      </c>
      <c r="H47" s="29" t="n">
        <f aca="false">IFERROR(VLOOKUP("HOMESTYLE CHICKEN RANCH",'FOOD COST'!$A:$Y,21,0),"")</f>
        <v>24.3153153153153</v>
      </c>
      <c r="I47" s="29" t="n">
        <f aca="false">IFERROR(VLOOKUP("HOMESTYLE CHICKEN RANCH",'FOOD COST'!$A:$Y,24,0),"")</f>
        <v>24.3153153153153</v>
      </c>
      <c r="J47" s="32" t="n">
        <f aca="false">IF(OR(C47="",NOT(ISNUMBER(D47))),"",C47*D47)</f>
        <v>105518.017904</v>
      </c>
      <c r="K47" s="52" t="n">
        <f aca="false">IF(OR(C47="",NOT(ISNUMBER(E47))),"",C47*E47)</f>
        <v>105518.017904</v>
      </c>
      <c r="L47" s="32" t="n">
        <f aca="false">IF(OR(C47="",NOT(ISNUMBER(F47))),"",C47*F47)</f>
        <v>242385.585585586</v>
      </c>
      <c r="M47" s="32" t="n">
        <f aca="false">IF(OR(C47="",NOT(ISNUMBER(G47))),"",C47*G47)</f>
        <v>251614.882882883</v>
      </c>
      <c r="N47" s="32" t="n">
        <f aca="false">IF(OR(C47="",NOT(ISNUMBER(H47))),"",C47*H47)</f>
        <v>251614.882882883</v>
      </c>
      <c r="O47" s="32" t="n">
        <f aca="false">IF(OR(C47="",NOT(ISNUMBER(I47))),"",C47*I47)</f>
        <v>251614.882882883</v>
      </c>
    </row>
    <row r="48" customFormat="false" ht="15" hidden="false" customHeight="true" outlineLevel="0" collapsed="false">
      <c r="A48" s="5" t="s">
        <v>679</v>
      </c>
      <c r="B48" s="5" t="s">
        <v>645</v>
      </c>
      <c r="C48" s="51" t="n">
        <v>4620</v>
      </c>
      <c r="D48" s="29" t="n">
        <f aca="false">IFERROR(VLOOKUP("HOMESTYLE CHICKEN RANCH D",'FOOD COST'!$A:$Y,7,0),"")</f>
        <v>10.196948</v>
      </c>
      <c r="E48" s="30" t="n">
        <f aca="false">IFERROR(VLOOKUP("HOMESTYLE CHICKEN RANCH D",'FOOD COST'!$A:$Y,8,0),"")</f>
        <v>10.196948</v>
      </c>
      <c r="F48" s="29" t="n">
        <f aca="false">IFERROR(VLOOKUP("HOMESTYLE CHICKEN RANCH D",'FOOD COST'!$A:$Y,10,0),"")</f>
        <v>25.2252252252252</v>
      </c>
      <c r="G48" s="29" t="n">
        <f aca="false">IFERROR(VLOOKUP("HOMESTYLE CHICKEN RANCH D",'FOOD COST'!$A:$Y,18,0),"")</f>
        <v>26.1171171171171</v>
      </c>
      <c r="H48" s="29" t="n">
        <f aca="false">IFERROR(VLOOKUP("HOMESTYLE CHICKEN RANCH D",'FOOD COST'!$A:$Y,21,0),"")</f>
        <v>26.1171171171171</v>
      </c>
      <c r="I48" s="29" t="n">
        <f aca="false">IFERROR(VLOOKUP("HOMESTYLE CHICKEN RANCH D",'FOOD COST'!$A:$Y,24,0),"")</f>
        <v>26.1171171171171</v>
      </c>
      <c r="J48" s="32" t="n">
        <f aca="false">IF(OR(C48="",NOT(ISNUMBER(D48))),"",C48*D48)</f>
        <v>47109.89976</v>
      </c>
      <c r="K48" s="52" t="n">
        <f aca="false">IF(OR(C48="",NOT(ISNUMBER(E48))),"",C48*E48)</f>
        <v>47109.89976</v>
      </c>
      <c r="L48" s="32" t="n">
        <f aca="false">IF(OR(C48="",NOT(ISNUMBER(F48))),"",C48*F48)</f>
        <v>116540.540540541</v>
      </c>
      <c r="M48" s="32" t="n">
        <f aca="false">IF(OR(C48="",NOT(ISNUMBER(G48))),"",C48*G48)</f>
        <v>120661.081081081</v>
      </c>
      <c r="N48" s="32" t="n">
        <f aca="false">IF(OR(C48="",NOT(ISNUMBER(H48))),"",C48*H48)</f>
        <v>120661.081081081</v>
      </c>
      <c r="O48" s="32" t="n">
        <f aca="false">IF(OR(C48="",NOT(ISNUMBER(I48))),"",C48*I48)</f>
        <v>120661.081081081</v>
      </c>
    </row>
    <row r="49" customFormat="false" ht="15" hidden="false" customHeight="true" outlineLevel="0" collapsed="false">
      <c r="A49" s="5" t="s">
        <v>680</v>
      </c>
      <c r="B49" s="5" t="s">
        <v>642</v>
      </c>
      <c r="C49" s="51" t="n">
        <v>8204</v>
      </c>
      <c r="D49" s="29" t="n">
        <f aca="false">IFERROR(VLOOKUP("CHICKEN TRUFFLE",'FOOD COST'!$A:$Y,7,0),"")</f>
        <v>5.615394</v>
      </c>
      <c r="E49" s="30" t="n">
        <f aca="false">IFERROR(VLOOKUP("CHICKEN TRUFFLE",'FOOD COST'!$A:$Y,8,0),"")</f>
        <v>5.615394</v>
      </c>
      <c r="F49" s="29" t="n">
        <f aca="false">IFERROR(VLOOKUP("CHICKEN TRUFFLE",'FOOD COST'!$A:$Y,10,0),"")</f>
        <v>12.6126126126126</v>
      </c>
      <c r="G49" s="29" t="n">
        <f aca="false">IFERROR(VLOOKUP("CHICKEN TRUFFLE",'FOOD COST'!$A:$Y,18,0),"")</f>
        <v>13.0540540540541</v>
      </c>
      <c r="H49" s="29" t="n">
        <f aca="false">IFERROR(VLOOKUP("CHICKEN TRUFFLE",'FOOD COST'!$A:$Y,21,0),"")</f>
        <v>13.0540540540541</v>
      </c>
      <c r="I49" s="29" t="n">
        <f aca="false">IFERROR(VLOOKUP("CHICKEN TRUFFLE",'FOOD COST'!$A:$Y,24,0),"")</f>
        <v>13.0540540540541</v>
      </c>
      <c r="J49" s="32" t="n">
        <f aca="false">IF(OR(C49="",NOT(ISNUMBER(D49))),"",C49*D49)</f>
        <v>46068.692376</v>
      </c>
      <c r="K49" s="52" t="n">
        <f aca="false">IF(OR(C49="",NOT(ISNUMBER(E49))),"",C49*E49)</f>
        <v>46068.692376</v>
      </c>
      <c r="L49" s="32" t="n">
        <f aca="false">IF(OR(C49="",NOT(ISNUMBER(F49))),"",C49*F49)</f>
        <v>103473.873873874</v>
      </c>
      <c r="M49" s="32" t="n">
        <f aca="false">IF(OR(C49="",NOT(ISNUMBER(G49))),"",C49*G49)</f>
        <v>107095.459459459</v>
      </c>
      <c r="N49" s="32" t="n">
        <f aca="false">IF(OR(C49="",NOT(ISNUMBER(H49))),"",C49*H49)</f>
        <v>107095.459459459</v>
      </c>
      <c r="O49" s="32" t="n">
        <f aca="false">IF(OR(C49="",NOT(ISNUMBER(I49))),"",C49*I49)</f>
        <v>107095.459459459</v>
      </c>
    </row>
    <row r="50" customFormat="false" ht="15" hidden="false" customHeight="true" outlineLevel="0" collapsed="false">
      <c r="A50" s="5" t="s">
        <v>681</v>
      </c>
      <c r="B50" s="5" t="s">
        <v>645</v>
      </c>
      <c r="C50" s="51" t="n">
        <v>3203</v>
      </c>
      <c r="D50" s="29" t="n">
        <f aca="false">IFERROR(VLOOKUP("CHICKEN TRUFFLE D",'FOOD COST'!$A:$Y,7,0),"")</f>
        <v>5.615394</v>
      </c>
      <c r="E50" s="30" t="n">
        <f aca="false">IFERROR(VLOOKUP("CHICKEN TRUFFLE D",'FOOD COST'!$A:$Y,8,0),"")</f>
        <v>5.615394</v>
      </c>
      <c r="F50" s="29" t="n">
        <f aca="false">IFERROR(VLOOKUP("CHICKEN TRUFFLE D",'FOOD COST'!$A:$Y,10,0),"")</f>
        <v>14.4144144144144</v>
      </c>
      <c r="G50" s="29" t="n">
        <f aca="false">IFERROR(VLOOKUP("CHICKEN TRUFFLE D",'FOOD COST'!$A:$Y,18,0),"")</f>
        <v>14.8558558558559</v>
      </c>
      <c r="H50" s="29" t="n">
        <f aca="false">IFERROR(VLOOKUP("CHICKEN TRUFFLE D",'FOOD COST'!$A:$Y,21,0),"")</f>
        <v>14.8558558558559</v>
      </c>
      <c r="I50" s="29" t="n">
        <f aca="false">IFERROR(VLOOKUP("CHICKEN TRUFFLE D",'FOOD COST'!$A:$Y,24,0),"")</f>
        <v>14.8558558558559</v>
      </c>
      <c r="J50" s="32" t="n">
        <f aca="false">IF(OR(C50="",NOT(ISNUMBER(D50))),"",C50*D50)</f>
        <v>17986.106982</v>
      </c>
      <c r="K50" s="52" t="n">
        <f aca="false">IF(OR(C50="",NOT(ISNUMBER(E50))),"",C50*E50)</f>
        <v>17986.106982</v>
      </c>
      <c r="L50" s="32" t="n">
        <f aca="false">IF(OR(C50="",NOT(ISNUMBER(F50))),"",C50*F50)</f>
        <v>46169.3693693694</v>
      </c>
      <c r="M50" s="32" t="n">
        <f aca="false">IF(OR(C50="",NOT(ISNUMBER(G50))),"",C50*G50)</f>
        <v>47583.3063063063</v>
      </c>
      <c r="N50" s="32" t="n">
        <f aca="false">IF(OR(C50="",NOT(ISNUMBER(H50))),"",C50*H50)</f>
        <v>47583.3063063063</v>
      </c>
      <c r="O50" s="32" t="n">
        <f aca="false">IF(OR(C50="",NOT(ISNUMBER(I50))),"",C50*I50)</f>
        <v>47583.3063063063</v>
      </c>
    </row>
    <row r="51" customFormat="false" ht="15" hidden="false" customHeight="true" outlineLevel="0" collapsed="false">
      <c r="A51" s="5" t="s">
        <v>682</v>
      </c>
      <c r="B51" s="5" t="s">
        <v>642</v>
      </c>
      <c r="C51" s="51" t="n">
        <v>3085</v>
      </c>
      <c r="D51" s="29" t="n">
        <f aca="false">IFERROR(VLOOKUP("DUBLU CHICKEN TRUFFLE",'FOOD COST'!$A:$Y,7,0),"")</f>
        <v>7.761518</v>
      </c>
      <c r="E51" s="30" t="n">
        <f aca="false">IFERROR(VLOOKUP("DUBLU CHICKEN TRUFFLE",'FOOD COST'!$A:$Y,8,0),"")</f>
        <v>7.761518</v>
      </c>
      <c r="F51" s="29" t="n">
        <f aca="false">IFERROR(VLOOKUP("DUBLU CHICKEN TRUFFLE",'FOOD COST'!$A:$Y,10,0),"")</f>
        <v>17.1171171171171</v>
      </c>
      <c r="G51" s="29" t="n">
        <f aca="false">IFERROR(VLOOKUP("DUBLU CHICKEN TRUFFLE",'FOOD COST'!$A:$Y,18,0),"")</f>
        <v>18.009009009009</v>
      </c>
      <c r="H51" s="29" t="n">
        <f aca="false">IFERROR(VLOOKUP("DUBLU CHICKEN TRUFFLE",'FOOD COST'!$A:$Y,21,0),"")</f>
        <v>18.009009009009</v>
      </c>
      <c r="I51" s="29" t="n">
        <f aca="false">IFERROR(VLOOKUP("DUBLU CHICKEN TRUFFLE",'FOOD COST'!$A:$Y,24,0),"")</f>
        <v>18.009009009009</v>
      </c>
      <c r="J51" s="32" t="n">
        <f aca="false">IF(OR(C51="",NOT(ISNUMBER(D51))),"",C51*D51)</f>
        <v>23944.28303</v>
      </c>
      <c r="K51" s="52" t="n">
        <f aca="false">IF(OR(C51="",NOT(ISNUMBER(E51))),"",C51*E51)</f>
        <v>23944.28303</v>
      </c>
      <c r="L51" s="32" t="n">
        <f aca="false">IF(OR(C51="",NOT(ISNUMBER(F51))),"",C51*F51)</f>
        <v>52806.3063063063</v>
      </c>
      <c r="M51" s="32" t="n">
        <f aca="false">IF(OR(C51="",NOT(ISNUMBER(G51))),"",C51*G51)</f>
        <v>55557.7927927928</v>
      </c>
      <c r="N51" s="32" t="n">
        <f aca="false">IF(OR(C51="",NOT(ISNUMBER(H51))),"",C51*H51)</f>
        <v>55557.7927927928</v>
      </c>
      <c r="O51" s="32" t="n">
        <f aca="false">IF(OR(C51="",NOT(ISNUMBER(I51))),"",C51*I51)</f>
        <v>55557.7927927928</v>
      </c>
    </row>
    <row r="52" customFormat="false" ht="15" hidden="false" customHeight="true" outlineLevel="0" collapsed="false">
      <c r="A52" s="5" t="s">
        <v>683</v>
      </c>
      <c r="B52" s="5" t="s">
        <v>645</v>
      </c>
      <c r="C52" s="51" t="n">
        <v>4983</v>
      </c>
      <c r="D52" s="29" t="n">
        <f aca="false">IFERROR(VLOOKUP("DUBLU CHICKEN TRUFFLE D",'FOOD COST'!$A:$Y,7,0),"")</f>
        <v>7.761518</v>
      </c>
      <c r="E52" s="30" t="n">
        <f aca="false">IFERROR(VLOOKUP("DUBLU CHICKEN TRUFFLE D",'FOOD COST'!$A:$Y,8,0),"")</f>
        <v>7.761518</v>
      </c>
      <c r="F52" s="29" t="n">
        <f aca="false">IFERROR(VLOOKUP("DUBLU CHICKEN TRUFFLE D",'FOOD COST'!$A:$Y,10,0),"")</f>
        <v>18.9189189189189</v>
      </c>
      <c r="G52" s="29" t="n">
        <f aca="false">IFERROR(VLOOKUP("DUBLU CHICKEN TRUFFLE D",'FOOD COST'!$A:$Y,18,0),"")</f>
        <v>19.8108108108108</v>
      </c>
      <c r="H52" s="29" t="n">
        <f aca="false">IFERROR(VLOOKUP("DUBLU CHICKEN TRUFFLE D",'FOOD COST'!$A:$Y,21,0),"")</f>
        <v>19.8108108108108</v>
      </c>
      <c r="I52" s="29" t="n">
        <f aca="false">IFERROR(VLOOKUP("DUBLU CHICKEN TRUFFLE D",'FOOD COST'!$A:$Y,24,0),"")</f>
        <v>19.8108108108108</v>
      </c>
      <c r="J52" s="32" t="n">
        <f aca="false">IF(OR(C52="",NOT(ISNUMBER(D52))),"",C52*D52)</f>
        <v>38675.644194</v>
      </c>
      <c r="K52" s="52" t="n">
        <f aca="false">IF(OR(C52="",NOT(ISNUMBER(E52))),"",C52*E52)</f>
        <v>38675.644194</v>
      </c>
      <c r="L52" s="32" t="n">
        <f aca="false">IF(OR(C52="",NOT(ISNUMBER(F52))),"",C52*F52)</f>
        <v>94272.972972973</v>
      </c>
      <c r="M52" s="32" t="n">
        <f aca="false">IF(OR(C52="",NOT(ISNUMBER(G52))),"",C52*G52)</f>
        <v>98717.2702702703</v>
      </c>
      <c r="N52" s="32" t="n">
        <f aca="false">IF(OR(C52="",NOT(ISNUMBER(H52))),"",C52*H52)</f>
        <v>98717.2702702703</v>
      </c>
      <c r="O52" s="32" t="n">
        <f aca="false">IF(OR(C52="",NOT(ISNUMBER(I52))),"",C52*I52)</f>
        <v>98717.2702702703</v>
      </c>
    </row>
    <row r="53" customFormat="false" ht="15" hidden="false" customHeight="true" outlineLevel="0" collapsed="false">
      <c r="A53" s="5" t="s">
        <v>365</v>
      </c>
      <c r="B53" s="5" t="s">
        <v>642</v>
      </c>
      <c r="C53" s="51" t="n">
        <v>2661</v>
      </c>
      <c r="D53" s="29" t="n">
        <f aca="false">IFERROR(VLOOKUP("Chicken FryRanch XRemus",'FOOD COST'!$A:$Y,7,0),"")</f>
        <v>4.981324</v>
      </c>
      <c r="E53" s="30" t="n">
        <f aca="false">IFERROR(VLOOKUP("Chicken FryRanch XRemus",'FOOD COST'!$A:$Y,8,0),"")</f>
        <v>4.981324</v>
      </c>
      <c r="F53" s="29" t="n">
        <f aca="false">IFERROR(VLOOKUP("Chicken FryRanch XRemus",'FOOD COST'!$A:$Y,10,0),"")</f>
        <v>16.2162162162162</v>
      </c>
      <c r="G53" s="29" t="n">
        <f aca="false">IFERROR(VLOOKUP("Chicken FryRanch XRemus",'FOOD COST'!$A:$Y,18,0),"")</f>
        <v>16.2162162162162</v>
      </c>
      <c r="H53" s="29" t="n">
        <f aca="false">IFERROR(VLOOKUP("Chicken FryRanch XRemus",'FOOD COST'!$A:$Y,21,0),"")</f>
        <v>16.2162162162162</v>
      </c>
      <c r="I53" s="29" t="n">
        <f aca="false">IFERROR(VLOOKUP("Chicken FryRanch XRemus",'FOOD COST'!$A:$Y,24,0),"")</f>
        <v>16.2162162162162</v>
      </c>
      <c r="J53" s="32" t="n">
        <f aca="false">IF(OR(C53="",NOT(ISNUMBER(D53))),"",C53*D53)</f>
        <v>13255.303164</v>
      </c>
      <c r="K53" s="52" t="n">
        <f aca="false">IF(OR(C53="",NOT(ISNUMBER(E53))),"",C53*E53)</f>
        <v>13255.303164</v>
      </c>
      <c r="L53" s="32" t="n">
        <f aca="false">IF(OR(C53="",NOT(ISNUMBER(F53))),"",C53*F53)</f>
        <v>43151.3513513513</v>
      </c>
      <c r="M53" s="32" t="n">
        <f aca="false">IF(OR(C53="",NOT(ISNUMBER(G53))),"",C53*G53)</f>
        <v>43151.3513513513</v>
      </c>
      <c r="N53" s="32" t="n">
        <f aca="false">IF(OR(C53="",NOT(ISNUMBER(H53))),"",C53*H53)</f>
        <v>43151.3513513513</v>
      </c>
      <c r="O53" s="32" t="n">
        <f aca="false">IF(OR(C53="",NOT(ISNUMBER(I53))),"",C53*I53)</f>
        <v>43151.3513513513</v>
      </c>
    </row>
    <row r="54" customFormat="false" ht="15" hidden="false" customHeight="true" outlineLevel="0" collapsed="false">
      <c r="A54" s="5" t="s">
        <v>366</v>
      </c>
      <c r="B54" s="5" t="s">
        <v>642</v>
      </c>
      <c r="C54" s="51" t="n">
        <v>1604</v>
      </c>
      <c r="D54" s="29" t="n">
        <f aca="false">IFERROR(VLOOKUP("HOMESTYLE CHICKEN FRYRANCH LETTUCE WRAP",'FOOD COST'!$A:$Y,7,0),"")</f>
        <v>10.271948</v>
      </c>
      <c r="E54" s="30" t="n">
        <f aca="false">IFERROR(VLOOKUP("HOMESTYLE CHICKEN FRYRANCH LETTUCE WRAP",'FOOD COST'!$A:$Y,8,0),"")</f>
        <v>10.271948</v>
      </c>
      <c r="F54" s="29" t="n">
        <f aca="false">IFERROR(VLOOKUP("HOMESTYLE CHICKEN FRYRANCH LETTUCE WRAP",'FOOD COST'!$A:$Y,10,0),"")</f>
        <v>23.4234234234234</v>
      </c>
      <c r="G54" s="29" t="n">
        <f aca="false">IFERROR(VLOOKUP("HOMESTYLE CHICKEN FRYRANCH LETTUCE WRAP",'FOOD COST'!$A:$Y,18,0),"")</f>
        <v>24.3153153153153</v>
      </c>
      <c r="H54" s="29" t="n">
        <f aca="false">IFERROR(VLOOKUP("HOMESTYLE CHICKEN FRYRANCH LETTUCE WRAP",'FOOD COST'!$A:$Y,21,0),"")</f>
        <v>24.3153153153153</v>
      </c>
      <c r="I54" s="29" t="n">
        <f aca="false">IFERROR(VLOOKUP("HOMESTYLE CHICKEN FRYRANCH LETTUCE WRAP",'FOOD COST'!$A:$Y,24,0),"")</f>
        <v>24.3153153153153</v>
      </c>
      <c r="J54" s="32" t="n">
        <f aca="false">IF(OR(C54="",NOT(ISNUMBER(D54))),"",C54*D54)</f>
        <v>16476.204592</v>
      </c>
      <c r="K54" s="52" t="n">
        <f aca="false">IF(OR(C54="",NOT(ISNUMBER(E54))),"",C54*E54)</f>
        <v>16476.204592</v>
      </c>
      <c r="L54" s="32" t="n">
        <f aca="false">IF(OR(C54="",NOT(ISNUMBER(F54))),"",C54*F54)</f>
        <v>37571.1711711712</v>
      </c>
      <c r="M54" s="32" t="n">
        <f aca="false">IF(OR(C54="",NOT(ISNUMBER(G54))),"",C54*G54)</f>
        <v>39001.7657657658</v>
      </c>
      <c r="N54" s="32" t="n">
        <f aca="false">IF(OR(C54="",NOT(ISNUMBER(H54))),"",C54*H54)</f>
        <v>39001.7657657658</v>
      </c>
      <c r="O54" s="32" t="n">
        <f aca="false">IF(OR(C54="",NOT(ISNUMBER(I54))),"",C54*I54)</f>
        <v>39001.7657657658</v>
      </c>
    </row>
    <row r="55" customFormat="false" ht="15" hidden="false" customHeight="true" outlineLevel="0" collapsed="false">
      <c r="A55" s="5" t="s">
        <v>367</v>
      </c>
      <c r="B55" s="5" t="s">
        <v>645</v>
      </c>
      <c r="C55" s="51" t="n">
        <v>1580</v>
      </c>
      <c r="D55" s="29" t="n">
        <f aca="false">IFERROR(VLOOKUP("HOMESTYLE CHICKEN FRYRANCH LETTUCE WRAP D",'FOOD COST'!$A:$Y,7,0),"")</f>
        <v>10.271948</v>
      </c>
      <c r="E55" s="30" t="n">
        <f aca="false">IFERROR(VLOOKUP("HOMESTYLE CHICKEN FRYRANCH LETTUCE WRAP D",'FOOD COST'!$A:$Y,8,0),"")</f>
        <v>10.271948</v>
      </c>
      <c r="F55" s="29" t="n">
        <f aca="false">IFERROR(VLOOKUP("HOMESTYLE CHICKEN FRYRANCH LETTUCE WRAP D",'FOOD COST'!$A:$Y,10,0),"")</f>
        <v>25.2252252252252</v>
      </c>
      <c r="G55" s="29" t="n">
        <f aca="false">IFERROR(VLOOKUP("HOMESTYLE CHICKEN FRYRANCH LETTUCE WRAP D",'FOOD COST'!$A:$Y,18,0),"")</f>
        <v>26.1171171171171</v>
      </c>
      <c r="H55" s="29" t="n">
        <f aca="false">IFERROR(VLOOKUP("HOMESTYLE CHICKEN FRYRANCH LETTUCE WRAP D",'FOOD COST'!$A:$Y,21,0),"")</f>
        <v>26.1171171171171</v>
      </c>
      <c r="I55" s="29" t="n">
        <f aca="false">IFERROR(VLOOKUP("HOMESTYLE CHICKEN FRYRANCH LETTUCE WRAP D",'FOOD COST'!$A:$Y,24,0),"")</f>
        <v>26.1171171171171</v>
      </c>
      <c r="J55" s="32" t="n">
        <f aca="false">IF(OR(C55="",NOT(ISNUMBER(D55))),"",C55*D55)</f>
        <v>16229.67784</v>
      </c>
      <c r="K55" s="52" t="n">
        <f aca="false">IF(OR(C55="",NOT(ISNUMBER(E55))),"",C55*E55)</f>
        <v>16229.67784</v>
      </c>
      <c r="L55" s="32" t="n">
        <f aca="false">IF(OR(C55="",NOT(ISNUMBER(F55))),"",C55*F55)</f>
        <v>39855.8558558559</v>
      </c>
      <c r="M55" s="32" t="n">
        <f aca="false">IF(OR(C55="",NOT(ISNUMBER(G55))),"",C55*G55)</f>
        <v>41265.045045045</v>
      </c>
      <c r="N55" s="32" t="n">
        <f aca="false">IF(OR(C55="",NOT(ISNUMBER(H55))),"",C55*H55)</f>
        <v>41265.045045045</v>
      </c>
      <c r="O55" s="32" t="n">
        <f aca="false">IF(OR(C55="",NOT(ISNUMBER(I55))),"",C55*I55)</f>
        <v>41265.045045045</v>
      </c>
    </row>
    <row r="56" customFormat="false" ht="15" hidden="false" customHeight="true" outlineLevel="0" collapsed="false">
      <c r="A56" s="5" t="s">
        <v>684</v>
      </c>
      <c r="B56" s="5" t="s">
        <v>642</v>
      </c>
      <c r="C56" s="51" t="n">
        <v>1116</v>
      </c>
      <c r="D56" s="29" t="n">
        <f aca="false">IFERROR(VLOOKUP("HOMESTYLE CHICKEN LEMON LETTUCE WRAP",'FOOD COST'!$A:$Y,7,0),"")</f>
        <v>10.886248</v>
      </c>
      <c r="E56" s="30" t="n">
        <f aca="false">IFERROR(VLOOKUP("HOMESTYLE CHICKEN LEMON LETTUCE WRAP",'FOOD COST'!$A:$Y,8,0),"")</f>
        <v>10.886248</v>
      </c>
      <c r="F56" s="29" t="n">
        <f aca="false">IFERROR(VLOOKUP("HOMESTYLE CHICKEN LEMON LETTUCE WRAP",'FOOD COST'!$A:$Y,10,0),"")</f>
        <v>23.4234234234234</v>
      </c>
      <c r="G56" s="29" t="n">
        <f aca="false">IFERROR(VLOOKUP("HOMESTYLE CHICKEN LEMON LETTUCE WRAP",'FOOD COST'!$A:$Y,18,0),"")</f>
        <v>24.3153153153153</v>
      </c>
      <c r="H56" s="29" t="n">
        <f aca="false">IFERROR(VLOOKUP("HOMESTYLE CHICKEN LEMON LETTUCE WRAP",'FOOD COST'!$A:$Y,21,0),"")</f>
        <v>24.3153153153153</v>
      </c>
      <c r="I56" s="29" t="n">
        <f aca="false">IFERROR(VLOOKUP("HOMESTYLE CHICKEN LEMON LETTUCE WRAP",'FOOD COST'!$A:$Y,24,0),"")</f>
        <v>24.3153153153153</v>
      </c>
      <c r="J56" s="32" t="n">
        <f aca="false">IF(OR(C56="",NOT(ISNUMBER(D56))),"",C56*D56)</f>
        <v>12149.052768</v>
      </c>
      <c r="K56" s="52" t="n">
        <f aca="false">IF(OR(C56="",NOT(ISNUMBER(E56))),"",C56*E56)</f>
        <v>12149.052768</v>
      </c>
      <c r="L56" s="32" t="n">
        <f aca="false">IF(OR(C56="",NOT(ISNUMBER(F56))),"",C56*F56)</f>
        <v>26140.5405405405</v>
      </c>
      <c r="M56" s="32" t="n">
        <f aca="false">IF(OR(C56="",NOT(ISNUMBER(G56))),"",C56*G56)</f>
        <v>27135.8918918919</v>
      </c>
      <c r="N56" s="32" t="n">
        <f aca="false">IF(OR(C56="",NOT(ISNUMBER(H56))),"",C56*H56)</f>
        <v>27135.8918918919</v>
      </c>
      <c r="O56" s="32" t="n">
        <f aca="false">IF(OR(C56="",NOT(ISNUMBER(I56))),"",C56*I56)</f>
        <v>27135.8918918919</v>
      </c>
    </row>
    <row r="57" customFormat="false" ht="15" hidden="false" customHeight="true" outlineLevel="0" collapsed="false">
      <c r="A57" s="5" t="s">
        <v>368</v>
      </c>
      <c r="B57" s="5" t="s">
        <v>645</v>
      </c>
      <c r="C57" s="51" t="n">
        <v>898</v>
      </c>
      <c r="D57" s="29" t="n">
        <f aca="false">IFERROR(VLOOKUP("HOMESTYLE CHICKEN LEMON LETTUCE WRAP D",'FOOD COST'!$A:$Y,7,0),"")</f>
        <v>10.886248</v>
      </c>
      <c r="E57" s="30" t="n">
        <f aca="false">IFERROR(VLOOKUP("HOMESTYLE CHICKEN LEMON LETTUCE WRAP D",'FOOD COST'!$A:$Y,8,0),"")</f>
        <v>10.886248</v>
      </c>
      <c r="F57" s="29" t="n">
        <f aca="false">IFERROR(VLOOKUP("HOMESTYLE CHICKEN LEMON LETTUCE WRAP D",'FOOD COST'!$A:$Y,10,0),"")</f>
        <v>25.2252252252252</v>
      </c>
      <c r="G57" s="29" t="n">
        <f aca="false">IFERROR(VLOOKUP("HOMESTYLE CHICKEN LEMON LETTUCE WRAP D",'FOOD COST'!$A:$Y,18,0),"")</f>
        <v>26.1171171171171</v>
      </c>
      <c r="H57" s="29" t="n">
        <f aca="false">IFERROR(VLOOKUP("HOMESTYLE CHICKEN LEMON LETTUCE WRAP D",'FOOD COST'!$A:$Y,21,0),"")</f>
        <v>26.1171171171171</v>
      </c>
      <c r="I57" s="29" t="n">
        <f aca="false">IFERROR(VLOOKUP("HOMESTYLE CHICKEN LEMON LETTUCE WRAP D",'FOOD COST'!$A:$Y,24,0),"")</f>
        <v>26.1171171171171</v>
      </c>
      <c r="J57" s="32" t="n">
        <f aca="false">IF(OR(C57="",NOT(ISNUMBER(D57))),"",C57*D57)</f>
        <v>9775.850704</v>
      </c>
      <c r="K57" s="52" t="n">
        <f aca="false">IF(OR(C57="",NOT(ISNUMBER(E57))),"",C57*E57)</f>
        <v>9775.850704</v>
      </c>
      <c r="L57" s="32" t="n">
        <f aca="false">IF(OR(C57="",NOT(ISNUMBER(F57))),"",C57*F57)</f>
        <v>22652.2522522523</v>
      </c>
      <c r="M57" s="32" t="n">
        <f aca="false">IF(OR(C57="",NOT(ISNUMBER(G57))),"",C57*G57)</f>
        <v>23453.1711711712</v>
      </c>
      <c r="N57" s="32" t="n">
        <f aca="false">IF(OR(C57="",NOT(ISNUMBER(H57))),"",C57*H57)</f>
        <v>23453.1711711712</v>
      </c>
      <c r="O57" s="32" t="n">
        <f aca="false">IF(OR(C57="",NOT(ISNUMBER(I57))),"",C57*I57)</f>
        <v>23453.1711711712</v>
      </c>
    </row>
    <row r="58" customFormat="false" ht="15" hidden="false" customHeight="true" outlineLevel="0" collapsed="false">
      <c r="A58" s="5" t="s">
        <v>685</v>
      </c>
      <c r="B58" s="5" t="s">
        <v>642</v>
      </c>
      <c r="C58" s="51" t="n">
        <v>334</v>
      </c>
      <c r="D58" s="29" t="n">
        <f aca="false">IFERROR(VLOOKUP("TRIPLU PUI BURGER",'FOOD COST'!$A:$Y,7,0),"")</f>
        <v>7.877024</v>
      </c>
      <c r="E58" s="30" t="n">
        <f aca="false">IFERROR(VLOOKUP("TRIPLU PUI BURGER",'FOOD COST'!$A:$Y,8,0),"")</f>
        <v>7.877024</v>
      </c>
      <c r="F58" s="29" t="n">
        <f aca="false">IFERROR(VLOOKUP("TRIPLU PUI BURGER",'FOOD COST'!$A:$Y,10,0),"")</f>
        <v>18.018018018018</v>
      </c>
      <c r="G58" s="29" t="n">
        <f aca="false">IFERROR(VLOOKUP("TRIPLU PUI BURGER",'FOOD COST'!$A:$Y,18,0),"")</f>
        <v>18.9099099099099</v>
      </c>
      <c r="H58" s="29" t="n">
        <f aca="false">IFERROR(VLOOKUP("TRIPLU PUI BURGER",'FOOD COST'!$A:$Y,21,0),"")</f>
        <v>19.3603603603604</v>
      </c>
      <c r="I58" s="29" t="n">
        <f aca="false">IFERROR(VLOOKUP("TRIPLU PUI BURGER",'FOOD COST'!$A:$Y,24,0),"")</f>
        <v>19.8108108108108</v>
      </c>
      <c r="J58" s="32" t="n">
        <f aca="false">IF(OR(C58="",NOT(ISNUMBER(D58))),"",C58*D58)</f>
        <v>2630.926016</v>
      </c>
      <c r="K58" s="52" t="n">
        <f aca="false">IF(OR(C58="",NOT(ISNUMBER(E58))),"",C58*E58)</f>
        <v>2630.926016</v>
      </c>
      <c r="L58" s="32" t="n">
        <f aca="false">IF(OR(C58="",NOT(ISNUMBER(F58))),"",C58*F58)</f>
        <v>6018.01801801802</v>
      </c>
      <c r="M58" s="32" t="n">
        <f aca="false">IF(OR(C58="",NOT(ISNUMBER(G58))),"",C58*G58)</f>
        <v>6315.90990990991</v>
      </c>
      <c r="N58" s="32" t="n">
        <f aca="false">IF(OR(C58="",NOT(ISNUMBER(H58))),"",C58*H58)</f>
        <v>6466.36036036036</v>
      </c>
      <c r="O58" s="32" t="n">
        <f aca="false">IF(OR(C58="",NOT(ISNUMBER(I58))),"",C58*I58)</f>
        <v>6616.81081081081</v>
      </c>
    </row>
    <row r="59" customFormat="false" ht="15" hidden="false" customHeight="true" outlineLevel="0" collapsed="false">
      <c r="A59" s="5" t="s">
        <v>686</v>
      </c>
      <c r="B59" s="5" t="s">
        <v>642</v>
      </c>
      <c r="C59" s="51" t="n">
        <v>440</v>
      </c>
      <c r="D59" s="29" t="n">
        <f aca="false">IFERROR(VLOOKUP("TRIPLU CHICKEN TRUFFLE",'FOOD COST'!$A:$Y,7,0),"")</f>
        <v>9.886188</v>
      </c>
      <c r="E59" s="30" t="n">
        <f aca="false">IFERROR(VLOOKUP("TRIPLU CHICKEN TRUFFLE",'FOOD COST'!$A:$Y,8,0),"")</f>
        <v>9.886188</v>
      </c>
      <c r="F59" s="29" t="n">
        <f aca="false">IFERROR(VLOOKUP("TRIPLU CHICKEN TRUFFLE",'FOOD COST'!$A:$Y,10,0),"")</f>
        <v>21.6216216216216</v>
      </c>
      <c r="G59" s="29" t="n">
        <f aca="false">IFERROR(VLOOKUP("TRIPLU CHICKEN TRUFFLE",'FOOD COST'!$A:$Y,18,0),"")</f>
        <v>22.0630630630631</v>
      </c>
      <c r="H59" s="29" t="n">
        <f aca="false">IFERROR(VLOOKUP("TRIPLU CHICKEN TRUFFLE",'FOOD COST'!$A:$Y,21,0),"")</f>
        <v>22.0630630630631</v>
      </c>
      <c r="I59" s="29" t="n">
        <f aca="false">IFERROR(VLOOKUP("TRIPLU CHICKEN TRUFFLE",'FOOD COST'!$A:$Y,24,0),"")</f>
        <v>22.0630630630631</v>
      </c>
      <c r="J59" s="32" t="n">
        <f aca="false">IF(OR(C59="",NOT(ISNUMBER(D59))),"",C59*D59)</f>
        <v>4349.92272</v>
      </c>
      <c r="K59" s="52" t="n">
        <f aca="false">IF(OR(C59="",NOT(ISNUMBER(E59))),"",C59*E59)</f>
        <v>4349.92272</v>
      </c>
      <c r="L59" s="32" t="n">
        <f aca="false">IF(OR(C59="",NOT(ISNUMBER(F59))),"",C59*F59)</f>
        <v>9513.51351351351</v>
      </c>
      <c r="M59" s="32" t="n">
        <f aca="false">IF(OR(C59="",NOT(ISNUMBER(G59))),"",C59*G59)</f>
        <v>9707.74774774775</v>
      </c>
      <c r="N59" s="32" t="n">
        <f aca="false">IF(OR(C59="",NOT(ISNUMBER(H59))),"",C59*H59)</f>
        <v>9707.74774774775</v>
      </c>
      <c r="O59" s="32" t="n">
        <f aca="false">IF(OR(C59="",NOT(ISNUMBER(I59))),"",C59*I59)</f>
        <v>9707.74774774775</v>
      </c>
    </row>
    <row r="60" customFormat="false" ht="15" hidden="false" customHeight="true" outlineLevel="0" collapsed="false">
      <c r="A60" s="5" t="s">
        <v>687</v>
      </c>
      <c r="B60" s="5" t="s">
        <v>642</v>
      </c>
      <c r="C60" s="51" t="n">
        <v>875</v>
      </c>
      <c r="D60" s="29" t="n">
        <f aca="false">IFERROR(VLOOKUP("ALMETTE FRESH PUI",'FOOD COST'!$A:$Y,7,0),"")</f>
        <v>6.586</v>
      </c>
      <c r="E60" s="30" t="n">
        <f aca="false">IFERROR(VLOOKUP("ALMETTE FRESH PUI",'FOOD COST'!$A:$Y,8,0),"")</f>
        <v>6.586</v>
      </c>
      <c r="F60" s="29" t="n">
        <f aca="false">IFERROR(VLOOKUP("ALMETTE FRESH PUI",'FOOD COST'!$A:$Y,10,0),"")</f>
        <v>15.3153153153153</v>
      </c>
      <c r="G60" s="29" t="n">
        <f aca="false">IFERROR(VLOOKUP("ALMETTE FRESH PUI",'FOOD COST'!$A:$Y,18,0),"")</f>
        <v>15.3153153153153</v>
      </c>
      <c r="H60" s="29" t="n">
        <f aca="false">IFERROR(VLOOKUP("ALMETTE FRESH PUI",'FOOD COST'!$A:$Y,21,0),"")</f>
        <v>15.3153153153153</v>
      </c>
      <c r="I60" s="29" t="n">
        <f aca="false">IFERROR(VLOOKUP("ALMETTE FRESH PUI",'FOOD COST'!$A:$Y,24,0),"")</f>
        <v>15.3153153153153</v>
      </c>
      <c r="J60" s="32" t="n">
        <f aca="false">IF(OR(C60="",NOT(ISNUMBER(D60))),"",C60*D60)</f>
        <v>5762.75</v>
      </c>
      <c r="K60" s="52" t="n">
        <f aca="false">IF(OR(C60="",NOT(ISNUMBER(E60))),"",C60*E60)</f>
        <v>5762.75</v>
      </c>
      <c r="L60" s="32" t="n">
        <f aca="false">IF(OR(C60="",NOT(ISNUMBER(F60))),"",C60*F60)</f>
        <v>13400.9009009009</v>
      </c>
      <c r="M60" s="32" t="n">
        <f aca="false">IF(OR(C60="",NOT(ISNUMBER(G60))),"",C60*G60)</f>
        <v>13400.9009009009</v>
      </c>
      <c r="N60" s="32" t="n">
        <f aca="false">IF(OR(C60="",NOT(ISNUMBER(H60))),"",C60*H60)</f>
        <v>13400.9009009009</v>
      </c>
      <c r="O60" s="32" t="n">
        <f aca="false">IF(OR(C60="",NOT(ISNUMBER(I60))),"",C60*I60)</f>
        <v>13400.9009009009</v>
      </c>
    </row>
    <row r="61" customFormat="false" ht="15" hidden="false" customHeight="true" outlineLevel="0" collapsed="false">
      <c r="A61" s="5" t="s">
        <v>688</v>
      </c>
      <c r="B61" s="5" t="s">
        <v>645</v>
      </c>
      <c r="C61" s="51" t="n">
        <v>205</v>
      </c>
      <c r="D61" s="29" t="n">
        <f aca="false">IFERROR(VLOOKUP("ALMETTE FRESH PUI D",'FOOD COST'!$A:$Y,7,0),"")</f>
        <v>6.586</v>
      </c>
      <c r="E61" s="30" t="n">
        <f aca="false">IFERROR(VLOOKUP("ALMETTE FRESH PUI D",'FOOD COST'!$A:$Y,8,0),"")</f>
        <v>6.586</v>
      </c>
      <c r="F61" s="29" t="n">
        <f aca="false">IFERROR(VLOOKUP("ALMETTE FRESH PUI D",'FOOD COST'!$A:$Y,10,0),"")</f>
        <v>18.018018018018</v>
      </c>
      <c r="G61" s="29" t="n">
        <f aca="false">IFERROR(VLOOKUP("ALMETTE FRESH PUI D",'FOOD COST'!$A:$Y,18,0),"")</f>
        <v>18.018018018018</v>
      </c>
      <c r="H61" s="29" t="n">
        <f aca="false">IFERROR(VLOOKUP("ALMETTE FRESH PUI D",'FOOD COST'!$A:$Y,21,0),"")</f>
        <v>18.018018018018</v>
      </c>
      <c r="I61" s="29" t="n">
        <f aca="false">IFERROR(VLOOKUP("ALMETTE FRESH PUI D",'FOOD COST'!$A:$Y,24,0),"")</f>
        <v>18.018018018018</v>
      </c>
      <c r="J61" s="32" t="n">
        <f aca="false">IF(OR(C61="",NOT(ISNUMBER(D61))),"",C61*D61)</f>
        <v>1350.13</v>
      </c>
      <c r="K61" s="52" t="n">
        <f aca="false">IF(OR(C61="",NOT(ISNUMBER(E61))),"",C61*E61)</f>
        <v>1350.13</v>
      </c>
      <c r="L61" s="32" t="n">
        <f aca="false">IF(OR(C61="",NOT(ISNUMBER(F61))),"",C61*F61)</f>
        <v>3693.69369369369</v>
      </c>
      <c r="M61" s="32" t="n">
        <f aca="false">IF(OR(C61="",NOT(ISNUMBER(G61))),"",C61*G61)</f>
        <v>3693.69369369369</v>
      </c>
      <c r="N61" s="32" t="n">
        <f aca="false">IF(OR(C61="",NOT(ISNUMBER(H61))),"",C61*H61)</f>
        <v>3693.69369369369</v>
      </c>
      <c r="O61" s="32" t="n">
        <f aca="false">IF(OR(C61="",NOT(ISNUMBER(I61))),"",C61*I61)</f>
        <v>3693.69369369369</v>
      </c>
    </row>
    <row r="62" customFormat="false" ht="15" hidden="false" customHeight="true" outlineLevel="0" collapsed="false">
      <c r="A62" s="5" t="s">
        <v>689</v>
      </c>
      <c r="B62" s="5" t="s">
        <v>642</v>
      </c>
      <c r="C62" s="51" t="n">
        <v>265</v>
      </c>
      <c r="D62" s="29" t="n">
        <f aca="false">IFERROR(VLOOKUP("ALMETTE BASIL PUI",'FOOD COST'!$A:$Y,7,0),"")</f>
        <v>6.9951</v>
      </c>
      <c r="E62" s="30" t="n">
        <f aca="false">IFERROR(VLOOKUP("ALMETTE BASIL PUI",'FOOD COST'!$A:$Y,8,0),"")</f>
        <v>6.9951</v>
      </c>
      <c r="F62" s="29" t="n">
        <f aca="false">IFERROR(VLOOKUP("ALMETTE BASIL PUI",'FOOD COST'!$A:$Y,10,0),"")</f>
        <v>15.3153153153153</v>
      </c>
      <c r="G62" s="29" t="n">
        <f aca="false">IFERROR(VLOOKUP("ALMETTE BASIL PUI",'FOOD COST'!$A:$Y,18,0),"")</f>
        <v>15.3153153153153</v>
      </c>
      <c r="H62" s="29" t="n">
        <f aca="false">IFERROR(VLOOKUP("ALMETTE BASIL PUI",'FOOD COST'!$A:$Y,21,0),"")</f>
        <v>15.3153153153153</v>
      </c>
      <c r="I62" s="29" t="n">
        <f aca="false">IFERROR(VLOOKUP("ALMETTE BASIL PUI",'FOOD COST'!$A:$Y,24,0),"")</f>
        <v>15.3153153153153</v>
      </c>
      <c r="J62" s="32" t="n">
        <f aca="false">IF(OR(C62="",NOT(ISNUMBER(D62))),"",C62*D62)</f>
        <v>1853.7015</v>
      </c>
      <c r="K62" s="52" t="n">
        <f aca="false">IF(OR(C62="",NOT(ISNUMBER(E62))),"",C62*E62)</f>
        <v>1853.7015</v>
      </c>
      <c r="L62" s="32" t="n">
        <f aca="false">IF(OR(C62="",NOT(ISNUMBER(F62))),"",C62*F62)</f>
        <v>4058.55855855856</v>
      </c>
      <c r="M62" s="32" t="n">
        <f aca="false">IF(OR(C62="",NOT(ISNUMBER(G62))),"",C62*G62)</f>
        <v>4058.55855855856</v>
      </c>
      <c r="N62" s="32" t="n">
        <f aca="false">IF(OR(C62="",NOT(ISNUMBER(H62))),"",C62*H62)</f>
        <v>4058.55855855856</v>
      </c>
      <c r="O62" s="32" t="n">
        <f aca="false">IF(OR(C62="",NOT(ISNUMBER(I62))),"",C62*I62)</f>
        <v>4058.55855855856</v>
      </c>
    </row>
    <row r="63" customFormat="false" ht="15" hidden="false" customHeight="true" outlineLevel="0" collapsed="false">
      <c r="A63" s="5" t="s">
        <v>690</v>
      </c>
      <c r="B63" s="5" t="s">
        <v>645</v>
      </c>
      <c r="C63" s="51" t="n">
        <v>124</v>
      </c>
      <c r="D63" s="29" t="n">
        <f aca="false">IFERROR(VLOOKUP("ALMETTE BASIL PUI D",'FOOD COST'!$A:$Y,7,0),"")</f>
        <v>6.9951</v>
      </c>
      <c r="E63" s="30" t="n">
        <f aca="false">IFERROR(VLOOKUP("ALMETTE BASIL PUI D",'FOOD COST'!$A:$Y,8,0),"")</f>
        <v>6.9951</v>
      </c>
      <c r="F63" s="29" t="n">
        <f aca="false">IFERROR(VLOOKUP("ALMETTE BASIL PUI D",'FOOD COST'!$A:$Y,10,0),"")</f>
        <v>18.018018018018</v>
      </c>
      <c r="G63" s="29" t="n">
        <f aca="false">IFERROR(VLOOKUP("ALMETTE BASIL PUI D",'FOOD COST'!$A:$Y,18,0),"")</f>
        <v>18.018018018018</v>
      </c>
      <c r="H63" s="29" t="n">
        <f aca="false">IFERROR(VLOOKUP("ALMETTE BASIL PUI D",'FOOD COST'!$A:$Y,21,0),"")</f>
        <v>18.018018018018</v>
      </c>
      <c r="I63" s="29" t="n">
        <f aca="false">IFERROR(VLOOKUP("ALMETTE BASIL PUI D",'FOOD COST'!$A:$Y,24,0),"")</f>
        <v>18.018018018018</v>
      </c>
      <c r="J63" s="32" t="n">
        <f aca="false">IF(OR(C63="",NOT(ISNUMBER(D63))),"",C63*D63)</f>
        <v>867.3924</v>
      </c>
      <c r="K63" s="52" t="n">
        <f aca="false">IF(OR(C63="",NOT(ISNUMBER(E63))),"",C63*E63)</f>
        <v>867.3924</v>
      </c>
      <c r="L63" s="32" t="n">
        <f aca="false">IF(OR(C63="",NOT(ISNUMBER(F63))),"",C63*F63)</f>
        <v>2234.23423423423</v>
      </c>
      <c r="M63" s="32" t="n">
        <f aca="false">IF(OR(C63="",NOT(ISNUMBER(G63))),"",C63*G63)</f>
        <v>2234.23423423423</v>
      </c>
      <c r="N63" s="32" t="n">
        <f aca="false">IF(OR(C63="",NOT(ISNUMBER(H63))),"",C63*H63)</f>
        <v>2234.23423423423</v>
      </c>
      <c r="O63" s="32" t="n">
        <f aca="false">IF(OR(C63="",NOT(ISNUMBER(I63))),"",C63*I63)</f>
        <v>2234.23423423423</v>
      </c>
    </row>
    <row r="64" customFormat="false" ht="15" hidden="false" customHeight="true" outlineLevel="0" collapsed="false">
      <c r="A64" s="5" t="s">
        <v>691</v>
      </c>
      <c r="B64" s="5" t="s">
        <v>642</v>
      </c>
      <c r="C64" s="51" t="n">
        <v>174</v>
      </c>
      <c r="D64" s="29" t="n">
        <f aca="false">IFERROR(VLOOKUP("ALMETTE FRESH PORC",'FOOD COST'!$A:$Y,7,0),"")</f>
        <v>7.548</v>
      </c>
      <c r="E64" s="30" t="n">
        <f aca="false">IFERROR(VLOOKUP("ALMETTE FRESH PORC",'FOOD COST'!$A:$Y,8,0),"")</f>
        <v>7.548</v>
      </c>
      <c r="F64" s="29" t="n">
        <f aca="false">IFERROR(VLOOKUP("ALMETTE FRESH PORC",'FOOD COST'!$A:$Y,10,0),"")</f>
        <v>15.3153153153153</v>
      </c>
      <c r="G64" s="29" t="n">
        <f aca="false">IFERROR(VLOOKUP("ALMETTE FRESH PORC",'FOOD COST'!$A:$Y,18,0),"")</f>
        <v>15.3153153153153</v>
      </c>
      <c r="H64" s="29" t="n">
        <f aca="false">IFERROR(VLOOKUP("ALMETTE FRESH PORC",'FOOD COST'!$A:$Y,21,0),"")</f>
        <v>15.3153153153153</v>
      </c>
      <c r="I64" s="29" t="n">
        <f aca="false">IFERROR(VLOOKUP("ALMETTE FRESH PORC",'FOOD COST'!$A:$Y,24,0),"")</f>
        <v>15.3153153153153</v>
      </c>
      <c r="J64" s="32" t="n">
        <f aca="false">IF(OR(C64="",NOT(ISNUMBER(D64))),"",C64*D64)</f>
        <v>1313.352</v>
      </c>
      <c r="K64" s="52" t="n">
        <f aca="false">IF(OR(C64="",NOT(ISNUMBER(E64))),"",C64*E64)</f>
        <v>1313.352</v>
      </c>
      <c r="L64" s="32" t="n">
        <f aca="false">IF(OR(C64="",NOT(ISNUMBER(F64))),"",C64*F64)</f>
        <v>2664.86486486486</v>
      </c>
      <c r="M64" s="32" t="n">
        <f aca="false">IF(OR(C64="",NOT(ISNUMBER(G64))),"",C64*G64)</f>
        <v>2664.86486486486</v>
      </c>
      <c r="N64" s="32" t="n">
        <f aca="false">IF(OR(C64="",NOT(ISNUMBER(H64))),"",C64*H64)</f>
        <v>2664.86486486486</v>
      </c>
      <c r="O64" s="32" t="n">
        <f aca="false">IF(OR(C64="",NOT(ISNUMBER(I64))),"",C64*I64)</f>
        <v>2664.86486486486</v>
      </c>
    </row>
    <row r="65" customFormat="false" ht="15" hidden="false" customHeight="true" outlineLevel="0" collapsed="false">
      <c r="A65" s="5" t="s">
        <v>692</v>
      </c>
      <c r="B65" s="5" t="s">
        <v>645</v>
      </c>
      <c r="C65" s="51" t="n">
        <v>45</v>
      </c>
      <c r="D65" s="29" t="n">
        <f aca="false">IFERROR(VLOOKUP("ALMETTE FRESH PORC D",'FOOD COST'!$A:$Y,7,0),"")</f>
        <v>7.548</v>
      </c>
      <c r="E65" s="30" t="n">
        <f aca="false">IFERROR(VLOOKUP("ALMETTE FRESH PORC D",'FOOD COST'!$A:$Y,8,0),"")</f>
        <v>7.548</v>
      </c>
      <c r="F65" s="29" t="n">
        <f aca="false">IFERROR(VLOOKUP("ALMETTE FRESH PORC D",'FOOD COST'!$A:$Y,10,0),"")</f>
        <v>18.018018018018</v>
      </c>
      <c r="G65" s="29" t="n">
        <f aca="false">IFERROR(VLOOKUP("ALMETTE FRESH PORC D",'FOOD COST'!$A:$Y,18,0),"")</f>
        <v>18.018018018018</v>
      </c>
      <c r="H65" s="29" t="n">
        <f aca="false">IFERROR(VLOOKUP("ALMETTE FRESH PORC D",'FOOD COST'!$A:$Y,21,0),"")</f>
        <v>18.018018018018</v>
      </c>
      <c r="I65" s="29" t="n">
        <f aca="false">IFERROR(VLOOKUP("ALMETTE FRESH PORC D",'FOOD COST'!$A:$Y,24,0),"")</f>
        <v>18.018018018018</v>
      </c>
      <c r="J65" s="32" t="n">
        <f aca="false">IF(OR(C65="",NOT(ISNUMBER(D65))),"",C65*D65)</f>
        <v>339.66</v>
      </c>
      <c r="K65" s="52" t="n">
        <f aca="false">IF(OR(C65="",NOT(ISNUMBER(E65))),"",C65*E65)</f>
        <v>339.66</v>
      </c>
      <c r="L65" s="32" t="n">
        <f aca="false">IF(OR(C65="",NOT(ISNUMBER(F65))),"",C65*F65)</f>
        <v>810.810810810811</v>
      </c>
      <c r="M65" s="32" t="n">
        <f aca="false">IF(OR(C65="",NOT(ISNUMBER(G65))),"",C65*G65)</f>
        <v>810.810810810811</v>
      </c>
      <c r="N65" s="32" t="n">
        <f aca="false">IF(OR(C65="",NOT(ISNUMBER(H65))),"",C65*H65)</f>
        <v>810.810810810811</v>
      </c>
      <c r="O65" s="32" t="n">
        <f aca="false">IF(OR(C65="",NOT(ISNUMBER(I65))),"",C65*I65)</f>
        <v>810.810810810811</v>
      </c>
    </row>
    <row r="66" customFormat="false" ht="15" hidden="false" customHeight="true" outlineLevel="0" collapsed="false">
      <c r="A66" s="5" t="s">
        <v>693</v>
      </c>
      <c r="B66" s="5" t="s">
        <v>642</v>
      </c>
      <c r="C66" s="51" t="n">
        <v>124</v>
      </c>
      <c r="D66" s="29" t="n">
        <f aca="false">IFERROR(VLOOKUP("ALMETTE BASIL PORC",'FOOD COST'!$A:$Y,7,0),"")</f>
        <v>7.805</v>
      </c>
      <c r="E66" s="30" t="n">
        <f aca="false">IFERROR(VLOOKUP("ALMETTE BASIL PORC",'FOOD COST'!$A:$Y,8,0),"")</f>
        <v>7.805</v>
      </c>
      <c r="F66" s="29" t="n">
        <f aca="false">IFERROR(VLOOKUP("ALMETTE BASIL PORC",'FOOD COST'!$A:$Y,10,0),"")</f>
        <v>15.3153153153153</v>
      </c>
      <c r="G66" s="29" t="n">
        <f aca="false">IFERROR(VLOOKUP("ALMETTE BASIL PORC",'FOOD COST'!$A:$Y,18,0),"")</f>
        <v>15.3153153153153</v>
      </c>
      <c r="H66" s="29" t="n">
        <f aca="false">IFERROR(VLOOKUP("ALMETTE BASIL PORC",'FOOD COST'!$A:$Y,21,0),"")</f>
        <v>15.3153153153153</v>
      </c>
      <c r="I66" s="29" t="n">
        <f aca="false">IFERROR(VLOOKUP("ALMETTE BASIL PORC",'FOOD COST'!$A:$Y,24,0),"")</f>
        <v>15.3153153153153</v>
      </c>
      <c r="J66" s="32" t="n">
        <f aca="false">IF(OR(C66="",NOT(ISNUMBER(D66))),"",C66*D66)</f>
        <v>967.82</v>
      </c>
      <c r="K66" s="52" t="n">
        <f aca="false">IF(OR(C66="",NOT(ISNUMBER(E66))),"",C66*E66)</f>
        <v>967.82</v>
      </c>
      <c r="L66" s="32" t="n">
        <f aca="false">IF(OR(C66="",NOT(ISNUMBER(F66))),"",C66*F66)</f>
        <v>1899.0990990991</v>
      </c>
      <c r="M66" s="32" t="n">
        <f aca="false">IF(OR(C66="",NOT(ISNUMBER(G66))),"",C66*G66)</f>
        <v>1899.0990990991</v>
      </c>
      <c r="N66" s="32" t="n">
        <f aca="false">IF(OR(C66="",NOT(ISNUMBER(H66))),"",C66*H66)</f>
        <v>1899.0990990991</v>
      </c>
      <c r="O66" s="32" t="n">
        <f aca="false">IF(OR(C66="",NOT(ISNUMBER(I66))),"",C66*I66)</f>
        <v>1899.0990990991</v>
      </c>
    </row>
    <row r="67" customFormat="false" ht="15" hidden="false" customHeight="true" outlineLevel="0" collapsed="false">
      <c r="A67" s="5" t="s">
        <v>694</v>
      </c>
      <c r="B67" s="5" t="s">
        <v>645</v>
      </c>
      <c r="C67" s="51" t="n">
        <v>16</v>
      </c>
      <c r="D67" s="29" t="n">
        <f aca="false">IFERROR(VLOOKUP("ALMETTE BASIL PORC D",'FOOD COST'!$A:$Y,7,0),"")</f>
        <v>7.805</v>
      </c>
      <c r="E67" s="30" t="n">
        <f aca="false">IFERROR(VLOOKUP("ALMETTE BASIL PORC D",'FOOD COST'!$A:$Y,8,0),"")</f>
        <v>7.805</v>
      </c>
      <c r="F67" s="29" t="n">
        <f aca="false">IFERROR(VLOOKUP("ALMETTE BASIL PORC D",'FOOD COST'!$A:$Y,10,0),"")</f>
        <v>18.018018018018</v>
      </c>
      <c r="G67" s="29" t="n">
        <f aca="false">IFERROR(VLOOKUP("ALMETTE BASIL PORC D",'FOOD COST'!$A:$Y,18,0),"")</f>
        <v>18.018018018018</v>
      </c>
      <c r="H67" s="29" t="n">
        <f aca="false">IFERROR(VLOOKUP("ALMETTE BASIL PORC D",'FOOD COST'!$A:$Y,21,0),"")</f>
        <v>18.018018018018</v>
      </c>
      <c r="I67" s="29" t="n">
        <f aca="false">IFERROR(VLOOKUP("ALMETTE BASIL PORC D",'FOOD COST'!$A:$Y,24,0),"")</f>
        <v>18.018018018018</v>
      </c>
      <c r="J67" s="32" t="n">
        <f aca="false">IF(OR(C67="",NOT(ISNUMBER(D67))),"",C67*D67)</f>
        <v>124.88</v>
      </c>
      <c r="K67" s="52" t="n">
        <f aca="false">IF(OR(C67="",NOT(ISNUMBER(E67))),"",C67*E67)</f>
        <v>124.88</v>
      </c>
      <c r="L67" s="32" t="n">
        <f aca="false">IF(OR(C67="",NOT(ISNUMBER(F67))),"",C67*F67)</f>
        <v>288.288288288288</v>
      </c>
      <c r="M67" s="32" t="n">
        <f aca="false">IF(OR(C67="",NOT(ISNUMBER(G67))),"",C67*G67)</f>
        <v>288.288288288288</v>
      </c>
      <c r="N67" s="32" t="n">
        <f aca="false">IF(OR(C67="",NOT(ISNUMBER(H67))),"",C67*H67)</f>
        <v>288.288288288288</v>
      </c>
      <c r="O67" s="32" t="n">
        <f aca="false">IF(OR(C67="",NOT(ISNUMBER(I67))),"",C67*I67)</f>
        <v>288.288288288288</v>
      </c>
    </row>
    <row r="68" customFormat="false" ht="15" hidden="false" customHeight="true" outlineLevel="0" collapsed="false">
      <c r="A68" s="5" t="s">
        <v>695</v>
      </c>
      <c r="B68" s="5" t="s">
        <v>642</v>
      </c>
      <c r="C68" s="51" t="n">
        <v>177</v>
      </c>
      <c r="D68" s="29" t="n">
        <f aca="false">IFERROR(VLOOKUP("ROSTI SAUSAGE BURGER",'FOOD COST'!$A:$Y,7,0),"")</f>
        <v>7.552718</v>
      </c>
      <c r="E68" s="30" t="n">
        <f aca="false">IFERROR(VLOOKUP("ROSTI SAUSAGE BURGER",'FOOD COST'!$A:$Y,8,0),"")</f>
        <v>7.552718</v>
      </c>
      <c r="F68" s="29" t="n">
        <f aca="false">IFERROR(VLOOKUP("ROSTI SAUSAGE BURGER",'FOOD COST'!$A:$Y,10,0),"")</f>
        <v>18.018018018018</v>
      </c>
      <c r="G68" s="29" t="n">
        <f aca="false">IFERROR(VLOOKUP("ROSTI SAUSAGE BURGER",'FOOD COST'!$A:$Y,18,0),"")</f>
        <v>18.018018018018</v>
      </c>
      <c r="H68" s="29" t="n">
        <f aca="false">IFERROR(VLOOKUP("ROSTI SAUSAGE BURGER",'FOOD COST'!$A:$Y,21,0),"")</f>
        <v>18.018018018018</v>
      </c>
      <c r="I68" s="29" t="n">
        <f aca="false">IFERROR(VLOOKUP("ROSTI SAUSAGE BURGER",'FOOD COST'!$A:$Y,24,0),"")</f>
        <v>18.018018018018</v>
      </c>
      <c r="J68" s="32" t="n">
        <f aca="false">IF(OR(C68="",NOT(ISNUMBER(D68))),"",C68*D68)</f>
        <v>1336.831086</v>
      </c>
      <c r="K68" s="52" t="n">
        <f aca="false">IF(OR(C68="",NOT(ISNUMBER(E68))),"",C68*E68)</f>
        <v>1336.831086</v>
      </c>
      <c r="L68" s="32" t="n">
        <f aca="false">IF(OR(C68="",NOT(ISNUMBER(F68))),"",C68*F68)</f>
        <v>3189.18918918919</v>
      </c>
      <c r="M68" s="32" t="n">
        <f aca="false">IF(OR(C68="",NOT(ISNUMBER(G68))),"",C68*G68)</f>
        <v>3189.18918918919</v>
      </c>
      <c r="N68" s="32" t="n">
        <f aca="false">IF(OR(C68="",NOT(ISNUMBER(H68))),"",C68*H68)</f>
        <v>3189.18918918919</v>
      </c>
      <c r="O68" s="32" t="n">
        <f aca="false">IF(OR(C68="",NOT(ISNUMBER(I68))),"",C68*I68)</f>
        <v>3189.18918918919</v>
      </c>
    </row>
    <row r="69" customFormat="false" ht="15" hidden="false" customHeight="true" outlineLevel="0" collapsed="false">
      <c r="A69" s="5" t="s">
        <v>696</v>
      </c>
      <c r="B69" s="5" t="s">
        <v>645</v>
      </c>
      <c r="C69" s="51" t="n">
        <v>95</v>
      </c>
      <c r="D69" s="29" t="n">
        <f aca="false">IFERROR(VLOOKUP("ROSTI SAUSAGE BURGER D",'FOOD COST'!$A:$Y,7,0),"")</f>
        <v>7.552718</v>
      </c>
      <c r="E69" s="30" t="n">
        <f aca="false">IFERROR(VLOOKUP("ROSTI SAUSAGE BURGER D",'FOOD COST'!$A:$Y,8,0),"")</f>
        <v>7.552718</v>
      </c>
      <c r="F69" s="29" t="n">
        <f aca="false">IFERROR(VLOOKUP("ROSTI SAUSAGE BURGER D",'FOOD COST'!$A:$Y,10,0),"")</f>
        <v>20.7207207207207</v>
      </c>
      <c r="G69" s="29" t="n">
        <f aca="false">IFERROR(VLOOKUP("ROSTI SAUSAGE BURGER D",'FOOD COST'!$A:$Y,18,0),"")</f>
        <v>20.7207207207207</v>
      </c>
      <c r="H69" s="29" t="n">
        <f aca="false">IFERROR(VLOOKUP("ROSTI SAUSAGE BURGER D",'FOOD COST'!$A:$Y,21,0),"")</f>
        <v>20.7207207207207</v>
      </c>
      <c r="I69" s="29" t="n">
        <f aca="false">IFERROR(VLOOKUP("ROSTI SAUSAGE BURGER D",'FOOD COST'!$A:$Y,24,0),"")</f>
        <v>20.7207207207207</v>
      </c>
      <c r="J69" s="32" t="n">
        <f aca="false">IF(OR(C69="",NOT(ISNUMBER(D69))),"",C69*D69)</f>
        <v>717.50821</v>
      </c>
      <c r="K69" s="52" t="n">
        <f aca="false">IF(OR(C69="",NOT(ISNUMBER(E69))),"",C69*E69)</f>
        <v>717.50821</v>
      </c>
      <c r="L69" s="32" t="n">
        <f aca="false">IF(OR(C69="",NOT(ISNUMBER(F69))),"",C69*F69)</f>
        <v>1968.46846846847</v>
      </c>
      <c r="M69" s="32" t="n">
        <f aca="false">IF(OR(C69="",NOT(ISNUMBER(G69))),"",C69*G69)</f>
        <v>1968.46846846847</v>
      </c>
      <c r="N69" s="32" t="n">
        <f aca="false">IF(OR(C69="",NOT(ISNUMBER(H69))),"",C69*H69)</f>
        <v>1968.46846846847</v>
      </c>
      <c r="O69" s="32" t="n">
        <f aca="false">IF(OR(C69="",NOT(ISNUMBER(I69))),"",C69*I69)</f>
        <v>1968.46846846847</v>
      </c>
    </row>
    <row r="70" customFormat="false" ht="15" hidden="false" customHeight="true" outlineLevel="0" collapsed="false">
      <c r="A70" s="5" t="s">
        <v>697</v>
      </c>
      <c r="B70" s="5" t="s">
        <v>642</v>
      </c>
      <c r="C70" s="51" t="n">
        <v>2213</v>
      </c>
      <c r="D70" s="29" t="n">
        <f aca="false">IFERROR(VLOOKUP("SHRIMP BURGER",'FOOD COST'!$A:$Y,7,0),"")</f>
        <v>10.673</v>
      </c>
      <c r="E70" s="30" t="n">
        <f aca="false">IFERROR(VLOOKUP("SHRIMP BURGER",'FOOD COST'!$A:$Y,8,0),"")</f>
        <v>10.673</v>
      </c>
      <c r="F70" s="29" t="n">
        <f aca="false">IFERROR(VLOOKUP("SHRIMP BURGER",'FOOD COST'!$A:$Y,10,0),"")</f>
        <v>22.5225225225225</v>
      </c>
      <c r="G70" s="29" t="n">
        <f aca="false">IFERROR(VLOOKUP("SHRIMP BURGER",'FOOD COST'!$A:$Y,18,0),"")</f>
        <v>23.4144144144144</v>
      </c>
      <c r="H70" s="29" t="n">
        <f aca="false">IFERROR(VLOOKUP("SHRIMP BURGER",'FOOD COST'!$A:$Y,21,0),"")</f>
        <v>23.4144144144144</v>
      </c>
      <c r="I70" s="29" t="n">
        <f aca="false">IFERROR(VLOOKUP("SHRIMP BURGER",'FOOD COST'!$A:$Y,24,0),"")</f>
        <v>23.4144144144144</v>
      </c>
      <c r="J70" s="32" t="n">
        <f aca="false">IF(OR(C70="",NOT(ISNUMBER(D70))),"",C70*D70)</f>
        <v>23619.349</v>
      </c>
      <c r="K70" s="52" t="n">
        <f aca="false">IF(OR(C70="",NOT(ISNUMBER(E70))),"",C70*E70)</f>
        <v>23619.349</v>
      </c>
      <c r="L70" s="32" t="n">
        <f aca="false">IF(OR(C70="",NOT(ISNUMBER(F70))),"",C70*F70)</f>
        <v>49842.3423423423</v>
      </c>
      <c r="M70" s="32" t="n">
        <f aca="false">IF(OR(C70="",NOT(ISNUMBER(G70))),"",C70*G70)</f>
        <v>51816.0990990991</v>
      </c>
      <c r="N70" s="32" t="n">
        <f aca="false">IF(OR(C70="",NOT(ISNUMBER(H70))),"",C70*H70)</f>
        <v>51816.0990990991</v>
      </c>
      <c r="O70" s="32" t="n">
        <f aca="false">IF(OR(C70="",NOT(ISNUMBER(I70))),"",C70*I70)</f>
        <v>51816.0990990991</v>
      </c>
    </row>
    <row r="71" customFormat="false" ht="15" hidden="false" customHeight="true" outlineLevel="0" collapsed="false">
      <c r="A71" s="5" t="s">
        <v>698</v>
      </c>
      <c r="B71" s="5" t="s">
        <v>645</v>
      </c>
      <c r="C71" s="51" t="n">
        <v>2087</v>
      </c>
      <c r="D71" s="29" t="n">
        <f aca="false">IFERROR(VLOOKUP("SHRIMP BURGER D",'FOOD COST'!$A:$Y,7,0),"")</f>
        <v>10.673</v>
      </c>
      <c r="E71" s="30" t="n">
        <f aca="false">IFERROR(VLOOKUP("SHRIMP BURGER D",'FOOD COST'!$A:$Y,8,0),"")</f>
        <v>10.673</v>
      </c>
      <c r="F71" s="29" t="n">
        <f aca="false">IFERROR(VLOOKUP("SHRIMP BURGER D",'FOOD COST'!$A:$Y,10,0),"")</f>
        <v>25.2252252252252</v>
      </c>
      <c r="G71" s="29" t="n">
        <f aca="false">IFERROR(VLOOKUP("SHRIMP BURGER D",'FOOD COST'!$A:$Y,18,0),"")</f>
        <v>26.1171171171171</v>
      </c>
      <c r="H71" s="29" t="n">
        <f aca="false">IFERROR(VLOOKUP("SHRIMP BURGER D",'FOOD COST'!$A:$Y,21,0),"")</f>
        <v>26.1171171171171</v>
      </c>
      <c r="I71" s="29" t="n">
        <f aca="false">IFERROR(VLOOKUP("SHRIMP BURGER D",'FOOD COST'!$A:$Y,24,0),"")</f>
        <v>26.1171171171171</v>
      </c>
      <c r="J71" s="32" t="n">
        <f aca="false">IF(OR(C71="",NOT(ISNUMBER(D71))),"",C71*D71)</f>
        <v>22274.551</v>
      </c>
      <c r="K71" s="52" t="n">
        <f aca="false">IF(OR(C71="",NOT(ISNUMBER(E71))),"",C71*E71)</f>
        <v>22274.551</v>
      </c>
      <c r="L71" s="32" t="n">
        <f aca="false">IF(OR(C71="",NOT(ISNUMBER(F71))),"",C71*F71)</f>
        <v>52645.045045045</v>
      </c>
      <c r="M71" s="32" t="n">
        <f aca="false">IF(OR(C71="",NOT(ISNUMBER(G71))),"",C71*G71)</f>
        <v>54506.4234234234</v>
      </c>
      <c r="N71" s="32" t="n">
        <f aca="false">IF(OR(C71="",NOT(ISNUMBER(H71))),"",C71*H71)</f>
        <v>54506.4234234234</v>
      </c>
      <c r="O71" s="32" t="n">
        <f aca="false">IF(OR(C71="",NOT(ISNUMBER(I71))),"",C71*I71)</f>
        <v>54506.4234234234</v>
      </c>
    </row>
    <row r="72" customFormat="false" ht="15" hidden="false" customHeight="true" outlineLevel="0" collapsed="false">
      <c r="A72" s="5" t="s">
        <v>386</v>
      </c>
      <c r="B72" s="5" t="s">
        <v>642</v>
      </c>
      <c r="C72" s="51" t="n">
        <v>2146</v>
      </c>
      <c r="D72" s="29" t="n">
        <f aca="false">IFERROR(VLOOKUP("BURGER VEGETARIAN",'FOOD COST'!$A:$Y,7,0),"")</f>
        <v>7.148024</v>
      </c>
      <c r="E72" s="30" t="n">
        <f aca="false">IFERROR(VLOOKUP("BURGER VEGETARIAN",'FOOD COST'!$A:$Y,8,0),"")</f>
        <v>7.148024</v>
      </c>
      <c r="F72" s="29" t="n">
        <f aca="false">IFERROR(VLOOKUP("BURGER VEGETARIAN",'FOOD COST'!$A:$Y,10,0),"")</f>
        <v>18.018018018018</v>
      </c>
      <c r="G72" s="29" t="n">
        <f aca="false">IFERROR(VLOOKUP("BURGER VEGETARIAN",'FOOD COST'!$A:$Y,18,0),"")</f>
        <v>18.9099099099099</v>
      </c>
      <c r="H72" s="29" t="n">
        <f aca="false">IFERROR(VLOOKUP("BURGER VEGETARIAN",'FOOD COST'!$A:$Y,21,0),"")</f>
        <v>18.9099099099099</v>
      </c>
      <c r="I72" s="29" t="n">
        <f aca="false">IFERROR(VLOOKUP("BURGER VEGETARIAN",'FOOD COST'!$A:$Y,24,0),"")</f>
        <v>18.9099099099099</v>
      </c>
      <c r="J72" s="32" t="n">
        <f aca="false">IF(OR(C72="",NOT(ISNUMBER(D72))),"",C72*D72)</f>
        <v>15339.659504</v>
      </c>
      <c r="K72" s="52" t="n">
        <f aca="false">IF(OR(C72="",NOT(ISNUMBER(E72))),"",C72*E72)</f>
        <v>15339.659504</v>
      </c>
      <c r="L72" s="32" t="n">
        <f aca="false">IF(OR(C72="",NOT(ISNUMBER(F72))),"",C72*F72)</f>
        <v>38666.6666666667</v>
      </c>
      <c r="M72" s="32" t="n">
        <f aca="false">IF(OR(C72="",NOT(ISNUMBER(G72))),"",C72*G72)</f>
        <v>40580.6666666667</v>
      </c>
      <c r="N72" s="32" t="n">
        <f aca="false">IF(OR(C72="",NOT(ISNUMBER(H72))),"",C72*H72)</f>
        <v>40580.6666666667</v>
      </c>
      <c r="O72" s="32" t="n">
        <f aca="false">IF(OR(C72="",NOT(ISNUMBER(I72))),"",C72*I72)</f>
        <v>40580.6666666667</v>
      </c>
    </row>
    <row r="73" customFormat="false" ht="15" hidden="false" customHeight="true" outlineLevel="0" collapsed="false">
      <c r="A73" s="5" t="s">
        <v>699</v>
      </c>
      <c r="B73" s="5" t="s">
        <v>645</v>
      </c>
      <c r="C73" s="51" t="n">
        <v>1075</v>
      </c>
      <c r="D73" s="29" t="n">
        <f aca="false">IFERROR(VLOOKUP("BURGER VEGETARIAN D",'FOOD COST'!$A:$Y,7,0),"")</f>
        <v>7.148024</v>
      </c>
      <c r="E73" s="30" t="n">
        <f aca="false">IFERROR(VLOOKUP("BURGER VEGETARIAN D",'FOOD COST'!$A:$Y,8,0),"")</f>
        <v>7.148024</v>
      </c>
      <c r="F73" s="29" t="n">
        <f aca="false">IFERROR(VLOOKUP("BURGER VEGETARIAN D",'FOOD COST'!$A:$Y,10,0),"")</f>
        <v>20.7207207207207</v>
      </c>
      <c r="G73" s="29" t="n">
        <f aca="false">IFERROR(VLOOKUP("BURGER VEGETARIAN D",'FOOD COST'!$A:$Y,18,0),"")</f>
        <v>21.6126126126126</v>
      </c>
      <c r="H73" s="29" t="n">
        <f aca="false">IFERROR(VLOOKUP("BURGER VEGETARIAN D",'FOOD COST'!$A:$Y,21,0),"")</f>
        <v>21.6126126126126</v>
      </c>
      <c r="I73" s="29" t="n">
        <f aca="false">IFERROR(VLOOKUP("BURGER VEGETARIAN D",'FOOD COST'!$A:$Y,24,0),"")</f>
        <v>21.6126126126126</v>
      </c>
      <c r="J73" s="32" t="n">
        <f aca="false">IF(OR(C73="",NOT(ISNUMBER(D73))),"",C73*D73)</f>
        <v>7684.1258</v>
      </c>
      <c r="K73" s="52" t="n">
        <f aca="false">IF(OR(C73="",NOT(ISNUMBER(E73))),"",C73*E73)</f>
        <v>7684.1258</v>
      </c>
      <c r="L73" s="32" t="n">
        <f aca="false">IF(OR(C73="",NOT(ISNUMBER(F73))),"",C73*F73)</f>
        <v>22274.7747747748</v>
      </c>
      <c r="M73" s="32" t="n">
        <f aca="false">IF(OR(C73="",NOT(ISNUMBER(G73))),"",C73*G73)</f>
        <v>23233.5585585586</v>
      </c>
      <c r="N73" s="32" t="n">
        <f aca="false">IF(OR(C73="",NOT(ISNUMBER(H73))),"",C73*H73)</f>
        <v>23233.5585585586</v>
      </c>
      <c r="O73" s="32" t="n">
        <f aca="false">IF(OR(C73="",NOT(ISNUMBER(I73))),"",C73*I73)</f>
        <v>23233.5585585586</v>
      </c>
    </row>
    <row r="74" customFormat="false" ht="15" hidden="false" customHeight="true" outlineLevel="0" collapsed="false">
      <c r="A74" s="5" t="s">
        <v>700</v>
      </c>
      <c r="B74" s="5" t="s">
        <v>642</v>
      </c>
      <c r="C74" s="51" t="n">
        <v>4024</v>
      </c>
      <c r="D74" s="29" t="n">
        <f aca="false">IFERROR(VLOOKUP("4 NUGGETS",'FOOD COST'!$A:$Y,7,0),"")</f>
        <v>3.09672</v>
      </c>
      <c r="E74" s="30" t="n">
        <f aca="false">IFERROR(VLOOKUP("4 NUGGETS",'FOOD COST'!$A:$Y,8,0),"")</f>
        <v>3.09672</v>
      </c>
      <c r="F74" s="29" t="n">
        <f aca="false">IFERROR(VLOOKUP("4 NUGGETS",'FOOD COST'!$A:$Y,10,0),"")</f>
        <v>8.10810810810811</v>
      </c>
      <c r="G74" s="29" t="n">
        <f aca="false">IFERROR(VLOOKUP("4 NUGGETS",'FOOD COST'!$A:$Y,18,0),"")</f>
        <v>8.33333333333333</v>
      </c>
      <c r="H74" s="29" t="n">
        <f aca="false">IFERROR(VLOOKUP("4 NUGGETS",'FOOD COST'!$A:$Y,21,0),"")</f>
        <v>8.55855855855856</v>
      </c>
      <c r="I74" s="29" t="n">
        <f aca="false">IFERROR(VLOOKUP("4 NUGGETS",'FOOD COST'!$A:$Y,24,0),"")</f>
        <v>9</v>
      </c>
      <c r="J74" s="32" t="n">
        <f aca="false">IF(OR(C74="",NOT(ISNUMBER(D74))),"",C74*D74)</f>
        <v>12461.20128</v>
      </c>
      <c r="K74" s="52" t="n">
        <f aca="false">IF(OR(C74="",NOT(ISNUMBER(E74))),"",C74*E74)</f>
        <v>12461.20128</v>
      </c>
      <c r="L74" s="32" t="n">
        <f aca="false">IF(OR(C74="",NOT(ISNUMBER(F74))),"",C74*F74)</f>
        <v>32627.027027027</v>
      </c>
      <c r="M74" s="32" t="n">
        <f aca="false">IF(OR(C74="",NOT(ISNUMBER(G74))),"",C74*G74)</f>
        <v>33533.3333333333</v>
      </c>
      <c r="N74" s="32" t="n">
        <f aca="false">IF(OR(C74="",NOT(ISNUMBER(H74))),"",C74*H74)</f>
        <v>34439.6396396396</v>
      </c>
      <c r="O74" s="32" t="n">
        <f aca="false">IF(OR(C74="",NOT(ISNUMBER(I74))),"",C74*I74)</f>
        <v>36216</v>
      </c>
    </row>
    <row r="75" customFormat="false" ht="15" hidden="false" customHeight="true" outlineLevel="0" collapsed="false">
      <c r="A75" s="5" t="s">
        <v>701</v>
      </c>
      <c r="B75" s="5" t="s">
        <v>645</v>
      </c>
      <c r="C75" s="51" t="n">
        <v>2006</v>
      </c>
      <c r="D75" s="29" t="n">
        <f aca="false">IFERROR(VLOOKUP("4 NUGGETS D",'FOOD COST'!$A:$Y,7,0),"")</f>
        <v>3.09672</v>
      </c>
      <c r="E75" s="30" t="n">
        <f aca="false">IFERROR(VLOOKUP("4 NUGGETS D",'FOOD COST'!$A:$Y,8,0),"")</f>
        <v>3.09672</v>
      </c>
      <c r="F75" s="29" t="n">
        <f aca="false">IFERROR(VLOOKUP("4 NUGGETS D",'FOOD COST'!$A:$Y,10,0),"")</f>
        <v>10.8108108108108</v>
      </c>
      <c r="G75" s="29" t="n">
        <f aca="false">IFERROR(VLOOKUP("4 NUGGETS D",'FOOD COST'!$A:$Y,18,0),"")</f>
        <v>11.036036036036</v>
      </c>
      <c r="H75" s="29" t="n">
        <f aca="false">IFERROR(VLOOKUP("4 NUGGETS D",'FOOD COST'!$A:$Y,21,0),"")</f>
        <v>11.2612612612613</v>
      </c>
      <c r="I75" s="29" t="n">
        <f aca="false">IFERROR(VLOOKUP("4 NUGGETS D",'FOOD COST'!$A:$Y,24,0),"")</f>
        <v>11.7027027027027</v>
      </c>
      <c r="J75" s="32" t="n">
        <f aca="false">IF(OR(C75="",NOT(ISNUMBER(D75))),"",C75*D75)</f>
        <v>6212.02032</v>
      </c>
      <c r="K75" s="52" t="n">
        <f aca="false">IF(OR(C75="",NOT(ISNUMBER(E75))),"",C75*E75)</f>
        <v>6212.02032</v>
      </c>
      <c r="L75" s="32" t="n">
        <f aca="false">IF(OR(C75="",NOT(ISNUMBER(F75))),"",C75*F75)</f>
        <v>21686.4864864865</v>
      </c>
      <c r="M75" s="32" t="n">
        <f aca="false">IF(OR(C75="",NOT(ISNUMBER(G75))),"",C75*G75)</f>
        <v>22138.2882882883</v>
      </c>
      <c r="N75" s="32" t="n">
        <f aca="false">IF(OR(C75="",NOT(ISNUMBER(H75))),"",C75*H75)</f>
        <v>22590.0900900901</v>
      </c>
      <c r="O75" s="32" t="n">
        <f aca="false">IF(OR(C75="",NOT(ISNUMBER(I75))),"",C75*I75)</f>
        <v>23475.6216216216</v>
      </c>
    </row>
    <row r="76" customFormat="false" ht="15" hidden="false" customHeight="true" outlineLevel="0" collapsed="false">
      <c r="A76" s="5" t="s">
        <v>702</v>
      </c>
      <c r="B76" s="5" t="s">
        <v>642</v>
      </c>
      <c r="C76" s="51" t="n">
        <v>3354</v>
      </c>
      <c r="D76" s="29" t="n">
        <f aca="false">IFERROR(VLOOKUP("6 NUGGETS",'FOOD COST'!$A:$Y,7,0),"")</f>
        <v>4.80258</v>
      </c>
      <c r="E76" s="30" t="n">
        <f aca="false">IFERROR(VLOOKUP("6 NUGGETS",'FOOD COST'!$A:$Y,8,0),"")</f>
        <v>4.80258</v>
      </c>
      <c r="F76" s="29" t="n">
        <f aca="false">IFERROR(VLOOKUP("6 NUGGETS",'FOOD COST'!$A:$Y,10,0),"")</f>
        <v>14.4144144144144</v>
      </c>
      <c r="G76" s="29" t="n">
        <f aca="false">IFERROR(VLOOKUP("6 NUGGETS",'FOOD COST'!$A:$Y,18,0),"")</f>
        <v>14.6396396396396</v>
      </c>
      <c r="H76" s="29" t="n">
        <f aca="false">IFERROR(VLOOKUP("6 NUGGETS",'FOOD COST'!$A:$Y,21,0),"")</f>
        <v>14.8648648648649</v>
      </c>
      <c r="I76" s="29" t="n">
        <f aca="false">IFERROR(VLOOKUP("6 NUGGETS",'FOOD COST'!$A:$Y,24,0),"")</f>
        <v>15.3063063063063</v>
      </c>
      <c r="J76" s="32" t="n">
        <f aca="false">IF(OR(C76="",NOT(ISNUMBER(D76))),"",C76*D76)</f>
        <v>16107.85332</v>
      </c>
      <c r="K76" s="52" t="n">
        <f aca="false">IF(OR(C76="",NOT(ISNUMBER(E76))),"",C76*E76)</f>
        <v>16107.85332</v>
      </c>
      <c r="L76" s="32" t="n">
        <f aca="false">IF(OR(C76="",NOT(ISNUMBER(F76))),"",C76*F76)</f>
        <v>48345.9459459459</v>
      </c>
      <c r="M76" s="32" t="n">
        <f aca="false">IF(OR(C76="",NOT(ISNUMBER(G76))),"",C76*G76)</f>
        <v>49101.3513513513</v>
      </c>
      <c r="N76" s="32" t="n">
        <f aca="false">IF(OR(C76="",NOT(ISNUMBER(H76))),"",C76*H76)</f>
        <v>49856.7567567568</v>
      </c>
      <c r="O76" s="32" t="n">
        <f aca="false">IF(OR(C76="",NOT(ISNUMBER(I76))),"",C76*I76)</f>
        <v>51337.3513513513</v>
      </c>
    </row>
    <row r="77" customFormat="false" ht="15" hidden="false" customHeight="true" outlineLevel="0" collapsed="false">
      <c r="A77" s="5" t="s">
        <v>703</v>
      </c>
      <c r="B77" s="5" t="s">
        <v>645</v>
      </c>
      <c r="C77" s="51" t="n">
        <v>2934</v>
      </c>
      <c r="D77" s="29" t="n">
        <f aca="false">IFERROR(VLOOKUP("6 NUGGETS D",'FOOD COST'!$A:$Y,7,0),"")</f>
        <v>4.80258</v>
      </c>
      <c r="E77" s="30" t="n">
        <f aca="false">IFERROR(VLOOKUP("6 NUGGETS D",'FOOD COST'!$A:$Y,8,0),"")</f>
        <v>4.80258</v>
      </c>
      <c r="F77" s="29" t="n">
        <f aca="false">IFERROR(VLOOKUP("6 NUGGETS D",'FOOD COST'!$A:$Y,10,0),"")</f>
        <v>17.1171171171171</v>
      </c>
      <c r="G77" s="29" t="n">
        <f aca="false">IFERROR(VLOOKUP("6 NUGGETS D",'FOOD COST'!$A:$Y,18,0),"")</f>
        <v>17.3423423423423</v>
      </c>
      <c r="H77" s="29" t="n">
        <f aca="false">IFERROR(VLOOKUP("6 NUGGETS D",'FOOD COST'!$A:$Y,21,0),"")</f>
        <v>17.5675675675676</v>
      </c>
      <c r="I77" s="29" t="n">
        <f aca="false">IFERROR(VLOOKUP("6 NUGGETS D",'FOOD COST'!$A:$Y,24,0),"")</f>
        <v>18.009009009009</v>
      </c>
      <c r="J77" s="32" t="n">
        <f aca="false">IF(OR(C77="",NOT(ISNUMBER(D77))),"",C77*D77)</f>
        <v>14090.76972</v>
      </c>
      <c r="K77" s="52" t="n">
        <f aca="false">IF(OR(C77="",NOT(ISNUMBER(E77))),"",C77*E77)</f>
        <v>14090.76972</v>
      </c>
      <c r="L77" s="32" t="n">
        <f aca="false">IF(OR(C77="",NOT(ISNUMBER(F77))),"",C77*F77)</f>
        <v>50221.6216216216</v>
      </c>
      <c r="M77" s="32" t="n">
        <f aca="false">IF(OR(C77="",NOT(ISNUMBER(G77))),"",C77*G77)</f>
        <v>50882.4324324324</v>
      </c>
      <c r="N77" s="32" t="n">
        <f aca="false">IF(OR(C77="",NOT(ISNUMBER(H77))),"",C77*H77)</f>
        <v>51543.2432432432</v>
      </c>
      <c r="O77" s="32" t="n">
        <f aca="false">IF(OR(C77="",NOT(ISNUMBER(I77))),"",C77*I77)</f>
        <v>52838.4324324324</v>
      </c>
    </row>
    <row r="78" customFormat="false" ht="15" hidden="false" customHeight="true" outlineLevel="0" collapsed="false">
      <c r="A78" s="5" t="s">
        <v>704</v>
      </c>
      <c r="B78" s="5" t="s">
        <v>642</v>
      </c>
      <c r="C78" s="51" t="n">
        <v>2189</v>
      </c>
      <c r="D78" s="29" t="n">
        <f aca="false">IFERROR(VLOOKUP("9 NUGGETS",'FOOD COST'!$A:$Y,7,0),"")</f>
        <v>6.80887</v>
      </c>
      <c r="E78" s="30" t="n">
        <f aca="false">IFERROR(VLOOKUP("9 NUGGETS",'FOOD COST'!$A:$Y,8,0),"")</f>
        <v>6.80887</v>
      </c>
      <c r="F78" s="29" t="n">
        <f aca="false">IFERROR(VLOOKUP("9 NUGGETS",'FOOD COST'!$A:$Y,10,0),"")</f>
        <v>19.8198198198198</v>
      </c>
      <c r="G78" s="29" t="n">
        <f aca="false">IFERROR(VLOOKUP("9 NUGGETS",'FOOD COST'!$A:$Y,18,0),"")</f>
        <v>20.045045045045</v>
      </c>
      <c r="H78" s="29" t="n">
        <f aca="false">IFERROR(VLOOKUP("9 NUGGETS",'FOOD COST'!$A:$Y,21,0),"")</f>
        <v>20.2702702702703</v>
      </c>
      <c r="I78" s="29" t="n">
        <f aca="false">IFERROR(VLOOKUP("9 NUGGETS",'FOOD COST'!$A:$Y,24,0),"")</f>
        <v>20.7117117117117</v>
      </c>
      <c r="J78" s="32" t="n">
        <f aca="false">IF(OR(C78="",NOT(ISNUMBER(D78))),"",C78*D78)</f>
        <v>14904.61643</v>
      </c>
      <c r="K78" s="52" t="n">
        <f aca="false">IF(OR(C78="",NOT(ISNUMBER(E78))),"",C78*E78)</f>
        <v>14904.61643</v>
      </c>
      <c r="L78" s="32" t="n">
        <f aca="false">IF(OR(C78="",NOT(ISNUMBER(F78))),"",C78*F78)</f>
        <v>43385.5855855856</v>
      </c>
      <c r="M78" s="32" t="n">
        <f aca="false">IF(OR(C78="",NOT(ISNUMBER(G78))),"",C78*G78)</f>
        <v>43878.6036036036</v>
      </c>
      <c r="N78" s="32" t="n">
        <f aca="false">IF(OR(C78="",NOT(ISNUMBER(H78))),"",C78*H78)</f>
        <v>44371.6216216216</v>
      </c>
      <c r="O78" s="32" t="n">
        <f aca="false">IF(OR(C78="",NOT(ISNUMBER(I78))),"",C78*I78)</f>
        <v>45337.9369369369</v>
      </c>
    </row>
    <row r="79" customFormat="false" ht="15" hidden="false" customHeight="true" outlineLevel="0" collapsed="false">
      <c r="A79" s="5" t="s">
        <v>705</v>
      </c>
      <c r="B79" s="5" t="s">
        <v>645</v>
      </c>
      <c r="C79" s="51" t="n">
        <v>3196</v>
      </c>
      <c r="D79" s="29" t="n">
        <f aca="false">IFERROR(VLOOKUP("9 NUGGETS D",'FOOD COST'!$A:$Y,7,0),"")</f>
        <v>7.25987</v>
      </c>
      <c r="E79" s="30" t="n">
        <f aca="false">IFERROR(VLOOKUP("9 NUGGETS D",'FOOD COST'!$A:$Y,8,0),"")</f>
        <v>7.25987</v>
      </c>
      <c r="F79" s="29" t="n">
        <f aca="false">IFERROR(VLOOKUP("9 NUGGETS D",'FOOD COST'!$A:$Y,10,0),"")</f>
        <v>23.4234234234234</v>
      </c>
      <c r="G79" s="29" t="n">
        <f aca="false">IFERROR(VLOOKUP("9 NUGGETS D",'FOOD COST'!$A:$Y,18,0),"")</f>
        <v>23.6486486486486</v>
      </c>
      <c r="H79" s="29" t="n">
        <f aca="false">IFERROR(VLOOKUP("9 NUGGETS D",'FOOD COST'!$A:$Y,21,0),"")</f>
        <v>23.8738738738739</v>
      </c>
      <c r="I79" s="29" t="n">
        <f aca="false">IFERROR(VLOOKUP("9 NUGGETS D",'FOOD COST'!$A:$Y,24,0),"")</f>
        <v>24.3153153153153</v>
      </c>
      <c r="J79" s="32" t="n">
        <f aca="false">IF(OR(C79="",NOT(ISNUMBER(D79))),"",C79*D79)</f>
        <v>23202.54452</v>
      </c>
      <c r="K79" s="52" t="n">
        <f aca="false">IF(OR(C79="",NOT(ISNUMBER(E79))),"",C79*E79)</f>
        <v>23202.54452</v>
      </c>
      <c r="L79" s="32" t="n">
        <f aca="false">IF(OR(C79="",NOT(ISNUMBER(F79))),"",C79*F79)</f>
        <v>74861.2612612613</v>
      </c>
      <c r="M79" s="32" t="n">
        <f aca="false">IF(OR(C79="",NOT(ISNUMBER(G79))),"",C79*G79)</f>
        <v>75581.0810810811</v>
      </c>
      <c r="N79" s="32" t="n">
        <f aca="false">IF(OR(C79="",NOT(ISNUMBER(H79))),"",C79*H79)</f>
        <v>76300.9009009009</v>
      </c>
      <c r="O79" s="32" t="n">
        <f aca="false">IF(OR(C79="",NOT(ISNUMBER(I79))),"",C79*I79)</f>
        <v>77711.7477477477</v>
      </c>
    </row>
    <row r="80" customFormat="false" ht="15" hidden="false" customHeight="true" outlineLevel="0" collapsed="false">
      <c r="A80" s="5" t="s">
        <v>706</v>
      </c>
      <c r="B80" s="5" t="s">
        <v>642</v>
      </c>
      <c r="C80" s="51" t="n">
        <v>1210</v>
      </c>
      <c r="D80" s="29" t="n">
        <f aca="false">IFERROR(VLOOKUP("3 COUNTRY WINGS",'FOOD COST'!$A:$Y,7,0),"")</f>
        <v>4.86849</v>
      </c>
      <c r="E80" s="30" t="n">
        <f aca="false">IFERROR(VLOOKUP("3 COUNTRY WINGS",'FOOD COST'!$A:$Y,8,0),"")</f>
        <v>4.86849</v>
      </c>
      <c r="F80" s="29" t="n">
        <f aca="false">IFERROR(VLOOKUP("3 COUNTRY WINGS",'FOOD COST'!$A:$Y,10,0),"")</f>
        <v>13.0630630630631</v>
      </c>
      <c r="G80" s="29" t="n">
        <f aca="false">IFERROR(VLOOKUP("3 COUNTRY WINGS",'FOOD COST'!$A:$Y,18,0),"")</f>
        <v>13.2882882882883</v>
      </c>
      <c r="H80" s="29" t="n">
        <f aca="false">IFERROR(VLOOKUP("3 COUNTRY WINGS",'FOOD COST'!$A:$Y,21,0),"")</f>
        <v>13.5135135135135</v>
      </c>
      <c r="I80" s="29" t="n">
        <f aca="false">IFERROR(VLOOKUP("3 COUNTRY WINGS",'FOOD COST'!$A:$Y,24,0),"")</f>
        <v>13.954954954955</v>
      </c>
      <c r="J80" s="32" t="n">
        <f aca="false">IF(OR(C80="",NOT(ISNUMBER(D80))),"",C80*D80)</f>
        <v>5890.8729</v>
      </c>
      <c r="K80" s="52" t="n">
        <f aca="false">IF(OR(C80="",NOT(ISNUMBER(E80))),"",C80*E80)</f>
        <v>5890.8729</v>
      </c>
      <c r="L80" s="32" t="n">
        <f aca="false">IF(OR(C80="",NOT(ISNUMBER(F80))),"",C80*F80)</f>
        <v>15806.3063063063</v>
      </c>
      <c r="M80" s="32" t="n">
        <f aca="false">IF(OR(C80="",NOT(ISNUMBER(G80))),"",C80*G80)</f>
        <v>16078.8288288288</v>
      </c>
      <c r="N80" s="32" t="n">
        <f aca="false">IF(OR(C80="",NOT(ISNUMBER(H80))),"",C80*H80)</f>
        <v>16351.3513513514</v>
      </c>
      <c r="O80" s="32" t="n">
        <f aca="false">IF(OR(C80="",NOT(ISNUMBER(I80))),"",C80*I80)</f>
        <v>16885.4954954955</v>
      </c>
    </row>
    <row r="81" customFormat="false" ht="15" hidden="false" customHeight="true" outlineLevel="0" collapsed="false">
      <c r="A81" s="5" t="s">
        <v>707</v>
      </c>
      <c r="B81" s="5" t="s">
        <v>645</v>
      </c>
      <c r="C81" s="51" t="n">
        <v>500</v>
      </c>
      <c r="D81" s="29" t="n">
        <f aca="false">IFERROR(VLOOKUP("3 COUNTRY WINGS D",'FOOD COST'!$A:$Y,7,0),"")</f>
        <v>4.86849</v>
      </c>
      <c r="E81" s="30" t="n">
        <f aca="false">IFERROR(VLOOKUP("3 COUNTRY WINGS D",'FOOD COST'!$A:$Y,8,0),"")</f>
        <v>4.86849</v>
      </c>
      <c r="F81" s="29" t="n">
        <f aca="false">IFERROR(VLOOKUP("3 COUNTRY WINGS D",'FOOD COST'!$A:$Y,10,0),"")</f>
        <v>15.3153153153153</v>
      </c>
      <c r="G81" s="29" t="n">
        <f aca="false">IFERROR(VLOOKUP("3 COUNTRY WINGS D",'FOOD COST'!$A:$Y,18,0),"")</f>
        <v>15.5405405405405</v>
      </c>
      <c r="H81" s="29" t="n">
        <f aca="false">IFERROR(VLOOKUP("3 COUNTRY WINGS D",'FOOD COST'!$A:$Y,21,0),"")</f>
        <v>15.7657657657658</v>
      </c>
      <c r="I81" s="29" t="n">
        <f aca="false">IFERROR(VLOOKUP("3 COUNTRY WINGS D",'FOOD COST'!$A:$Y,24,0),"")</f>
        <v>16.2072072072072</v>
      </c>
      <c r="J81" s="32" t="n">
        <f aca="false">IF(OR(C81="",NOT(ISNUMBER(D81))),"",C81*D81)</f>
        <v>2434.245</v>
      </c>
      <c r="K81" s="52" t="n">
        <f aca="false">IF(OR(C81="",NOT(ISNUMBER(E81))),"",C81*E81)</f>
        <v>2434.245</v>
      </c>
      <c r="L81" s="32" t="n">
        <f aca="false">IF(OR(C81="",NOT(ISNUMBER(F81))),"",C81*F81)</f>
        <v>7657.65765765766</v>
      </c>
      <c r="M81" s="32" t="n">
        <f aca="false">IF(OR(C81="",NOT(ISNUMBER(G81))),"",C81*G81)</f>
        <v>7770.27027027027</v>
      </c>
      <c r="N81" s="32" t="n">
        <f aca="false">IF(OR(C81="",NOT(ISNUMBER(H81))),"",C81*H81)</f>
        <v>7882.88288288288</v>
      </c>
      <c r="O81" s="32" t="n">
        <f aca="false">IF(OR(C81="",NOT(ISNUMBER(I81))),"",C81*I81)</f>
        <v>8103.6036036036</v>
      </c>
    </row>
    <row r="82" customFormat="false" ht="15" hidden="false" customHeight="true" outlineLevel="0" collapsed="false">
      <c r="A82" s="5" t="s">
        <v>708</v>
      </c>
      <c r="B82" s="5" t="s">
        <v>642</v>
      </c>
      <c r="C82" s="51" t="n">
        <v>2175</v>
      </c>
      <c r="D82" s="29" t="n">
        <f aca="false">IFERROR(VLOOKUP("5 COUNTRY WINGS",'FOOD COST'!$A:$Y,7,0),"")</f>
        <v>7.78615</v>
      </c>
      <c r="E82" s="30" t="n">
        <f aca="false">IFERROR(VLOOKUP("5 COUNTRY WINGS",'FOOD COST'!$A:$Y,8,0),"")</f>
        <v>7.78615</v>
      </c>
      <c r="F82" s="29" t="n">
        <f aca="false">IFERROR(VLOOKUP("5 COUNTRY WINGS",'FOOD COST'!$A:$Y,10,0),"")</f>
        <v>18.9189189189189</v>
      </c>
      <c r="G82" s="29" t="n">
        <f aca="false">IFERROR(VLOOKUP("5 COUNTRY WINGS",'FOOD COST'!$A:$Y,18,0),"")</f>
        <v>19.1441441441441</v>
      </c>
      <c r="H82" s="29" t="n">
        <f aca="false">IFERROR(VLOOKUP("5 COUNTRY WINGS",'FOOD COST'!$A:$Y,21,0),"")</f>
        <v>19.3693693693694</v>
      </c>
      <c r="I82" s="29" t="n">
        <f aca="false">IFERROR(VLOOKUP("5 COUNTRY WINGS",'FOOD COST'!$A:$Y,24,0),"")</f>
        <v>19.8108108108108</v>
      </c>
      <c r="J82" s="32" t="n">
        <f aca="false">IF(OR(C82="",NOT(ISNUMBER(D82))),"",C82*D82)</f>
        <v>16934.87625</v>
      </c>
      <c r="K82" s="52" t="n">
        <f aca="false">IF(OR(C82="",NOT(ISNUMBER(E82))),"",C82*E82)</f>
        <v>16934.87625</v>
      </c>
      <c r="L82" s="32" t="n">
        <f aca="false">IF(OR(C82="",NOT(ISNUMBER(F82))),"",C82*F82)</f>
        <v>41148.6486486486</v>
      </c>
      <c r="M82" s="32" t="n">
        <f aca="false">IF(OR(C82="",NOT(ISNUMBER(G82))),"",C82*G82)</f>
        <v>41638.5135135135</v>
      </c>
      <c r="N82" s="32" t="n">
        <f aca="false">IF(OR(C82="",NOT(ISNUMBER(H82))),"",C82*H82)</f>
        <v>42128.3783783784</v>
      </c>
      <c r="O82" s="32" t="n">
        <f aca="false">IF(OR(C82="",NOT(ISNUMBER(I82))),"",C82*I82)</f>
        <v>43088.5135135135</v>
      </c>
    </row>
    <row r="83" customFormat="false" ht="15" hidden="false" customHeight="true" outlineLevel="0" collapsed="false">
      <c r="A83" s="5" t="s">
        <v>709</v>
      </c>
      <c r="B83" s="5" t="s">
        <v>645</v>
      </c>
      <c r="C83" s="51" t="n">
        <v>531</v>
      </c>
      <c r="D83" s="29" t="n">
        <f aca="false">IFERROR(VLOOKUP("5 COUNTRY WINGS D",'FOOD COST'!$A:$Y,7,0),"")</f>
        <v>7.78615</v>
      </c>
      <c r="E83" s="30" t="n">
        <f aca="false">IFERROR(VLOOKUP("5 COUNTRY WINGS D",'FOOD COST'!$A:$Y,8,0),"")</f>
        <v>7.78615</v>
      </c>
      <c r="F83" s="29" t="n">
        <f aca="false">IFERROR(VLOOKUP("5 COUNTRY WINGS D",'FOOD COST'!$A:$Y,10,0),"")</f>
        <v>24.7747747747748</v>
      </c>
      <c r="G83" s="29" t="n">
        <f aca="false">IFERROR(VLOOKUP("5 COUNTRY WINGS D",'FOOD COST'!$A:$Y,18,0),"")</f>
        <v>25</v>
      </c>
      <c r="H83" s="29" t="n">
        <f aca="false">IFERROR(VLOOKUP("5 COUNTRY WINGS D",'FOOD COST'!$A:$Y,21,0),"")</f>
        <v>25.2252252252252</v>
      </c>
      <c r="I83" s="29" t="n">
        <f aca="false">IFERROR(VLOOKUP("5 COUNTRY WINGS D",'FOOD COST'!$A:$Y,24,0),"")</f>
        <v>25.6666666666667</v>
      </c>
      <c r="J83" s="32" t="n">
        <f aca="false">IF(OR(C83="",NOT(ISNUMBER(D83))),"",C83*D83)</f>
        <v>4134.44565</v>
      </c>
      <c r="K83" s="52" t="n">
        <f aca="false">IF(OR(C83="",NOT(ISNUMBER(E83))),"",C83*E83)</f>
        <v>4134.44565</v>
      </c>
      <c r="L83" s="32" t="n">
        <f aca="false">IF(OR(C83="",NOT(ISNUMBER(F83))),"",C83*F83)</f>
        <v>13155.4054054054</v>
      </c>
      <c r="M83" s="32" t="n">
        <f aca="false">IF(OR(C83="",NOT(ISNUMBER(G83))),"",C83*G83)</f>
        <v>13275</v>
      </c>
      <c r="N83" s="32" t="n">
        <f aca="false">IF(OR(C83="",NOT(ISNUMBER(H83))),"",C83*H83)</f>
        <v>13394.5945945946</v>
      </c>
      <c r="O83" s="32" t="n">
        <f aca="false">IF(OR(C83="",NOT(ISNUMBER(I83))),"",C83*I83)</f>
        <v>13629</v>
      </c>
    </row>
    <row r="84" customFormat="false" ht="15" hidden="false" customHeight="true" outlineLevel="0" collapsed="false">
      <c r="A84" s="5" t="s">
        <v>710</v>
      </c>
      <c r="B84" s="5" t="s">
        <v>642</v>
      </c>
      <c r="C84" s="51" t="n">
        <v>1436</v>
      </c>
      <c r="D84" s="29" t="n">
        <f aca="false">IFERROR(VLOOKUP("7 COUNTRY WINGS",'FOOD COST'!$A:$Y,7,0),"")</f>
        <v>10.70381</v>
      </c>
      <c r="E84" s="30" t="n">
        <f aca="false">IFERROR(VLOOKUP("7 COUNTRY WINGS",'FOOD COST'!$A:$Y,8,0),"")</f>
        <v>10.70381</v>
      </c>
      <c r="F84" s="29" t="n">
        <f aca="false">IFERROR(VLOOKUP("7 COUNTRY WINGS",'FOOD COST'!$A:$Y,10,0),"")</f>
        <v>23.8738738738739</v>
      </c>
      <c r="G84" s="29" t="n">
        <f aca="false">IFERROR(VLOOKUP("7 COUNTRY WINGS",'FOOD COST'!$A:$Y,18,0),"")</f>
        <v>24.0990990990991</v>
      </c>
      <c r="H84" s="29" t="n">
        <f aca="false">IFERROR(VLOOKUP("7 COUNTRY WINGS",'FOOD COST'!$A:$Y,21,0),"")</f>
        <v>24.3243243243243</v>
      </c>
      <c r="I84" s="29" t="n">
        <f aca="false">IFERROR(VLOOKUP("7 COUNTRY WINGS",'FOOD COST'!$A:$Y,24,0),"")</f>
        <v>24.7657657657658</v>
      </c>
      <c r="J84" s="32" t="n">
        <f aca="false">IF(OR(C84="",NOT(ISNUMBER(D84))),"",C84*D84)</f>
        <v>15370.67116</v>
      </c>
      <c r="K84" s="52" t="n">
        <f aca="false">IF(OR(C84="",NOT(ISNUMBER(E84))),"",C84*E84)</f>
        <v>15370.67116</v>
      </c>
      <c r="L84" s="32" t="n">
        <f aca="false">IF(OR(C84="",NOT(ISNUMBER(F84))),"",C84*F84)</f>
        <v>34282.8828828829</v>
      </c>
      <c r="M84" s="32" t="n">
        <f aca="false">IF(OR(C84="",NOT(ISNUMBER(G84))),"",C84*G84)</f>
        <v>34606.3063063063</v>
      </c>
      <c r="N84" s="32" t="n">
        <f aca="false">IF(OR(C84="",NOT(ISNUMBER(H84))),"",C84*H84)</f>
        <v>34929.7297297297</v>
      </c>
      <c r="O84" s="32" t="n">
        <f aca="false">IF(OR(C84="",NOT(ISNUMBER(I84))),"",C84*I84)</f>
        <v>35563.6396396396</v>
      </c>
    </row>
    <row r="85" customFormat="false" ht="15" hidden="false" customHeight="true" outlineLevel="0" collapsed="false">
      <c r="A85" s="5" t="s">
        <v>711</v>
      </c>
      <c r="B85" s="5" t="s">
        <v>645</v>
      </c>
      <c r="C85" s="51" t="n">
        <v>701</v>
      </c>
      <c r="D85" s="29" t="n">
        <f aca="false">IFERROR(VLOOKUP("7 COUNTRY WINGS D",'FOOD COST'!$A:$Y,7,0),"")</f>
        <v>10.70381</v>
      </c>
      <c r="E85" s="30" t="n">
        <f aca="false">IFERROR(VLOOKUP("7 COUNTRY WINGS D",'FOOD COST'!$A:$Y,8,0),"")</f>
        <v>10.70381</v>
      </c>
      <c r="F85" s="29" t="n">
        <f aca="false">IFERROR(VLOOKUP("7 COUNTRY WINGS D",'FOOD COST'!$A:$Y,10,0),"")</f>
        <v>27.4774774774775</v>
      </c>
      <c r="G85" s="29" t="n">
        <f aca="false">IFERROR(VLOOKUP("7 COUNTRY WINGS D",'FOOD COST'!$A:$Y,18,0),"")</f>
        <v>27.7027027027027</v>
      </c>
      <c r="H85" s="29" t="n">
        <f aca="false">IFERROR(VLOOKUP("7 COUNTRY WINGS D",'FOOD COST'!$A:$Y,21,0),"")</f>
        <v>27.9279279279279</v>
      </c>
      <c r="I85" s="29" t="n">
        <f aca="false">IFERROR(VLOOKUP("7 COUNTRY WINGS D",'FOOD COST'!$A:$Y,24,0),"")</f>
        <v>28.3693693693694</v>
      </c>
      <c r="J85" s="32" t="n">
        <f aca="false">IF(OR(C85="",NOT(ISNUMBER(D85))),"",C85*D85)</f>
        <v>7503.37081</v>
      </c>
      <c r="K85" s="52" t="n">
        <f aca="false">IF(OR(C85="",NOT(ISNUMBER(E85))),"",C85*E85)</f>
        <v>7503.37081</v>
      </c>
      <c r="L85" s="32" t="n">
        <f aca="false">IF(OR(C85="",NOT(ISNUMBER(F85))),"",C85*F85)</f>
        <v>19261.7117117117</v>
      </c>
      <c r="M85" s="32" t="n">
        <f aca="false">IF(OR(C85="",NOT(ISNUMBER(G85))),"",C85*G85)</f>
        <v>19419.5945945946</v>
      </c>
      <c r="N85" s="32" t="n">
        <f aca="false">IF(OR(C85="",NOT(ISNUMBER(H85))),"",C85*H85)</f>
        <v>19577.4774774775</v>
      </c>
      <c r="O85" s="32" t="n">
        <f aca="false">IF(OR(C85="",NOT(ISNUMBER(I85))),"",C85*I85)</f>
        <v>19886.9279279279</v>
      </c>
    </row>
    <row r="86" customFormat="false" ht="15" hidden="false" customHeight="true" outlineLevel="0" collapsed="false">
      <c r="A86" s="5" t="s">
        <v>712</v>
      </c>
      <c r="B86" s="5" t="s">
        <v>642</v>
      </c>
      <c r="C86" s="51" t="n">
        <v>1063</v>
      </c>
      <c r="D86" s="29" t="n">
        <f aca="false">IFERROR(VLOOKUP("9 COUNTRY WINGS",'FOOD COST'!$A:$Y,7,0),"")</f>
        <v>13.62147</v>
      </c>
      <c r="E86" s="30" t="n">
        <f aca="false">IFERROR(VLOOKUP("9 COUNTRY WINGS",'FOOD COST'!$A:$Y,8,0),"")</f>
        <v>13.62147</v>
      </c>
      <c r="F86" s="29" t="n">
        <f aca="false">IFERROR(VLOOKUP("9 COUNTRY WINGS",'FOOD COST'!$A:$Y,10,0),"")</f>
        <v>28.3783783783784</v>
      </c>
      <c r="G86" s="29" t="n">
        <f aca="false">IFERROR(VLOOKUP("9 COUNTRY WINGS",'FOOD COST'!$A:$Y,18,0),"")</f>
        <v>28.6036036036036</v>
      </c>
      <c r="H86" s="29" t="n">
        <f aca="false">IFERROR(VLOOKUP("9 COUNTRY WINGS",'FOOD COST'!$A:$Y,21,0),"")</f>
        <v>28.8288288288288</v>
      </c>
      <c r="I86" s="29" t="n">
        <f aca="false">IFERROR(VLOOKUP("9 COUNTRY WINGS",'FOOD COST'!$A:$Y,24,0),"")</f>
        <v>29.2702702702703</v>
      </c>
      <c r="J86" s="32" t="n">
        <f aca="false">IF(OR(C86="",NOT(ISNUMBER(D86))),"",C86*D86)</f>
        <v>14479.62261</v>
      </c>
      <c r="K86" s="52" t="n">
        <f aca="false">IF(OR(C86="",NOT(ISNUMBER(E86))),"",C86*E86)</f>
        <v>14479.62261</v>
      </c>
      <c r="L86" s="32" t="n">
        <f aca="false">IF(OR(C86="",NOT(ISNUMBER(F86))),"",C86*F86)</f>
        <v>30166.2162162162</v>
      </c>
      <c r="M86" s="32" t="n">
        <f aca="false">IF(OR(C86="",NOT(ISNUMBER(G86))),"",C86*G86)</f>
        <v>30405.6306306306</v>
      </c>
      <c r="N86" s="32" t="n">
        <f aca="false">IF(OR(C86="",NOT(ISNUMBER(H86))),"",C86*H86)</f>
        <v>30645.045045045</v>
      </c>
      <c r="O86" s="32" t="n">
        <f aca="false">IF(OR(C86="",NOT(ISNUMBER(I86))),"",C86*I86)</f>
        <v>31114.2972972973</v>
      </c>
    </row>
    <row r="87" customFormat="false" ht="15" hidden="false" customHeight="true" outlineLevel="0" collapsed="false">
      <c r="A87" s="5" t="s">
        <v>713</v>
      </c>
      <c r="B87" s="5" t="s">
        <v>645</v>
      </c>
      <c r="C87" s="51" t="n">
        <v>1224</v>
      </c>
      <c r="D87" s="29" t="n">
        <f aca="false">IFERROR(VLOOKUP("9 COUNTRY WINGS D",'FOOD COST'!$A:$Y,7,0),"")</f>
        <v>13.62147</v>
      </c>
      <c r="E87" s="30" t="n">
        <f aca="false">IFERROR(VLOOKUP("9 COUNTRY WINGS D",'FOOD COST'!$A:$Y,8,0),"")</f>
        <v>13.62147</v>
      </c>
      <c r="F87" s="29" t="n">
        <f aca="false">IFERROR(VLOOKUP("9 COUNTRY WINGS D",'FOOD COST'!$A:$Y,10,0),"")</f>
        <v>32.4324324324324</v>
      </c>
      <c r="G87" s="29" t="n">
        <f aca="false">IFERROR(VLOOKUP("9 COUNTRY WINGS D",'FOOD COST'!$A:$Y,18,0),"")</f>
        <v>32.6576576576577</v>
      </c>
      <c r="H87" s="29" t="n">
        <f aca="false">IFERROR(VLOOKUP("9 COUNTRY WINGS D",'FOOD COST'!$A:$Y,21,0),"")</f>
        <v>32.8828828828829</v>
      </c>
      <c r="I87" s="29" t="n">
        <f aca="false">IFERROR(VLOOKUP("9 COUNTRY WINGS D",'FOOD COST'!$A:$Y,24,0),"")</f>
        <v>33.3243243243243</v>
      </c>
      <c r="J87" s="32" t="n">
        <f aca="false">IF(OR(C87="",NOT(ISNUMBER(D87))),"",C87*D87)</f>
        <v>16672.67928</v>
      </c>
      <c r="K87" s="52" t="n">
        <f aca="false">IF(OR(C87="",NOT(ISNUMBER(E87))),"",C87*E87)</f>
        <v>16672.67928</v>
      </c>
      <c r="L87" s="32" t="n">
        <f aca="false">IF(OR(C87="",NOT(ISNUMBER(F87))),"",C87*F87)</f>
        <v>39697.2972972973</v>
      </c>
      <c r="M87" s="32" t="n">
        <f aca="false">IF(OR(C87="",NOT(ISNUMBER(G87))),"",C87*G87)</f>
        <v>39972.972972973</v>
      </c>
      <c r="N87" s="32" t="n">
        <f aca="false">IF(OR(C87="",NOT(ISNUMBER(H87))),"",C87*H87)</f>
        <v>40248.6486486487</v>
      </c>
      <c r="O87" s="32" t="n">
        <f aca="false">IF(OR(C87="",NOT(ISNUMBER(I87))),"",C87*I87)</f>
        <v>40788.972972973</v>
      </c>
    </row>
    <row r="88" customFormat="false" ht="15" hidden="false" customHeight="true" outlineLevel="0" collapsed="false">
      <c r="A88" s="5" t="s">
        <v>714</v>
      </c>
      <c r="B88" s="5" t="s">
        <v>642</v>
      </c>
      <c r="C88" s="51" t="n">
        <v>1527</v>
      </c>
      <c r="D88" s="29" t="n">
        <f aca="false">IFERROR(VLOOKUP("3 HOT COUNTRY WINGS",'FOOD COST'!$A:$Y,7,0),"")</f>
        <v>5.25409</v>
      </c>
      <c r="E88" s="30" t="n">
        <f aca="false">IFERROR(VLOOKUP("3 HOT COUNTRY WINGS",'FOOD COST'!$A:$Y,8,0),"")</f>
        <v>5.25409</v>
      </c>
      <c r="F88" s="29" t="n">
        <f aca="false">IFERROR(VLOOKUP("3 HOT COUNTRY WINGS",'FOOD COST'!$A:$Y,10,0),"")</f>
        <v>13.0630630630631</v>
      </c>
      <c r="G88" s="29" t="n">
        <f aca="false">IFERROR(VLOOKUP("3 HOT COUNTRY WINGS",'FOOD COST'!$A:$Y,18,0),"")</f>
        <v>13.2882882882883</v>
      </c>
      <c r="H88" s="29" t="n">
        <f aca="false">IFERROR(VLOOKUP("3 HOT COUNTRY WINGS",'FOOD COST'!$A:$Y,21,0),"")</f>
        <v>13.5135135135135</v>
      </c>
      <c r="I88" s="29" t="n">
        <f aca="false">IFERROR(VLOOKUP("3 HOT COUNTRY WINGS",'FOOD COST'!$A:$Y,24,0),"")</f>
        <v>13.954954954955</v>
      </c>
      <c r="J88" s="32" t="n">
        <f aca="false">IF(OR(C88="",NOT(ISNUMBER(D88))),"",C88*D88)</f>
        <v>8022.99543</v>
      </c>
      <c r="K88" s="52" t="n">
        <f aca="false">IF(OR(C88="",NOT(ISNUMBER(E88))),"",C88*E88)</f>
        <v>8022.99543</v>
      </c>
      <c r="L88" s="32" t="n">
        <f aca="false">IF(OR(C88="",NOT(ISNUMBER(F88))),"",C88*F88)</f>
        <v>19947.2972972973</v>
      </c>
      <c r="M88" s="32" t="n">
        <f aca="false">IF(OR(C88="",NOT(ISNUMBER(G88))),"",C88*G88)</f>
        <v>20291.2162162162</v>
      </c>
      <c r="N88" s="32" t="n">
        <f aca="false">IF(OR(C88="",NOT(ISNUMBER(H88))),"",C88*H88)</f>
        <v>20635.1351351351</v>
      </c>
      <c r="O88" s="32" t="n">
        <f aca="false">IF(OR(C88="",NOT(ISNUMBER(I88))),"",C88*I88)</f>
        <v>21309.2162162162</v>
      </c>
    </row>
    <row r="89" customFormat="false" ht="15" hidden="false" customHeight="true" outlineLevel="0" collapsed="false">
      <c r="A89" s="5" t="s">
        <v>715</v>
      </c>
      <c r="B89" s="5" t="s">
        <v>645</v>
      </c>
      <c r="C89" s="51" t="n">
        <v>1121</v>
      </c>
      <c r="D89" s="29" t="n">
        <f aca="false">IFERROR(VLOOKUP("3 HOT COUNTRY WINGS D",'FOOD COST'!$A:$Y,7,0),"")</f>
        <v>5.25409</v>
      </c>
      <c r="E89" s="30" t="n">
        <f aca="false">IFERROR(VLOOKUP("3 HOT COUNTRY WINGS D",'FOOD COST'!$A:$Y,8,0),"")</f>
        <v>5.25409</v>
      </c>
      <c r="F89" s="29" t="n">
        <f aca="false">IFERROR(VLOOKUP("3 HOT COUNTRY WINGS D",'FOOD COST'!$A:$Y,10,0),"")</f>
        <v>15.3153153153153</v>
      </c>
      <c r="G89" s="29" t="n">
        <f aca="false">IFERROR(VLOOKUP("3 HOT COUNTRY WINGS D",'FOOD COST'!$A:$Y,18,0),"")</f>
        <v>15.5405405405405</v>
      </c>
      <c r="H89" s="29" t="n">
        <f aca="false">IFERROR(VLOOKUP("3 HOT COUNTRY WINGS D",'FOOD COST'!$A:$Y,21,0),"")</f>
        <v>15.7657657657658</v>
      </c>
      <c r="I89" s="29" t="n">
        <f aca="false">IFERROR(VLOOKUP("3 HOT COUNTRY WINGS D",'FOOD COST'!$A:$Y,24,0),"")</f>
        <v>16.2072072072072</v>
      </c>
      <c r="J89" s="32" t="n">
        <f aca="false">IF(OR(C89="",NOT(ISNUMBER(D89))),"",C89*D89)</f>
        <v>5889.83489</v>
      </c>
      <c r="K89" s="52" t="n">
        <f aca="false">IF(OR(C89="",NOT(ISNUMBER(E89))),"",C89*E89)</f>
        <v>5889.83489</v>
      </c>
      <c r="L89" s="32" t="n">
        <f aca="false">IF(OR(C89="",NOT(ISNUMBER(F89))),"",C89*F89)</f>
        <v>17168.4684684685</v>
      </c>
      <c r="M89" s="32" t="n">
        <f aca="false">IF(OR(C89="",NOT(ISNUMBER(G89))),"",C89*G89)</f>
        <v>17420.9459459459</v>
      </c>
      <c r="N89" s="32" t="n">
        <f aca="false">IF(OR(C89="",NOT(ISNUMBER(H89))),"",C89*H89)</f>
        <v>17673.4234234234</v>
      </c>
      <c r="O89" s="32" t="n">
        <f aca="false">IF(OR(C89="",NOT(ISNUMBER(I89))),"",C89*I89)</f>
        <v>18168.2792792793</v>
      </c>
    </row>
    <row r="90" customFormat="false" ht="15" hidden="false" customHeight="true" outlineLevel="0" collapsed="false">
      <c r="A90" s="5" t="s">
        <v>716</v>
      </c>
      <c r="B90" s="5" t="s">
        <v>642</v>
      </c>
      <c r="C90" s="51" t="n">
        <v>2717</v>
      </c>
      <c r="D90" s="29" t="n">
        <f aca="false">IFERROR(VLOOKUP("5 HOT COUNTRY WINGS",'FOOD COST'!$A:$Y,7,0),"")</f>
        <v>8.39815</v>
      </c>
      <c r="E90" s="30" t="n">
        <f aca="false">IFERROR(VLOOKUP("5 HOT COUNTRY WINGS",'FOOD COST'!$A:$Y,8,0),"")</f>
        <v>8.39815</v>
      </c>
      <c r="F90" s="29" t="n">
        <f aca="false">IFERROR(VLOOKUP("5 HOT COUNTRY WINGS",'FOOD COST'!$A:$Y,10,0),"")</f>
        <v>18.9189189189189</v>
      </c>
      <c r="G90" s="29" t="n">
        <f aca="false">IFERROR(VLOOKUP("5 HOT COUNTRY WINGS",'FOOD COST'!$A:$Y,18,0),"")</f>
        <v>19.1441441441441</v>
      </c>
      <c r="H90" s="29" t="n">
        <f aca="false">IFERROR(VLOOKUP("5 HOT COUNTRY WINGS",'FOOD COST'!$A:$Y,21,0),"")</f>
        <v>19.3693693693694</v>
      </c>
      <c r="I90" s="29" t="n">
        <f aca="false">IFERROR(VLOOKUP("5 HOT COUNTRY WINGS",'FOOD COST'!$A:$Y,24,0),"")</f>
        <v>19.8108108108108</v>
      </c>
      <c r="J90" s="32" t="n">
        <f aca="false">IF(OR(C90="",NOT(ISNUMBER(D90))),"",C90*D90)</f>
        <v>22817.77355</v>
      </c>
      <c r="K90" s="52" t="n">
        <f aca="false">IF(OR(C90="",NOT(ISNUMBER(E90))),"",C90*E90)</f>
        <v>22817.77355</v>
      </c>
      <c r="L90" s="32" t="n">
        <f aca="false">IF(OR(C90="",NOT(ISNUMBER(F90))),"",C90*F90)</f>
        <v>51402.7027027027</v>
      </c>
      <c r="M90" s="32" t="n">
        <f aca="false">IF(OR(C90="",NOT(ISNUMBER(G90))),"",C90*G90)</f>
        <v>52014.6396396396</v>
      </c>
      <c r="N90" s="32" t="n">
        <f aca="false">IF(OR(C90="",NOT(ISNUMBER(H90))),"",C90*H90)</f>
        <v>52626.5765765766</v>
      </c>
      <c r="O90" s="32" t="n">
        <f aca="false">IF(OR(C90="",NOT(ISNUMBER(I90))),"",C90*I90)</f>
        <v>53825.972972973</v>
      </c>
    </row>
    <row r="91" customFormat="false" ht="15" hidden="false" customHeight="true" outlineLevel="0" collapsed="false">
      <c r="A91" s="5" t="s">
        <v>717</v>
      </c>
      <c r="B91" s="5" t="s">
        <v>645</v>
      </c>
      <c r="C91" s="51" t="n">
        <v>909</v>
      </c>
      <c r="D91" s="29" t="n">
        <f aca="false">IFERROR(VLOOKUP("5 HOT COUNTRY WINGS D",'FOOD COST'!$A:$Y,7,0),"")</f>
        <v>8.39815</v>
      </c>
      <c r="E91" s="30" t="n">
        <f aca="false">IFERROR(VLOOKUP("5 HOT COUNTRY WINGS D",'FOOD COST'!$A:$Y,8,0),"")</f>
        <v>8.39815</v>
      </c>
      <c r="F91" s="29" t="n">
        <f aca="false">IFERROR(VLOOKUP("5 HOT COUNTRY WINGS D",'FOOD COST'!$A:$Y,10,0),"")</f>
        <v>24.7747747747748</v>
      </c>
      <c r="G91" s="29" t="n">
        <f aca="false">IFERROR(VLOOKUP("5 HOT COUNTRY WINGS D",'FOOD COST'!$A:$Y,18,0),"")</f>
        <v>25</v>
      </c>
      <c r="H91" s="29" t="n">
        <f aca="false">IFERROR(VLOOKUP("5 HOT COUNTRY WINGS D",'FOOD COST'!$A:$Y,21,0),"")</f>
        <v>25.2252252252252</v>
      </c>
      <c r="I91" s="29" t="n">
        <f aca="false">IFERROR(VLOOKUP("5 HOT COUNTRY WINGS D",'FOOD COST'!$A:$Y,24,0),"")</f>
        <v>25.6666666666667</v>
      </c>
      <c r="J91" s="32" t="n">
        <f aca="false">IF(OR(C91="",NOT(ISNUMBER(D91))),"",C91*D91)</f>
        <v>7633.91835</v>
      </c>
      <c r="K91" s="52" t="n">
        <f aca="false">IF(OR(C91="",NOT(ISNUMBER(E91))),"",C91*E91)</f>
        <v>7633.91835</v>
      </c>
      <c r="L91" s="32" t="n">
        <f aca="false">IF(OR(C91="",NOT(ISNUMBER(F91))),"",C91*F91)</f>
        <v>22520.2702702703</v>
      </c>
      <c r="M91" s="32" t="n">
        <f aca="false">IF(OR(C91="",NOT(ISNUMBER(G91))),"",C91*G91)</f>
        <v>22725</v>
      </c>
      <c r="N91" s="32" t="n">
        <f aca="false">IF(OR(C91="",NOT(ISNUMBER(H91))),"",C91*H91)</f>
        <v>22929.7297297297</v>
      </c>
      <c r="O91" s="32" t="n">
        <f aca="false">IF(OR(C91="",NOT(ISNUMBER(I91))),"",C91*I91)</f>
        <v>23331</v>
      </c>
    </row>
    <row r="92" customFormat="false" ht="15" hidden="false" customHeight="true" outlineLevel="0" collapsed="false">
      <c r="A92" s="5" t="s">
        <v>718</v>
      </c>
      <c r="B92" s="5" t="s">
        <v>642</v>
      </c>
      <c r="C92" s="51" t="n">
        <v>1324</v>
      </c>
      <c r="D92" s="29" t="n">
        <f aca="false">IFERROR(VLOOKUP("7 HOT COUNTRY WINGS",'FOOD COST'!$A:$Y,7,0),"")</f>
        <v>11.54221</v>
      </c>
      <c r="E92" s="30" t="n">
        <f aca="false">IFERROR(VLOOKUP("7 HOT COUNTRY WINGS",'FOOD COST'!$A:$Y,8,0),"")</f>
        <v>11.54221</v>
      </c>
      <c r="F92" s="29" t="n">
        <f aca="false">IFERROR(VLOOKUP("7 HOT COUNTRY WINGS",'FOOD COST'!$A:$Y,10,0),"")</f>
        <v>23.8738738738739</v>
      </c>
      <c r="G92" s="29" t="n">
        <f aca="false">IFERROR(VLOOKUP("7 HOT COUNTRY WINGS",'FOOD COST'!$A:$Y,18,0),"")</f>
        <v>24.0990990990991</v>
      </c>
      <c r="H92" s="29" t="n">
        <f aca="false">IFERROR(VLOOKUP("7 HOT COUNTRY WINGS",'FOOD COST'!$A:$Y,21,0),"")</f>
        <v>24.3243243243243</v>
      </c>
      <c r="I92" s="29" t="n">
        <f aca="false">IFERROR(VLOOKUP("7 HOT COUNTRY WINGS",'FOOD COST'!$A:$Y,24,0),"")</f>
        <v>24.7657657657658</v>
      </c>
      <c r="J92" s="32" t="n">
        <f aca="false">IF(OR(C92="",NOT(ISNUMBER(D92))),"",C92*D92)</f>
        <v>15281.88604</v>
      </c>
      <c r="K92" s="52" t="n">
        <f aca="false">IF(OR(C92="",NOT(ISNUMBER(E92))),"",C92*E92)</f>
        <v>15281.88604</v>
      </c>
      <c r="L92" s="32" t="n">
        <f aca="false">IF(OR(C92="",NOT(ISNUMBER(F92))),"",C92*F92)</f>
        <v>31609.009009009</v>
      </c>
      <c r="M92" s="32" t="n">
        <f aca="false">IF(OR(C92="",NOT(ISNUMBER(G92))),"",C92*G92)</f>
        <v>31907.2072072072</v>
      </c>
      <c r="N92" s="32" t="n">
        <f aca="false">IF(OR(C92="",NOT(ISNUMBER(H92))),"",C92*H92)</f>
        <v>32205.4054054054</v>
      </c>
      <c r="O92" s="32" t="n">
        <f aca="false">IF(OR(C92="",NOT(ISNUMBER(I92))),"",C92*I92)</f>
        <v>32789.8738738739</v>
      </c>
    </row>
    <row r="93" customFormat="false" ht="15" hidden="false" customHeight="true" outlineLevel="0" collapsed="false">
      <c r="A93" s="5" t="s">
        <v>719</v>
      </c>
      <c r="B93" s="5" t="s">
        <v>645</v>
      </c>
      <c r="C93" s="51" t="n">
        <v>817</v>
      </c>
      <c r="D93" s="29" t="n">
        <f aca="false">IFERROR(VLOOKUP("7 HOT COUNTRY WINGS D",'FOOD COST'!$A:$Y,7,0),"")</f>
        <v>11.54221</v>
      </c>
      <c r="E93" s="30" t="n">
        <f aca="false">IFERROR(VLOOKUP("7 HOT COUNTRY WINGS D",'FOOD COST'!$A:$Y,8,0),"")</f>
        <v>11.54221</v>
      </c>
      <c r="F93" s="29" t="n">
        <f aca="false">IFERROR(VLOOKUP("7 HOT COUNTRY WINGS D",'FOOD COST'!$A:$Y,10,0),"")</f>
        <v>27.4774774774775</v>
      </c>
      <c r="G93" s="29" t="n">
        <f aca="false">IFERROR(VLOOKUP("7 HOT COUNTRY WINGS D",'FOOD COST'!$A:$Y,18,0),"")</f>
        <v>27.7027027027027</v>
      </c>
      <c r="H93" s="29" t="n">
        <f aca="false">IFERROR(VLOOKUP("7 HOT COUNTRY WINGS D",'FOOD COST'!$A:$Y,21,0),"")</f>
        <v>27.9279279279279</v>
      </c>
      <c r="I93" s="29" t="n">
        <f aca="false">IFERROR(VLOOKUP("7 HOT COUNTRY WINGS D",'FOOD COST'!$A:$Y,24,0),"")</f>
        <v>28.3693693693694</v>
      </c>
      <c r="J93" s="32" t="n">
        <f aca="false">IF(OR(C93="",NOT(ISNUMBER(D93))),"",C93*D93)</f>
        <v>9429.98557</v>
      </c>
      <c r="K93" s="52" t="n">
        <f aca="false">IF(OR(C93="",NOT(ISNUMBER(E93))),"",C93*E93)</f>
        <v>9429.98557</v>
      </c>
      <c r="L93" s="32" t="n">
        <f aca="false">IF(OR(C93="",NOT(ISNUMBER(F93))),"",C93*F93)</f>
        <v>22449.0990990991</v>
      </c>
      <c r="M93" s="32" t="n">
        <f aca="false">IF(OR(C93="",NOT(ISNUMBER(G93))),"",C93*G93)</f>
        <v>22633.1081081081</v>
      </c>
      <c r="N93" s="32" t="n">
        <f aca="false">IF(OR(C93="",NOT(ISNUMBER(H93))),"",C93*H93)</f>
        <v>22817.1171171171</v>
      </c>
      <c r="O93" s="32" t="n">
        <f aca="false">IF(OR(C93="",NOT(ISNUMBER(I93))),"",C93*I93)</f>
        <v>23177.7747747748</v>
      </c>
    </row>
    <row r="94" customFormat="false" ht="15" hidden="false" customHeight="true" outlineLevel="0" collapsed="false">
      <c r="A94" s="5" t="s">
        <v>720</v>
      </c>
      <c r="B94" s="5" t="s">
        <v>642</v>
      </c>
      <c r="C94" s="51" t="n">
        <v>1257</v>
      </c>
      <c r="D94" s="29" t="n">
        <f aca="false">IFERROR(VLOOKUP("9 HOT COUNTRY WINGS",'FOOD COST'!$A:$Y,7,0),"")</f>
        <v>14.68627</v>
      </c>
      <c r="E94" s="30" t="n">
        <f aca="false">IFERROR(VLOOKUP("9 HOT COUNTRY WINGS",'FOOD COST'!$A:$Y,8,0),"")</f>
        <v>14.68627</v>
      </c>
      <c r="F94" s="29" t="n">
        <f aca="false">IFERROR(VLOOKUP("9 HOT COUNTRY WINGS",'FOOD COST'!$A:$Y,10,0),"")</f>
        <v>28.3783783783784</v>
      </c>
      <c r="G94" s="29" t="n">
        <f aca="false">IFERROR(VLOOKUP("9 HOT COUNTRY WINGS",'FOOD COST'!$A:$Y,18,0),"")</f>
        <v>28.6036036036036</v>
      </c>
      <c r="H94" s="29" t="n">
        <f aca="false">IFERROR(VLOOKUP("9 HOT COUNTRY WINGS",'FOOD COST'!$A:$Y,21,0),"")</f>
        <v>28.8288288288288</v>
      </c>
      <c r="I94" s="29" t="n">
        <f aca="false">IFERROR(VLOOKUP("9 HOT COUNTRY WINGS",'FOOD COST'!$A:$Y,24,0),"")</f>
        <v>29.2702702702703</v>
      </c>
      <c r="J94" s="32" t="n">
        <f aca="false">IF(OR(C94="",NOT(ISNUMBER(D94))),"",C94*D94)</f>
        <v>18460.64139</v>
      </c>
      <c r="K94" s="52" t="n">
        <f aca="false">IF(OR(C94="",NOT(ISNUMBER(E94))),"",C94*E94)</f>
        <v>18460.64139</v>
      </c>
      <c r="L94" s="32" t="n">
        <f aca="false">IF(OR(C94="",NOT(ISNUMBER(F94))),"",C94*F94)</f>
        <v>35671.6216216216</v>
      </c>
      <c r="M94" s="32" t="n">
        <f aca="false">IF(OR(C94="",NOT(ISNUMBER(G94))),"",C94*G94)</f>
        <v>35954.7297297297</v>
      </c>
      <c r="N94" s="32" t="n">
        <f aca="false">IF(OR(C94="",NOT(ISNUMBER(H94))),"",C94*H94)</f>
        <v>36237.8378378378</v>
      </c>
      <c r="O94" s="32" t="n">
        <f aca="false">IF(OR(C94="",NOT(ISNUMBER(I94))),"",C94*I94)</f>
        <v>36792.7297297297</v>
      </c>
    </row>
    <row r="95" customFormat="false" ht="15" hidden="false" customHeight="true" outlineLevel="0" collapsed="false">
      <c r="A95" s="5" t="s">
        <v>721</v>
      </c>
      <c r="B95" s="5" t="s">
        <v>645</v>
      </c>
      <c r="C95" s="51" t="n">
        <v>1376</v>
      </c>
      <c r="D95" s="29" t="n">
        <f aca="false">IFERROR(VLOOKUP("9 HOT COUNTRY WINGS D",'FOOD COST'!$A:$Y,7,0),"")</f>
        <v>14.68627</v>
      </c>
      <c r="E95" s="30" t="n">
        <f aca="false">IFERROR(VLOOKUP("9 HOT COUNTRY WINGS D",'FOOD COST'!$A:$Y,8,0),"")</f>
        <v>14.68627</v>
      </c>
      <c r="F95" s="29" t="n">
        <f aca="false">IFERROR(VLOOKUP("9 HOT COUNTRY WINGS D",'FOOD COST'!$A:$Y,10,0),"")</f>
        <v>32.4324324324324</v>
      </c>
      <c r="G95" s="29" t="n">
        <f aca="false">IFERROR(VLOOKUP("9 HOT COUNTRY WINGS D",'FOOD COST'!$A:$Y,18,0),"")</f>
        <v>32.6576576576577</v>
      </c>
      <c r="H95" s="29" t="n">
        <f aca="false">IFERROR(VLOOKUP("9 HOT COUNTRY WINGS D",'FOOD COST'!$A:$Y,21,0),"")</f>
        <v>32.8828828828829</v>
      </c>
      <c r="I95" s="29" t="n">
        <f aca="false">IFERROR(VLOOKUP("9 HOT COUNTRY WINGS D",'FOOD COST'!$A:$Y,24,0),"")</f>
        <v>33.3243243243243</v>
      </c>
      <c r="J95" s="32" t="n">
        <f aca="false">IF(OR(C95="",NOT(ISNUMBER(D95))),"",C95*D95)</f>
        <v>20208.30752</v>
      </c>
      <c r="K95" s="52" t="n">
        <f aca="false">IF(OR(C95="",NOT(ISNUMBER(E95))),"",C95*E95)</f>
        <v>20208.30752</v>
      </c>
      <c r="L95" s="32" t="n">
        <f aca="false">IF(OR(C95="",NOT(ISNUMBER(F95))),"",C95*F95)</f>
        <v>44627.027027027</v>
      </c>
      <c r="M95" s="32" t="n">
        <f aca="false">IF(OR(C95="",NOT(ISNUMBER(G95))),"",C95*G95)</f>
        <v>44936.9369369369</v>
      </c>
      <c r="N95" s="32" t="n">
        <f aca="false">IF(OR(C95="",NOT(ISNUMBER(H95))),"",C95*H95)</f>
        <v>45246.8468468469</v>
      </c>
      <c r="O95" s="32" t="n">
        <f aca="false">IF(OR(C95="",NOT(ISNUMBER(I95))),"",C95*I95)</f>
        <v>45854.2702702703</v>
      </c>
    </row>
    <row r="96" customFormat="false" ht="15" hidden="false" customHeight="true" outlineLevel="0" collapsed="false">
      <c r="A96" s="5" t="s">
        <v>722</v>
      </c>
      <c r="B96" s="5" t="s">
        <v>642</v>
      </c>
      <c r="C96" s="51" t="n">
        <v>8614</v>
      </c>
      <c r="D96" s="29" t="n">
        <f aca="false">IFERROR(VLOOKUP("HOMESTYLE CRISPY 3 (180G)",'FOOD COST'!$A:$Y,7,0),"")</f>
        <v>8.73895</v>
      </c>
      <c r="E96" s="30" t="n">
        <f aca="false">IFERROR(VLOOKUP("HOMESTYLE CRISPY 3 (180G)",'FOOD COST'!$A:$Y,8,0),"")</f>
        <v>8.73895</v>
      </c>
      <c r="F96" s="29" t="n">
        <f aca="false">IFERROR(VLOOKUP("HOMESTYLE CRISPY 3 (180G)",'FOOD COST'!$A:$Y,10,0),"")</f>
        <v>16.2162162162162</v>
      </c>
      <c r="G96" s="29" t="n">
        <f aca="false">IFERROR(VLOOKUP("HOMESTYLE CRISPY 3 (180G)",'FOOD COST'!$A:$Y,18,0),"")</f>
        <v>16.4414414414414</v>
      </c>
      <c r="H96" s="29" t="n">
        <f aca="false">IFERROR(VLOOKUP("HOMESTYLE CRISPY 3 (180G)",'FOOD COST'!$A:$Y,21,0),"")</f>
        <v>16.6666666666667</v>
      </c>
      <c r="I96" s="29" t="n">
        <f aca="false">IFERROR(VLOOKUP("HOMESTYLE CRISPY 3 (180G)",'FOOD COST'!$A:$Y,24,0),"")</f>
        <v>17.1081081081081</v>
      </c>
      <c r="J96" s="32" t="n">
        <f aca="false">IF(OR(C96="",NOT(ISNUMBER(D96))),"",C96*D96)</f>
        <v>75277.3153</v>
      </c>
      <c r="K96" s="52" t="n">
        <f aca="false">IF(OR(C96="",NOT(ISNUMBER(E96))),"",C96*E96)</f>
        <v>75277.3153</v>
      </c>
      <c r="L96" s="32" t="n">
        <f aca="false">IF(OR(C96="",NOT(ISNUMBER(F96))),"",C96*F96)</f>
        <v>139686.486486486</v>
      </c>
      <c r="M96" s="32" t="n">
        <f aca="false">IF(OR(C96="",NOT(ISNUMBER(G96))),"",C96*G96)</f>
        <v>141626.576576577</v>
      </c>
      <c r="N96" s="32" t="n">
        <f aca="false">IF(OR(C96="",NOT(ISNUMBER(H96))),"",C96*H96)</f>
        <v>143566.666666667</v>
      </c>
      <c r="O96" s="32" t="n">
        <f aca="false">IF(OR(C96="",NOT(ISNUMBER(I96))),"",C96*I96)</f>
        <v>147369.243243243</v>
      </c>
    </row>
    <row r="97" customFormat="false" ht="15" hidden="false" customHeight="true" outlineLevel="0" collapsed="false">
      <c r="A97" s="5" t="s">
        <v>723</v>
      </c>
      <c r="B97" s="5" t="s">
        <v>645</v>
      </c>
      <c r="C97" s="51" t="n">
        <v>2378</v>
      </c>
      <c r="D97" s="29" t="n">
        <f aca="false">IFERROR(VLOOKUP("HOMESTYLE CRISPY 3 (180G) D",'FOOD COST'!$A:$Y,7,0),"")</f>
        <v>8.73895</v>
      </c>
      <c r="E97" s="30" t="n">
        <f aca="false">IFERROR(VLOOKUP("HOMESTYLE CRISPY 3 (180G) D",'FOOD COST'!$A:$Y,8,0),"")</f>
        <v>8.73895</v>
      </c>
      <c r="F97" s="29" t="n">
        <f aca="false">IFERROR(VLOOKUP("HOMESTYLE CRISPY 3 (180G) D",'FOOD COST'!$A:$Y,10,0),"")</f>
        <v>18.4684684684685</v>
      </c>
      <c r="G97" s="29" t="n">
        <f aca="false">IFERROR(VLOOKUP("HOMESTYLE CRISPY 3 (180G) D",'FOOD COST'!$A:$Y,18,0),"")</f>
        <v>18.6936936936937</v>
      </c>
      <c r="H97" s="29" t="n">
        <f aca="false">IFERROR(VLOOKUP("HOMESTYLE CRISPY 3 (180G) D",'FOOD COST'!$A:$Y,21,0),"")</f>
        <v>18.9189189189189</v>
      </c>
      <c r="I97" s="29" t="n">
        <f aca="false">IFERROR(VLOOKUP("HOMESTYLE CRISPY 3 (180G) D",'FOOD COST'!$A:$Y,24,0),"")</f>
        <v>19.3603603603604</v>
      </c>
      <c r="J97" s="32" t="n">
        <f aca="false">IF(OR(C97="",NOT(ISNUMBER(D97))),"",C97*D97)</f>
        <v>20781.2231</v>
      </c>
      <c r="K97" s="52" t="n">
        <f aca="false">IF(OR(C97="",NOT(ISNUMBER(E97))),"",C97*E97)</f>
        <v>20781.2231</v>
      </c>
      <c r="L97" s="32" t="n">
        <f aca="false">IF(OR(C97="",NOT(ISNUMBER(F97))),"",C97*F97)</f>
        <v>43918.018018018</v>
      </c>
      <c r="M97" s="32" t="n">
        <f aca="false">IF(OR(C97="",NOT(ISNUMBER(G97))),"",C97*G97)</f>
        <v>44453.6036036036</v>
      </c>
      <c r="N97" s="32" t="n">
        <f aca="false">IF(OR(C97="",NOT(ISNUMBER(H97))),"",C97*H97)</f>
        <v>44989.1891891892</v>
      </c>
      <c r="O97" s="32" t="n">
        <f aca="false">IF(OR(C97="",NOT(ISNUMBER(I97))),"",C97*I97)</f>
        <v>46038.9369369369</v>
      </c>
    </row>
    <row r="98" customFormat="false" ht="15" hidden="false" customHeight="true" outlineLevel="0" collapsed="false">
      <c r="A98" s="5" t="s">
        <v>724</v>
      </c>
      <c r="B98" s="5" t="s">
        <v>642</v>
      </c>
      <c r="C98" s="51" t="n">
        <v>6402</v>
      </c>
      <c r="D98" s="29" t="n">
        <f aca="false">IFERROR(VLOOKUP("HOMESTYLE CRISPY 4 (240G)",'FOOD COST'!$A:$Y,7,0),"")</f>
        <v>11.6096</v>
      </c>
      <c r="E98" s="30" t="n">
        <f aca="false">IFERROR(VLOOKUP("HOMESTYLE CRISPY 4 (240G)",'FOOD COST'!$A:$Y,8,0),"")</f>
        <v>11.6096</v>
      </c>
      <c r="F98" s="29" t="n">
        <f aca="false">IFERROR(VLOOKUP("HOMESTYLE CRISPY 4 (240G)",'FOOD COST'!$A:$Y,10,0),"")</f>
        <v>21.6216216216216</v>
      </c>
      <c r="G98" s="29" t="n">
        <f aca="false">IFERROR(VLOOKUP("HOMESTYLE CRISPY 4 (240G)",'FOOD COST'!$A:$Y,18,0),"")</f>
        <v>21.8468468468468</v>
      </c>
      <c r="H98" s="29" t="n">
        <f aca="false">IFERROR(VLOOKUP("HOMESTYLE CRISPY 4 (240G)",'FOOD COST'!$A:$Y,21,0),"")</f>
        <v>22.0720720720721</v>
      </c>
      <c r="I98" s="29" t="n">
        <f aca="false">IFERROR(VLOOKUP("HOMESTYLE CRISPY 4 (240G)",'FOOD COST'!$A:$Y,24,0),"")</f>
        <v>22.5135135135135</v>
      </c>
      <c r="J98" s="32" t="n">
        <f aca="false">IF(OR(C98="",NOT(ISNUMBER(D98))),"",C98*D98)</f>
        <v>74324.6592</v>
      </c>
      <c r="K98" s="52" t="n">
        <f aca="false">IF(OR(C98="",NOT(ISNUMBER(E98))),"",C98*E98)</f>
        <v>74324.6592</v>
      </c>
      <c r="L98" s="32" t="n">
        <f aca="false">IF(OR(C98="",NOT(ISNUMBER(F98))),"",C98*F98)</f>
        <v>138421.621621622</v>
      </c>
      <c r="M98" s="32" t="n">
        <f aca="false">IF(OR(C98="",NOT(ISNUMBER(G98))),"",C98*G98)</f>
        <v>139863.513513514</v>
      </c>
      <c r="N98" s="32" t="n">
        <f aca="false">IF(OR(C98="",NOT(ISNUMBER(H98))),"",C98*H98)</f>
        <v>141305.405405405</v>
      </c>
      <c r="O98" s="32" t="n">
        <f aca="false">IF(OR(C98="",NOT(ISNUMBER(I98))),"",C98*I98)</f>
        <v>144131.513513514</v>
      </c>
    </row>
    <row r="99" customFormat="false" ht="15" hidden="false" customHeight="true" outlineLevel="0" collapsed="false">
      <c r="A99" s="5" t="s">
        <v>725</v>
      </c>
      <c r="B99" s="5" t="s">
        <v>645</v>
      </c>
      <c r="C99" s="51" t="n">
        <v>1982</v>
      </c>
      <c r="D99" s="29" t="n">
        <f aca="false">IFERROR(VLOOKUP("HOMESTYLE CRISPY 4 (240G) D",'FOOD COST'!$A:$Y,7,0),"")</f>
        <v>11.6096</v>
      </c>
      <c r="E99" s="30" t="n">
        <f aca="false">IFERROR(VLOOKUP("HOMESTYLE CRISPY 4 (240G) D",'FOOD COST'!$A:$Y,8,0),"")</f>
        <v>11.6096</v>
      </c>
      <c r="F99" s="29" t="n">
        <f aca="false">IFERROR(VLOOKUP("HOMESTYLE CRISPY 4 (240G) D",'FOOD COST'!$A:$Y,10,0),"")</f>
        <v>25.2252252252252</v>
      </c>
      <c r="G99" s="29" t="n">
        <f aca="false">IFERROR(VLOOKUP("HOMESTYLE CRISPY 4 (240G) D",'FOOD COST'!$A:$Y,18,0),"")</f>
        <v>25.4504504504504</v>
      </c>
      <c r="H99" s="29" t="n">
        <f aca="false">IFERROR(VLOOKUP("HOMESTYLE CRISPY 4 (240G) D",'FOOD COST'!$A:$Y,21,0),"")</f>
        <v>25.6756756756757</v>
      </c>
      <c r="I99" s="29" t="n">
        <f aca="false">IFERROR(VLOOKUP("HOMESTYLE CRISPY 4 (240G) D",'FOOD COST'!$A:$Y,24,0),"")</f>
        <v>26.1171171171171</v>
      </c>
      <c r="J99" s="32" t="n">
        <f aca="false">IF(OR(C99="",NOT(ISNUMBER(D99))),"",C99*D99)</f>
        <v>23010.2272</v>
      </c>
      <c r="K99" s="52" t="n">
        <f aca="false">IF(OR(C99="",NOT(ISNUMBER(E99))),"",C99*E99)</f>
        <v>23010.2272</v>
      </c>
      <c r="L99" s="32" t="n">
        <f aca="false">IF(OR(C99="",NOT(ISNUMBER(F99))),"",C99*F99)</f>
        <v>49996.3963963964</v>
      </c>
      <c r="M99" s="32" t="n">
        <f aca="false">IF(OR(C99="",NOT(ISNUMBER(G99))),"",C99*G99)</f>
        <v>50442.7927927928</v>
      </c>
      <c r="N99" s="32" t="n">
        <f aca="false">IF(OR(C99="",NOT(ISNUMBER(H99))),"",C99*H99)</f>
        <v>50889.1891891892</v>
      </c>
      <c r="O99" s="32" t="n">
        <f aca="false">IF(OR(C99="",NOT(ISNUMBER(I99))),"",C99*I99)</f>
        <v>51764.1261261261</v>
      </c>
    </row>
    <row r="100" customFormat="false" ht="15" hidden="false" customHeight="true" outlineLevel="0" collapsed="false">
      <c r="A100" s="5" t="s">
        <v>726</v>
      </c>
      <c r="B100" s="5" t="s">
        <v>642</v>
      </c>
      <c r="C100" s="51" t="n">
        <v>9595</v>
      </c>
      <c r="D100" s="29" t="n">
        <f aca="false">IFERROR(VLOOKUP("HOMESTYLE CRISPY 5 (300G)",'FOOD COST'!$A:$Y,7,0),"")</f>
        <v>14.48025</v>
      </c>
      <c r="E100" s="30" t="n">
        <f aca="false">IFERROR(VLOOKUP("HOMESTYLE CRISPY 5 (300G)",'FOOD COST'!$A:$Y,8,0),"")</f>
        <v>14.48025</v>
      </c>
      <c r="F100" s="29" t="n">
        <f aca="false">IFERROR(VLOOKUP("HOMESTYLE CRISPY 5 (300G)",'FOOD COST'!$A:$Y,10,0),"")</f>
        <v>27.027027027027</v>
      </c>
      <c r="G100" s="29" t="n">
        <f aca="false">IFERROR(VLOOKUP("HOMESTYLE CRISPY 5 (300G)",'FOOD COST'!$A:$Y,18,0),"")</f>
        <v>27.2522522522523</v>
      </c>
      <c r="H100" s="29" t="n">
        <f aca="false">IFERROR(VLOOKUP("HOMESTYLE CRISPY 5 (300G)",'FOOD COST'!$A:$Y,21,0),"")</f>
        <v>27.4774774774775</v>
      </c>
      <c r="I100" s="29" t="n">
        <f aca="false">IFERROR(VLOOKUP("HOMESTYLE CRISPY 5 (300G)",'FOOD COST'!$A:$Y,24,0),"")</f>
        <v>27.9189189189189</v>
      </c>
      <c r="J100" s="32" t="n">
        <f aca="false">IF(OR(C100="",NOT(ISNUMBER(D100))),"",C100*D100)</f>
        <v>138937.99875</v>
      </c>
      <c r="K100" s="52" t="n">
        <f aca="false">IF(OR(C100="",NOT(ISNUMBER(E100))),"",C100*E100)</f>
        <v>138937.99875</v>
      </c>
      <c r="L100" s="32" t="n">
        <f aca="false">IF(OR(C100="",NOT(ISNUMBER(F100))),"",C100*F100)</f>
        <v>259324.324324324</v>
      </c>
      <c r="M100" s="32" t="n">
        <f aca="false">IF(OR(C100="",NOT(ISNUMBER(G100))),"",C100*G100)</f>
        <v>261485.36036036</v>
      </c>
      <c r="N100" s="32" t="n">
        <f aca="false">IF(OR(C100="",NOT(ISNUMBER(H100))),"",C100*H100)</f>
        <v>263646.396396396</v>
      </c>
      <c r="O100" s="32" t="n">
        <f aca="false">IF(OR(C100="",NOT(ISNUMBER(I100))),"",C100*I100)</f>
        <v>267882.027027027</v>
      </c>
    </row>
    <row r="101" customFormat="false" ht="15" hidden="false" customHeight="true" outlineLevel="0" collapsed="false">
      <c r="A101" s="5" t="s">
        <v>727</v>
      </c>
      <c r="B101" s="5" t="s">
        <v>645</v>
      </c>
      <c r="C101" s="51" t="n">
        <v>4860</v>
      </c>
      <c r="D101" s="29" t="n">
        <f aca="false">IFERROR(VLOOKUP("HOMESTYLE CRISPY 5 (300G) D",'FOOD COST'!$A:$Y,7,0),"")</f>
        <v>14.48025</v>
      </c>
      <c r="E101" s="30" t="n">
        <f aca="false">IFERROR(VLOOKUP("HOMESTYLE CRISPY 5 (300G) D",'FOOD COST'!$A:$Y,8,0),"")</f>
        <v>14.48025</v>
      </c>
      <c r="F101" s="29" t="n">
        <f aca="false">IFERROR(VLOOKUP("HOMESTYLE CRISPY 5 (300G) D",'FOOD COST'!$A:$Y,10,0),"")</f>
        <v>30.6306306306306</v>
      </c>
      <c r="G101" s="29" t="n">
        <f aca="false">IFERROR(VLOOKUP("HOMESTYLE CRISPY 5 (300G) D",'FOOD COST'!$A:$Y,18,0),"")</f>
        <v>30.8558558558559</v>
      </c>
      <c r="H101" s="29" t="n">
        <f aca="false">IFERROR(VLOOKUP("HOMESTYLE CRISPY 5 (300G) D",'FOOD COST'!$A:$Y,21,0),"")</f>
        <v>31.0810810810811</v>
      </c>
      <c r="I101" s="29" t="n">
        <f aca="false">IFERROR(VLOOKUP("HOMESTYLE CRISPY 5 (300G) D",'FOOD COST'!$A:$Y,24,0),"")</f>
        <v>31.5225225225225</v>
      </c>
      <c r="J101" s="32" t="n">
        <f aca="false">IF(OR(C101="",NOT(ISNUMBER(D101))),"",C101*D101)</f>
        <v>70374.015</v>
      </c>
      <c r="K101" s="52" t="n">
        <f aca="false">IF(OR(C101="",NOT(ISNUMBER(E101))),"",C101*E101)</f>
        <v>70374.015</v>
      </c>
      <c r="L101" s="32" t="n">
        <f aca="false">IF(OR(C101="",NOT(ISNUMBER(F101))),"",C101*F101)</f>
        <v>148864.864864865</v>
      </c>
      <c r="M101" s="32" t="n">
        <f aca="false">IF(OR(C101="",NOT(ISNUMBER(G101))),"",C101*G101)</f>
        <v>149959.459459459</v>
      </c>
      <c r="N101" s="32" t="n">
        <f aca="false">IF(OR(C101="",NOT(ISNUMBER(H101))),"",C101*H101)</f>
        <v>151054.054054054</v>
      </c>
      <c r="O101" s="32" t="n">
        <f aca="false">IF(OR(C101="",NOT(ISNUMBER(I101))),"",C101*I101)</f>
        <v>153199.459459459</v>
      </c>
    </row>
    <row r="102" customFormat="false" ht="15" hidden="false" customHeight="true" outlineLevel="0" collapsed="false">
      <c r="A102" s="5" t="s">
        <v>728</v>
      </c>
      <c r="B102" s="5" t="s">
        <v>642</v>
      </c>
      <c r="C102" s="51" t="n">
        <v>1116</v>
      </c>
      <c r="D102" s="29" t="n">
        <f aca="false">IFERROR(VLOOKUP("PACK HOMESTYLE CRISPY 20 (1200G)",'FOOD COST'!$A:$Y,7,0),"")</f>
        <v>59.473</v>
      </c>
      <c r="E102" s="30" t="n">
        <f aca="false">IFERROR(VLOOKUP("PACK HOMESTYLE CRISPY 20 (1200G)",'FOOD COST'!$A:$Y,8,0),"")</f>
        <v>59.473</v>
      </c>
      <c r="F102" s="29" t="n">
        <f aca="false">IFERROR(VLOOKUP("PACK HOMESTYLE CRISPY 20 (1200G)",'FOOD COST'!$A:$Y,10,0),"")</f>
        <v>90.0900900900901</v>
      </c>
      <c r="G102" s="29" t="n">
        <f aca="false">IFERROR(VLOOKUP("PACK HOMESTYLE CRISPY 20 (1200G)",'FOOD COST'!$A:$Y,18,0),"")</f>
        <v>90.981981981982</v>
      </c>
      <c r="H102" s="29" t="n">
        <f aca="false">IFERROR(VLOOKUP("PACK HOMESTYLE CRISPY 20 (1200G)",'FOOD COST'!$A:$Y,21,0),"")</f>
        <v>90.981981981982</v>
      </c>
      <c r="I102" s="29" t="n">
        <f aca="false">IFERROR(VLOOKUP("PACK HOMESTYLE CRISPY 20 (1200G)",'FOOD COST'!$A:$Y,24,0),"")</f>
        <v>90.981981981982</v>
      </c>
      <c r="J102" s="32" t="n">
        <f aca="false">IF(OR(C102="",NOT(ISNUMBER(D102))),"",C102*D102)</f>
        <v>66371.868</v>
      </c>
      <c r="K102" s="52" t="n">
        <f aca="false">IF(OR(C102="",NOT(ISNUMBER(E102))),"",C102*E102)</f>
        <v>66371.868</v>
      </c>
      <c r="L102" s="32" t="n">
        <f aca="false">IF(OR(C102="",NOT(ISNUMBER(F102))),"",C102*F102)</f>
        <v>100540.540540541</v>
      </c>
      <c r="M102" s="32" t="n">
        <f aca="false">IF(OR(C102="",NOT(ISNUMBER(G102))),"",C102*G102)</f>
        <v>101535.891891892</v>
      </c>
      <c r="N102" s="32" t="n">
        <f aca="false">IF(OR(C102="",NOT(ISNUMBER(H102))),"",C102*H102)</f>
        <v>101535.891891892</v>
      </c>
      <c r="O102" s="32" t="n">
        <f aca="false">IF(OR(C102="",NOT(ISNUMBER(I102))),"",C102*I102)</f>
        <v>101535.891891892</v>
      </c>
    </row>
    <row r="103" customFormat="false" ht="15" hidden="false" customHeight="true" outlineLevel="0" collapsed="false">
      <c r="A103" s="5" t="s">
        <v>729</v>
      </c>
      <c r="B103" s="5" t="s">
        <v>645</v>
      </c>
      <c r="C103" s="51" t="n">
        <v>645</v>
      </c>
      <c r="D103" s="29" t="n">
        <f aca="false">IFERROR(VLOOKUP("PACK HOMESTYLE CRISPY 20 (1200G) D",'FOOD COST'!$A:$Y,7,0),"")</f>
        <v>59.473</v>
      </c>
      <c r="E103" s="30" t="n">
        <f aca="false">IFERROR(VLOOKUP("PACK HOMESTYLE CRISPY 20 (1200G) D",'FOOD COST'!$A:$Y,8,0),"")</f>
        <v>59.473</v>
      </c>
      <c r="F103" s="29" t="n">
        <f aca="false">IFERROR(VLOOKUP("PACK HOMESTYLE CRISPY 20 (1200G) D",'FOOD COST'!$A:$Y,10,0),"")</f>
        <v>108.108108108108</v>
      </c>
      <c r="G103" s="29" t="n">
        <f aca="false">IFERROR(VLOOKUP("PACK HOMESTYLE CRISPY 20 (1200G) D",'FOOD COST'!$A:$Y,18,0),"")</f>
        <v>109</v>
      </c>
      <c r="H103" s="29" t="n">
        <f aca="false">IFERROR(VLOOKUP("PACK HOMESTYLE CRISPY 20 (1200G) D",'FOOD COST'!$A:$Y,21,0),"")</f>
        <v>109</v>
      </c>
      <c r="I103" s="29" t="n">
        <f aca="false">IFERROR(VLOOKUP("PACK HOMESTYLE CRISPY 20 (1200G) D",'FOOD COST'!$A:$Y,24,0),"")</f>
        <v>109</v>
      </c>
      <c r="J103" s="32" t="n">
        <f aca="false">IF(OR(C103="",NOT(ISNUMBER(D103))),"",C103*D103)</f>
        <v>38360.085</v>
      </c>
      <c r="K103" s="52" t="n">
        <f aca="false">IF(OR(C103="",NOT(ISNUMBER(E103))),"",C103*E103)</f>
        <v>38360.085</v>
      </c>
      <c r="L103" s="32" t="n">
        <f aca="false">IF(OR(C103="",NOT(ISNUMBER(F103))),"",C103*F103)</f>
        <v>69729.7297297297</v>
      </c>
      <c r="M103" s="32" t="n">
        <f aca="false">IF(OR(C103="",NOT(ISNUMBER(G103))),"",C103*G103)</f>
        <v>70305</v>
      </c>
      <c r="N103" s="32" t="n">
        <f aca="false">IF(OR(C103="",NOT(ISNUMBER(H103))),"",C103*H103)</f>
        <v>70305</v>
      </c>
      <c r="O103" s="32" t="n">
        <f aca="false">IF(OR(C103="",NOT(ISNUMBER(I103))),"",C103*I103)</f>
        <v>70305</v>
      </c>
    </row>
    <row r="104" customFormat="false" ht="15" hidden="false" customHeight="true" outlineLevel="0" collapsed="false">
      <c r="A104" s="5" t="s">
        <v>730</v>
      </c>
      <c r="B104" s="5" t="s">
        <v>642</v>
      </c>
      <c r="C104" s="51" t="n">
        <v>250</v>
      </c>
      <c r="D104" s="29" t="n">
        <f aca="false">IFERROR(VLOOKUP("PACK COUNTRY WINGS 30 (1050G)",'FOOD COST'!$A:$Y,7,0),"")</f>
        <v>45.8249</v>
      </c>
      <c r="E104" s="30" t="n">
        <f aca="false">IFERROR(VLOOKUP("PACK COUNTRY WINGS 30 (1050G)",'FOOD COST'!$A:$Y,8,0),"")</f>
        <v>45.8249</v>
      </c>
      <c r="F104" s="29" t="n">
        <f aca="false">IFERROR(VLOOKUP("PACK COUNTRY WINGS 30 (1050G)",'FOOD COST'!$A:$Y,10,0),"")</f>
        <v>90.0900900900901</v>
      </c>
      <c r="G104" s="29" t="n">
        <f aca="false">IFERROR(VLOOKUP("PACK COUNTRY WINGS 30 (1050G)",'FOOD COST'!$A:$Y,18,0),"")</f>
        <v>90.981981981982</v>
      </c>
      <c r="H104" s="29" t="n">
        <f aca="false">IFERROR(VLOOKUP("PACK COUNTRY WINGS 30 (1050G)",'FOOD COST'!$A:$Y,21,0),"")</f>
        <v>90.981981981982</v>
      </c>
      <c r="I104" s="29" t="n">
        <f aca="false">IFERROR(VLOOKUP("PACK COUNTRY WINGS 30 (1050G)",'FOOD COST'!$A:$Y,24,0),"")</f>
        <v>90.981981981982</v>
      </c>
      <c r="J104" s="32" t="n">
        <f aca="false">IF(OR(C104="",NOT(ISNUMBER(D104))),"",C104*D104)</f>
        <v>11456.225</v>
      </c>
      <c r="K104" s="52" t="n">
        <f aca="false">IF(OR(C104="",NOT(ISNUMBER(E104))),"",C104*E104)</f>
        <v>11456.225</v>
      </c>
      <c r="L104" s="32" t="n">
        <f aca="false">IF(OR(C104="",NOT(ISNUMBER(F104))),"",C104*F104)</f>
        <v>22522.5225225225</v>
      </c>
      <c r="M104" s="32" t="n">
        <f aca="false">IF(OR(C104="",NOT(ISNUMBER(G104))),"",C104*G104)</f>
        <v>22745.4954954955</v>
      </c>
      <c r="N104" s="32" t="n">
        <f aca="false">IF(OR(C104="",NOT(ISNUMBER(H104))),"",C104*H104)</f>
        <v>22745.4954954955</v>
      </c>
      <c r="O104" s="32" t="n">
        <f aca="false">IF(OR(C104="",NOT(ISNUMBER(I104))),"",C104*I104)</f>
        <v>22745.4954954955</v>
      </c>
    </row>
    <row r="105" customFormat="false" ht="15" hidden="false" customHeight="true" outlineLevel="0" collapsed="false">
      <c r="A105" s="5" t="s">
        <v>731</v>
      </c>
      <c r="B105" s="5" t="s">
        <v>645</v>
      </c>
      <c r="C105" s="51" t="n">
        <v>151</v>
      </c>
      <c r="D105" s="29" t="n">
        <f aca="false">IFERROR(VLOOKUP("PACK COUNTRY WINGS 30 (1050G) D",'FOOD COST'!$A:$Y,7,0),"")</f>
        <v>45.8249</v>
      </c>
      <c r="E105" s="30" t="n">
        <f aca="false">IFERROR(VLOOKUP("PACK COUNTRY WINGS 30 (1050G) D",'FOOD COST'!$A:$Y,8,0),"")</f>
        <v>45.8249</v>
      </c>
      <c r="F105" s="29" t="n">
        <f aca="false">IFERROR(VLOOKUP("PACK COUNTRY WINGS 30 (1050G) D",'FOOD COST'!$A:$Y,10,0),"")</f>
        <v>108.108108108108</v>
      </c>
      <c r="G105" s="29" t="n">
        <f aca="false">IFERROR(VLOOKUP("PACK COUNTRY WINGS 30 (1050G) D",'FOOD COST'!$A:$Y,18,0),"")</f>
        <v>109</v>
      </c>
      <c r="H105" s="29" t="n">
        <f aca="false">IFERROR(VLOOKUP("PACK COUNTRY WINGS 30 (1050G) D",'FOOD COST'!$A:$Y,21,0),"")</f>
        <v>109</v>
      </c>
      <c r="I105" s="29" t="n">
        <f aca="false">IFERROR(VLOOKUP("PACK COUNTRY WINGS 30 (1050G) D",'FOOD COST'!$A:$Y,24,0),"")</f>
        <v>109</v>
      </c>
      <c r="J105" s="32" t="n">
        <f aca="false">IF(OR(C105="",NOT(ISNUMBER(D105))),"",C105*D105)</f>
        <v>6919.5599</v>
      </c>
      <c r="K105" s="52" t="n">
        <f aca="false">IF(OR(C105="",NOT(ISNUMBER(E105))),"",C105*E105)</f>
        <v>6919.5599</v>
      </c>
      <c r="L105" s="32" t="n">
        <f aca="false">IF(OR(C105="",NOT(ISNUMBER(F105))),"",C105*F105)</f>
        <v>16324.3243243243</v>
      </c>
      <c r="M105" s="32" t="n">
        <f aca="false">IF(OR(C105="",NOT(ISNUMBER(G105))),"",C105*G105)</f>
        <v>16459</v>
      </c>
      <c r="N105" s="32" t="n">
        <f aca="false">IF(OR(C105="",NOT(ISNUMBER(H105))),"",C105*H105)</f>
        <v>16459</v>
      </c>
      <c r="O105" s="32" t="n">
        <f aca="false">IF(OR(C105="",NOT(ISNUMBER(I105))),"",C105*I105)</f>
        <v>16459</v>
      </c>
    </row>
    <row r="106" customFormat="false" ht="15" hidden="false" customHeight="true" outlineLevel="0" collapsed="false">
      <c r="A106" s="5" t="s">
        <v>732</v>
      </c>
      <c r="B106" s="5" t="s">
        <v>642</v>
      </c>
      <c r="C106" s="51" t="n">
        <v>140</v>
      </c>
      <c r="D106" s="29" t="n">
        <f aca="false">IFERROR(VLOOKUP("PACK COUNTRY HOT WINGS 30 (1050G)",'FOOD COST'!$A:$Y,7,0),"")</f>
        <v>49.4189</v>
      </c>
      <c r="E106" s="30" t="n">
        <f aca="false">IFERROR(VLOOKUP("PACK COUNTRY HOT WINGS 30 (1050G)",'FOOD COST'!$A:$Y,8,0),"")</f>
        <v>49.4189</v>
      </c>
      <c r="F106" s="29" t="n">
        <f aca="false">IFERROR(VLOOKUP("PACK COUNTRY HOT WINGS 30 (1050G)",'FOOD COST'!$A:$Y,10,0),"")</f>
        <v>90.0900900900901</v>
      </c>
      <c r="G106" s="29" t="n">
        <f aca="false">IFERROR(VLOOKUP("PACK COUNTRY HOT WINGS 30 (1050G)",'FOOD COST'!$A:$Y,18,0),"")</f>
        <v>90.981981981982</v>
      </c>
      <c r="H106" s="29" t="n">
        <f aca="false">IFERROR(VLOOKUP("PACK COUNTRY HOT WINGS 30 (1050G)",'FOOD COST'!$A:$Y,21,0),"")</f>
        <v>90.981981981982</v>
      </c>
      <c r="I106" s="29" t="n">
        <f aca="false">IFERROR(VLOOKUP("PACK COUNTRY HOT WINGS 30 (1050G)",'FOOD COST'!$A:$Y,24,0),"")</f>
        <v>90.981981981982</v>
      </c>
      <c r="J106" s="32" t="n">
        <f aca="false">IF(OR(C106="",NOT(ISNUMBER(D106))),"",C106*D106)</f>
        <v>6918.646</v>
      </c>
      <c r="K106" s="52" t="n">
        <f aca="false">IF(OR(C106="",NOT(ISNUMBER(E106))),"",C106*E106)</f>
        <v>6918.646</v>
      </c>
      <c r="L106" s="32" t="n">
        <f aca="false">IF(OR(C106="",NOT(ISNUMBER(F106))),"",C106*F106)</f>
        <v>12612.6126126126</v>
      </c>
      <c r="M106" s="32" t="n">
        <f aca="false">IF(OR(C106="",NOT(ISNUMBER(G106))),"",C106*G106)</f>
        <v>12737.4774774775</v>
      </c>
      <c r="N106" s="32" t="n">
        <f aca="false">IF(OR(C106="",NOT(ISNUMBER(H106))),"",C106*H106)</f>
        <v>12737.4774774775</v>
      </c>
      <c r="O106" s="32" t="n">
        <f aca="false">IF(OR(C106="",NOT(ISNUMBER(I106))),"",C106*I106)</f>
        <v>12737.4774774775</v>
      </c>
    </row>
    <row r="107" customFormat="false" ht="15" hidden="false" customHeight="true" outlineLevel="0" collapsed="false">
      <c r="A107" s="5" t="s">
        <v>733</v>
      </c>
      <c r="B107" s="5" t="s">
        <v>645</v>
      </c>
      <c r="C107" s="51" t="n">
        <v>120</v>
      </c>
      <c r="D107" s="29" t="n">
        <f aca="false">IFERROR(VLOOKUP("PACK COUNTRY HOT WINGS 30 (1050G) D",'FOOD COST'!$A:$Y,7,0),"")</f>
        <v>49.4189</v>
      </c>
      <c r="E107" s="30" t="n">
        <f aca="false">IFERROR(VLOOKUP("PACK COUNTRY HOT WINGS 30 (1050G) D",'FOOD COST'!$A:$Y,8,0),"")</f>
        <v>49.4189</v>
      </c>
      <c r="F107" s="29" t="n">
        <f aca="false">IFERROR(VLOOKUP("PACK COUNTRY HOT WINGS 30 (1050G) D",'FOOD COST'!$A:$Y,10,0),"")</f>
        <v>108.108108108108</v>
      </c>
      <c r="G107" s="29" t="n">
        <f aca="false">IFERROR(VLOOKUP("PACK COUNTRY HOT WINGS 30 (1050G) D",'FOOD COST'!$A:$Y,18,0),"")</f>
        <v>109</v>
      </c>
      <c r="H107" s="29" t="n">
        <f aca="false">IFERROR(VLOOKUP("PACK COUNTRY HOT WINGS 30 (1050G) D",'FOOD COST'!$A:$Y,21,0),"")</f>
        <v>109</v>
      </c>
      <c r="I107" s="29" t="n">
        <f aca="false">IFERROR(VLOOKUP("PACK COUNTRY HOT WINGS 30 (1050G) D",'FOOD COST'!$A:$Y,24,0),"")</f>
        <v>109</v>
      </c>
      <c r="J107" s="32" t="n">
        <f aca="false">IF(OR(C107="",NOT(ISNUMBER(D107))),"",C107*D107)</f>
        <v>5930.268</v>
      </c>
      <c r="K107" s="52" t="n">
        <f aca="false">IF(OR(C107="",NOT(ISNUMBER(E107))),"",C107*E107)</f>
        <v>5930.268</v>
      </c>
      <c r="L107" s="32" t="n">
        <f aca="false">IF(OR(C107="",NOT(ISNUMBER(F107))),"",C107*F107)</f>
        <v>12972.972972973</v>
      </c>
      <c r="M107" s="32" t="n">
        <f aca="false">IF(OR(C107="",NOT(ISNUMBER(G107))),"",C107*G107)</f>
        <v>13080</v>
      </c>
      <c r="N107" s="32" t="n">
        <f aca="false">IF(OR(C107="",NOT(ISNUMBER(H107))),"",C107*H107)</f>
        <v>13080</v>
      </c>
      <c r="O107" s="32" t="n">
        <f aca="false">IF(OR(C107="",NOT(ISNUMBER(I107))),"",C107*I107)</f>
        <v>13080</v>
      </c>
    </row>
    <row r="108" customFormat="false" ht="15" hidden="false" customHeight="true" outlineLevel="0" collapsed="false">
      <c r="A108" s="5" t="s">
        <v>423</v>
      </c>
      <c r="B108" s="5" t="s">
        <v>642</v>
      </c>
      <c r="C108" s="51" t="n">
        <v>153714</v>
      </c>
      <c r="D108" s="29" t="n">
        <f aca="false">IFERROR(VLOOKUP("REALLY CRUNCHY FRIES 170G",'FOOD COST'!$A:$Y,7,0),"")</f>
        <v>3.784852</v>
      </c>
      <c r="E108" s="30" t="n">
        <f aca="false">IFERROR(VLOOKUP("REALLY CRUNCHY FRIES 170G",'FOOD COST'!$A:$Y,8,0),"")</f>
        <v>3.784852</v>
      </c>
      <c r="F108" s="29" t="n">
        <f aca="false">IFERROR(VLOOKUP("REALLY CRUNCHY FRIES 170G",'FOOD COST'!$A:$Y,10,0),"")</f>
        <v>10.7207207207207</v>
      </c>
      <c r="G108" s="29" t="n">
        <f aca="false">IFERROR(VLOOKUP("REALLY CRUNCHY FRIES 170G",'FOOD COST'!$A:$Y,18,0),"")</f>
        <v>10.9459459459459</v>
      </c>
      <c r="H108" s="29" t="n">
        <f aca="false">IFERROR(VLOOKUP("REALLY CRUNCHY FRIES 170G",'FOOD COST'!$A:$Y,21,0),"")</f>
        <v>11.1711711711712</v>
      </c>
      <c r="I108" s="29" t="n">
        <f aca="false">IFERROR(VLOOKUP("REALLY CRUNCHY FRIES 170G",'FOOD COST'!$A:$Y,24,0),"")</f>
        <v>11.6126126126126</v>
      </c>
      <c r="J108" s="32" t="n">
        <f aca="false">IF(OR(C108="",NOT(ISNUMBER(D108))),"",C108*D108)</f>
        <v>581784.740328</v>
      </c>
      <c r="K108" s="52" t="n">
        <f aca="false">IF(OR(C108="",NOT(ISNUMBER(E108))),"",C108*E108)</f>
        <v>581784.740328</v>
      </c>
      <c r="L108" s="32" t="n">
        <f aca="false">IF(OR(C108="",NOT(ISNUMBER(F108))),"",C108*F108)</f>
        <v>1647924.86486486</v>
      </c>
      <c r="M108" s="32" t="n">
        <f aca="false">IF(OR(C108="",NOT(ISNUMBER(G108))),"",C108*G108)</f>
        <v>1682545.13513514</v>
      </c>
      <c r="N108" s="32" t="n">
        <f aca="false">IF(OR(C108="",NOT(ISNUMBER(H108))),"",C108*H108)</f>
        <v>1717165.40540541</v>
      </c>
      <c r="O108" s="32" t="n">
        <f aca="false">IF(OR(C108="",NOT(ISNUMBER(I108))),"",C108*I108)</f>
        <v>1785021.13513514</v>
      </c>
    </row>
    <row r="109" customFormat="false" ht="15" hidden="false" customHeight="true" outlineLevel="0" collapsed="false">
      <c r="A109" s="5" t="s">
        <v>735</v>
      </c>
      <c r="B109" s="5" t="s">
        <v>642</v>
      </c>
      <c r="C109" s="51" t="n">
        <v>34177</v>
      </c>
      <c r="D109" s="29" t="n">
        <f aca="false">IFERROR(VLOOKUP("CARTOFI CRISS CUT 140G",'FOOD COST'!$A:$Y,7,0),"")</f>
        <v>4.207672</v>
      </c>
      <c r="E109" s="30" t="n">
        <f aca="false">IFERROR(VLOOKUP("CARTOFI CRISS CUT 140G",'FOOD COST'!$A:$Y,8,0),"")</f>
        <v>4.207672</v>
      </c>
      <c r="F109" s="29" t="n">
        <f aca="false">IFERROR(VLOOKUP("CARTOFI CRISS CUT 140G",'FOOD COST'!$A:$Y,10,0),"")</f>
        <v>13.5135135135135</v>
      </c>
      <c r="G109" s="29" t="n">
        <f aca="false">IFERROR(VLOOKUP("CARTOFI CRISS CUT 140G",'FOOD COST'!$A:$Y,18,0),"")</f>
        <v>13.7387387387387</v>
      </c>
      <c r="H109" s="29" t="n">
        <f aca="false">IFERROR(VLOOKUP("CARTOFI CRISS CUT 140G",'FOOD COST'!$A:$Y,21,0),"")</f>
        <v>13.963963963964</v>
      </c>
      <c r="I109" s="29" t="n">
        <f aca="false">IFERROR(VLOOKUP("CARTOFI CRISS CUT 140G",'FOOD COST'!$A:$Y,24,0),"")</f>
        <v>14.4054054054054</v>
      </c>
      <c r="J109" s="32" t="n">
        <f aca="false">IF(OR(C109="",NOT(ISNUMBER(D109))),"",C109*D109)</f>
        <v>143805.605944</v>
      </c>
      <c r="K109" s="52" t="n">
        <f aca="false">IF(OR(C109="",NOT(ISNUMBER(E109))),"",C109*E109)</f>
        <v>143805.605944</v>
      </c>
      <c r="L109" s="32" t="n">
        <f aca="false">IF(OR(C109="",NOT(ISNUMBER(F109))),"",C109*F109)</f>
        <v>461851.351351351</v>
      </c>
      <c r="M109" s="32" t="n">
        <f aca="false">IF(OR(C109="",NOT(ISNUMBER(G109))),"",C109*G109)</f>
        <v>469548.873873874</v>
      </c>
      <c r="N109" s="32" t="n">
        <f aca="false">IF(OR(C109="",NOT(ISNUMBER(H109))),"",C109*H109)</f>
        <v>477246.396396396</v>
      </c>
      <c r="O109" s="32" t="n">
        <f aca="false">IF(OR(C109="",NOT(ISNUMBER(I109))),"",C109*I109)</f>
        <v>492333.540540541</v>
      </c>
    </row>
    <row r="110" customFormat="false" ht="15" hidden="false" customHeight="true" outlineLevel="0" collapsed="false">
      <c r="A110" s="5" t="s">
        <v>737</v>
      </c>
      <c r="B110" s="5" t="s">
        <v>645</v>
      </c>
      <c r="C110" s="51" t="n">
        <v>22091</v>
      </c>
      <c r="D110" s="29" t="n">
        <f aca="false">IFERROR(VLOOKUP("CARTOFI CRISS CUT 140G D",'FOOD COST'!$A:$Y,7,0),"")</f>
        <v>4.2076889</v>
      </c>
      <c r="E110" s="30" t="n">
        <f aca="false">IFERROR(VLOOKUP("CARTOFI CRISS CUT 140G D",'FOOD COST'!$A:$Y,8,0),"")</f>
        <v>4.2076889</v>
      </c>
      <c r="F110" s="29" t="n">
        <f aca="false">IFERROR(VLOOKUP("CARTOFI CRISS CUT 140G D",'FOOD COST'!$A:$Y,10,0),"")</f>
        <v>12.2972972972973</v>
      </c>
      <c r="G110" s="29" t="n">
        <f aca="false">IFERROR(VLOOKUP("CARTOFI CRISS CUT 140G D",'FOOD COST'!$A:$Y,18,0),"")</f>
        <v>12.5225225225225</v>
      </c>
      <c r="H110" s="29" t="n">
        <f aca="false">IFERROR(VLOOKUP("CARTOFI CRISS CUT 140G D",'FOOD COST'!$A:$Y,21,0),"")</f>
        <v>12.7477477477477</v>
      </c>
      <c r="I110" s="29" t="n">
        <f aca="false">IFERROR(VLOOKUP("CARTOFI CRISS CUT 140G D",'FOOD COST'!$A:$Y,24,0),"")</f>
        <v>13.1891891891892</v>
      </c>
      <c r="J110" s="32" t="n">
        <f aca="false">IF(OR(C110="",NOT(ISNUMBER(D110))),"",C110*D110)</f>
        <v>92952.0554899</v>
      </c>
      <c r="K110" s="52" t="n">
        <f aca="false">IF(OR(C110="",NOT(ISNUMBER(E110))),"",C110*E110)</f>
        <v>92952.0554899</v>
      </c>
      <c r="L110" s="32" t="n">
        <f aca="false">IF(OR(C110="",NOT(ISNUMBER(F110))),"",C110*F110)</f>
        <v>271659.594594595</v>
      </c>
      <c r="M110" s="32" t="n">
        <f aca="false">IF(OR(C110="",NOT(ISNUMBER(G110))),"",C110*G110)</f>
        <v>276635.045045045</v>
      </c>
      <c r="N110" s="32" t="n">
        <f aca="false">IF(OR(C110="",NOT(ISNUMBER(H110))),"",C110*H110)</f>
        <v>281610.495495496</v>
      </c>
      <c r="O110" s="32" t="n">
        <f aca="false">IF(OR(C110="",NOT(ISNUMBER(I110))),"",C110*I110)</f>
        <v>291362.378378378</v>
      </c>
    </row>
    <row r="111" customFormat="false" ht="15" hidden="false" customHeight="true" outlineLevel="0" collapsed="false">
      <c r="A111" s="5" t="s">
        <v>738</v>
      </c>
      <c r="B111" s="5" t="s">
        <v>645</v>
      </c>
      <c r="C111" s="51" t="n">
        <v>17447</v>
      </c>
      <c r="D111" s="29" t="n">
        <f aca="false">IFERROR(VLOOKUP("Cartofi prajiti in ulei de alune 112g D",'FOOD COST'!$A:$Y,7,0),"")</f>
        <v>2.3752</v>
      </c>
      <c r="E111" s="30" t="n">
        <f aca="false">IFERROR(VLOOKUP("Cartofi prajiti in ulei de alune 112g D",'FOOD COST'!$A:$Y,8,0),"")</f>
        <v>2.3752</v>
      </c>
      <c r="F111" s="29" t="n">
        <f aca="false">IFERROR(VLOOKUP("Cartofi prajiti in ulei de alune 112g D",'FOOD COST'!$A:$Y,10,0),"")</f>
        <v>12.6036036036036</v>
      </c>
      <c r="G111" s="29" t="n">
        <f aca="false">IFERROR(VLOOKUP("Cartofi prajiti in ulei de alune 112g D",'FOOD COST'!$A:$Y,18,0),"")</f>
        <v>12.8288288288288</v>
      </c>
      <c r="H111" s="29" t="n">
        <f aca="false">IFERROR(VLOOKUP("Cartofi prajiti in ulei de alune 112g D",'FOOD COST'!$A:$Y,21,0),"")</f>
        <v>13.0540540540541</v>
      </c>
      <c r="I111" s="29" t="n">
        <f aca="false">IFERROR(VLOOKUP("Cartofi prajiti in ulei de alune 112g D",'FOOD COST'!$A:$Y,24,0),"")</f>
        <v>13.4954954954955</v>
      </c>
      <c r="J111" s="32" t="n">
        <f aca="false">IF(OR(C111="",NOT(ISNUMBER(D111))),"",C111*D111)</f>
        <v>41440.1144</v>
      </c>
      <c r="K111" s="52" t="n">
        <f aca="false">IF(OR(C111="",NOT(ISNUMBER(E111))),"",C111*E111)</f>
        <v>41440.1144</v>
      </c>
      <c r="L111" s="32" t="n">
        <f aca="false">IF(OR(C111="",NOT(ISNUMBER(F111))),"",C111*F111)</f>
        <v>219895.072072072</v>
      </c>
      <c r="M111" s="32" t="n">
        <f aca="false">IF(OR(C111="",NOT(ISNUMBER(G111))),"",C111*G111)</f>
        <v>223824.576576577</v>
      </c>
      <c r="N111" s="32" t="n">
        <f aca="false">IF(OR(C111="",NOT(ISNUMBER(H111))),"",C111*H111)</f>
        <v>227754.081081081</v>
      </c>
      <c r="O111" s="32" t="n">
        <f aca="false">IF(OR(C111="",NOT(ISNUMBER(I111))),"",C111*I111)</f>
        <v>235455.90990991</v>
      </c>
    </row>
    <row r="112" customFormat="false" ht="15" hidden="false" customHeight="true" outlineLevel="0" collapsed="false">
      <c r="A112" s="5" t="s">
        <v>739</v>
      </c>
      <c r="B112" s="5" t="s">
        <v>645</v>
      </c>
      <c r="C112" s="51" t="n">
        <v>14509</v>
      </c>
      <c r="D112" s="29" t="n">
        <f aca="false">IFERROR(VLOOKUP("Cartofi prajiti in ulei de alune 150g D",'FOOD COST'!$A:$Y,7,0),"")</f>
        <v>4.65138</v>
      </c>
      <c r="E112" s="30" t="n">
        <f aca="false">IFERROR(VLOOKUP("Cartofi prajiti in ulei de alune 150g D",'FOOD COST'!$A:$Y,8,0),"")</f>
        <v>4.65138</v>
      </c>
      <c r="F112" s="29" t="n">
        <f aca="false">IFERROR(VLOOKUP("Cartofi prajiti in ulei de alune 150g D",'FOOD COST'!$A:$Y,10,0),"")</f>
        <v>14.4054054054054</v>
      </c>
      <c r="G112" s="29" t="n">
        <f aca="false">IFERROR(VLOOKUP("Cartofi prajiti in ulei de alune 150g D",'FOOD COST'!$A:$Y,18,0),"")</f>
        <v>14.6306306306306</v>
      </c>
      <c r="H112" s="29" t="n">
        <f aca="false">IFERROR(VLOOKUP("Cartofi prajiti in ulei de alune 150g D",'FOOD COST'!$A:$Y,21,0),"")</f>
        <v>14.8558558558559</v>
      </c>
      <c r="I112" s="29" t="n">
        <f aca="false">IFERROR(VLOOKUP("Cartofi prajiti in ulei de alune 150g D",'FOOD COST'!$A:$Y,24,0),"")</f>
        <v>15.2972972972973</v>
      </c>
      <c r="J112" s="32" t="n">
        <f aca="false">IF(OR(C112="",NOT(ISNUMBER(D112))),"",C112*D112)</f>
        <v>67486.87242</v>
      </c>
      <c r="K112" s="52" t="n">
        <f aca="false">IF(OR(C112="",NOT(ISNUMBER(E112))),"",C112*E112)</f>
        <v>67486.87242</v>
      </c>
      <c r="L112" s="32" t="n">
        <f aca="false">IF(OR(C112="",NOT(ISNUMBER(F112))),"",C112*F112)</f>
        <v>209008.027027027</v>
      </c>
      <c r="M112" s="32" t="n">
        <f aca="false">IF(OR(C112="",NOT(ISNUMBER(G112))),"",C112*G112)</f>
        <v>212275.81981982</v>
      </c>
      <c r="N112" s="32" t="n">
        <f aca="false">IF(OR(C112="",NOT(ISNUMBER(H112))),"",C112*H112)</f>
        <v>215543.612612613</v>
      </c>
      <c r="O112" s="32" t="n">
        <f aca="false">IF(OR(C112="",NOT(ISNUMBER(I112))),"",C112*I112)</f>
        <v>221948.486486486</v>
      </c>
    </row>
    <row r="113" customFormat="false" ht="15" hidden="false" customHeight="true" outlineLevel="0" collapsed="false">
      <c r="A113" s="5" t="s">
        <v>740</v>
      </c>
      <c r="B113" s="5" t="s">
        <v>645</v>
      </c>
      <c r="C113" s="51" t="n">
        <v>18633</v>
      </c>
      <c r="D113" s="29" t="n">
        <f aca="false">IFERROR(VLOOKUP("Cartofi prajiti in ulei de alune SuperSize 250g D",'FOOD COST'!$A:$Y,7,0),"")</f>
        <v>5.25982</v>
      </c>
      <c r="E113" s="30" t="n">
        <f aca="false">IFERROR(VLOOKUP("Cartofi prajiti in ulei de alune SuperSize 250g D",'FOOD COST'!$A:$Y,8,0),"")</f>
        <v>5.25982</v>
      </c>
      <c r="F113" s="29" t="n">
        <f aca="false">IFERROR(VLOOKUP("Cartofi prajiti in ulei de alune SuperSize 250g D",'FOOD COST'!$A:$Y,10,0),"")</f>
        <v>20.7117117117117</v>
      </c>
      <c r="G113" s="29" t="n">
        <f aca="false">IFERROR(VLOOKUP("Cartofi prajiti in ulei de alune SuperSize 250g D",'FOOD COST'!$A:$Y,18,0),"")</f>
        <v>20.9369369369369</v>
      </c>
      <c r="H113" s="29" t="n">
        <f aca="false">IFERROR(VLOOKUP("Cartofi prajiti in ulei de alune SuperSize 250g D",'FOOD COST'!$A:$Y,21,0),"")</f>
        <v>21.1621621621622</v>
      </c>
      <c r="I113" s="29" t="n">
        <f aca="false">IFERROR(VLOOKUP("Cartofi prajiti in ulei de alune SuperSize 250g D",'FOOD COST'!$A:$Y,24,0),"")</f>
        <v>21.6036036036036</v>
      </c>
      <c r="J113" s="32" t="n">
        <f aca="false">IF(OR(C113="",NOT(ISNUMBER(D113))),"",C113*D113)</f>
        <v>98006.22606</v>
      </c>
      <c r="K113" s="52" t="n">
        <f aca="false">IF(OR(C113="",NOT(ISNUMBER(E113))),"",C113*E113)</f>
        <v>98006.22606</v>
      </c>
      <c r="L113" s="32" t="n">
        <f aca="false">IF(OR(C113="",NOT(ISNUMBER(F113))),"",C113*F113)</f>
        <v>385921.324324324</v>
      </c>
      <c r="M113" s="32" t="n">
        <f aca="false">IF(OR(C113="",NOT(ISNUMBER(G113))),"",C113*G113)</f>
        <v>390117.945945946</v>
      </c>
      <c r="N113" s="32" t="n">
        <f aca="false">IF(OR(C113="",NOT(ISNUMBER(H113))),"",C113*H113)</f>
        <v>394314.567567568</v>
      </c>
      <c r="O113" s="32" t="n">
        <f aca="false">IF(OR(C113="",NOT(ISNUMBER(I113))),"",C113*I113)</f>
        <v>402539.945945946</v>
      </c>
    </row>
    <row r="114" customFormat="false" ht="15" hidden="false" customHeight="true" outlineLevel="0" collapsed="false">
      <c r="A114" s="5" t="s">
        <v>741</v>
      </c>
      <c r="B114" s="5" t="s">
        <v>642</v>
      </c>
      <c r="C114" s="51" t="n">
        <v>3263</v>
      </c>
      <c r="D114" s="29" t="n">
        <f aca="false">IFERROR(VLOOKUP("MAC &amp; CHEESY BITES",'FOOD COST'!$A:$Y,7,0),"")</f>
        <v>5.82192</v>
      </c>
      <c r="E114" s="30" t="n">
        <f aca="false">IFERROR(VLOOKUP("MAC &amp; CHEESY BITES",'FOOD COST'!$A:$Y,8,0),"")</f>
        <v>5.82192</v>
      </c>
      <c r="F114" s="29" t="n">
        <f aca="false">IFERROR(VLOOKUP("MAC &amp; CHEESY BITES",'FOOD COST'!$A:$Y,10,0),"")</f>
        <v>14.8648648648649</v>
      </c>
      <c r="G114" s="29" t="n">
        <f aca="false">IFERROR(VLOOKUP("MAC &amp; CHEESY BITES",'FOOD COST'!$A:$Y,18,0),"")</f>
        <v>14.8648648648649</v>
      </c>
      <c r="H114" s="29" t="n">
        <f aca="false">IFERROR(VLOOKUP("MAC &amp; CHEESY BITES",'FOOD COST'!$A:$Y,21,0),"")</f>
        <v>14.8648648648649</v>
      </c>
      <c r="I114" s="29" t="n">
        <f aca="false">IFERROR(VLOOKUP("MAC &amp; CHEESY BITES",'FOOD COST'!$A:$Y,24,0),"")</f>
        <v>14.8648648648649</v>
      </c>
      <c r="J114" s="32" t="n">
        <f aca="false">IF(OR(C114="",NOT(ISNUMBER(D114))),"",C114*D114)</f>
        <v>18996.92496</v>
      </c>
      <c r="K114" s="52" t="n">
        <f aca="false">IF(OR(C114="",NOT(ISNUMBER(E114))),"",C114*E114)</f>
        <v>18996.92496</v>
      </c>
      <c r="L114" s="32" t="n">
        <f aca="false">IF(OR(C114="",NOT(ISNUMBER(F114))),"",C114*F114)</f>
        <v>48504.054054054</v>
      </c>
      <c r="M114" s="32" t="n">
        <f aca="false">IF(OR(C114="",NOT(ISNUMBER(G114))),"",C114*G114)</f>
        <v>48504.054054054</v>
      </c>
      <c r="N114" s="32" t="n">
        <f aca="false">IF(OR(C114="",NOT(ISNUMBER(H114))),"",C114*H114)</f>
        <v>48504.054054054</v>
      </c>
      <c r="O114" s="32" t="n">
        <f aca="false">IF(OR(C114="",NOT(ISNUMBER(I114))),"",C114*I114)</f>
        <v>48504.054054054</v>
      </c>
    </row>
    <row r="115" customFormat="false" ht="15" hidden="false" customHeight="true" outlineLevel="0" collapsed="false">
      <c r="A115" s="5" t="s">
        <v>742</v>
      </c>
      <c r="B115" s="5" t="s">
        <v>645</v>
      </c>
      <c r="C115" s="51" t="n">
        <v>3080</v>
      </c>
      <c r="D115" s="29" t="n">
        <f aca="false">IFERROR(VLOOKUP("MAC &amp; CHEESY BITES D",'FOOD COST'!$A:$Y,7,0),"")</f>
        <v>5.82192</v>
      </c>
      <c r="E115" s="30" t="n">
        <f aca="false">IFERROR(VLOOKUP("MAC &amp; CHEESY BITES D",'FOOD COST'!$A:$Y,8,0),"")</f>
        <v>5.82192</v>
      </c>
      <c r="F115" s="29" t="n">
        <f aca="false">IFERROR(VLOOKUP("MAC &amp; CHEESY BITES D",'FOOD COST'!$A:$Y,10,0),"")</f>
        <v>14.8648648648649</v>
      </c>
      <c r="G115" s="29" t="n">
        <f aca="false">IFERROR(VLOOKUP("MAC &amp; CHEESY BITES D",'FOOD COST'!$A:$Y,18,0),"")</f>
        <v>14.8648648648649</v>
      </c>
      <c r="H115" s="29" t="n">
        <f aca="false">IFERROR(VLOOKUP("MAC &amp; CHEESY BITES D",'FOOD COST'!$A:$Y,21,0),"")</f>
        <v>14.8648648648649</v>
      </c>
      <c r="I115" s="29" t="n">
        <f aca="false">IFERROR(VLOOKUP("MAC &amp; CHEESY BITES D",'FOOD COST'!$A:$Y,24,0),"")</f>
        <v>14.8648648648649</v>
      </c>
      <c r="J115" s="32" t="n">
        <f aca="false">IF(OR(C115="",NOT(ISNUMBER(D115))),"",C115*D115)</f>
        <v>17931.5136</v>
      </c>
      <c r="K115" s="52" t="n">
        <f aca="false">IF(OR(C115="",NOT(ISNUMBER(E115))),"",C115*E115)</f>
        <v>17931.5136</v>
      </c>
      <c r="L115" s="32" t="n">
        <f aca="false">IF(OR(C115="",NOT(ISNUMBER(F115))),"",C115*F115)</f>
        <v>45783.7837837838</v>
      </c>
      <c r="M115" s="32" t="n">
        <f aca="false">IF(OR(C115="",NOT(ISNUMBER(G115))),"",C115*G115)</f>
        <v>45783.7837837838</v>
      </c>
      <c r="N115" s="32" t="n">
        <f aca="false">IF(OR(C115="",NOT(ISNUMBER(H115))),"",C115*H115)</f>
        <v>45783.7837837838</v>
      </c>
      <c r="O115" s="32" t="n">
        <f aca="false">IF(OR(C115="",NOT(ISNUMBER(I115))),"",C115*I115)</f>
        <v>45783.7837837838</v>
      </c>
    </row>
    <row r="116" customFormat="false" ht="15" hidden="false" customHeight="true" outlineLevel="0" collapsed="false">
      <c r="A116" s="5" t="s">
        <v>743</v>
      </c>
      <c r="B116" s="5" t="s">
        <v>642</v>
      </c>
      <c r="C116" s="51" t="n">
        <v>1383</v>
      </c>
      <c r="D116" s="29" t="n">
        <f aca="false">IFERROR(VLOOKUP("SALATA COLESLAW",'FOOD COST'!$A:$Y,7,0),"")</f>
        <v>3.5025</v>
      </c>
      <c r="E116" s="30" t="n">
        <f aca="false">IFERROR(VLOOKUP("SALATA COLESLAW",'FOOD COST'!$A:$Y,8,0),"")</f>
        <v>3.5025</v>
      </c>
      <c r="F116" s="29" t="n">
        <f aca="false">IFERROR(VLOOKUP("SALATA COLESLAW",'FOOD COST'!$A:$Y,10,0),"")</f>
        <v>9.00900900900901</v>
      </c>
      <c r="G116" s="29" t="n">
        <f aca="false">IFERROR(VLOOKUP("SALATA COLESLAW",'FOOD COST'!$A:$Y,18,0),"")</f>
        <v>9.23423423423423</v>
      </c>
      <c r="H116" s="29" t="n">
        <f aca="false">IFERROR(VLOOKUP("SALATA COLESLAW",'FOOD COST'!$A:$Y,21,0),"")</f>
        <v>9.45945945945946</v>
      </c>
      <c r="I116" s="29" t="n">
        <f aca="false">IFERROR(VLOOKUP("SALATA COLESLAW",'FOOD COST'!$A:$Y,24,0),"")</f>
        <v>9.9009009009009</v>
      </c>
      <c r="J116" s="32" t="n">
        <f aca="false">IF(OR(C116="",NOT(ISNUMBER(D116))),"",C116*D116)</f>
        <v>4843.9575</v>
      </c>
      <c r="K116" s="52" t="n">
        <f aca="false">IF(OR(C116="",NOT(ISNUMBER(E116))),"",C116*E116)</f>
        <v>4843.9575</v>
      </c>
      <c r="L116" s="32" t="n">
        <f aca="false">IF(OR(C116="",NOT(ISNUMBER(F116))),"",C116*F116)</f>
        <v>12459.4594594595</v>
      </c>
      <c r="M116" s="32" t="n">
        <f aca="false">IF(OR(C116="",NOT(ISNUMBER(G116))),"",C116*G116)</f>
        <v>12770.9459459459</v>
      </c>
      <c r="N116" s="32" t="n">
        <f aca="false">IF(OR(C116="",NOT(ISNUMBER(H116))),"",C116*H116)</f>
        <v>13082.4324324324</v>
      </c>
      <c r="O116" s="32" t="n">
        <f aca="false">IF(OR(C116="",NOT(ISNUMBER(I116))),"",C116*I116)</f>
        <v>13692.9459459459</v>
      </c>
    </row>
    <row r="117" customFormat="false" ht="15" hidden="false" customHeight="true" outlineLevel="0" collapsed="false">
      <c r="A117" s="5" t="s">
        <v>744</v>
      </c>
      <c r="B117" s="5" t="s">
        <v>645</v>
      </c>
      <c r="C117" s="51" t="n">
        <v>2009</v>
      </c>
      <c r="D117" s="29" t="n">
        <f aca="false">IFERROR(VLOOKUP("SALATA COLESLAW D",'FOOD COST'!$A:$Y,7,0),"")</f>
        <v>3.5025</v>
      </c>
      <c r="E117" s="30" t="n">
        <f aca="false">IFERROR(VLOOKUP("SALATA COLESLAW D",'FOOD COST'!$A:$Y,8,0),"")</f>
        <v>3.5025</v>
      </c>
      <c r="F117" s="29" t="n">
        <f aca="false">IFERROR(VLOOKUP("SALATA COLESLAW D",'FOOD COST'!$A:$Y,10,0),"")</f>
        <v>9.00900900900901</v>
      </c>
      <c r="G117" s="29" t="n">
        <f aca="false">IFERROR(VLOOKUP("SALATA COLESLAW D",'FOOD COST'!$A:$Y,18,0),"")</f>
        <v>9.23423423423423</v>
      </c>
      <c r="H117" s="29" t="n">
        <f aca="false">IFERROR(VLOOKUP("SALATA COLESLAW D",'FOOD COST'!$A:$Y,21,0),"")</f>
        <v>9.45945945945946</v>
      </c>
      <c r="I117" s="29" t="n">
        <f aca="false">IFERROR(VLOOKUP("SALATA COLESLAW D",'FOOD COST'!$A:$Y,24,0),"")</f>
        <v>9.9009009009009</v>
      </c>
      <c r="J117" s="32" t="n">
        <f aca="false">IF(OR(C117="",NOT(ISNUMBER(D117))),"",C117*D117)</f>
        <v>7036.5225</v>
      </c>
      <c r="K117" s="52" t="n">
        <f aca="false">IF(OR(C117="",NOT(ISNUMBER(E117))),"",C117*E117)</f>
        <v>7036.5225</v>
      </c>
      <c r="L117" s="32" t="n">
        <f aca="false">IF(OR(C117="",NOT(ISNUMBER(F117))),"",C117*F117)</f>
        <v>18099.0990990991</v>
      </c>
      <c r="M117" s="32" t="n">
        <f aca="false">IF(OR(C117="",NOT(ISNUMBER(G117))),"",C117*G117)</f>
        <v>18551.5765765766</v>
      </c>
      <c r="N117" s="32" t="n">
        <f aca="false">IF(OR(C117="",NOT(ISNUMBER(H117))),"",C117*H117)</f>
        <v>19004.0540540541</v>
      </c>
      <c r="O117" s="32" t="n">
        <f aca="false">IF(OR(C117="",NOT(ISNUMBER(I117))),"",C117*I117)</f>
        <v>19890.9099099099</v>
      </c>
    </row>
    <row r="118" customFormat="false" ht="15" hidden="false" customHeight="true" outlineLevel="0" collapsed="false">
      <c r="A118" s="5" t="s">
        <v>745</v>
      </c>
      <c r="B118" s="5" t="s">
        <v>642</v>
      </c>
      <c r="C118" s="51" t="n">
        <v>2292</v>
      </c>
      <c r="D118" s="29" t="n">
        <f aca="false">IFERROR(VLOOKUP("ADD Bacon",'FOOD COST'!$A:$Y,7,0),"")</f>
        <v>0.4896</v>
      </c>
      <c r="E118" s="30" t="n">
        <f aca="false">IFERROR(VLOOKUP("ADD Bacon",'FOOD COST'!$A:$Y,8,0),"")</f>
        <v>0.4896</v>
      </c>
      <c r="F118" s="29" t="n">
        <f aca="false">IFERROR(VLOOKUP("ADD Bacon",'FOOD COST'!$A:$Y,10,0),"")</f>
        <v>4.5045045045045</v>
      </c>
      <c r="G118" s="29" t="n">
        <f aca="false">IFERROR(VLOOKUP("ADD Bacon",'FOOD COST'!$A:$Y,18,0),"")</f>
        <v>4.5045045045045</v>
      </c>
      <c r="H118" s="29" t="n">
        <f aca="false">IFERROR(VLOOKUP("ADD Bacon",'FOOD COST'!$A:$Y,21,0),"")</f>
        <v>4.5045045045045</v>
      </c>
      <c r="I118" s="29" t="n">
        <f aca="false">IFERROR(VLOOKUP("ADD Bacon",'FOOD COST'!$A:$Y,24,0),"")</f>
        <v>4.5045045045045</v>
      </c>
      <c r="J118" s="32" t="n">
        <f aca="false">IF(OR(C118="",NOT(ISNUMBER(D118))),"",C118*D118)</f>
        <v>1122.1632</v>
      </c>
      <c r="K118" s="52" t="n">
        <f aca="false">IF(OR(C118="",NOT(ISNUMBER(E118))),"",C118*E118)</f>
        <v>1122.1632</v>
      </c>
      <c r="L118" s="32" t="n">
        <f aca="false">IF(OR(C118="",NOT(ISNUMBER(F118))),"",C118*F118)</f>
        <v>10324.3243243243</v>
      </c>
      <c r="M118" s="32" t="n">
        <f aca="false">IF(OR(C118="",NOT(ISNUMBER(G118))),"",C118*G118)</f>
        <v>10324.3243243243</v>
      </c>
      <c r="N118" s="32" t="n">
        <f aca="false">IF(OR(C118="",NOT(ISNUMBER(H118))),"",C118*H118)</f>
        <v>10324.3243243243</v>
      </c>
      <c r="O118" s="32" t="n">
        <f aca="false">IF(OR(C118="",NOT(ISNUMBER(I118))),"",C118*I118)</f>
        <v>10324.3243243243</v>
      </c>
    </row>
    <row r="119" customFormat="false" ht="15" hidden="false" customHeight="true" outlineLevel="0" collapsed="false">
      <c r="A119" s="5" t="s">
        <v>746</v>
      </c>
      <c r="B119" s="5" t="s">
        <v>645</v>
      </c>
      <c r="C119" s="51" t="n">
        <v>1506</v>
      </c>
      <c r="D119" s="29" t="n">
        <f aca="false">IFERROR(VLOOKUP("ADD Bacon D",'FOOD COST'!$A:$Y,7,0),"")</f>
        <v>0.4896</v>
      </c>
      <c r="E119" s="30" t="n">
        <f aca="false">IFERROR(VLOOKUP("ADD Bacon D",'FOOD COST'!$A:$Y,8,0),"")</f>
        <v>0.4896</v>
      </c>
      <c r="F119" s="29" t="n">
        <f aca="false">IFERROR(VLOOKUP("ADD Bacon D",'FOOD COST'!$A:$Y,10,0),"")</f>
        <v>1.8018018018018</v>
      </c>
      <c r="G119" s="29" t="n">
        <f aca="false">IFERROR(VLOOKUP("ADD Bacon D",'FOOD COST'!$A:$Y,18,0),"")</f>
        <v>1.8018018018018</v>
      </c>
      <c r="H119" s="29" t="n">
        <f aca="false">IFERROR(VLOOKUP("ADD Bacon D",'FOOD COST'!$A:$Y,21,0),"")</f>
        <v>1.8018018018018</v>
      </c>
      <c r="I119" s="29" t="n">
        <f aca="false">IFERROR(VLOOKUP("ADD Bacon D",'FOOD COST'!$A:$Y,24,0),"")</f>
        <v>1.8018018018018</v>
      </c>
      <c r="J119" s="32" t="n">
        <f aca="false">IF(OR(C119="",NOT(ISNUMBER(D119))),"",C119*D119)</f>
        <v>737.3376</v>
      </c>
      <c r="K119" s="52" t="n">
        <f aca="false">IF(OR(C119="",NOT(ISNUMBER(E119))),"",C119*E119)</f>
        <v>737.3376</v>
      </c>
      <c r="L119" s="32" t="n">
        <f aca="false">IF(OR(C119="",NOT(ISNUMBER(F119))),"",C119*F119)</f>
        <v>2713.51351351351</v>
      </c>
      <c r="M119" s="32" t="n">
        <f aca="false">IF(OR(C119="",NOT(ISNUMBER(G119))),"",C119*G119)</f>
        <v>2713.51351351351</v>
      </c>
      <c r="N119" s="32" t="n">
        <f aca="false">IF(OR(C119="",NOT(ISNUMBER(H119))),"",C119*H119)</f>
        <v>2713.51351351351</v>
      </c>
      <c r="O119" s="32" t="n">
        <f aca="false">IF(OR(C119="",NOT(ISNUMBER(I119))),"",C119*I119)</f>
        <v>2713.51351351351</v>
      </c>
    </row>
    <row r="120" customFormat="false" ht="15" hidden="false" customHeight="true" outlineLevel="0" collapsed="false">
      <c r="A120" s="5" t="s">
        <v>747</v>
      </c>
      <c r="B120" s="5" t="s">
        <v>642</v>
      </c>
      <c r="C120" s="51" t="n">
        <v>2304</v>
      </c>
      <c r="D120" s="29" t="n">
        <f aca="false">IFERROR(VLOOKUP("ADD Felie Cheddar",'FOOD COST'!$A:$Y,7,0),"")</f>
        <v>0.61567</v>
      </c>
      <c r="E120" s="30" t="n">
        <f aca="false">IFERROR(VLOOKUP("ADD Felie Cheddar",'FOOD COST'!$A:$Y,8,0),"")</f>
        <v>0.61567</v>
      </c>
      <c r="F120" s="29" t="n">
        <f aca="false">IFERROR(VLOOKUP("ADD Felie Cheddar",'FOOD COST'!$A:$Y,10,0),"")</f>
        <v>2.7027027027027</v>
      </c>
      <c r="G120" s="29" t="n">
        <f aca="false">IFERROR(VLOOKUP("ADD Felie Cheddar",'FOOD COST'!$A:$Y,18,0),"")</f>
        <v>2.7027027027027</v>
      </c>
      <c r="H120" s="29" t="n">
        <f aca="false">IFERROR(VLOOKUP("ADD Felie Cheddar",'FOOD COST'!$A:$Y,21,0),"")</f>
        <v>2.7027027027027</v>
      </c>
      <c r="I120" s="29" t="n">
        <f aca="false">IFERROR(VLOOKUP("ADD Felie Cheddar",'FOOD COST'!$A:$Y,24,0),"")</f>
        <v>2.7027027027027</v>
      </c>
      <c r="J120" s="32" t="n">
        <f aca="false">IF(OR(C120="",NOT(ISNUMBER(D120))),"",C120*D120)</f>
        <v>1418.50368</v>
      </c>
      <c r="K120" s="52" t="n">
        <f aca="false">IF(OR(C120="",NOT(ISNUMBER(E120))),"",C120*E120)</f>
        <v>1418.50368</v>
      </c>
      <c r="L120" s="32" t="n">
        <f aca="false">IF(OR(C120="",NOT(ISNUMBER(F120))),"",C120*F120)</f>
        <v>6227.02702702703</v>
      </c>
      <c r="M120" s="32" t="n">
        <f aca="false">IF(OR(C120="",NOT(ISNUMBER(G120))),"",C120*G120)</f>
        <v>6227.02702702703</v>
      </c>
      <c r="N120" s="32" t="n">
        <f aca="false">IF(OR(C120="",NOT(ISNUMBER(H120))),"",C120*H120)</f>
        <v>6227.02702702703</v>
      </c>
      <c r="O120" s="32" t="n">
        <f aca="false">IF(OR(C120="",NOT(ISNUMBER(I120))),"",C120*I120)</f>
        <v>6227.02702702703</v>
      </c>
    </row>
    <row r="121" customFormat="false" ht="15" hidden="false" customHeight="true" outlineLevel="0" collapsed="false">
      <c r="A121" s="5" t="s">
        <v>748</v>
      </c>
      <c r="B121" s="5" t="s">
        <v>645</v>
      </c>
      <c r="C121" s="51" t="n">
        <v>1652</v>
      </c>
      <c r="D121" s="29" t="n">
        <f aca="false">IFERROR(VLOOKUP("ADD Felie Cheddar D",'FOOD COST'!$A:$Y,7,0),"")</f>
        <v>0.61567</v>
      </c>
      <c r="E121" s="30" t="n">
        <f aca="false">IFERROR(VLOOKUP("ADD Felie Cheddar D",'FOOD COST'!$A:$Y,8,0),"")</f>
        <v>0.61567</v>
      </c>
      <c r="F121" s="29" t="n">
        <f aca="false">IFERROR(VLOOKUP("ADD Felie Cheddar D",'FOOD COST'!$A:$Y,10,0),"")</f>
        <v>2.7027027027027</v>
      </c>
      <c r="G121" s="29" t="n">
        <f aca="false">IFERROR(VLOOKUP("ADD Felie Cheddar D",'FOOD COST'!$A:$Y,18,0),"")</f>
        <v>2.7027027027027</v>
      </c>
      <c r="H121" s="29" t="n">
        <f aca="false">IFERROR(VLOOKUP("ADD Felie Cheddar D",'FOOD COST'!$A:$Y,21,0),"")</f>
        <v>2.7027027027027</v>
      </c>
      <c r="I121" s="29" t="n">
        <f aca="false">IFERROR(VLOOKUP("ADD Felie Cheddar D",'FOOD COST'!$A:$Y,24,0),"")</f>
        <v>2.7027027027027</v>
      </c>
      <c r="J121" s="32" t="n">
        <f aca="false">IF(OR(C121="",NOT(ISNUMBER(D121))),"",C121*D121)</f>
        <v>1017.08684</v>
      </c>
      <c r="K121" s="52" t="n">
        <f aca="false">IF(OR(C121="",NOT(ISNUMBER(E121))),"",C121*E121)</f>
        <v>1017.08684</v>
      </c>
      <c r="L121" s="32" t="n">
        <f aca="false">IF(OR(C121="",NOT(ISNUMBER(F121))),"",C121*F121)</f>
        <v>4464.86486486487</v>
      </c>
      <c r="M121" s="32" t="n">
        <f aca="false">IF(OR(C121="",NOT(ISNUMBER(G121))),"",C121*G121)</f>
        <v>4464.86486486487</v>
      </c>
      <c r="N121" s="32" t="n">
        <f aca="false">IF(OR(C121="",NOT(ISNUMBER(H121))),"",C121*H121)</f>
        <v>4464.86486486487</v>
      </c>
      <c r="O121" s="32" t="n">
        <f aca="false">IF(OR(C121="",NOT(ISNUMBER(I121))),"",C121*I121)</f>
        <v>4464.86486486487</v>
      </c>
    </row>
    <row r="122" customFormat="false" ht="15" hidden="false" customHeight="true" outlineLevel="0" collapsed="false">
      <c r="A122" s="5" t="s">
        <v>439</v>
      </c>
      <c r="B122" s="5" t="s">
        <v>642</v>
      </c>
      <c r="C122" s="51" t="n">
        <v>44590</v>
      </c>
      <c r="D122" s="29" t="n">
        <f aca="false">IFERROR(VLOOKUP("Punga",'FOOD COST'!$A:$Y,7,0),"")</f>
        <v>0.939</v>
      </c>
      <c r="E122" s="30" t="n">
        <f aca="false">IFERROR(VLOOKUP("Punga",'FOOD COST'!$A:$Y,8,0),"")</f>
        <v>0.939</v>
      </c>
      <c r="F122" s="29" t="n">
        <f aca="false">IFERROR(VLOOKUP("Punga",'FOOD COST'!$A:$Y,10,0),"")</f>
        <v>0.900900900900901</v>
      </c>
      <c r="G122" s="29" t="n">
        <f aca="false">IFERROR(VLOOKUP("Punga",'FOOD COST'!$A:$Y,18,0),"")</f>
        <v>0.900900900900901</v>
      </c>
      <c r="H122" s="29" t="n">
        <f aca="false">IFERROR(VLOOKUP("Punga",'FOOD COST'!$A:$Y,21,0),"")</f>
        <v>0.900900900900901</v>
      </c>
      <c r="I122" s="29" t="n">
        <f aca="false">IFERROR(VLOOKUP("Punga",'FOOD COST'!$A:$Y,24,0),"")</f>
        <v>0.900900900900901</v>
      </c>
      <c r="J122" s="32" t="n">
        <f aca="false">IF(OR(C122="",NOT(ISNUMBER(D122))),"",C122*D122)</f>
        <v>41870.01</v>
      </c>
      <c r="K122" s="52" t="n">
        <f aca="false">IF(OR(C122="",NOT(ISNUMBER(E122))),"",C122*E122)</f>
        <v>41870.01</v>
      </c>
      <c r="L122" s="32" t="n">
        <f aca="false">IF(OR(C122="",NOT(ISNUMBER(F122))),"",C122*F122)</f>
        <v>40171.1711711712</v>
      </c>
      <c r="M122" s="32" t="n">
        <f aca="false">IF(OR(C122="",NOT(ISNUMBER(G122))),"",C122*G122)</f>
        <v>40171.1711711712</v>
      </c>
      <c r="N122" s="32" t="n">
        <f aca="false">IF(OR(C122="",NOT(ISNUMBER(H122))),"",C122*H122)</f>
        <v>40171.1711711712</v>
      </c>
      <c r="O122" s="32" t="n">
        <f aca="false">IF(OR(C122="",NOT(ISNUMBER(I122))),"",C122*I122)</f>
        <v>40171.1711711712</v>
      </c>
    </row>
    <row r="123" customFormat="false" ht="15" hidden="false" customHeight="true" outlineLevel="0" collapsed="false">
      <c r="A123" s="5" t="s">
        <v>440</v>
      </c>
      <c r="B123" s="5" t="s">
        <v>642</v>
      </c>
      <c r="C123" s="51" t="n">
        <v>6882</v>
      </c>
      <c r="D123" s="29" t="n">
        <f aca="false">IFERROR(VLOOKUP("Punga Mica",'FOOD COST'!$A:$Y,7,0),"")</f>
        <v>0.529</v>
      </c>
      <c r="E123" s="30" t="n">
        <f aca="false">IFERROR(VLOOKUP("Punga Mica",'FOOD COST'!$A:$Y,8,0),"")</f>
        <v>0.529</v>
      </c>
      <c r="F123" s="29" t="n">
        <f aca="false">IFERROR(VLOOKUP("Punga Mica",'FOOD COST'!$A:$Y,10,0),"")</f>
        <v>0.45045045045045</v>
      </c>
      <c r="G123" s="29" t="n">
        <f aca="false">IFERROR(VLOOKUP("Punga Mica",'FOOD COST'!$A:$Y,18,0),"")</f>
        <v>0.45045045045045</v>
      </c>
      <c r="H123" s="29" t="n">
        <f aca="false">IFERROR(VLOOKUP("Punga Mica",'FOOD COST'!$A:$Y,21,0),"")</f>
        <v>0.45045045045045</v>
      </c>
      <c r="I123" s="29" t="n">
        <f aca="false">IFERROR(VLOOKUP("Punga Mica",'FOOD COST'!$A:$Y,24,0),"")</f>
        <v>0.45045045045045</v>
      </c>
      <c r="J123" s="32" t="n">
        <f aca="false">IF(OR(C123="",NOT(ISNUMBER(D123))),"",C123*D123)</f>
        <v>3640.578</v>
      </c>
      <c r="K123" s="52" t="n">
        <f aca="false">IF(OR(C123="",NOT(ISNUMBER(E123))),"",C123*E123)</f>
        <v>3640.578</v>
      </c>
      <c r="L123" s="32" t="n">
        <f aca="false">IF(OR(C123="",NOT(ISNUMBER(F123))),"",C123*F123)</f>
        <v>3100</v>
      </c>
      <c r="M123" s="32" t="n">
        <f aca="false">IF(OR(C123="",NOT(ISNUMBER(G123))),"",C123*G123)</f>
        <v>3100</v>
      </c>
      <c r="N123" s="32" t="n">
        <f aca="false">IF(OR(C123="",NOT(ISNUMBER(H123))),"",C123*H123)</f>
        <v>3100</v>
      </c>
      <c r="O123" s="32" t="n">
        <f aca="false">IF(OR(C123="",NOT(ISNUMBER(I123))),"",C123*I123)</f>
        <v>3100</v>
      </c>
    </row>
    <row r="124" customFormat="false" ht="15" hidden="false" customHeight="true" outlineLevel="0" collapsed="false">
      <c r="A124" s="5" t="s">
        <v>441</v>
      </c>
      <c r="B124" s="5" t="s">
        <v>645</v>
      </c>
      <c r="C124" s="51" t="n">
        <v>233110</v>
      </c>
      <c r="D124" s="29" t="n">
        <f aca="false">IFERROR(VLOOKUP("Punga Mica D",'FOOD COST'!$A:$Y,7,0),"")</f>
        <v>0.529</v>
      </c>
      <c r="E124" s="30" t="n">
        <f aca="false">IFERROR(VLOOKUP("Punga Mica D",'FOOD COST'!$A:$Y,8,0),"")</f>
        <v>0.529</v>
      </c>
      <c r="F124" s="29" t="n">
        <f aca="false">IFERROR(VLOOKUP("Punga Mica D",'FOOD COST'!$A:$Y,10,0),"")</f>
        <v>0.45045045045045</v>
      </c>
      <c r="G124" s="29" t="n">
        <f aca="false">IFERROR(VLOOKUP("Punga Mica D",'FOOD COST'!$A:$Y,18,0),"")</f>
        <v>0.45045045045045</v>
      </c>
      <c r="H124" s="29" t="n">
        <f aca="false">IFERROR(VLOOKUP("Punga Mica D",'FOOD COST'!$A:$Y,21,0),"")</f>
        <v>0.45045045045045</v>
      </c>
      <c r="I124" s="29" t="n">
        <f aca="false">IFERROR(VLOOKUP("Punga Mica D",'FOOD COST'!$A:$Y,24,0),"")</f>
        <v>0.45045045045045</v>
      </c>
      <c r="J124" s="32" t="n">
        <f aca="false">IF(OR(C124="",NOT(ISNUMBER(D124))),"",C124*D124)</f>
        <v>123315.19</v>
      </c>
      <c r="K124" s="52" t="n">
        <f aca="false">IF(OR(C124="",NOT(ISNUMBER(E124))),"",C124*E124)</f>
        <v>123315.19</v>
      </c>
      <c r="L124" s="32" t="n">
        <f aca="false">IF(OR(C124="",NOT(ISNUMBER(F124))),"",C124*F124)</f>
        <v>105004.504504505</v>
      </c>
      <c r="M124" s="32" t="n">
        <f aca="false">IF(OR(C124="",NOT(ISNUMBER(G124))),"",C124*G124)</f>
        <v>105004.504504505</v>
      </c>
      <c r="N124" s="32" t="n">
        <f aca="false">IF(OR(C124="",NOT(ISNUMBER(H124))),"",C124*H124)</f>
        <v>105004.504504505</v>
      </c>
      <c r="O124" s="32" t="n">
        <f aca="false">IF(OR(C124="",NOT(ISNUMBER(I124))),"",C124*I124)</f>
        <v>105004.504504505</v>
      </c>
    </row>
    <row r="125" customFormat="false" ht="15" hidden="false" customHeight="true" outlineLevel="0" collapsed="false">
      <c r="A125" s="5" t="s">
        <v>442</v>
      </c>
      <c r="B125" s="5" t="s">
        <v>642</v>
      </c>
      <c r="C125" s="51" t="n">
        <v>1357</v>
      </c>
      <c r="D125" s="29" t="n">
        <f aca="false">IFERROR(VLOOKUP("Sacosa",'FOOD COST'!$A:$Y,7,0),"")</f>
        <v>0.765</v>
      </c>
      <c r="E125" s="30" t="n">
        <f aca="false">IFERROR(VLOOKUP("Sacosa",'FOOD COST'!$A:$Y,8,0),"")</f>
        <v>0.765</v>
      </c>
      <c r="F125" s="29" t="n">
        <f aca="false">IFERROR(VLOOKUP("Sacosa",'FOOD COST'!$A:$Y,10,0),"")</f>
        <v>1.35135135135135</v>
      </c>
      <c r="G125" s="29" t="n">
        <f aca="false">IFERROR(VLOOKUP("Sacosa",'FOOD COST'!$A:$Y,18,0),"")</f>
        <v>1.35135135135135</v>
      </c>
      <c r="H125" s="29" t="n">
        <f aca="false">IFERROR(VLOOKUP("Sacosa",'FOOD COST'!$A:$Y,21,0),"")</f>
        <v>1.35135135135135</v>
      </c>
      <c r="I125" s="29" t="n">
        <f aca="false">IFERROR(VLOOKUP("Sacosa",'FOOD COST'!$A:$Y,24,0),"")</f>
        <v>1.35135135135135</v>
      </c>
      <c r="J125" s="32" t="n">
        <f aca="false">IF(OR(C125="",NOT(ISNUMBER(D125))),"",C125*D125)</f>
        <v>1038.105</v>
      </c>
      <c r="K125" s="52" t="n">
        <f aca="false">IF(OR(C125="",NOT(ISNUMBER(E125))),"",C125*E125)</f>
        <v>1038.105</v>
      </c>
      <c r="L125" s="32" t="n">
        <f aca="false">IF(OR(C125="",NOT(ISNUMBER(F125))),"",C125*F125)</f>
        <v>1833.78378378378</v>
      </c>
      <c r="M125" s="32" t="n">
        <f aca="false">IF(OR(C125="",NOT(ISNUMBER(G125))),"",C125*G125)</f>
        <v>1833.78378378378</v>
      </c>
      <c r="N125" s="32" t="n">
        <f aca="false">IF(OR(C125="",NOT(ISNUMBER(H125))),"",C125*H125)</f>
        <v>1833.78378378378</v>
      </c>
      <c r="O125" s="32" t="n">
        <f aca="false">IF(OR(C125="",NOT(ISNUMBER(I125))),"",C125*I125)</f>
        <v>1833.78378378378</v>
      </c>
    </row>
    <row r="126" customFormat="false" ht="15" hidden="false" customHeight="true" outlineLevel="0" collapsed="false">
      <c r="A126" s="5" t="s">
        <v>443</v>
      </c>
      <c r="B126" s="5" t="s">
        <v>645</v>
      </c>
      <c r="C126" s="51" t="n">
        <v>589</v>
      </c>
      <c r="D126" s="29" t="n">
        <f aca="false">IFERROR(VLOOKUP("Sacosa D",'FOOD COST'!$A:$Y,7,0),"")</f>
        <v>0.765</v>
      </c>
      <c r="E126" s="30" t="n">
        <f aca="false">IFERROR(VLOOKUP("Sacosa D",'FOOD COST'!$A:$Y,8,0),"")</f>
        <v>0.765</v>
      </c>
      <c r="F126" s="29" t="n">
        <f aca="false">IFERROR(VLOOKUP("Sacosa D",'FOOD COST'!$A:$Y,10,0),"")</f>
        <v>1.35135135135135</v>
      </c>
      <c r="G126" s="29" t="n">
        <f aca="false">IFERROR(VLOOKUP("Sacosa D",'FOOD COST'!$A:$Y,18,0),"")</f>
        <v>1.35135135135135</v>
      </c>
      <c r="H126" s="29" t="n">
        <f aca="false">IFERROR(VLOOKUP("Sacosa D",'FOOD COST'!$A:$Y,21,0),"")</f>
        <v>1.35135135135135</v>
      </c>
      <c r="I126" s="29" t="n">
        <f aca="false">IFERROR(VLOOKUP("Sacosa D",'FOOD COST'!$A:$Y,24,0),"")</f>
        <v>1.35135135135135</v>
      </c>
      <c r="J126" s="32" t="n">
        <f aca="false">IF(OR(C126="",NOT(ISNUMBER(D126))),"",C126*D126)</f>
        <v>450.585</v>
      </c>
      <c r="K126" s="52" t="n">
        <f aca="false">IF(OR(C126="",NOT(ISNUMBER(E126))),"",C126*E126)</f>
        <v>450.585</v>
      </c>
      <c r="L126" s="32" t="n">
        <f aca="false">IF(OR(C126="",NOT(ISNUMBER(F126))),"",C126*F126)</f>
        <v>795.945945945946</v>
      </c>
      <c r="M126" s="32" t="n">
        <f aca="false">IF(OR(C126="",NOT(ISNUMBER(G126))),"",C126*G126)</f>
        <v>795.945945945946</v>
      </c>
      <c r="N126" s="32" t="n">
        <f aca="false">IF(OR(C126="",NOT(ISNUMBER(H126))),"",C126*H126)</f>
        <v>795.945945945946</v>
      </c>
      <c r="O126" s="32" t="n">
        <f aca="false">IF(OR(C126="",NOT(ISNUMBER(I126))),"",C126*I126)</f>
        <v>795.945945945946</v>
      </c>
    </row>
    <row r="127" customFormat="false" ht="15" hidden="false" customHeight="true" outlineLevel="0" collapsed="false">
      <c r="A127" s="5" t="s">
        <v>749</v>
      </c>
      <c r="B127" s="5" t="s">
        <v>642</v>
      </c>
      <c r="C127" s="51" t="n">
        <v>1007</v>
      </c>
      <c r="D127" s="29" t="n">
        <f aca="false">IFERROR(VLOOKUP("ADD Jalapeno",'FOOD COST'!$A:$Y,7,0),"")</f>
        <v>0.24702</v>
      </c>
      <c r="E127" s="30" t="n">
        <f aca="false">IFERROR(VLOOKUP("ADD Jalapeno",'FOOD COST'!$A:$Y,8,0),"")</f>
        <v>0.24702</v>
      </c>
      <c r="F127" s="29" t="n">
        <f aca="false">IFERROR(VLOOKUP("ADD Jalapeno",'FOOD COST'!$A:$Y,10,0),"")</f>
        <v>1.8018018018018</v>
      </c>
      <c r="G127" s="29" t="n">
        <f aca="false">IFERROR(VLOOKUP("ADD Jalapeno",'FOOD COST'!$A:$Y,18,0),"")</f>
        <v>1.8018018018018</v>
      </c>
      <c r="H127" s="29" t="n">
        <f aca="false">IFERROR(VLOOKUP("ADD Jalapeno",'FOOD COST'!$A:$Y,21,0),"")</f>
        <v>1.8018018018018</v>
      </c>
      <c r="I127" s="29" t="n">
        <f aca="false">IFERROR(VLOOKUP("ADD Jalapeno",'FOOD COST'!$A:$Y,24,0),"")</f>
        <v>1.8018018018018</v>
      </c>
      <c r="J127" s="32" t="n">
        <f aca="false">IF(OR(C127="",NOT(ISNUMBER(D127))),"",C127*D127)</f>
        <v>248.74914</v>
      </c>
      <c r="K127" s="52" t="n">
        <f aca="false">IF(OR(C127="",NOT(ISNUMBER(E127))),"",C127*E127)</f>
        <v>248.74914</v>
      </c>
      <c r="L127" s="32" t="n">
        <f aca="false">IF(OR(C127="",NOT(ISNUMBER(F127))),"",C127*F127)</f>
        <v>1814.41441441441</v>
      </c>
      <c r="M127" s="32" t="n">
        <f aca="false">IF(OR(C127="",NOT(ISNUMBER(G127))),"",C127*G127)</f>
        <v>1814.41441441441</v>
      </c>
      <c r="N127" s="32" t="n">
        <f aca="false">IF(OR(C127="",NOT(ISNUMBER(H127))),"",C127*H127)</f>
        <v>1814.41441441441</v>
      </c>
      <c r="O127" s="32" t="n">
        <f aca="false">IF(OR(C127="",NOT(ISNUMBER(I127))),"",C127*I127)</f>
        <v>1814.41441441441</v>
      </c>
    </row>
    <row r="128" customFormat="false" ht="15" hidden="false" customHeight="true" outlineLevel="0" collapsed="false">
      <c r="A128" s="5" t="s">
        <v>750</v>
      </c>
      <c r="B128" s="5" t="s">
        <v>645</v>
      </c>
      <c r="C128" s="51" t="n">
        <v>2191</v>
      </c>
      <c r="D128" s="29" t="n">
        <f aca="false">IFERROR(VLOOKUP("ADD Jalapeno D",'FOOD COST'!$A:$Y,7,0),"")</f>
        <v>0.24702</v>
      </c>
      <c r="E128" s="30" t="n">
        <f aca="false">IFERROR(VLOOKUP("ADD Jalapeno D",'FOOD COST'!$A:$Y,8,0),"")</f>
        <v>0.24702</v>
      </c>
      <c r="F128" s="29" t="n">
        <f aca="false">IFERROR(VLOOKUP("ADD Jalapeno D",'FOOD COST'!$A:$Y,10,0),"")</f>
        <v>1.8018018018018</v>
      </c>
      <c r="G128" s="29" t="n">
        <f aca="false">IFERROR(VLOOKUP("ADD Jalapeno D",'FOOD COST'!$A:$Y,18,0),"")</f>
        <v>1.8018018018018</v>
      </c>
      <c r="H128" s="29" t="n">
        <f aca="false">IFERROR(VLOOKUP("ADD Jalapeno D",'FOOD COST'!$A:$Y,21,0),"")</f>
        <v>1.8018018018018</v>
      </c>
      <c r="I128" s="29" t="n">
        <f aca="false">IFERROR(VLOOKUP("ADD Jalapeno D",'FOOD COST'!$A:$Y,24,0),"")</f>
        <v>1.8018018018018</v>
      </c>
      <c r="J128" s="32" t="n">
        <f aca="false">IF(OR(C128="",NOT(ISNUMBER(D128))),"",C128*D128)</f>
        <v>541.22082</v>
      </c>
      <c r="K128" s="52" t="n">
        <f aca="false">IF(OR(C128="",NOT(ISNUMBER(E128))),"",C128*E128)</f>
        <v>541.22082</v>
      </c>
      <c r="L128" s="32" t="n">
        <f aca="false">IF(OR(C128="",NOT(ISNUMBER(F128))),"",C128*F128)</f>
        <v>3947.74774774775</v>
      </c>
      <c r="M128" s="32" t="n">
        <f aca="false">IF(OR(C128="",NOT(ISNUMBER(G128))),"",C128*G128)</f>
        <v>3947.74774774775</v>
      </c>
      <c r="N128" s="32" t="n">
        <f aca="false">IF(OR(C128="",NOT(ISNUMBER(H128))),"",C128*H128)</f>
        <v>3947.74774774775</v>
      </c>
      <c r="O128" s="32" t="n">
        <f aca="false">IF(OR(C128="",NOT(ISNUMBER(I128))),"",C128*I128)</f>
        <v>3947.74774774775</v>
      </c>
    </row>
    <row r="129" customFormat="false" ht="15" hidden="false" customHeight="true" outlineLevel="0" collapsed="false">
      <c r="A129" s="5" t="s">
        <v>751</v>
      </c>
      <c r="B129" s="5" t="s">
        <v>642</v>
      </c>
      <c r="C129" s="51" t="n">
        <v>145</v>
      </c>
      <c r="D129" s="29" t="n">
        <f aca="false">IFERROR(VLOOKUP("Extra Homestyle Crispy",'FOOD COST'!$A:$Y,7,0),"")</f>
        <v>2.87065</v>
      </c>
      <c r="E129" s="30" t="n">
        <f aca="false">IFERROR(VLOOKUP("Extra Homestyle Crispy",'FOOD COST'!$A:$Y,8,0),"")</f>
        <v>2.87065</v>
      </c>
      <c r="F129" s="29" t="n">
        <f aca="false">IFERROR(VLOOKUP("Extra Homestyle Crispy",'FOOD COST'!$A:$Y,10,0),"")</f>
        <v>6.30630630630631</v>
      </c>
      <c r="G129" s="29" t="n">
        <f aca="false">IFERROR(VLOOKUP("Extra Homestyle Crispy",'FOOD COST'!$A:$Y,18,0),"")</f>
        <v>6.30630630630631</v>
      </c>
      <c r="H129" s="29" t="n">
        <f aca="false">IFERROR(VLOOKUP("Extra Homestyle Crispy",'FOOD COST'!$A:$Y,21,0),"")</f>
        <v>6.30630630630631</v>
      </c>
      <c r="I129" s="29" t="n">
        <f aca="false">IFERROR(VLOOKUP("Extra Homestyle Crispy",'FOOD COST'!$A:$Y,24,0),"")</f>
        <v>6.30630630630631</v>
      </c>
      <c r="J129" s="32" t="n">
        <f aca="false">IF(OR(C129="",NOT(ISNUMBER(D129))),"",C129*D129)</f>
        <v>416.24425</v>
      </c>
      <c r="K129" s="52" t="n">
        <f aca="false">IF(OR(C129="",NOT(ISNUMBER(E129))),"",C129*E129)</f>
        <v>416.24425</v>
      </c>
      <c r="L129" s="32" t="n">
        <f aca="false">IF(OR(C129="",NOT(ISNUMBER(F129))),"",C129*F129)</f>
        <v>914.414414414414</v>
      </c>
      <c r="M129" s="32" t="n">
        <f aca="false">IF(OR(C129="",NOT(ISNUMBER(G129))),"",C129*G129)</f>
        <v>914.414414414414</v>
      </c>
      <c r="N129" s="32" t="n">
        <f aca="false">IF(OR(C129="",NOT(ISNUMBER(H129))),"",C129*H129)</f>
        <v>914.414414414414</v>
      </c>
      <c r="O129" s="32" t="n">
        <f aca="false">IF(OR(C129="",NOT(ISNUMBER(I129))),"",C129*I129)</f>
        <v>914.414414414414</v>
      </c>
    </row>
    <row r="130" customFormat="false" ht="15" hidden="false" customHeight="true" outlineLevel="0" collapsed="false">
      <c r="A130" s="5" t="s">
        <v>752</v>
      </c>
      <c r="B130" s="5" t="s">
        <v>645</v>
      </c>
      <c r="C130" s="51" t="n">
        <v>166</v>
      </c>
      <c r="D130" s="29" t="n">
        <f aca="false">IFERROR(VLOOKUP("Extra Homestyle Crispy D",'FOOD COST'!$A:$Y,7,0),"")</f>
        <v>2.87065</v>
      </c>
      <c r="E130" s="30" t="n">
        <f aca="false">IFERROR(VLOOKUP("Extra Homestyle Crispy D",'FOOD COST'!$A:$Y,8,0),"")</f>
        <v>2.87065</v>
      </c>
      <c r="F130" s="29" t="n">
        <f aca="false">IFERROR(VLOOKUP("Extra Homestyle Crispy D",'FOOD COST'!$A:$Y,10,0),"")</f>
        <v>6.30630630630631</v>
      </c>
      <c r="G130" s="29" t="n">
        <f aca="false">IFERROR(VLOOKUP("Extra Homestyle Crispy D",'FOOD COST'!$A:$Y,18,0),"")</f>
        <v>6.30630630630631</v>
      </c>
      <c r="H130" s="29" t="n">
        <f aca="false">IFERROR(VLOOKUP("Extra Homestyle Crispy D",'FOOD COST'!$A:$Y,21,0),"")</f>
        <v>6.30630630630631</v>
      </c>
      <c r="I130" s="29" t="n">
        <f aca="false">IFERROR(VLOOKUP("Extra Homestyle Crispy D",'FOOD COST'!$A:$Y,24,0),"")</f>
        <v>6.30630630630631</v>
      </c>
      <c r="J130" s="32" t="n">
        <f aca="false">IF(OR(C130="",NOT(ISNUMBER(D130))),"",C130*D130)</f>
        <v>476.5279</v>
      </c>
      <c r="K130" s="52" t="n">
        <f aca="false">IF(OR(C130="",NOT(ISNUMBER(E130))),"",C130*E130)</f>
        <v>476.5279</v>
      </c>
      <c r="L130" s="32" t="n">
        <f aca="false">IF(OR(C130="",NOT(ISNUMBER(F130))),"",C130*F130)</f>
        <v>1046.84684684685</v>
      </c>
      <c r="M130" s="32" t="n">
        <f aca="false">IF(OR(C130="",NOT(ISNUMBER(G130))),"",C130*G130)</f>
        <v>1046.84684684685</v>
      </c>
      <c r="N130" s="32" t="n">
        <f aca="false">IF(OR(C130="",NOT(ISNUMBER(H130))),"",C130*H130)</f>
        <v>1046.84684684685</v>
      </c>
      <c r="O130" s="32" t="n">
        <f aca="false">IF(OR(C130="",NOT(ISNUMBER(I130))),"",C130*I130)</f>
        <v>1046.84684684685</v>
      </c>
    </row>
    <row r="131" customFormat="false" ht="15" hidden="false" customHeight="true" outlineLevel="0" collapsed="false">
      <c r="A131" s="5" t="s">
        <v>448</v>
      </c>
      <c r="B131" s="5" t="s">
        <v>642</v>
      </c>
      <c r="C131" s="51" t="n">
        <v>5379</v>
      </c>
      <c r="D131" s="29" t="n">
        <f aca="false">IFERROR(VLOOKUP("Fry Shaker Parmezan &amp; Usturoi",'FOOD COST'!$A:$Y,7,0),"")</f>
        <v>0.765</v>
      </c>
      <c r="E131" s="30" t="n">
        <f aca="false">IFERROR(VLOOKUP("Fry Shaker Parmezan &amp; Usturoi",'FOOD COST'!$A:$Y,8,0),"")</f>
        <v>0.765</v>
      </c>
      <c r="F131" s="29" t="n">
        <f aca="false">IFERROR(VLOOKUP("Fry Shaker Parmezan &amp; Usturoi",'FOOD COST'!$A:$Y,10,0),"")</f>
        <v>4.5045045045045</v>
      </c>
      <c r="G131" s="29" t="n">
        <f aca="false">IFERROR(VLOOKUP("Fry Shaker Parmezan &amp; Usturoi",'FOOD COST'!$A:$Y,18,0),"")</f>
        <v>4.5045045045045</v>
      </c>
      <c r="H131" s="29" t="n">
        <f aca="false">IFERROR(VLOOKUP("Fry Shaker Parmezan &amp; Usturoi",'FOOD COST'!$A:$Y,21,0),"")</f>
        <v>4.5045045045045</v>
      </c>
      <c r="I131" s="29" t="n">
        <f aca="false">IFERROR(VLOOKUP("Fry Shaker Parmezan &amp; Usturoi",'FOOD COST'!$A:$Y,24,0),"")</f>
        <v>4.5045045045045</v>
      </c>
      <c r="J131" s="32" t="n">
        <f aca="false">IF(OR(C131="",NOT(ISNUMBER(D131))),"",C131*D131)</f>
        <v>4114.935</v>
      </c>
      <c r="K131" s="52" t="n">
        <f aca="false">IF(OR(C131="",NOT(ISNUMBER(E131))),"",C131*E131)</f>
        <v>4114.935</v>
      </c>
      <c r="L131" s="32" t="n">
        <f aca="false">IF(OR(C131="",NOT(ISNUMBER(F131))),"",C131*F131)</f>
        <v>24229.7297297297</v>
      </c>
      <c r="M131" s="32" t="n">
        <f aca="false">IF(OR(C131="",NOT(ISNUMBER(G131))),"",C131*G131)</f>
        <v>24229.7297297297</v>
      </c>
      <c r="N131" s="32" t="n">
        <f aca="false">IF(OR(C131="",NOT(ISNUMBER(H131))),"",C131*H131)</f>
        <v>24229.7297297297</v>
      </c>
      <c r="O131" s="32" t="n">
        <f aca="false">IF(OR(C131="",NOT(ISNUMBER(I131))),"",C131*I131)</f>
        <v>24229.7297297297</v>
      </c>
    </row>
    <row r="132" customFormat="false" ht="15" hidden="false" customHeight="true" outlineLevel="0" collapsed="false">
      <c r="A132" s="5" t="s">
        <v>449</v>
      </c>
      <c r="B132" s="5" t="s">
        <v>645</v>
      </c>
      <c r="C132" s="51" t="n">
        <v>2230</v>
      </c>
      <c r="D132" s="29" t="n">
        <f aca="false">IFERROR(VLOOKUP("Fry Shaker Parmezan &amp; Usturoi D",'FOOD COST'!$A:$Y,7,0),"")</f>
        <v>0.765</v>
      </c>
      <c r="E132" s="30" t="n">
        <f aca="false">IFERROR(VLOOKUP("Fry Shaker Parmezan &amp; Usturoi D",'FOOD COST'!$A:$Y,8,0),"")</f>
        <v>0.765</v>
      </c>
      <c r="F132" s="29" t="n">
        <f aca="false">IFERROR(VLOOKUP("Fry Shaker Parmezan &amp; Usturoi D",'FOOD COST'!$A:$Y,10,0),"")</f>
        <v>4.5045045045045</v>
      </c>
      <c r="G132" s="29" t="n">
        <f aca="false">IFERROR(VLOOKUP("Fry Shaker Parmezan &amp; Usturoi D",'FOOD COST'!$A:$Y,18,0),"")</f>
        <v>4.5045045045045</v>
      </c>
      <c r="H132" s="29" t="n">
        <f aca="false">IFERROR(VLOOKUP("Fry Shaker Parmezan &amp; Usturoi D",'FOOD COST'!$A:$Y,21,0),"")</f>
        <v>4.5045045045045</v>
      </c>
      <c r="I132" s="29" t="n">
        <f aca="false">IFERROR(VLOOKUP("Fry Shaker Parmezan &amp; Usturoi D",'FOOD COST'!$A:$Y,24,0),"")</f>
        <v>4.5045045045045</v>
      </c>
      <c r="J132" s="32" t="n">
        <f aca="false">IF(OR(C132="",NOT(ISNUMBER(D132))),"",C132*D132)</f>
        <v>1705.95</v>
      </c>
      <c r="K132" s="52" t="n">
        <f aca="false">IF(OR(C132="",NOT(ISNUMBER(E132))),"",C132*E132)</f>
        <v>1705.95</v>
      </c>
      <c r="L132" s="32" t="n">
        <f aca="false">IF(OR(C132="",NOT(ISNUMBER(F132))),"",C132*F132)</f>
        <v>10045.045045045</v>
      </c>
      <c r="M132" s="32" t="n">
        <f aca="false">IF(OR(C132="",NOT(ISNUMBER(G132))),"",C132*G132)</f>
        <v>10045.045045045</v>
      </c>
      <c r="N132" s="32" t="n">
        <f aca="false">IF(OR(C132="",NOT(ISNUMBER(H132))),"",C132*H132)</f>
        <v>10045.045045045</v>
      </c>
      <c r="O132" s="32" t="n">
        <f aca="false">IF(OR(C132="",NOT(ISNUMBER(I132))),"",C132*I132)</f>
        <v>10045.045045045</v>
      </c>
    </row>
    <row r="133" customFormat="false" ht="15" hidden="false" customHeight="true" outlineLevel="0" collapsed="false">
      <c r="A133" s="5" t="s">
        <v>450</v>
      </c>
      <c r="B133" s="5" t="s">
        <v>642</v>
      </c>
      <c r="C133" s="51" t="n">
        <v>1809</v>
      </c>
      <c r="D133" s="29" t="n">
        <f aca="false">IFERROR(VLOOKUP("Fry Shaker Cajun",'FOOD COST'!$A:$Y,7,0),"")</f>
        <v>0.491</v>
      </c>
      <c r="E133" s="30" t="n">
        <f aca="false">IFERROR(VLOOKUP("Fry Shaker Cajun",'FOOD COST'!$A:$Y,8,0),"")</f>
        <v>0.491</v>
      </c>
      <c r="F133" s="29" t="n">
        <f aca="false">IFERROR(VLOOKUP("Fry Shaker Cajun",'FOOD COST'!$A:$Y,10,0),"")</f>
        <v>4.5045045045045</v>
      </c>
      <c r="G133" s="29" t="n">
        <f aca="false">IFERROR(VLOOKUP("Fry Shaker Cajun",'FOOD COST'!$A:$Y,18,0),"")</f>
        <v>4.5045045045045</v>
      </c>
      <c r="H133" s="29" t="n">
        <f aca="false">IFERROR(VLOOKUP("Fry Shaker Cajun",'FOOD COST'!$A:$Y,21,0),"")</f>
        <v>4.5045045045045</v>
      </c>
      <c r="I133" s="29" t="n">
        <f aca="false">IFERROR(VLOOKUP("Fry Shaker Cajun",'FOOD COST'!$A:$Y,24,0),"")</f>
        <v>4.5045045045045</v>
      </c>
      <c r="J133" s="32" t="n">
        <f aca="false">IF(OR(C133="",NOT(ISNUMBER(D133))),"",C133*D133)</f>
        <v>888.219</v>
      </c>
      <c r="K133" s="52" t="n">
        <f aca="false">IF(OR(C133="",NOT(ISNUMBER(E133))),"",C133*E133)</f>
        <v>888.219</v>
      </c>
      <c r="L133" s="32" t="n">
        <f aca="false">IF(OR(C133="",NOT(ISNUMBER(F133))),"",C133*F133)</f>
        <v>8148.64864864865</v>
      </c>
      <c r="M133" s="32" t="n">
        <f aca="false">IF(OR(C133="",NOT(ISNUMBER(G133))),"",C133*G133)</f>
        <v>8148.64864864865</v>
      </c>
      <c r="N133" s="32" t="n">
        <f aca="false">IF(OR(C133="",NOT(ISNUMBER(H133))),"",C133*H133)</f>
        <v>8148.64864864865</v>
      </c>
      <c r="O133" s="32" t="n">
        <f aca="false">IF(OR(C133="",NOT(ISNUMBER(I133))),"",C133*I133)</f>
        <v>8148.64864864865</v>
      </c>
    </row>
    <row r="134" customFormat="false" ht="15" hidden="false" customHeight="true" outlineLevel="0" collapsed="false">
      <c r="A134" s="5" t="s">
        <v>451</v>
      </c>
      <c r="B134" s="5" t="s">
        <v>645</v>
      </c>
      <c r="C134" s="51" t="n">
        <v>1530</v>
      </c>
      <c r="D134" s="29" t="n">
        <f aca="false">IFERROR(VLOOKUP("Fry Shaker Cajun D",'FOOD COST'!$A:$Y,7,0),"")</f>
        <v>0.491</v>
      </c>
      <c r="E134" s="30" t="n">
        <f aca="false">IFERROR(VLOOKUP("Fry Shaker Cajun D",'FOOD COST'!$A:$Y,8,0),"")</f>
        <v>0.491</v>
      </c>
      <c r="F134" s="29" t="n">
        <f aca="false">IFERROR(VLOOKUP("Fry Shaker Cajun D",'FOOD COST'!$A:$Y,10,0),"")</f>
        <v>4.5045045045045</v>
      </c>
      <c r="G134" s="29" t="n">
        <f aca="false">IFERROR(VLOOKUP("Fry Shaker Cajun D",'FOOD COST'!$A:$Y,18,0),"")</f>
        <v>4.5045045045045</v>
      </c>
      <c r="H134" s="29" t="n">
        <f aca="false">IFERROR(VLOOKUP("Fry Shaker Cajun D",'FOOD COST'!$A:$Y,21,0),"")</f>
        <v>4.5045045045045</v>
      </c>
      <c r="I134" s="29" t="n">
        <f aca="false">IFERROR(VLOOKUP("Fry Shaker Cajun D",'FOOD COST'!$A:$Y,24,0),"")</f>
        <v>4.5045045045045</v>
      </c>
      <c r="J134" s="32" t="n">
        <f aca="false">IF(OR(C134="",NOT(ISNUMBER(D134))),"",C134*D134)</f>
        <v>751.23</v>
      </c>
      <c r="K134" s="52" t="n">
        <f aca="false">IF(OR(C134="",NOT(ISNUMBER(E134))),"",C134*E134)</f>
        <v>751.23</v>
      </c>
      <c r="L134" s="32" t="n">
        <f aca="false">IF(OR(C134="",NOT(ISNUMBER(F134))),"",C134*F134)</f>
        <v>6891.89189189189</v>
      </c>
      <c r="M134" s="32" t="n">
        <f aca="false">IF(OR(C134="",NOT(ISNUMBER(G134))),"",C134*G134)</f>
        <v>6891.89189189189</v>
      </c>
      <c r="N134" s="32" t="n">
        <f aca="false">IF(OR(C134="",NOT(ISNUMBER(H134))),"",C134*H134)</f>
        <v>6891.89189189189</v>
      </c>
      <c r="O134" s="32" t="n">
        <f aca="false">IF(OR(C134="",NOT(ISNUMBER(I134))),"",C134*I134)</f>
        <v>6891.89189189189</v>
      </c>
    </row>
    <row r="135" customFormat="false" ht="15" hidden="false" customHeight="true" outlineLevel="0" collapsed="false">
      <c r="A135" s="5" t="s">
        <v>753</v>
      </c>
      <c r="B135" s="5" t="s">
        <v>642</v>
      </c>
      <c r="C135" s="51" t="n">
        <v>8551</v>
      </c>
      <c r="D135" s="29" t="n">
        <f aca="false">IFERROR(VLOOKUP("Sos Truffle Mayo",'FOOD COST'!$A:$Y,7,0),"")</f>
        <v>2.272</v>
      </c>
      <c r="E135" s="30" t="n">
        <f aca="false">IFERROR(VLOOKUP("Sos Truffle Mayo",'FOOD COST'!$A:$Y,8,0),"")</f>
        <v>2.272</v>
      </c>
      <c r="F135" s="29" t="n">
        <f aca="false">IFERROR(VLOOKUP("Sos Truffle Mayo",'FOOD COST'!$A:$Y,10,0),"")</f>
        <v>5.40540540540541</v>
      </c>
      <c r="G135" s="29" t="n">
        <f aca="false">IFERROR(VLOOKUP("Sos Truffle Mayo",'FOOD COST'!$A:$Y,18,0),"")</f>
        <v>5.49549549549549</v>
      </c>
      <c r="H135" s="29" t="n">
        <f aca="false">IFERROR(VLOOKUP("Sos Truffle Mayo",'FOOD COST'!$A:$Y,21,0),"")</f>
        <v>5.67567567567568</v>
      </c>
      <c r="I135" s="29" t="n">
        <f aca="false">IFERROR(VLOOKUP("Sos Truffle Mayo",'FOOD COST'!$A:$Y,24,0),"")</f>
        <v>5.84684684684685</v>
      </c>
      <c r="J135" s="32" t="n">
        <f aca="false">IF(OR(C135="",NOT(ISNUMBER(D135))),"",C135*D135)</f>
        <v>19427.872</v>
      </c>
      <c r="K135" s="52" t="n">
        <f aca="false">IF(OR(C135="",NOT(ISNUMBER(E135))),"",C135*E135)</f>
        <v>19427.872</v>
      </c>
      <c r="L135" s="32" t="n">
        <f aca="false">IF(OR(C135="",NOT(ISNUMBER(F135))),"",C135*F135)</f>
        <v>46221.6216216216</v>
      </c>
      <c r="M135" s="32" t="n">
        <f aca="false">IF(OR(C135="",NOT(ISNUMBER(G135))),"",C135*G135)</f>
        <v>46991.981981982</v>
      </c>
      <c r="N135" s="32" t="n">
        <f aca="false">IF(OR(C135="",NOT(ISNUMBER(H135))),"",C135*H135)</f>
        <v>48532.7027027027</v>
      </c>
      <c r="O135" s="32" t="n">
        <f aca="false">IF(OR(C135="",NOT(ISNUMBER(I135))),"",C135*I135)</f>
        <v>49996.3873873874</v>
      </c>
    </row>
    <row r="136" customFormat="false" ht="15" hidden="false" customHeight="true" outlineLevel="0" collapsed="false">
      <c r="A136" s="5" t="s">
        <v>754</v>
      </c>
      <c r="B136" s="5" t="s">
        <v>645</v>
      </c>
      <c r="C136" s="51" t="n">
        <v>3968</v>
      </c>
      <c r="D136" s="29" t="n">
        <f aca="false">IFERROR(VLOOKUP("Sos Truffle Mayo D",'FOOD COST'!$A:$Y,7,0),"")</f>
        <v>2.272</v>
      </c>
      <c r="E136" s="30" t="n">
        <f aca="false">IFERROR(VLOOKUP("Sos Truffle Mayo D",'FOOD COST'!$A:$Y,8,0),"")</f>
        <v>2.272</v>
      </c>
      <c r="F136" s="29" t="n">
        <f aca="false">IFERROR(VLOOKUP("Sos Truffle Mayo D",'FOOD COST'!$A:$Y,10,0),"")</f>
        <v>5.40540540540541</v>
      </c>
      <c r="G136" s="29" t="n">
        <f aca="false">IFERROR(VLOOKUP("Sos Truffle Mayo D",'FOOD COST'!$A:$Y,18,0),"")</f>
        <v>5.49549549549549</v>
      </c>
      <c r="H136" s="29" t="n">
        <f aca="false">IFERROR(VLOOKUP("Sos Truffle Mayo D",'FOOD COST'!$A:$Y,21,0),"")</f>
        <v>5.67567567567568</v>
      </c>
      <c r="I136" s="29" t="n">
        <f aca="false">IFERROR(VLOOKUP("Sos Truffle Mayo D",'FOOD COST'!$A:$Y,24,0),"")</f>
        <v>5.84684684684685</v>
      </c>
      <c r="J136" s="32" t="n">
        <f aca="false">IF(OR(C136="",NOT(ISNUMBER(D136))),"",C136*D136)</f>
        <v>9015.296</v>
      </c>
      <c r="K136" s="52" t="n">
        <f aca="false">IF(OR(C136="",NOT(ISNUMBER(E136))),"",C136*E136)</f>
        <v>9015.296</v>
      </c>
      <c r="L136" s="32" t="n">
        <f aca="false">IF(OR(C136="",NOT(ISNUMBER(F136))),"",C136*F136)</f>
        <v>21448.6486486486</v>
      </c>
      <c r="M136" s="32" t="n">
        <f aca="false">IF(OR(C136="",NOT(ISNUMBER(G136))),"",C136*G136)</f>
        <v>21806.1261261261</v>
      </c>
      <c r="N136" s="32" t="n">
        <f aca="false">IF(OR(C136="",NOT(ISNUMBER(H136))),"",C136*H136)</f>
        <v>22521.0810810811</v>
      </c>
      <c r="O136" s="32" t="n">
        <f aca="false">IF(OR(C136="",NOT(ISNUMBER(I136))),"",C136*I136)</f>
        <v>23200.2882882883</v>
      </c>
    </row>
    <row r="137" customFormat="false" ht="15" hidden="false" customHeight="true" outlineLevel="0" collapsed="false">
      <c r="A137" s="5" t="s">
        <v>755</v>
      </c>
      <c r="B137" s="5" t="s">
        <v>642</v>
      </c>
      <c r="C137" s="51" t="n">
        <v>4554</v>
      </c>
      <c r="D137" s="29" t="n">
        <f aca="false">IFERROR(VLOOKUP("Sos Samurai",'FOOD COST'!$A:$Y,7,0),"")</f>
        <v>2.112</v>
      </c>
      <c r="E137" s="30" t="n">
        <f aca="false">IFERROR(VLOOKUP("Sos Samurai",'FOOD COST'!$A:$Y,8,0),"")</f>
        <v>2.112</v>
      </c>
      <c r="F137" s="29" t="n">
        <f aca="false">IFERROR(VLOOKUP("Sos Samurai",'FOOD COST'!$A:$Y,10,0),"")</f>
        <v>5.40540540540541</v>
      </c>
      <c r="G137" s="29" t="n">
        <f aca="false">IFERROR(VLOOKUP("Sos Samurai",'FOOD COST'!$A:$Y,18,0),"")</f>
        <v>5.49549549549549</v>
      </c>
      <c r="H137" s="29" t="n">
        <f aca="false">IFERROR(VLOOKUP("Sos Samurai",'FOOD COST'!$A:$Y,21,0),"")</f>
        <v>5.67567567567568</v>
      </c>
      <c r="I137" s="29" t="n">
        <f aca="false">IFERROR(VLOOKUP("Sos Samurai",'FOOD COST'!$A:$Y,24,0),"")</f>
        <v>5.84684684684685</v>
      </c>
      <c r="J137" s="32" t="n">
        <f aca="false">IF(OR(C137="",NOT(ISNUMBER(D137))),"",C137*D137)</f>
        <v>9618.048</v>
      </c>
      <c r="K137" s="52" t="n">
        <f aca="false">IF(OR(C137="",NOT(ISNUMBER(E137))),"",C137*E137)</f>
        <v>9618.048</v>
      </c>
      <c r="L137" s="32" t="n">
        <f aca="false">IF(OR(C137="",NOT(ISNUMBER(F137))),"",C137*F137)</f>
        <v>24616.2162162162</v>
      </c>
      <c r="M137" s="32" t="n">
        <f aca="false">IF(OR(C137="",NOT(ISNUMBER(G137))),"",C137*G137)</f>
        <v>25026.4864864865</v>
      </c>
      <c r="N137" s="32" t="n">
        <f aca="false">IF(OR(C137="",NOT(ISNUMBER(H137))),"",C137*H137)</f>
        <v>25847.027027027</v>
      </c>
      <c r="O137" s="32" t="n">
        <f aca="false">IF(OR(C137="",NOT(ISNUMBER(I137))),"",C137*I137)</f>
        <v>26626.5405405405</v>
      </c>
    </row>
    <row r="138" customFormat="false" ht="15" hidden="false" customHeight="true" outlineLevel="0" collapsed="false">
      <c r="A138" s="5" t="s">
        <v>756</v>
      </c>
      <c r="B138" s="5" t="s">
        <v>645</v>
      </c>
      <c r="C138" s="51" t="n">
        <v>1955</v>
      </c>
      <c r="D138" s="29" t="n">
        <f aca="false">IFERROR(VLOOKUP("Sos Samurai D",'FOOD COST'!$A:$Y,7,0),"")</f>
        <v>2.112</v>
      </c>
      <c r="E138" s="30" t="n">
        <f aca="false">IFERROR(VLOOKUP("Sos Samurai D",'FOOD COST'!$A:$Y,8,0),"")</f>
        <v>2.112</v>
      </c>
      <c r="F138" s="29" t="n">
        <f aca="false">IFERROR(VLOOKUP("Sos Samurai D",'FOOD COST'!$A:$Y,10,0),"")</f>
        <v>5.40540540540541</v>
      </c>
      <c r="G138" s="29" t="n">
        <f aca="false">IFERROR(VLOOKUP("Sos Samurai D",'FOOD COST'!$A:$Y,18,0),"")</f>
        <v>5.49549549549549</v>
      </c>
      <c r="H138" s="29" t="n">
        <f aca="false">IFERROR(VLOOKUP("Sos Samurai D",'FOOD COST'!$A:$Y,21,0),"")</f>
        <v>5.67567567567568</v>
      </c>
      <c r="I138" s="29" t="n">
        <f aca="false">IFERROR(VLOOKUP("Sos Samurai D",'FOOD COST'!$A:$Y,24,0),"")</f>
        <v>5.84684684684685</v>
      </c>
      <c r="J138" s="32" t="n">
        <f aca="false">IF(OR(C138="",NOT(ISNUMBER(D138))),"",C138*D138)</f>
        <v>4128.96</v>
      </c>
      <c r="K138" s="52" t="n">
        <f aca="false">IF(OR(C138="",NOT(ISNUMBER(E138))),"",C138*E138)</f>
        <v>4128.96</v>
      </c>
      <c r="L138" s="32" t="n">
        <f aca="false">IF(OR(C138="",NOT(ISNUMBER(F138))),"",C138*F138)</f>
        <v>10567.5675675676</v>
      </c>
      <c r="M138" s="32" t="n">
        <f aca="false">IF(OR(C138="",NOT(ISNUMBER(G138))),"",C138*G138)</f>
        <v>10743.6936936937</v>
      </c>
      <c r="N138" s="32" t="n">
        <f aca="false">IF(OR(C138="",NOT(ISNUMBER(H138))),"",C138*H138)</f>
        <v>11095.9459459459</v>
      </c>
      <c r="O138" s="32" t="n">
        <f aca="false">IF(OR(C138="",NOT(ISNUMBER(I138))),"",C138*I138)</f>
        <v>11430.5855855856</v>
      </c>
    </row>
    <row r="139" customFormat="false" ht="15" hidden="false" customHeight="true" outlineLevel="0" collapsed="false">
      <c r="A139" s="5" t="s">
        <v>757</v>
      </c>
      <c r="B139" s="5" t="s">
        <v>642</v>
      </c>
      <c r="C139" s="51" t="n">
        <v>19657</v>
      </c>
      <c r="D139" s="29" t="n">
        <f aca="false">IFERROR(VLOOKUP("Sos Usturoi",'FOOD COST'!$A:$Y,7,0),"")</f>
        <v>1.984</v>
      </c>
      <c r="E139" s="30" t="n">
        <f aca="false">IFERROR(VLOOKUP("Sos Usturoi",'FOOD COST'!$A:$Y,8,0),"")</f>
        <v>1.984</v>
      </c>
      <c r="F139" s="29" t="n">
        <f aca="false">IFERROR(VLOOKUP("Sos Usturoi",'FOOD COST'!$A:$Y,10,0),"")</f>
        <v>5.40540540540541</v>
      </c>
      <c r="G139" s="29" t="n">
        <f aca="false">IFERROR(VLOOKUP("Sos Usturoi",'FOOD COST'!$A:$Y,18,0),"")</f>
        <v>5.49549549549549</v>
      </c>
      <c r="H139" s="29" t="n">
        <f aca="false">IFERROR(VLOOKUP("Sos Usturoi",'FOOD COST'!$A:$Y,21,0),"")</f>
        <v>5.67567567567568</v>
      </c>
      <c r="I139" s="29" t="n">
        <f aca="false">IFERROR(VLOOKUP("Sos Usturoi",'FOOD COST'!$A:$Y,24,0),"")</f>
        <v>5.84684684684685</v>
      </c>
      <c r="J139" s="32" t="n">
        <f aca="false">IF(OR(C139="",NOT(ISNUMBER(D139))),"",C139*D139)</f>
        <v>38999.488</v>
      </c>
      <c r="K139" s="52" t="n">
        <f aca="false">IF(OR(C139="",NOT(ISNUMBER(E139))),"",C139*E139)</f>
        <v>38999.488</v>
      </c>
      <c r="L139" s="32" t="n">
        <f aca="false">IF(OR(C139="",NOT(ISNUMBER(F139))),"",C139*F139)</f>
        <v>106254.054054054</v>
      </c>
      <c r="M139" s="32" t="n">
        <f aca="false">IF(OR(C139="",NOT(ISNUMBER(G139))),"",C139*G139)</f>
        <v>108024.954954955</v>
      </c>
      <c r="N139" s="32" t="n">
        <f aca="false">IF(OR(C139="",NOT(ISNUMBER(H139))),"",C139*H139)</f>
        <v>111566.756756757</v>
      </c>
      <c r="O139" s="32" t="n">
        <f aca="false">IF(OR(C139="",NOT(ISNUMBER(I139))),"",C139*I139)</f>
        <v>114931.468468468</v>
      </c>
    </row>
    <row r="140" customFormat="false" ht="15" hidden="false" customHeight="true" outlineLevel="0" collapsed="false">
      <c r="A140" s="5" t="s">
        <v>758</v>
      </c>
      <c r="B140" s="5" t="s">
        <v>645</v>
      </c>
      <c r="C140" s="51" t="n">
        <v>6346</v>
      </c>
      <c r="D140" s="29" t="n">
        <f aca="false">IFERROR(VLOOKUP("Sos Usturoi D",'FOOD COST'!$A:$Y,7,0),"")</f>
        <v>1.984</v>
      </c>
      <c r="E140" s="30" t="n">
        <f aca="false">IFERROR(VLOOKUP("Sos Usturoi D",'FOOD COST'!$A:$Y,8,0),"")</f>
        <v>1.984</v>
      </c>
      <c r="F140" s="29" t="n">
        <f aca="false">IFERROR(VLOOKUP("Sos Usturoi D",'FOOD COST'!$A:$Y,10,0),"")</f>
        <v>5.40540540540541</v>
      </c>
      <c r="G140" s="29" t="n">
        <f aca="false">IFERROR(VLOOKUP("Sos Usturoi D",'FOOD COST'!$A:$Y,18,0),"")</f>
        <v>5.49549549549549</v>
      </c>
      <c r="H140" s="29" t="n">
        <f aca="false">IFERROR(VLOOKUP("Sos Usturoi D",'FOOD COST'!$A:$Y,21,0),"")</f>
        <v>5.67567567567568</v>
      </c>
      <c r="I140" s="29" t="n">
        <f aca="false">IFERROR(VLOOKUP("Sos Usturoi D",'FOOD COST'!$A:$Y,24,0),"")</f>
        <v>5.84684684684685</v>
      </c>
      <c r="J140" s="32" t="n">
        <f aca="false">IF(OR(C140="",NOT(ISNUMBER(D140))),"",C140*D140)</f>
        <v>12590.464</v>
      </c>
      <c r="K140" s="52" t="n">
        <f aca="false">IF(OR(C140="",NOT(ISNUMBER(E140))),"",C140*E140)</f>
        <v>12590.464</v>
      </c>
      <c r="L140" s="32" t="n">
        <f aca="false">IF(OR(C140="",NOT(ISNUMBER(F140))),"",C140*F140)</f>
        <v>34302.7027027027</v>
      </c>
      <c r="M140" s="32" t="n">
        <f aca="false">IF(OR(C140="",NOT(ISNUMBER(G140))),"",C140*G140)</f>
        <v>34874.4144144144</v>
      </c>
      <c r="N140" s="32" t="n">
        <f aca="false">IF(OR(C140="",NOT(ISNUMBER(H140))),"",C140*H140)</f>
        <v>36017.8378378378</v>
      </c>
      <c r="O140" s="32" t="n">
        <f aca="false">IF(OR(C140="",NOT(ISNUMBER(I140))),"",C140*I140)</f>
        <v>37104.0900900901</v>
      </c>
    </row>
    <row r="141" customFormat="false" ht="15" hidden="false" customHeight="true" outlineLevel="0" collapsed="false">
      <c r="A141" s="5" t="s">
        <v>759</v>
      </c>
      <c r="B141" s="5" t="s">
        <v>642</v>
      </c>
      <c r="C141" s="51" t="n">
        <v>17985</v>
      </c>
      <c r="D141" s="29" t="n">
        <f aca="false">IFERROR(VLOOKUP("Side Cheddar 40 ml",'FOOD COST'!$A:$Y,7,0),"")</f>
        <v>2.0238</v>
      </c>
      <c r="E141" s="30" t="n">
        <f aca="false">IFERROR(VLOOKUP("Side Cheddar 40 ml",'FOOD COST'!$A:$Y,8,0),"")</f>
        <v>2.0238</v>
      </c>
      <c r="F141" s="29" t="n">
        <f aca="false">IFERROR(VLOOKUP("Side Cheddar 40 ml",'FOOD COST'!$A:$Y,10,0),"")</f>
        <v>5.40540540540541</v>
      </c>
      <c r="G141" s="29" t="n">
        <f aca="false">IFERROR(VLOOKUP("Side Cheddar 40 ml",'FOOD COST'!$A:$Y,18,0),"")</f>
        <v>5.49549549549549</v>
      </c>
      <c r="H141" s="29" t="n">
        <f aca="false">IFERROR(VLOOKUP("Side Cheddar 40 ml",'FOOD COST'!$A:$Y,21,0),"")</f>
        <v>5.67567567567568</v>
      </c>
      <c r="I141" s="29" t="n">
        <f aca="false">IFERROR(VLOOKUP("Side Cheddar 40 ml",'FOOD COST'!$A:$Y,24,0),"")</f>
        <v>5.84684684684685</v>
      </c>
      <c r="J141" s="32" t="n">
        <f aca="false">IF(OR(C141="",NOT(ISNUMBER(D141))),"",C141*D141)</f>
        <v>36398.043</v>
      </c>
      <c r="K141" s="52" t="n">
        <f aca="false">IF(OR(C141="",NOT(ISNUMBER(E141))),"",C141*E141)</f>
        <v>36398.043</v>
      </c>
      <c r="L141" s="32" t="n">
        <f aca="false">IF(OR(C141="",NOT(ISNUMBER(F141))),"",C141*F141)</f>
        <v>97216.2162162162</v>
      </c>
      <c r="M141" s="32" t="n">
        <f aca="false">IF(OR(C141="",NOT(ISNUMBER(G141))),"",C141*G141)</f>
        <v>98836.4864864865</v>
      </c>
      <c r="N141" s="32" t="n">
        <f aca="false">IF(OR(C141="",NOT(ISNUMBER(H141))),"",C141*H141)</f>
        <v>102077.027027027</v>
      </c>
      <c r="O141" s="32" t="n">
        <f aca="false">IF(OR(C141="",NOT(ISNUMBER(I141))),"",C141*I141)</f>
        <v>105155.540540541</v>
      </c>
    </row>
    <row r="142" customFormat="false" ht="15" hidden="false" customHeight="true" outlineLevel="0" collapsed="false">
      <c r="A142" s="5" t="s">
        <v>760</v>
      </c>
      <c r="B142" s="5" t="s">
        <v>645</v>
      </c>
      <c r="C142" s="51" t="n">
        <v>9598</v>
      </c>
      <c r="D142" s="29" t="n">
        <f aca="false">IFERROR(VLOOKUP("Side Cheddar 40 ml D",'FOOD COST'!$A:$Y,7,0),"")</f>
        <v>2.0238</v>
      </c>
      <c r="E142" s="30" t="n">
        <f aca="false">IFERROR(VLOOKUP("Side Cheddar 40 ml D",'FOOD COST'!$A:$Y,8,0),"")</f>
        <v>2.0238</v>
      </c>
      <c r="F142" s="29" t="n">
        <f aca="false">IFERROR(VLOOKUP("Side Cheddar 40 ml D",'FOOD COST'!$A:$Y,10,0),"")</f>
        <v>5.85585585585586</v>
      </c>
      <c r="G142" s="29" t="n">
        <f aca="false">IFERROR(VLOOKUP("Side Cheddar 40 ml D",'FOOD COST'!$A:$Y,18,0),"")</f>
        <v>5.94594594594595</v>
      </c>
      <c r="H142" s="29" t="n">
        <f aca="false">IFERROR(VLOOKUP("Side Cheddar 40 ml D",'FOOD COST'!$A:$Y,21,0),"")</f>
        <v>6.12612612612613</v>
      </c>
      <c r="I142" s="29" t="n">
        <f aca="false">IFERROR(VLOOKUP("Side Cheddar 40 ml D",'FOOD COST'!$A:$Y,24,0),"")</f>
        <v>6.2972972972973</v>
      </c>
      <c r="J142" s="32" t="n">
        <f aca="false">IF(OR(C142="",NOT(ISNUMBER(D142))),"",C142*D142)</f>
        <v>19424.4324</v>
      </c>
      <c r="K142" s="52" t="n">
        <f aca="false">IF(OR(C142="",NOT(ISNUMBER(E142))),"",C142*E142)</f>
        <v>19424.4324</v>
      </c>
      <c r="L142" s="32" t="n">
        <f aca="false">IF(OR(C142="",NOT(ISNUMBER(F142))),"",C142*F142)</f>
        <v>56204.5045045045</v>
      </c>
      <c r="M142" s="32" t="n">
        <f aca="false">IF(OR(C142="",NOT(ISNUMBER(G142))),"",C142*G142)</f>
        <v>57069.1891891892</v>
      </c>
      <c r="N142" s="32" t="n">
        <f aca="false">IF(OR(C142="",NOT(ISNUMBER(H142))),"",C142*H142)</f>
        <v>58798.5585585586</v>
      </c>
      <c r="O142" s="32" t="n">
        <f aca="false">IF(OR(C142="",NOT(ISNUMBER(I142))),"",C142*I142)</f>
        <v>60441.4594594595</v>
      </c>
    </row>
    <row r="143" customFormat="false" ht="15" hidden="false" customHeight="true" outlineLevel="0" collapsed="false">
      <c r="A143" s="5" t="s">
        <v>761</v>
      </c>
      <c r="B143" s="5" t="s">
        <v>642</v>
      </c>
      <c r="C143" s="51" t="n">
        <v>14451</v>
      </c>
      <c r="D143" s="29" t="n">
        <f aca="false">IFERROR(VLOOKUP("SIDE FRYRANCH 40G",'FOOD COST'!$A:$Y,7,0),"")</f>
        <v>1.2662</v>
      </c>
      <c r="E143" s="30" t="n">
        <f aca="false">IFERROR(VLOOKUP("SIDE FRYRANCH 40G",'FOOD COST'!$A:$Y,8,0),"")</f>
        <v>1.2662</v>
      </c>
      <c r="F143" s="29" t="n">
        <f aca="false">IFERROR(VLOOKUP("SIDE FRYRANCH 40G",'FOOD COST'!$A:$Y,10,0),"")</f>
        <v>5.40540540540541</v>
      </c>
      <c r="G143" s="29" t="n">
        <f aca="false">IFERROR(VLOOKUP("SIDE FRYRANCH 40G",'FOOD COST'!$A:$Y,18,0),"")</f>
        <v>5.49549549549549</v>
      </c>
      <c r="H143" s="29" t="n">
        <f aca="false">IFERROR(VLOOKUP("SIDE FRYRANCH 40G",'FOOD COST'!$A:$Y,21,0),"")</f>
        <v>5.67567567567568</v>
      </c>
      <c r="I143" s="29" t="n">
        <f aca="false">IFERROR(VLOOKUP("SIDE FRYRANCH 40G",'FOOD COST'!$A:$Y,24,0),"")</f>
        <v>5.84684684684685</v>
      </c>
      <c r="J143" s="32" t="n">
        <f aca="false">IF(OR(C143="",NOT(ISNUMBER(D143))),"",C143*D143)</f>
        <v>18297.8562</v>
      </c>
      <c r="K143" s="52" t="n">
        <f aca="false">IF(OR(C143="",NOT(ISNUMBER(E143))),"",C143*E143)</f>
        <v>18297.8562</v>
      </c>
      <c r="L143" s="32" t="n">
        <f aca="false">IF(OR(C143="",NOT(ISNUMBER(F143))),"",C143*F143)</f>
        <v>78113.5135135135</v>
      </c>
      <c r="M143" s="32" t="n">
        <f aca="false">IF(OR(C143="",NOT(ISNUMBER(G143))),"",C143*G143)</f>
        <v>79415.4054054054</v>
      </c>
      <c r="N143" s="32" t="n">
        <f aca="false">IF(OR(C143="",NOT(ISNUMBER(H143))),"",C143*H143)</f>
        <v>82019.1891891892</v>
      </c>
      <c r="O143" s="32" t="n">
        <f aca="false">IF(OR(C143="",NOT(ISNUMBER(I143))),"",C143*I143)</f>
        <v>84492.7837837838</v>
      </c>
    </row>
    <row r="144" customFormat="false" ht="15" hidden="false" customHeight="true" outlineLevel="0" collapsed="false">
      <c r="A144" s="5" t="s">
        <v>762</v>
      </c>
      <c r="B144" s="5" t="s">
        <v>645</v>
      </c>
      <c r="C144" s="51" t="n">
        <v>8371</v>
      </c>
      <c r="D144" s="29" t="n">
        <f aca="false">IFERROR(VLOOKUP("SIDE FRYRANCH 40G D",'FOOD COST'!$A:$Y,7,0),"")</f>
        <v>1.2662</v>
      </c>
      <c r="E144" s="30" t="n">
        <f aca="false">IFERROR(VLOOKUP("SIDE FRYRANCH 40G D",'FOOD COST'!$A:$Y,8,0),"")</f>
        <v>1.2662</v>
      </c>
      <c r="F144" s="29" t="n">
        <f aca="false">IFERROR(VLOOKUP("SIDE FRYRANCH 40G D",'FOOD COST'!$A:$Y,10,0),"")</f>
        <v>5.40540540540541</v>
      </c>
      <c r="G144" s="29" t="n">
        <f aca="false">IFERROR(VLOOKUP("SIDE FRYRANCH 40G D",'FOOD COST'!$A:$Y,18,0),"")</f>
        <v>5.49549549549549</v>
      </c>
      <c r="H144" s="29" t="n">
        <f aca="false">IFERROR(VLOOKUP("SIDE FRYRANCH 40G D",'FOOD COST'!$A:$Y,21,0),"")</f>
        <v>5.67567567567568</v>
      </c>
      <c r="I144" s="29" t="n">
        <f aca="false">IFERROR(VLOOKUP("SIDE FRYRANCH 40G D",'FOOD COST'!$A:$Y,24,0),"")</f>
        <v>5.84684684684685</v>
      </c>
      <c r="J144" s="32" t="n">
        <f aca="false">IF(OR(C144="",NOT(ISNUMBER(D144))),"",C144*D144)</f>
        <v>10599.3602</v>
      </c>
      <c r="K144" s="52" t="n">
        <f aca="false">IF(OR(C144="",NOT(ISNUMBER(E144))),"",C144*E144)</f>
        <v>10599.3602</v>
      </c>
      <c r="L144" s="32" t="n">
        <f aca="false">IF(OR(C144="",NOT(ISNUMBER(F144))),"",C144*F144)</f>
        <v>45248.6486486487</v>
      </c>
      <c r="M144" s="32" t="n">
        <f aca="false">IF(OR(C144="",NOT(ISNUMBER(G144))),"",C144*G144)</f>
        <v>46002.7927927928</v>
      </c>
      <c r="N144" s="32" t="n">
        <f aca="false">IF(OR(C144="",NOT(ISNUMBER(H144))),"",C144*H144)</f>
        <v>47511.0810810811</v>
      </c>
      <c r="O144" s="32" t="n">
        <f aca="false">IF(OR(C144="",NOT(ISNUMBER(I144))),"",C144*I144)</f>
        <v>48943.954954955</v>
      </c>
    </row>
    <row r="145" customFormat="false" ht="15" hidden="false" customHeight="true" outlineLevel="0" collapsed="false">
      <c r="A145" s="5" t="s">
        <v>763</v>
      </c>
      <c r="B145" s="5" t="s">
        <v>642</v>
      </c>
      <c r="C145" s="51" t="n">
        <v>10175</v>
      </c>
      <c r="D145" s="29" t="n">
        <f aca="false">IFERROR(VLOOKUP("Sos Ketchup 10ml",'FOOD COST'!$A:$Y,7,0),"")</f>
        <v>0.452</v>
      </c>
      <c r="E145" s="30" t="n">
        <f aca="false">IFERROR(VLOOKUP("Sos Ketchup 10ml",'FOOD COST'!$A:$Y,8,0),"")</f>
        <v>0.452</v>
      </c>
      <c r="F145" s="29" t="n">
        <f aca="false">IFERROR(VLOOKUP("Sos Ketchup 10ml",'FOOD COST'!$A:$Y,10,0),"")</f>
        <v>2.7027027027027</v>
      </c>
      <c r="G145" s="29" t="n">
        <f aca="false">IFERROR(VLOOKUP("Sos Ketchup 10ml",'FOOD COST'!$A:$Y,18,0),"")</f>
        <v>2.79279279279279</v>
      </c>
      <c r="H145" s="29" t="n">
        <f aca="false">IFERROR(VLOOKUP("Sos Ketchup 10ml",'FOOD COST'!$A:$Y,21,0),"")</f>
        <v>2.97297297297297</v>
      </c>
      <c r="I145" s="29" t="n">
        <f aca="false">IFERROR(VLOOKUP("Sos Ketchup 10ml",'FOOD COST'!$A:$Y,24,0),"")</f>
        <v>3.14414414414414</v>
      </c>
      <c r="J145" s="32" t="n">
        <f aca="false">IF(OR(C145="",NOT(ISNUMBER(D145))),"",C145*D145)</f>
        <v>4599.1</v>
      </c>
      <c r="K145" s="52" t="n">
        <f aca="false">IF(OR(C145="",NOT(ISNUMBER(E145))),"",C145*E145)</f>
        <v>4599.1</v>
      </c>
      <c r="L145" s="32" t="n">
        <f aca="false">IF(OR(C145="",NOT(ISNUMBER(F145))),"",C145*F145)</f>
        <v>27500</v>
      </c>
      <c r="M145" s="32" t="n">
        <f aca="false">IF(OR(C145="",NOT(ISNUMBER(G145))),"",C145*G145)</f>
        <v>28416.6666666667</v>
      </c>
      <c r="N145" s="32" t="n">
        <f aca="false">IF(OR(C145="",NOT(ISNUMBER(H145))),"",C145*H145)</f>
        <v>30250</v>
      </c>
      <c r="O145" s="32" t="n">
        <f aca="false">IF(OR(C145="",NOT(ISNUMBER(I145))),"",C145*I145)</f>
        <v>31991.6666666667</v>
      </c>
    </row>
    <row r="146" customFormat="false" ht="15" hidden="false" customHeight="true" outlineLevel="0" collapsed="false">
      <c r="A146" s="5" t="s">
        <v>764</v>
      </c>
      <c r="B146" s="5" t="s">
        <v>645</v>
      </c>
      <c r="C146" s="51" t="n">
        <v>1325</v>
      </c>
      <c r="D146" s="29" t="n">
        <f aca="false">IFERROR(VLOOKUP("Sos Ketchup 10ml D",'FOOD COST'!$A:$Y,7,0),"")</f>
        <v>0.452</v>
      </c>
      <c r="E146" s="30" t="n">
        <f aca="false">IFERROR(VLOOKUP("Sos Ketchup 10ml D",'FOOD COST'!$A:$Y,8,0),"")</f>
        <v>0.452</v>
      </c>
      <c r="F146" s="29" t="n">
        <f aca="false">IFERROR(VLOOKUP("Sos Ketchup 10ml D",'FOOD COST'!$A:$Y,10,0),"")</f>
        <v>3.15315315315315</v>
      </c>
      <c r="G146" s="29" t="n">
        <f aca="false">IFERROR(VLOOKUP("Sos Ketchup 10ml D",'FOOD COST'!$A:$Y,18,0),"")</f>
        <v>3.24324324324324</v>
      </c>
      <c r="H146" s="29" t="n">
        <f aca="false">IFERROR(VLOOKUP("Sos Ketchup 10ml D",'FOOD COST'!$A:$Y,21,0),"")</f>
        <v>3.42342342342342</v>
      </c>
      <c r="I146" s="29" t="n">
        <f aca="false">IFERROR(VLOOKUP("Sos Ketchup 10ml D",'FOOD COST'!$A:$Y,24,0),"")</f>
        <v>3.59459459459459</v>
      </c>
      <c r="J146" s="32" t="n">
        <f aca="false">IF(OR(C146="",NOT(ISNUMBER(D146))),"",C146*D146)</f>
        <v>598.9</v>
      </c>
      <c r="K146" s="52" t="n">
        <f aca="false">IF(OR(C146="",NOT(ISNUMBER(E146))),"",C146*E146)</f>
        <v>598.9</v>
      </c>
      <c r="L146" s="32" t="n">
        <f aca="false">IF(OR(C146="",NOT(ISNUMBER(F146))),"",C146*F146)</f>
        <v>4177.92792792793</v>
      </c>
      <c r="M146" s="32" t="n">
        <f aca="false">IF(OR(C146="",NOT(ISNUMBER(G146))),"",C146*G146)</f>
        <v>4297.2972972973</v>
      </c>
      <c r="N146" s="32" t="n">
        <f aca="false">IF(OR(C146="",NOT(ISNUMBER(H146))),"",C146*H146)</f>
        <v>4536.03603603604</v>
      </c>
      <c r="O146" s="32" t="n">
        <f aca="false">IF(OR(C146="",NOT(ISNUMBER(I146))),"",C146*I146)</f>
        <v>4762.83783783784</v>
      </c>
    </row>
    <row r="147" customFormat="false" ht="15" hidden="false" customHeight="true" outlineLevel="0" collapsed="false">
      <c r="A147" s="5" t="s">
        <v>765</v>
      </c>
      <c r="B147" s="5" t="s">
        <v>642</v>
      </c>
      <c r="C147" s="51" t="n">
        <v>11385</v>
      </c>
      <c r="D147" s="29" t="n">
        <f aca="false">IFERROR(VLOOKUP("Sos Mayoneza 10ml",'FOOD COST'!$A:$Y,7,0),"")</f>
        <v>0.45</v>
      </c>
      <c r="E147" s="30" t="n">
        <f aca="false">IFERROR(VLOOKUP("Sos Mayoneza 10ml",'FOOD COST'!$A:$Y,8,0),"")</f>
        <v>0.45</v>
      </c>
      <c r="F147" s="29" t="n">
        <f aca="false">IFERROR(VLOOKUP("Sos Mayoneza 10ml",'FOOD COST'!$A:$Y,10,0),"")</f>
        <v>2.7027027027027</v>
      </c>
      <c r="G147" s="29" t="n">
        <f aca="false">IFERROR(VLOOKUP("Sos Mayoneza 10ml",'FOOD COST'!$A:$Y,18,0),"")</f>
        <v>2.79279279279279</v>
      </c>
      <c r="H147" s="29" t="n">
        <f aca="false">IFERROR(VLOOKUP("Sos Mayoneza 10ml",'FOOD COST'!$A:$Y,21,0),"")</f>
        <v>2.97297297297297</v>
      </c>
      <c r="I147" s="29" t="n">
        <f aca="false">IFERROR(VLOOKUP("Sos Mayoneza 10ml",'FOOD COST'!$A:$Y,24,0),"")</f>
        <v>3.14414414414414</v>
      </c>
      <c r="J147" s="32" t="n">
        <f aca="false">IF(OR(C147="",NOT(ISNUMBER(D147))),"",C147*D147)</f>
        <v>5123.25</v>
      </c>
      <c r="K147" s="52" t="n">
        <f aca="false">IF(OR(C147="",NOT(ISNUMBER(E147))),"",C147*E147)</f>
        <v>5123.25</v>
      </c>
      <c r="L147" s="32" t="n">
        <f aca="false">IF(OR(C147="",NOT(ISNUMBER(F147))),"",C147*F147)</f>
        <v>30770.2702702703</v>
      </c>
      <c r="M147" s="32" t="n">
        <f aca="false">IF(OR(C147="",NOT(ISNUMBER(G147))),"",C147*G147)</f>
        <v>31795.9459459459</v>
      </c>
      <c r="N147" s="32" t="n">
        <f aca="false">IF(OR(C147="",NOT(ISNUMBER(H147))),"",C147*H147)</f>
        <v>33847.2972972973</v>
      </c>
      <c r="O147" s="32" t="n">
        <f aca="false">IF(OR(C147="",NOT(ISNUMBER(I147))),"",C147*I147)</f>
        <v>35796.0810810811</v>
      </c>
    </row>
    <row r="148" customFormat="false" ht="15" hidden="false" customHeight="true" outlineLevel="0" collapsed="false">
      <c r="A148" s="5" t="s">
        <v>766</v>
      </c>
      <c r="B148" s="5" t="s">
        <v>645</v>
      </c>
      <c r="C148" s="51" t="n">
        <v>2185</v>
      </c>
      <c r="D148" s="29" t="n">
        <f aca="false">IFERROR(VLOOKUP("Sos Mayoneza 10ml D",'FOOD COST'!$A:$Y,7,0),"")</f>
        <v>0.45</v>
      </c>
      <c r="E148" s="30" t="n">
        <f aca="false">IFERROR(VLOOKUP("Sos Mayoneza 10ml D",'FOOD COST'!$A:$Y,8,0),"")</f>
        <v>0.45</v>
      </c>
      <c r="F148" s="29" t="n">
        <f aca="false">IFERROR(VLOOKUP("Sos Mayoneza 10ml D",'FOOD COST'!$A:$Y,10,0),"")</f>
        <v>3.15315315315315</v>
      </c>
      <c r="G148" s="29" t="n">
        <f aca="false">IFERROR(VLOOKUP("Sos Mayoneza 10ml D",'FOOD COST'!$A:$Y,18,0),"")</f>
        <v>3.24324324324324</v>
      </c>
      <c r="H148" s="29" t="n">
        <f aca="false">IFERROR(VLOOKUP("Sos Mayoneza 10ml D",'FOOD COST'!$A:$Y,21,0),"")</f>
        <v>3.42342342342342</v>
      </c>
      <c r="I148" s="29" t="n">
        <f aca="false">IFERROR(VLOOKUP("Sos Mayoneza 10ml D",'FOOD COST'!$A:$Y,24,0),"")</f>
        <v>3.59459459459459</v>
      </c>
      <c r="J148" s="32" t="n">
        <f aca="false">IF(OR(C148="",NOT(ISNUMBER(D148))),"",C148*D148)</f>
        <v>983.25</v>
      </c>
      <c r="K148" s="52" t="n">
        <f aca="false">IF(OR(C148="",NOT(ISNUMBER(E148))),"",C148*E148)</f>
        <v>983.25</v>
      </c>
      <c r="L148" s="32" t="n">
        <f aca="false">IF(OR(C148="",NOT(ISNUMBER(F148))),"",C148*F148)</f>
        <v>6889.63963963964</v>
      </c>
      <c r="M148" s="32" t="n">
        <f aca="false">IF(OR(C148="",NOT(ISNUMBER(G148))),"",C148*G148)</f>
        <v>7086.48648648649</v>
      </c>
      <c r="N148" s="32" t="n">
        <f aca="false">IF(OR(C148="",NOT(ISNUMBER(H148))),"",C148*H148)</f>
        <v>7480.18018018018</v>
      </c>
      <c r="O148" s="32" t="n">
        <f aca="false">IF(OR(C148="",NOT(ISNUMBER(I148))),"",C148*I148)</f>
        <v>7854.18918918919</v>
      </c>
    </row>
    <row r="149" customFormat="false" ht="15" hidden="false" customHeight="true" outlineLevel="0" collapsed="false">
      <c r="A149" s="5" t="s">
        <v>767</v>
      </c>
      <c r="B149" s="5" t="s">
        <v>642</v>
      </c>
      <c r="C149" s="51" t="n">
        <v>1572</v>
      </c>
      <c r="D149" s="29" t="n">
        <f aca="false">IFERROR(VLOOKUP("Sos Barbeque 25G",'FOOD COST'!$A:$Y,7,0),"")</f>
        <v>1.082</v>
      </c>
      <c r="E149" s="30" t="n">
        <f aca="false">IFERROR(VLOOKUP("Sos Barbeque 25G",'FOOD COST'!$A:$Y,8,0),"")</f>
        <v>1.082</v>
      </c>
      <c r="F149" s="29" t="n">
        <f aca="false">IFERROR(VLOOKUP("Sos Barbeque 25G",'FOOD COST'!$A:$Y,10,0),"")</f>
        <v>4.5045045045045</v>
      </c>
      <c r="G149" s="29" t="n">
        <f aca="false">IFERROR(VLOOKUP("Sos Barbeque 25G",'FOOD COST'!$A:$Y,18,0),"")</f>
        <v>4.59459459459459</v>
      </c>
      <c r="H149" s="29" t="n">
        <f aca="false">IFERROR(VLOOKUP("Sos Barbeque 25G",'FOOD COST'!$A:$Y,21,0),"")</f>
        <v>4.77477477477477</v>
      </c>
      <c r="I149" s="29" t="n">
        <f aca="false">IFERROR(VLOOKUP("Sos Barbeque 25G",'FOOD COST'!$A:$Y,24,0),"")</f>
        <v>4.94594594594595</v>
      </c>
      <c r="J149" s="32" t="n">
        <f aca="false">IF(OR(C149="",NOT(ISNUMBER(D149))),"",C149*D149)</f>
        <v>1700.904</v>
      </c>
      <c r="K149" s="52" t="n">
        <f aca="false">IF(OR(C149="",NOT(ISNUMBER(E149))),"",C149*E149)</f>
        <v>1700.904</v>
      </c>
      <c r="L149" s="32" t="n">
        <f aca="false">IF(OR(C149="",NOT(ISNUMBER(F149))),"",C149*F149)</f>
        <v>7081.08108108108</v>
      </c>
      <c r="M149" s="32" t="n">
        <f aca="false">IF(OR(C149="",NOT(ISNUMBER(G149))),"",C149*G149)</f>
        <v>7222.7027027027</v>
      </c>
      <c r="N149" s="32" t="n">
        <f aca="false">IF(OR(C149="",NOT(ISNUMBER(H149))),"",C149*H149)</f>
        <v>7505.94594594595</v>
      </c>
      <c r="O149" s="32" t="n">
        <f aca="false">IF(OR(C149="",NOT(ISNUMBER(I149))),"",C149*I149)</f>
        <v>7775.02702702703</v>
      </c>
    </row>
    <row r="150" customFormat="false" ht="15" hidden="false" customHeight="true" outlineLevel="0" collapsed="false">
      <c r="A150" s="5" t="s">
        <v>768</v>
      </c>
      <c r="B150" s="5" t="s">
        <v>645</v>
      </c>
      <c r="C150" s="51" t="n">
        <v>660</v>
      </c>
      <c r="D150" s="29" t="n">
        <f aca="false">IFERROR(VLOOKUP("Sos Barbeque 25G D",'FOOD COST'!$A:$Y,7,0),"")</f>
        <v>1.082</v>
      </c>
      <c r="E150" s="30" t="n">
        <f aca="false">IFERROR(VLOOKUP("Sos Barbeque 25G D",'FOOD COST'!$A:$Y,8,0),"")</f>
        <v>1.082</v>
      </c>
      <c r="F150" s="29" t="n">
        <f aca="false">IFERROR(VLOOKUP("Sos Barbeque 25G D",'FOOD COST'!$A:$Y,10,0),"")</f>
        <v>4.68468468468469</v>
      </c>
      <c r="G150" s="29" t="n">
        <f aca="false">IFERROR(VLOOKUP("Sos Barbeque 25G D",'FOOD COST'!$A:$Y,18,0),"")</f>
        <v>4.77477477477477</v>
      </c>
      <c r="H150" s="29" t="n">
        <f aca="false">IFERROR(VLOOKUP("Sos Barbeque 25G D",'FOOD COST'!$A:$Y,21,0),"")</f>
        <v>4.95495495495495</v>
      </c>
      <c r="I150" s="29" t="n">
        <f aca="false">IFERROR(VLOOKUP("Sos Barbeque 25G D",'FOOD COST'!$A:$Y,24,0),"")</f>
        <v>5.12612612612613</v>
      </c>
      <c r="J150" s="32" t="n">
        <f aca="false">IF(OR(C150="",NOT(ISNUMBER(D150))),"",C150*D150)</f>
        <v>714.12</v>
      </c>
      <c r="K150" s="52" t="n">
        <f aca="false">IF(OR(C150="",NOT(ISNUMBER(E150))),"",C150*E150)</f>
        <v>714.12</v>
      </c>
      <c r="L150" s="32" t="n">
        <f aca="false">IF(OR(C150="",NOT(ISNUMBER(F150))),"",C150*F150)</f>
        <v>3091.89189189189</v>
      </c>
      <c r="M150" s="32" t="n">
        <f aca="false">IF(OR(C150="",NOT(ISNUMBER(G150))),"",C150*G150)</f>
        <v>3151.35135135135</v>
      </c>
      <c r="N150" s="32" t="n">
        <f aca="false">IF(OR(C150="",NOT(ISNUMBER(H150))),"",C150*H150)</f>
        <v>3270.27027027027</v>
      </c>
      <c r="O150" s="32" t="n">
        <f aca="false">IF(OR(C150="",NOT(ISNUMBER(I150))),"",C150*I150)</f>
        <v>3383.24324324324</v>
      </c>
    </row>
    <row r="151" customFormat="false" ht="15" hidden="false" customHeight="true" outlineLevel="0" collapsed="false">
      <c r="A151" s="5" t="s">
        <v>769</v>
      </c>
      <c r="B151" s="5" t="s">
        <v>642</v>
      </c>
      <c r="C151" s="51" t="n">
        <v>646</v>
      </c>
      <c r="D151" s="29" t="n">
        <f aca="false">IFERROR(VLOOKUP("Sos HONEY MUSTARD 25G",'FOOD COST'!$A:$Y,7,0),"")</f>
        <v>1.43</v>
      </c>
      <c r="E151" s="30" t="n">
        <f aca="false">IFERROR(VLOOKUP("Sos HONEY MUSTARD 25G",'FOOD COST'!$A:$Y,8,0),"")</f>
        <v>1.43</v>
      </c>
      <c r="F151" s="29" t="n">
        <f aca="false">IFERROR(VLOOKUP("Sos HONEY MUSTARD 25G",'FOOD COST'!$A:$Y,10,0),"")</f>
        <v>4.5045045045045</v>
      </c>
      <c r="G151" s="29" t="n">
        <f aca="false">IFERROR(VLOOKUP("Sos HONEY MUSTARD 25G",'FOOD COST'!$A:$Y,18,0),"")</f>
        <v>4.59459459459459</v>
      </c>
      <c r="H151" s="29" t="n">
        <f aca="false">IFERROR(VLOOKUP("Sos HONEY MUSTARD 25G",'FOOD COST'!$A:$Y,21,0),"")</f>
        <v>4.77477477477477</v>
      </c>
      <c r="I151" s="29" t="n">
        <f aca="false">IFERROR(VLOOKUP("Sos HONEY MUSTARD 25G",'FOOD COST'!$A:$Y,24,0),"")</f>
        <v>4.94594594594595</v>
      </c>
      <c r="J151" s="32" t="n">
        <f aca="false">IF(OR(C151="",NOT(ISNUMBER(D151))),"",C151*D151)</f>
        <v>923.78</v>
      </c>
      <c r="K151" s="52" t="n">
        <f aca="false">IF(OR(C151="",NOT(ISNUMBER(E151))),"",C151*E151)</f>
        <v>923.78</v>
      </c>
      <c r="L151" s="32" t="n">
        <f aca="false">IF(OR(C151="",NOT(ISNUMBER(F151))),"",C151*F151)</f>
        <v>2909.90990990991</v>
      </c>
      <c r="M151" s="32" t="n">
        <f aca="false">IF(OR(C151="",NOT(ISNUMBER(G151))),"",C151*G151)</f>
        <v>2968.10810810811</v>
      </c>
      <c r="N151" s="32" t="n">
        <f aca="false">IF(OR(C151="",NOT(ISNUMBER(H151))),"",C151*H151)</f>
        <v>3084.5045045045</v>
      </c>
      <c r="O151" s="32" t="n">
        <f aca="false">IF(OR(C151="",NOT(ISNUMBER(I151))),"",C151*I151)</f>
        <v>3195.08108108108</v>
      </c>
    </row>
    <row r="152" customFormat="false" ht="15" hidden="false" customHeight="true" outlineLevel="0" collapsed="false">
      <c r="A152" s="5" t="s">
        <v>770</v>
      </c>
      <c r="B152" s="5" t="s">
        <v>645</v>
      </c>
      <c r="C152" s="51" t="n">
        <v>708</v>
      </c>
      <c r="D152" s="29" t="n">
        <f aca="false">IFERROR(VLOOKUP("Sos HONEY MUSTARD 25G D",'FOOD COST'!$A:$Y,7,0),"")</f>
        <v>1.43</v>
      </c>
      <c r="E152" s="30" t="n">
        <f aca="false">IFERROR(VLOOKUP("Sos HONEY MUSTARD 25G D",'FOOD COST'!$A:$Y,8,0),"")</f>
        <v>1.43</v>
      </c>
      <c r="F152" s="29" t="n">
        <f aca="false">IFERROR(VLOOKUP("Sos HONEY MUSTARD 25G D",'FOOD COST'!$A:$Y,10,0),"")</f>
        <v>4.68468468468469</v>
      </c>
      <c r="G152" s="29" t="n">
        <f aca="false">IFERROR(VLOOKUP("Sos HONEY MUSTARD 25G D",'FOOD COST'!$A:$Y,18,0),"")</f>
        <v>4.77477477477477</v>
      </c>
      <c r="H152" s="29" t="n">
        <f aca="false">IFERROR(VLOOKUP("Sos HONEY MUSTARD 25G D",'FOOD COST'!$A:$Y,21,0),"")</f>
        <v>4.95495495495495</v>
      </c>
      <c r="I152" s="29" t="n">
        <f aca="false">IFERROR(VLOOKUP("Sos HONEY MUSTARD 25G D",'FOOD COST'!$A:$Y,24,0),"")</f>
        <v>5.12612612612613</v>
      </c>
      <c r="J152" s="32" t="n">
        <f aca="false">IF(OR(C152="",NOT(ISNUMBER(D152))),"",C152*D152)</f>
        <v>1012.44</v>
      </c>
      <c r="K152" s="52" t="n">
        <f aca="false">IF(OR(C152="",NOT(ISNUMBER(E152))),"",C152*E152)</f>
        <v>1012.44</v>
      </c>
      <c r="L152" s="32" t="n">
        <f aca="false">IF(OR(C152="",NOT(ISNUMBER(F152))),"",C152*F152)</f>
        <v>3316.75675675676</v>
      </c>
      <c r="M152" s="32" t="n">
        <f aca="false">IF(OR(C152="",NOT(ISNUMBER(G152))),"",C152*G152)</f>
        <v>3380.54054054054</v>
      </c>
      <c r="N152" s="32" t="n">
        <f aca="false">IF(OR(C152="",NOT(ISNUMBER(H152))),"",C152*H152)</f>
        <v>3508.10810810811</v>
      </c>
      <c r="O152" s="32" t="n">
        <f aca="false">IF(OR(C152="",NOT(ISNUMBER(I152))),"",C152*I152)</f>
        <v>3629.2972972973</v>
      </c>
    </row>
    <row r="153" customFormat="false" ht="15" hidden="false" customHeight="true" outlineLevel="0" collapsed="false">
      <c r="A153" s="5" t="s">
        <v>771</v>
      </c>
      <c r="B153" s="5" t="s">
        <v>642</v>
      </c>
      <c r="C153" s="51" t="n">
        <v>1559</v>
      </c>
      <c r="D153" s="29" t="n">
        <f aca="false">IFERROR(VLOOKUP("Sos SWEET CHILLI 25G",'FOOD COST'!$A:$Y,7,0),"")</f>
        <v>1.43</v>
      </c>
      <c r="E153" s="30" t="n">
        <f aca="false">IFERROR(VLOOKUP("Sos SWEET CHILLI 25G",'FOOD COST'!$A:$Y,8,0),"")</f>
        <v>1.43</v>
      </c>
      <c r="F153" s="29" t="n">
        <f aca="false">IFERROR(VLOOKUP("Sos SWEET CHILLI 25G",'FOOD COST'!$A:$Y,10,0),"")</f>
        <v>4.5045045045045</v>
      </c>
      <c r="G153" s="29" t="n">
        <f aca="false">IFERROR(VLOOKUP("Sos SWEET CHILLI 25G",'FOOD COST'!$A:$Y,18,0),"")</f>
        <v>4.59459459459459</v>
      </c>
      <c r="H153" s="29" t="n">
        <f aca="false">IFERROR(VLOOKUP("Sos SWEET CHILLI 25G",'FOOD COST'!$A:$Y,21,0),"")</f>
        <v>4.77477477477477</v>
      </c>
      <c r="I153" s="29" t="n">
        <f aca="false">IFERROR(VLOOKUP("Sos SWEET CHILLI 25G",'FOOD COST'!$A:$Y,24,0),"")</f>
        <v>4.94594594594595</v>
      </c>
      <c r="J153" s="32" t="n">
        <f aca="false">IF(OR(C153="",NOT(ISNUMBER(D153))),"",C153*D153)</f>
        <v>2229.37</v>
      </c>
      <c r="K153" s="52" t="n">
        <f aca="false">IF(OR(C153="",NOT(ISNUMBER(E153))),"",C153*E153)</f>
        <v>2229.37</v>
      </c>
      <c r="L153" s="32" t="n">
        <f aca="false">IF(OR(C153="",NOT(ISNUMBER(F153))),"",C153*F153)</f>
        <v>7022.52252252252</v>
      </c>
      <c r="M153" s="32" t="n">
        <f aca="false">IF(OR(C153="",NOT(ISNUMBER(G153))),"",C153*G153)</f>
        <v>7162.97297297297</v>
      </c>
      <c r="N153" s="32" t="n">
        <f aca="false">IF(OR(C153="",NOT(ISNUMBER(H153))),"",C153*H153)</f>
        <v>7443.87387387387</v>
      </c>
      <c r="O153" s="32" t="n">
        <f aca="false">IF(OR(C153="",NOT(ISNUMBER(I153))),"",C153*I153)</f>
        <v>7710.72972972973</v>
      </c>
    </row>
    <row r="154" customFormat="false" ht="15" hidden="false" customHeight="true" outlineLevel="0" collapsed="false">
      <c r="A154" s="5" t="s">
        <v>772</v>
      </c>
      <c r="B154" s="5" t="s">
        <v>645</v>
      </c>
      <c r="C154" s="51" t="n">
        <v>1108</v>
      </c>
      <c r="D154" s="29" t="n">
        <f aca="false">IFERROR(VLOOKUP("Sos SWEET CHILLI 25G D",'FOOD COST'!$A:$Y,7,0),"")</f>
        <v>1.43</v>
      </c>
      <c r="E154" s="30" t="n">
        <f aca="false">IFERROR(VLOOKUP("Sos SWEET CHILLI 25G D",'FOOD COST'!$A:$Y,8,0),"")</f>
        <v>1.43</v>
      </c>
      <c r="F154" s="29" t="n">
        <f aca="false">IFERROR(VLOOKUP("Sos SWEET CHILLI 25G D",'FOOD COST'!$A:$Y,10,0),"")</f>
        <v>4.68468468468469</v>
      </c>
      <c r="G154" s="29" t="n">
        <f aca="false">IFERROR(VLOOKUP("Sos SWEET CHILLI 25G D",'FOOD COST'!$A:$Y,18,0),"")</f>
        <v>4.77477477477477</v>
      </c>
      <c r="H154" s="29" t="n">
        <f aca="false">IFERROR(VLOOKUP("Sos SWEET CHILLI 25G D",'FOOD COST'!$A:$Y,21,0),"")</f>
        <v>4.95495495495495</v>
      </c>
      <c r="I154" s="29" t="n">
        <f aca="false">IFERROR(VLOOKUP("Sos SWEET CHILLI 25G D",'FOOD COST'!$A:$Y,24,0),"")</f>
        <v>5.12612612612613</v>
      </c>
      <c r="J154" s="32" t="n">
        <f aca="false">IF(OR(C154="",NOT(ISNUMBER(D154))),"",C154*D154)</f>
        <v>1584.44</v>
      </c>
      <c r="K154" s="52" t="n">
        <f aca="false">IF(OR(C154="",NOT(ISNUMBER(E154))),"",C154*E154)</f>
        <v>1584.44</v>
      </c>
      <c r="L154" s="32" t="n">
        <f aca="false">IF(OR(C154="",NOT(ISNUMBER(F154))),"",C154*F154)</f>
        <v>5190.63063063063</v>
      </c>
      <c r="M154" s="32" t="n">
        <f aca="false">IF(OR(C154="",NOT(ISNUMBER(G154))),"",C154*G154)</f>
        <v>5290.45045045045</v>
      </c>
      <c r="N154" s="32" t="n">
        <f aca="false">IF(OR(C154="",NOT(ISNUMBER(H154))),"",C154*H154)</f>
        <v>5490.09009009009</v>
      </c>
      <c r="O154" s="32" t="n">
        <f aca="false">IF(OR(C154="",NOT(ISNUMBER(I154))),"",C154*I154)</f>
        <v>5679.74774774775</v>
      </c>
    </row>
    <row r="155" customFormat="false" ht="15" hidden="false" customHeight="true" outlineLevel="0" collapsed="false">
      <c r="A155" s="5" t="s">
        <v>773</v>
      </c>
      <c r="B155" s="5" t="s">
        <v>642</v>
      </c>
      <c r="C155" s="51" t="n">
        <v>2711</v>
      </c>
      <c r="D155" s="29" t="n">
        <f aca="false">IFERROR(VLOOKUP("2X Sos Ketchup 10ml/Mayoneza 10ml",'FOOD COST'!$A:$Y,7,0),"")</f>
        <v>0.904</v>
      </c>
      <c r="E155" s="30" t="n">
        <f aca="false">IFERROR(VLOOKUP("2X Sos Ketchup 10ml/Mayoneza 10ml",'FOOD COST'!$A:$Y,8,0),"")</f>
        <v>0.904</v>
      </c>
      <c r="F155" s="29" t="n">
        <f aca="false">IFERROR(VLOOKUP("2X Sos Ketchup 10ml/Mayoneza 10ml",'FOOD COST'!$A:$Y,10,0),"")</f>
        <v>4.5045045045045</v>
      </c>
      <c r="G155" s="29" t="n">
        <f aca="false">IFERROR(VLOOKUP("2X Sos Ketchup 10ml/Mayoneza 10ml",'FOOD COST'!$A:$Y,18,0),"")</f>
        <v>4.59459459459459</v>
      </c>
      <c r="H155" s="29" t="n">
        <f aca="false">IFERROR(VLOOKUP("2X Sos Ketchup 10ml/Mayoneza 10ml",'FOOD COST'!$A:$Y,21,0),"")</f>
        <v>4.77477477477477</v>
      </c>
      <c r="I155" s="29" t="n">
        <f aca="false">IFERROR(VLOOKUP("2X Sos Ketchup 10ml/Mayoneza 10ml",'FOOD COST'!$A:$Y,24,0),"")</f>
        <v>4.94594594594595</v>
      </c>
      <c r="J155" s="32" t="n">
        <f aca="false">IF(OR(C155="",NOT(ISNUMBER(D155))),"",C155*D155)</f>
        <v>2450.744</v>
      </c>
      <c r="K155" s="52" t="n">
        <f aca="false">IF(OR(C155="",NOT(ISNUMBER(E155))),"",C155*E155)</f>
        <v>2450.744</v>
      </c>
      <c r="L155" s="32" t="n">
        <f aca="false">IF(OR(C155="",NOT(ISNUMBER(F155))),"",C155*F155)</f>
        <v>12211.7117117117</v>
      </c>
      <c r="M155" s="32" t="n">
        <f aca="false">IF(OR(C155="",NOT(ISNUMBER(G155))),"",C155*G155)</f>
        <v>12455.9459459459</v>
      </c>
      <c r="N155" s="32" t="n">
        <f aca="false">IF(OR(C155="",NOT(ISNUMBER(H155))),"",C155*H155)</f>
        <v>12944.4144144144</v>
      </c>
      <c r="O155" s="32" t="n">
        <f aca="false">IF(OR(C155="",NOT(ISNUMBER(I155))),"",C155*I155)</f>
        <v>13408.4594594595</v>
      </c>
    </row>
    <row r="156" customFormat="false" ht="15" hidden="false" customHeight="true" outlineLevel="0" collapsed="false">
      <c r="A156" s="5" t="s">
        <v>775</v>
      </c>
      <c r="B156" s="5" t="s">
        <v>642</v>
      </c>
      <c r="C156" s="51" t="n">
        <v>23763</v>
      </c>
      <c r="D156" s="29" t="n">
        <f aca="false">IFERROR(VLOOKUP("DIP N Cheddar 100 ML",'FOOD COST'!$A:$Y,7,0),"")</f>
        <v>4.887</v>
      </c>
      <c r="E156" s="30" t="n">
        <f aca="false">IFERROR(VLOOKUP("DIP N Cheddar 100 ML",'FOOD COST'!$A:$Y,8,0),"")</f>
        <v>4.887</v>
      </c>
      <c r="F156" s="29" t="n">
        <f aca="false">IFERROR(VLOOKUP("DIP N Cheddar 100 ML",'FOOD COST'!$A:$Y,10,0),"")</f>
        <v>12.5945945945946</v>
      </c>
      <c r="G156" s="29" t="n">
        <f aca="false">IFERROR(VLOOKUP("DIP N Cheddar 100 ML",'FOOD COST'!$A:$Y,18,0),"")</f>
        <v>12.5945945945946</v>
      </c>
      <c r="H156" s="29" t="n">
        <f aca="false">IFERROR(VLOOKUP("DIP N Cheddar 100 ML",'FOOD COST'!$A:$Y,21,0),"")</f>
        <v>12.5945945945946</v>
      </c>
      <c r="I156" s="29" t="n">
        <f aca="false">IFERROR(VLOOKUP("DIP N Cheddar 100 ML",'FOOD COST'!$A:$Y,24,0),"")</f>
        <v>12.5945945945946</v>
      </c>
      <c r="J156" s="32" t="n">
        <f aca="false">IF(OR(C156="",NOT(ISNUMBER(D156))),"",C156*D156)</f>
        <v>116129.781</v>
      </c>
      <c r="K156" s="52" t="n">
        <f aca="false">IF(OR(C156="",NOT(ISNUMBER(E156))),"",C156*E156)</f>
        <v>116129.781</v>
      </c>
      <c r="L156" s="32" t="n">
        <f aca="false">IF(OR(C156="",NOT(ISNUMBER(F156))),"",C156*F156)</f>
        <v>299285.351351351</v>
      </c>
      <c r="M156" s="32" t="n">
        <f aca="false">IF(OR(C156="",NOT(ISNUMBER(G156))),"",C156*G156)</f>
        <v>299285.351351351</v>
      </c>
      <c r="N156" s="32" t="n">
        <f aca="false">IF(OR(C156="",NOT(ISNUMBER(H156))),"",C156*H156)</f>
        <v>299285.351351351</v>
      </c>
      <c r="O156" s="32" t="n">
        <f aca="false">IF(OR(C156="",NOT(ISNUMBER(I156))),"",C156*I156)</f>
        <v>299285.351351351</v>
      </c>
    </row>
    <row r="157" customFormat="false" ht="15" hidden="false" customHeight="true" outlineLevel="0" collapsed="false">
      <c r="A157" s="5" t="s">
        <v>776</v>
      </c>
      <c r="B157" s="5" t="s">
        <v>645</v>
      </c>
      <c r="C157" s="51" t="n">
        <v>10194</v>
      </c>
      <c r="D157" s="29" t="n">
        <f aca="false">IFERROR(VLOOKUP("DIP N Cheddar 100 ML D",'FOOD COST'!$A:$Y,7,0),"")</f>
        <v>4.887</v>
      </c>
      <c r="E157" s="30" t="n">
        <f aca="false">IFERROR(VLOOKUP("DIP N Cheddar 100 ML D",'FOOD COST'!$A:$Y,8,0),"")</f>
        <v>4.887</v>
      </c>
      <c r="F157" s="29" t="n">
        <f aca="false">IFERROR(VLOOKUP("DIP N Cheddar 100 ML D",'FOOD COST'!$A:$Y,10,0),"")</f>
        <v>12.5945945945946</v>
      </c>
      <c r="G157" s="29" t="n">
        <f aca="false">IFERROR(VLOOKUP("DIP N Cheddar 100 ML D",'FOOD COST'!$A:$Y,18,0),"")</f>
        <v>12.5945945945946</v>
      </c>
      <c r="H157" s="29" t="n">
        <f aca="false">IFERROR(VLOOKUP("DIP N Cheddar 100 ML D",'FOOD COST'!$A:$Y,21,0),"")</f>
        <v>12.5945945945946</v>
      </c>
      <c r="I157" s="29" t="n">
        <f aca="false">IFERROR(VLOOKUP("DIP N Cheddar 100 ML D",'FOOD COST'!$A:$Y,24,0),"")</f>
        <v>12.5945945945946</v>
      </c>
      <c r="J157" s="32" t="n">
        <f aca="false">IF(OR(C157="",NOT(ISNUMBER(D157))),"",C157*D157)</f>
        <v>49818.078</v>
      </c>
      <c r="K157" s="52" t="n">
        <f aca="false">IF(OR(C157="",NOT(ISNUMBER(E157))),"",C157*E157)</f>
        <v>49818.078</v>
      </c>
      <c r="L157" s="32" t="n">
        <f aca="false">IF(OR(C157="",NOT(ISNUMBER(F157))),"",C157*F157)</f>
        <v>128389.297297297</v>
      </c>
      <c r="M157" s="32" t="n">
        <f aca="false">IF(OR(C157="",NOT(ISNUMBER(G157))),"",C157*G157)</f>
        <v>128389.297297297</v>
      </c>
      <c r="N157" s="32" t="n">
        <f aca="false">IF(OR(C157="",NOT(ISNUMBER(H157))),"",C157*H157)</f>
        <v>128389.297297297</v>
      </c>
      <c r="O157" s="32" t="n">
        <f aca="false">IF(OR(C157="",NOT(ISNUMBER(I157))),"",C157*I157)</f>
        <v>128389.297297297</v>
      </c>
    </row>
    <row r="158" customFormat="false" ht="15" hidden="false" customHeight="true" outlineLevel="0" collapsed="false">
      <c r="A158" s="5" t="s">
        <v>777</v>
      </c>
      <c r="B158" s="5" t="s">
        <v>642</v>
      </c>
      <c r="C158" s="51" t="n">
        <v>21591</v>
      </c>
      <c r="D158" s="29" t="n">
        <f aca="false">IFERROR(VLOOKUP("DIP N FRYRANCH 100G",'FOOD COST'!$A:$Y,7,0),"")</f>
        <v>2.993</v>
      </c>
      <c r="E158" s="30" t="n">
        <f aca="false">IFERROR(VLOOKUP("DIP N FRYRANCH 100G",'FOOD COST'!$A:$Y,8,0),"")</f>
        <v>2.993</v>
      </c>
      <c r="F158" s="29" t="n">
        <f aca="false">IFERROR(VLOOKUP("DIP N FRYRANCH 100G",'FOOD COST'!$A:$Y,10,0),"")</f>
        <v>12.5945945945946</v>
      </c>
      <c r="G158" s="29" t="n">
        <f aca="false">IFERROR(VLOOKUP("DIP N FRYRANCH 100G",'FOOD COST'!$A:$Y,18,0),"")</f>
        <v>12.6846846846847</v>
      </c>
      <c r="H158" s="29" t="n">
        <f aca="false">IFERROR(VLOOKUP("DIP N FRYRANCH 100G",'FOOD COST'!$A:$Y,21,0),"")</f>
        <v>12.8648648648649</v>
      </c>
      <c r="I158" s="29" t="n">
        <f aca="false">IFERROR(VLOOKUP("DIP N FRYRANCH 100G",'FOOD COST'!$A:$Y,24,0),"")</f>
        <v>13.036036036036</v>
      </c>
      <c r="J158" s="32" t="n">
        <f aca="false">IF(OR(C158="",NOT(ISNUMBER(D158))),"",C158*D158)</f>
        <v>64621.863</v>
      </c>
      <c r="K158" s="52" t="n">
        <f aca="false">IF(OR(C158="",NOT(ISNUMBER(E158))),"",C158*E158)</f>
        <v>64621.863</v>
      </c>
      <c r="L158" s="32" t="n">
        <f aca="false">IF(OR(C158="",NOT(ISNUMBER(F158))),"",C158*F158)</f>
        <v>271929.891891892</v>
      </c>
      <c r="M158" s="32" t="n">
        <f aca="false">IF(OR(C158="",NOT(ISNUMBER(G158))),"",C158*G158)</f>
        <v>273875.027027027</v>
      </c>
      <c r="N158" s="32" t="n">
        <f aca="false">IF(OR(C158="",NOT(ISNUMBER(H158))),"",C158*H158)</f>
        <v>277765.297297297</v>
      </c>
      <c r="O158" s="32" t="n">
        <f aca="false">IF(OR(C158="",NOT(ISNUMBER(I158))),"",C158*I158)</f>
        <v>281461.054054054</v>
      </c>
    </row>
    <row r="159" customFormat="false" ht="15" hidden="false" customHeight="true" outlineLevel="0" collapsed="false">
      <c r="A159" s="5" t="s">
        <v>778</v>
      </c>
      <c r="B159" s="5" t="s">
        <v>645</v>
      </c>
      <c r="C159" s="51" t="n">
        <v>8827</v>
      </c>
      <c r="D159" s="29" t="n">
        <f aca="false">IFERROR(VLOOKUP("DIP N FRYRANCH 100G D",'FOOD COST'!$A:$Y,7,0),"")</f>
        <v>2.993</v>
      </c>
      <c r="E159" s="30" t="n">
        <f aca="false">IFERROR(VLOOKUP("DIP N FRYRANCH 100G D",'FOOD COST'!$A:$Y,8,0),"")</f>
        <v>2.993</v>
      </c>
      <c r="F159" s="29" t="n">
        <f aca="false">IFERROR(VLOOKUP("DIP N FRYRANCH 100G D",'FOOD COST'!$A:$Y,10,0),"")</f>
        <v>12.5945945945946</v>
      </c>
      <c r="G159" s="29" t="n">
        <f aca="false">IFERROR(VLOOKUP("DIP N FRYRANCH 100G D",'FOOD COST'!$A:$Y,18,0),"")</f>
        <v>12.6846846846847</v>
      </c>
      <c r="H159" s="29" t="n">
        <f aca="false">IFERROR(VLOOKUP("DIP N FRYRANCH 100G D",'FOOD COST'!$A:$Y,21,0),"")</f>
        <v>12.8648648648649</v>
      </c>
      <c r="I159" s="29" t="n">
        <f aca="false">IFERROR(VLOOKUP("DIP N FRYRANCH 100G D",'FOOD COST'!$A:$Y,24,0),"")</f>
        <v>13.036036036036</v>
      </c>
      <c r="J159" s="32" t="n">
        <f aca="false">IF(OR(C159="",NOT(ISNUMBER(D159))),"",C159*D159)</f>
        <v>26419.211</v>
      </c>
      <c r="K159" s="52" t="n">
        <f aca="false">IF(OR(C159="",NOT(ISNUMBER(E159))),"",C159*E159)</f>
        <v>26419.211</v>
      </c>
      <c r="L159" s="32" t="n">
        <f aca="false">IF(OR(C159="",NOT(ISNUMBER(F159))),"",C159*F159)</f>
        <v>111172.486486487</v>
      </c>
      <c r="M159" s="32" t="n">
        <f aca="false">IF(OR(C159="",NOT(ISNUMBER(G159))),"",C159*G159)</f>
        <v>111967.711711712</v>
      </c>
      <c r="N159" s="32" t="n">
        <f aca="false">IF(OR(C159="",NOT(ISNUMBER(H159))),"",C159*H159)</f>
        <v>113558.162162162</v>
      </c>
      <c r="O159" s="32" t="n">
        <f aca="false">IF(OR(C159="",NOT(ISNUMBER(I159))),"",C159*I159)</f>
        <v>115069.09009009</v>
      </c>
    </row>
    <row r="160" customFormat="false" ht="15" hidden="false" customHeight="true" outlineLevel="0" collapsed="false">
      <c r="A160" s="5" t="s">
        <v>779</v>
      </c>
      <c r="B160" s="5" t="s">
        <v>642</v>
      </c>
      <c r="C160" s="51" t="n">
        <v>2189</v>
      </c>
      <c r="D160" s="29" t="n">
        <f aca="false">IFERROR(VLOOKUP("DIP N FRYRANCH 250G",'FOOD COST'!$A:$Y,7,0),"")</f>
        <v>6.9255</v>
      </c>
      <c r="E160" s="30" t="n">
        <f aca="false">IFERROR(VLOOKUP("DIP N FRYRANCH 250G",'FOOD COST'!$A:$Y,8,0),"")</f>
        <v>6.9255</v>
      </c>
      <c r="F160" s="29" t="n">
        <f aca="false">IFERROR(VLOOKUP("DIP N FRYRANCH 250G",'FOOD COST'!$A:$Y,10,0),"")</f>
        <v>22.5225225225225</v>
      </c>
      <c r="G160" s="29" t="n">
        <f aca="false">IFERROR(VLOOKUP("DIP N FRYRANCH 250G",'FOOD COST'!$A:$Y,18,0),"")</f>
        <v>22.6126126126126</v>
      </c>
      <c r="H160" s="29" t="n">
        <f aca="false">IFERROR(VLOOKUP("DIP N FRYRANCH 250G",'FOOD COST'!$A:$Y,21,0),"")</f>
        <v>22.7927927927928</v>
      </c>
      <c r="I160" s="29" t="n">
        <f aca="false">IFERROR(VLOOKUP("DIP N FRYRANCH 250G",'FOOD COST'!$A:$Y,24,0),"")</f>
        <v>22.963963963964</v>
      </c>
      <c r="J160" s="32" t="n">
        <f aca="false">IF(OR(C160="",NOT(ISNUMBER(D160))),"",C160*D160)</f>
        <v>15159.9195</v>
      </c>
      <c r="K160" s="52" t="n">
        <f aca="false">IF(OR(C160="",NOT(ISNUMBER(E160))),"",C160*E160)</f>
        <v>15159.9195</v>
      </c>
      <c r="L160" s="32" t="n">
        <f aca="false">IF(OR(C160="",NOT(ISNUMBER(F160))),"",C160*F160)</f>
        <v>49301.8018018018</v>
      </c>
      <c r="M160" s="32" t="n">
        <f aca="false">IF(OR(C160="",NOT(ISNUMBER(G160))),"",C160*G160)</f>
        <v>49499.009009009</v>
      </c>
      <c r="N160" s="32" t="n">
        <f aca="false">IF(OR(C160="",NOT(ISNUMBER(H160))),"",C160*H160)</f>
        <v>49893.4234234234</v>
      </c>
      <c r="O160" s="32" t="n">
        <f aca="false">IF(OR(C160="",NOT(ISNUMBER(I160))),"",C160*I160)</f>
        <v>50268.1171171171</v>
      </c>
    </row>
    <row r="161" customFormat="false" ht="15" hidden="false" customHeight="true" outlineLevel="0" collapsed="false">
      <c r="A161" s="5" t="s">
        <v>780</v>
      </c>
      <c r="B161" s="5" t="s">
        <v>645</v>
      </c>
      <c r="C161" s="51" t="n">
        <v>2446</v>
      </c>
      <c r="D161" s="29" t="n">
        <f aca="false">IFERROR(VLOOKUP("DIP N FRYRANCH 250G D",'FOOD COST'!$A:$Y,7,0),"")</f>
        <v>6.9255</v>
      </c>
      <c r="E161" s="30" t="n">
        <f aca="false">IFERROR(VLOOKUP("DIP N FRYRANCH 250G D",'FOOD COST'!$A:$Y,8,0),"")</f>
        <v>6.9255</v>
      </c>
      <c r="F161" s="29" t="n">
        <f aca="false">IFERROR(VLOOKUP("DIP N FRYRANCH 250G D",'FOOD COST'!$A:$Y,10,0),"")</f>
        <v>22.5225225225225</v>
      </c>
      <c r="G161" s="29" t="n">
        <f aca="false">IFERROR(VLOOKUP("DIP N FRYRANCH 250G D",'FOOD COST'!$A:$Y,18,0),"")</f>
        <v>22.6126126126126</v>
      </c>
      <c r="H161" s="29" t="n">
        <f aca="false">IFERROR(VLOOKUP("DIP N FRYRANCH 250G D",'FOOD COST'!$A:$Y,21,0),"")</f>
        <v>22.7927927927928</v>
      </c>
      <c r="I161" s="29" t="n">
        <f aca="false">IFERROR(VLOOKUP("DIP N FRYRANCH 250G D",'FOOD COST'!$A:$Y,24,0),"")</f>
        <v>22.963963963964</v>
      </c>
      <c r="J161" s="32" t="n">
        <f aca="false">IF(OR(C161="",NOT(ISNUMBER(D161))),"",C161*D161)</f>
        <v>16939.773</v>
      </c>
      <c r="K161" s="52" t="n">
        <f aca="false">IF(OR(C161="",NOT(ISNUMBER(E161))),"",C161*E161)</f>
        <v>16939.773</v>
      </c>
      <c r="L161" s="32" t="n">
        <f aca="false">IF(OR(C161="",NOT(ISNUMBER(F161))),"",C161*F161)</f>
        <v>55090.0900900901</v>
      </c>
      <c r="M161" s="32" t="n">
        <f aca="false">IF(OR(C161="",NOT(ISNUMBER(G161))),"",C161*G161)</f>
        <v>55310.4504504505</v>
      </c>
      <c r="N161" s="32" t="n">
        <f aca="false">IF(OR(C161="",NOT(ISNUMBER(H161))),"",C161*H161)</f>
        <v>55751.1711711712</v>
      </c>
      <c r="O161" s="32" t="n">
        <f aca="false">IF(OR(C161="",NOT(ISNUMBER(I161))),"",C161*I161)</f>
        <v>56169.8558558558</v>
      </c>
    </row>
    <row r="162" customFormat="false" ht="15" hidden="false" customHeight="true" outlineLevel="0" collapsed="false">
      <c r="A162" s="5" t="s">
        <v>781</v>
      </c>
      <c r="B162" s="5" t="s">
        <v>642</v>
      </c>
      <c r="C162" s="51" t="n">
        <v>312</v>
      </c>
      <c r="D162" s="29" t="n">
        <f aca="false">IFERROR(VLOOKUP("DIP N FRYRANCH 400G",'FOOD COST'!$A:$Y,7,0),"")</f>
        <v>10.896</v>
      </c>
      <c r="E162" s="30" t="n">
        <f aca="false">IFERROR(VLOOKUP("DIP N FRYRANCH 400G",'FOOD COST'!$A:$Y,8,0),"")</f>
        <v>10.896</v>
      </c>
      <c r="F162" s="29" t="n">
        <f aca="false">IFERROR(VLOOKUP("DIP N FRYRANCH 400G",'FOOD COST'!$A:$Y,10,0),"")</f>
        <v>31.5315315315315</v>
      </c>
      <c r="G162" s="29" t="n">
        <f aca="false">IFERROR(VLOOKUP("DIP N FRYRANCH 400G",'FOOD COST'!$A:$Y,18,0),"")</f>
        <v>31.6216216216216</v>
      </c>
      <c r="H162" s="29" t="n">
        <f aca="false">IFERROR(VLOOKUP("DIP N FRYRANCH 400G",'FOOD COST'!$A:$Y,21,0),"")</f>
        <v>31.8018018018018</v>
      </c>
      <c r="I162" s="29" t="n">
        <f aca="false">IFERROR(VLOOKUP("DIP N FRYRANCH 400G",'FOOD COST'!$A:$Y,24,0),"")</f>
        <v>31.972972972973</v>
      </c>
      <c r="J162" s="32" t="n">
        <f aca="false">IF(OR(C162="",NOT(ISNUMBER(D162))),"",C162*D162)</f>
        <v>3399.552</v>
      </c>
      <c r="K162" s="52" t="n">
        <f aca="false">IF(OR(C162="",NOT(ISNUMBER(E162))),"",C162*E162)</f>
        <v>3399.552</v>
      </c>
      <c r="L162" s="32" t="n">
        <f aca="false">IF(OR(C162="",NOT(ISNUMBER(F162))),"",C162*F162)</f>
        <v>9837.83783783784</v>
      </c>
      <c r="M162" s="32" t="n">
        <f aca="false">IF(OR(C162="",NOT(ISNUMBER(G162))),"",C162*G162)</f>
        <v>9865.94594594595</v>
      </c>
      <c r="N162" s="32" t="n">
        <f aca="false">IF(OR(C162="",NOT(ISNUMBER(H162))),"",C162*H162)</f>
        <v>9922.16216216216</v>
      </c>
      <c r="O162" s="32" t="n">
        <f aca="false">IF(OR(C162="",NOT(ISNUMBER(I162))),"",C162*I162)</f>
        <v>9975.56756756757</v>
      </c>
    </row>
    <row r="163" customFormat="false" ht="15" hidden="false" customHeight="true" outlineLevel="0" collapsed="false">
      <c r="A163" s="5" t="s">
        <v>782</v>
      </c>
      <c r="B163" s="5" t="s">
        <v>645</v>
      </c>
      <c r="C163" s="51" t="n">
        <v>438</v>
      </c>
      <c r="D163" s="29" t="n">
        <f aca="false">IFERROR(VLOOKUP("DIP N FRYRANCH 400G D",'FOOD COST'!$A:$Y,7,0),"")</f>
        <v>10.896</v>
      </c>
      <c r="E163" s="30" t="n">
        <f aca="false">IFERROR(VLOOKUP("DIP N FRYRANCH 400G D",'FOOD COST'!$A:$Y,8,0),"")</f>
        <v>10.896</v>
      </c>
      <c r="F163" s="29" t="n">
        <f aca="false">IFERROR(VLOOKUP("DIP N FRYRANCH 400G D",'FOOD COST'!$A:$Y,10,0),"")</f>
        <v>31.5315315315315</v>
      </c>
      <c r="G163" s="29" t="n">
        <f aca="false">IFERROR(VLOOKUP("DIP N FRYRANCH 400G D",'FOOD COST'!$A:$Y,18,0),"")</f>
        <v>31.6216216216216</v>
      </c>
      <c r="H163" s="29" t="n">
        <f aca="false">IFERROR(VLOOKUP("DIP N FRYRANCH 400G D",'FOOD COST'!$A:$Y,21,0),"")</f>
        <v>31.8018018018018</v>
      </c>
      <c r="I163" s="29" t="n">
        <f aca="false">IFERROR(VLOOKUP("DIP N FRYRANCH 400G D",'FOOD COST'!$A:$Y,24,0),"")</f>
        <v>31.972972972973</v>
      </c>
      <c r="J163" s="32" t="n">
        <f aca="false">IF(OR(C163="",NOT(ISNUMBER(D163))),"",C163*D163)</f>
        <v>4772.448</v>
      </c>
      <c r="K163" s="52" t="n">
        <f aca="false">IF(OR(C163="",NOT(ISNUMBER(E163))),"",C163*E163)</f>
        <v>4772.448</v>
      </c>
      <c r="L163" s="32" t="n">
        <f aca="false">IF(OR(C163="",NOT(ISNUMBER(F163))),"",C163*F163)</f>
        <v>13810.8108108108</v>
      </c>
      <c r="M163" s="32" t="n">
        <f aca="false">IF(OR(C163="",NOT(ISNUMBER(G163))),"",C163*G163)</f>
        <v>13850.2702702703</v>
      </c>
      <c r="N163" s="32" t="n">
        <f aca="false">IF(OR(C163="",NOT(ISNUMBER(H163))),"",C163*H163)</f>
        <v>13929.1891891892</v>
      </c>
      <c r="O163" s="32" t="n">
        <f aca="false">IF(OR(C163="",NOT(ISNUMBER(I163))),"",C163*I163)</f>
        <v>14004.1621621622</v>
      </c>
    </row>
    <row r="164" customFormat="false" ht="15" hidden="false" customHeight="true" outlineLevel="0" collapsed="false">
      <c r="A164" s="5" t="s">
        <v>783</v>
      </c>
      <c r="B164" s="5" t="s">
        <v>642</v>
      </c>
      <c r="C164" s="51" t="n">
        <v>3655</v>
      </c>
      <c r="D164" s="29" t="n">
        <f aca="false">IFERROR(VLOOKUP("DIP N TRUFFLE 100G",'FOOD COST'!$A:$Y,7,0),"")</f>
        <v>3.886</v>
      </c>
      <c r="E164" s="30" t="n">
        <f aca="false">IFERROR(VLOOKUP("DIP N TRUFFLE 100G",'FOOD COST'!$A:$Y,8,0),"")</f>
        <v>3.886</v>
      </c>
      <c r="F164" s="29" t="n">
        <f aca="false">IFERROR(VLOOKUP("DIP N TRUFFLE 100G",'FOOD COST'!$A:$Y,10,0),"")</f>
        <v>12.5945945945946</v>
      </c>
      <c r="G164" s="29" t="n">
        <f aca="false">IFERROR(VLOOKUP("DIP N TRUFFLE 100G",'FOOD COST'!$A:$Y,18,0),"")</f>
        <v>12.5945945945946</v>
      </c>
      <c r="H164" s="29" t="n">
        <f aca="false">IFERROR(VLOOKUP("DIP N TRUFFLE 100G",'FOOD COST'!$A:$Y,21,0),"")</f>
        <v>12.5945945945946</v>
      </c>
      <c r="I164" s="29" t="n">
        <f aca="false">IFERROR(VLOOKUP("DIP N TRUFFLE 100G",'FOOD COST'!$A:$Y,24,0),"")</f>
        <v>12.5945945945946</v>
      </c>
      <c r="J164" s="32" t="n">
        <f aca="false">IF(OR(C164="",NOT(ISNUMBER(D164))),"",C164*D164)</f>
        <v>14203.33</v>
      </c>
      <c r="K164" s="52" t="n">
        <f aca="false">IF(OR(C164="",NOT(ISNUMBER(E164))),"",C164*E164)</f>
        <v>14203.33</v>
      </c>
      <c r="L164" s="32" t="n">
        <f aca="false">IF(OR(C164="",NOT(ISNUMBER(F164))),"",C164*F164)</f>
        <v>46033.2432432433</v>
      </c>
      <c r="M164" s="32" t="n">
        <f aca="false">IF(OR(C164="",NOT(ISNUMBER(G164))),"",C164*G164)</f>
        <v>46033.2432432433</v>
      </c>
      <c r="N164" s="32" t="n">
        <f aca="false">IF(OR(C164="",NOT(ISNUMBER(H164))),"",C164*H164)</f>
        <v>46033.2432432433</v>
      </c>
      <c r="O164" s="32" t="n">
        <f aca="false">IF(OR(C164="",NOT(ISNUMBER(I164))),"",C164*I164)</f>
        <v>46033.2432432433</v>
      </c>
    </row>
    <row r="165" customFormat="false" ht="15" hidden="false" customHeight="true" outlineLevel="0" collapsed="false">
      <c r="A165" s="5" t="s">
        <v>784</v>
      </c>
      <c r="B165" s="5" t="s">
        <v>645</v>
      </c>
      <c r="C165" s="51" t="n">
        <v>3273</v>
      </c>
      <c r="D165" s="29" t="n">
        <f aca="false">IFERROR(VLOOKUP("DIP N TRUFFLE 100G D",'FOOD COST'!$A:$Y,7,0),"")</f>
        <v>3.886</v>
      </c>
      <c r="E165" s="30" t="n">
        <f aca="false">IFERROR(VLOOKUP("DIP N TRUFFLE 100G D",'FOOD COST'!$A:$Y,8,0),"")</f>
        <v>3.886</v>
      </c>
      <c r="F165" s="29" t="n">
        <f aca="false">IFERROR(VLOOKUP("DIP N TRUFFLE 100G D",'FOOD COST'!$A:$Y,10,0),"")</f>
        <v>12.5945945945946</v>
      </c>
      <c r="G165" s="29" t="n">
        <f aca="false">IFERROR(VLOOKUP("DIP N TRUFFLE 100G D",'FOOD COST'!$A:$Y,18,0),"")</f>
        <v>12.5945945945946</v>
      </c>
      <c r="H165" s="29" t="n">
        <f aca="false">IFERROR(VLOOKUP("DIP N TRUFFLE 100G D",'FOOD COST'!$A:$Y,21,0),"")</f>
        <v>12.5945945945946</v>
      </c>
      <c r="I165" s="29" t="n">
        <f aca="false">IFERROR(VLOOKUP("DIP N TRUFFLE 100G D",'FOOD COST'!$A:$Y,24,0),"")</f>
        <v>12.5945945945946</v>
      </c>
      <c r="J165" s="32" t="n">
        <f aca="false">IF(OR(C165="",NOT(ISNUMBER(D165))),"",C165*D165)</f>
        <v>12718.878</v>
      </c>
      <c r="K165" s="52" t="n">
        <f aca="false">IF(OR(C165="",NOT(ISNUMBER(E165))),"",C165*E165)</f>
        <v>12718.878</v>
      </c>
      <c r="L165" s="32" t="n">
        <f aca="false">IF(OR(C165="",NOT(ISNUMBER(F165))),"",C165*F165)</f>
        <v>41222.1081081081</v>
      </c>
      <c r="M165" s="32" t="n">
        <f aca="false">IF(OR(C165="",NOT(ISNUMBER(G165))),"",C165*G165)</f>
        <v>41222.1081081081</v>
      </c>
      <c r="N165" s="32" t="n">
        <f aca="false">IF(OR(C165="",NOT(ISNUMBER(H165))),"",C165*H165)</f>
        <v>41222.1081081081</v>
      </c>
      <c r="O165" s="32" t="n">
        <f aca="false">IF(OR(C165="",NOT(ISNUMBER(I165))),"",C165*I165)</f>
        <v>41222.1081081081</v>
      </c>
    </row>
    <row r="166" customFormat="false" ht="15" hidden="false" customHeight="true" outlineLevel="0" collapsed="false">
      <c r="A166" s="5" t="s">
        <v>785</v>
      </c>
      <c r="B166" s="5" t="s">
        <v>642</v>
      </c>
      <c r="C166" s="51" t="n">
        <v>2848</v>
      </c>
      <c r="D166" s="29" t="n">
        <f aca="false">IFERROR(VLOOKUP("APPLE PIE TOFFIE",'FOOD COST'!$A:$Y,7,0),"")</f>
        <v>3.668</v>
      </c>
      <c r="E166" s="30" t="n">
        <f aca="false">IFERROR(VLOOKUP("APPLE PIE TOFFIE",'FOOD COST'!$A:$Y,8,0),"")</f>
        <v>3.668</v>
      </c>
      <c r="F166" s="29" t="n">
        <f aca="false">IFERROR(VLOOKUP("APPLE PIE TOFFIE",'FOOD COST'!$A:$Y,10,0),"")</f>
        <v>9.00900900900901</v>
      </c>
      <c r="G166" s="29" t="n">
        <f aca="false">IFERROR(VLOOKUP("APPLE PIE TOFFIE",'FOOD COST'!$A:$Y,18,0),"")</f>
        <v>9.00900900900901</v>
      </c>
      <c r="H166" s="29" t="n">
        <f aca="false">IFERROR(VLOOKUP("APPLE PIE TOFFIE",'FOOD COST'!$A:$Y,21,0),"")</f>
        <v>9.00900900900901</v>
      </c>
      <c r="I166" s="29" t="n">
        <f aca="false">IFERROR(VLOOKUP("APPLE PIE TOFFIE",'FOOD COST'!$A:$Y,24,0),"")</f>
        <v>9.00900900900901</v>
      </c>
      <c r="J166" s="32" t="n">
        <f aca="false">IF(OR(C166="",NOT(ISNUMBER(D166))),"",C166*D166)</f>
        <v>10446.464</v>
      </c>
      <c r="K166" s="52" t="n">
        <f aca="false">IF(OR(C166="",NOT(ISNUMBER(E166))),"",C166*E166)</f>
        <v>10446.464</v>
      </c>
      <c r="L166" s="32" t="n">
        <f aca="false">IF(OR(C166="",NOT(ISNUMBER(F166))),"",C166*F166)</f>
        <v>25657.6576576577</v>
      </c>
      <c r="M166" s="32" t="n">
        <f aca="false">IF(OR(C166="",NOT(ISNUMBER(G166))),"",C166*G166)</f>
        <v>25657.6576576577</v>
      </c>
      <c r="N166" s="32" t="n">
        <f aca="false">IF(OR(C166="",NOT(ISNUMBER(H166))),"",C166*H166)</f>
        <v>25657.6576576577</v>
      </c>
      <c r="O166" s="32" t="n">
        <f aca="false">IF(OR(C166="",NOT(ISNUMBER(I166))),"",C166*I166)</f>
        <v>25657.6576576577</v>
      </c>
    </row>
    <row r="167" customFormat="false" ht="15" hidden="false" customHeight="true" outlineLevel="0" collapsed="false">
      <c r="A167" s="5" t="s">
        <v>787</v>
      </c>
      <c r="B167" s="5" t="s">
        <v>645</v>
      </c>
      <c r="C167" s="51" t="n">
        <v>1117</v>
      </c>
      <c r="D167" s="29" t="n">
        <f aca="false">IFERROR(VLOOKUP("APPLE PIE TOFFIE D",'FOOD COST'!$A:$Y,7,0),"")</f>
        <v>3.668</v>
      </c>
      <c r="E167" s="30" t="n">
        <f aca="false">IFERROR(VLOOKUP("APPLE PIE TOFFIE D",'FOOD COST'!$A:$Y,8,0),"")</f>
        <v>3.668</v>
      </c>
      <c r="F167" s="29" t="n">
        <f aca="false">IFERROR(VLOOKUP("APPLE PIE TOFFIE D",'FOOD COST'!$A:$Y,10,0),"")</f>
        <v>9.81981981981982</v>
      </c>
      <c r="G167" s="29" t="n">
        <f aca="false">IFERROR(VLOOKUP("APPLE PIE TOFFIE D",'FOOD COST'!$A:$Y,18,0),"")</f>
        <v>9.81981981981982</v>
      </c>
      <c r="H167" s="29" t="n">
        <f aca="false">IFERROR(VLOOKUP("APPLE PIE TOFFIE D",'FOOD COST'!$A:$Y,21,0),"")</f>
        <v>9.81981981981982</v>
      </c>
      <c r="I167" s="29" t="n">
        <f aca="false">IFERROR(VLOOKUP("APPLE PIE TOFFIE D",'FOOD COST'!$A:$Y,24,0),"")</f>
        <v>9.81981981981982</v>
      </c>
      <c r="J167" s="32" t="n">
        <f aca="false">IF(OR(C167="",NOT(ISNUMBER(D167))),"",C167*D167)</f>
        <v>4097.156</v>
      </c>
      <c r="K167" s="52" t="n">
        <f aca="false">IF(OR(C167="",NOT(ISNUMBER(E167))),"",C167*E167)</f>
        <v>4097.156</v>
      </c>
      <c r="L167" s="32" t="n">
        <f aca="false">IF(OR(C167="",NOT(ISNUMBER(F167))),"",C167*F167)</f>
        <v>10968.7387387387</v>
      </c>
      <c r="M167" s="32" t="n">
        <f aca="false">IF(OR(C167="",NOT(ISNUMBER(G167))),"",C167*G167)</f>
        <v>10968.7387387387</v>
      </c>
      <c r="N167" s="32" t="n">
        <f aca="false">IF(OR(C167="",NOT(ISNUMBER(H167))),"",C167*H167)</f>
        <v>10968.7387387387</v>
      </c>
      <c r="O167" s="32" t="n">
        <f aca="false">IF(OR(C167="",NOT(ISNUMBER(I167))),"",C167*I167)</f>
        <v>10968.7387387387</v>
      </c>
    </row>
    <row r="168" customFormat="false" ht="15" hidden="false" customHeight="true" outlineLevel="0" collapsed="false">
      <c r="A168" s="5" t="s">
        <v>788</v>
      </c>
      <c r="B168" s="5" t="s">
        <v>642</v>
      </c>
      <c r="C168" s="51" t="n">
        <v>2406</v>
      </c>
      <c r="D168" s="29" t="n">
        <f aca="false">IFERROR(VLOOKUP("Nutella Burger",'FOOD COST'!$A:$Y,7,0),"")</f>
        <v>3.7981</v>
      </c>
      <c r="E168" s="30" t="n">
        <f aca="false">IFERROR(VLOOKUP("Nutella Burger",'FOOD COST'!$A:$Y,8,0),"")</f>
        <v>3.7981</v>
      </c>
      <c r="F168" s="29" t="n">
        <f aca="false">IFERROR(VLOOKUP("Nutella Burger",'FOOD COST'!$A:$Y,10,0),"")</f>
        <v>9.00900900900901</v>
      </c>
      <c r="G168" s="29" t="n">
        <f aca="false">IFERROR(VLOOKUP("Nutella Burger",'FOOD COST'!$A:$Y,18,0),"")</f>
        <v>9.00900900900901</v>
      </c>
      <c r="H168" s="29" t="n">
        <f aca="false">IFERROR(VLOOKUP("Nutella Burger",'FOOD COST'!$A:$Y,21,0),"")</f>
        <v>9.00900900900901</v>
      </c>
      <c r="I168" s="29" t="n">
        <f aca="false">IFERROR(VLOOKUP("Nutella Burger",'FOOD COST'!$A:$Y,24,0),"")</f>
        <v>9.00900900900901</v>
      </c>
      <c r="J168" s="32" t="n">
        <f aca="false">IF(OR(C168="",NOT(ISNUMBER(D168))),"",C168*D168)</f>
        <v>9138.2286</v>
      </c>
      <c r="K168" s="52" t="n">
        <f aca="false">IF(OR(C168="",NOT(ISNUMBER(E168))),"",C168*E168)</f>
        <v>9138.2286</v>
      </c>
      <c r="L168" s="32" t="n">
        <f aca="false">IF(OR(C168="",NOT(ISNUMBER(F168))),"",C168*F168)</f>
        <v>21675.6756756757</v>
      </c>
      <c r="M168" s="32" t="n">
        <f aca="false">IF(OR(C168="",NOT(ISNUMBER(G168))),"",C168*G168)</f>
        <v>21675.6756756757</v>
      </c>
      <c r="N168" s="32" t="n">
        <f aca="false">IF(OR(C168="",NOT(ISNUMBER(H168))),"",C168*H168)</f>
        <v>21675.6756756757</v>
      </c>
      <c r="O168" s="32" t="n">
        <f aca="false">IF(OR(C168="",NOT(ISNUMBER(I168))),"",C168*I168)</f>
        <v>21675.6756756757</v>
      </c>
    </row>
    <row r="169" customFormat="false" ht="15" hidden="false" customHeight="true" outlineLevel="0" collapsed="false">
      <c r="A169" s="5" t="s">
        <v>789</v>
      </c>
      <c r="B169" s="5" t="s">
        <v>645</v>
      </c>
      <c r="C169" s="51" t="n">
        <v>1132</v>
      </c>
      <c r="D169" s="29" t="n">
        <f aca="false">IFERROR(VLOOKUP("Nutella Burger D",'FOOD COST'!$A:$Y,7,0),"")</f>
        <v>3.7981</v>
      </c>
      <c r="E169" s="30" t="n">
        <f aca="false">IFERROR(VLOOKUP("Nutella Burger D",'FOOD COST'!$A:$Y,8,0),"")</f>
        <v>3.7981</v>
      </c>
      <c r="F169" s="29" t="n">
        <f aca="false">IFERROR(VLOOKUP("Nutella Burger D",'FOOD COST'!$A:$Y,10,0),"")</f>
        <v>10.8108108108108</v>
      </c>
      <c r="G169" s="29" t="n">
        <f aca="false">IFERROR(VLOOKUP("Nutella Burger D",'FOOD COST'!$A:$Y,18,0),"")</f>
        <v>10.8108108108108</v>
      </c>
      <c r="H169" s="29" t="n">
        <f aca="false">IFERROR(VLOOKUP("Nutella Burger D",'FOOD COST'!$A:$Y,21,0),"")</f>
        <v>10.8108108108108</v>
      </c>
      <c r="I169" s="29" t="n">
        <f aca="false">IFERROR(VLOOKUP("Nutella Burger D",'FOOD COST'!$A:$Y,24,0),"")</f>
        <v>10.8108108108108</v>
      </c>
      <c r="J169" s="32" t="n">
        <f aca="false">IF(OR(C169="",NOT(ISNUMBER(D169))),"",C169*D169)</f>
        <v>4299.4492</v>
      </c>
      <c r="K169" s="52" t="n">
        <f aca="false">IF(OR(C169="",NOT(ISNUMBER(E169))),"",C169*E169)</f>
        <v>4299.4492</v>
      </c>
      <c r="L169" s="32" t="n">
        <f aca="false">IF(OR(C169="",NOT(ISNUMBER(F169))),"",C169*F169)</f>
        <v>12237.8378378378</v>
      </c>
      <c r="M169" s="32" t="n">
        <f aca="false">IF(OR(C169="",NOT(ISNUMBER(G169))),"",C169*G169)</f>
        <v>12237.8378378378</v>
      </c>
      <c r="N169" s="32" t="n">
        <f aca="false">IF(OR(C169="",NOT(ISNUMBER(H169))),"",C169*H169)</f>
        <v>12237.8378378378</v>
      </c>
      <c r="O169" s="32" t="n">
        <f aca="false">IF(OR(C169="",NOT(ISNUMBER(I169))),"",C169*I169)</f>
        <v>12237.8378378378</v>
      </c>
    </row>
    <row r="170" customFormat="false" ht="15" hidden="false" customHeight="true" outlineLevel="0" collapsed="false">
      <c r="A170" s="5" t="s">
        <v>790</v>
      </c>
      <c r="B170" s="5" t="s">
        <v>642</v>
      </c>
      <c r="C170" s="51" t="n">
        <v>4036</v>
      </c>
      <c r="D170" s="29" t="n">
        <f aca="false">IFERROR(VLOOKUP("Nutella Burger Capsuni",'FOOD COST'!$A:$Y,7,0),"")</f>
        <v>4.5231</v>
      </c>
      <c r="E170" s="30" t="n">
        <f aca="false">IFERROR(VLOOKUP("Nutella Burger Capsuni",'FOOD COST'!$A:$Y,8,0),"")</f>
        <v>4.5231</v>
      </c>
      <c r="F170" s="29" t="n">
        <f aca="false">IFERROR(VLOOKUP("Nutella Burger Capsuni",'FOOD COST'!$A:$Y,10,0),"")</f>
        <v>10.8108108108108</v>
      </c>
      <c r="G170" s="29" t="n">
        <f aca="false">IFERROR(VLOOKUP("Nutella Burger Capsuni",'FOOD COST'!$A:$Y,18,0),"")</f>
        <v>10.8108108108108</v>
      </c>
      <c r="H170" s="29" t="n">
        <f aca="false">IFERROR(VLOOKUP("Nutella Burger Capsuni",'FOOD COST'!$A:$Y,21,0),"")</f>
        <v>10.8108108108108</v>
      </c>
      <c r="I170" s="29" t="n">
        <f aca="false">IFERROR(VLOOKUP("Nutella Burger Capsuni",'FOOD COST'!$A:$Y,24,0),"")</f>
        <v>10.8108108108108</v>
      </c>
      <c r="J170" s="32" t="n">
        <f aca="false">IF(OR(C170="",NOT(ISNUMBER(D170))),"",C170*D170)</f>
        <v>18255.2316</v>
      </c>
      <c r="K170" s="52" t="n">
        <f aca="false">IF(OR(C170="",NOT(ISNUMBER(E170))),"",C170*E170)</f>
        <v>18255.2316</v>
      </c>
      <c r="L170" s="32" t="n">
        <f aca="false">IF(OR(C170="",NOT(ISNUMBER(F170))),"",C170*F170)</f>
        <v>43632.4324324324</v>
      </c>
      <c r="M170" s="32" t="n">
        <f aca="false">IF(OR(C170="",NOT(ISNUMBER(G170))),"",C170*G170)</f>
        <v>43632.4324324324</v>
      </c>
      <c r="N170" s="32" t="n">
        <f aca="false">IF(OR(C170="",NOT(ISNUMBER(H170))),"",C170*H170)</f>
        <v>43632.4324324324</v>
      </c>
      <c r="O170" s="32" t="n">
        <f aca="false">IF(OR(C170="",NOT(ISNUMBER(I170))),"",C170*I170)</f>
        <v>43632.4324324324</v>
      </c>
    </row>
    <row r="171" customFormat="false" ht="15" hidden="false" customHeight="true" outlineLevel="0" collapsed="false">
      <c r="A171" s="5" t="s">
        <v>791</v>
      </c>
      <c r="B171" s="5" t="s">
        <v>645</v>
      </c>
      <c r="C171" s="51" t="n">
        <v>1531</v>
      </c>
      <c r="D171" s="29" t="n">
        <f aca="false">IFERROR(VLOOKUP("Nutella Burger Capsuni D",'FOOD COST'!$A:$Y,7,0),"")</f>
        <v>4.5231</v>
      </c>
      <c r="E171" s="30" t="n">
        <f aca="false">IFERROR(VLOOKUP("Nutella Burger Capsuni D",'FOOD COST'!$A:$Y,8,0),"")</f>
        <v>4.5231</v>
      </c>
      <c r="F171" s="29" t="n">
        <f aca="false">IFERROR(VLOOKUP("Nutella Burger Capsuni D",'FOOD COST'!$A:$Y,10,0),"")</f>
        <v>12.6126126126126</v>
      </c>
      <c r="G171" s="29" t="n">
        <f aca="false">IFERROR(VLOOKUP("Nutella Burger Capsuni D",'FOOD COST'!$A:$Y,18,0),"")</f>
        <v>12.6126126126126</v>
      </c>
      <c r="H171" s="29" t="n">
        <f aca="false">IFERROR(VLOOKUP("Nutella Burger Capsuni D",'FOOD COST'!$A:$Y,21,0),"")</f>
        <v>12.6126126126126</v>
      </c>
      <c r="I171" s="29" t="n">
        <f aca="false">IFERROR(VLOOKUP("Nutella Burger Capsuni D",'FOOD COST'!$A:$Y,24,0),"")</f>
        <v>12.6126126126126</v>
      </c>
      <c r="J171" s="32" t="n">
        <f aca="false">IF(OR(C171="",NOT(ISNUMBER(D171))),"",C171*D171)</f>
        <v>6924.8661</v>
      </c>
      <c r="K171" s="52" t="n">
        <f aca="false">IF(OR(C171="",NOT(ISNUMBER(E171))),"",C171*E171)</f>
        <v>6924.8661</v>
      </c>
      <c r="L171" s="32" t="n">
        <f aca="false">IF(OR(C171="",NOT(ISNUMBER(F171))),"",C171*F171)</f>
        <v>19309.9099099099</v>
      </c>
      <c r="M171" s="32" t="n">
        <f aca="false">IF(OR(C171="",NOT(ISNUMBER(G171))),"",C171*G171)</f>
        <v>19309.9099099099</v>
      </c>
      <c r="N171" s="32" t="n">
        <f aca="false">IF(OR(C171="",NOT(ISNUMBER(H171))),"",C171*H171)</f>
        <v>19309.9099099099</v>
      </c>
      <c r="O171" s="32" t="n">
        <f aca="false">IF(OR(C171="",NOT(ISNUMBER(I171))),"",C171*I171)</f>
        <v>19309.9099099099</v>
      </c>
    </row>
    <row r="172" customFormat="false" ht="15" hidden="false" customHeight="true" outlineLevel="0" collapsed="false">
      <c r="A172" s="5" t="s">
        <v>792</v>
      </c>
      <c r="B172" s="5" t="s">
        <v>642</v>
      </c>
      <c r="C172" s="51" t="n">
        <v>3353</v>
      </c>
      <c r="D172" s="29" t="n">
        <f aca="false">IFERROR(VLOOKUP("Nutella Burger Banane",'FOOD COST'!$A:$Y,7,0),"")</f>
        <v>4.1231</v>
      </c>
      <c r="E172" s="30" t="n">
        <f aca="false">IFERROR(VLOOKUP("Nutella Burger Banane",'FOOD COST'!$A:$Y,8,0),"")</f>
        <v>4.1231</v>
      </c>
      <c r="F172" s="29" t="n">
        <f aca="false">IFERROR(VLOOKUP("Nutella Burger Banane",'FOOD COST'!$A:$Y,10,0),"")</f>
        <v>10.8108108108108</v>
      </c>
      <c r="G172" s="29" t="n">
        <f aca="false">IFERROR(VLOOKUP("Nutella Burger Banane",'FOOD COST'!$A:$Y,18,0),"")</f>
        <v>10.8108108108108</v>
      </c>
      <c r="H172" s="29" t="n">
        <f aca="false">IFERROR(VLOOKUP("Nutella Burger Banane",'FOOD COST'!$A:$Y,21,0),"")</f>
        <v>10.8108108108108</v>
      </c>
      <c r="I172" s="29" t="n">
        <f aca="false">IFERROR(VLOOKUP("Nutella Burger Banane",'FOOD COST'!$A:$Y,24,0),"")</f>
        <v>10.8108108108108</v>
      </c>
      <c r="J172" s="32" t="n">
        <f aca="false">IF(OR(C172="",NOT(ISNUMBER(D172))),"",C172*D172)</f>
        <v>13824.7543</v>
      </c>
      <c r="K172" s="52" t="n">
        <f aca="false">IF(OR(C172="",NOT(ISNUMBER(E172))),"",C172*E172)</f>
        <v>13824.7543</v>
      </c>
      <c r="L172" s="32" t="n">
        <f aca="false">IF(OR(C172="",NOT(ISNUMBER(F172))),"",C172*F172)</f>
        <v>36248.6486486487</v>
      </c>
      <c r="M172" s="32" t="n">
        <f aca="false">IF(OR(C172="",NOT(ISNUMBER(G172))),"",C172*G172)</f>
        <v>36248.6486486487</v>
      </c>
      <c r="N172" s="32" t="n">
        <f aca="false">IF(OR(C172="",NOT(ISNUMBER(H172))),"",C172*H172)</f>
        <v>36248.6486486487</v>
      </c>
      <c r="O172" s="32" t="n">
        <f aca="false">IF(OR(C172="",NOT(ISNUMBER(I172))),"",C172*I172)</f>
        <v>36248.6486486487</v>
      </c>
    </row>
    <row r="173" customFormat="false" ht="15" hidden="false" customHeight="true" outlineLevel="0" collapsed="false">
      <c r="A173" s="5" t="s">
        <v>793</v>
      </c>
      <c r="B173" s="5" t="s">
        <v>645</v>
      </c>
      <c r="C173" s="51" t="n">
        <v>1239</v>
      </c>
      <c r="D173" s="29" t="n">
        <f aca="false">IFERROR(VLOOKUP("Nutella Burger Banane D",'FOOD COST'!$A:$Y,7,0),"")</f>
        <v>4.1231</v>
      </c>
      <c r="E173" s="30" t="n">
        <f aca="false">IFERROR(VLOOKUP("Nutella Burger Banane D",'FOOD COST'!$A:$Y,8,0),"")</f>
        <v>4.1231</v>
      </c>
      <c r="F173" s="29" t="n">
        <f aca="false">IFERROR(VLOOKUP("Nutella Burger Banane D",'FOOD COST'!$A:$Y,10,0),"")</f>
        <v>12.6126126126126</v>
      </c>
      <c r="G173" s="29" t="n">
        <f aca="false">IFERROR(VLOOKUP("Nutella Burger Banane D",'FOOD COST'!$A:$Y,18,0),"")</f>
        <v>12.6126126126126</v>
      </c>
      <c r="H173" s="29" t="n">
        <f aca="false">IFERROR(VLOOKUP("Nutella Burger Banane D",'FOOD COST'!$A:$Y,21,0),"")</f>
        <v>12.6126126126126</v>
      </c>
      <c r="I173" s="29" t="n">
        <f aca="false">IFERROR(VLOOKUP("Nutella Burger Banane D",'FOOD COST'!$A:$Y,24,0),"")</f>
        <v>12.6126126126126</v>
      </c>
      <c r="J173" s="32" t="n">
        <f aca="false">IF(OR(C173="",NOT(ISNUMBER(D173))),"",C173*D173)</f>
        <v>5108.5209</v>
      </c>
      <c r="K173" s="52" t="n">
        <f aca="false">IF(OR(C173="",NOT(ISNUMBER(E173))),"",C173*E173)</f>
        <v>5108.5209</v>
      </c>
      <c r="L173" s="32" t="n">
        <f aca="false">IF(OR(C173="",NOT(ISNUMBER(F173))),"",C173*F173)</f>
        <v>15627.027027027</v>
      </c>
      <c r="M173" s="32" t="n">
        <f aca="false">IF(OR(C173="",NOT(ISNUMBER(G173))),"",C173*G173)</f>
        <v>15627.027027027</v>
      </c>
      <c r="N173" s="32" t="n">
        <f aca="false">IF(OR(C173="",NOT(ISNUMBER(H173))),"",C173*H173)</f>
        <v>15627.027027027</v>
      </c>
      <c r="O173" s="32" t="n">
        <f aca="false">IF(OR(C173="",NOT(ISNUMBER(I173))),"",C173*I173)</f>
        <v>15627.027027027</v>
      </c>
    </row>
    <row r="174" customFormat="false" ht="15" hidden="false" customHeight="true" outlineLevel="0" collapsed="false">
      <c r="A174" s="5" t="s">
        <v>794</v>
      </c>
      <c r="B174" s="5" t="s">
        <v>642</v>
      </c>
      <c r="C174" s="51" t="n">
        <v>1719</v>
      </c>
      <c r="D174" s="29" t="n">
        <f aca="false">IFERROR(VLOOKUP("Milkshake Biscoff 300G",'FOOD COST'!$A:$Y,7,0),"")</f>
        <v>6.66</v>
      </c>
      <c r="E174" s="30" t="n">
        <f aca="false">IFERROR(VLOOKUP("Milkshake Biscoff 300G",'FOOD COST'!$A:$Y,8,0),"")</f>
        <v>6.66</v>
      </c>
      <c r="F174" s="29" t="n">
        <f aca="false">IFERROR(VLOOKUP("Milkshake Biscoff 300G",'FOOD COST'!$A:$Y,10,0),"")</f>
        <v>16.2162162162162</v>
      </c>
      <c r="G174" s="29" t="n">
        <f aca="false">IFERROR(VLOOKUP("Milkshake Biscoff 300G",'FOOD COST'!$A:$Y,18,0),"")</f>
        <v>16.2162162162162</v>
      </c>
      <c r="H174" s="29" t="n">
        <f aca="false">IFERROR(VLOOKUP("Milkshake Biscoff 300G",'FOOD COST'!$A:$Y,21,0),"")</f>
        <v>16.2162162162162</v>
      </c>
      <c r="I174" s="29" t="n">
        <f aca="false">IFERROR(VLOOKUP("Milkshake Biscoff 300G",'FOOD COST'!$A:$Y,24,0),"")</f>
        <v>16.2162162162162</v>
      </c>
      <c r="J174" s="32" t="n">
        <f aca="false">IF(OR(C174="",NOT(ISNUMBER(D174))),"",C174*D174)</f>
        <v>11448.54</v>
      </c>
      <c r="K174" s="52" t="n">
        <f aca="false">IF(OR(C174="",NOT(ISNUMBER(E174))),"",C174*E174)</f>
        <v>11448.54</v>
      </c>
      <c r="L174" s="32" t="n">
        <f aca="false">IF(OR(C174="",NOT(ISNUMBER(F174))),"",C174*F174)</f>
        <v>27875.6756756757</v>
      </c>
      <c r="M174" s="32" t="n">
        <f aca="false">IF(OR(C174="",NOT(ISNUMBER(G174))),"",C174*G174)</f>
        <v>27875.6756756757</v>
      </c>
      <c r="N174" s="32" t="n">
        <f aca="false">IF(OR(C174="",NOT(ISNUMBER(H174))),"",C174*H174)</f>
        <v>27875.6756756757</v>
      </c>
      <c r="O174" s="32" t="n">
        <f aca="false">IF(OR(C174="",NOT(ISNUMBER(I174))),"",C174*I174)</f>
        <v>27875.6756756757</v>
      </c>
    </row>
    <row r="175" customFormat="false" ht="15" hidden="false" customHeight="true" outlineLevel="0" collapsed="false">
      <c r="A175" s="5" t="s">
        <v>795</v>
      </c>
      <c r="B175" s="5" t="s">
        <v>642</v>
      </c>
      <c r="C175" s="51" t="n">
        <v>595</v>
      </c>
      <c r="D175" s="29" t="n">
        <f aca="false">IFERROR(VLOOKUP("Milkshake Apple Cinnamon 300G",'FOOD COST'!$A:$Y,7,0),"")</f>
        <v>6.6574</v>
      </c>
      <c r="E175" s="30" t="n">
        <f aca="false">IFERROR(VLOOKUP("Milkshake Apple Cinnamon 300G",'FOOD COST'!$A:$Y,8,0),"")</f>
        <v>6.6574</v>
      </c>
      <c r="F175" s="29" t="n">
        <f aca="false">IFERROR(VLOOKUP("Milkshake Apple Cinnamon 300G",'FOOD COST'!$A:$Y,10,0),"")</f>
        <v>16.2162162162162</v>
      </c>
      <c r="G175" s="29" t="n">
        <f aca="false">IFERROR(VLOOKUP("Milkshake Apple Cinnamon 300G",'FOOD COST'!$A:$Y,18,0),"")</f>
        <v>16.2162162162162</v>
      </c>
      <c r="H175" s="29" t="n">
        <f aca="false">IFERROR(VLOOKUP("Milkshake Apple Cinnamon 300G",'FOOD COST'!$A:$Y,21,0),"")</f>
        <v>16.2162162162162</v>
      </c>
      <c r="I175" s="29" t="n">
        <f aca="false">IFERROR(VLOOKUP("Milkshake Apple Cinnamon 300G",'FOOD COST'!$A:$Y,24,0),"")</f>
        <v>16.2162162162162</v>
      </c>
      <c r="J175" s="32" t="n">
        <f aca="false">IF(OR(C175="",NOT(ISNUMBER(D175))),"",C175*D175)</f>
        <v>3961.153</v>
      </c>
      <c r="K175" s="52" t="n">
        <f aca="false">IF(OR(C175="",NOT(ISNUMBER(E175))),"",C175*E175)</f>
        <v>3961.153</v>
      </c>
      <c r="L175" s="32" t="n">
        <f aca="false">IF(OR(C175="",NOT(ISNUMBER(F175))),"",C175*F175)</f>
        <v>9648.64864864865</v>
      </c>
      <c r="M175" s="32" t="n">
        <f aca="false">IF(OR(C175="",NOT(ISNUMBER(G175))),"",C175*G175)</f>
        <v>9648.64864864865</v>
      </c>
      <c r="N175" s="32" t="n">
        <f aca="false">IF(OR(C175="",NOT(ISNUMBER(H175))),"",C175*H175)</f>
        <v>9648.64864864865</v>
      </c>
      <c r="O175" s="32" t="n">
        <f aca="false">IF(OR(C175="",NOT(ISNUMBER(I175))),"",C175*I175)</f>
        <v>9648.64864864865</v>
      </c>
    </row>
    <row r="176" customFormat="false" ht="15" hidden="false" customHeight="true" outlineLevel="0" collapsed="false">
      <c r="A176" s="5" t="s">
        <v>796</v>
      </c>
      <c r="B176" s="5" t="s">
        <v>642</v>
      </c>
      <c r="C176" s="51" t="n">
        <v>1768</v>
      </c>
      <c r="D176" s="29" t="n">
        <f aca="false">IFERROR(VLOOKUP("Milkshake Vanilie 300G",'FOOD COST'!$A:$Y,7,0),"")</f>
        <v>5.151</v>
      </c>
      <c r="E176" s="30" t="n">
        <f aca="false">IFERROR(VLOOKUP("Milkshake Vanilie 300G",'FOOD COST'!$A:$Y,8,0),"")</f>
        <v>5.151</v>
      </c>
      <c r="F176" s="29" t="n">
        <f aca="false">IFERROR(VLOOKUP("Milkshake Vanilie 300G",'FOOD COST'!$A:$Y,10,0),"")</f>
        <v>16.2162162162162</v>
      </c>
      <c r="G176" s="29" t="n">
        <f aca="false">IFERROR(VLOOKUP("Milkshake Vanilie 300G",'FOOD COST'!$A:$Y,18,0),"")</f>
        <v>16.2162162162162</v>
      </c>
      <c r="H176" s="29" t="n">
        <f aca="false">IFERROR(VLOOKUP("Milkshake Vanilie 300G",'FOOD COST'!$A:$Y,21,0),"")</f>
        <v>16.2162162162162</v>
      </c>
      <c r="I176" s="29" t="n">
        <f aca="false">IFERROR(VLOOKUP("Milkshake Vanilie 300G",'FOOD COST'!$A:$Y,24,0),"")</f>
        <v>16.2162162162162</v>
      </c>
      <c r="J176" s="32" t="n">
        <f aca="false">IF(OR(C176="",NOT(ISNUMBER(D176))),"",C176*D176)</f>
        <v>9106.968</v>
      </c>
      <c r="K176" s="52" t="n">
        <f aca="false">IF(OR(C176="",NOT(ISNUMBER(E176))),"",C176*E176)</f>
        <v>9106.968</v>
      </c>
      <c r="L176" s="32" t="n">
        <f aca="false">IF(OR(C176="",NOT(ISNUMBER(F176))),"",C176*F176)</f>
        <v>28670.2702702703</v>
      </c>
      <c r="M176" s="32" t="n">
        <f aca="false">IF(OR(C176="",NOT(ISNUMBER(G176))),"",C176*G176)</f>
        <v>28670.2702702703</v>
      </c>
      <c r="N176" s="32" t="n">
        <f aca="false">IF(OR(C176="",NOT(ISNUMBER(H176))),"",C176*H176)</f>
        <v>28670.2702702703</v>
      </c>
      <c r="O176" s="32" t="n">
        <f aca="false">IF(OR(C176="",NOT(ISNUMBER(I176))),"",C176*I176)</f>
        <v>28670.2702702703</v>
      </c>
    </row>
    <row r="177" customFormat="false" ht="15" hidden="false" customHeight="true" outlineLevel="0" collapsed="false">
      <c r="A177" s="5" t="s">
        <v>797</v>
      </c>
      <c r="B177" s="5" t="s">
        <v>642</v>
      </c>
      <c r="C177" s="51" t="n">
        <v>1064</v>
      </c>
      <c r="D177" s="29" t="n">
        <f aca="false">IFERROR(VLOOKUP("Milkshake Banane 300G",'FOOD COST'!$A:$Y,7,0),"")</f>
        <v>6.46305</v>
      </c>
      <c r="E177" s="30" t="n">
        <f aca="false">IFERROR(VLOOKUP("Milkshake Banane 300G",'FOOD COST'!$A:$Y,8,0),"")</f>
        <v>6.46305</v>
      </c>
      <c r="F177" s="29" t="n">
        <f aca="false">IFERROR(VLOOKUP("Milkshake Banane 300G",'FOOD COST'!$A:$Y,10,0),"")</f>
        <v>16.2162162162162</v>
      </c>
      <c r="G177" s="29" t="n">
        <f aca="false">IFERROR(VLOOKUP("Milkshake Banane 300G",'FOOD COST'!$A:$Y,18,0),"")</f>
        <v>16.2162162162162</v>
      </c>
      <c r="H177" s="29" t="n">
        <f aca="false">IFERROR(VLOOKUP("Milkshake Banane 300G",'FOOD COST'!$A:$Y,21,0),"")</f>
        <v>16.2162162162162</v>
      </c>
      <c r="I177" s="29" t="n">
        <f aca="false">IFERROR(VLOOKUP("Milkshake Banane 300G",'FOOD COST'!$A:$Y,24,0),"")</f>
        <v>16.2162162162162</v>
      </c>
      <c r="J177" s="32" t="n">
        <f aca="false">IF(OR(C177="",NOT(ISNUMBER(D177))),"",C177*D177)</f>
        <v>6876.6852</v>
      </c>
      <c r="K177" s="52" t="n">
        <f aca="false">IF(OR(C177="",NOT(ISNUMBER(E177))),"",C177*E177)</f>
        <v>6876.6852</v>
      </c>
      <c r="L177" s="32" t="n">
        <f aca="false">IF(OR(C177="",NOT(ISNUMBER(F177))),"",C177*F177)</f>
        <v>17254.0540540541</v>
      </c>
      <c r="M177" s="32" t="n">
        <f aca="false">IF(OR(C177="",NOT(ISNUMBER(G177))),"",C177*G177)</f>
        <v>17254.0540540541</v>
      </c>
      <c r="N177" s="32" t="n">
        <f aca="false">IF(OR(C177="",NOT(ISNUMBER(H177))),"",C177*H177)</f>
        <v>17254.0540540541</v>
      </c>
      <c r="O177" s="32" t="n">
        <f aca="false">IF(OR(C177="",NOT(ISNUMBER(I177))),"",C177*I177)</f>
        <v>17254.0540540541</v>
      </c>
    </row>
    <row r="178" customFormat="false" ht="15" hidden="false" customHeight="true" outlineLevel="0" collapsed="false">
      <c r="A178" s="5" t="s">
        <v>798</v>
      </c>
      <c r="B178" s="5" t="s">
        <v>642</v>
      </c>
      <c r="C178" s="51" t="n">
        <v>1657</v>
      </c>
      <c r="D178" s="29" t="n">
        <f aca="false">IFERROR(VLOOKUP("Milkshake Capsuni 300G",'FOOD COST'!$A:$Y,7,0),"")</f>
        <v>6.46305</v>
      </c>
      <c r="E178" s="30" t="n">
        <f aca="false">IFERROR(VLOOKUP("Milkshake Capsuni 300G",'FOOD COST'!$A:$Y,8,0),"")</f>
        <v>6.46305</v>
      </c>
      <c r="F178" s="29" t="n">
        <f aca="false">IFERROR(VLOOKUP("Milkshake Capsuni 300G",'FOOD COST'!$A:$Y,10,0),"")</f>
        <v>16.2162162162162</v>
      </c>
      <c r="G178" s="29" t="n">
        <f aca="false">IFERROR(VLOOKUP("Milkshake Capsuni 300G",'FOOD COST'!$A:$Y,18,0),"")</f>
        <v>16.2162162162162</v>
      </c>
      <c r="H178" s="29" t="n">
        <f aca="false">IFERROR(VLOOKUP("Milkshake Capsuni 300G",'FOOD COST'!$A:$Y,21,0),"")</f>
        <v>16.2162162162162</v>
      </c>
      <c r="I178" s="29" t="n">
        <f aca="false">IFERROR(VLOOKUP("Milkshake Capsuni 300G",'FOOD COST'!$A:$Y,24,0),"")</f>
        <v>16.2162162162162</v>
      </c>
      <c r="J178" s="32" t="n">
        <f aca="false">IF(OR(C178="",NOT(ISNUMBER(D178))),"",C178*D178)</f>
        <v>10709.27385</v>
      </c>
      <c r="K178" s="52" t="n">
        <f aca="false">IF(OR(C178="",NOT(ISNUMBER(E178))),"",C178*E178)</f>
        <v>10709.27385</v>
      </c>
      <c r="L178" s="32" t="n">
        <f aca="false">IF(OR(C178="",NOT(ISNUMBER(F178))),"",C178*F178)</f>
        <v>26870.2702702703</v>
      </c>
      <c r="M178" s="32" t="n">
        <f aca="false">IF(OR(C178="",NOT(ISNUMBER(G178))),"",C178*G178)</f>
        <v>26870.2702702703</v>
      </c>
      <c r="N178" s="32" t="n">
        <f aca="false">IF(OR(C178="",NOT(ISNUMBER(H178))),"",C178*H178)</f>
        <v>26870.2702702703</v>
      </c>
      <c r="O178" s="32" t="n">
        <f aca="false">IF(OR(C178="",NOT(ISNUMBER(I178))),"",C178*I178)</f>
        <v>26870.2702702703</v>
      </c>
    </row>
    <row r="179" customFormat="false" ht="15" hidden="false" customHeight="true" outlineLevel="0" collapsed="false">
      <c r="A179" s="5" t="s">
        <v>799</v>
      </c>
      <c r="B179" s="5" t="s">
        <v>642</v>
      </c>
      <c r="C179" s="51" t="n">
        <v>1826</v>
      </c>
      <c r="D179" s="29" t="n">
        <f aca="false">IFERROR(VLOOKUP("Milkshake Ciocolata 300G",'FOOD COST'!$A:$Y,7,0),"")</f>
        <v>6.0675</v>
      </c>
      <c r="E179" s="30" t="n">
        <f aca="false">IFERROR(VLOOKUP("Milkshake Ciocolata 300G",'FOOD COST'!$A:$Y,8,0),"")</f>
        <v>6.0675</v>
      </c>
      <c r="F179" s="29" t="n">
        <f aca="false">IFERROR(VLOOKUP("Milkshake Ciocolata 300G",'FOOD COST'!$A:$Y,10,0),"")</f>
        <v>16.2162162162162</v>
      </c>
      <c r="G179" s="29" t="n">
        <f aca="false">IFERROR(VLOOKUP("Milkshake Ciocolata 300G",'FOOD COST'!$A:$Y,18,0),"")</f>
        <v>16.2162162162162</v>
      </c>
      <c r="H179" s="29" t="n">
        <f aca="false">IFERROR(VLOOKUP("Milkshake Ciocolata 300G",'FOOD COST'!$A:$Y,21,0),"")</f>
        <v>16.2162162162162</v>
      </c>
      <c r="I179" s="29" t="n">
        <f aca="false">IFERROR(VLOOKUP("Milkshake Ciocolata 300G",'FOOD COST'!$A:$Y,24,0),"")</f>
        <v>16.2162162162162</v>
      </c>
      <c r="J179" s="32" t="n">
        <f aca="false">IF(OR(C179="",NOT(ISNUMBER(D179))),"",C179*D179)</f>
        <v>11079.255</v>
      </c>
      <c r="K179" s="52" t="n">
        <f aca="false">IF(OR(C179="",NOT(ISNUMBER(E179))),"",C179*E179)</f>
        <v>11079.255</v>
      </c>
      <c r="L179" s="32" t="n">
        <f aca="false">IF(OR(C179="",NOT(ISNUMBER(F179))),"",C179*F179)</f>
        <v>29610.8108108108</v>
      </c>
      <c r="M179" s="32" t="n">
        <f aca="false">IF(OR(C179="",NOT(ISNUMBER(G179))),"",C179*G179)</f>
        <v>29610.8108108108</v>
      </c>
      <c r="N179" s="32" t="n">
        <f aca="false">IF(OR(C179="",NOT(ISNUMBER(H179))),"",C179*H179)</f>
        <v>29610.8108108108</v>
      </c>
      <c r="O179" s="32" t="n">
        <f aca="false">IF(OR(C179="",NOT(ISNUMBER(I179))),"",C179*I179)</f>
        <v>29610.8108108108</v>
      </c>
    </row>
    <row r="180" customFormat="false" ht="15" hidden="false" customHeight="true" outlineLevel="0" collapsed="false">
      <c r="A180" s="5" t="s">
        <v>800</v>
      </c>
      <c r="B180" s="5" t="s">
        <v>642</v>
      </c>
      <c r="C180" s="51" t="n">
        <v>5079</v>
      </c>
      <c r="D180" s="29" t="n">
        <f aca="false">IFERROR(VLOOKUP("APPLE PIE TOFFIE 2X",'FOOD COST'!$A:$Y,7,0),"")</f>
        <v>7.336</v>
      </c>
      <c r="E180" s="30" t="n">
        <f aca="false">IFERROR(VLOOKUP("APPLE PIE TOFFIE 2X",'FOOD COST'!$A:$Y,8,0),"")</f>
        <v>7.336</v>
      </c>
      <c r="F180" s="29" t="n">
        <f aca="false">IFERROR(VLOOKUP("APPLE PIE TOFFIE 2X",'FOOD COST'!$A:$Y,10,0),"")</f>
        <v>13.5135135135135</v>
      </c>
      <c r="G180" s="29" t="n">
        <f aca="false">IFERROR(VLOOKUP("APPLE PIE TOFFIE 2X",'FOOD COST'!$A:$Y,18,0),"")</f>
        <v>13.5135135135135</v>
      </c>
      <c r="H180" s="29" t="n">
        <f aca="false">IFERROR(VLOOKUP("APPLE PIE TOFFIE 2X",'FOOD COST'!$A:$Y,21,0),"")</f>
        <v>13.5135135135135</v>
      </c>
      <c r="I180" s="29" t="n">
        <f aca="false">IFERROR(VLOOKUP("APPLE PIE TOFFIE 2X",'FOOD COST'!$A:$Y,24,0),"")</f>
        <v>13.5135135135135</v>
      </c>
      <c r="J180" s="32" t="n">
        <f aca="false">IF(OR(C180="",NOT(ISNUMBER(D180))),"",C180*D180)</f>
        <v>37259.544</v>
      </c>
      <c r="K180" s="52" t="n">
        <f aca="false">IF(OR(C180="",NOT(ISNUMBER(E180))),"",C180*E180)</f>
        <v>37259.544</v>
      </c>
      <c r="L180" s="32" t="n">
        <f aca="false">IF(OR(C180="",NOT(ISNUMBER(F180))),"",C180*F180)</f>
        <v>68635.1351351351</v>
      </c>
      <c r="M180" s="32" t="n">
        <f aca="false">IF(OR(C180="",NOT(ISNUMBER(G180))),"",C180*G180)</f>
        <v>68635.1351351351</v>
      </c>
      <c r="N180" s="32" t="n">
        <f aca="false">IF(OR(C180="",NOT(ISNUMBER(H180))),"",C180*H180)</f>
        <v>68635.1351351351</v>
      </c>
      <c r="O180" s="32" t="n">
        <f aca="false">IF(OR(C180="",NOT(ISNUMBER(I180))),"",C180*I180)</f>
        <v>68635.1351351351</v>
      </c>
    </row>
    <row r="181" customFormat="false" ht="15" hidden="false" customHeight="true" outlineLevel="0" collapsed="false">
      <c r="A181" s="5" t="s">
        <v>801</v>
      </c>
      <c r="B181" s="5" t="s">
        <v>645</v>
      </c>
      <c r="C181" s="51" t="n">
        <v>2900</v>
      </c>
      <c r="D181" s="29" t="n">
        <f aca="false">IFERROR(VLOOKUP("APPLE PIE TOFFIE 2X D",'FOOD COST'!$A:$Y,7,0),"")</f>
        <v>7.336</v>
      </c>
      <c r="E181" s="30" t="n">
        <f aca="false">IFERROR(VLOOKUP("APPLE PIE TOFFIE 2X D",'FOOD COST'!$A:$Y,8,0),"")</f>
        <v>7.336</v>
      </c>
      <c r="F181" s="29" t="n">
        <f aca="false">IFERROR(VLOOKUP("APPLE PIE TOFFIE 2X D",'FOOD COST'!$A:$Y,10,0),"")</f>
        <v>13.5135135135135</v>
      </c>
      <c r="G181" s="29" t="n">
        <f aca="false">IFERROR(VLOOKUP("APPLE PIE TOFFIE 2X D",'FOOD COST'!$A:$Y,18,0),"")</f>
        <v>13.5135135135135</v>
      </c>
      <c r="H181" s="29" t="n">
        <f aca="false">IFERROR(VLOOKUP("APPLE PIE TOFFIE 2X D",'FOOD COST'!$A:$Y,21,0),"")</f>
        <v>13.5135135135135</v>
      </c>
      <c r="I181" s="29" t="n">
        <f aca="false">IFERROR(VLOOKUP("APPLE PIE TOFFIE 2X D",'FOOD COST'!$A:$Y,24,0),"")</f>
        <v>13.5135135135135</v>
      </c>
      <c r="J181" s="32" t="n">
        <f aca="false">IF(OR(C181="",NOT(ISNUMBER(D181))),"",C181*D181)</f>
        <v>21274.4</v>
      </c>
      <c r="K181" s="52" t="n">
        <f aca="false">IF(OR(C181="",NOT(ISNUMBER(E181))),"",C181*E181)</f>
        <v>21274.4</v>
      </c>
      <c r="L181" s="32" t="n">
        <f aca="false">IF(OR(C181="",NOT(ISNUMBER(F181))),"",C181*F181)</f>
        <v>39189.1891891892</v>
      </c>
      <c r="M181" s="32" t="n">
        <f aca="false">IF(OR(C181="",NOT(ISNUMBER(G181))),"",C181*G181)</f>
        <v>39189.1891891892</v>
      </c>
      <c r="N181" s="32" t="n">
        <f aca="false">IF(OR(C181="",NOT(ISNUMBER(H181))),"",C181*H181)</f>
        <v>39189.1891891892</v>
      </c>
      <c r="O181" s="32" t="n">
        <f aca="false">IF(OR(C181="",NOT(ISNUMBER(I181))),"",C181*I181)</f>
        <v>39189.1891891892</v>
      </c>
    </row>
    <row r="182" customFormat="false" ht="15" hidden="false" customHeight="true" outlineLevel="0" collapsed="false">
      <c r="A182" s="5" t="s">
        <v>802</v>
      </c>
      <c r="B182" s="5" t="s">
        <v>642</v>
      </c>
      <c r="C182" s="51" t="n">
        <v>22</v>
      </c>
      <c r="D182" s="29" t="n">
        <f aca="false">IFERROR(VLOOKUP("ADD-ON Nutella",'FOOD COST'!$A:$Y,7,0),"")</f>
        <v>0.82485</v>
      </c>
      <c r="E182" s="30" t="n">
        <f aca="false">IFERROR(VLOOKUP("ADD-ON Nutella",'FOOD COST'!$A:$Y,8,0),"")</f>
        <v>0.82485</v>
      </c>
      <c r="F182" s="29" t="n">
        <f aca="false">IFERROR(VLOOKUP("ADD-ON Nutella",'FOOD COST'!$A:$Y,10,0),"")</f>
        <v>2.7027027027027</v>
      </c>
      <c r="G182" s="29" t="n">
        <f aca="false">IFERROR(VLOOKUP("ADD-ON Nutella",'FOOD COST'!$A:$Y,18,0),"")</f>
        <v>2.7027027027027</v>
      </c>
      <c r="H182" s="29" t="n">
        <f aca="false">IFERROR(VLOOKUP("ADD-ON Nutella",'FOOD COST'!$A:$Y,21,0),"")</f>
        <v>2.7027027027027</v>
      </c>
      <c r="I182" s="29" t="n">
        <f aca="false">IFERROR(VLOOKUP("ADD-ON Nutella",'FOOD COST'!$A:$Y,24,0),"")</f>
        <v>2.7027027027027</v>
      </c>
      <c r="J182" s="32" t="n">
        <f aca="false">IF(OR(C182="",NOT(ISNUMBER(D182))),"",C182*D182)</f>
        <v>18.1467</v>
      </c>
      <c r="K182" s="52" t="n">
        <f aca="false">IF(OR(C182="",NOT(ISNUMBER(E182))),"",C182*E182)</f>
        <v>18.1467</v>
      </c>
      <c r="L182" s="32" t="n">
        <f aca="false">IF(OR(C182="",NOT(ISNUMBER(F182))),"",C182*F182)</f>
        <v>59.4594594594595</v>
      </c>
      <c r="M182" s="32" t="n">
        <f aca="false">IF(OR(C182="",NOT(ISNUMBER(G182))),"",C182*G182)</f>
        <v>59.4594594594595</v>
      </c>
      <c r="N182" s="32" t="n">
        <f aca="false">IF(OR(C182="",NOT(ISNUMBER(H182))),"",C182*H182)</f>
        <v>59.4594594594595</v>
      </c>
      <c r="O182" s="32" t="n">
        <f aca="false">IF(OR(C182="",NOT(ISNUMBER(I182))),"",C182*I182)</f>
        <v>59.4594594594595</v>
      </c>
    </row>
    <row r="183" customFormat="false" ht="15" hidden="false" customHeight="true" outlineLevel="0" collapsed="false">
      <c r="A183" s="5" t="s">
        <v>803</v>
      </c>
      <c r="B183" s="5" t="s">
        <v>642</v>
      </c>
      <c r="C183" s="51" t="n">
        <v>38</v>
      </c>
      <c r="D183" s="29" t="n">
        <f aca="false">IFERROR(VLOOKUP("ADD-ON Banane",'FOOD COST'!$A:$Y,7,0),"")</f>
        <v>0.28</v>
      </c>
      <c r="E183" s="30" t="n">
        <f aca="false">IFERROR(VLOOKUP("ADD-ON Banane",'FOOD COST'!$A:$Y,8,0),"")</f>
        <v>0.28</v>
      </c>
      <c r="F183" s="29" t="n">
        <f aca="false">IFERROR(VLOOKUP("ADD-ON Banane",'FOOD COST'!$A:$Y,10,0),"")</f>
        <v>2.7027027027027</v>
      </c>
      <c r="G183" s="29" t="n">
        <f aca="false">IFERROR(VLOOKUP("ADD-ON Banane",'FOOD COST'!$A:$Y,18,0),"")</f>
        <v>2.7027027027027</v>
      </c>
      <c r="H183" s="29" t="n">
        <f aca="false">IFERROR(VLOOKUP("ADD-ON Banane",'FOOD COST'!$A:$Y,21,0),"")</f>
        <v>2.7027027027027</v>
      </c>
      <c r="I183" s="29" t="n">
        <f aca="false">IFERROR(VLOOKUP("ADD-ON Banane",'FOOD COST'!$A:$Y,24,0),"")</f>
        <v>2.7027027027027</v>
      </c>
      <c r="J183" s="32" t="n">
        <f aca="false">IF(OR(C183="",NOT(ISNUMBER(D183))),"",C183*D183)</f>
        <v>10.64</v>
      </c>
      <c r="K183" s="52" t="n">
        <f aca="false">IF(OR(C183="",NOT(ISNUMBER(E183))),"",C183*E183)</f>
        <v>10.64</v>
      </c>
      <c r="L183" s="32" t="n">
        <f aca="false">IF(OR(C183="",NOT(ISNUMBER(F183))),"",C183*F183)</f>
        <v>102.702702702703</v>
      </c>
      <c r="M183" s="32" t="n">
        <f aca="false">IF(OR(C183="",NOT(ISNUMBER(G183))),"",C183*G183)</f>
        <v>102.702702702703</v>
      </c>
      <c r="N183" s="32" t="n">
        <f aca="false">IF(OR(C183="",NOT(ISNUMBER(H183))),"",C183*H183)</f>
        <v>102.702702702703</v>
      </c>
      <c r="O183" s="32" t="n">
        <f aca="false">IF(OR(C183="",NOT(ISNUMBER(I183))),"",C183*I183)</f>
        <v>102.702702702703</v>
      </c>
    </row>
    <row r="184" customFormat="false" ht="15" hidden="false" customHeight="true" outlineLevel="0" collapsed="false">
      <c r="A184" s="5" t="s">
        <v>503</v>
      </c>
      <c r="B184" s="5" t="s">
        <v>642</v>
      </c>
      <c r="C184" s="51" t="n">
        <v>9</v>
      </c>
      <c r="D184" s="29" t="n">
        <f aca="false">IFERROR(VLOOKUP("Topping Biscoff",'FOOD COST'!$A:$Y,7,0),"")</f>
        <v>1.509</v>
      </c>
      <c r="E184" s="30" t="n">
        <f aca="false">IFERROR(VLOOKUP("Topping Biscoff",'FOOD COST'!$A:$Y,8,0),"")</f>
        <v>1.509</v>
      </c>
      <c r="F184" s="29" t="n">
        <f aca="false">IFERROR(VLOOKUP("Topping Biscoff",'FOOD COST'!$A:$Y,10,0),"")</f>
        <v>3.6036036036036</v>
      </c>
      <c r="G184" s="29" t="n">
        <f aca="false">IFERROR(VLOOKUP("Topping Biscoff",'FOOD COST'!$A:$Y,18,0),"")</f>
        <v>3.6036036036036</v>
      </c>
      <c r="H184" s="29" t="n">
        <f aca="false">IFERROR(VLOOKUP("Topping Biscoff",'FOOD COST'!$A:$Y,21,0),"")</f>
        <v>3.6036036036036</v>
      </c>
      <c r="I184" s="29" t="n">
        <f aca="false">IFERROR(VLOOKUP("Topping Biscoff",'FOOD COST'!$A:$Y,24,0),"")</f>
        <v>3.6036036036036</v>
      </c>
      <c r="J184" s="32" t="n">
        <f aca="false">IF(OR(C184="",NOT(ISNUMBER(D184))),"",C184*D184)</f>
        <v>13.581</v>
      </c>
      <c r="K184" s="52" t="n">
        <f aca="false">IF(OR(C184="",NOT(ISNUMBER(E184))),"",C184*E184)</f>
        <v>13.581</v>
      </c>
      <c r="L184" s="32" t="n">
        <f aca="false">IF(OR(C184="",NOT(ISNUMBER(F184))),"",C184*F184)</f>
        <v>32.4324324324324</v>
      </c>
      <c r="M184" s="32" t="n">
        <f aca="false">IF(OR(C184="",NOT(ISNUMBER(G184))),"",C184*G184)</f>
        <v>32.4324324324324</v>
      </c>
      <c r="N184" s="32" t="n">
        <f aca="false">IF(OR(C184="",NOT(ISNUMBER(H184))),"",C184*H184)</f>
        <v>32.4324324324324</v>
      </c>
      <c r="O184" s="32" t="n">
        <f aca="false">IF(OR(C184="",NOT(ISNUMBER(I184))),"",C184*I184)</f>
        <v>32.4324324324324</v>
      </c>
    </row>
    <row r="185" customFormat="false" ht="15" hidden="false" customHeight="true" outlineLevel="0" collapsed="false">
      <c r="A185" s="5" t="s">
        <v>804</v>
      </c>
      <c r="B185" s="5" t="s">
        <v>642</v>
      </c>
      <c r="C185" s="51" t="n">
        <v>113</v>
      </c>
      <c r="D185" s="29" t="n">
        <f aca="false">IFERROR(VLOOKUP("Topping Oreo",'FOOD COST'!$A:$Y,7,0),"")</f>
        <v>1.895</v>
      </c>
      <c r="E185" s="30" t="n">
        <f aca="false">IFERROR(VLOOKUP("Topping Oreo",'FOOD COST'!$A:$Y,8,0),"")</f>
        <v>1.895</v>
      </c>
      <c r="F185" s="29" t="n">
        <f aca="false">IFERROR(VLOOKUP("Topping Oreo",'FOOD COST'!$A:$Y,10,0),"")</f>
        <v>3.6036036036036</v>
      </c>
      <c r="G185" s="29" t="n">
        <f aca="false">IFERROR(VLOOKUP("Topping Oreo",'FOOD COST'!$A:$Y,18,0),"")</f>
        <v>3.6036036036036</v>
      </c>
      <c r="H185" s="29" t="n">
        <f aca="false">IFERROR(VLOOKUP("Topping Oreo",'FOOD COST'!$A:$Y,21,0),"")</f>
        <v>3.6036036036036</v>
      </c>
      <c r="I185" s="29" t="n">
        <f aca="false">IFERROR(VLOOKUP("Topping Oreo",'FOOD COST'!$A:$Y,24,0),"")</f>
        <v>3.6036036036036</v>
      </c>
      <c r="J185" s="32" t="n">
        <f aca="false">IF(OR(C185="",NOT(ISNUMBER(D185))),"",C185*D185)</f>
        <v>214.135</v>
      </c>
      <c r="K185" s="52" t="n">
        <f aca="false">IF(OR(C185="",NOT(ISNUMBER(E185))),"",C185*E185)</f>
        <v>214.135</v>
      </c>
      <c r="L185" s="32" t="n">
        <f aca="false">IF(OR(C185="",NOT(ISNUMBER(F185))),"",C185*F185)</f>
        <v>407.207207207207</v>
      </c>
      <c r="M185" s="32" t="n">
        <f aca="false">IF(OR(C185="",NOT(ISNUMBER(G185))),"",C185*G185)</f>
        <v>407.207207207207</v>
      </c>
      <c r="N185" s="32" t="n">
        <f aca="false">IF(OR(C185="",NOT(ISNUMBER(H185))),"",C185*H185)</f>
        <v>407.207207207207</v>
      </c>
      <c r="O185" s="32" t="n">
        <f aca="false">IF(OR(C185="",NOT(ISNUMBER(I185))),"",C185*I185)</f>
        <v>407.207207207207</v>
      </c>
    </row>
    <row r="186" customFormat="false" ht="15" hidden="false" customHeight="true" outlineLevel="0" collapsed="false">
      <c r="A186" s="5" t="s">
        <v>805</v>
      </c>
      <c r="B186" s="5" t="s">
        <v>642</v>
      </c>
      <c r="C186" s="51" t="n">
        <v>64</v>
      </c>
      <c r="D186" s="29" t="n">
        <f aca="false">IFERROR(VLOOKUP("Topping KitKat",'FOOD COST'!$A:$Y,7,0),"")</f>
        <v>1.372</v>
      </c>
      <c r="E186" s="30" t="n">
        <f aca="false">IFERROR(VLOOKUP("Topping KitKat",'FOOD COST'!$A:$Y,8,0),"")</f>
        <v>1.372</v>
      </c>
      <c r="F186" s="29" t="n">
        <f aca="false">IFERROR(VLOOKUP("Topping KitKat",'FOOD COST'!$A:$Y,10,0),"")</f>
        <v>3.6036036036036</v>
      </c>
      <c r="G186" s="29" t="n">
        <f aca="false">IFERROR(VLOOKUP("Topping KitKat",'FOOD COST'!$A:$Y,18,0),"")</f>
        <v>3.6036036036036</v>
      </c>
      <c r="H186" s="29" t="n">
        <f aca="false">IFERROR(VLOOKUP("Topping KitKat",'FOOD COST'!$A:$Y,21,0),"")</f>
        <v>3.6036036036036</v>
      </c>
      <c r="I186" s="29" t="n">
        <f aca="false">IFERROR(VLOOKUP("Topping KitKat",'FOOD COST'!$A:$Y,24,0),"")</f>
        <v>3.6036036036036</v>
      </c>
      <c r="J186" s="32" t="n">
        <f aca="false">IF(OR(C186="",NOT(ISNUMBER(D186))),"",C186*D186)</f>
        <v>87.808</v>
      </c>
      <c r="K186" s="52" t="n">
        <f aca="false">IF(OR(C186="",NOT(ISNUMBER(E186))),"",C186*E186)</f>
        <v>87.808</v>
      </c>
      <c r="L186" s="32" t="n">
        <f aca="false">IF(OR(C186="",NOT(ISNUMBER(F186))),"",C186*F186)</f>
        <v>230.630630630631</v>
      </c>
      <c r="M186" s="32" t="n">
        <f aca="false">IF(OR(C186="",NOT(ISNUMBER(G186))),"",C186*G186)</f>
        <v>230.630630630631</v>
      </c>
      <c r="N186" s="32" t="n">
        <f aca="false">IF(OR(C186="",NOT(ISNUMBER(H186))),"",C186*H186)</f>
        <v>230.630630630631</v>
      </c>
      <c r="O186" s="32" t="n">
        <f aca="false">IF(OR(C186="",NOT(ISNUMBER(I186))),"",C186*I186)</f>
        <v>230.630630630631</v>
      </c>
    </row>
    <row r="187" customFormat="false" ht="15" hidden="false" customHeight="true" outlineLevel="0" collapsed="false">
      <c r="A187" s="5" t="s">
        <v>806</v>
      </c>
      <c r="B187" s="5" t="s">
        <v>642</v>
      </c>
      <c r="C187" s="51" t="n">
        <v>2</v>
      </c>
      <c r="D187" s="29" t="n">
        <f aca="false">IFERROR(VLOOKUP("Topping Apple Cinnamon",'FOOD COST'!$A:$Y,7,0),"")</f>
        <v>0.7532</v>
      </c>
      <c r="E187" s="30" t="n">
        <f aca="false">IFERROR(VLOOKUP("Topping Apple Cinnamon",'FOOD COST'!$A:$Y,8,0),"")</f>
        <v>0.7532</v>
      </c>
      <c r="F187" s="29" t="n">
        <f aca="false">IFERROR(VLOOKUP("Topping Apple Cinnamon",'FOOD COST'!$A:$Y,10,0),"")</f>
        <v>2.7027027027027</v>
      </c>
      <c r="G187" s="29" t="n">
        <f aca="false">IFERROR(VLOOKUP("Topping Apple Cinnamon",'FOOD COST'!$A:$Y,18,0),"")</f>
        <v>2.7027027027027</v>
      </c>
      <c r="H187" s="29" t="n">
        <f aca="false">IFERROR(VLOOKUP("Topping Apple Cinnamon",'FOOD COST'!$A:$Y,21,0),"")</f>
        <v>2.7027027027027</v>
      </c>
      <c r="I187" s="29" t="n">
        <f aca="false">IFERROR(VLOOKUP("Topping Apple Cinnamon",'FOOD COST'!$A:$Y,24,0),"")</f>
        <v>2.7027027027027</v>
      </c>
      <c r="J187" s="32" t="n">
        <f aca="false">IF(OR(C187="",NOT(ISNUMBER(D187))),"",C187*D187)</f>
        <v>1.5064</v>
      </c>
      <c r="K187" s="52" t="n">
        <f aca="false">IF(OR(C187="",NOT(ISNUMBER(E187))),"",C187*E187)</f>
        <v>1.5064</v>
      </c>
      <c r="L187" s="32" t="n">
        <f aca="false">IF(OR(C187="",NOT(ISNUMBER(F187))),"",C187*F187)</f>
        <v>5.40540540540541</v>
      </c>
      <c r="M187" s="32" t="n">
        <f aca="false">IF(OR(C187="",NOT(ISNUMBER(G187))),"",C187*G187)</f>
        <v>5.40540540540541</v>
      </c>
      <c r="N187" s="32" t="n">
        <f aca="false">IF(OR(C187="",NOT(ISNUMBER(H187))),"",C187*H187)</f>
        <v>5.40540540540541</v>
      </c>
      <c r="O187" s="32" t="n">
        <f aca="false">IF(OR(C187="",NOT(ISNUMBER(I187))),"",C187*I187)</f>
        <v>5.40540540540541</v>
      </c>
    </row>
    <row r="188" customFormat="false" ht="15" hidden="false" customHeight="true" outlineLevel="0" collapsed="false">
      <c r="A188" s="5" t="s">
        <v>807</v>
      </c>
      <c r="B188" s="5" t="s">
        <v>642</v>
      </c>
      <c r="C188" s="51" t="n">
        <v>58</v>
      </c>
      <c r="D188" s="29" t="n">
        <f aca="false">IFERROR(VLOOKUP("Add Nutella Milkshake",'FOOD COST'!$A:$Y,7,0),"")</f>
        <v>0.9165</v>
      </c>
      <c r="E188" s="30" t="n">
        <f aca="false">IFERROR(VLOOKUP("Add Nutella Milkshake",'FOOD COST'!$A:$Y,8,0),"")</f>
        <v>0.9165</v>
      </c>
      <c r="F188" s="29" t="n">
        <f aca="false">IFERROR(VLOOKUP("Add Nutella Milkshake",'FOOD COST'!$A:$Y,10,0),"")</f>
        <v>2.7027027027027</v>
      </c>
      <c r="G188" s="29" t="n">
        <f aca="false">IFERROR(VLOOKUP("Add Nutella Milkshake",'FOOD COST'!$A:$Y,18,0),"")</f>
        <v>2.7027027027027</v>
      </c>
      <c r="H188" s="29" t="n">
        <f aca="false">IFERROR(VLOOKUP("Add Nutella Milkshake",'FOOD COST'!$A:$Y,21,0),"")</f>
        <v>2.7027027027027</v>
      </c>
      <c r="I188" s="29" t="n">
        <f aca="false">IFERROR(VLOOKUP("Add Nutella Milkshake",'FOOD COST'!$A:$Y,24,0),"")</f>
        <v>2.7027027027027</v>
      </c>
      <c r="J188" s="32" t="n">
        <f aca="false">IF(OR(C188="",NOT(ISNUMBER(D188))),"",C188*D188)</f>
        <v>53.157</v>
      </c>
      <c r="K188" s="52" t="n">
        <f aca="false">IF(OR(C188="",NOT(ISNUMBER(E188))),"",C188*E188)</f>
        <v>53.157</v>
      </c>
      <c r="L188" s="32" t="n">
        <f aca="false">IF(OR(C188="",NOT(ISNUMBER(F188))),"",C188*F188)</f>
        <v>156.756756756757</v>
      </c>
      <c r="M188" s="32" t="n">
        <f aca="false">IF(OR(C188="",NOT(ISNUMBER(G188))),"",C188*G188)</f>
        <v>156.756756756757</v>
      </c>
      <c r="N188" s="32" t="n">
        <f aca="false">IF(OR(C188="",NOT(ISNUMBER(H188))),"",C188*H188)</f>
        <v>156.756756756757</v>
      </c>
      <c r="O188" s="32" t="n">
        <f aca="false">IF(OR(C188="",NOT(ISNUMBER(I188))),"",C188*I188)</f>
        <v>156.756756756757</v>
      </c>
    </row>
    <row r="189" customFormat="false" ht="15" hidden="false" customHeight="true" outlineLevel="0" collapsed="false">
      <c r="A189" s="5" t="s">
        <v>808</v>
      </c>
      <c r="B189" s="5" t="s">
        <v>642</v>
      </c>
      <c r="C189" s="51" t="n">
        <v>29</v>
      </c>
      <c r="D189" s="29" t="n">
        <f aca="false">IFERROR(VLOOKUP("ADD-ON Capsuni",'FOOD COST'!$A:$Y,7,0),"")</f>
        <v>0.68</v>
      </c>
      <c r="E189" s="30" t="n">
        <f aca="false">IFERROR(VLOOKUP("ADD-ON Capsuni",'FOOD COST'!$A:$Y,8,0),"")</f>
        <v>0.68</v>
      </c>
      <c r="F189" s="29" t="n">
        <f aca="false">IFERROR(VLOOKUP("ADD-ON Capsuni",'FOOD COST'!$A:$Y,10,0),"")</f>
        <v>2.7027027027027</v>
      </c>
      <c r="G189" s="29" t="n">
        <f aca="false">IFERROR(VLOOKUP("ADD-ON Capsuni",'FOOD COST'!$A:$Y,18,0),"")</f>
        <v>2.7027027027027</v>
      </c>
      <c r="H189" s="29" t="n">
        <f aca="false">IFERROR(VLOOKUP("ADD-ON Capsuni",'FOOD COST'!$A:$Y,21,0),"")</f>
        <v>2.7027027027027</v>
      </c>
      <c r="I189" s="29" t="n">
        <f aca="false">IFERROR(VLOOKUP("ADD-ON Capsuni",'FOOD COST'!$A:$Y,24,0),"")</f>
        <v>2.7027027027027</v>
      </c>
      <c r="J189" s="32" t="n">
        <f aca="false">IF(OR(C189="",NOT(ISNUMBER(D189))),"",C189*D189)</f>
        <v>19.72</v>
      </c>
      <c r="K189" s="52" t="n">
        <f aca="false">IF(OR(C189="",NOT(ISNUMBER(E189))),"",C189*E189)</f>
        <v>19.72</v>
      </c>
      <c r="L189" s="32" t="n">
        <f aca="false">IF(OR(C189="",NOT(ISNUMBER(F189))),"",C189*F189)</f>
        <v>78.3783783783784</v>
      </c>
      <c r="M189" s="32" t="n">
        <f aca="false">IF(OR(C189="",NOT(ISNUMBER(G189))),"",C189*G189)</f>
        <v>78.3783783783784</v>
      </c>
      <c r="N189" s="32" t="n">
        <f aca="false">IF(OR(C189="",NOT(ISNUMBER(H189))),"",C189*H189)</f>
        <v>78.3783783783784</v>
      </c>
      <c r="O189" s="32" t="n">
        <f aca="false">IF(OR(C189="",NOT(ISNUMBER(I189))),"",C189*I189)</f>
        <v>78.3783783783784</v>
      </c>
    </row>
    <row r="190" customFormat="false" ht="15" hidden="false" customHeight="true" outlineLevel="0" collapsed="false">
      <c r="A190" s="5" t="s">
        <v>509</v>
      </c>
      <c r="B190" s="5" t="s">
        <v>642</v>
      </c>
      <c r="C190" s="51" t="n">
        <v>456</v>
      </c>
      <c r="D190" s="29" t="n">
        <f aca="false">IFERROR(VLOOKUP("Milkshake Vanilie 200G",'FOOD COST'!$A:$Y,7,0),"")</f>
        <v>3.115</v>
      </c>
      <c r="E190" s="30" t="n">
        <f aca="false">IFERROR(VLOOKUP("Milkshake Vanilie 200G",'FOOD COST'!$A:$Y,8,0),"")</f>
        <v>3.115</v>
      </c>
      <c r="F190" s="29" t="n">
        <f aca="false">IFERROR(VLOOKUP("Milkshake Vanilie 200G",'FOOD COST'!$A:$Y,10,0),"")</f>
        <v>10.8108108108108</v>
      </c>
      <c r="G190" s="29" t="n">
        <f aca="false">IFERROR(VLOOKUP("Milkshake Vanilie 200G",'FOOD COST'!$A:$Y,18,0),"")</f>
        <v>10.8108108108108</v>
      </c>
      <c r="H190" s="29" t="n">
        <f aca="false">IFERROR(VLOOKUP("Milkshake Vanilie 200G",'FOOD COST'!$A:$Y,21,0),"")</f>
        <v>10.8108108108108</v>
      </c>
      <c r="I190" s="29" t="n">
        <f aca="false">IFERROR(VLOOKUP("Milkshake Vanilie 200G",'FOOD COST'!$A:$Y,24,0),"")</f>
        <v>10.8108108108108</v>
      </c>
      <c r="J190" s="32" t="n">
        <f aca="false">IF(OR(C190="",NOT(ISNUMBER(D190))),"",C190*D190)</f>
        <v>1420.44</v>
      </c>
      <c r="K190" s="52" t="n">
        <f aca="false">IF(OR(C190="",NOT(ISNUMBER(E190))),"",C190*E190)</f>
        <v>1420.44</v>
      </c>
      <c r="L190" s="32" t="n">
        <f aca="false">IF(OR(C190="",NOT(ISNUMBER(F190))),"",C190*F190)</f>
        <v>4929.72972972973</v>
      </c>
      <c r="M190" s="32" t="n">
        <f aca="false">IF(OR(C190="",NOT(ISNUMBER(G190))),"",C190*G190)</f>
        <v>4929.72972972973</v>
      </c>
      <c r="N190" s="32" t="n">
        <f aca="false">IF(OR(C190="",NOT(ISNUMBER(H190))),"",C190*H190)</f>
        <v>4929.72972972973</v>
      </c>
      <c r="O190" s="32" t="n">
        <f aca="false">IF(OR(C190="",NOT(ISNUMBER(I190))),"",C190*I190)</f>
        <v>4929.72972972973</v>
      </c>
    </row>
    <row r="191" customFormat="false" ht="15" hidden="false" customHeight="true" outlineLevel="0" collapsed="false">
      <c r="A191" s="5" t="s">
        <v>510</v>
      </c>
      <c r="B191" s="5" t="s">
        <v>645</v>
      </c>
      <c r="C191" s="51" t="n">
        <v>711</v>
      </c>
      <c r="D191" s="29" t="n">
        <f aca="false">IFERROR(VLOOKUP("Milkshake Vanilie 200G D",'FOOD COST'!$A:$Y,7,0),"")</f>
        <v>5.216</v>
      </c>
      <c r="E191" s="30" t="n">
        <f aca="false">IFERROR(VLOOKUP("Milkshake Vanilie 200G D",'FOOD COST'!$A:$Y,8,0),"")</f>
        <v>5.216</v>
      </c>
      <c r="F191" s="29" t="n">
        <f aca="false">IFERROR(VLOOKUP("Milkshake Vanilie 200G D",'FOOD COST'!$A:$Y,10,0),"")</f>
        <v>12.6126126126126</v>
      </c>
      <c r="G191" s="29" t="n">
        <f aca="false">IFERROR(VLOOKUP("Milkshake Vanilie 200G D",'FOOD COST'!$A:$Y,18,0),"")</f>
        <v>12.6126126126126</v>
      </c>
      <c r="H191" s="29" t="n">
        <f aca="false">IFERROR(VLOOKUP("Milkshake Vanilie 200G D",'FOOD COST'!$A:$Y,21,0),"")</f>
        <v>12.6126126126126</v>
      </c>
      <c r="I191" s="29" t="n">
        <f aca="false">IFERROR(VLOOKUP("Milkshake Vanilie 200G D",'FOOD COST'!$A:$Y,24,0),"")</f>
        <v>12.6126126126126</v>
      </c>
      <c r="J191" s="32" t="n">
        <f aca="false">IF(OR(C191="",NOT(ISNUMBER(D191))),"",C191*D191)</f>
        <v>3708.576</v>
      </c>
      <c r="K191" s="52" t="n">
        <f aca="false">IF(OR(C191="",NOT(ISNUMBER(E191))),"",C191*E191)</f>
        <v>3708.576</v>
      </c>
      <c r="L191" s="32" t="n">
        <f aca="false">IF(OR(C191="",NOT(ISNUMBER(F191))),"",C191*F191)</f>
        <v>8967.56756756757</v>
      </c>
      <c r="M191" s="32" t="n">
        <f aca="false">IF(OR(C191="",NOT(ISNUMBER(G191))),"",C191*G191)</f>
        <v>8967.56756756757</v>
      </c>
      <c r="N191" s="32" t="n">
        <f aca="false">IF(OR(C191="",NOT(ISNUMBER(H191))),"",C191*H191)</f>
        <v>8967.56756756757</v>
      </c>
      <c r="O191" s="32" t="n">
        <f aca="false">IF(OR(C191="",NOT(ISNUMBER(I191))),"",C191*I191)</f>
        <v>8967.56756756757</v>
      </c>
    </row>
    <row r="192" customFormat="false" ht="15" hidden="false" customHeight="true" outlineLevel="0" collapsed="false">
      <c r="A192" s="5" t="s">
        <v>511</v>
      </c>
      <c r="B192" s="5" t="s">
        <v>642</v>
      </c>
      <c r="C192" s="51" t="n">
        <v>429</v>
      </c>
      <c r="D192" s="29" t="n">
        <f aca="false">IFERROR(VLOOKUP("Milkshake Ciocolata 200G",'FOOD COST'!$A:$Y,7,0),"")</f>
        <v>4.0315</v>
      </c>
      <c r="E192" s="30" t="n">
        <f aca="false">IFERROR(VLOOKUP("Milkshake Ciocolata 200G",'FOOD COST'!$A:$Y,8,0),"")</f>
        <v>4.0315</v>
      </c>
      <c r="F192" s="29" t="n">
        <f aca="false">IFERROR(VLOOKUP("Milkshake Ciocolata 200G",'FOOD COST'!$A:$Y,10,0),"")</f>
        <v>12.6126126126126</v>
      </c>
      <c r="G192" s="29" t="n">
        <f aca="false">IFERROR(VLOOKUP("Milkshake Ciocolata 200G",'FOOD COST'!$A:$Y,18,0),"")</f>
        <v>12.6126126126126</v>
      </c>
      <c r="H192" s="29" t="n">
        <f aca="false">IFERROR(VLOOKUP("Milkshake Ciocolata 200G",'FOOD COST'!$A:$Y,21,0),"")</f>
        <v>12.6126126126126</v>
      </c>
      <c r="I192" s="29" t="n">
        <f aca="false">IFERROR(VLOOKUP("Milkshake Ciocolata 200G",'FOOD COST'!$A:$Y,24,0),"")</f>
        <v>12.6126126126126</v>
      </c>
      <c r="J192" s="32" t="n">
        <f aca="false">IF(OR(C192="",NOT(ISNUMBER(D192))),"",C192*D192)</f>
        <v>1729.5135</v>
      </c>
      <c r="K192" s="52" t="n">
        <f aca="false">IF(OR(C192="",NOT(ISNUMBER(E192))),"",C192*E192)</f>
        <v>1729.5135</v>
      </c>
      <c r="L192" s="32" t="n">
        <f aca="false">IF(OR(C192="",NOT(ISNUMBER(F192))),"",C192*F192)</f>
        <v>5410.81081081081</v>
      </c>
      <c r="M192" s="32" t="n">
        <f aca="false">IF(OR(C192="",NOT(ISNUMBER(G192))),"",C192*G192)</f>
        <v>5410.81081081081</v>
      </c>
      <c r="N192" s="32" t="n">
        <f aca="false">IF(OR(C192="",NOT(ISNUMBER(H192))),"",C192*H192)</f>
        <v>5410.81081081081</v>
      </c>
      <c r="O192" s="32" t="n">
        <f aca="false">IF(OR(C192="",NOT(ISNUMBER(I192))),"",C192*I192)</f>
        <v>5410.81081081081</v>
      </c>
    </row>
    <row r="193" customFormat="false" ht="15" hidden="false" customHeight="true" outlineLevel="0" collapsed="false">
      <c r="A193" s="5" t="s">
        <v>512</v>
      </c>
      <c r="B193" s="5" t="s">
        <v>645</v>
      </c>
      <c r="C193" s="51" t="n">
        <v>850</v>
      </c>
      <c r="D193" s="29" t="n">
        <f aca="false">IFERROR(VLOOKUP("Milkshake Ciocolata 200G D",'FOOD COST'!$A:$Y,7,0),"")</f>
        <v>6.1325</v>
      </c>
      <c r="E193" s="30" t="n">
        <f aca="false">IFERROR(VLOOKUP("Milkshake Ciocolata 200G D",'FOOD COST'!$A:$Y,8,0),"")</f>
        <v>6.1325</v>
      </c>
      <c r="F193" s="29" t="n">
        <f aca="false">IFERROR(VLOOKUP("Milkshake Ciocolata 200G D",'FOOD COST'!$A:$Y,10,0),"")</f>
        <v>14.4144144144144</v>
      </c>
      <c r="G193" s="29" t="n">
        <f aca="false">IFERROR(VLOOKUP("Milkshake Ciocolata 200G D",'FOOD COST'!$A:$Y,18,0),"")</f>
        <v>14.4144144144144</v>
      </c>
      <c r="H193" s="29" t="n">
        <f aca="false">IFERROR(VLOOKUP("Milkshake Ciocolata 200G D",'FOOD COST'!$A:$Y,21,0),"")</f>
        <v>14.4144144144144</v>
      </c>
      <c r="I193" s="29" t="n">
        <f aca="false">IFERROR(VLOOKUP("Milkshake Ciocolata 200G D",'FOOD COST'!$A:$Y,24,0),"")</f>
        <v>14.4144144144144</v>
      </c>
      <c r="J193" s="32" t="n">
        <f aca="false">IF(OR(C193="",NOT(ISNUMBER(D193))),"",C193*D193)</f>
        <v>5212.625</v>
      </c>
      <c r="K193" s="52" t="n">
        <f aca="false">IF(OR(C193="",NOT(ISNUMBER(E193))),"",C193*E193)</f>
        <v>5212.625</v>
      </c>
      <c r="L193" s="32" t="n">
        <f aca="false">IF(OR(C193="",NOT(ISNUMBER(F193))),"",C193*F193)</f>
        <v>12252.2522522523</v>
      </c>
      <c r="M193" s="32" t="n">
        <f aca="false">IF(OR(C193="",NOT(ISNUMBER(G193))),"",C193*G193)</f>
        <v>12252.2522522523</v>
      </c>
      <c r="N193" s="32" t="n">
        <f aca="false">IF(OR(C193="",NOT(ISNUMBER(H193))),"",C193*H193)</f>
        <v>12252.2522522523</v>
      </c>
      <c r="O193" s="32" t="n">
        <f aca="false">IF(OR(C193="",NOT(ISNUMBER(I193))),"",C193*I193)</f>
        <v>12252.2522522523</v>
      </c>
    </row>
    <row r="194" customFormat="false" ht="15" hidden="false" customHeight="true" outlineLevel="0" collapsed="false">
      <c r="A194" s="5" t="s">
        <v>513</v>
      </c>
      <c r="B194" s="5" t="s">
        <v>642</v>
      </c>
      <c r="C194" s="51" t="n">
        <v>327</v>
      </c>
      <c r="D194" s="29" t="n">
        <f aca="false">IFERROR(VLOOKUP("Milkshake Capsuni 200G",'FOOD COST'!$A:$Y,7,0),"")</f>
        <v>4.42705</v>
      </c>
      <c r="E194" s="30" t="n">
        <f aca="false">IFERROR(VLOOKUP("Milkshake Capsuni 200G",'FOOD COST'!$A:$Y,8,0),"")</f>
        <v>4.42705</v>
      </c>
      <c r="F194" s="29" t="n">
        <f aca="false">IFERROR(VLOOKUP("Milkshake Capsuni 200G",'FOOD COST'!$A:$Y,10,0),"")</f>
        <v>12.6126126126126</v>
      </c>
      <c r="G194" s="29" t="n">
        <f aca="false">IFERROR(VLOOKUP("Milkshake Capsuni 200G",'FOOD COST'!$A:$Y,18,0),"")</f>
        <v>12.6126126126126</v>
      </c>
      <c r="H194" s="29" t="n">
        <f aca="false">IFERROR(VLOOKUP("Milkshake Capsuni 200G",'FOOD COST'!$A:$Y,21,0),"")</f>
        <v>12.6126126126126</v>
      </c>
      <c r="I194" s="29" t="n">
        <f aca="false">IFERROR(VLOOKUP("Milkshake Capsuni 200G",'FOOD COST'!$A:$Y,24,0),"")</f>
        <v>12.6126126126126</v>
      </c>
      <c r="J194" s="32" t="n">
        <f aca="false">IF(OR(C194="",NOT(ISNUMBER(D194))),"",C194*D194)</f>
        <v>1447.64535</v>
      </c>
      <c r="K194" s="52" t="n">
        <f aca="false">IF(OR(C194="",NOT(ISNUMBER(E194))),"",C194*E194)</f>
        <v>1447.64535</v>
      </c>
      <c r="L194" s="32" t="n">
        <f aca="false">IF(OR(C194="",NOT(ISNUMBER(F194))),"",C194*F194)</f>
        <v>4124.32432432432</v>
      </c>
      <c r="M194" s="32" t="n">
        <f aca="false">IF(OR(C194="",NOT(ISNUMBER(G194))),"",C194*G194)</f>
        <v>4124.32432432432</v>
      </c>
      <c r="N194" s="32" t="n">
        <f aca="false">IF(OR(C194="",NOT(ISNUMBER(H194))),"",C194*H194)</f>
        <v>4124.32432432432</v>
      </c>
      <c r="O194" s="32" t="n">
        <f aca="false">IF(OR(C194="",NOT(ISNUMBER(I194))),"",C194*I194)</f>
        <v>4124.32432432432</v>
      </c>
    </row>
    <row r="195" customFormat="false" ht="15" hidden="false" customHeight="true" outlineLevel="0" collapsed="false">
      <c r="A195" s="5" t="s">
        <v>514</v>
      </c>
      <c r="B195" s="5" t="s">
        <v>645</v>
      </c>
      <c r="C195" s="51" t="n">
        <v>726</v>
      </c>
      <c r="D195" s="29" t="n">
        <f aca="false">IFERROR(VLOOKUP("Milkshake Capsuni 200G D",'FOOD COST'!$A:$Y,7,0),"")</f>
        <v>6.52805</v>
      </c>
      <c r="E195" s="30" t="n">
        <f aca="false">IFERROR(VLOOKUP("Milkshake Capsuni 200G D",'FOOD COST'!$A:$Y,8,0),"")</f>
        <v>6.52805</v>
      </c>
      <c r="F195" s="29" t="n">
        <f aca="false">IFERROR(VLOOKUP("Milkshake Capsuni 200G D",'FOOD COST'!$A:$Y,10,0),"")</f>
        <v>14.4144144144144</v>
      </c>
      <c r="G195" s="29" t="n">
        <f aca="false">IFERROR(VLOOKUP("Milkshake Capsuni 200G D",'FOOD COST'!$A:$Y,18,0),"")</f>
        <v>14.4144144144144</v>
      </c>
      <c r="H195" s="29" t="n">
        <f aca="false">IFERROR(VLOOKUP("Milkshake Capsuni 200G D",'FOOD COST'!$A:$Y,21,0),"")</f>
        <v>14.4144144144144</v>
      </c>
      <c r="I195" s="29" t="n">
        <f aca="false">IFERROR(VLOOKUP("Milkshake Capsuni 200G D",'FOOD COST'!$A:$Y,24,0),"")</f>
        <v>14.4144144144144</v>
      </c>
      <c r="J195" s="32" t="n">
        <f aca="false">IF(OR(C195="",NOT(ISNUMBER(D195))),"",C195*D195)</f>
        <v>4739.3643</v>
      </c>
      <c r="K195" s="52" t="n">
        <f aca="false">IF(OR(C195="",NOT(ISNUMBER(E195))),"",C195*E195)</f>
        <v>4739.3643</v>
      </c>
      <c r="L195" s="32" t="n">
        <f aca="false">IF(OR(C195="",NOT(ISNUMBER(F195))),"",C195*F195)</f>
        <v>10464.8648648649</v>
      </c>
      <c r="M195" s="32" t="n">
        <f aca="false">IF(OR(C195="",NOT(ISNUMBER(G195))),"",C195*G195)</f>
        <v>10464.8648648649</v>
      </c>
      <c r="N195" s="32" t="n">
        <f aca="false">IF(OR(C195="",NOT(ISNUMBER(H195))),"",C195*H195)</f>
        <v>10464.8648648649</v>
      </c>
      <c r="O195" s="32" t="n">
        <f aca="false">IF(OR(C195="",NOT(ISNUMBER(I195))),"",C195*I195)</f>
        <v>10464.8648648649</v>
      </c>
    </row>
    <row r="196" customFormat="false" ht="15" hidden="false" customHeight="true" outlineLevel="0" collapsed="false">
      <c r="A196" s="5" t="s">
        <v>515</v>
      </c>
      <c r="B196" s="5" t="s">
        <v>642</v>
      </c>
      <c r="C196" s="51" t="n">
        <v>212</v>
      </c>
      <c r="D196" s="29" t="n">
        <f aca="false">IFERROR(VLOOKUP("Milkshake Banane 200G",'FOOD COST'!$A:$Y,7,0),"")</f>
        <v>4.42705</v>
      </c>
      <c r="E196" s="30" t="n">
        <f aca="false">IFERROR(VLOOKUP("Milkshake Banane 200G",'FOOD COST'!$A:$Y,8,0),"")</f>
        <v>4.42705</v>
      </c>
      <c r="F196" s="29" t="n">
        <f aca="false">IFERROR(VLOOKUP("Milkshake Banane 200G",'FOOD COST'!$A:$Y,10,0),"")</f>
        <v>12.6126126126126</v>
      </c>
      <c r="G196" s="29" t="n">
        <f aca="false">IFERROR(VLOOKUP("Milkshake Banane 200G",'FOOD COST'!$A:$Y,18,0),"")</f>
        <v>12.6126126126126</v>
      </c>
      <c r="H196" s="29" t="n">
        <f aca="false">IFERROR(VLOOKUP("Milkshake Banane 200G",'FOOD COST'!$A:$Y,21,0),"")</f>
        <v>12.6126126126126</v>
      </c>
      <c r="I196" s="29" t="n">
        <f aca="false">IFERROR(VLOOKUP("Milkshake Banane 200G",'FOOD COST'!$A:$Y,24,0),"")</f>
        <v>12.6126126126126</v>
      </c>
      <c r="J196" s="32" t="n">
        <f aca="false">IF(OR(C196="",NOT(ISNUMBER(D196))),"",C196*D196)</f>
        <v>938.5346</v>
      </c>
      <c r="K196" s="52" t="n">
        <f aca="false">IF(OR(C196="",NOT(ISNUMBER(E196))),"",C196*E196)</f>
        <v>938.5346</v>
      </c>
      <c r="L196" s="32" t="n">
        <f aca="false">IF(OR(C196="",NOT(ISNUMBER(F196))),"",C196*F196)</f>
        <v>2673.87387387387</v>
      </c>
      <c r="M196" s="32" t="n">
        <f aca="false">IF(OR(C196="",NOT(ISNUMBER(G196))),"",C196*G196)</f>
        <v>2673.87387387387</v>
      </c>
      <c r="N196" s="32" t="n">
        <f aca="false">IF(OR(C196="",NOT(ISNUMBER(H196))),"",C196*H196)</f>
        <v>2673.87387387387</v>
      </c>
      <c r="O196" s="32" t="n">
        <f aca="false">IF(OR(C196="",NOT(ISNUMBER(I196))),"",C196*I196)</f>
        <v>2673.87387387387</v>
      </c>
    </row>
    <row r="197" customFormat="false" ht="15" hidden="false" customHeight="true" outlineLevel="0" collapsed="false">
      <c r="A197" s="5" t="s">
        <v>809</v>
      </c>
      <c r="B197" s="5" t="s">
        <v>645</v>
      </c>
      <c r="C197" s="51" t="n">
        <v>667</v>
      </c>
      <c r="D197" s="29" t="n">
        <f aca="false">IFERROR(VLOOKUP("Milkshake Banane 200G D",'FOOD COST'!$A:$Y,7,0),"")</f>
        <v>4.42705</v>
      </c>
      <c r="E197" s="30" t="n">
        <f aca="false">IFERROR(VLOOKUP("Milkshake Banane 200G D",'FOOD COST'!$A:$Y,8,0),"")</f>
        <v>4.42705</v>
      </c>
      <c r="F197" s="29" t="n">
        <f aca="false">IFERROR(VLOOKUP("Milkshake Banane 200G D",'FOOD COST'!$A:$Y,10,0),"")</f>
        <v>14.4144144144144</v>
      </c>
      <c r="G197" s="29" t="n">
        <f aca="false">IFERROR(VLOOKUP("Milkshake Banane 200G D",'FOOD COST'!$A:$Y,18,0),"")</f>
        <v>14.4144144144144</v>
      </c>
      <c r="H197" s="29" t="n">
        <f aca="false">IFERROR(VLOOKUP("Milkshake Banane 200G D",'FOOD COST'!$A:$Y,21,0),"")</f>
        <v>14.4144144144144</v>
      </c>
      <c r="I197" s="29" t="n">
        <f aca="false">IFERROR(VLOOKUP("Milkshake Banane 200G D",'FOOD COST'!$A:$Y,24,0),"")</f>
        <v>14.4144144144144</v>
      </c>
      <c r="J197" s="32" t="n">
        <f aca="false">IF(OR(C197="",NOT(ISNUMBER(D197))),"",C197*D197)</f>
        <v>2952.84235</v>
      </c>
      <c r="K197" s="52" t="n">
        <f aca="false">IF(OR(C197="",NOT(ISNUMBER(E197))),"",C197*E197)</f>
        <v>2952.84235</v>
      </c>
      <c r="L197" s="32" t="n">
        <f aca="false">IF(OR(C197="",NOT(ISNUMBER(F197))),"",C197*F197)</f>
        <v>9614.41441441441</v>
      </c>
      <c r="M197" s="32" t="n">
        <f aca="false">IF(OR(C197="",NOT(ISNUMBER(G197))),"",C197*G197)</f>
        <v>9614.41441441441</v>
      </c>
      <c r="N197" s="32" t="n">
        <f aca="false">IF(OR(C197="",NOT(ISNUMBER(H197))),"",C197*H197)</f>
        <v>9614.41441441441</v>
      </c>
      <c r="O197" s="32" t="n">
        <f aca="false">IF(OR(C197="",NOT(ISNUMBER(I197))),"",C197*I197)</f>
        <v>9614.41441441441</v>
      </c>
    </row>
    <row r="198" customFormat="false" ht="15" hidden="false" customHeight="true" outlineLevel="0" collapsed="false">
      <c r="A198" s="5" t="s">
        <v>810</v>
      </c>
      <c r="B198" s="5" t="s">
        <v>642</v>
      </c>
      <c r="C198" s="51" t="n">
        <v>156</v>
      </c>
      <c r="D198" s="29" t="n">
        <f aca="false">IFERROR(VLOOKUP("Milkshake Biscoff 210G",'FOOD COST'!$A:$Y,7,0),"")</f>
        <v>6.725</v>
      </c>
      <c r="E198" s="30" t="n">
        <f aca="false">IFERROR(VLOOKUP("Milkshake Biscoff 210G",'FOOD COST'!$A:$Y,8,0),"")</f>
        <v>6.725</v>
      </c>
      <c r="F198" s="29" t="n">
        <f aca="false">IFERROR(VLOOKUP("Milkshake Biscoff 210G",'FOOD COST'!$A:$Y,10,0),"")</f>
        <v>12.6126126126126</v>
      </c>
      <c r="G198" s="29" t="n">
        <f aca="false">IFERROR(VLOOKUP("Milkshake Biscoff 210G",'FOOD COST'!$A:$Y,18,0),"")</f>
        <v>12.6126126126126</v>
      </c>
      <c r="H198" s="29" t="n">
        <f aca="false">IFERROR(VLOOKUP("Milkshake Biscoff 210G",'FOOD COST'!$A:$Y,21,0),"")</f>
        <v>12.6126126126126</v>
      </c>
      <c r="I198" s="29" t="n">
        <f aca="false">IFERROR(VLOOKUP("Milkshake Biscoff 210G",'FOOD COST'!$A:$Y,24,0),"")</f>
        <v>12.6126126126126</v>
      </c>
      <c r="J198" s="32" t="n">
        <f aca="false">IF(OR(C198="",NOT(ISNUMBER(D198))),"",C198*D198)</f>
        <v>1049.1</v>
      </c>
      <c r="K198" s="52" t="n">
        <f aca="false">IF(OR(C198="",NOT(ISNUMBER(E198))),"",C198*E198)</f>
        <v>1049.1</v>
      </c>
      <c r="L198" s="32" t="n">
        <f aca="false">IF(OR(C198="",NOT(ISNUMBER(F198))),"",C198*F198)</f>
        <v>1967.56756756757</v>
      </c>
      <c r="M198" s="32" t="n">
        <f aca="false">IF(OR(C198="",NOT(ISNUMBER(G198))),"",C198*G198)</f>
        <v>1967.56756756757</v>
      </c>
      <c r="N198" s="32" t="n">
        <f aca="false">IF(OR(C198="",NOT(ISNUMBER(H198))),"",C198*H198)</f>
        <v>1967.56756756757</v>
      </c>
      <c r="O198" s="32" t="n">
        <f aca="false">IF(OR(C198="",NOT(ISNUMBER(I198))),"",C198*I198)</f>
        <v>1967.56756756757</v>
      </c>
    </row>
    <row r="199" customFormat="false" ht="15" hidden="false" customHeight="true" outlineLevel="0" collapsed="false">
      <c r="A199" s="5" t="s">
        <v>516</v>
      </c>
      <c r="B199" s="5" t="s">
        <v>645</v>
      </c>
      <c r="C199" s="51" t="n">
        <v>724</v>
      </c>
      <c r="D199" s="29" t="n">
        <f aca="false">IFERROR(VLOOKUP("Milkshake Biscoff 210G D",'FOOD COST'!$A:$Y,7,0),"")</f>
        <v>6.725</v>
      </c>
      <c r="E199" s="30" t="n">
        <f aca="false">IFERROR(VLOOKUP("Milkshake Biscoff 210G D",'FOOD COST'!$A:$Y,8,0),"")</f>
        <v>6.725</v>
      </c>
      <c r="F199" s="29" t="n">
        <f aca="false">IFERROR(VLOOKUP("Milkshake Biscoff 210G D",'FOOD COST'!$A:$Y,10,0),"")</f>
        <v>14.4144144144144</v>
      </c>
      <c r="G199" s="29" t="n">
        <f aca="false">IFERROR(VLOOKUP("Milkshake Biscoff 210G D",'FOOD COST'!$A:$Y,18,0),"")</f>
        <v>14.4144144144144</v>
      </c>
      <c r="H199" s="29" t="n">
        <f aca="false">IFERROR(VLOOKUP("Milkshake Biscoff 210G D",'FOOD COST'!$A:$Y,21,0),"")</f>
        <v>14.4144144144144</v>
      </c>
      <c r="I199" s="29" t="n">
        <f aca="false">IFERROR(VLOOKUP("Milkshake Biscoff 210G D",'FOOD COST'!$A:$Y,24,0),"")</f>
        <v>14.4144144144144</v>
      </c>
      <c r="J199" s="32" t="n">
        <f aca="false">IF(OR(C199="",NOT(ISNUMBER(D199))),"",C199*D199)</f>
        <v>4868.9</v>
      </c>
      <c r="K199" s="52" t="n">
        <f aca="false">IF(OR(C199="",NOT(ISNUMBER(E199))),"",C199*E199)</f>
        <v>4868.9</v>
      </c>
      <c r="L199" s="32" t="n">
        <f aca="false">IF(OR(C199="",NOT(ISNUMBER(F199))),"",C199*F199)</f>
        <v>10436.036036036</v>
      </c>
      <c r="M199" s="32" t="n">
        <f aca="false">IF(OR(C199="",NOT(ISNUMBER(G199))),"",C199*G199)</f>
        <v>10436.036036036</v>
      </c>
      <c r="N199" s="32" t="n">
        <f aca="false">IF(OR(C199="",NOT(ISNUMBER(H199))),"",C199*H199)</f>
        <v>10436.036036036</v>
      </c>
      <c r="O199" s="32" t="n">
        <f aca="false">IF(OR(C199="",NOT(ISNUMBER(I199))),"",C199*I199)</f>
        <v>10436.036036036</v>
      </c>
    </row>
    <row r="200" customFormat="false" ht="15" hidden="false" customHeight="true" outlineLevel="0" collapsed="false">
      <c r="A200" s="5" t="s">
        <v>517</v>
      </c>
      <c r="B200" s="5" t="s">
        <v>642</v>
      </c>
      <c r="C200" s="51" t="n">
        <v>103</v>
      </c>
      <c r="D200" s="29" t="n">
        <f aca="false">IFERROR(VLOOKUP("Milkshake Apple Cinnamon 220G",'FOOD COST'!$A:$Y,7,0),"")</f>
        <v>3.8682</v>
      </c>
      <c r="E200" s="30" t="n">
        <f aca="false">IFERROR(VLOOKUP("Milkshake Apple Cinnamon 220G",'FOOD COST'!$A:$Y,8,0),"")</f>
        <v>3.8682</v>
      </c>
      <c r="F200" s="29" t="n">
        <f aca="false">IFERROR(VLOOKUP("Milkshake Apple Cinnamon 220G",'FOOD COST'!$A:$Y,10,0),"")</f>
        <v>12.6126126126126</v>
      </c>
      <c r="G200" s="29" t="n">
        <f aca="false">IFERROR(VLOOKUP("Milkshake Apple Cinnamon 220G",'FOOD COST'!$A:$Y,18,0),"")</f>
        <v>12.6126126126126</v>
      </c>
      <c r="H200" s="29" t="n">
        <f aca="false">IFERROR(VLOOKUP("Milkshake Apple Cinnamon 220G",'FOOD COST'!$A:$Y,21,0),"")</f>
        <v>12.6126126126126</v>
      </c>
      <c r="I200" s="29" t="n">
        <f aca="false">IFERROR(VLOOKUP("Milkshake Apple Cinnamon 220G",'FOOD COST'!$A:$Y,24,0),"")</f>
        <v>12.6126126126126</v>
      </c>
      <c r="J200" s="32" t="n">
        <f aca="false">IF(OR(C200="",NOT(ISNUMBER(D200))),"",C200*D200)</f>
        <v>398.4246</v>
      </c>
      <c r="K200" s="52" t="n">
        <f aca="false">IF(OR(C200="",NOT(ISNUMBER(E200))),"",C200*E200)</f>
        <v>398.4246</v>
      </c>
      <c r="L200" s="32" t="n">
        <f aca="false">IF(OR(C200="",NOT(ISNUMBER(F200))),"",C200*F200)</f>
        <v>1299.0990990991</v>
      </c>
      <c r="M200" s="32" t="n">
        <f aca="false">IF(OR(C200="",NOT(ISNUMBER(G200))),"",C200*G200)</f>
        <v>1299.0990990991</v>
      </c>
      <c r="N200" s="32" t="n">
        <f aca="false">IF(OR(C200="",NOT(ISNUMBER(H200))),"",C200*H200)</f>
        <v>1299.0990990991</v>
      </c>
      <c r="O200" s="32" t="n">
        <f aca="false">IF(OR(C200="",NOT(ISNUMBER(I200))),"",C200*I200)</f>
        <v>1299.0990990991</v>
      </c>
    </row>
    <row r="201" customFormat="false" ht="15" hidden="false" customHeight="true" outlineLevel="0" collapsed="false">
      <c r="A201" s="5" t="s">
        <v>518</v>
      </c>
      <c r="B201" s="5" t="s">
        <v>645</v>
      </c>
      <c r="C201" s="51" t="n">
        <v>302</v>
      </c>
      <c r="D201" s="29" t="n">
        <f aca="false">IFERROR(VLOOKUP("Milkshake Apple Cinnamon 220G D",'FOOD COST'!$A:$Y,7,0),"")</f>
        <v>5.9692</v>
      </c>
      <c r="E201" s="30" t="n">
        <f aca="false">IFERROR(VLOOKUP("Milkshake Apple Cinnamon 220G D",'FOOD COST'!$A:$Y,8,0),"")</f>
        <v>5.9692</v>
      </c>
      <c r="F201" s="29" t="n">
        <f aca="false">IFERROR(VLOOKUP("Milkshake Apple Cinnamon 220G D",'FOOD COST'!$A:$Y,10,0),"")</f>
        <v>14.4144144144144</v>
      </c>
      <c r="G201" s="29" t="n">
        <f aca="false">IFERROR(VLOOKUP("Milkshake Apple Cinnamon 220G D",'FOOD COST'!$A:$Y,18,0),"")</f>
        <v>14.4144144144144</v>
      </c>
      <c r="H201" s="29" t="n">
        <f aca="false">IFERROR(VLOOKUP("Milkshake Apple Cinnamon 220G D",'FOOD COST'!$A:$Y,21,0),"")</f>
        <v>14.4144144144144</v>
      </c>
      <c r="I201" s="29" t="n">
        <f aca="false">IFERROR(VLOOKUP("Milkshake Apple Cinnamon 220G D",'FOOD COST'!$A:$Y,24,0),"")</f>
        <v>14.4144144144144</v>
      </c>
      <c r="J201" s="32" t="n">
        <f aca="false">IF(OR(C201="",NOT(ISNUMBER(D201))),"",C201*D201)</f>
        <v>1802.6984</v>
      </c>
      <c r="K201" s="52" t="n">
        <f aca="false">IF(OR(C201="",NOT(ISNUMBER(E201))),"",C201*E201)</f>
        <v>1802.6984</v>
      </c>
      <c r="L201" s="32" t="n">
        <f aca="false">IF(OR(C201="",NOT(ISNUMBER(F201))),"",C201*F201)</f>
        <v>4353.15315315315</v>
      </c>
      <c r="M201" s="32" t="n">
        <f aca="false">IF(OR(C201="",NOT(ISNUMBER(G201))),"",C201*G201)</f>
        <v>4353.15315315315</v>
      </c>
      <c r="N201" s="32" t="n">
        <f aca="false">IF(OR(C201="",NOT(ISNUMBER(H201))),"",C201*H201)</f>
        <v>4353.15315315315</v>
      </c>
      <c r="O201" s="32" t="n">
        <f aca="false">IF(OR(C201="",NOT(ISNUMBER(I201))),"",C201*I201)</f>
        <v>4353.15315315315</v>
      </c>
    </row>
    <row r="202" customFormat="false" ht="15" hidden="false" customHeight="true" outlineLevel="0" collapsed="false">
      <c r="A202" s="5" t="s">
        <v>811</v>
      </c>
      <c r="B202" s="5" t="s">
        <v>645</v>
      </c>
      <c r="C202" s="51"/>
      <c r="D202" s="29" t="n">
        <f aca="false">IFERROR(VLOOKUP("Milkshake Cirese CAN D",'FOOD COST'!$A:$Y,7,0),"")</f>
        <v>5.216</v>
      </c>
      <c r="E202" s="30" t="n">
        <f aca="false">IFERROR(VLOOKUP("Milkshake Cirese CAN D",'FOOD COST'!$A:$Y,8,0),"")</f>
        <v>5.216</v>
      </c>
      <c r="F202" s="29" t="n">
        <f aca="false">IFERROR(VLOOKUP("Milkshake Cirese CAN D",'FOOD COST'!$A:$Y,10,0),"")</f>
        <v>14.4144144144144</v>
      </c>
      <c r="G202" s="29" t="n">
        <f aca="false">IFERROR(VLOOKUP("Milkshake Cirese CAN D",'FOOD COST'!$A:$Y,18,0),"")</f>
        <v>14.4144144144144</v>
      </c>
      <c r="H202" s="29" t="n">
        <f aca="false">IFERROR(VLOOKUP("Milkshake Cirese CAN D",'FOOD COST'!$A:$Y,21,0),"")</f>
        <v>14.4144144144144</v>
      </c>
      <c r="I202" s="29" t="n">
        <f aca="false">IFERROR(VLOOKUP("Milkshake Cirese CAN D",'FOOD COST'!$A:$Y,24,0),"")</f>
        <v>14.4144144144144</v>
      </c>
      <c r="J202" s="32" t="str">
        <f aca="false">IF(OR(C202="",NOT(ISNUMBER(D202))),"",C202*D202)</f>
        <v/>
      </c>
      <c r="K202" s="52" t="str">
        <f aca="false">IF(OR(C202="",NOT(ISNUMBER(E202))),"",C202*E202)</f>
        <v/>
      </c>
      <c r="L202" s="32" t="str">
        <f aca="false">IF(OR(C202="",NOT(ISNUMBER(F202))),"",C202*F202)</f>
        <v/>
      </c>
      <c r="M202" s="32" t="str">
        <f aca="false">IF(OR(C202="",NOT(ISNUMBER(G202))),"",C202*G202)</f>
        <v/>
      </c>
      <c r="N202" s="32" t="str">
        <f aca="false">IF(OR(C202="",NOT(ISNUMBER(H202))),"",C202*H202)</f>
        <v/>
      </c>
      <c r="O202" s="32" t="str">
        <f aca="false">IF(OR(C202="",NOT(ISNUMBER(I202))),"",C202*I202)</f>
        <v/>
      </c>
    </row>
    <row r="203" customFormat="false" ht="15" hidden="false" customHeight="true" outlineLevel="0" collapsed="false">
      <c r="A203" s="5" t="s">
        <v>812</v>
      </c>
      <c r="B203" s="5" t="s">
        <v>645</v>
      </c>
      <c r="C203" s="51"/>
      <c r="D203" s="29" t="n">
        <f aca="false">IFERROR(VLOOKUP("Milkshake Fructul Pasiunii CAN D",'FOOD COST'!$A:$Y,7,0),"")</f>
        <v>5.216</v>
      </c>
      <c r="E203" s="30" t="n">
        <f aca="false">IFERROR(VLOOKUP("Milkshake Fructul Pasiunii CAN D",'FOOD COST'!$A:$Y,8,0),"")</f>
        <v>5.216</v>
      </c>
      <c r="F203" s="29" t="n">
        <f aca="false">IFERROR(VLOOKUP("Milkshake Fructul Pasiunii CAN D",'FOOD COST'!$A:$Y,10,0),"")</f>
        <v>14.4144144144144</v>
      </c>
      <c r="G203" s="29" t="n">
        <f aca="false">IFERROR(VLOOKUP("Milkshake Fructul Pasiunii CAN D",'FOOD COST'!$A:$Y,18,0),"")</f>
        <v>14.4144144144144</v>
      </c>
      <c r="H203" s="29" t="n">
        <f aca="false">IFERROR(VLOOKUP("Milkshake Fructul Pasiunii CAN D",'FOOD COST'!$A:$Y,21,0),"")</f>
        <v>14.4144144144144</v>
      </c>
      <c r="I203" s="29" t="n">
        <f aca="false">IFERROR(VLOOKUP("Milkshake Fructul Pasiunii CAN D",'FOOD COST'!$A:$Y,24,0),"")</f>
        <v>14.4144144144144</v>
      </c>
      <c r="J203" s="32" t="str">
        <f aca="false">IF(OR(C203="",NOT(ISNUMBER(D203))),"",C203*D203)</f>
        <v/>
      </c>
      <c r="K203" s="52" t="str">
        <f aca="false">IF(OR(C203="",NOT(ISNUMBER(E203))),"",C203*E203)</f>
        <v/>
      </c>
      <c r="L203" s="32" t="str">
        <f aca="false">IF(OR(C203="",NOT(ISNUMBER(F203))),"",C203*F203)</f>
        <v/>
      </c>
      <c r="M203" s="32" t="str">
        <f aca="false">IF(OR(C203="",NOT(ISNUMBER(G203))),"",C203*G203)</f>
        <v/>
      </c>
      <c r="N203" s="32" t="str">
        <f aca="false">IF(OR(C203="",NOT(ISNUMBER(H203))),"",C203*H203)</f>
        <v/>
      </c>
      <c r="O203" s="32" t="str">
        <f aca="false">IF(OR(C203="",NOT(ISNUMBER(I203))),"",C203*I203)</f>
        <v/>
      </c>
    </row>
    <row r="204" customFormat="false" ht="15" hidden="false" customHeight="true" outlineLevel="0" collapsed="false">
      <c r="A204" s="5" t="s">
        <v>521</v>
      </c>
      <c r="B204" s="5" t="s">
        <v>642</v>
      </c>
      <c r="C204" s="51" t="n">
        <v>654</v>
      </c>
      <c r="D204" s="29" t="n">
        <f aca="false">IFERROR(VLOOKUP("ApfelStorm X Toffee",'FOOD COST'!$A:$Y,7,0),"")</f>
        <v>5.1634</v>
      </c>
      <c r="E204" s="30" t="n">
        <f aca="false">IFERROR(VLOOKUP("ApfelStorm X Toffee",'FOOD COST'!$A:$Y,8,0),"")</f>
        <v>5.1634</v>
      </c>
      <c r="F204" s="29" t="n">
        <f aca="false">IFERROR(VLOOKUP("ApfelStorm X Toffee",'FOOD COST'!$A:$Y,10,0),"")</f>
        <v>17.9279279279279</v>
      </c>
      <c r="G204" s="29" t="n">
        <f aca="false">IFERROR(VLOOKUP("ApfelStorm X Toffee",'FOOD COST'!$A:$Y,18,0),"")</f>
        <v>17.9279279279279</v>
      </c>
      <c r="H204" s="29" t="n">
        <f aca="false">IFERROR(VLOOKUP("ApfelStorm X Toffee",'FOOD COST'!$A:$Y,21,0),"")</f>
        <v>17.9279279279279</v>
      </c>
      <c r="I204" s="29" t="n">
        <f aca="false">IFERROR(VLOOKUP("ApfelStorm X Toffee",'FOOD COST'!$A:$Y,24,0),"")</f>
        <v>17.9279279279279</v>
      </c>
      <c r="J204" s="32" t="n">
        <f aca="false">IF(OR(C204="",NOT(ISNUMBER(D204))),"",C204*D204)</f>
        <v>3376.8636</v>
      </c>
      <c r="K204" s="52" t="n">
        <f aca="false">IF(OR(C204="",NOT(ISNUMBER(E204))),"",C204*E204)</f>
        <v>3376.8636</v>
      </c>
      <c r="L204" s="32" t="n">
        <f aca="false">IF(OR(C204="",NOT(ISNUMBER(F204))),"",C204*F204)</f>
        <v>11724.8648648649</v>
      </c>
      <c r="M204" s="32" t="n">
        <f aca="false">IF(OR(C204="",NOT(ISNUMBER(G204))),"",C204*G204)</f>
        <v>11724.8648648649</v>
      </c>
      <c r="N204" s="32" t="n">
        <f aca="false">IF(OR(C204="",NOT(ISNUMBER(H204))),"",C204*H204)</f>
        <v>11724.8648648649</v>
      </c>
      <c r="O204" s="32" t="n">
        <f aca="false">IF(OR(C204="",NOT(ISNUMBER(I204))),"",C204*I204)</f>
        <v>11724.8648648649</v>
      </c>
    </row>
    <row r="205" customFormat="false" ht="15" hidden="false" customHeight="true" outlineLevel="0" collapsed="false">
      <c r="A205" s="5" t="s">
        <v>813</v>
      </c>
      <c r="B205" s="5" t="s">
        <v>642</v>
      </c>
      <c r="C205" s="51" t="n">
        <v>60711</v>
      </c>
      <c r="D205" s="29" t="n">
        <f aca="false">IFERROR(VLOOKUP("Pepsi /PEPSI ZERO/7UP ZERO/MIRINDA ZERO/LIPTON 250ML",'FOOD COST'!$A:$Y,7,0),"")</f>
        <v>2.5212004</v>
      </c>
      <c r="E205" s="30" t="n">
        <f aca="false">IFERROR(VLOOKUP("Pepsi /PEPSI ZERO/7UP ZERO/MIRINDA ZERO/LIPTON 250ML",'FOOD COST'!$A:$Y,8,0),"")</f>
        <v>2.5212004</v>
      </c>
      <c r="F205" s="29" t="n">
        <f aca="false">IFERROR(VLOOKUP("Pepsi /PEPSI ZERO/7UP ZERO/MIRINDA ZERO/LIPTON 250ML",'FOOD COST'!$A:$Y,10,0),"")</f>
        <v>5.78512396694215</v>
      </c>
      <c r="G205" s="29" t="n">
        <f aca="false">IFERROR(VLOOKUP("Pepsi /PEPSI ZERO/7UP ZERO/MIRINDA ZERO/LIPTON 250ML",'FOOD COST'!$A:$Y,18,0),"")</f>
        <v>5.78512396694215</v>
      </c>
      <c r="H205" s="29" t="n">
        <f aca="false">IFERROR(VLOOKUP("Pepsi /PEPSI ZERO/7UP ZERO/MIRINDA ZERO/LIPTON 250ML",'FOOD COST'!$A:$Y,21,0),"")</f>
        <v>5.78512396694215</v>
      </c>
      <c r="I205" s="29" t="n">
        <f aca="false">IFERROR(VLOOKUP("Pepsi /PEPSI ZERO/7UP ZERO/MIRINDA ZERO/LIPTON 250ML",'FOOD COST'!$A:$Y,24,0),"")</f>
        <v>5.78512396694215</v>
      </c>
      <c r="J205" s="32" t="n">
        <f aca="false">IF(OR(C205="",NOT(ISNUMBER(D205))),"",C205*D205)</f>
        <v>153064.5974844</v>
      </c>
      <c r="K205" s="52" t="n">
        <f aca="false">IF(OR(C205="",NOT(ISNUMBER(E205))),"",C205*E205)</f>
        <v>153064.5974844</v>
      </c>
      <c r="L205" s="32" t="n">
        <f aca="false">IF(OR(C205="",NOT(ISNUMBER(F205))),"",C205*F205)</f>
        <v>351220.661157025</v>
      </c>
      <c r="M205" s="32" t="n">
        <f aca="false">IF(OR(C205="",NOT(ISNUMBER(G205))),"",C205*G205)</f>
        <v>351220.661157025</v>
      </c>
      <c r="N205" s="32" t="n">
        <f aca="false">IF(OR(C205="",NOT(ISNUMBER(H205))),"",C205*H205)</f>
        <v>351220.661157025</v>
      </c>
      <c r="O205" s="32" t="n">
        <f aca="false">IF(OR(C205="",NOT(ISNUMBER(I205))),"",C205*I205)</f>
        <v>351220.661157025</v>
      </c>
    </row>
    <row r="206" customFormat="false" ht="15" hidden="false" customHeight="true" outlineLevel="0" collapsed="false">
      <c r="A206" s="5" t="s">
        <v>815</v>
      </c>
      <c r="B206" s="5" t="s">
        <v>642</v>
      </c>
      <c r="C206" s="51" t="n">
        <v>58293</v>
      </c>
      <c r="D206" s="29" t="n">
        <f aca="false">IFERROR(VLOOKUP("Pepsi /PEPSI ZERO/7UP ZERO/MIRINDA ZERO/LIPTON 500ML",'FOOD COST'!$A:$Y,7,0),"")</f>
        <v>4.5494008</v>
      </c>
      <c r="E206" s="30" t="n">
        <f aca="false">IFERROR(VLOOKUP("Pepsi /PEPSI ZERO/7UP ZERO/MIRINDA ZERO/LIPTON 500ML",'FOOD COST'!$A:$Y,8,0),"")</f>
        <v>4.5494008</v>
      </c>
      <c r="F206" s="29" t="n">
        <f aca="false">IFERROR(VLOOKUP("Pepsi /PEPSI ZERO/7UP ZERO/MIRINDA ZERO/LIPTON 500ML",'FOOD COST'!$A:$Y,10,0),"")</f>
        <v>8.26446280991736</v>
      </c>
      <c r="G206" s="29" t="n">
        <f aca="false">IFERROR(VLOOKUP("Pepsi /PEPSI ZERO/7UP ZERO/MIRINDA ZERO/LIPTON 500ML",'FOOD COST'!$A:$Y,18,0),"")</f>
        <v>8.26446280991736</v>
      </c>
      <c r="H206" s="29" t="n">
        <f aca="false">IFERROR(VLOOKUP("Pepsi /PEPSI ZERO/7UP ZERO/MIRINDA ZERO/LIPTON 500ML",'FOOD COST'!$A:$Y,21,0),"")</f>
        <v>8.26446280991736</v>
      </c>
      <c r="I206" s="29" t="n">
        <f aca="false">IFERROR(VLOOKUP("Pepsi /PEPSI ZERO/7UP ZERO/MIRINDA ZERO/LIPTON 500ML",'FOOD COST'!$A:$Y,24,0),"")</f>
        <v>8.26446280991736</v>
      </c>
      <c r="J206" s="32" t="n">
        <f aca="false">IF(OR(C206="",NOT(ISNUMBER(D206))),"",C206*D206)</f>
        <v>265198.2208344</v>
      </c>
      <c r="K206" s="52" t="n">
        <f aca="false">IF(OR(C206="",NOT(ISNUMBER(E206))),"",C206*E206)</f>
        <v>265198.2208344</v>
      </c>
      <c r="L206" s="32" t="n">
        <f aca="false">IF(OR(C206="",NOT(ISNUMBER(F206))),"",C206*F206)</f>
        <v>481760.330578512</v>
      </c>
      <c r="M206" s="32" t="n">
        <f aca="false">IF(OR(C206="",NOT(ISNUMBER(G206))),"",C206*G206)</f>
        <v>481760.330578512</v>
      </c>
      <c r="N206" s="32" t="n">
        <f aca="false">IF(OR(C206="",NOT(ISNUMBER(H206))),"",C206*H206)</f>
        <v>481760.330578512</v>
      </c>
      <c r="O206" s="32" t="n">
        <f aca="false">IF(OR(C206="",NOT(ISNUMBER(I206))),"",C206*I206)</f>
        <v>481760.330578512</v>
      </c>
    </row>
    <row r="207" customFormat="false" ht="15" hidden="false" customHeight="true" outlineLevel="0" collapsed="false">
      <c r="A207" s="5" t="s">
        <v>817</v>
      </c>
      <c r="B207" s="5" t="s">
        <v>642</v>
      </c>
      <c r="C207" s="51" t="n">
        <v>8887</v>
      </c>
      <c r="D207" s="29" t="n">
        <f aca="false">IFERROR(VLOOKUP("Apa Plata AQUA CARPATICA",'FOOD COST'!$A:$Y,7,0),"")</f>
        <v>2.75</v>
      </c>
      <c r="E207" s="30" t="n">
        <f aca="false">IFERROR(VLOOKUP("Apa Plata AQUA CARPATICA",'FOOD COST'!$A:$Y,8,0),"")</f>
        <v>2.75</v>
      </c>
      <c r="F207" s="29" t="n">
        <f aca="false">IFERROR(VLOOKUP("Apa Plata AQUA CARPATICA",'FOOD COST'!$A:$Y,10,0),"")</f>
        <v>8.26446280991736</v>
      </c>
      <c r="G207" s="29" t="n">
        <f aca="false">IFERROR(VLOOKUP("Apa Plata AQUA CARPATICA",'FOOD COST'!$A:$Y,18,0),"")</f>
        <v>8.26446280991736</v>
      </c>
      <c r="H207" s="29" t="n">
        <f aca="false">IFERROR(VLOOKUP("Apa Plata AQUA CARPATICA",'FOOD COST'!$A:$Y,21,0),"")</f>
        <v>8.26446280991736</v>
      </c>
      <c r="I207" s="29" t="n">
        <f aca="false">IFERROR(VLOOKUP("Apa Plata AQUA CARPATICA",'FOOD COST'!$A:$Y,24,0),"")</f>
        <v>8.26446280991736</v>
      </c>
      <c r="J207" s="32" t="n">
        <f aca="false">IF(OR(C207="",NOT(ISNUMBER(D207))),"",C207*D207)</f>
        <v>24439.25</v>
      </c>
      <c r="K207" s="52" t="n">
        <f aca="false">IF(OR(C207="",NOT(ISNUMBER(E207))),"",C207*E207)</f>
        <v>24439.25</v>
      </c>
      <c r="L207" s="32" t="n">
        <f aca="false">IF(OR(C207="",NOT(ISNUMBER(F207))),"",C207*F207)</f>
        <v>73446.2809917356</v>
      </c>
      <c r="M207" s="32" t="n">
        <f aca="false">IF(OR(C207="",NOT(ISNUMBER(G207))),"",C207*G207)</f>
        <v>73446.2809917356</v>
      </c>
      <c r="N207" s="32" t="n">
        <f aca="false">IF(OR(C207="",NOT(ISNUMBER(H207))),"",C207*H207)</f>
        <v>73446.2809917356</v>
      </c>
      <c r="O207" s="32" t="n">
        <f aca="false">IF(OR(C207="",NOT(ISNUMBER(I207))),"",C207*I207)</f>
        <v>73446.2809917356</v>
      </c>
    </row>
    <row r="208" customFormat="false" ht="15" hidden="false" customHeight="true" outlineLevel="0" collapsed="false">
      <c r="A208" s="5" t="s">
        <v>818</v>
      </c>
      <c r="B208" s="5" t="s">
        <v>645</v>
      </c>
      <c r="C208" s="51" t="n">
        <v>332</v>
      </c>
      <c r="D208" s="29" t="n">
        <f aca="false">IFERROR(VLOOKUP("Apa Plata AQUA CARPATICA D",'FOOD COST'!$A:$Y,7,0),"")</f>
        <v>2.75</v>
      </c>
      <c r="E208" s="30" t="n">
        <f aca="false">IFERROR(VLOOKUP("Apa Plata AQUA CARPATICA D",'FOOD COST'!$A:$Y,8,0),"")</f>
        <v>2.75</v>
      </c>
      <c r="F208" s="29" t="n">
        <f aca="false">IFERROR(VLOOKUP("Apa Plata AQUA CARPATICA D",'FOOD COST'!$A:$Y,10,0),"")</f>
        <v>9.09090909090909</v>
      </c>
      <c r="G208" s="29" t="n">
        <f aca="false">IFERROR(VLOOKUP("Apa Plata AQUA CARPATICA D",'FOOD COST'!$A:$Y,18,0),"")</f>
        <v>9.09090909090909</v>
      </c>
      <c r="H208" s="29" t="n">
        <f aca="false">IFERROR(VLOOKUP("Apa Plata AQUA CARPATICA D",'FOOD COST'!$A:$Y,21,0),"")</f>
        <v>9.09090909090909</v>
      </c>
      <c r="I208" s="29" t="n">
        <f aca="false">IFERROR(VLOOKUP("Apa Plata AQUA CARPATICA D",'FOOD COST'!$A:$Y,24,0),"")</f>
        <v>9.09090909090909</v>
      </c>
      <c r="J208" s="32" t="n">
        <f aca="false">IF(OR(C208="",NOT(ISNUMBER(D208))),"",C208*D208)</f>
        <v>913</v>
      </c>
      <c r="K208" s="52" t="n">
        <f aca="false">IF(OR(C208="",NOT(ISNUMBER(E208))),"",C208*E208)</f>
        <v>913</v>
      </c>
      <c r="L208" s="32" t="n">
        <f aca="false">IF(OR(C208="",NOT(ISNUMBER(F208))),"",C208*F208)</f>
        <v>3018.18181818182</v>
      </c>
      <c r="M208" s="32" t="n">
        <f aca="false">IF(OR(C208="",NOT(ISNUMBER(G208))),"",C208*G208)</f>
        <v>3018.18181818182</v>
      </c>
      <c r="N208" s="32" t="n">
        <f aca="false">IF(OR(C208="",NOT(ISNUMBER(H208))),"",C208*H208)</f>
        <v>3018.18181818182</v>
      </c>
      <c r="O208" s="32" t="n">
        <f aca="false">IF(OR(C208="",NOT(ISNUMBER(I208))),"",C208*I208)</f>
        <v>3018.18181818182</v>
      </c>
    </row>
    <row r="209" customFormat="false" ht="15" hidden="false" customHeight="true" outlineLevel="0" collapsed="false">
      <c r="A209" s="5" t="s">
        <v>819</v>
      </c>
      <c r="B209" s="5" t="s">
        <v>642</v>
      </c>
      <c r="C209" s="51" t="n">
        <v>2251</v>
      </c>
      <c r="D209" s="29" t="n">
        <f aca="false">IFERROR(VLOOKUP("Apa Minerala AQUA CARPATICA",'FOOD COST'!$A:$Y,7,0),"")</f>
        <v>2.75</v>
      </c>
      <c r="E209" s="30" t="n">
        <f aca="false">IFERROR(VLOOKUP("Apa Minerala AQUA CARPATICA",'FOOD COST'!$A:$Y,8,0),"")</f>
        <v>2.75</v>
      </c>
      <c r="F209" s="29" t="n">
        <f aca="false">IFERROR(VLOOKUP("Apa Minerala AQUA CARPATICA",'FOOD COST'!$A:$Y,10,0),"")</f>
        <v>8.26446280991736</v>
      </c>
      <c r="G209" s="29" t="n">
        <f aca="false">IFERROR(VLOOKUP("Apa Minerala AQUA CARPATICA",'FOOD COST'!$A:$Y,18,0),"")</f>
        <v>8.26446280991736</v>
      </c>
      <c r="H209" s="29" t="n">
        <f aca="false">IFERROR(VLOOKUP("Apa Minerala AQUA CARPATICA",'FOOD COST'!$A:$Y,21,0),"")</f>
        <v>8.26446280991736</v>
      </c>
      <c r="I209" s="29" t="n">
        <f aca="false">IFERROR(VLOOKUP("Apa Minerala AQUA CARPATICA",'FOOD COST'!$A:$Y,24,0),"")</f>
        <v>8.26446280991736</v>
      </c>
      <c r="J209" s="32" t="n">
        <f aca="false">IF(OR(C209="",NOT(ISNUMBER(D209))),"",C209*D209)</f>
        <v>6190.25</v>
      </c>
      <c r="K209" s="52" t="n">
        <f aca="false">IF(OR(C209="",NOT(ISNUMBER(E209))),"",C209*E209)</f>
        <v>6190.25</v>
      </c>
      <c r="L209" s="32" t="n">
        <f aca="false">IF(OR(C209="",NOT(ISNUMBER(F209))),"",C209*F209)</f>
        <v>18603.305785124</v>
      </c>
      <c r="M209" s="32" t="n">
        <f aca="false">IF(OR(C209="",NOT(ISNUMBER(G209))),"",C209*G209)</f>
        <v>18603.305785124</v>
      </c>
      <c r="N209" s="32" t="n">
        <f aca="false">IF(OR(C209="",NOT(ISNUMBER(H209))),"",C209*H209)</f>
        <v>18603.305785124</v>
      </c>
      <c r="O209" s="32" t="n">
        <f aca="false">IF(OR(C209="",NOT(ISNUMBER(I209))),"",C209*I209)</f>
        <v>18603.305785124</v>
      </c>
    </row>
    <row r="210" customFormat="false" ht="15" hidden="false" customHeight="true" outlineLevel="0" collapsed="false">
      <c r="A210" s="5" t="s">
        <v>820</v>
      </c>
      <c r="B210" s="5" t="s">
        <v>645</v>
      </c>
      <c r="C210" s="51" t="n">
        <v>142</v>
      </c>
      <c r="D210" s="29" t="n">
        <f aca="false">IFERROR(VLOOKUP("Apa Minerala AQUA CARPATICA D",'FOOD COST'!$A:$Y,7,0),"")</f>
        <v>2.75</v>
      </c>
      <c r="E210" s="30" t="n">
        <f aca="false">IFERROR(VLOOKUP("Apa Minerala AQUA CARPATICA D",'FOOD COST'!$A:$Y,8,0),"")</f>
        <v>2.75</v>
      </c>
      <c r="F210" s="29" t="n">
        <f aca="false">IFERROR(VLOOKUP("Apa Minerala AQUA CARPATICA D",'FOOD COST'!$A:$Y,10,0),"")</f>
        <v>9.09090909090909</v>
      </c>
      <c r="G210" s="29" t="n">
        <f aca="false">IFERROR(VLOOKUP("Apa Minerala AQUA CARPATICA D",'FOOD COST'!$A:$Y,18,0),"")</f>
        <v>9.09090909090909</v>
      </c>
      <c r="H210" s="29" t="n">
        <f aca="false">IFERROR(VLOOKUP("Apa Minerala AQUA CARPATICA D",'FOOD COST'!$A:$Y,21,0),"")</f>
        <v>9.09090909090909</v>
      </c>
      <c r="I210" s="29" t="n">
        <f aca="false">IFERROR(VLOOKUP("Apa Minerala AQUA CARPATICA D",'FOOD COST'!$A:$Y,24,0),"")</f>
        <v>9.09090909090909</v>
      </c>
      <c r="J210" s="32" t="n">
        <f aca="false">IF(OR(C210="",NOT(ISNUMBER(D210))),"",C210*D210)</f>
        <v>390.5</v>
      </c>
      <c r="K210" s="52" t="n">
        <f aca="false">IF(OR(C210="",NOT(ISNUMBER(E210))),"",C210*E210)</f>
        <v>390.5</v>
      </c>
      <c r="L210" s="32" t="n">
        <f aca="false">IF(OR(C210="",NOT(ISNUMBER(F210))),"",C210*F210)</f>
        <v>1290.90909090909</v>
      </c>
      <c r="M210" s="32" t="n">
        <f aca="false">IF(OR(C210="",NOT(ISNUMBER(G210))),"",C210*G210)</f>
        <v>1290.90909090909</v>
      </c>
      <c r="N210" s="32" t="n">
        <f aca="false">IF(OR(C210="",NOT(ISNUMBER(H210))),"",C210*H210)</f>
        <v>1290.90909090909</v>
      </c>
      <c r="O210" s="32" t="n">
        <f aca="false">IF(OR(C210="",NOT(ISNUMBER(I210))),"",C210*I210)</f>
        <v>1290.90909090909</v>
      </c>
    </row>
    <row r="211" customFormat="false" ht="15" hidden="false" customHeight="true" outlineLevel="0" collapsed="false">
      <c r="A211" s="5" t="s">
        <v>821</v>
      </c>
      <c r="B211" s="5" t="s">
        <v>642</v>
      </c>
      <c r="C211" s="51" t="n">
        <v>1369</v>
      </c>
      <c r="D211" s="29" t="n">
        <f aca="false">IFERROR(VLOOKUP("Prigat Portocale/Capsuni &amp;Banane",'FOOD COST'!$A:$Y,7,0),"")</f>
        <v>4.17</v>
      </c>
      <c r="E211" s="30" t="n">
        <f aca="false">IFERROR(VLOOKUP("Prigat Portocale/Capsuni &amp;Banane",'FOOD COST'!$A:$Y,8,0),"")</f>
        <v>4.17</v>
      </c>
      <c r="F211" s="29" t="n">
        <f aca="false">IFERROR(VLOOKUP("Prigat Portocale/Capsuni &amp;Banane",'FOOD COST'!$A:$Y,10,0),"")</f>
        <v>8.26446280991736</v>
      </c>
      <c r="G211" s="29" t="n">
        <f aca="false">IFERROR(VLOOKUP("Prigat Portocale/Capsuni &amp;Banane",'FOOD COST'!$A:$Y,18,0),"")</f>
        <v>8.26446280991736</v>
      </c>
      <c r="H211" s="29" t="n">
        <f aca="false">IFERROR(VLOOKUP("Prigat Portocale/Capsuni &amp;Banane",'FOOD COST'!$A:$Y,21,0),"")</f>
        <v>8.26446280991736</v>
      </c>
      <c r="I211" s="29" t="n">
        <f aca="false">IFERROR(VLOOKUP("Prigat Portocale/Capsuni &amp;Banane",'FOOD COST'!$A:$Y,24,0),"")</f>
        <v>8.26446280991736</v>
      </c>
      <c r="J211" s="32" t="n">
        <f aca="false">IF(OR(C211="",NOT(ISNUMBER(D211))),"",C211*D211)</f>
        <v>5708.73</v>
      </c>
      <c r="K211" s="52" t="n">
        <f aca="false">IF(OR(C211="",NOT(ISNUMBER(E211))),"",C211*E211)</f>
        <v>5708.73</v>
      </c>
      <c r="L211" s="32" t="n">
        <f aca="false">IF(OR(C211="",NOT(ISNUMBER(F211))),"",C211*F211)</f>
        <v>11314.0495867769</v>
      </c>
      <c r="M211" s="32" t="n">
        <f aca="false">IF(OR(C211="",NOT(ISNUMBER(G211))),"",C211*G211)</f>
        <v>11314.0495867769</v>
      </c>
      <c r="N211" s="32" t="n">
        <f aca="false">IF(OR(C211="",NOT(ISNUMBER(H211))),"",C211*H211)</f>
        <v>11314.0495867769</v>
      </c>
      <c r="O211" s="32" t="n">
        <f aca="false">IF(OR(C211="",NOT(ISNUMBER(I211))),"",C211*I211)</f>
        <v>11314.0495867769</v>
      </c>
    </row>
    <row r="212" customFormat="false" ht="15" hidden="false" customHeight="true" outlineLevel="0" collapsed="false">
      <c r="A212" s="5" t="s">
        <v>823</v>
      </c>
      <c r="B212" s="5" t="s">
        <v>645</v>
      </c>
      <c r="C212" s="51" t="n">
        <v>357</v>
      </c>
      <c r="D212" s="29" t="n">
        <f aca="false">IFERROR(VLOOKUP("Prigat Portocale/Capsuni &amp;Banane D",'FOOD COST'!$A:$Y,7,0),"")</f>
        <v>4.17</v>
      </c>
      <c r="E212" s="30" t="n">
        <f aca="false">IFERROR(VLOOKUP("Prigat Portocale/Capsuni &amp;Banane D",'FOOD COST'!$A:$Y,8,0),"")</f>
        <v>4.17</v>
      </c>
      <c r="F212" s="29" t="n">
        <f aca="false">IFERROR(VLOOKUP("Prigat Portocale/Capsuni &amp;Banane D",'FOOD COST'!$A:$Y,10,0),"")</f>
        <v>9.91735537190083</v>
      </c>
      <c r="G212" s="29" t="n">
        <f aca="false">IFERROR(VLOOKUP("Prigat Portocale/Capsuni &amp;Banane D",'FOOD COST'!$A:$Y,18,0),"")</f>
        <v>9.91735537190083</v>
      </c>
      <c r="H212" s="29" t="n">
        <f aca="false">IFERROR(VLOOKUP("Prigat Portocale/Capsuni &amp;Banane D",'FOOD COST'!$A:$Y,21,0),"")</f>
        <v>9.91735537190083</v>
      </c>
      <c r="I212" s="29" t="n">
        <f aca="false">IFERROR(VLOOKUP("Prigat Portocale/Capsuni &amp;Banane D",'FOOD COST'!$A:$Y,24,0),"")</f>
        <v>9.91735537190083</v>
      </c>
      <c r="J212" s="32" t="n">
        <f aca="false">IF(OR(C212="",NOT(ISNUMBER(D212))),"",C212*D212)</f>
        <v>1488.69</v>
      </c>
      <c r="K212" s="52" t="n">
        <f aca="false">IF(OR(C212="",NOT(ISNUMBER(E212))),"",C212*E212)</f>
        <v>1488.69</v>
      </c>
      <c r="L212" s="32" t="n">
        <f aca="false">IF(OR(C212="",NOT(ISNUMBER(F212))),"",C212*F212)</f>
        <v>3540.4958677686</v>
      </c>
      <c r="M212" s="32" t="n">
        <f aca="false">IF(OR(C212="",NOT(ISNUMBER(G212))),"",C212*G212)</f>
        <v>3540.4958677686</v>
      </c>
      <c r="N212" s="32" t="n">
        <f aca="false">IF(OR(C212="",NOT(ISNUMBER(H212))),"",C212*H212)</f>
        <v>3540.4958677686</v>
      </c>
      <c r="O212" s="32" t="n">
        <f aca="false">IF(OR(C212="",NOT(ISNUMBER(I212))),"",C212*I212)</f>
        <v>3540.4958677686</v>
      </c>
    </row>
    <row r="213" customFormat="false" ht="15" hidden="false" customHeight="true" outlineLevel="0" collapsed="false">
      <c r="A213" s="5" t="s">
        <v>824</v>
      </c>
      <c r="B213" s="5" t="s">
        <v>642</v>
      </c>
      <c r="C213" s="51" t="n">
        <v>487</v>
      </c>
      <c r="D213" s="29" t="n">
        <f aca="false">IFERROR(VLOOKUP("Dr Pepper",'FOOD COST'!$A:$Y,7,0),"")</f>
        <v>3.64</v>
      </c>
      <c r="E213" s="30" t="n">
        <f aca="false">IFERROR(VLOOKUP("Dr Pepper",'FOOD COST'!$A:$Y,8,0),"")</f>
        <v>3.64</v>
      </c>
      <c r="F213" s="29" t="n">
        <f aca="false">IFERROR(VLOOKUP("Dr Pepper",'FOOD COST'!$A:$Y,10,0),"")</f>
        <v>9.09090909090909</v>
      </c>
      <c r="G213" s="29" t="n">
        <f aca="false">IFERROR(VLOOKUP("Dr Pepper",'FOOD COST'!$A:$Y,18,0),"")</f>
        <v>9.09090909090909</v>
      </c>
      <c r="H213" s="29" t="n">
        <f aca="false">IFERROR(VLOOKUP("Dr Pepper",'FOOD COST'!$A:$Y,21,0),"")</f>
        <v>9.09090909090909</v>
      </c>
      <c r="I213" s="29" t="n">
        <f aca="false">IFERROR(VLOOKUP("Dr Pepper",'FOOD COST'!$A:$Y,24,0),"")</f>
        <v>9.09090909090909</v>
      </c>
      <c r="J213" s="32" t="n">
        <f aca="false">IF(OR(C213="",NOT(ISNUMBER(D213))),"",C213*D213)</f>
        <v>1772.68</v>
      </c>
      <c r="K213" s="52" t="n">
        <f aca="false">IF(OR(C213="",NOT(ISNUMBER(E213))),"",C213*E213)</f>
        <v>1772.68</v>
      </c>
      <c r="L213" s="32" t="n">
        <f aca="false">IF(OR(C213="",NOT(ISNUMBER(F213))),"",C213*F213)</f>
        <v>4427.27272727273</v>
      </c>
      <c r="M213" s="32" t="n">
        <f aca="false">IF(OR(C213="",NOT(ISNUMBER(G213))),"",C213*G213)</f>
        <v>4427.27272727273</v>
      </c>
      <c r="N213" s="32" t="n">
        <f aca="false">IF(OR(C213="",NOT(ISNUMBER(H213))),"",C213*H213)</f>
        <v>4427.27272727273</v>
      </c>
      <c r="O213" s="32" t="n">
        <f aca="false">IF(OR(C213="",NOT(ISNUMBER(I213))),"",C213*I213)</f>
        <v>4427.27272727273</v>
      </c>
    </row>
    <row r="214" customFormat="false" ht="15" hidden="false" customHeight="true" outlineLevel="0" collapsed="false">
      <c r="A214" s="5" t="s">
        <v>825</v>
      </c>
      <c r="B214" s="5" t="s">
        <v>645</v>
      </c>
      <c r="C214" s="51" t="n">
        <v>642</v>
      </c>
      <c r="D214" s="29" t="n">
        <f aca="false">IFERROR(VLOOKUP("Dr Pepper D",'FOOD COST'!$A:$Y,7,0),"")</f>
        <v>3.64</v>
      </c>
      <c r="E214" s="30" t="n">
        <f aca="false">IFERROR(VLOOKUP("Dr Pepper D",'FOOD COST'!$A:$Y,8,0),"")</f>
        <v>3.64</v>
      </c>
      <c r="F214" s="29" t="n">
        <f aca="false">IFERROR(VLOOKUP("Dr Pepper D",'FOOD COST'!$A:$Y,10,0),"")</f>
        <v>9.91735537190083</v>
      </c>
      <c r="G214" s="29" t="n">
        <f aca="false">IFERROR(VLOOKUP("Dr Pepper D",'FOOD COST'!$A:$Y,18,0),"")</f>
        <v>9.91735537190083</v>
      </c>
      <c r="H214" s="29" t="n">
        <f aca="false">IFERROR(VLOOKUP("Dr Pepper D",'FOOD COST'!$A:$Y,21,0),"")</f>
        <v>9.91735537190083</v>
      </c>
      <c r="I214" s="29" t="n">
        <f aca="false">IFERROR(VLOOKUP("Dr Pepper D",'FOOD COST'!$A:$Y,24,0),"")</f>
        <v>9.91735537190083</v>
      </c>
      <c r="J214" s="32" t="n">
        <f aca="false">IF(OR(C214="",NOT(ISNUMBER(D214))),"",C214*D214)</f>
        <v>2336.88</v>
      </c>
      <c r="K214" s="52" t="n">
        <f aca="false">IF(OR(C214="",NOT(ISNUMBER(E214))),"",C214*E214)</f>
        <v>2336.88</v>
      </c>
      <c r="L214" s="32" t="n">
        <f aca="false">IF(OR(C214="",NOT(ISNUMBER(F214))),"",C214*F214)</f>
        <v>6366.94214876033</v>
      </c>
      <c r="M214" s="32" t="n">
        <f aca="false">IF(OR(C214="",NOT(ISNUMBER(G214))),"",C214*G214)</f>
        <v>6366.94214876033</v>
      </c>
      <c r="N214" s="32" t="n">
        <f aca="false">IF(OR(C214="",NOT(ISNUMBER(H214))),"",C214*H214)</f>
        <v>6366.94214876033</v>
      </c>
      <c r="O214" s="32" t="n">
        <f aca="false">IF(OR(C214="",NOT(ISNUMBER(I214))),"",C214*I214)</f>
        <v>6366.94214876033</v>
      </c>
    </row>
    <row r="215" customFormat="false" ht="15" hidden="false" customHeight="true" outlineLevel="0" collapsed="false">
      <c r="A215" s="5" t="s">
        <v>826</v>
      </c>
      <c r="B215" s="5" t="s">
        <v>642</v>
      </c>
      <c r="C215" s="51" t="n">
        <v>178</v>
      </c>
      <c r="D215" s="29" t="n">
        <f aca="false">IFERROR(VLOOKUP("Red Bull",'FOOD COST'!$A:$Y,7,0),"")</f>
        <v>6.08</v>
      </c>
      <c r="E215" s="30" t="n">
        <f aca="false">IFERROR(VLOOKUP("Red Bull",'FOOD COST'!$A:$Y,8,0),"")</f>
        <v>6.08</v>
      </c>
      <c r="F215" s="29" t="n">
        <f aca="false">IFERROR(VLOOKUP("Red Bull",'FOOD COST'!$A:$Y,10,0),"")</f>
        <v>12.396694214876</v>
      </c>
      <c r="G215" s="29" t="n">
        <f aca="false">IFERROR(VLOOKUP("Red Bull",'FOOD COST'!$A:$Y,18,0),"")</f>
        <v>12.396694214876</v>
      </c>
      <c r="H215" s="29" t="n">
        <f aca="false">IFERROR(VLOOKUP("Red Bull",'FOOD COST'!$A:$Y,21,0),"")</f>
        <v>12.396694214876</v>
      </c>
      <c r="I215" s="29" t="n">
        <f aca="false">IFERROR(VLOOKUP("Red Bull",'FOOD COST'!$A:$Y,24,0),"")</f>
        <v>12.396694214876</v>
      </c>
      <c r="J215" s="32" t="n">
        <f aca="false">IF(OR(C215="",NOT(ISNUMBER(D215))),"",C215*D215)</f>
        <v>1082.24</v>
      </c>
      <c r="K215" s="52" t="n">
        <f aca="false">IF(OR(C215="",NOT(ISNUMBER(E215))),"",C215*E215)</f>
        <v>1082.24</v>
      </c>
      <c r="L215" s="32" t="n">
        <f aca="false">IF(OR(C215="",NOT(ISNUMBER(F215))),"",C215*F215)</f>
        <v>2206.61157024793</v>
      </c>
      <c r="M215" s="32" t="n">
        <f aca="false">IF(OR(C215="",NOT(ISNUMBER(G215))),"",C215*G215)</f>
        <v>2206.61157024793</v>
      </c>
      <c r="N215" s="32" t="n">
        <f aca="false">IF(OR(C215="",NOT(ISNUMBER(H215))),"",C215*H215)</f>
        <v>2206.61157024793</v>
      </c>
      <c r="O215" s="32" t="n">
        <f aca="false">IF(OR(C215="",NOT(ISNUMBER(I215))),"",C215*I215)</f>
        <v>2206.61157024793</v>
      </c>
    </row>
    <row r="216" customFormat="false" ht="15" hidden="false" customHeight="true" outlineLevel="0" collapsed="false">
      <c r="A216" s="5" t="s">
        <v>827</v>
      </c>
      <c r="B216" s="5" t="s">
        <v>645</v>
      </c>
      <c r="C216" s="51" t="n">
        <v>143</v>
      </c>
      <c r="D216" s="29" t="n">
        <f aca="false">IFERROR(VLOOKUP("Red Bull D",'FOOD COST'!$A:$Y,7,0),"")</f>
        <v>6.08</v>
      </c>
      <c r="E216" s="30" t="n">
        <f aca="false">IFERROR(VLOOKUP("Red Bull D",'FOOD COST'!$A:$Y,8,0),"")</f>
        <v>6.08</v>
      </c>
      <c r="F216" s="29" t="n">
        <f aca="false">IFERROR(VLOOKUP("Red Bull D",'FOOD COST'!$A:$Y,10,0),"")</f>
        <v>14.0495867768595</v>
      </c>
      <c r="G216" s="29" t="n">
        <f aca="false">IFERROR(VLOOKUP("Red Bull D",'FOOD COST'!$A:$Y,18,0),"")</f>
        <v>14.0495867768595</v>
      </c>
      <c r="H216" s="29" t="n">
        <f aca="false">IFERROR(VLOOKUP("Red Bull D",'FOOD COST'!$A:$Y,21,0),"")</f>
        <v>14.0495867768595</v>
      </c>
      <c r="I216" s="29" t="n">
        <f aca="false">IFERROR(VLOOKUP("Red Bull D",'FOOD COST'!$A:$Y,24,0),"")</f>
        <v>14.0495867768595</v>
      </c>
      <c r="J216" s="32" t="n">
        <f aca="false">IF(OR(C216="",NOT(ISNUMBER(D216))),"",C216*D216)</f>
        <v>869.44</v>
      </c>
      <c r="K216" s="52" t="n">
        <f aca="false">IF(OR(C216="",NOT(ISNUMBER(E216))),"",C216*E216)</f>
        <v>869.44</v>
      </c>
      <c r="L216" s="32" t="n">
        <f aca="false">IF(OR(C216="",NOT(ISNUMBER(F216))),"",C216*F216)</f>
        <v>2009.09090909091</v>
      </c>
      <c r="M216" s="32" t="n">
        <f aca="false">IF(OR(C216="",NOT(ISNUMBER(G216))),"",C216*G216)</f>
        <v>2009.09090909091</v>
      </c>
      <c r="N216" s="32" t="n">
        <f aca="false">IF(OR(C216="",NOT(ISNUMBER(H216))),"",C216*H216)</f>
        <v>2009.09090909091</v>
      </c>
      <c r="O216" s="32" t="n">
        <f aca="false">IF(OR(C216="",NOT(ISNUMBER(I216))),"",C216*I216)</f>
        <v>2009.09090909091</v>
      </c>
    </row>
    <row r="217" customFormat="false" ht="15" hidden="false" customHeight="true" outlineLevel="0" collapsed="false">
      <c r="A217" s="5" t="s">
        <v>828</v>
      </c>
      <c r="B217" s="5" t="s">
        <v>642</v>
      </c>
      <c r="C217" s="51" t="n">
        <v>410</v>
      </c>
      <c r="D217" s="29" t="n">
        <f aca="false">IFERROR(VLOOKUP("Corona",'FOOD COST'!$A:$Y,7,0),"")</f>
        <v>6.97</v>
      </c>
      <c r="E217" s="30" t="n">
        <f aca="false">IFERROR(VLOOKUP("Corona",'FOOD COST'!$A:$Y,8,0),"")</f>
        <v>6.97</v>
      </c>
      <c r="F217" s="29" t="n">
        <f aca="false">IFERROR(VLOOKUP("Corona",'FOOD COST'!$A:$Y,10,0),"")</f>
        <v>12.396694214876</v>
      </c>
      <c r="G217" s="29" t="n">
        <f aca="false">IFERROR(VLOOKUP("Corona",'FOOD COST'!$A:$Y,18,0),"")</f>
        <v>12.396694214876</v>
      </c>
      <c r="H217" s="29" t="n">
        <f aca="false">IFERROR(VLOOKUP("Corona",'FOOD COST'!$A:$Y,21,0),"")</f>
        <v>12.396694214876</v>
      </c>
      <c r="I217" s="29" t="n">
        <f aca="false">IFERROR(VLOOKUP("Corona",'FOOD COST'!$A:$Y,24,0),"")</f>
        <v>12.396694214876</v>
      </c>
      <c r="J217" s="32" t="n">
        <f aca="false">IF(OR(C217="",NOT(ISNUMBER(D217))),"",C217*D217)</f>
        <v>2857.7</v>
      </c>
      <c r="K217" s="52" t="n">
        <f aca="false">IF(OR(C217="",NOT(ISNUMBER(E217))),"",C217*E217)</f>
        <v>2857.7</v>
      </c>
      <c r="L217" s="32" t="n">
        <f aca="false">IF(OR(C217="",NOT(ISNUMBER(F217))),"",C217*F217)</f>
        <v>5082.64462809917</v>
      </c>
      <c r="M217" s="32" t="n">
        <f aca="false">IF(OR(C217="",NOT(ISNUMBER(G217))),"",C217*G217)</f>
        <v>5082.64462809917</v>
      </c>
      <c r="N217" s="32" t="n">
        <f aca="false">IF(OR(C217="",NOT(ISNUMBER(H217))),"",C217*H217)</f>
        <v>5082.64462809917</v>
      </c>
      <c r="O217" s="32" t="n">
        <f aca="false">IF(OR(C217="",NOT(ISNUMBER(I217))),"",C217*I217)</f>
        <v>5082.64462809917</v>
      </c>
    </row>
    <row r="218" customFormat="false" ht="15" hidden="false" customHeight="true" outlineLevel="0" collapsed="false">
      <c r="A218" s="5" t="s">
        <v>829</v>
      </c>
      <c r="B218" s="5" t="s">
        <v>645</v>
      </c>
      <c r="C218" s="51" t="n">
        <v>249</v>
      </c>
      <c r="D218" s="29" t="n">
        <f aca="false">IFERROR(VLOOKUP("Corona D",'FOOD COST'!$A:$Y,7,0),"")</f>
        <v>6.97</v>
      </c>
      <c r="E218" s="30" t="n">
        <f aca="false">IFERROR(VLOOKUP("Corona D",'FOOD COST'!$A:$Y,8,0),"")</f>
        <v>6.97</v>
      </c>
      <c r="F218" s="29" t="n">
        <f aca="false">IFERROR(VLOOKUP("Corona D",'FOOD COST'!$A:$Y,10,0),"")</f>
        <v>15.702479338843</v>
      </c>
      <c r="G218" s="29" t="n">
        <f aca="false">IFERROR(VLOOKUP("Corona D",'FOOD COST'!$A:$Y,18,0),"")</f>
        <v>15.702479338843</v>
      </c>
      <c r="H218" s="29" t="n">
        <f aca="false">IFERROR(VLOOKUP("Corona D",'FOOD COST'!$A:$Y,21,0),"")</f>
        <v>15.702479338843</v>
      </c>
      <c r="I218" s="29" t="n">
        <f aca="false">IFERROR(VLOOKUP("Corona D",'FOOD COST'!$A:$Y,24,0),"")</f>
        <v>15.702479338843</v>
      </c>
      <c r="J218" s="32" t="n">
        <f aca="false">IF(OR(C218="",NOT(ISNUMBER(D218))),"",C218*D218)</f>
        <v>1735.53</v>
      </c>
      <c r="K218" s="52" t="n">
        <f aca="false">IF(OR(C218="",NOT(ISNUMBER(E218))),"",C218*E218)</f>
        <v>1735.53</v>
      </c>
      <c r="L218" s="32" t="n">
        <f aca="false">IF(OR(C218="",NOT(ISNUMBER(F218))),"",C218*F218)</f>
        <v>3909.9173553719</v>
      </c>
      <c r="M218" s="32" t="n">
        <f aca="false">IF(OR(C218="",NOT(ISNUMBER(G218))),"",C218*G218)</f>
        <v>3909.9173553719</v>
      </c>
      <c r="N218" s="32" t="n">
        <f aca="false">IF(OR(C218="",NOT(ISNUMBER(H218))),"",C218*H218)</f>
        <v>3909.9173553719</v>
      </c>
      <c r="O218" s="32" t="n">
        <f aca="false">IF(OR(C218="",NOT(ISNUMBER(I218))),"",C218*I218)</f>
        <v>3909.9173553719</v>
      </c>
    </row>
    <row r="219" customFormat="false" ht="15" hidden="false" customHeight="true" outlineLevel="0" collapsed="false">
      <c r="A219" s="5" t="s">
        <v>830</v>
      </c>
      <c r="B219" s="5" t="s">
        <v>642</v>
      </c>
      <c r="C219" s="51" t="n">
        <v>340</v>
      </c>
      <c r="D219" s="29" t="n">
        <f aca="false">IFERROR(VLOOKUP("Budweiser",'FOOD COST'!$A:$Y,7,0),"")</f>
        <v>6.23</v>
      </c>
      <c r="E219" s="30" t="n">
        <f aca="false">IFERROR(VLOOKUP("Budweiser",'FOOD COST'!$A:$Y,8,0),"")</f>
        <v>6.23</v>
      </c>
      <c r="F219" s="29" t="n">
        <f aca="false">IFERROR(VLOOKUP("Budweiser",'FOOD COST'!$A:$Y,10,0),"")</f>
        <v>12.396694214876</v>
      </c>
      <c r="G219" s="29" t="n">
        <f aca="false">IFERROR(VLOOKUP("Budweiser",'FOOD COST'!$A:$Y,18,0),"")</f>
        <v>12.396694214876</v>
      </c>
      <c r="H219" s="29" t="n">
        <f aca="false">IFERROR(VLOOKUP("Budweiser",'FOOD COST'!$A:$Y,21,0),"")</f>
        <v>12.396694214876</v>
      </c>
      <c r="I219" s="29" t="n">
        <f aca="false">IFERROR(VLOOKUP("Budweiser",'FOOD COST'!$A:$Y,24,0),"")</f>
        <v>12.396694214876</v>
      </c>
      <c r="J219" s="32" t="n">
        <f aca="false">IF(OR(C219="",NOT(ISNUMBER(D219))),"",C219*D219)</f>
        <v>2118.2</v>
      </c>
      <c r="K219" s="52" t="n">
        <f aca="false">IF(OR(C219="",NOT(ISNUMBER(E219))),"",C219*E219)</f>
        <v>2118.2</v>
      </c>
      <c r="L219" s="32" t="n">
        <f aca="false">IF(OR(C219="",NOT(ISNUMBER(F219))),"",C219*F219)</f>
        <v>4214.87603305785</v>
      </c>
      <c r="M219" s="32" t="n">
        <f aca="false">IF(OR(C219="",NOT(ISNUMBER(G219))),"",C219*G219)</f>
        <v>4214.87603305785</v>
      </c>
      <c r="N219" s="32" t="n">
        <f aca="false">IF(OR(C219="",NOT(ISNUMBER(H219))),"",C219*H219)</f>
        <v>4214.87603305785</v>
      </c>
      <c r="O219" s="32" t="n">
        <f aca="false">IF(OR(C219="",NOT(ISNUMBER(I219))),"",C219*I219)</f>
        <v>4214.87603305785</v>
      </c>
    </row>
    <row r="220" customFormat="false" ht="15" hidden="false" customHeight="true" outlineLevel="0" collapsed="false">
      <c r="A220" s="5" t="s">
        <v>831</v>
      </c>
      <c r="B220" s="5" t="s">
        <v>645</v>
      </c>
      <c r="C220" s="51" t="n">
        <v>571</v>
      </c>
      <c r="D220" s="29" t="n">
        <f aca="false">IFERROR(VLOOKUP("Budweiser D",'FOOD COST'!$A:$Y,7,0),"")</f>
        <v>6.23</v>
      </c>
      <c r="E220" s="30" t="n">
        <f aca="false">IFERROR(VLOOKUP("Budweiser D",'FOOD COST'!$A:$Y,8,0),"")</f>
        <v>6.23</v>
      </c>
      <c r="F220" s="29" t="n">
        <f aca="false">IFERROR(VLOOKUP("Budweiser D",'FOOD COST'!$A:$Y,10,0),"")</f>
        <v>14.8760330578512</v>
      </c>
      <c r="G220" s="29" t="n">
        <f aca="false">IFERROR(VLOOKUP("Budweiser D",'FOOD COST'!$A:$Y,18,0),"")</f>
        <v>14.8760330578512</v>
      </c>
      <c r="H220" s="29" t="n">
        <f aca="false">IFERROR(VLOOKUP("Budweiser D",'FOOD COST'!$A:$Y,21,0),"")</f>
        <v>14.8760330578512</v>
      </c>
      <c r="I220" s="29" t="n">
        <f aca="false">IFERROR(VLOOKUP("Budweiser D",'FOOD COST'!$A:$Y,24,0),"")</f>
        <v>14.8760330578512</v>
      </c>
      <c r="J220" s="32" t="n">
        <f aca="false">IF(OR(C220="",NOT(ISNUMBER(D220))),"",C220*D220)</f>
        <v>3557.33</v>
      </c>
      <c r="K220" s="52" t="n">
        <f aca="false">IF(OR(C220="",NOT(ISNUMBER(E220))),"",C220*E220)</f>
        <v>3557.33</v>
      </c>
      <c r="L220" s="32" t="n">
        <f aca="false">IF(OR(C220="",NOT(ISNUMBER(F220))),"",C220*F220)</f>
        <v>8494.21487603306</v>
      </c>
      <c r="M220" s="32" t="n">
        <f aca="false">IF(OR(C220="",NOT(ISNUMBER(G220))),"",C220*G220)</f>
        <v>8494.21487603306</v>
      </c>
      <c r="N220" s="32" t="n">
        <f aca="false">IF(OR(C220="",NOT(ISNUMBER(H220))),"",C220*H220)</f>
        <v>8494.21487603306</v>
      </c>
      <c r="O220" s="32" t="n">
        <f aca="false">IF(OR(C220="",NOT(ISNUMBER(I220))),"",C220*I220)</f>
        <v>8494.21487603306</v>
      </c>
    </row>
    <row r="221" customFormat="false" ht="15" hidden="false" customHeight="true" outlineLevel="0" collapsed="false">
      <c r="A221" s="5" t="s">
        <v>832</v>
      </c>
      <c r="B221" s="5" t="s">
        <v>642</v>
      </c>
      <c r="C221" s="51" t="n">
        <v>141</v>
      </c>
      <c r="D221" s="29" t="n">
        <f aca="false">IFERROR(VLOOKUP("Apa Evian",'FOOD COST'!$A:$Y,7,0),"")</f>
        <v>6.57</v>
      </c>
      <c r="E221" s="30" t="n">
        <f aca="false">IFERROR(VLOOKUP("Apa Evian",'FOOD COST'!$A:$Y,8,0),"")</f>
        <v>6.57</v>
      </c>
      <c r="F221" s="29" t="n">
        <f aca="false">IFERROR(VLOOKUP("Apa Evian",'FOOD COST'!$A:$Y,10,0),"")</f>
        <v>12.396694214876</v>
      </c>
      <c r="G221" s="29" t="n">
        <f aca="false">IFERROR(VLOOKUP("Apa Evian",'FOOD COST'!$A:$Y,18,0),"")</f>
        <v>12.396694214876</v>
      </c>
      <c r="H221" s="29" t="n">
        <f aca="false">IFERROR(VLOOKUP("Apa Evian",'FOOD COST'!$A:$Y,21,0),"")</f>
        <v>12.396694214876</v>
      </c>
      <c r="I221" s="29" t="n">
        <f aca="false">IFERROR(VLOOKUP("Apa Evian",'FOOD COST'!$A:$Y,24,0),"")</f>
        <v>12.396694214876</v>
      </c>
      <c r="J221" s="32" t="n">
        <f aca="false">IF(OR(C221="",NOT(ISNUMBER(D221))),"",C221*D221)</f>
        <v>926.37</v>
      </c>
      <c r="K221" s="52" t="n">
        <f aca="false">IF(OR(C221="",NOT(ISNUMBER(E221))),"",C221*E221)</f>
        <v>926.37</v>
      </c>
      <c r="L221" s="32" t="n">
        <f aca="false">IF(OR(C221="",NOT(ISNUMBER(F221))),"",C221*F221)</f>
        <v>1747.93388429752</v>
      </c>
      <c r="M221" s="32" t="n">
        <f aca="false">IF(OR(C221="",NOT(ISNUMBER(G221))),"",C221*G221)</f>
        <v>1747.93388429752</v>
      </c>
      <c r="N221" s="32" t="n">
        <f aca="false">IF(OR(C221="",NOT(ISNUMBER(H221))),"",C221*H221)</f>
        <v>1747.93388429752</v>
      </c>
      <c r="O221" s="32" t="n">
        <f aca="false">IF(OR(C221="",NOT(ISNUMBER(I221))),"",C221*I221)</f>
        <v>1747.93388429752</v>
      </c>
    </row>
    <row r="222" customFormat="false" ht="15" hidden="false" customHeight="true" outlineLevel="0" collapsed="false">
      <c r="A222" s="5" t="s">
        <v>833</v>
      </c>
      <c r="B222" s="5" t="s">
        <v>645</v>
      </c>
      <c r="C222" s="51" t="n">
        <v>43</v>
      </c>
      <c r="D222" s="29" t="n">
        <f aca="false">IFERROR(VLOOKUP("Apa Evian D",'FOOD COST'!$A:$Y,7,0),"")</f>
        <v>6.57</v>
      </c>
      <c r="E222" s="30" t="n">
        <f aca="false">IFERROR(VLOOKUP("Apa Evian D",'FOOD COST'!$A:$Y,8,0),"")</f>
        <v>6.57</v>
      </c>
      <c r="F222" s="29" t="n">
        <f aca="false">IFERROR(VLOOKUP("Apa Evian D",'FOOD COST'!$A:$Y,10,0),"")</f>
        <v>14.0495867768595</v>
      </c>
      <c r="G222" s="29" t="n">
        <f aca="false">IFERROR(VLOOKUP("Apa Evian D",'FOOD COST'!$A:$Y,18,0),"")</f>
        <v>14.0495867768595</v>
      </c>
      <c r="H222" s="29" t="n">
        <f aca="false">IFERROR(VLOOKUP("Apa Evian D",'FOOD COST'!$A:$Y,21,0),"")</f>
        <v>14.0495867768595</v>
      </c>
      <c r="I222" s="29" t="n">
        <f aca="false">IFERROR(VLOOKUP("Apa Evian D",'FOOD COST'!$A:$Y,24,0),"")</f>
        <v>14.0495867768595</v>
      </c>
      <c r="J222" s="32" t="n">
        <f aca="false">IF(OR(C222="",NOT(ISNUMBER(D222))),"",C222*D222)</f>
        <v>282.51</v>
      </c>
      <c r="K222" s="52" t="n">
        <f aca="false">IF(OR(C222="",NOT(ISNUMBER(E222))),"",C222*E222)</f>
        <v>282.51</v>
      </c>
      <c r="L222" s="32" t="n">
        <f aca="false">IF(OR(C222="",NOT(ISNUMBER(F222))),"",C222*F222)</f>
        <v>604.132231404959</v>
      </c>
      <c r="M222" s="32" t="n">
        <f aca="false">IF(OR(C222="",NOT(ISNUMBER(G222))),"",C222*G222)</f>
        <v>604.132231404959</v>
      </c>
      <c r="N222" s="32" t="n">
        <f aca="false">IF(OR(C222="",NOT(ISNUMBER(H222))),"",C222*H222)</f>
        <v>604.132231404959</v>
      </c>
      <c r="O222" s="32" t="n">
        <f aca="false">IF(OR(C222="",NOT(ISNUMBER(I222))),"",C222*I222)</f>
        <v>604.132231404959</v>
      </c>
    </row>
    <row r="223" customFormat="false" ht="15" hidden="false" customHeight="true" outlineLevel="0" collapsed="false">
      <c r="A223" s="5" t="s">
        <v>834</v>
      </c>
      <c r="B223" s="5" t="s">
        <v>642</v>
      </c>
      <c r="C223" s="51" t="n">
        <v>1171</v>
      </c>
      <c r="D223" s="29" t="n">
        <f aca="false">IFERROR(VLOOKUP("FRYZZZ CAPSUNI",'FOOD COST'!$A:$Y,7,0),"")</f>
        <v>3.393092</v>
      </c>
      <c r="E223" s="30" t="n">
        <f aca="false">IFERROR(VLOOKUP("FRYZZZ CAPSUNI",'FOOD COST'!$A:$Y,8,0),"")</f>
        <v>3.393092</v>
      </c>
      <c r="F223" s="29" t="n">
        <f aca="false">IFERROR(VLOOKUP("FRYZZZ CAPSUNI",'FOOD COST'!$A:$Y,10,0),"")</f>
        <v>10.7438016528926</v>
      </c>
      <c r="G223" s="29" t="n">
        <f aca="false">IFERROR(VLOOKUP("FRYZZZ CAPSUNI",'FOOD COST'!$A:$Y,18,0),"")</f>
        <v>10.7438016528926</v>
      </c>
      <c r="H223" s="29" t="n">
        <f aca="false">IFERROR(VLOOKUP("FRYZZZ CAPSUNI",'FOOD COST'!$A:$Y,21,0),"")</f>
        <v>10.7438016528926</v>
      </c>
      <c r="I223" s="29" t="n">
        <f aca="false">IFERROR(VLOOKUP("FRYZZZ CAPSUNI",'FOOD COST'!$A:$Y,24,0),"")</f>
        <v>10.7438016528926</v>
      </c>
      <c r="J223" s="32" t="n">
        <f aca="false">IF(OR(C223="",NOT(ISNUMBER(D223))),"",C223*D223)</f>
        <v>3973.310732</v>
      </c>
      <c r="K223" s="52" t="n">
        <f aca="false">IF(OR(C223="",NOT(ISNUMBER(E223))),"",C223*E223)</f>
        <v>3973.310732</v>
      </c>
      <c r="L223" s="32" t="n">
        <f aca="false">IF(OR(C223="",NOT(ISNUMBER(F223))),"",C223*F223)</f>
        <v>12580.9917355372</v>
      </c>
      <c r="M223" s="32" t="n">
        <f aca="false">IF(OR(C223="",NOT(ISNUMBER(G223))),"",C223*G223)</f>
        <v>12580.9917355372</v>
      </c>
      <c r="N223" s="32" t="n">
        <f aca="false">IF(OR(C223="",NOT(ISNUMBER(H223))),"",C223*H223)</f>
        <v>12580.9917355372</v>
      </c>
      <c r="O223" s="32" t="n">
        <f aca="false">IF(OR(C223="",NOT(ISNUMBER(I223))),"",C223*I223)</f>
        <v>12580.9917355372</v>
      </c>
    </row>
    <row r="224" customFormat="false" ht="15" hidden="false" customHeight="true" outlineLevel="0" collapsed="false">
      <c r="A224" s="5" t="s">
        <v>835</v>
      </c>
      <c r="B224" s="5" t="s">
        <v>642</v>
      </c>
      <c r="C224" s="51" t="n">
        <v>780</v>
      </c>
      <c r="D224" s="29" t="n">
        <f aca="false">IFERROR(VLOOKUP("FRYZZZ GRAPEFRUIT",'FOOD COST'!$A:$Y,7,0),"")</f>
        <v>3.393092</v>
      </c>
      <c r="E224" s="30" t="n">
        <f aca="false">IFERROR(VLOOKUP("FRYZZZ GRAPEFRUIT",'FOOD COST'!$A:$Y,8,0),"")</f>
        <v>3.393092</v>
      </c>
      <c r="F224" s="29" t="n">
        <f aca="false">IFERROR(VLOOKUP("FRYZZZ GRAPEFRUIT",'FOOD COST'!$A:$Y,10,0),"")</f>
        <v>10.7438016528926</v>
      </c>
      <c r="G224" s="29" t="n">
        <f aca="false">IFERROR(VLOOKUP("FRYZZZ GRAPEFRUIT",'FOOD COST'!$A:$Y,18,0),"")</f>
        <v>10.7438016528926</v>
      </c>
      <c r="H224" s="29" t="n">
        <f aca="false">IFERROR(VLOOKUP("FRYZZZ GRAPEFRUIT",'FOOD COST'!$A:$Y,21,0),"")</f>
        <v>10.7438016528926</v>
      </c>
      <c r="I224" s="29" t="n">
        <f aca="false">IFERROR(VLOOKUP("FRYZZZ GRAPEFRUIT",'FOOD COST'!$A:$Y,24,0),"")</f>
        <v>10.7438016528926</v>
      </c>
      <c r="J224" s="32" t="n">
        <f aca="false">IF(OR(C224="",NOT(ISNUMBER(D224))),"",C224*D224)</f>
        <v>2646.61176</v>
      </c>
      <c r="K224" s="52" t="n">
        <f aca="false">IF(OR(C224="",NOT(ISNUMBER(E224))),"",C224*E224)</f>
        <v>2646.61176</v>
      </c>
      <c r="L224" s="32" t="n">
        <f aca="false">IF(OR(C224="",NOT(ISNUMBER(F224))),"",C224*F224)</f>
        <v>8380.1652892562</v>
      </c>
      <c r="M224" s="32" t="n">
        <f aca="false">IF(OR(C224="",NOT(ISNUMBER(G224))),"",C224*G224)</f>
        <v>8380.1652892562</v>
      </c>
      <c r="N224" s="32" t="n">
        <f aca="false">IF(OR(C224="",NOT(ISNUMBER(H224))),"",C224*H224)</f>
        <v>8380.1652892562</v>
      </c>
      <c r="O224" s="32" t="n">
        <f aca="false">IF(OR(C224="",NOT(ISNUMBER(I224))),"",C224*I224)</f>
        <v>8380.1652892562</v>
      </c>
    </row>
    <row r="225" customFormat="false" ht="15" hidden="false" customHeight="true" outlineLevel="0" collapsed="false">
      <c r="A225" s="5" t="s">
        <v>836</v>
      </c>
      <c r="B225" s="5" t="s">
        <v>642</v>
      </c>
      <c r="C225" s="51" t="n">
        <v>1694</v>
      </c>
      <c r="D225" s="29" t="n">
        <f aca="false">IFERROR(VLOOKUP("FRYZZZ PINACOLADA",'FOOD COST'!$A:$Y,7,0),"")</f>
        <v>3.393092</v>
      </c>
      <c r="E225" s="30" t="n">
        <f aca="false">IFERROR(VLOOKUP("FRYZZZ PINACOLADA",'FOOD COST'!$A:$Y,8,0),"")</f>
        <v>3.393092</v>
      </c>
      <c r="F225" s="29" t="n">
        <f aca="false">IFERROR(VLOOKUP("FRYZZZ PINACOLADA",'FOOD COST'!$A:$Y,10,0),"")</f>
        <v>10.7438016528926</v>
      </c>
      <c r="G225" s="29" t="n">
        <f aca="false">IFERROR(VLOOKUP("FRYZZZ PINACOLADA",'FOOD COST'!$A:$Y,18,0),"")</f>
        <v>10.7438016528926</v>
      </c>
      <c r="H225" s="29" t="n">
        <f aca="false">IFERROR(VLOOKUP("FRYZZZ PINACOLADA",'FOOD COST'!$A:$Y,21,0),"")</f>
        <v>10.7438016528926</v>
      </c>
      <c r="I225" s="29" t="n">
        <f aca="false">IFERROR(VLOOKUP("FRYZZZ PINACOLADA",'FOOD COST'!$A:$Y,24,0),"")</f>
        <v>10.7438016528926</v>
      </c>
      <c r="J225" s="32" t="n">
        <f aca="false">IF(OR(C225="",NOT(ISNUMBER(D225))),"",C225*D225)</f>
        <v>5747.897848</v>
      </c>
      <c r="K225" s="52" t="n">
        <f aca="false">IF(OR(C225="",NOT(ISNUMBER(E225))),"",C225*E225)</f>
        <v>5747.897848</v>
      </c>
      <c r="L225" s="32" t="n">
        <f aca="false">IF(OR(C225="",NOT(ISNUMBER(F225))),"",C225*F225)</f>
        <v>18200</v>
      </c>
      <c r="M225" s="32" t="n">
        <f aca="false">IF(OR(C225="",NOT(ISNUMBER(G225))),"",C225*G225)</f>
        <v>18200</v>
      </c>
      <c r="N225" s="32" t="n">
        <f aca="false">IF(OR(C225="",NOT(ISNUMBER(H225))),"",C225*H225)</f>
        <v>18200</v>
      </c>
      <c r="O225" s="32" t="n">
        <f aca="false">IF(OR(C225="",NOT(ISNUMBER(I225))),"",C225*I225)</f>
        <v>18200</v>
      </c>
    </row>
    <row r="226" customFormat="false" ht="15" hidden="false" customHeight="true" outlineLevel="0" collapsed="false">
      <c r="A226" s="5" t="s">
        <v>837</v>
      </c>
      <c r="B226" s="5" t="s">
        <v>642</v>
      </c>
      <c r="C226" s="51" t="n">
        <v>2072</v>
      </c>
      <c r="D226" s="29" t="n">
        <f aca="false">IFERROR(VLOOKUP("FRYZZZ PEPENE ROSU",'FOOD COST'!$A:$Y,7,0),"")</f>
        <v>3.393092</v>
      </c>
      <c r="E226" s="30" t="n">
        <f aca="false">IFERROR(VLOOKUP("FRYZZZ PEPENE ROSU",'FOOD COST'!$A:$Y,8,0),"")</f>
        <v>3.393092</v>
      </c>
      <c r="F226" s="29" t="n">
        <f aca="false">IFERROR(VLOOKUP("FRYZZZ PEPENE ROSU",'FOOD COST'!$A:$Y,10,0),"")</f>
        <v>10.7438016528926</v>
      </c>
      <c r="G226" s="29" t="n">
        <f aca="false">IFERROR(VLOOKUP("FRYZZZ PEPENE ROSU",'FOOD COST'!$A:$Y,18,0),"")</f>
        <v>10.7438016528926</v>
      </c>
      <c r="H226" s="29" t="n">
        <f aca="false">IFERROR(VLOOKUP("FRYZZZ PEPENE ROSU",'FOOD COST'!$A:$Y,21,0),"")</f>
        <v>10.7438016528926</v>
      </c>
      <c r="I226" s="29" t="n">
        <f aca="false">IFERROR(VLOOKUP("FRYZZZ PEPENE ROSU",'FOOD COST'!$A:$Y,24,0),"")</f>
        <v>10.7438016528926</v>
      </c>
      <c r="J226" s="32" t="n">
        <f aca="false">IF(OR(C226="",NOT(ISNUMBER(D226))),"",C226*D226)</f>
        <v>7030.486624</v>
      </c>
      <c r="K226" s="52" t="n">
        <f aca="false">IF(OR(C226="",NOT(ISNUMBER(E226))),"",C226*E226)</f>
        <v>7030.486624</v>
      </c>
      <c r="L226" s="32" t="n">
        <f aca="false">IF(OR(C226="",NOT(ISNUMBER(F226))),"",C226*F226)</f>
        <v>22261.1570247934</v>
      </c>
      <c r="M226" s="32" t="n">
        <f aca="false">IF(OR(C226="",NOT(ISNUMBER(G226))),"",C226*G226)</f>
        <v>22261.1570247934</v>
      </c>
      <c r="N226" s="32" t="n">
        <f aca="false">IF(OR(C226="",NOT(ISNUMBER(H226))),"",C226*H226)</f>
        <v>22261.1570247934</v>
      </c>
      <c r="O226" s="32" t="n">
        <f aca="false">IF(OR(C226="",NOT(ISNUMBER(I226))),"",C226*I226)</f>
        <v>22261.1570247934</v>
      </c>
    </row>
    <row r="227" customFormat="false" ht="15" hidden="false" customHeight="true" outlineLevel="0" collapsed="false">
      <c r="A227" s="5" t="s">
        <v>838</v>
      </c>
      <c r="B227" s="5" t="s">
        <v>642</v>
      </c>
      <c r="C227" s="51" t="n">
        <v>248</v>
      </c>
      <c r="D227" s="29" t="n">
        <f aca="false">IFERROR(VLOOKUP("Pepsi cu gust de Căpșuni și Frișcă",'FOOD COST'!$A:$Y,7,0),"")</f>
        <v>3.71</v>
      </c>
      <c r="E227" s="30" t="n">
        <f aca="false">IFERROR(VLOOKUP("Pepsi cu gust de Căpșuni și Frișcă",'FOOD COST'!$A:$Y,8,0),"")</f>
        <v>3.71</v>
      </c>
      <c r="F227" s="29" t="n">
        <f aca="false">IFERROR(VLOOKUP("Pepsi cu gust de Căpșuni și Frișcă",'FOOD COST'!$A:$Y,10,0),"")</f>
        <v>7.85123966942149</v>
      </c>
      <c r="G227" s="29" t="n">
        <f aca="false">IFERROR(VLOOKUP("Pepsi cu gust de Căpșuni și Frișcă",'FOOD COST'!$A:$Y,18,0),"")</f>
        <v>7.85123966942149</v>
      </c>
      <c r="H227" s="29" t="n">
        <f aca="false">IFERROR(VLOOKUP("Pepsi cu gust de Căpșuni și Frișcă",'FOOD COST'!$A:$Y,21,0),"")</f>
        <v>7.85123966942149</v>
      </c>
      <c r="I227" s="29" t="n">
        <f aca="false">IFERROR(VLOOKUP("Pepsi cu gust de Căpșuni și Frișcă",'FOOD COST'!$A:$Y,24,0),"")</f>
        <v>7.85123966942149</v>
      </c>
      <c r="J227" s="32" t="n">
        <f aca="false">IF(OR(C227="",NOT(ISNUMBER(D227))),"",C227*D227)</f>
        <v>920.08</v>
      </c>
      <c r="K227" s="52" t="n">
        <f aca="false">IF(OR(C227="",NOT(ISNUMBER(E227))),"",C227*E227)</f>
        <v>920.08</v>
      </c>
      <c r="L227" s="32" t="n">
        <f aca="false">IF(OR(C227="",NOT(ISNUMBER(F227))),"",C227*F227)</f>
        <v>1947.10743801653</v>
      </c>
      <c r="M227" s="32" t="n">
        <f aca="false">IF(OR(C227="",NOT(ISNUMBER(G227))),"",C227*G227)</f>
        <v>1947.10743801653</v>
      </c>
      <c r="N227" s="32" t="n">
        <f aca="false">IF(OR(C227="",NOT(ISNUMBER(H227))),"",C227*H227)</f>
        <v>1947.10743801653</v>
      </c>
      <c r="O227" s="32" t="n">
        <f aca="false">IF(OR(C227="",NOT(ISNUMBER(I227))),"",C227*I227)</f>
        <v>1947.10743801653</v>
      </c>
    </row>
    <row r="228" customFormat="false" ht="15" hidden="false" customHeight="true" outlineLevel="0" collapsed="false">
      <c r="A228" s="5" t="s">
        <v>839</v>
      </c>
      <c r="B228" s="5" t="s">
        <v>645</v>
      </c>
      <c r="C228" s="51" t="n">
        <v>466</v>
      </c>
      <c r="D228" s="29" t="n">
        <f aca="false">IFERROR(VLOOKUP("Pepsi cu gust de Căpșuni și Frișcă D",'FOOD COST'!$A:$Y,7,0),"")</f>
        <v>3.71</v>
      </c>
      <c r="E228" s="30" t="n">
        <f aca="false">IFERROR(VLOOKUP("Pepsi cu gust de Căpșuni și Frișcă D",'FOOD COST'!$A:$Y,8,0),"")</f>
        <v>3.71</v>
      </c>
      <c r="F228" s="29" t="n">
        <f aca="false">IFERROR(VLOOKUP("Pepsi cu gust de Căpșuni și Frișcă D",'FOOD COST'!$A:$Y,10,0),"")</f>
        <v>7.85123966942149</v>
      </c>
      <c r="G228" s="29" t="n">
        <f aca="false">IFERROR(VLOOKUP("Pepsi cu gust de Căpșuni și Frișcă D",'FOOD COST'!$A:$Y,18,0),"")</f>
        <v>7.85123966942149</v>
      </c>
      <c r="H228" s="29" t="n">
        <f aca="false">IFERROR(VLOOKUP("Pepsi cu gust de Căpșuni și Frișcă D",'FOOD COST'!$A:$Y,21,0),"")</f>
        <v>7.85123966942149</v>
      </c>
      <c r="I228" s="29" t="n">
        <f aca="false">IFERROR(VLOOKUP("Pepsi cu gust de Căpșuni și Frișcă D",'FOOD COST'!$A:$Y,24,0),"")</f>
        <v>7.85123966942149</v>
      </c>
      <c r="J228" s="32" t="n">
        <f aca="false">IF(OR(C228="",NOT(ISNUMBER(D228))),"",C228*D228)</f>
        <v>1728.86</v>
      </c>
      <c r="K228" s="52" t="n">
        <f aca="false">IF(OR(C228="",NOT(ISNUMBER(E228))),"",C228*E228)</f>
        <v>1728.86</v>
      </c>
      <c r="L228" s="32" t="n">
        <f aca="false">IF(OR(C228="",NOT(ISNUMBER(F228))),"",C228*F228)</f>
        <v>3658.67768595041</v>
      </c>
      <c r="M228" s="32" t="n">
        <f aca="false">IF(OR(C228="",NOT(ISNUMBER(G228))),"",C228*G228)</f>
        <v>3658.67768595041</v>
      </c>
      <c r="N228" s="32" t="n">
        <f aca="false">IF(OR(C228="",NOT(ISNUMBER(H228))),"",C228*H228)</f>
        <v>3658.67768595041</v>
      </c>
      <c r="O228" s="32" t="n">
        <f aca="false">IF(OR(C228="",NOT(ISNUMBER(I228))),"",C228*I228)</f>
        <v>3658.67768595041</v>
      </c>
    </row>
    <row r="229" customFormat="false" ht="15" hidden="false" customHeight="true" outlineLevel="0" collapsed="false">
      <c r="A229" s="5" t="s">
        <v>840</v>
      </c>
      <c r="B229" s="5" t="s">
        <v>642</v>
      </c>
      <c r="C229" s="51" t="n">
        <v>257</v>
      </c>
      <c r="D229" s="29" t="n">
        <f aca="false">IFERROR(VLOOKUP("Pepsi cu gust de Înghețată de Vanilie",'FOOD COST'!$A:$Y,7,0),"")</f>
        <v>3.71</v>
      </c>
      <c r="E229" s="30" t="n">
        <f aca="false">IFERROR(VLOOKUP("Pepsi cu gust de Înghețată de Vanilie",'FOOD COST'!$A:$Y,8,0),"")</f>
        <v>3.71</v>
      </c>
      <c r="F229" s="29" t="n">
        <f aca="false">IFERROR(VLOOKUP("Pepsi cu gust de Înghețată de Vanilie",'FOOD COST'!$A:$Y,10,0),"")</f>
        <v>7.85123966942149</v>
      </c>
      <c r="G229" s="29" t="n">
        <f aca="false">IFERROR(VLOOKUP("Pepsi cu gust de Înghețată de Vanilie",'FOOD COST'!$A:$Y,18,0),"")</f>
        <v>7.85123966942149</v>
      </c>
      <c r="H229" s="29" t="n">
        <f aca="false">IFERROR(VLOOKUP("Pepsi cu gust de Înghețată de Vanilie",'FOOD COST'!$A:$Y,21,0),"")</f>
        <v>7.85123966942149</v>
      </c>
      <c r="I229" s="29" t="n">
        <f aca="false">IFERROR(VLOOKUP("Pepsi cu gust de Înghețată de Vanilie",'FOOD COST'!$A:$Y,24,0),"")</f>
        <v>7.85123966942149</v>
      </c>
      <c r="J229" s="32" t="n">
        <f aca="false">IF(OR(C229="",NOT(ISNUMBER(D229))),"",C229*D229)</f>
        <v>953.47</v>
      </c>
      <c r="K229" s="52" t="n">
        <f aca="false">IF(OR(C229="",NOT(ISNUMBER(E229))),"",C229*E229)</f>
        <v>953.47</v>
      </c>
      <c r="L229" s="32" t="n">
        <f aca="false">IF(OR(C229="",NOT(ISNUMBER(F229))),"",C229*F229)</f>
        <v>2017.76859504132</v>
      </c>
      <c r="M229" s="32" t="n">
        <f aca="false">IF(OR(C229="",NOT(ISNUMBER(G229))),"",C229*G229)</f>
        <v>2017.76859504132</v>
      </c>
      <c r="N229" s="32" t="n">
        <f aca="false">IF(OR(C229="",NOT(ISNUMBER(H229))),"",C229*H229)</f>
        <v>2017.76859504132</v>
      </c>
      <c r="O229" s="32" t="n">
        <f aca="false">IF(OR(C229="",NOT(ISNUMBER(I229))),"",C229*I229)</f>
        <v>2017.76859504132</v>
      </c>
    </row>
    <row r="230" customFormat="false" ht="15" hidden="false" customHeight="true" outlineLevel="0" collapsed="false">
      <c r="A230" s="5" t="s">
        <v>841</v>
      </c>
      <c r="B230" s="5" t="s">
        <v>645</v>
      </c>
      <c r="C230" s="51" t="n">
        <v>489</v>
      </c>
      <c r="D230" s="29" t="n">
        <f aca="false">IFERROR(VLOOKUP("Pepsi cu gust de Înghețată de Vanilie D",'FOOD COST'!$A:$Y,7,0),"")</f>
        <v>3.71</v>
      </c>
      <c r="E230" s="30" t="n">
        <f aca="false">IFERROR(VLOOKUP("Pepsi cu gust de Înghețată de Vanilie D",'FOOD COST'!$A:$Y,8,0),"")</f>
        <v>3.71</v>
      </c>
      <c r="F230" s="29" t="n">
        <f aca="false">IFERROR(VLOOKUP("Pepsi cu gust de Înghețată de Vanilie D",'FOOD COST'!$A:$Y,10,0),"")</f>
        <v>7.85123966942149</v>
      </c>
      <c r="G230" s="29" t="n">
        <f aca="false">IFERROR(VLOOKUP("Pepsi cu gust de Înghețată de Vanilie D",'FOOD COST'!$A:$Y,18,0),"")</f>
        <v>7.85123966942149</v>
      </c>
      <c r="H230" s="29" t="n">
        <f aca="false">IFERROR(VLOOKUP("Pepsi cu gust de Înghețată de Vanilie D",'FOOD COST'!$A:$Y,21,0),"")</f>
        <v>7.85123966942149</v>
      </c>
      <c r="I230" s="29" t="n">
        <f aca="false">IFERROR(VLOOKUP("Pepsi cu gust de Înghețată de Vanilie D",'FOOD COST'!$A:$Y,24,0),"")</f>
        <v>7.85123966942149</v>
      </c>
      <c r="J230" s="32" t="n">
        <f aca="false">IF(OR(C230="",NOT(ISNUMBER(D230))),"",C230*D230)</f>
        <v>1814.19</v>
      </c>
      <c r="K230" s="52" t="n">
        <f aca="false">IF(OR(C230="",NOT(ISNUMBER(E230))),"",C230*E230)</f>
        <v>1814.19</v>
      </c>
      <c r="L230" s="32" t="n">
        <f aca="false">IF(OR(C230="",NOT(ISNUMBER(F230))),"",C230*F230)</f>
        <v>3839.25619834711</v>
      </c>
      <c r="M230" s="32" t="n">
        <f aca="false">IF(OR(C230="",NOT(ISNUMBER(G230))),"",C230*G230)</f>
        <v>3839.25619834711</v>
      </c>
      <c r="N230" s="32" t="n">
        <f aca="false">IF(OR(C230="",NOT(ISNUMBER(H230))),"",C230*H230)</f>
        <v>3839.25619834711</v>
      </c>
      <c r="O230" s="32" t="n">
        <f aca="false">IF(OR(C230="",NOT(ISNUMBER(I230))),"",C230*I230)</f>
        <v>3839.25619834711</v>
      </c>
    </row>
    <row r="231" customFormat="false" ht="15" hidden="false" customHeight="true" outlineLevel="0" collapsed="false">
      <c r="A231" s="5" t="s">
        <v>842</v>
      </c>
      <c r="B231" s="5" t="s">
        <v>645</v>
      </c>
      <c r="C231" s="51" t="n">
        <v>2354</v>
      </c>
      <c r="D231" s="29" t="n">
        <f aca="false">IFERROR(VLOOKUP("DOZA PEPSI ZERO D",'FOOD COST'!$A:$Y,7,0),"")</f>
        <v>0.643</v>
      </c>
      <c r="E231" s="30" t="n">
        <f aca="false">IFERROR(VLOOKUP("DOZA PEPSI ZERO D",'FOOD COST'!$A:$Y,8,0),"")</f>
        <v>0.643</v>
      </c>
      <c r="F231" s="29" t="n">
        <f aca="false">IFERROR(VLOOKUP("DOZA PEPSI ZERO D",'FOOD COST'!$A:$Y,10,0),"")</f>
        <v>4.53719008264463</v>
      </c>
      <c r="G231" s="29" t="n">
        <f aca="false">IFERROR(VLOOKUP("DOZA PEPSI ZERO D",'FOOD COST'!$A:$Y,18,0),"")</f>
        <v>4.53719008264463</v>
      </c>
      <c r="H231" s="29" t="n">
        <f aca="false">IFERROR(VLOOKUP("DOZA PEPSI ZERO D",'FOOD COST'!$A:$Y,21,0),"")</f>
        <v>4.53719008264463</v>
      </c>
      <c r="I231" s="29" t="n">
        <f aca="false">IFERROR(VLOOKUP("DOZA PEPSI ZERO D",'FOOD COST'!$A:$Y,24,0),"")</f>
        <v>4.53719008264463</v>
      </c>
      <c r="J231" s="32" t="n">
        <f aca="false">IF(OR(C231="",NOT(ISNUMBER(D231))),"",C231*D231)</f>
        <v>1513.622</v>
      </c>
      <c r="K231" s="52" t="n">
        <f aca="false">IF(OR(C231="",NOT(ISNUMBER(E231))),"",C231*E231)</f>
        <v>1513.622</v>
      </c>
      <c r="L231" s="32" t="n">
        <f aca="false">IF(OR(C231="",NOT(ISNUMBER(F231))),"",C231*F231)</f>
        <v>10680.5454545455</v>
      </c>
      <c r="M231" s="32" t="n">
        <f aca="false">IF(OR(C231="",NOT(ISNUMBER(G231))),"",C231*G231)</f>
        <v>10680.5454545455</v>
      </c>
      <c r="N231" s="32" t="n">
        <f aca="false">IF(OR(C231="",NOT(ISNUMBER(H231))),"",C231*H231)</f>
        <v>10680.5454545455</v>
      </c>
      <c r="O231" s="32" t="n">
        <f aca="false">IF(OR(C231="",NOT(ISNUMBER(I231))),"",C231*I231)</f>
        <v>10680.5454545455</v>
      </c>
    </row>
    <row r="232" customFormat="false" ht="15" hidden="false" customHeight="true" outlineLevel="0" collapsed="false">
      <c r="A232" s="5" t="s">
        <v>843</v>
      </c>
      <c r="B232" s="5" t="s">
        <v>645</v>
      </c>
      <c r="C232" s="51" t="n">
        <v>3070</v>
      </c>
      <c r="D232" s="29" t="n">
        <f aca="false">IFERROR(VLOOKUP("DOZE PEPSI 330 ML/TWIST ZERO 330 ML/7UP 330 ML/MIRINDA PORTOCALE 330 ML D",'FOOD COST'!$A:$Y,7,0),"")</f>
        <v>1.935</v>
      </c>
      <c r="E232" s="30" t="n">
        <f aca="false">IFERROR(VLOOKUP("DOZE PEPSI 330 ML/TWIST ZERO 330 ML/7UP 330 ML/MIRINDA PORTOCALE 330 ML D",'FOOD COST'!$A:$Y,8,0),"")</f>
        <v>1.935</v>
      </c>
      <c r="F232" s="29" t="n">
        <f aca="false">IFERROR(VLOOKUP("DOZE PEPSI 330 ML/TWIST ZERO 330 ML/7UP 330 ML/MIRINDA PORTOCALE 330 ML D",'FOOD COST'!$A:$Y,10,0),"")</f>
        <v>7.85123966942149</v>
      </c>
      <c r="G232" s="29" t="n">
        <f aca="false">IFERROR(VLOOKUP("DOZE PEPSI 330 ML/TWIST ZERO 330 ML/7UP 330 ML/MIRINDA PORTOCALE 330 ML D",'FOOD COST'!$A:$Y,18,0),"")</f>
        <v>7.85123966942149</v>
      </c>
      <c r="H232" s="29" t="n">
        <f aca="false">IFERROR(VLOOKUP("DOZE PEPSI 330 ML/TWIST ZERO 330 ML/7UP 330 ML/MIRINDA PORTOCALE 330 ML D",'FOOD COST'!$A:$Y,21,0),"")</f>
        <v>7.85123966942149</v>
      </c>
      <c r="I232" s="29" t="n">
        <f aca="false">IFERROR(VLOOKUP("DOZE PEPSI 330 ML/TWIST ZERO 330 ML/7UP 330 ML/MIRINDA PORTOCALE 330 ML D",'FOOD COST'!$A:$Y,24,0),"")</f>
        <v>7.85123966942149</v>
      </c>
      <c r="J232" s="32" t="n">
        <f aca="false">IF(OR(C232="",NOT(ISNUMBER(D232))),"",C232*D232)</f>
        <v>5940.45</v>
      </c>
      <c r="K232" s="52" t="n">
        <f aca="false">IF(OR(C232="",NOT(ISNUMBER(E232))),"",C232*E232)</f>
        <v>5940.45</v>
      </c>
      <c r="L232" s="32" t="n">
        <f aca="false">IF(OR(C232="",NOT(ISNUMBER(F232))),"",C232*F232)</f>
        <v>24103.305785124</v>
      </c>
      <c r="M232" s="32" t="n">
        <f aca="false">IF(OR(C232="",NOT(ISNUMBER(G232))),"",C232*G232)</f>
        <v>24103.305785124</v>
      </c>
      <c r="N232" s="32" t="n">
        <f aca="false">IF(OR(C232="",NOT(ISNUMBER(H232))),"",C232*H232)</f>
        <v>24103.305785124</v>
      </c>
      <c r="O232" s="32" t="n">
        <f aca="false">IF(OR(C232="",NOT(ISNUMBER(I232))),"",C232*I232)</f>
        <v>24103.305785124</v>
      </c>
    </row>
    <row r="233" customFormat="false" ht="15" hidden="false" customHeight="true" outlineLevel="0" collapsed="false">
      <c r="A233" s="5" t="s">
        <v>844</v>
      </c>
      <c r="B233" s="5" t="s">
        <v>642</v>
      </c>
      <c r="C233" s="51" t="n">
        <v>328</v>
      </c>
      <c r="D233" s="29" t="n">
        <f aca="false">IFERROR(VLOOKUP("Tort ciocolata zmeura",'FOOD COST'!$A:$Y,7,0),"")</f>
        <v>8.783</v>
      </c>
      <c r="E233" s="30" t="n">
        <f aca="false">IFERROR(VLOOKUP("Tort ciocolata zmeura",'FOOD COST'!$A:$Y,8,0),"")</f>
        <v>8.783</v>
      </c>
      <c r="F233" s="29" t="n">
        <f aca="false">IFERROR(VLOOKUP("Tort ciocolata zmeura",'FOOD COST'!$A:$Y,10,0),"")</f>
        <v>15.3153153153153</v>
      </c>
      <c r="G233" s="29" t="n">
        <f aca="false">IFERROR(VLOOKUP("Tort ciocolata zmeura",'FOOD COST'!$A:$Y,18,0),"")</f>
        <v>15.3153153153153</v>
      </c>
      <c r="H233" s="29" t="n">
        <f aca="false">IFERROR(VLOOKUP("Tort ciocolata zmeura",'FOOD COST'!$A:$Y,21,0),"")</f>
        <v>15.3153153153153</v>
      </c>
      <c r="I233" s="29" t="n">
        <f aca="false">IFERROR(VLOOKUP("Tort ciocolata zmeura",'FOOD COST'!$A:$Y,24,0),"")</f>
        <v>15.3153153153153</v>
      </c>
      <c r="J233" s="32" t="n">
        <f aca="false">IF(OR(C233="",NOT(ISNUMBER(D233))),"",C233*D233)</f>
        <v>2880.824</v>
      </c>
      <c r="K233" s="52" t="n">
        <f aca="false">IF(OR(C233="",NOT(ISNUMBER(E233))),"",C233*E233)</f>
        <v>2880.824</v>
      </c>
      <c r="L233" s="32" t="n">
        <f aca="false">IF(OR(C233="",NOT(ISNUMBER(F233))),"",C233*F233)</f>
        <v>5023.42342342342</v>
      </c>
      <c r="M233" s="32" t="n">
        <f aca="false">IF(OR(C233="",NOT(ISNUMBER(G233))),"",C233*G233)</f>
        <v>5023.42342342342</v>
      </c>
      <c r="N233" s="32" t="n">
        <f aca="false">IF(OR(C233="",NOT(ISNUMBER(H233))),"",C233*H233)</f>
        <v>5023.42342342342</v>
      </c>
      <c r="O233" s="32" t="n">
        <f aca="false">IF(OR(C233="",NOT(ISNUMBER(I233))),"",C233*I233)</f>
        <v>5023.42342342342</v>
      </c>
    </row>
    <row r="234" customFormat="false" ht="15" hidden="false" customHeight="true" outlineLevel="0" collapsed="false">
      <c r="A234" s="5" t="s">
        <v>845</v>
      </c>
      <c r="B234" s="5" t="s">
        <v>645</v>
      </c>
      <c r="C234" s="51" t="n">
        <v>163</v>
      </c>
      <c r="D234" s="29" t="n">
        <f aca="false">IFERROR(VLOOKUP("Tort ciocolata zmeura D",'FOOD COST'!$A:$Y,7,0),"")</f>
        <v>8.783</v>
      </c>
      <c r="E234" s="30" t="n">
        <f aca="false">IFERROR(VLOOKUP("Tort ciocolata zmeura D",'FOOD COST'!$A:$Y,8,0),"")</f>
        <v>8.783</v>
      </c>
      <c r="F234" s="29" t="n">
        <f aca="false">IFERROR(VLOOKUP("Tort ciocolata zmeura D",'FOOD COST'!$A:$Y,10,0),"")</f>
        <v>16.2162162162162</v>
      </c>
      <c r="G234" s="29" t="n">
        <f aca="false">IFERROR(VLOOKUP("Tort ciocolata zmeura D",'FOOD COST'!$A:$Y,18,0),"")</f>
        <v>16.2162162162162</v>
      </c>
      <c r="H234" s="29" t="n">
        <f aca="false">IFERROR(VLOOKUP("Tort ciocolata zmeura D",'FOOD COST'!$A:$Y,21,0),"")</f>
        <v>16.2162162162162</v>
      </c>
      <c r="I234" s="29" t="n">
        <f aca="false">IFERROR(VLOOKUP("Tort ciocolata zmeura D",'FOOD COST'!$A:$Y,24,0),"")</f>
        <v>16.2162162162162</v>
      </c>
      <c r="J234" s="32" t="n">
        <f aca="false">IF(OR(C234="",NOT(ISNUMBER(D234))),"",C234*D234)</f>
        <v>1431.629</v>
      </c>
      <c r="K234" s="52" t="n">
        <f aca="false">IF(OR(C234="",NOT(ISNUMBER(E234))),"",C234*E234)</f>
        <v>1431.629</v>
      </c>
      <c r="L234" s="32" t="n">
        <f aca="false">IF(OR(C234="",NOT(ISNUMBER(F234))),"",C234*F234)</f>
        <v>2643.24324324324</v>
      </c>
      <c r="M234" s="32" t="n">
        <f aca="false">IF(OR(C234="",NOT(ISNUMBER(G234))),"",C234*G234)</f>
        <v>2643.24324324324</v>
      </c>
      <c r="N234" s="32" t="n">
        <f aca="false">IF(OR(C234="",NOT(ISNUMBER(H234))),"",C234*H234)</f>
        <v>2643.24324324324</v>
      </c>
      <c r="O234" s="32" t="n">
        <f aca="false">IF(OR(C234="",NOT(ISNUMBER(I234))),"",C234*I234)</f>
        <v>2643.24324324324</v>
      </c>
    </row>
    <row r="235" customFormat="false" ht="15" hidden="false" customHeight="true" outlineLevel="0" collapsed="false">
      <c r="A235" s="5" t="s">
        <v>846</v>
      </c>
      <c r="B235" s="5" t="s">
        <v>642</v>
      </c>
      <c r="C235" s="51" t="n">
        <v>293</v>
      </c>
      <c r="D235" s="29" t="n">
        <f aca="false">IFERROR(VLOOKUP("Profiterol ciocolata",'FOOD COST'!$A:$Y,7,0),"")</f>
        <v>5.19</v>
      </c>
      <c r="E235" s="30" t="n">
        <f aca="false">IFERROR(VLOOKUP("Profiterol ciocolata",'FOOD COST'!$A:$Y,8,0),"")</f>
        <v>5.19</v>
      </c>
      <c r="F235" s="29" t="n">
        <f aca="false">IFERROR(VLOOKUP("Profiterol ciocolata",'FOOD COST'!$A:$Y,10,0),"")</f>
        <v>13.5135135135135</v>
      </c>
      <c r="G235" s="29" t="n">
        <f aca="false">IFERROR(VLOOKUP("Profiterol ciocolata",'FOOD COST'!$A:$Y,18,0),"")</f>
        <v>13.5135135135135</v>
      </c>
      <c r="H235" s="29" t="n">
        <f aca="false">IFERROR(VLOOKUP("Profiterol ciocolata",'FOOD COST'!$A:$Y,21,0),"")</f>
        <v>13.5135135135135</v>
      </c>
      <c r="I235" s="29" t="n">
        <f aca="false">IFERROR(VLOOKUP("Profiterol ciocolata",'FOOD COST'!$A:$Y,24,0),"")</f>
        <v>13.5135135135135</v>
      </c>
      <c r="J235" s="32" t="n">
        <f aca="false">IF(OR(C235="",NOT(ISNUMBER(D235))),"",C235*D235)</f>
        <v>1520.67</v>
      </c>
      <c r="K235" s="52" t="n">
        <f aca="false">IF(OR(C235="",NOT(ISNUMBER(E235))),"",C235*E235)</f>
        <v>1520.67</v>
      </c>
      <c r="L235" s="32" t="n">
        <f aca="false">IF(OR(C235="",NOT(ISNUMBER(F235))),"",C235*F235)</f>
        <v>3959.45945945946</v>
      </c>
      <c r="M235" s="32" t="n">
        <f aca="false">IF(OR(C235="",NOT(ISNUMBER(G235))),"",C235*G235)</f>
        <v>3959.45945945946</v>
      </c>
      <c r="N235" s="32" t="n">
        <f aca="false">IF(OR(C235="",NOT(ISNUMBER(H235))),"",C235*H235)</f>
        <v>3959.45945945946</v>
      </c>
      <c r="O235" s="32" t="n">
        <f aca="false">IF(OR(C235="",NOT(ISNUMBER(I235))),"",C235*I235)</f>
        <v>3959.45945945946</v>
      </c>
    </row>
    <row r="236" customFormat="false" ht="15" hidden="false" customHeight="true" outlineLevel="0" collapsed="false">
      <c r="A236" s="5" t="s">
        <v>847</v>
      </c>
      <c r="B236" s="5" t="s">
        <v>645</v>
      </c>
      <c r="C236" s="51" t="n">
        <v>132</v>
      </c>
      <c r="D236" s="29" t="n">
        <f aca="false">IFERROR(VLOOKUP("Profiterol ciocolata D",'FOOD COST'!$A:$Y,7,0),"")</f>
        <v>5.19</v>
      </c>
      <c r="E236" s="30" t="n">
        <f aca="false">IFERROR(VLOOKUP("Profiterol ciocolata D",'FOOD COST'!$A:$Y,8,0),"")</f>
        <v>5.19</v>
      </c>
      <c r="F236" s="29" t="n">
        <f aca="false">IFERROR(VLOOKUP("Profiterol ciocolata D",'FOOD COST'!$A:$Y,10,0),"")</f>
        <v>14.4144144144144</v>
      </c>
      <c r="G236" s="29" t="n">
        <f aca="false">IFERROR(VLOOKUP("Profiterol ciocolata D",'FOOD COST'!$A:$Y,18,0),"")</f>
        <v>14.4144144144144</v>
      </c>
      <c r="H236" s="29" t="n">
        <f aca="false">IFERROR(VLOOKUP("Profiterol ciocolata D",'FOOD COST'!$A:$Y,21,0),"")</f>
        <v>14.4144144144144</v>
      </c>
      <c r="I236" s="29" t="n">
        <f aca="false">IFERROR(VLOOKUP("Profiterol ciocolata D",'FOOD COST'!$A:$Y,24,0),"")</f>
        <v>14.4144144144144</v>
      </c>
      <c r="J236" s="32" t="n">
        <f aca="false">IF(OR(C236="",NOT(ISNUMBER(D236))),"",C236*D236)</f>
        <v>685.08</v>
      </c>
      <c r="K236" s="52" t="n">
        <f aca="false">IF(OR(C236="",NOT(ISNUMBER(E236))),"",C236*E236)</f>
        <v>685.08</v>
      </c>
      <c r="L236" s="32" t="n">
        <f aca="false">IF(OR(C236="",NOT(ISNUMBER(F236))),"",C236*F236)</f>
        <v>1902.7027027027</v>
      </c>
      <c r="M236" s="32" t="n">
        <f aca="false">IF(OR(C236="",NOT(ISNUMBER(G236))),"",C236*G236)</f>
        <v>1902.7027027027</v>
      </c>
      <c r="N236" s="32" t="n">
        <f aca="false">IF(OR(C236="",NOT(ISNUMBER(H236))),"",C236*H236)</f>
        <v>1902.7027027027</v>
      </c>
      <c r="O236" s="32" t="n">
        <f aca="false">IF(OR(C236="",NOT(ISNUMBER(I236))),"",C236*I236)</f>
        <v>1902.7027027027</v>
      </c>
    </row>
    <row r="237" customFormat="false" ht="15" hidden="false" customHeight="true" outlineLevel="0" collapsed="false">
      <c r="A237" s="5" t="s">
        <v>848</v>
      </c>
      <c r="B237" s="5" t="s">
        <v>642</v>
      </c>
      <c r="C237" s="51" t="n">
        <v>166</v>
      </c>
      <c r="D237" s="29" t="n">
        <f aca="false">IFERROR(VLOOKUP("CARROT CAKE",'FOOD COST'!$A:$Y,7,0),"")</f>
        <v>8.278</v>
      </c>
      <c r="E237" s="30" t="n">
        <f aca="false">IFERROR(VLOOKUP("CARROT CAKE",'FOOD COST'!$A:$Y,8,0),"")</f>
        <v>8.278</v>
      </c>
      <c r="F237" s="29" t="n">
        <f aca="false">IFERROR(VLOOKUP("CARROT CAKE",'FOOD COST'!$A:$Y,10,0),"")</f>
        <v>15.3153153153153</v>
      </c>
      <c r="G237" s="29" t="n">
        <f aca="false">IFERROR(VLOOKUP("CARROT CAKE",'FOOD COST'!$A:$Y,18,0),"")</f>
        <v>15.3153153153153</v>
      </c>
      <c r="H237" s="29" t="n">
        <f aca="false">IFERROR(VLOOKUP("CARROT CAKE",'FOOD COST'!$A:$Y,21,0),"")</f>
        <v>15.3153153153153</v>
      </c>
      <c r="I237" s="29" t="n">
        <f aca="false">IFERROR(VLOOKUP("CARROT CAKE",'FOOD COST'!$A:$Y,24,0),"")</f>
        <v>15.3153153153153</v>
      </c>
      <c r="J237" s="32" t="n">
        <f aca="false">IF(OR(C237="",NOT(ISNUMBER(D237))),"",C237*D237)</f>
        <v>1374.148</v>
      </c>
      <c r="K237" s="52" t="n">
        <f aca="false">IF(OR(C237="",NOT(ISNUMBER(E237))),"",C237*E237)</f>
        <v>1374.148</v>
      </c>
      <c r="L237" s="32" t="n">
        <f aca="false">IF(OR(C237="",NOT(ISNUMBER(F237))),"",C237*F237)</f>
        <v>2542.34234234234</v>
      </c>
      <c r="M237" s="32" t="n">
        <f aca="false">IF(OR(C237="",NOT(ISNUMBER(G237))),"",C237*G237)</f>
        <v>2542.34234234234</v>
      </c>
      <c r="N237" s="32" t="n">
        <f aca="false">IF(OR(C237="",NOT(ISNUMBER(H237))),"",C237*H237)</f>
        <v>2542.34234234234</v>
      </c>
      <c r="O237" s="32" t="n">
        <f aca="false">IF(OR(C237="",NOT(ISNUMBER(I237))),"",C237*I237)</f>
        <v>2542.34234234234</v>
      </c>
    </row>
    <row r="238" customFormat="false" ht="15" hidden="false" customHeight="true" outlineLevel="0" collapsed="false">
      <c r="A238" s="5" t="s">
        <v>849</v>
      </c>
      <c r="B238" s="5" t="s">
        <v>645</v>
      </c>
      <c r="C238" s="51" t="n">
        <v>108</v>
      </c>
      <c r="D238" s="29" t="n">
        <f aca="false">IFERROR(VLOOKUP("CARROT CAKE D",'FOOD COST'!$A:$Y,7,0),"")</f>
        <v>8.278</v>
      </c>
      <c r="E238" s="30" t="n">
        <f aca="false">IFERROR(VLOOKUP("CARROT CAKE D",'FOOD COST'!$A:$Y,8,0),"")</f>
        <v>8.278</v>
      </c>
      <c r="F238" s="29" t="n">
        <f aca="false">IFERROR(VLOOKUP("CARROT CAKE D",'FOOD COST'!$A:$Y,10,0),"")</f>
        <v>16.2162162162162</v>
      </c>
      <c r="G238" s="29" t="n">
        <f aca="false">IFERROR(VLOOKUP("CARROT CAKE D",'FOOD COST'!$A:$Y,18,0),"")</f>
        <v>16.2162162162162</v>
      </c>
      <c r="H238" s="29" t="n">
        <f aca="false">IFERROR(VLOOKUP("CARROT CAKE D",'FOOD COST'!$A:$Y,21,0),"")</f>
        <v>16.2162162162162</v>
      </c>
      <c r="I238" s="29" t="n">
        <f aca="false">IFERROR(VLOOKUP("CARROT CAKE D",'FOOD COST'!$A:$Y,24,0),"")</f>
        <v>16.2162162162162</v>
      </c>
      <c r="J238" s="32" t="n">
        <f aca="false">IF(OR(C238="",NOT(ISNUMBER(D238))),"",C238*D238)</f>
        <v>894.024</v>
      </c>
      <c r="K238" s="52" t="n">
        <f aca="false">IF(OR(C238="",NOT(ISNUMBER(E238))),"",C238*E238)</f>
        <v>894.024</v>
      </c>
      <c r="L238" s="32" t="n">
        <f aca="false">IF(OR(C238="",NOT(ISNUMBER(F238))),"",C238*F238)</f>
        <v>1751.35135135135</v>
      </c>
      <c r="M238" s="32" t="n">
        <f aca="false">IF(OR(C238="",NOT(ISNUMBER(G238))),"",C238*G238)</f>
        <v>1751.35135135135</v>
      </c>
      <c r="N238" s="32" t="n">
        <f aca="false">IF(OR(C238="",NOT(ISNUMBER(H238))),"",C238*H238)</f>
        <v>1751.35135135135</v>
      </c>
      <c r="O238" s="32" t="n">
        <f aca="false">IF(OR(C238="",NOT(ISNUMBER(I238))),"",C238*I238)</f>
        <v>1751.35135135135</v>
      </c>
    </row>
    <row r="239" customFormat="false" ht="15" hidden="false" customHeight="true" outlineLevel="0" collapsed="false">
      <c r="A239" s="5" t="s">
        <v>850</v>
      </c>
      <c r="B239" s="5" t="s">
        <v>642</v>
      </c>
      <c r="C239" s="51" t="n">
        <v>118</v>
      </c>
      <c r="D239" s="29" t="n">
        <f aca="false">IFERROR(VLOOKUP("Tort pufos capsuni",'FOOD COST'!$A:$Y,7,0),"")</f>
        <v>7.655</v>
      </c>
      <c r="E239" s="30" t="n">
        <f aca="false">IFERROR(VLOOKUP("Tort pufos capsuni",'FOOD COST'!$A:$Y,8,0),"")</f>
        <v>7.655</v>
      </c>
      <c r="F239" s="29" t="n">
        <f aca="false">IFERROR(VLOOKUP("Tort pufos capsuni",'FOOD COST'!$A:$Y,10,0),"")</f>
        <v>15.3153153153153</v>
      </c>
      <c r="G239" s="29" t="n">
        <f aca="false">IFERROR(VLOOKUP("Tort pufos capsuni",'FOOD COST'!$A:$Y,18,0),"")</f>
        <v>15.3153153153153</v>
      </c>
      <c r="H239" s="29" t="n">
        <f aca="false">IFERROR(VLOOKUP("Tort pufos capsuni",'FOOD COST'!$A:$Y,21,0),"")</f>
        <v>15.3153153153153</v>
      </c>
      <c r="I239" s="29" t="n">
        <f aca="false">IFERROR(VLOOKUP("Tort pufos capsuni",'FOOD COST'!$A:$Y,24,0),"")</f>
        <v>15.3153153153153</v>
      </c>
      <c r="J239" s="32" t="n">
        <f aca="false">IF(OR(C239="",NOT(ISNUMBER(D239))),"",C239*D239)</f>
        <v>903.29</v>
      </c>
      <c r="K239" s="52" t="n">
        <f aca="false">IF(OR(C239="",NOT(ISNUMBER(E239))),"",C239*E239)</f>
        <v>903.29</v>
      </c>
      <c r="L239" s="32" t="n">
        <f aca="false">IF(OR(C239="",NOT(ISNUMBER(F239))),"",C239*F239)</f>
        <v>1807.20720720721</v>
      </c>
      <c r="M239" s="32" t="n">
        <f aca="false">IF(OR(C239="",NOT(ISNUMBER(G239))),"",C239*G239)</f>
        <v>1807.20720720721</v>
      </c>
      <c r="N239" s="32" t="n">
        <f aca="false">IF(OR(C239="",NOT(ISNUMBER(H239))),"",C239*H239)</f>
        <v>1807.20720720721</v>
      </c>
      <c r="O239" s="32" t="n">
        <f aca="false">IF(OR(C239="",NOT(ISNUMBER(I239))),"",C239*I239)</f>
        <v>1807.20720720721</v>
      </c>
    </row>
    <row r="240" customFormat="false" ht="15" hidden="false" customHeight="true" outlineLevel="0" collapsed="false">
      <c r="A240" s="5" t="s">
        <v>851</v>
      </c>
      <c r="B240" s="5" t="s">
        <v>645</v>
      </c>
      <c r="C240" s="51" t="n">
        <v>53</v>
      </c>
      <c r="D240" s="29" t="n">
        <f aca="false">IFERROR(VLOOKUP("Tort pufos capsuni D",'FOOD COST'!$A:$Y,7,0),"")</f>
        <v>7.655</v>
      </c>
      <c r="E240" s="30" t="n">
        <f aca="false">IFERROR(VLOOKUP("Tort pufos capsuni D",'FOOD COST'!$A:$Y,8,0),"")</f>
        <v>7.655</v>
      </c>
      <c r="F240" s="29" t="n">
        <f aca="false">IFERROR(VLOOKUP("Tort pufos capsuni D",'FOOD COST'!$A:$Y,10,0),"")</f>
        <v>16.2162162162162</v>
      </c>
      <c r="G240" s="29" t="n">
        <f aca="false">IFERROR(VLOOKUP("Tort pufos capsuni D",'FOOD COST'!$A:$Y,18,0),"")</f>
        <v>16.2162162162162</v>
      </c>
      <c r="H240" s="29" t="n">
        <f aca="false">IFERROR(VLOOKUP("Tort pufos capsuni D",'FOOD COST'!$A:$Y,21,0),"")</f>
        <v>16.2162162162162</v>
      </c>
      <c r="I240" s="29" t="n">
        <f aca="false">IFERROR(VLOOKUP("Tort pufos capsuni D",'FOOD COST'!$A:$Y,24,0),"")</f>
        <v>16.2162162162162</v>
      </c>
      <c r="J240" s="32" t="n">
        <f aca="false">IF(OR(C240="",NOT(ISNUMBER(D240))),"",C240*D240)</f>
        <v>405.715</v>
      </c>
      <c r="K240" s="52" t="n">
        <f aca="false">IF(OR(C240="",NOT(ISNUMBER(E240))),"",C240*E240)</f>
        <v>405.715</v>
      </c>
      <c r="L240" s="32" t="n">
        <f aca="false">IF(OR(C240="",NOT(ISNUMBER(F240))),"",C240*F240)</f>
        <v>859.459459459459</v>
      </c>
      <c r="M240" s="32" t="n">
        <f aca="false">IF(OR(C240="",NOT(ISNUMBER(G240))),"",C240*G240)</f>
        <v>859.459459459459</v>
      </c>
      <c r="N240" s="32" t="n">
        <f aca="false">IF(OR(C240="",NOT(ISNUMBER(H240))),"",C240*H240)</f>
        <v>859.459459459459</v>
      </c>
      <c r="O240" s="32" t="n">
        <f aca="false">IF(OR(C240="",NOT(ISNUMBER(I240))),"",C240*I240)</f>
        <v>859.459459459459</v>
      </c>
    </row>
    <row r="241" customFormat="false" ht="15" hidden="false" customHeight="true" outlineLevel="0" collapsed="false">
      <c r="A241" s="5" t="s">
        <v>852</v>
      </c>
      <c r="B241" s="5" t="s">
        <v>642</v>
      </c>
      <c r="C241" s="51" t="n">
        <v>197</v>
      </c>
      <c r="D241" s="29" t="n">
        <f aca="false">IFERROR(VLOOKUP("Prajitura vanilie bezea",'FOOD COST'!$A:$Y,7,0),"")</f>
        <v>5.326</v>
      </c>
      <c r="E241" s="30" t="n">
        <f aca="false">IFERROR(VLOOKUP("Prajitura vanilie bezea",'FOOD COST'!$A:$Y,8,0),"")</f>
        <v>5.326</v>
      </c>
      <c r="F241" s="29" t="n">
        <f aca="false">IFERROR(VLOOKUP("Prajitura vanilie bezea",'FOOD COST'!$A:$Y,10,0),"")</f>
        <v>13.5135135135135</v>
      </c>
      <c r="G241" s="29" t="n">
        <f aca="false">IFERROR(VLOOKUP("Prajitura vanilie bezea",'FOOD COST'!$A:$Y,18,0),"")</f>
        <v>13.5135135135135</v>
      </c>
      <c r="H241" s="29" t="n">
        <f aca="false">IFERROR(VLOOKUP("Prajitura vanilie bezea",'FOOD COST'!$A:$Y,21,0),"")</f>
        <v>13.5135135135135</v>
      </c>
      <c r="I241" s="29" t="n">
        <f aca="false">IFERROR(VLOOKUP("Prajitura vanilie bezea",'FOOD COST'!$A:$Y,24,0),"")</f>
        <v>13.5135135135135</v>
      </c>
      <c r="J241" s="32" t="n">
        <f aca="false">IF(OR(C241="",NOT(ISNUMBER(D241))),"",C241*D241)</f>
        <v>1049.222</v>
      </c>
      <c r="K241" s="52" t="n">
        <f aca="false">IF(OR(C241="",NOT(ISNUMBER(E241))),"",C241*E241)</f>
        <v>1049.222</v>
      </c>
      <c r="L241" s="32" t="n">
        <f aca="false">IF(OR(C241="",NOT(ISNUMBER(F241))),"",C241*F241)</f>
        <v>2662.16216216216</v>
      </c>
      <c r="M241" s="32" t="n">
        <f aca="false">IF(OR(C241="",NOT(ISNUMBER(G241))),"",C241*G241)</f>
        <v>2662.16216216216</v>
      </c>
      <c r="N241" s="32" t="n">
        <f aca="false">IF(OR(C241="",NOT(ISNUMBER(H241))),"",C241*H241)</f>
        <v>2662.16216216216</v>
      </c>
      <c r="O241" s="32" t="n">
        <f aca="false">IF(OR(C241="",NOT(ISNUMBER(I241))),"",C241*I241)</f>
        <v>2662.16216216216</v>
      </c>
    </row>
    <row r="242" customFormat="false" ht="15" hidden="false" customHeight="true" outlineLevel="0" collapsed="false">
      <c r="A242" s="5" t="s">
        <v>853</v>
      </c>
      <c r="B242" s="5" t="s">
        <v>645</v>
      </c>
      <c r="C242" s="51" t="n">
        <v>118</v>
      </c>
      <c r="D242" s="29" t="n">
        <f aca="false">IFERROR(VLOOKUP("Prajitura vanilie bezea D",'FOOD COST'!$A:$Y,7,0),"")</f>
        <v>5.326</v>
      </c>
      <c r="E242" s="30" t="n">
        <f aca="false">IFERROR(VLOOKUP("Prajitura vanilie bezea D",'FOOD COST'!$A:$Y,8,0),"")</f>
        <v>5.326</v>
      </c>
      <c r="F242" s="29" t="n">
        <f aca="false">IFERROR(VLOOKUP("Prajitura vanilie bezea D",'FOOD COST'!$A:$Y,10,0),"")</f>
        <v>14.4144144144144</v>
      </c>
      <c r="G242" s="29" t="n">
        <f aca="false">IFERROR(VLOOKUP("Prajitura vanilie bezea D",'FOOD COST'!$A:$Y,18,0),"")</f>
        <v>14.4144144144144</v>
      </c>
      <c r="H242" s="29" t="n">
        <f aca="false">IFERROR(VLOOKUP("Prajitura vanilie bezea D",'FOOD COST'!$A:$Y,21,0),"")</f>
        <v>14.4144144144144</v>
      </c>
      <c r="I242" s="29" t="n">
        <f aca="false">IFERROR(VLOOKUP("Prajitura vanilie bezea D",'FOOD COST'!$A:$Y,24,0),"")</f>
        <v>14.4144144144144</v>
      </c>
      <c r="J242" s="32" t="n">
        <f aca="false">IF(OR(C242="",NOT(ISNUMBER(D242))),"",C242*D242)</f>
        <v>628.468</v>
      </c>
      <c r="K242" s="52" t="n">
        <f aca="false">IF(OR(C242="",NOT(ISNUMBER(E242))),"",C242*E242)</f>
        <v>628.468</v>
      </c>
      <c r="L242" s="32" t="n">
        <f aca="false">IF(OR(C242="",NOT(ISNUMBER(F242))),"",C242*F242)</f>
        <v>1700.9009009009</v>
      </c>
      <c r="M242" s="32" t="n">
        <f aca="false">IF(OR(C242="",NOT(ISNUMBER(G242))),"",C242*G242)</f>
        <v>1700.9009009009</v>
      </c>
      <c r="N242" s="32" t="n">
        <f aca="false">IF(OR(C242="",NOT(ISNUMBER(H242))),"",C242*H242)</f>
        <v>1700.9009009009</v>
      </c>
      <c r="O242" s="32" t="n">
        <f aca="false">IF(OR(C242="",NOT(ISNUMBER(I242))),"",C242*I242)</f>
        <v>1700.9009009009</v>
      </c>
    </row>
    <row r="243" customFormat="false" ht="15" hidden="false" customHeight="true" outlineLevel="0" collapsed="false">
      <c r="A243" s="5" t="s">
        <v>854</v>
      </c>
      <c r="B243" s="5" t="s">
        <v>642</v>
      </c>
      <c r="C243" s="51" t="n">
        <v>431</v>
      </c>
      <c r="D243" s="29" t="n">
        <f aca="false">IFERROR(VLOOKUP("TIRAMISU",'FOOD COST'!$A:$Y,7,0),"")</f>
        <v>7.755</v>
      </c>
      <c r="E243" s="30" t="n">
        <f aca="false">IFERROR(VLOOKUP("TIRAMISU",'FOOD COST'!$A:$Y,8,0),"")</f>
        <v>7.755</v>
      </c>
      <c r="F243" s="29" t="n">
        <f aca="false">IFERROR(VLOOKUP("TIRAMISU",'FOOD COST'!$A:$Y,10,0),"")</f>
        <v>15.3153153153153</v>
      </c>
      <c r="G243" s="29" t="n">
        <f aca="false">IFERROR(VLOOKUP("TIRAMISU",'FOOD COST'!$A:$Y,18,0),"")</f>
        <v>15.3153153153153</v>
      </c>
      <c r="H243" s="29" t="n">
        <f aca="false">IFERROR(VLOOKUP("TIRAMISU",'FOOD COST'!$A:$Y,21,0),"")</f>
        <v>15.3153153153153</v>
      </c>
      <c r="I243" s="29" t="n">
        <f aca="false">IFERROR(VLOOKUP("TIRAMISU",'FOOD COST'!$A:$Y,24,0),"")</f>
        <v>15.3153153153153</v>
      </c>
      <c r="J243" s="32" t="n">
        <f aca="false">IF(OR(C243="",NOT(ISNUMBER(D243))),"",C243*D243)</f>
        <v>3342.405</v>
      </c>
      <c r="K243" s="52" t="n">
        <f aca="false">IF(OR(C243="",NOT(ISNUMBER(E243))),"",C243*E243)</f>
        <v>3342.405</v>
      </c>
      <c r="L243" s="32" t="n">
        <f aca="false">IF(OR(C243="",NOT(ISNUMBER(F243))),"",C243*F243)</f>
        <v>6600.9009009009</v>
      </c>
      <c r="M243" s="32" t="n">
        <f aca="false">IF(OR(C243="",NOT(ISNUMBER(G243))),"",C243*G243)</f>
        <v>6600.9009009009</v>
      </c>
      <c r="N243" s="32" t="n">
        <f aca="false">IF(OR(C243="",NOT(ISNUMBER(H243))),"",C243*H243)</f>
        <v>6600.9009009009</v>
      </c>
      <c r="O243" s="32" t="n">
        <f aca="false">IF(OR(C243="",NOT(ISNUMBER(I243))),"",C243*I243)</f>
        <v>6600.9009009009</v>
      </c>
    </row>
    <row r="244" customFormat="false" ht="15" hidden="false" customHeight="true" outlineLevel="0" collapsed="false">
      <c r="A244" s="5" t="s">
        <v>855</v>
      </c>
      <c r="B244" s="5" t="s">
        <v>645</v>
      </c>
      <c r="C244" s="51" t="n">
        <v>138</v>
      </c>
      <c r="D244" s="29" t="n">
        <f aca="false">IFERROR(VLOOKUP("TIRAMISU D",'FOOD COST'!$A:$Y,7,0),"")</f>
        <v>7.755</v>
      </c>
      <c r="E244" s="30" t="n">
        <f aca="false">IFERROR(VLOOKUP("TIRAMISU D",'FOOD COST'!$A:$Y,8,0),"")</f>
        <v>7.755</v>
      </c>
      <c r="F244" s="29" t="n">
        <f aca="false">IFERROR(VLOOKUP("TIRAMISU D",'FOOD COST'!$A:$Y,10,0),"")</f>
        <v>16.2162162162162</v>
      </c>
      <c r="G244" s="29" t="n">
        <f aca="false">IFERROR(VLOOKUP("TIRAMISU D",'FOOD COST'!$A:$Y,18,0),"")</f>
        <v>16.2162162162162</v>
      </c>
      <c r="H244" s="29" t="n">
        <f aca="false">IFERROR(VLOOKUP("TIRAMISU D",'FOOD COST'!$A:$Y,21,0),"")</f>
        <v>16.2162162162162</v>
      </c>
      <c r="I244" s="29" t="n">
        <f aca="false">IFERROR(VLOOKUP("TIRAMISU D",'FOOD COST'!$A:$Y,24,0),"")</f>
        <v>16.2162162162162</v>
      </c>
      <c r="J244" s="32" t="n">
        <f aca="false">IF(OR(C244="",NOT(ISNUMBER(D244))),"",C244*D244)</f>
        <v>1070.19</v>
      </c>
      <c r="K244" s="52" t="n">
        <f aca="false">IF(OR(C244="",NOT(ISNUMBER(E244))),"",C244*E244)</f>
        <v>1070.19</v>
      </c>
      <c r="L244" s="32" t="n">
        <f aca="false">IF(OR(C244="",NOT(ISNUMBER(F244))),"",C244*F244)</f>
        <v>2237.83783783784</v>
      </c>
      <c r="M244" s="32" t="n">
        <f aca="false">IF(OR(C244="",NOT(ISNUMBER(G244))),"",C244*G244)</f>
        <v>2237.83783783784</v>
      </c>
      <c r="N244" s="32" t="n">
        <f aca="false">IF(OR(C244="",NOT(ISNUMBER(H244))),"",C244*H244)</f>
        <v>2237.83783783784</v>
      </c>
      <c r="O244" s="32" t="n">
        <f aca="false">IF(OR(C244="",NOT(ISNUMBER(I244))),"",C244*I244)</f>
        <v>2237.83783783784</v>
      </c>
    </row>
    <row r="245" customFormat="false" ht="15" hidden="false" customHeight="true" outlineLevel="0" collapsed="false">
      <c r="A245" s="5" t="s">
        <v>856</v>
      </c>
      <c r="B245" s="5" t="s">
        <v>642</v>
      </c>
      <c r="C245" s="51" t="n">
        <v>222</v>
      </c>
      <c r="D245" s="29" t="n">
        <f aca="false">IFERROR(VLOOKUP("Prajitura mascarpone capsuni",'FOOD COST'!$A:$Y,7,0),"")</f>
        <v>9.52</v>
      </c>
      <c r="E245" s="30" t="n">
        <f aca="false">IFERROR(VLOOKUP("Prajitura mascarpone capsuni",'FOOD COST'!$A:$Y,8,0),"")</f>
        <v>9.52</v>
      </c>
      <c r="F245" s="29" t="n">
        <f aca="false">IFERROR(VLOOKUP("Prajitura mascarpone capsuni",'FOOD COST'!$A:$Y,10,0),"")</f>
        <v>15.3153153153153</v>
      </c>
      <c r="G245" s="29" t="n">
        <f aca="false">IFERROR(VLOOKUP("Prajitura mascarpone capsuni",'FOOD COST'!$A:$Y,18,0),"")</f>
        <v>15.3153153153153</v>
      </c>
      <c r="H245" s="29" t="n">
        <f aca="false">IFERROR(VLOOKUP("Prajitura mascarpone capsuni",'FOOD COST'!$A:$Y,21,0),"")</f>
        <v>15.3153153153153</v>
      </c>
      <c r="I245" s="29" t="n">
        <f aca="false">IFERROR(VLOOKUP("Prajitura mascarpone capsuni",'FOOD COST'!$A:$Y,24,0),"")</f>
        <v>15.3153153153153</v>
      </c>
      <c r="J245" s="32" t="n">
        <f aca="false">IF(OR(C245="",NOT(ISNUMBER(D245))),"",C245*D245)</f>
        <v>2113.44</v>
      </c>
      <c r="K245" s="52" t="n">
        <f aca="false">IF(OR(C245="",NOT(ISNUMBER(E245))),"",C245*E245)</f>
        <v>2113.44</v>
      </c>
      <c r="L245" s="32" t="n">
        <f aca="false">IF(OR(C245="",NOT(ISNUMBER(F245))),"",C245*F245)</f>
        <v>3400</v>
      </c>
      <c r="M245" s="32" t="n">
        <f aca="false">IF(OR(C245="",NOT(ISNUMBER(G245))),"",C245*G245)</f>
        <v>3400</v>
      </c>
      <c r="N245" s="32" t="n">
        <f aca="false">IF(OR(C245="",NOT(ISNUMBER(H245))),"",C245*H245)</f>
        <v>3400</v>
      </c>
      <c r="O245" s="32" t="n">
        <f aca="false">IF(OR(C245="",NOT(ISNUMBER(I245))),"",C245*I245)</f>
        <v>3400</v>
      </c>
    </row>
    <row r="246" customFormat="false" ht="15" hidden="false" customHeight="true" outlineLevel="0" collapsed="false">
      <c r="A246" s="5" t="s">
        <v>857</v>
      </c>
      <c r="B246" s="5" t="s">
        <v>645</v>
      </c>
      <c r="C246" s="51" t="n">
        <v>76</v>
      </c>
      <c r="D246" s="29" t="n">
        <f aca="false">IFERROR(VLOOKUP("Prajitura mascarpone capsuni D",'FOOD COST'!$A:$Y,7,0),"")</f>
        <v>9.52</v>
      </c>
      <c r="E246" s="30" t="n">
        <f aca="false">IFERROR(VLOOKUP("Prajitura mascarpone capsuni D",'FOOD COST'!$A:$Y,8,0),"")</f>
        <v>9.52</v>
      </c>
      <c r="F246" s="29" t="n">
        <f aca="false">IFERROR(VLOOKUP("Prajitura mascarpone capsuni D",'FOOD COST'!$A:$Y,10,0),"")</f>
        <v>16.2162162162162</v>
      </c>
      <c r="G246" s="29" t="n">
        <f aca="false">IFERROR(VLOOKUP("Prajitura mascarpone capsuni D",'FOOD COST'!$A:$Y,18,0),"")</f>
        <v>16.2162162162162</v>
      </c>
      <c r="H246" s="29" t="n">
        <f aca="false">IFERROR(VLOOKUP("Prajitura mascarpone capsuni D",'FOOD COST'!$A:$Y,21,0),"")</f>
        <v>16.2162162162162</v>
      </c>
      <c r="I246" s="29" t="n">
        <f aca="false">IFERROR(VLOOKUP("Prajitura mascarpone capsuni D",'FOOD COST'!$A:$Y,24,0),"")</f>
        <v>16.2162162162162</v>
      </c>
      <c r="J246" s="32" t="n">
        <f aca="false">IF(OR(C246="",NOT(ISNUMBER(D246))),"",C246*D246)</f>
        <v>723.52</v>
      </c>
      <c r="K246" s="52" t="n">
        <f aca="false">IF(OR(C246="",NOT(ISNUMBER(E246))),"",C246*E246)</f>
        <v>723.52</v>
      </c>
      <c r="L246" s="32" t="n">
        <f aca="false">IF(OR(C246="",NOT(ISNUMBER(F246))),"",C246*F246)</f>
        <v>1232.43243243243</v>
      </c>
      <c r="M246" s="32" t="n">
        <f aca="false">IF(OR(C246="",NOT(ISNUMBER(G246))),"",C246*G246)</f>
        <v>1232.43243243243</v>
      </c>
      <c r="N246" s="32" t="n">
        <f aca="false">IF(OR(C246="",NOT(ISNUMBER(H246))),"",C246*H246)</f>
        <v>1232.43243243243</v>
      </c>
      <c r="O246" s="32" t="n">
        <f aca="false">IF(OR(C246="",NOT(ISNUMBER(I246))),"",C246*I246)</f>
        <v>1232.43243243243</v>
      </c>
    </row>
    <row r="247" customFormat="false" ht="15" hidden="false" customHeight="true" outlineLevel="0" collapsed="false">
      <c r="A247" s="5" t="s">
        <v>858</v>
      </c>
      <c r="B247" s="5" t="s">
        <v>642</v>
      </c>
      <c r="C247" s="51" t="n">
        <v>115</v>
      </c>
      <c r="D247" s="29" t="n">
        <f aca="false">IFERROR(VLOOKUP("Prajitura Maritozzo",'FOOD COST'!$A:$Y,7,0),"")</f>
        <v>9.621</v>
      </c>
      <c r="E247" s="30" t="n">
        <f aca="false">IFERROR(VLOOKUP("Prajitura Maritozzo",'FOOD COST'!$A:$Y,8,0),"")</f>
        <v>9.621</v>
      </c>
      <c r="F247" s="29" t="n">
        <f aca="false">IFERROR(VLOOKUP("Prajitura Maritozzo",'FOOD COST'!$A:$Y,10,0),"")</f>
        <v>15.3153153153153</v>
      </c>
      <c r="G247" s="29" t="n">
        <f aca="false">IFERROR(VLOOKUP("Prajitura Maritozzo",'FOOD COST'!$A:$Y,18,0),"")</f>
        <v>15.3153153153153</v>
      </c>
      <c r="H247" s="29" t="n">
        <f aca="false">IFERROR(VLOOKUP("Prajitura Maritozzo",'FOOD COST'!$A:$Y,21,0),"")</f>
        <v>15.3153153153153</v>
      </c>
      <c r="I247" s="29" t="n">
        <f aca="false">IFERROR(VLOOKUP("Prajitura Maritozzo",'FOOD COST'!$A:$Y,24,0),"")</f>
        <v>15.3153153153153</v>
      </c>
      <c r="J247" s="32" t="n">
        <f aca="false">IF(OR(C247="",NOT(ISNUMBER(D247))),"",C247*D247)</f>
        <v>1106.415</v>
      </c>
      <c r="K247" s="52" t="n">
        <f aca="false">IF(OR(C247="",NOT(ISNUMBER(E247))),"",C247*E247)</f>
        <v>1106.415</v>
      </c>
      <c r="L247" s="32" t="n">
        <f aca="false">IF(OR(C247="",NOT(ISNUMBER(F247))),"",C247*F247)</f>
        <v>1761.26126126126</v>
      </c>
      <c r="M247" s="32" t="n">
        <f aca="false">IF(OR(C247="",NOT(ISNUMBER(G247))),"",C247*G247)</f>
        <v>1761.26126126126</v>
      </c>
      <c r="N247" s="32" t="n">
        <f aca="false">IF(OR(C247="",NOT(ISNUMBER(H247))),"",C247*H247)</f>
        <v>1761.26126126126</v>
      </c>
      <c r="O247" s="32" t="n">
        <f aca="false">IF(OR(C247="",NOT(ISNUMBER(I247))),"",C247*I247)</f>
        <v>1761.26126126126</v>
      </c>
    </row>
    <row r="248" customFormat="false" ht="15" hidden="false" customHeight="true" outlineLevel="0" collapsed="false">
      <c r="A248" s="5" t="s">
        <v>859</v>
      </c>
      <c r="B248" s="5" t="s">
        <v>645</v>
      </c>
      <c r="C248" s="51" t="n">
        <v>56</v>
      </c>
      <c r="D248" s="29" t="n">
        <f aca="false">IFERROR(VLOOKUP("Prajitura Maritozzo D",'FOOD COST'!$A:$Y,7,0),"")</f>
        <v>9.621</v>
      </c>
      <c r="E248" s="30" t="n">
        <f aca="false">IFERROR(VLOOKUP("Prajitura Maritozzo D",'FOOD COST'!$A:$Y,8,0),"")</f>
        <v>9.621</v>
      </c>
      <c r="F248" s="29" t="n">
        <f aca="false">IFERROR(VLOOKUP("Prajitura Maritozzo D",'FOOD COST'!$A:$Y,10,0),"")</f>
        <v>16.2162162162162</v>
      </c>
      <c r="G248" s="29" t="n">
        <f aca="false">IFERROR(VLOOKUP("Prajitura Maritozzo D",'FOOD COST'!$A:$Y,18,0),"")</f>
        <v>16.2162162162162</v>
      </c>
      <c r="H248" s="29" t="n">
        <f aca="false">IFERROR(VLOOKUP("Prajitura Maritozzo D",'FOOD COST'!$A:$Y,21,0),"")</f>
        <v>16.2162162162162</v>
      </c>
      <c r="I248" s="29" t="n">
        <f aca="false">IFERROR(VLOOKUP("Prajitura Maritozzo D",'FOOD COST'!$A:$Y,24,0),"")</f>
        <v>16.2162162162162</v>
      </c>
      <c r="J248" s="32" t="n">
        <f aca="false">IF(OR(C248="",NOT(ISNUMBER(D248))),"",C248*D248)</f>
        <v>538.776</v>
      </c>
      <c r="K248" s="52" t="n">
        <f aca="false">IF(OR(C248="",NOT(ISNUMBER(E248))),"",C248*E248)</f>
        <v>538.776</v>
      </c>
      <c r="L248" s="32" t="n">
        <f aca="false">IF(OR(C248="",NOT(ISNUMBER(F248))),"",C248*F248)</f>
        <v>908.108108108108</v>
      </c>
      <c r="M248" s="32" t="n">
        <f aca="false">IF(OR(C248="",NOT(ISNUMBER(G248))),"",C248*G248)</f>
        <v>908.108108108108</v>
      </c>
      <c r="N248" s="32" t="n">
        <f aca="false">IF(OR(C248="",NOT(ISNUMBER(H248))),"",C248*H248)</f>
        <v>908.108108108108</v>
      </c>
      <c r="O248" s="32" t="n">
        <f aca="false">IF(OR(C248="",NOT(ISNUMBER(I248))),"",C248*I248)</f>
        <v>908.108108108108</v>
      </c>
    </row>
    <row r="249" customFormat="false" ht="15" hidden="false" customHeight="true" outlineLevel="0" collapsed="false">
      <c r="A249" s="5" t="s">
        <v>860</v>
      </c>
      <c r="B249" s="5" t="s">
        <v>642</v>
      </c>
      <c r="C249" s="51" t="n">
        <v>132</v>
      </c>
      <c r="D249" s="29" t="n">
        <f aca="false">IFERROR(VLOOKUP("Millefoglie",'FOOD COST'!$A:$Y,7,0),"")</f>
        <v>8.498</v>
      </c>
      <c r="E249" s="30" t="n">
        <f aca="false">IFERROR(VLOOKUP("Millefoglie",'FOOD COST'!$A:$Y,8,0),"")</f>
        <v>8.498</v>
      </c>
      <c r="F249" s="29" t="n">
        <f aca="false">IFERROR(VLOOKUP("Millefoglie",'FOOD COST'!$A:$Y,10,0),"")</f>
        <v>15.3153153153153</v>
      </c>
      <c r="G249" s="29" t="n">
        <f aca="false">IFERROR(VLOOKUP("Millefoglie",'FOOD COST'!$A:$Y,18,0),"")</f>
        <v>15.3153153153153</v>
      </c>
      <c r="H249" s="29" t="n">
        <f aca="false">IFERROR(VLOOKUP("Millefoglie",'FOOD COST'!$A:$Y,21,0),"")</f>
        <v>15.3153153153153</v>
      </c>
      <c r="I249" s="29" t="n">
        <f aca="false">IFERROR(VLOOKUP("Millefoglie",'FOOD COST'!$A:$Y,24,0),"")</f>
        <v>15.3153153153153</v>
      </c>
      <c r="J249" s="32" t="n">
        <f aca="false">IF(OR(C249="",NOT(ISNUMBER(D249))),"",C249*D249)</f>
        <v>1121.736</v>
      </c>
      <c r="K249" s="52" t="n">
        <f aca="false">IF(OR(C249="",NOT(ISNUMBER(E249))),"",C249*E249)</f>
        <v>1121.736</v>
      </c>
      <c r="L249" s="32" t="n">
        <f aca="false">IF(OR(C249="",NOT(ISNUMBER(F249))),"",C249*F249)</f>
        <v>2021.62162162162</v>
      </c>
      <c r="M249" s="32" t="n">
        <f aca="false">IF(OR(C249="",NOT(ISNUMBER(G249))),"",C249*G249)</f>
        <v>2021.62162162162</v>
      </c>
      <c r="N249" s="32" t="n">
        <f aca="false">IF(OR(C249="",NOT(ISNUMBER(H249))),"",C249*H249)</f>
        <v>2021.62162162162</v>
      </c>
      <c r="O249" s="32" t="n">
        <f aca="false">IF(OR(C249="",NOT(ISNUMBER(I249))),"",C249*I249)</f>
        <v>2021.62162162162</v>
      </c>
    </row>
    <row r="250" customFormat="false" ht="15" hidden="false" customHeight="true" outlineLevel="0" collapsed="false">
      <c r="A250" s="5" t="s">
        <v>861</v>
      </c>
      <c r="B250" s="5" t="s">
        <v>645</v>
      </c>
      <c r="C250" s="51" t="n">
        <v>109</v>
      </c>
      <c r="D250" s="29" t="n">
        <f aca="false">IFERROR(VLOOKUP("Millefoglie D",'FOOD COST'!$A:$Y,7,0),"")</f>
        <v>8.498</v>
      </c>
      <c r="E250" s="30" t="n">
        <f aca="false">IFERROR(VLOOKUP("Millefoglie D",'FOOD COST'!$A:$Y,8,0),"")</f>
        <v>8.498</v>
      </c>
      <c r="F250" s="29" t="n">
        <f aca="false">IFERROR(VLOOKUP("Millefoglie D",'FOOD COST'!$A:$Y,10,0),"")</f>
        <v>16.2162162162162</v>
      </c>
      <c r="G250" s="29" t="n">
        <f aca="false">IFERROR(VLOOKUP("Millefoglie D",'FOOD COST'!$A:$Y,18,0),"")</f>
        <v>16.2162162162162</v>
      </c>
      <c r="H250" s="29" t="n">
        <f aca="false">IFERROR(VLOOKUP("Millefoglie D",'FOOD COST'!$A:$Y,21,0),"")</f>
        <v>16.2162162162162</v>
      </c>
      <c r="I250" s="29" t="n">
        <f aca="false">IFERROR(VLOOKUP("Millefoglie D",'FOOD COST'!$A:$Y,24,0),"")</f>
        <v>16.2162162162162</v>
      </c>
      <c r="J250" s="32" t="n">
        <f aca="false">IF(OR(C250="",NOT(ISNUMBER(D250))),"",C250*D250)</f>
        <v>926.282</v>
      </c>
      <c r="K250" s="52" t="n">
        <f aca="false">IF(OR(C250="",NOT(ISNUMBER(E250))),"",C250*E250)</f>
        <v>926.282</v>
      </c>
      <c r="L250" s="32" t="n">
        <f aca="false">IF(OR(C250="",NOT(ISNUMBER(F250))),"",C250*F250)</f>
        <v>1767.56756756757</v>
      </c>
      <c r="M250" s="32" t="n">
        <f aca="false">IF(OR(C250="",NOT(ISNUMBER(G250))),"",C250*G250)</f>
        <v>1767.56756756757</v>
      </c>
      <c r="N250" s="32" t="n">
        <f aca="false">IF(OR(C250="",NOT(ISNUMBER(H250))),"",C250*H250)</f>
        <v>1767.56756756757</v>
      </c>
      <c r="O250" s="32" t="n">
        <f aca="false">IF(OR(C250="",NOT(ISNUMBER(I250))),"",C250*I250)</f>
        <v>1767.56756756757</v>
      </c>
    </row>
    <row r="251" customFormat="false" ht="15" hidden="false" customHeight="true" outlineLevel="0" collapsed="false">
      <c r="A251" s="5" t="s">
        <v>862</v>
      </c>
      <c r="B251" s="5" t="s">
        <v>642</v>
      </c>
      <c r="C251" s="51" t="n">
        <v>863</v>
      </c>
      <c r="D251" s="29" t="n">
        <f aca="false">IFERROR(VLOOKUP("Espresso",'FOOD COST'!$A:$Y,7,0),"")</f>
        <v>3.29496</v>
      </c>
      <c r="E251" s="30" t="n">
        <f aca="false">IFERROR(VLOOKUP("Espresso",'FOOD COST'!$A:$Y,8,0),"")</f>
        <v>3.29496</v>
      </c>
      <c r="F251" s="29" t="n">
        <f aca="false">IFERROR(VLOOKUP("Espresso",'FOOD COST'!$A:$Y,10,0),"")</f>
        <v>6.61157024793388</v>
      </c>
      <c r="G251" s="29" t="n">
        <f aca="false">IFERROR(VLOOKUP("Espresso",'FOOD COST'!$A:$Y,18,0),"")</f>
        <v>6.61157024793388</v>
      </c>
      <c r="H251" s="29" t="n">
        <f aca="false">IFERROR(VLOOKUP("Espresso",'FOOD COST'!$A:$Y,21,0),"")</f>
        <v>6.61157024793388</v>
      </c>
      <c r="I251" s="29" t="n">
        <f aca="false">IFERROR(VLOOKUP("Espresso",'FOOD COST'!$A:$Y,24,0),"")</f>
        <v>6.61157024793388</v>
      </c>
      <c r="J251" s="32" t="n">
        <f aca="false">IF(OR(C251="",NOT(ISNUMBER(D251))),"",C251*D251)</f>
        <v>2843.55048</v>
      </c>
      <c r="K251" s="52" t="n">
        <f aca="false">IF(OR(C251="",NOT(ISNUMBER(E251))),"",C251*E251)</f>
        <v>2843.55048</v>
      </c>
      <c r="L251" s="32" t="n">
        <f aca="false">IF(OR(C251="",NOT(ISNUMBER(F251))),"",C251*F251)</f>
        <v>5705.78512396694</v>
      </c>
      <c r="M251" s="32" t="n">
        <f aca="false">IF(OR(C251="",NOT(ISNUMBER(G251))),"",C251*G251)</f>
        <v>5705.78512396694</v>
      </c>
      <c r="N251" s="32" t="n">
        <f aca="false">IF(OR(C251="",NOT(ISNUMBER(H251))),"",C251*H251)</f>
        <v>5705.78512396694</v>
      </c>
      <c r="O251" s="32" t="n">
        <f aca="false">IF(OR(C251="",NOT(ISNUMBER(I251))),"",C251*I251)</f>
        <v>5705.78512396694</v>
      </c>
    </row>
    <row r="252" customFormat="false" ht="15" hidden="false" customHeight="true" outlineLevel="0" collapsed="false">
      <c r="A252" s="5" t="s">
        <v>863</v>
      </c>
      <c r="B252" s="5" t="s">
        <v>645</v>
      </c>
      <c r="C252" s="51" t="n">
        <v>10</v>
      </c>
      <c r="D252" s="29" t="n">
        <f aca="false">IFERROR(VLOOKUP("Espresso D",'FOOD COST'!$A:$Y,7,0),"")</f>
        <v>3.29496</v>
      </c>
      <c r="E252" s="30" t="n">
        <f aca="false">IFERROR(VLOOKUP("Espresso D",'FOOD COST'!$A:$Y,8,0),"")</f>
        <v>3.29496</v>
      </c>
      <c r="F252" s="29" t="n">
        <f aca="false">IFERROR(VLOOKUP("Espresso D",'FOOD COST'!$A:$Y,10,0),"")</f>
        <v>7.43801652892562</v>
      </c>
      <c r="G252" s="29" t="n">
        <f aca="false">IFERROR(VLOOKUP("Espresso D",'FOOD COST'!$A:$Y,18,0),"")</f>
        <v>7.43801652892562</v>
      </c>
      <c r="H252" s="29" t="n">
        <f aca="false">IFERROR(VLOOKUP("Espresso D",'FOOD COST'!$A:$Y,21,0),"")</f>
        <v>7.43801652892562</v>
      </c>
      <c r="I252" s="29" t="n">
        <f aca="false">IFERROR(VLOOKUP("Espresso D",'FOOD COST'!$A:$Y,24,0),"")</f>
        <v>7.43801652892562</v>
      </c>
      <c r="J252" s="32" t="n">
        <f aca="false">IF(OR(C252="",NOT(ISNUMBER(D252))),"",C252*D252)</f>
        <v>32.9496</v>
      </c>
      <c r="K252" s="52" t="n">
        <f aca="false">IF(OR(C252="",NOT(ISNUMBER(E252))),"",C252*E252)</f>
        <v>32.9496</v>
      </c>
      <c r="L252" s="32" t="n">
        <f aca="false">IF(OR(C252="",NOT(ISNUMBER(F252))),"",C252*F252)</f>
        <v>74.3801652892562</v>
      </c>
      <c r="M252" s="32" t="n">
        <f aca="false">IF(OR(C252="",NOT(ISNUMBER(G252))),"",C252*G252)</f>
        <v>74.3801652892562</v>
      </c>
      <c r="N252" s="32" t="n">
        <f aca="false">IF(OR(C252="",NOT(ISNUMBER(H252))),"",C252*H252)</f>
        <v>74.3801652892562</v>
      </c>
      <c r="O252" s="32" t="n">
        <f aca="false">IF(OR(C252="",NOT(ISNUMBER(I252))),"",C252*I252)</f>
        <v>74.3801652892562</v>
      </c>
    </row>
    <row r="253" customFormat="false" ht="15" hidden="false" customHeight="true" outlineLevel="0" collapsed="false">
      <c r="A253" s="5" t="s">
        <v>864</v>
      </c>
      <c r="B253" s="5" t="s">
        <v>642</v>
      </c>
      <c r="C253" s="51" t="n">
        <v>443</v>
      </c>
      <c r="D253" s="29" t="n">
        <f aca="false">IFERROR(VLOOKUP("Espresso Grande",'FOOD COST'!$A:$Y,7,0),"")</f>
        <v>3.77162</v>
      </c>
      <c r="E253" s="30" t="n">
        <f aca="false">IFERROR(VLOOKUP("Espresso Grande",'FOOD COST'!$A:$Y,8,0),"")</f>
        <v>3.77162</v>
      </c>
      <c r="F253" s="29" t="n">
        <f aca="false">IFERROR(VLOOKUP("Espresso Grande",'FOOD COST'!$A:$Y,10,0),"")</f>
        <v>8.26446280991736</v>
      </c>
      <c r="G253" s="29" t="n">
        <f aca="false">IFERROR(VLOOKUP("Espresso Grande",'FOOD COST'!$A:$Y,18,0),"")</f>
        <v>8.26446280991736</v>
      </c>
      <c r="H253" s="29" t="n">
        <f aca="false">IFERROR(VLOOKUP("Espresso Grande",'FOOD COST'!$A:$Y,21,0),"")</f>
        <v>8.26446280991736</v>
      </c>
      <c r="I253" s="29" t="n">
        <f aca="false">IFERROR(VLOOKUP("Espresso Grande",'FOOD COST'!$A:$Y,24,0),"")</f>
        <v>8.26446280991736</v>
      </c>
      <c r="J253" s="32" t="n">
        <f aca="false">IF(OR(C253="",NOT(ISNUMBER(D253))),"",C253*D253)</f>
        <v>1670.82766</v>
      </c>
      <c r="K253" s="52" t="n">
        <f aca="false">IF(OR(C253="",NOT(ISNUMBER(E253))),"",C253*E253)</f>
        <v>1670.82766</v>
      </c>
      <c r="L253" s="32" t="n">
        <f aca="false">IF(OR(C253="",NOT(ISNUMBER(F253))),"",C253*F253)</f>
        <v>3661.15702479339</v>
      </c>
      <c r="M253" s="32" t="n">
        <f aca="false">IF(OR(C253="",NOT(ISNUMBER(G253))),"",C253*G253)</f>
        <v>3661.15702479339</v>
      </c>
      <c r="N253" s="32" t="n">
        <f aca="false">IF(OR(C253="",NOT(ISNUMBER(H253))),"",C253*H253)</f>
        <v>3661.15702479339</v>
      </c>
      <c r="O253" s="32" t="n">
        <f aca="false">IF(OR(C253="",NOT(ISNUMBER(I253))),"",C253*I253)</f>
        <v>3661.15702479339</v>
      </c>
    </row>
    <row r="254" customFormat="false" ht="15" hidden="false" customHeight="true" outlineLevel="0" collapsed="false">
      <c r="A254" s="5" t="s">
        <v>865</v>
      </c>
      <c r="B254" s="5" t="s">
        <v>645</v>
      </c>
      <c r="C254" s="51" t="n">
        <v>25</v>
      </c>
      <c r="D254" s="29" t="n">
        <f aca="false">IFERROR(VLOOKUP("Espresso Grande D",'FOOD COST'!$A:$Y,7,0),"")</f>
        <v>3.77162</v>
      </c>
      <c r="E254" s="30" t="n">
        <f aca="false">IFERROR(VLOOKUP("Espresso Grande D",'FOOD COST'!$A:$Y,8,0),"")</f>
        <v>3.77162</v>
      </c>
      <c r="F254" s="29" t="n">
        <f aca="false">IFERROR(VLOOKUP("Espresso Grande D",'FOOD COST'!$A:$Y,10,0),"")</f>
        <v>9.09090909090909</v>
      </c>
      <c r="G254" s="29" t="n">
        <f aca="false">IFERROR(VLOOKUP("Espresso Grande D",'FOOD COST'!$A:$Y,18,0),"")</f>
        <v>9.09090909090909</v>
      </c>
      <c r="H254" s="29" t="n">
        <f aca="false">IFERROR(VLOOKUP("Espresso Grande D",'FOOD COST'!$A:$Y,21,0),"")</f>
        <v>9.09090909090909</v>
      </c>
      <c r="I254" s="29" t="n">
        <f aca="false">IFERROR(VLOOKUP("Espresso Grande D",'FOOD COST'!$A:$Y,24,0),"")</f>
        <v>9.09090909090909</v>
      </c>
      <c r="J254" s="32" t="n">
        <f aca="false">IF(OR(C254="",NOT(ISNUMBER(D254))),"",C254*D254)</f>
        <v>94.2905</v>
      </c>
      <c r="K254" s="52" t="n">
        <f aca="false">IF(OR(C254="",NOT(ISNUMBER(E254))),"",C254*E254)</f>
        <v>94.2905</v>
      </c>
      <c r="L254" s="32" t="n">
        <f aca="false">IF(OR(C254="",NOT(ISNUMBER(F254))),"",C254*F254)</f>
        <v>227.272727272727</v>
      </c>
      <c r="M254" s="32" t="n">
        <f aca="false">IF(OR(C254="",NOT(ISNUMBER(G254))),"",C254*G254)</f>
        <v>227.272727272727</v>
      </c>
      <c r="N254" s="32" t="n">
        <f aca="false">IF(OR(C254="",NOT(ISNUMBER(H254))),"",C254*H254)</f>
        <v>227.272727272727</v>
      </c>
      <c r="O254" s="32" t="n">
        <f aca="false">IF(OR(C254="",NOT(ISNUMBER(I254))),"",C254*I254)</f>
        <v>227.272727272727</v>
      </c>
    </row>
    <row r="255" customFormat="false" ht="15" hidden="false" customHeight="true" outlineLevel="0" collapsed="false">
      <c r="A255" s="5" t="s">
        <v>866</v>
      </c>
      <c r="B255" s="5" t="s">
        <v>642</v>
      </c>
      <c r="C255" s="51" t="n">
        <v>288</v>
      </c>
      <c r="D255" s="29" t="n">
        <f aca="false">IFERROR(VLOOKUP("Latte Machiato",'FOOD COST'!$A:$Y,7,0),"")</f>
        <v>5.38196</v>
      </c>
      <c r="E255" s="30" t="n">
        <f aca="false">IFERROR(VLOOKUP("Latte Machiato",'FOOD COST'!$A:$Y,8,0),"")</f>
        <v>5.38196</v>
      </c>
      <c r="F255" s="29" t="n">
        <f aca="false">IFERROR(VLOOKUP("Latte Machiato",'FOOD COST'!$A:$Y,10,0),"")</f>
        <v>10.7438016528926</v>
      </c>
      <c r="G255" s="29" t="n">
        <f aca="false">IFERROR(VLOOKUP("Latte Machiato",'FOOD COST'!$A:$Y,18,0),"")</f>
        <v>10.7438016528926</v>
      </c>
      <c r="H255" s="29" t="n">
        <f aca="false">IFERROR(VLOOKUP("Latte Machiato",'FOOD COST'!$A:$Y,21,0),"")</f>
        <v>10.7438016528926</v>
      </c>
      <c r="I255" s="29" t="n">
        <f aca="false">IFERROR(VLOOKUP("Latte Machiato",'FOOD COST'!$A:$Y,24,0),"")</f>
        <v>10.7438016528926</v>
      </c>
      <c r="J255" s="32" t="n">
        <f aca="false">IF(OR(C255="",NOT(ISNUMBER(D255))),"",C255*D255)</f>
        <v>1550.00448</v>
      </c>
      <c r="K255" s="52" t="n">
        <f aca="false">IF(OR(C255="",NOT(ISNUMBER(E255))),"",C255*E255)</f>
        <v>1550.00448</v>
      </c>
      <c r="L255" s="32" t="n">
        <f aca="false">IF(OR(C255="",NOT(ISNUMBER(F255))),"",C255*F255)</f>
        <v>3094.21487603306</v>
      </c>
      <c r="M255" s="32" t="n">
        <f aca="false">IF(OR(C255="",NOT(ISNUMBER(G255))),"",C255*G255)</f>
        <v>3094.21487603306</v>
      </c>
      <c r="N255" s="32" t="n">
        <f aca="false">IF(OR(C255="",NOT(ISNUMBER(H255))),"",C255*H255)</f>
        <v>3094.21487603306</v>
      </c>
      <c r="O255" s="32" t="n">
        <f aca="false">IF(OR(C255="",NOT(ISNUMBER(I255))),"",C255*I255)</f>
        <v>3094.21487603306</v>
      </c>
    </row>
    <row r="256" customFormat="false" ht="15" hidden="false" customHeight="true" outlineLevel="0" collapsed="false">
      <c r="A256" s="5" t="s">
        <v>867</v>
      </c>
      <c r="B256" s="5" t="s">
        <v>645</v>
      </c>
      <c r="C256" s="51" t="n">
        <v>19</v>
      </c>
      <c r="D256" s="29" t="n">
        <f aca="false">IFERROR(VLOOKUP("Latte Machiato D",'FOOD COST'!$A:$Y,7,0),"")</f>
        <v>5.38196</v>
      </c>
      <c r="E256" s="30" t="n">
        <f aca="false">IFERROR(VLOOKUP("Latte Machiato D",'FOOD COST'!$A:$Y,8,0),"")</f>
        <v>5.38196</v>
      </c>
      <c r="F256" s="29" t="n">
        <f aca="false">IFERROR(VLOOKUP("Latte Machiato D",'FOOD COST'!$A:$Y,10,0),"")</f>
        <v>11.5702479338843</v>
      </c>
      <c r="G256" s="29" t="n">
        <f aca="false">IFERROR(VLOOKUP("Latte Machiato D",'FOOD COST'!$A:$Y,18,0),"")</f>
        <v>11.5702479338843</v>
      </c>
      <c r="H256" s="29" t="n">
        <f aca="false">IFERROR(VLOOKUP("Latte Machiato D",'FOOD COST'!$A:$Y,21,0),"")</f>
        <v>11.5702479338843</v>
      </c>
      <c r="I256" s="29" t="n">
        <f aca="false">IFERROR(VLOOKUP("Latte Machiato D",'FOOD COST'!$A:$Y,24,0),"")</f>
        <v>11.5702479338843</v>
      </c>
      <c r="J256" s="32" t="n">
        <f aca="false">IF(OR(C256="",NOT(ISNUMBER(D256))),"",C256*D256)</f>
        <v>102.25724</v>
      </c>
      <c r="K256" s="52" t="n">
        <f aca="false">IF(OR(C256="",NOT(ISNUMBER(E256))),"",C256*E256)</f>
        <v>102.25724</v>
      </c>
      <c r="L256" s="32" t="n">
        <f aca="false">IF(OR(C256="",NOT(ISNUMBER(F256))),"",C256*F256)</f>
        <v>219.834710743802</v>
      </c>
      <c r="M256" s="32" t="n">
        <f aca="false">IF(OR(C256="",NOT(ISNUMBER(G256))),"",C256*G256)</f>
        <v>219.834710743802</v>
      </c>
      <c r="N256" s="32" t="n">
        <f aca="false">IF(OR(C256="",NOT(ISNUMBER(H256))),"",C256*H256)</f>
        <v>219.834710743802</v>
      </c>
      <c r="O256" s="32" t="n">
        <f aca="false">IF(OR(C256="",NOT(ISNUMBER(I256))),"",C256*I256)</f>
        <v>219.834710743802</v>
      </c>
    </row>
    <row r="257" customFormat="false" ht="15" hidden="false" customHeight="true" outlineLevel="0" collapsed="false">
      <c r="A257" s="5" t="s">
        <v>868</v>
      </c>
      <c r="B257" s="5" t="s">
        <v>642</v>
      </c>
      <c r="C257" s="51" t="n">
        <v>394</v>
      </c>
      <c r="D257" s="29" t="n">
        <f aca="false">IFERROR(VLOOKUP("Americano",'FOOD COST'!$A:$Y,7,0),"")</f>
        <v>4.48195</v>
      </c>
      <c r="E257" s="30" t="n">
        <f aca="false">IFERROR(VLOOKUP("Americano",'FOOD COST'!$A:$Y,8,0),"")</f>
        <v>4.48195</v>
      </c>
      <c r="F257" s="29" t="n">
        <f aca="false">IFERROR(VLOOKUP("Americano",'FOOD COST'!$A:$Y,10,0),"")</f>
        <v>8.26446280991736</v>
      </c>
      <c r="G257" s="29" t="n">
        <f aca="false">IFERROR(VLOOKUP("Americano",'FOOD COST'!$A:$Y,18,0),"")</f>
        <v>8.26446280991736</v>
      </c>
      <c r="H257" s="29" t="n">
        <f aca="false">IFERROR(VLOOKUP("Americano",'FOOD COST'!$A:$Y,21,0),"")</f>
        <v>8.26446280991736</v>
      </c>
      <c r="I257" s="29" t="n">
        <f aca="false">IFERROR(VLOOKUP("Americano",'FOOD COST'!$A:$Y,24,0),"")</f>
        <v>8.26446280991736</v>
      </c>
      <c r="J257" s="32" t="n">
        <f aca="false">IF(OR(C257="",NOT(ISNUMBER(D257))),"",C257*D257)</f>
        <v>1765.8883</v>
      </c>
      <c r="K257" s="52" t="n">
        <f aca="false">IF(OR(C257="",NOT(ISNUMBER(E257))),"",C257*E257)</f>
        <v>1765.8883</v>
      </c>
      <c r="L257" s="32" t="n">
        <f aca="false">IF(OR(C257="",NOT(ISNUMBER(F257))),"",C257*F257)</f>
        <v>3256.19834710744</v>
      </c>
      <c r="M257" s="32" t="n">
        <f aca="false">IF(OR(C257="",NOT(ISNUMBER(G257))),"",C257*G257)</f>
        <v>3256.19834710744</v>
      </c>
      <c r="N257" s="32" t="n">
        <f aca="false">IF(OR(C257="",NOT(ISNUMBER(H257))),"",C257*H257)</f>
        <v>3256.19834710744</v>
      </c>
      <c r="O257" s="32" t="n">
        <f aca="false">IF(OR(C257="",NOT(ISNUMBER(I257))),"",C257*I257)</f>
        <v>3256.19834710744</v>
      </c>
    </row>
    <row r="258" customFormat="false" ht="15" hidden="false" customHeight="true" outlineLevel="0" collapsed="false">
      <c r="A258" s="5" t="s">
        <v>869</v>
      </c>
      <c r="B258" s="5" t="s">
        <v>645</v>
      </c>
      <c r="C258" s="51" t="n">
        <v>15</v>
      </c>
      <c r="D258" s="29" t="n">
        <f aca="false">IFERROR(VLOOKUP("Americano D",'FOOD COST'!$A:$Y,7,0),"")</f>
        <v>4.48195</v>
      </c>
      <c r="E258" s="30" t="n">
        <f aca="false">IFERROR(VLOOKUP("Americano D",'FOOD COST'!$A:$Y,8,0),"")</f>
        <v>4.48195</v>
      </c>
      <c r="F258" s="29" t="n">
        <f aca="false">IFERROR(VLOOKUP("Americano D",'FOOD COST'!$A:$Y,10,0),"")</f>
        <v>9.09090909090909</v>
      </c>
      <c r="G258" s="29" t="n">
        <f aca="false">IFERROR(VLOOKUP("Americano D",'FOOD COST'!$A:$Y,18,0),"")</f>
        <v>9.09090909090909</v>
      </c>
      <c r="H258" s="29" t="n">
        <f aca="false">IFERROR(VLOOKUP("Americano D",'FOOD COST'!$A:$Y,21,0),"")</f>
        <v>9.09090909090909</v>
      </c>
      <c r="I258" s="29" t="n">
        <f aca="false">IFERROR(VLOOKUP("Americano D",'FOOD COST'!$A:$Y,24,0),"")</f>
        <v>9.09090909090909</v>
      </c>
      <c r="J258" s="32" t="n">
        <f aca="false">IF(OR(C258="",NOT(ISNUMBER(D258))),"",C258*D258)</f>
        <v>67.22925</v>
      </c>
      <c r="K258" s="52" t="n">
        <f aca="false">IF(OR(C258="",NOT(ISNUMBER(E258))),"",C258*E258)</f>
        <v>67.22925</v>
      </c>
      <c r="L258" s="32" t="n">
        <f aca="false">IF(OR(C258="",NOT(ISNUMBER(F258))),"",C258*F258)</f>
        <v>136.363636363636</v>
      </c>
      <c r="M258" s="32" t="n">
        <f aca="false">IF(OR(C258="",NOT(ISNUMBER(G258))),"",C258*G258)</f>
        <v>136.363636363636</v>
      </c>
      <c r="N258" s="32" t="n">
        <f aca="false">IF(OR(C258="",NOT(ISNUMBER(H258))),"",C258*H258)</f>
        <v>136.363636363636</v>
      </c>
      <c r="O258" s="32" t="n">
        <f aca="false">IF(OR(C258="",NOT(ISNUMBER(I258))),"",C258*I258)</f>
        <v>136.363636363636</v>
      </c>
    </row>
    <row r="259" customFormat="false" ht="15" hidden="false" customHeight="true" outlineLevel="0" collapsed="false">
      <c r="A259" s="5" t="s">
        <v>870</v>
      </c>
      <c r="B259" s="5" t="s">
        <v>642</v>
      </c>
      <c r="C259" s="51" t="n">
        <v>139</v>
      </c>
      <c r="D259" s="29" t="n">
        <f aca="false">IFERROR(VLOOKUP("Americano Grande",'FOOD COST'!$A:$Y,7,0),"")</f>
        <v>4.52228</v>
      </c>
      <c r="E259" s="30" t="n">
        <f aca="false">IFERROR(VLOOKUP("Americano Grande",'FOOD COST'!$A:$Y,8,0),"")</f>
        <v>4.52228</v>
      </c>
      <c r="F259" s="29" t="n">
        <f aca="false">IFERROR(VLOOKUP("Americano Grande",'FOOD COST'!$A:$Y,10,0),"")</f>
        <v>10.7438016528926</v>
      </c>
      <c r="G259" s="29" t="n">
        <f aca="false">IFERROR(VLOOKUP("Americano Grande",'FOOD COST'!$A:$Y,18,0),"")</f>
        <v>10.7438016528926</v>
      </c>
      <c r="H259" s="29" t="n">
        <f aca="false">IFERROR(VLOOKUP("Americano Grande",'FOOD COST'!$A:$Y,21,0),"")</f>
        <v>10.7438016528926</v>
      </c>
      <c r="I259" s="29" t="n">
        <f aca="false">IFERROR(VLOOKUP("Americano Grande",'FOOD COST'!$A:$Y,24,0),"")</f>
        <v>10.7438016528926</v>
      </c>
      <c r="J259" s="32" t="n">
        <f aca="false">IF(OR(C259="",NOT(ISNUMBER(D259))),"",C259*D259)</f>
        <v>628.59692</v>
      </c>
      <c r="K259" s="52" t="n">
        <f aca="false">IF(OR(C259="",NOT(ISNUMBER(E259))),"",C259*E259)</f>
        <v>628.59692</v>
      </c>
      <c r="L259" s="32" t="n">
        <f aca="false">IF(OR(C259="",NOT(ISNUMBER(F259))),"",C259*F259)</f>
        <v>1493.38842975207</v>
      </c>
      <c r="M259" s="32" t="n">
        <f aca="false">IF(OR(C259="",NOT(ISNUMBER(G259))),"",C259*G259)</f>
        <v>1493.38842975207</v>
      </c>
      <c r="N259" s="32" t="n">
        <f aca="false">IF(OR(C259="",NOT(ISNUMBER(H259))),"",C259*H259)</f>
        <v>1493.38842975207</v>
      </c>
      <c r="O259" s="32" t="n">
        <f aca="false">IF(OR(C259="",NOT(ISNUMBER(I259))),"",C259*I259)</f>
        <v>1493.38842975207</v>
      </c>
    </row>
    <row r="260" customFormat="false" ht="15" hidden="false" customHeight="true" outlineLevel="0" collapsed="false">
      <c r="A260" s="5" t="s">
        <v>871</v>
      </c>
      <c r="B260" s="5" t="s">
        <v>645</v>
      </c>
      <c r="C260" s="51" t="n">
        <v>31</v>
      </c>
      <c r="D260" s="29" t="n">
        <f aca="false">IFERROR(VLOOKUP("Americano Grande D",'FOOD COST'!$A:$Y,7,0),"")</f>
        <v>4.52228</v>
      </c>
      <c r="E260" s="30" t="n">
        <f aca="false">IFERROR(VLOOKUP("Americano Grande D",'FOOD COST'!$A:$Y,8,0),"")</f>
        <v>4.52228</v>
      </c>
      <c r="F260" s="29" t="n">
        <f aca="false">IFERROR(VLOOKUP("Americano Grande D",'FOOD COST'!$A:$Y,10,0),"")</f>
        <v>11.5702479338843</v>
      </c>
      <c r="G260" s="29" t="n">
        <f aca="false">IFERROR(VLOOKUP("Americano Grande D",'FOOD COST'!$A:$Y,18,0),"")</f>
        <v>11.5702479338843</v>
      </c>
      <c r="H260" s="29" t="n">
        <f aca="false">IFERROR(VLOOKUP("Americano Grande D",'FOOD COST'!$A:$Y,21,0),"")</f>
        <v>11.5702479338843</v>
      </c>
      <c r="I260" s="29" t="n">
        <f aca="false">IFERROR(VLOOKUP("Americano Grande D",'FOOD COST'!$A:$Y,24,0),"")</f>
        <v>11.5702479338843</v>
      </c>
      <c r="J260" s="32" t="n">
        <f aca="false">IF(OR(C260="",NOT(ISNUMBER(D260))),"",C260*D260)</f>
        <v>140.19068</v>
      </c>
      <c r="K260" s="52" t="n">
        <f aca="false">IF(OR(C260="",NOT(ISNUMBER(E260))),"",C260*E260)</f>
        <v>140.19068</v>
      </c>
      <c r="L260" s="32" t="n">
        <f aca="false">IF(OR(C260="",NOT(ISNUMBER(F260))),"",C260*F260)</f>
        <v>358.677685950413</v>
      </c>
      <c r="M260" s="32" t="n">
        <f aca="false">IF(OR(C260="",NOT(ISNUMBER(G260))),"",C260*G260)</f>
        <v>358.677685950413</v>
      </c>
      <c r="N260" s="32" t="n">
        <f aca="false">IF(OR(C260="",NOT(ISNUMBER(H260))),"",C260*H260)</f>
        <v>358.677685950413</v>
      </c>
      <c r="O260" s="32" t="n">
        <f aca="false">IF(OR(C260="",NOT(ISNUMBER(I260))),"",C260*I260)</f>
        <v>358.677685950413</v>
      </c>
    </row>
    <row r="261" customFormat="false" ht="15" hidden="false" customHeight="true" outlineLevel="0" collapsed="false">
      <c r="A261" s="5" t="s">
        <v>872</v>
      </c>
      <c r="B261" s="5" t="s">
        <v>642</v>
      </c>
      <c r="C261" s="51" t="n">
        <v>571</v>
      </c>
      <c r="D261" s="29" t="n">
        <f aca="false">IFERROR(VLOOKUP("Cappucino",'FOOD COST'!$A:$Y,7,0),"")</f>
        <v>5.23696</v>
      </c>
      <c r="E261" s="30" t="n">
        <f aca="false">IFERROR(VLOOKUP("Cappucino",'FOOD COST'!$A:$Y,8,0),"")</f>
        <v>5.23696</v>
      </c>
      <c r="F261" s="29" t="n">
        <f aca="false">IFERROR(VLOOKUP("Cappucino",'FOOD COST'!$A:$Y,10,0),"")</f>
        <v>9.91735537190083</v>
      </c>
      <c r="G261" s="29" t="n">
        <f aca="false">IFERROR(VLOOKUP("Cappucino",'FOOD COST'!$A:$Y,18,0),"")</f>
        <v>9.91735537190083</v>
      </c>
      <c r="H261" s="29" t="n">
        <f aca="false">IFERROR(VLOOKUP("Cappucino",'FOOD COST'!$A:$Y,21,0),"")</f>
        <v>9.91735537190083</v>
      </c>
      <c r="I261" s="29" t="n">
        <f aca="false">IFERROR(VLOOKUP("Cappucino",'FOOD COST'!$A:$Y,24,0),"")</f>
        <v>9.91735537190083</v>
      </c>
      <c r="J261" s="32" t="n">
        <f aca="false">IF(OR(C261="",NOT(ISNUMBER(D261))),"",C261*D261)</f>
        <v>2990.30416</v>
      </c>
      <c r="K261" s="52" t="n">
        <f aca="false">IF(OR(C261="",NOT(ISNUMBER(E261))),"",C261*E261)</f>
        <v>2990.30416</v>
      </c>
      <c r="L261" s="32" t="n">
        <f aca="false">IF(OR(C261="",NOT(ISNUMBER(F261))),"",C261*F261)</f>
        <v>5662.80991735537</v>
      </c>
      <c r="M261" s="32" t="n">
        <f aca="false">IF(OR(C261="",NOT(ISNUMBER(G261))),"",C261*G261)</f>
        <v>5662.80991735537</v>
      </c>
      <c r="N261" s="32" t="n">
        <f aca="false">IF(OR(C261="",NOT(ISNUMBER(H261))),"",C261*H261)</f>
        <v>5662.80991735537</v>
      </c>
      <c r="O261" s="32" t="n">
        <f aca="false">IF(OR(C261="",NOT(ISNUMBER(I261))),"",C261*I261)</f>
        <v>5662.80991735537</v>
      </c>
    </row>
    <row r="262" customFormat="false" ht="15" hidden="false" customHeight="true" outlineLevel="0" collapsed="false">
      <c r="A262" s="5" t="s">
        <v>873</v>
      </c>
      <c r="B262" s="5" t="s">
        <v>645</v>
      </c>
      <c r="C262" s="51" t="n">
        <v>27</v>
      </c>
      <c r="D262" s="29" t="n">
        <f aca="false">IFERROR(VLOOKUP("Cappucino D",'FOOD COST'!$A:$Y,7,0),"")</f>
        <v>5.23696</v>
      </c>
      <c r="E262" s="30" t="n">
        <f aca="false">IFERROR(VLOOKUP("Cappucino D",'FOOD COST'!$A:$Y,8,0),"")</f>
        <v>5.23696</v>
      </c>
      <c r="F262" s="29" t="n">
        <f aca="false">IFERROR(VLOOKUP("Cappucino D",'FOOD COST'!$A:$Y,10,0),"")</f>
        <v>10.7438016528926</v>
      </c>
      <c r="G262" s="29" t="n">
        <f aca="false">IFERROR(VLOOKUP("Cappucino D",'FOOD COST'!$A:$Y,18,0),"")</f>
        <v>10.7438016528926</v>
      </c>
      <c r="H262" s="29" t="n">
        <f aca="false">IFERROR(VLOOKUP("Cappucino D",'FOOD COST'!$A:$Y,21,0),"")</f>
        <v>10.7438016528926</v>
      </c>
      <c r="I262" s="29" t="n">
        <f aca="false">IFERROR(VLOOKUP("Cappucino D",'FOOD COST'!$A:$Y,24,0),"")</f>
        <v>10.7438016528926</v>
      </c>
      <c r="J262" s="32" t="n">
        <f aca="false">IF(OR(C262="",NOT(ISNUMBER(D262))),"",C262*D262)</f>
        <v>141.39792</v>
      </c>
      <c r="K262" s="52" t="n">
        <f aca="false">IF(OR(C262="",NOT(ISNUMBER(E262))),"",C262*E262)</f>
        <v>141.39792</v>
      </c>
      <c r="L262" s="32" t="n">
        <f aca="false">IF(OR(C262="",NOT(ISNUMBER(F262))),"",C262*F262)</f>
        <v>290.082644628099</v>
      </c>
      <c r="M262" s="32" t="n">
        <f aca="false">IF(OR(C262="",NOT(ISNUMBER(G262))),"",C262*G262)</f>
        <v>290.082644628099</v>
      </c>
      <c r="N262" s="32" t="n">
        <f aca="false">IF(OR(C262="",NOT(ISNUMBER(H262))),"",C262*H262)</f>
        <v>290.082644628099</v>
      </c>
      <c r="O262" s="32" t="n">
        <f aca="false">IF(OR(C262="",NOT(ISNUMBER(I262))),"",C262*I262)</f>
        <v>290.082644628099</v>
      </c>
    </row>
    <row r="263" customFormat="false" ht="15" hidden="false" customHeight="true" outlineLevel="0" collapsed="false">
      <c r="A263" s="5" t="s">
        <v>874</v>
      </c>
      <c r="B263" s="5" t="s">
        <v>642</v>
      </c>
      <c r="C263" s="51" t="n">
        <v>138</v>
      </c>
      <c r="D263" s="29" t="n">
        <f aca="false">IFERROR(VLOOKUP("Cappucino Grande",'FOOD COST'!$A:$Y,7,0),"")</f>
        <v>5.66262</v>
      </c>
      <c r="E263" s="30" t="n">
        <f aca="false">IFERROR(VLOOKUP("Cappucino Grande",'FOOD COST'!$A:$Y,8,0),"")</f>
        <v>5.66262</v>
      </c>
      <c r="F263" s="29" t="n">
        <f aca="false">IFERROR(VLOOKUP("Cappucino Grande",'FOOD COST'!$A:$Y,10,0),"")</f>
        <v>11.5702479338843</v>
      </c>
      <c r="G263" s="29" t="n">
        <f aca="false">IFERROR(VLOOKUP("Cappucino Grande",'FOOD COST'!$A:$Y,18,0),"")</f>
        <v>11.5702479338843</v>
      </c>
      <c r="H263" s="29" t="n">
        <f aca="false">IFERROR(VLOOKUP("Cappucino Grande",'FOOD COST'!$A:$Y,21,0),"")</f>
        <v>11.5702479338843</v>
      </c>
      <c r="I263" s="29" t="n">
        <f aca="false">IFERROR(VLOOKUP("Cappucino Grande",'FOOD COST'!$A:$Y,24,0),"")</f>
        <v>11.5702479338843</v>
      </c>
      <c r="J263" s="32" t="n">
        <f aca="false">IF(OR(C263="",NOT(ISNUMBER(D263))),"",C263*D263)</f>
        <v>781.44156</v>
      </c>
      <c r="K263" s="52" t="n">
        <f aca="false">IF(OR(C263="",NOT(ISNUMBER(E263))),"",C263*E263)</f>
        <v>781.44156</v>
      </c>
      <c r="L263" s="32" t="n">
        <f aca="false">IF(OR(C263="",NOT(ISNUMBER(F263))),"",C263*F263)</f>
        <v>1596.69421487603</v>
      </c>
      <c r="M263" s="32" t="n">
        <f aca="false">IF(OR(C263="",NOT(ISNUMBER(G263))),"",C263*G263)</f>
        <v>1596.69421487603</v>
      </c>
      <c r="N263" s="32" t="n">
        <f aca="false">IF(OR(C263="",NOT(ISNUMBER(H263))),"",C263*H263)</f>
        <v>1596.69421487603</v>
      </c>
      <c r="O263" s="32" t="n">
        <f aca="false">IF(OR(C263="",NOT(ISNUMBER(I263))),"",C263*I263)</f>
        <v>1596.69421487603</v>
      </c>
    </row>
    <row r="264" customFormat="false" ht="15" hidden="false" customHeight="true" outlineLevel="0" collapsed="false">
      <c r="A264" s="5" t="s">
        <v>875</v>
      </c>
      <c r="B264" s="5" t="s">
        <v>645</v>
      </c>
      <c r="C264" s="51" t="n">
        <v>26</v>
      </c>
      <c r="D264" s="29" t="n">
        <f aca="false">IFERROR(VLOOKUP("Cappucino Grande D",'FOOD COST'!$A:$Y,7,0),"")</f>
        <v>5.66262</v>
      </c>
      <c r="E264" s="30" t="n">
        <f aca="false">IFERROR(VLOOKUP("Cappucino Grande D",'FOOD COST'!$A:$Y,8,0),"")</f>
        <v>5.66262</v>
      </c>
      <c r="F264" s="29" t="n">
        <f aca="false">IFERROR(VLOOKUP("Cappucino Grande D",'FOOD COST'!$A:$Y,10,0),"")</f>
        <v>12.396694214876</v>
      </c>
      <c r="G264" s="29" t="n">
        <f aca="false">IFERROR(VLOOKUP("Cappucino Grande D",'FOOD COST'!$A:$Y,18,0),"")</f>
        <v>12.396694214876</v>
      </c>
      <c r="H264" s="29" t="n">
        <f aca="false">IFERROR(VLOOKUP("Cappucino Grande D",'FOOD COST'!$A:$Y,21,0),"")</f>
        <v>12.396694214876</v>
      </c>
      <c r="I264" s="29" t="n">
        <f aca="false">IFERROR(VLOOKUP("Cappucino Grande D",'FOOD COST'!$A:$Y,24,0),"")</f>
        <v>12.396694214876</v>
      </c>
      <c r="J264" s="32" t="n">
        <f aca="false">IF(OR(C264="",NOT(ISNUMBER(D264))),"",C264*D264)</f>
        <v>147.22812</v>
      </c>
      <c r="K264" s="52" t="n">
        <f aca="false">IF(OR(C264="",NOT(ISNUMBER(E264))),"",C264*E264)</f>
        <v>147.22812</v>
      </c>
      <c r="L264" s="32" t="n">
        <f aca="false">IF(OR(C264="",NOT(ISNUMBER(F264))),"",C264*F264)</f>
        <v>322.314049586777</v>
      </c>
      <c r="M264" s="32" t="n">
        <f aca="false">IF(OR(C264="",NOT(ISNUMBER(G264))),"",C264*G264)</f>
        <v>322.314049586777</v>
      </c>
      <c r="N264" s="32" t="n">
        <f aca="false">IF(OR(C264="",NOT(ISNUMBER(H264))),"",C264*H264)</f>
        <v>322.314049586777</v>
      </c>
      <c r="O264" s="32" t="n">
        <f aca="false">IF(OR(C264="",NOT(ISNUMBER(I264))),"",C264*I264)</f>
        <v>322.314049586777</v>
      </c>
    </row>
    <row r="265" customFormat="false" ht="15" hidden="false" customHeight="true" outlineLevel="0" collapsed="false">
      <c r="A265" s="5" t="s">
        <v>876</v>
      </c>
      <c r="B265" s="5" t="s">
        <v>642</v>
      </c>
      <c r="C265" s="51" t="n">
        <v>656</v>
      </c>
      <c r="D265" s="29" t="n">
        <f aca="false">IFERROR(VLOOKUP("Caffe Latte",'FOOD COST'!$A:$Y,7,0),"")</f>
        <v>6.44195</v>
      </c>
      <c r="E265" s="30" t="n">
        <f aca="false">IFERROR(VLOOKUP("Caffe Latte",'FOOD COST'!$A:$Y,8,0),"")</f>
        <v>6.44195</v>
      </c>
      <c r="F265" s="29" t="n">
        <f aca="false">IFERROR(VLOOKUP("Caffe Latte",'FOOD COST'!$A:$Y,10,0),"")</f>
        <v>9.91735537190083</v>
      </c>
      <c r="G265" s="29" t="n">
        <f aca="false">IFERROR(VLOOKUP("Caffe Latte",'FOOD COST'!$A:$Y,18,0),"")</f>
        <v>9.91735537190083</v>
      </c>
      <c r="H265" s="29" t="n">
        <f aca="false">IFERROR(VLOOKUP("Caffe Latte",'FOOD COST'!$A:$Y,21,0),"")</f>
        <v>9.91735537190083</v>
      </c>
      <c r="I265" s="29" t="n">
        <f aca="false">IFERROR(VLOOKUP("Caffe Latte",'FOOD COST'!$A:$Y,24,0),"")</f>
        <v>9.91735537190083</v>
      </c>
      <c r="J265" s="32" t="n">
        <f aca="false">IF(OR(C265="",NOT(ISNUMBER(D265))),"",C265*D265)</f>
        <v>4225.9192</v>
      </c>
      <c r="K265" s="52" t="n">
        <f aca="false">IF(OR(C265="",NOT(ISNUMBER(E265))),"",C265*E265)</f>
        <v>4225.9192</v>
      </c>
      <c r="L265" s="32" t="n">
        <f aca="false">IF(OR(C265="",NOT(ISNUMBER(F265))),"",C265*F265)</f>
        <v>6505.78512396694</v>
      </c>
      <c r="M265" s="32" t="n">
        <f aca="false">IF(OR(C265="",NOT(ISNUMBER(G265))),"",C265*G265)</f>
        <v>6505.78512396694</v>
      </c>
      <c r="N265" s="32" t="n">
        <f aca="false">IF(OR(C265="",NOT(ISNUMBER(H265))),"",C265*H265)</f>
        <v>6505.78512396694</v>
      </c>
      <c r="O265" s="32" t="n">
        <f aca="false">IF(OR(C265="",NOT(ISNUMBER(I265))),"",C265*I265)</f>
        <v>6505.78512396694</v>
      </c>
    </row>
    <row r="266" customFormat="false" ht="15" hidden="false" customHeight="true" outlineLevel="0" collapsed="false">
      <c r="A266" s="5" t="s">
        <v>877</v>
      </c>
      <c r="B266" s="5" t="s">
        <v>645</v>
      </c>
      <c r="C266" s="51" t="n">
        <v>32</v>
      </c>
      <c r="D266" s="29" t="n">
        <f aca="false">IFERROR(VLOOKUP("Caffe Latte D",'FOOD COST'!$A:$Y,7,0),"")</f>
        <v>6.44195</v>
      </c>
      <c r="E266" s="30" t="n">
        <f aca="false">IFERROR(VLOOKUP("Caffe Latte D",'FOOD COST'!$A:$Y,8,0),"")</f>
        <v>6.44195</v>
      </c>
      <c r="F266" s="29" t="n">
        <f aca="false">IFERROR(VLOOKUP("Caffe Latte D",'FOOD COST'!$A:$Y,10,0),"")</f>
        <v>11.5702479338843</v>
      </c>
      <c r="G266" s="29" t="n">
        <f aca="false">IFERROR(VLOOKUP("Caffe Latte D",'FOOD COST'!$A:$Y,18,0),"")</f>
        <v>11.5702479338843</v>
      </c>
      <c r="H266" s="29" t="n">
        <f aca="false">IFERROR(VLOOKUP("Caffe Latte D",'FOOD COST'!$A:$Y,21,0),"")</f>
        <v>11.5702479338843</v>
      </c>
      <c r="I266" s="29" t="n">
        <f aca="false">IFERROR(VLOOKUP("Caffe Latte D",'FOOD COST'!$A:$Y,24,0),"")</f>
        <v>11.5702479338843</v>
      </c>
      <c r="J266" s="32" t="n">
        <f aca="false">IF(OR(C266="",NOT(ISNUMBER(D266))),"",C266*D266)</f>
        <v>206.1424</v>
      </c>
      <c r="K266" s="52" t="n">
        <f aca="false">IF(OR(C266="",NOT(ISNUMBER(E266))),"",C266*E266)</f>
        <v>206.1424</v>
      </c>
      <c r="L266" s="32" t="n">
        <f aca="false">IF(OR(C266="",NOT(ISNUMBER(F266))),"",C266*F266)</f>
        <v>370.247933884298</v>
      </c>
      <c r="M266" s="32" t="n">
        <f aca="false">IF(OR(C266="",NOT(ISNUMBER(G266))),"",C266*G266)</f>
        <v>370.247933884298</v>
      </c>
      <c r="N266" s="32" t="n">
        <f aca="false">IF(OR(C266="",NOT(ISNUMBER(H266))),"",C266*H266)</f>
        <v>370.247933884298</v>
      </c>
      <c r="O266" s="32" t="n">
        <f aca="false">IF(OR(C266="",NOT(ISNUMBER(I266))),"",C266*I266)</f>
        <v>370.247933884298</v>
      </c>
    </row>
    <row r="267" customFormat="false" ht="15" hidden="false" customHeight="true" outlineLevel="0" collapsed="false">
      <c r="A267" s="5" t="s">
        <v>878</v>
      </c>
      <c r="B267" s="5" t="s">
        <v>642</v>
      </c>
      <c r="C267" s="51" t="n">
        <v>194</v>
      </c>
      <c r="D267" s="29" t="n">
        <f aca="false">IFERROR(VLOOKUP("Caffe Latte Grande",'FOOD COST'!$A:$Y,7,0),"")</f>
        <v>5.66262</v>
      </c>
      <c r="E267" s="30" t="n">
        <f aca="false">IFERROR(VLOOKUP("Caffe Latte Grande",'FOOD COST'!$A:$Y,8,0),"")</f>
        <v>5.66262</v>
      </c>
      <c r="F267" s="29" t="n">
        <f aca="false">IFERROR(VLOOKUP("Caffe Latte Grande",'FOOD COST'!$A:$Y,10,0),"")</f>
        <v>11.5702479338843</v>
      </c>
      <c r="G267" s="29" t="n">
        <f aca="false">IFERROR(VLOOKUP("Caffe Latte Grande",'FOOD COST'!$A:$Y,18,0),"")</f>
        <v>11.5702479338843</v>
      </c>
      <c r="H267" s="29" t="n">
        <f aca="false">IFERROR(VLOOKUP("Caffe Latte Grande",'FOOD COST'!$A:$Y,21,0),"")</f>
        <v>11.5702479338843</v>
      </c>
      <c r="I267" s="29" t="n">
        <f aca="false">IFERROR(VLOOKUP("Caffe Latte Grande",'FOOD COST'!$A:$Y,24,0),"")</f>
        <v>11.5702479338843</v>
      </c>
      <c r="J267" s="32" t="n">
        <f aca="false">IF(OR(C267="",NOT(ISNUMBER(D267))),"",C267*D267)</f>
        <v>1098.54828</v>
      </c>
      <c r="K267" s="52" t="n">
        <f aca="false">IF(OR(C267="",NOT(ISNUMBER(E267))),"",C267*E267)</f>
        <v>1098.54828</v>
      </c>
      <c r="L267" s="32" t="n">
        <f aca="false">IF(OR(C267="",NOT(ISNUMBER(F267))),"",C267*F267)</f>
        <v>2244.62809917355</v>
      </c>
      <c r="M267" s="32" t="n">
        <f aca="false">IF(OR(C267="",NOT(ISNUMBER(G267))),"",C267*G267)</f>
        <v>2244.62809917355</v>
      </c>
      <c r="N267" s="32" t="n">
        <f aca="false">IF(OR(C267="",NOT(ISNUMBER(H267))),"",C267*H267)</f>
        <v>2244.62809917355</v>
      </c>
      <c r="O267" s="32" t="n">
        <f aca="false">IF(OR(C267="",NOT(ISNUMBER(I267))),"",C267*I267)</f>
        <v>2244.62809917355</v>
      </c>
    </row>
    <row r="268" customFormat="false" ht="15" hidden="false" customHeight="true" outlineLevel="0" collapsed="false">
      <c r="A268" s="5" t="s">
        <v>879</v>
      </c>
      <c r="B268" s="5" t="s">
        <v>645</v>
      </c>
      <c r="C268" s="51" t="n">
        <v>42</v>
      </c>
      <c r="D268" s="29" t="n">
        <f aca="false">IFERROR(VLOOKUP("Caffe Latte Grande D",'FOOD COST'!$A:$Y,7,0),"")</f>
        <v>5.66262</v>
      </c>
      <c r="E268" s="30" t="n">
        <f aca="false">IFERROR(VLOOKUP("Caffe Latte Grande D",'FOOD COST'!$A:$Y,8,0),"")</f>
        <v>5.66262</v>
      </c>
      <c r="F268" s="29" t="n">
        <f aca="false">IFERROR(VLOOKUP("Caffe Latte Grande D",'FOOD COST'!$A:$Y,10,0),"")</f>
        <v>12.396694214876</v>
      </c>
      <c r="G268" s="29" t="n">
        <f aca="false">IFERROR(VLOOKUP("Caffe Latte Grande D",'FOOD COST'!$A:$Y,18,0),"")</f>
        <v>12.396694214876</v>
      </c>
      <c r="H268" s="29" t="n">
        <f aca="false">IFERROR(VLOOKUP("Caffe Latte Grande D",'FOOD COST'!$A:$Y,21,0),"")</f>
        <v>12.396694214876</v>
      </c>
      <c r="I268" s="29" t="n">
        <f aca="false">IFERROR(VLOOKUP("Caffe Latte Grande D",'FOOD COST'!$A:$Y,24,0),"")</f>
        <v>12.396694214876</v>
      </c>
      <c r="J268" s="32" t="n">
        <f aca="false">IF(OR(C268="",NOT(ISNUMBER(D268))),"",C268*D268)</f>
        <v>237.83004</v>
      </c>
      <c r="K268" s="52" t="n">
        <f aca="false">IF(OR(C268="",NOT(ISNUMBER(E268))),"",C268*E268)</f>
        <v>237.83004</v>
      </c>
      <c r="L268" s="32" t="n">
        <f aca="false">IF(OR(C268="",NOT(ISNUMBER(F268))),"",C268*F268)</f>
        <v>520.661157024793</v>
      </c>
      <c r="M268" s="32" t="n">
        <f aca="false">IF(OR(C268="",NOT(ISNUMBER(G268))),"",C268*G268)</f>
        <v>520.661157024793</v>
      </c>
      <c r="N268" s="32" t="n">
        <f aca="false">IF(OR(C268="",NOT(ISNUMBER(H268))),"",C268*H268)</f>
        <v>520.661157024793</v>
      </c>
      <c r="O268" s="32" t="n">
        <f aca="false">IF(OR(C268="",NOT(ISNUMBER(I268))),"",C268*I268)</f>
        <v>520.661157024793</v>
      </c>
    </row>
    <row r="269" customFormat="false" ht="15" hidden="false" customHeight="true" outlineLevel="0" collapsed="false">
      <c r="A269" s="5" t="s">
        <v>880</v>
      </c>
      <c r="B269" s="5" t="s">
        <v>642</v>
      </c>
      <c r="C269" s="51" t="n">
        <v>50</v>
      </c>
      <c r="D269" s="29" t="n">
        <f aca="false">IFERROR(VLOOKUP("Cioco Cappucino",'FOOD COST'!$A:$Y,7,0),"")</f>
        <v>5.04096</v>
      </c>
      <c r="E269" s="30" t="n">
        <f aca="false">IFERROR(VLOOKUP("Cioco Cappucino",'FOOD COST'!$A:$Y,8,0),"")</f>
        <v>5.04096</v>
      </c>
      <c r="F269" s="29" t="n">
        <f aca="false">IFERROR(VLOOKUP("Cioco Cappucino",'FOOD COST'!$A:$Y,10,0),"")</f>
        <v>10.7438016528926</v>
      </c>
      <c r="G269" s="29" t="n">
        <f aca="false">IFERROR(VLOOKUP("Cioco Cappucino",'FOOD COST'!$A:$Y,18,0),"")</f>
        <v>10.7438016528926</v>
      </c>
      <c r="H269" s="29" t="n">
        <f aca="false">IFERROR(VLOOKUP("Cioco Cappucino",'FOOD COST'!$A:$Y,21,0),"")</f>
        <v>10.7438016528926</v>
      </c>
      <c r="I269" s="29" t="n">
        <f aca="false">IFERROR(VLOOKUP("Cioco Cappucino",'FOOD COST'!$A:$Y,24,0),"")</f>
        <v>10.7438016528926</v>
      </c>
      <c r="J269" s="32" t="n">
        <f aca="false">IF(OR(C269="",NOT(ISNUMBER(D269))),"",C269*D269)</f>
        <v>252.048</v>
      </c>
      <c r="K269" s="52" t="n">
        <f aca="false">IF(OR(C269="",NOT(ISNUMBER(E269))),"",C269*E269)</f>
        <v>252.048</v>
      </c>
      <c r="L269" s="32" t="n">
        <f aca="false">IF(OR(C269="",NOT(ISNUMBER(F269))),"",C269*F269)</f>
        <v>537.190082644628</v>
      </c>
      <c r="M269" s="32" t="n">
        <f aca="false">IF(OR(C269="",NOT(ISNUMBER(G269))),"",C269*G269)</f>
        <v>537.190082644628</v>
      </c>
      <c r="N269" s="32" t="n">
        <f aca="false">IF(OR(C269="",NOT(ISNUMBER(H269))),"",C269*H269)</f>
        <v>537.190082644628</v>
      </c>
      <c r="O269" s="32" t="n">
        <f aca="false">IF(OR(C269="",NOT(ISNUMBER(I269))),"",C269*I269)</f>
        <v>537.190082644628</v>
      </c>
    </row>
    <row r="270" customFormat="false" ht="15" hidden="false" customHeight="true" outlineLevel="0" collapsed="false">
      <c r="A270" s="5" t="s">
        <v>881</v>
      </c>
      <c r="B270" s="5" t="s">
        <v>645</v>
      </c>
      <c r="C270" s="51" t="n">
        <v>14</v>
      </c>
      <c r="D270" s="29" t="n">
        <f aca="false">IFERROR(VLOOKUP("Cioco Cappucino D",'FOOD COST'!$A:$Y,7,0),"")</f>
        <v>5.04096</v>
      </c>
      <c r="E270" s="30" t="n">
        <f aca="false">IFERROR(VLOOKUP("Cioco Cappucino D",'FOOD COST'!$A:$Y,8,0),"")</f>
        <v>5.04096</v>
      </c>
      <c r="F270" s="29" t="n">
        <f aca="false">IFERROR(VLOOKUP("Cioco Cappucino D",'FOOD COST'!$A:$Y,10,0),"")</f>
        <v>11.5702479338843</v>
      </c>
      <c r="G270" s="29" t="n">
        <f aca="false">IFERROR(VLOOKUP("Cioco Cappucino D",'FOOD COST'!$A:$Y,18,0),"")</f>
        <v>11.5702479338843</v>
      </c>
      <c r="H270" s="29" t="n">
        <f aca="false">IFERROR(VLOOKUP("Cioco Cappucino D",'FOOD COST'!$A:$Y,21,0),"")</f>
        <v>11.5702479338843</v>
      </c>
      <c r="I270" s="29" t="n">
        <f aca="false">IFERROR(VLOOKUP("Cioco Cappucino D",'FOOD COST'!$A:$Y,24,0),"")</f>
        <v>11.5702479338843</v>
      </c>
      <c r="J270" s="32" t="n">
        <f aca="false">IF(OR(C270="",NOT(ISNUMBER(D270))),"",C270*D270)</f>
        <v>70.57344</v>
      </c>
      <c r="K270" s="52" t="n">
        <f aca="false">IF(OR(C270="",NOT(ISNUMBER(E270))),"",C270*E270)</f>
        <v>70.57344</v>
      </c>
      <c r="L270" s="32" t="n">
        <f aca="false">IF(OR(C270="",NOT(ISNUMBER(F270))),"",C270*F270)</f>
        <v>161.98347107438</v>
      </c>
      <c r="M270" s="32" t="n">
        <f aca="false">IF(OR(C270="",NOT(ISNUMBER(G270))),"",C270*G270)</f>
        <v>161.98347107438</v>
      </c>
      <c r="N270" s="32" t="n">
        <f aca="false">IF(OR(C270="",NOT(ISNUMBER(H270))),"",C270*H270)</f>
        <v>161.98347107438</v>
      </c>
      <c r="O270" s="32" t="n">
        <f aca="false">IF(OR(C270="",NOT(ISNUMBER(I270))),"",C270*I270)</f>
        <v>161.98347107438</v>
      </c>
    </row>
    <row r="271" customFormat="false" ht="15" hidden="false" customHeight="true" outlineLevel="0" collapsed="false">
      <c r="A271" s="5" t="s">
        <v>882</v>
      </c>
      <c r="B271" s="5" t="s">
        <v>642</v>
      </c>
      <c r="C271" s="51" t="n">
        <v>34</v>
      </c>
      <c r="D271" s="29" t="n">
        <f aca="false">IFERROR(VLOOKUP("Cioco Cappucino Grande",'FOOD COST'!$A:$Y,7,0),"")</f>
        <v>5.66262</v>
      </c>
      <c r="E271" s="30" t="n">
        <f aca="false">IFERROR(VLOOKUP("Cioco Cappucino Grande",'FOOD COST'!$A:$Y,8,0),"")</f>
        <v>5.66262</v>
      </c>
      <c r="F271" s="29" t="n">
        <f aca="false">IFERROR(VLOOKUP("Cioco Cappucino Grande",'FOOD COST'!$A:$Y,10,0),"")</f>
        <v>12.396694214876</v>
      </c>
      <c r="G271" s="29" t="n">
        <f aca="false">IFERROR(VLOOKUP("Cioco Cappucino Grande",'FOOD COST'!$A:$Y,18,0),"")</f>
        <v>12.396694214876</v>
      </c>
      <c r="H271" s="29" t="n">
        <f aca="false">IFERROR(VLOOKUP("Cioco Cappucino Grande",'FOOD COST'!$A:$Y,21,0),"")</f>
        <v>12.396694214876</v>
      </c>
      <c r="I271" s="29" t="n">
        <f aca="false">IFERROR(VLOOKUP("Cioco Cappucino Grande",'FOOD COST'!$A:$Y,24,0),"")</f>
        <v>12.396694214876</v>
      </c>
      <c r="J271" s="32" t="n">
        <f aca="false">IF(OR(C271="",NOT(ISNUMBER(D271))),"",C271*D271)</f>
        <v>192.52908</v>
      </c>
      <c r="K271" s="52" t="n">
        <f aca="false">IF(OR(C271="",NOT(ISNUMBER(E271))),"",C271*E271)</f>
        <v>192.52908</v>
      </c>
      <c r="L271" s="32" t="n">
        <f aca="false">IF(OR(C271="",NOT(ISNUMBER(F271))),"",C271*F271)</f>
        <v>421.487603305785</v>
      </c>
      <c r="M271" s="32" t="n">
        <f aca="false">IF(OR(C271="",NOT(ISNUMBER(G271))),"",C271*G271)</f>
        <v>421.487603305785</v>
      </c>
      <c r="N271" s="32" t="n">
        <f aca="false">IF(OR(C271="",NOT(ISNUMBER(H271))),"",C271*H271)</f>
        <v>421.487603305785</v>
      </c>
      <c r="O271" s="32" t="n">
        <f aca="false">IF(OR(C271="",NOT(ISNUMBER(I271))),"",C271*I271)</f>
        <v>421.487603305785</v>
      </c>
    </row>
    <row r="272" customFormat="false" ht="15" hidden="false" customHeight="true" outlineLevel="0" collapsed="false">
      <c r="A272" s="5" t="s">
        <v>883</v>
      </c>
      <c r="B272" s="5" t="s">
        <v>645</v>
      </c>
      <c r="C272" s="51" t="n">
        <v>41</v>
      </c>
      <c r="D272" s="29" t="n">
        <f aca="false">IFERROR(VLOOKUP("Cioco Cappucino Grande D",'FOOD COST'!$A:$Y,7,0),"")</f>
        <v>5.66262</v>
      </c>
      <c r="E272" s="30" t="n">
        <f aca="false">IFERROR(VLOOKUP("Cioco Cappucino Grande D",'FOOD COST'!$A:$Y,8,0),"")</f>
        <v>5.66262</v>
      </c>
      <c r="F272" s="29" t="n">
        <f aca="false">IFERROR(VLOOKUP("Cioco Cappucino Grande D",'FOOD COST'!$A:$Y,10,0),"")</f>
        <v>13.2231404958678</v>
      </c>
      <c r="G272" s="29" t="n">
        <f aca="false">IFERROR(VLOOKUP("Cioco Cappucino Grande D",'FOOD COST'!$A:$Y,18,0),"")</f>
        <v>13.2231404958678</v>
      </c>
      <c r="H272" s="29" t="n">
        <f aca="false">IFERROR(VLOOKUP("Cioco Cappucino Grande D",'FOOD COST'!$A:$Y,21,0),"")</f>
        <v>13.2231404958678</v>
      </c>
      <c r="I272" s="29" t="n">
        <f aca="false">IFERROR(VLOOKUP("Cioco Cappucino Grande D",'FOOD COST'!$A:$Y,24,0),"")</f>
        <v>13.2231404958678</v>
      </c>
      <c r="J272" s="32" t="n">
        <f aca="false">IF(OR(C272="",NOT(ISNUMBER(D272))),"",C272*D272)</f>
        <v>232.16742</v>
      </c>
      <c r="K272" s="52" t="n">
        <f aca="false">IF(OR(C272="",NOT(ISNUMBER(E272))),"",C272*E272)</f>
        <v>232.16742</v>
      </c>
      <c r="L272" s="32" t="n">
        <f aca="false">IF(OR(C272="",NOT(ISNUMBER(F272))),"",C272*F272)</f>
        <v>542.148760330579</v>
      </c>
      <c r="M272" s="32" t="n">
        <f aca="false">IF(OR(C272="",NOT(ISNUMBER(G272))),"",C272*G272)</f>
        <v>542.148760330579</v>
      </c>
      <c r="N272" s="32" t="n">
        <f aca="false">IF(OR(C272="",NOT(ISNUMBER(H272))),"",C272*H272)</f>
        <v>542.148760330579</v>
      </c>
      <c r="O272" s="32" t="n">
        <f aca="false">IF(OR(C272="",NOT(ISNUMBER(I272))),"",C272*I272)</f>
        <v>542.148760330579</v>
      </c>
    </row>
    <row r="273" customFormat="false" ht="15" hidden="false" customHeight="true" outlineLevel="0" collapsed="false">
      <c r="A273" s="5" t="s">
        <v>884</v>
      </c>
      <c r="B273" s="5" t="s">
        <v>642</v>
      </c>
      <c r="C273" s="51" t="n">
        <v>97</v>
      </c>
      <c r="D273" s="29" t="n">
        <f aca="false">IFERROR(VLOOKUP("Vanilla Latte",'FOOD COST'!$A:$Y,7,0),"")</f>
        <v>5.04096</v>
      </c>
      <c r="E273" s="30" t="n">
        <f aca="false">IFERROR(VLOOKUP("Vanilla Latte",'FOOD COST'!$A:$Y,8,0),"")</f>
        <v>5.04096</v>
      </c>
      <c r="F273" s="29" t="n">
        <f aca="false">IFERROR(VLOOKUP("Vanilla Latte",'FOOD COST'!$A:$Y,10,0),"")</f>
        <v>10.7438016528926</v>
      </c>
      <c r="G273" s="29" t="n">
        <f aca="false">IFERROR(VLOOKUP("Vanilla Latte",'FOOD COST'!$A:$Y,18,0),"")</f>
        <v>10.7438016528926</v>
      </c>
      <c r="H273" s="29" t="n">
        <f aca="false">IFERROR(VLOOKUP("Vanilla Latte",'FOOD COST'!$A:$Y,21,0),"")</f>
        <v>10.7438016528926</v>
      </c>
      <c r="I273" s="29" t="n">
        <f aca="false">IFERROR(VLOOKUP("Vanilla Latte",'FOOD COST'!$A:$Y,24,0),"")</f>
        <v>10.7438016528926</v>
      </c>
      <c r="J273" s="32" t="n">
        <f aca="false">IF(OR(C273="",NOT(ISNUMBER(D273))),"",C273*D273)</f>
        <v>488.97312</v>
      </c>
      <c r="K273" s="52" t="n">
        <f aca="false">IF(OR(C273="",NOT(ISNUMBER(E273))),"",C273*E273)</f>
        <v>488.97312</v>
      </c>
      <c r="L273" s="32" t="n">
        <f aca="false">IF(OR(C273="",NOT(ISNUMBER(F273))),"",C273*F273)</f>
        <v>1042.14876033058</v>
      </c>
      <c r="M273" s="32" t="n">
        <f aca="false">IF(OR(C273="",NOT(ISNUMBER(G273))),"",C273*G273)</f>
        <v>1042.14876033058</v>
      </c>
      <c r="N273" s="32" t="n">
        <f aca="false">IF(OR(C273="",NOT(ISNUMBER(H273))),"",C273*H273)</f>
        <v>1042.14876033058</v>
      </c>
      <c r="O273" s="32" t="n">
        <f aca="false">IF(OR(C273="",NOT(ISNUMBER(I273))),"",C273*I273)</f>
        <v>1042.14876033058</v>
      </c>
    </row>
    <row r="274" customFormat="false" ht="15" hidden="false" customHeight="true" outlineLevel="0" collapsed="false">
      <c r="A274" s="5" t="s">
        <v>885</v>
      </c>
      <c r="B274" s="5" t="s">
        <v>645</v>
      </c>
      <c r="C274" s="51" t="n">
        <v>31</v>
      </c>
      <c r="D274" s="29" t="n">
        <f aca="false">IFERROR(VLOOKUP("Vanilla Latte D",'FOOD COST'!$A:$Y,7,0),"")</f>
        <v>5.04096</v>
      </c>
      <c r="E274" s="30" t="n">
        <f aca="false">IFERROR(VLOOKUP("Vanilla Latte D",'FOOD COST'!$A:$Y,8,0),"")</f>
        <v>5.04096</v>
      </c>
      <c r="F274" s="29" t="n">
        <f aca="false">IFERROR(VLOOKUP("Vanilla Latte D",'FOOD COST'!$A:$Y,10,0),"")</f>
        <v>11.5702479338843</v>
      </c>
      <c r="G274" s="29" t="n">
        <f aca="false">IFERROR(VLOOKUP("Vanilla Latte D",'FOOD COST'!$A:$Y,18,0),"")</f>
        <v>11.5702479338843</v>
      </c>
      <c r="H274" s="29" t="n">
        <f aca="false">IFERROR(VLOOKUP("Vanilla Latte D",'FOOD COST'!$A:$Y,21,0),"")</f>
        <v>11.5702479338843</v>
      </c>
      <c r="I274" s="29" t="n">
        <f aca="false">IFERROR(VLOOKUP("Vanilla Latte D",'FOOD COST'!$A:$Y,24,0),"")</f>
        <v>11.5702479338843</v>
      </c>
      <c r="J274" s="32" t="n">
        <f aca="false">IF(OR(C274="",NOT(ISNUMBER(D274))),"",C274*D274)</f>
        <v>156.26976</v>
      </c>
      <c r="K274" s="52" t="n">
        <f aca="false">IF(OR(C274="",NOT(ISNUMBER(E274))),"",C274*E274)</f>
        <v>156.26976</v>
      </c>
      <c r="L274" s="32" t="n">
        <f aca="false">IF(OR(C274="",NOT(ISNUMBER(F274))),"",C274*F274)</f>
        <v>358.677685950413</v>
      </c>
      <c r="M274" s="32" t="n">
        <f aca="false">IF(OR(C274="",NOT(ISNUMBER(G274))),"",C274*G274)</f>
        <v>358.677685950413</v>
      </c>
      <c r="N274" s="32" t="n">
        <f aca="false">IF(OR(C274="",NOT(ISNUMBER(H274))),"",C274*H274)</f>
        <v>358.677685950413</v>
      </c>
      <c r="O274" s="32" t="n">
        <f aca="false">IF(OR(C274="",NOT(ISNUMBER(I274))),"",C274*I274)</f>
        <v>358.677685950413</v>
      </c>
    </row>
    <row r="275" customFormat="false" ht="15" hidden="false" customHeight="true" outlineLevel="0" collapsed="false">
      <c r="A275" s="5" t="s">
        <v>886</v>
      </c>
      <c r="B275" s="5" t="s">
        <v>642</v>
      </c>
      <c r="C275" s="51" t="n">
        <v>63</v>
      </c>
      <c r="D275" s="29" t="n">
        <f aca="false">IFERROR(VLOOKUP("Vanilla Latte Grande",'FOOD COST'!$A:$Y,7,0),"")</f>
        <v>5.66262</v>
      </c>
      <c r="E275" s="30" t="n">
        <f aca="false">IFERROR(VLOOKUP("Vanilla Latte Grande",'FOOD COST'!$A:$Y,8,0),"")</f>
        <v>5.66262</v>
      </c>
      <c r="F275" s="29" t="n">
        <f aca="false">IFERROR(VLOOKUP("Vanilla Latte Grande",'FOOD COST'!$A:$Y,10,0),"")</f>
        <v>12.396694214876</v>
      </c>
      <c r="G275" s="29" t="n">
        <f aca="false">IFERROR(VLOOKUP("Vanilla Latte Grande",'FOOD COST'!$A:$Y,18,0),"")</f>
        <v>12.396694214876</v>
      </c>
      <c r="H275" s="29" t="n">
        <f aca="false">IFERROR(VLOOKUP("Vanilla Latte Grande",'FOOD COST'!$A:$Y,21,0),"")</f>
        <v>12.396694214876</v>
      </c>
      <c r="I275" s="29" t="n">
        <f aca="false">IFERROR(VLOOKUP("Vanilla Latte Grande",'FOOD COST'!$A:$Y,24,0),"")</f>
        <v>12.396694214876</v>
      </c>
      <c r="J275" s="32" t="n">
        <f aca="false">IF(OR(C275="",NOT(ISNUMBER(D275))),"",C275*D275)</f>
        <v>356.74506</v>
      </c>
      <c r="K275" s="52" t="n">
        <f aca="false">IF(OR(C275="",NOT(ISNUMBER(E275))),"",C275*E275)</f>
        <v>356.74506</v>
      </c>
      <c r="L275" s="32" t="n">
        <f aca="false">IF(OR(C275="",NOT(ISNUMBER(F275))),"",C275*F275)</f>
        <v>780.99173553719</v>
      </c>
      <c r="M275" s="32" t="n">
        <f aca="false">IF(OR(C275="",NOT(ISNUMBER(G275))),"",C275*G275)</f>
        <v>780.99173553719</v>
      </c>
      <c r="N275" s="32" t="n">
        <f aca="false">IF(OR(C275="",NOT(ISNUMBER(H275))),"",C275*H275)</f>
        <v>780.99173553719</v>
      </c>
      <c r="O275" s="32" t="n">
        <f aca="false">IF(OR(C275="",NOT(ISNUMBER(I275))),"",C275*I275)</f>
        <v>780.99173553719</v>
      </c>
    </row>
    <row r="276" customFormat="false" ht="15" hidden="false" customHeight="true" outlineLevel="0" collapsed="false">
      <c r="A276" s="5" t="s">
        <v>887</v>
      </c>
      <c r="B276" s="5" t="s">
        <v>645</v>
      </c>
      <c r="C276" s="51" t="n">
        <v>36</v>
      </c>
      <c r="D276" s="29" t="n">
        <f aca="false">IFERROR(VLOOKUP("Vanilla Latte Grande D",'FOOD COST'!$A:$Y,7,0),"")</f>
        <v>5.66262</v>
      </c>
      <c r="E276" s="30" t="n">
        <f aca="false">IFERROR(VLOOKUP("Vanilla Latte Grande D",'FOOD COST'!$A:$Y,8,0),"")</f>
        <v>5.66262</v>
      </c>
      <c r="F276" s="29" t="n">
        <f aca="false">IFERROR(VLOOKUP("Vanilla Latte Grande D",'FOOD COST'!$A:$Y,10,0),"")</f>
        <v>13.2231404958678</v>
      </c>
      <c r="G276" s="29" t="n">
        <f aca="false">IFERROR(VLOOKUP("Vanilla Latte Grande D",'FOOD COST'!$A:$Y,18,0),"")</f>
        <v>13.2231404958678</v>
      </c>
      <c r="H276" s="29" t="n">
        <f aca="false">IFERROR(VLOOKUP("Vanilla Latte Grande D",'FOOD COST'!$A:$Y,21,0),"")</f>
        <v>13.2231404958678</v>
      </c>
      <c r="I276" s="29" t="n">
        <f aca="false">IFERROR(VLOOKUP("Vanilla Latte Grande D",'FOOD COST'!$A:$Y,24,0),"")</f>
        <v>13.2231404958678</v>
      </c>
      <c r="J276" s="32" t="n">
        <f aca="false">IF(OR(C276="",NOT(ISNUMBER(D276))),"",C276*D276)</f>
        <v>203.85432</v>
      </c>
      <c r="K276" s="52" t="n">
        <f aca="false">IF(OR(C276="",NOT(ISNUMBER(E276))),"",C276*E276)</f>
        <v>203.85432</v>
      </c>
      <c r="L276" s="32" t="n">
        <f aca="false">IF(OR(C276="",NOT(ISNUMBER(F276))),"",C276*F276)</f>
        <v>476.03305785124</v>
      </c>
      <c r="M276" s="32" t="n">
        <f aca="false">IF(OR(C276="",NOT(ISNUMBER(G276))),"",C276*G276)</f>
        <v>476.03305785124</v>
      </c>
      <c r="N276" s="32" t="n">
        <f aca="false">IF(OR(C276="",NOT(ISNUMBER(H276))),"",C276*H276)</f>
        <v>476.03305785124</v>
      </c>
      <c r="O276" s="32" t="n">
        <f aca="false">IF(OR(C276="",NOT(ISNUMBER(I276))),"",C276*I276)</f>
        <v>476.03305785124</v>
      </c>
    </row>
    <row r="277" customFormat="false" ht="15" hidden="false" customHeight="true" outlineLevel="0" collapsed="false">
      <c r="A277" s="5" t="s">
        <v>888</v>
      </c>
      <c r="B277" s="5" t="s">
        <v>642</v>
      </c>
      <c r="C277" s="51" t="n">
        <v>238</v>
      </c>
      <c r="D277" s="29" t="n">
        <f aca="false">IFERROR(VLOOKUP("Caramel Machiato",'FOOD COST'!$A:$Y,7,0),"")</f>
        <v>6.68596</v>
      </c>
      <c r="E277" s="30" t="n">
        <f aca="false">IFERROR(VLOOKUP("Caramel Machiato",'FOOD COST'!$A:$Y,8,0),"")</f>
        <v>6.68596</v>
      </c>
      <c r="F277" s="29" t="n">
        <f aca="false">IFERROR(VLOOKUP("Caramel Machiato",'FOOD COST'!$A:$Y,10,0),"")</f>
        <v>12.396694214876</v>
      </c>
      <c r="G277" s="29" t="n">
        <f aca="false">IFERROR(VLOOKUP("Caramel Machiato",'FOOD COST'!$A:$Y,18,0),"")</f>
        <v>12.396694214876</v>
      </c>
      <c r="H277" s="29" t="n">
        <f aca="false">IFERROR(VLOOKUP("Caramel Machiato",'FOOD COST'!$A:$Y,21,0),"")</f>
        <v>12.396694214876</v>
      </c>
      <c r="I277" s="29" t="n">
        <f aca="false">IFERROR(VLOOKUP("Caramel Machiato",'FOOD COST'!$A:$Y,24,0),"")</f>
        <v>12.396694214876</v>
      </c>
      <c r="J277" s="32" t="n">
        <f aca="false">IF(OR(C277="",NOT(ISNUMBER(D277))),"",C277*D277)</f>
        <v>1591.25848</v>
      </c>
      <c r="K277" s="52" t="n">
        <f aca="false">IF(OR(C277="",NOT(ISNUMBER(E277))),"",C277*E277)</f>
        <v>1591.25848</v>
      </c>
      <c r="L277" s="32" t="n">
        <f aca="false">IF(OR(C277="",NOT(ISNUMBER(F277))),"",C277*F277)</f>
        <v>2950.4132231405</v>
      </c>
      <c r="M277" s="32" t="n">
        <f aca="false">IF(OR(C277="",NOT(ISNUMBER(G277))),"",C277*G277)</f>
        <v>2950.4132231405</v>
      </c>
      <c r="N277" s="32" t="n">
        <f aca="false">IF(OR(C277="",NOT(ISNUMBER(H277))),"",C277*H277)</f>
        <v>2950.4132231405</v>
      </c>
      <c r="O277" s="32" t="n">
        <f aca="false">IF(OR(C277="",NOT(ISNUMBER(I277))),"",C277*I277)</f>
        <v>2950.4132231405</v>
      </c>
    </row>
    <row r="278" customFormat="false" ht="15" hidden="false" customHeight="true" outlineLevel="0" collapsed="false">
      <c r="A278" s="5" t="s">
        <v>889</v>
      </c>
      <c r="B278" s="5" t="s">
        <v>645</v>
      </c>
      <c r="C278" s="51" t="n">
        <v>135</v>
      </c>
      <c r="D278" s="29" t="n">
        <f aca="false">IFERROR(VLOOKUP("Caramel Machiato D",'FOOD COST'!$A:$Y,7,0),"")</f>
        <v>6.68596</v>
      </c>
      <c r="E278" s="30" t="n">
        <f aca="false">IFERROR(VLOOKUP("Caramel Machiato D",'FOOD COST'!$A:$Y,8,0),"")</f>
        <v>6.68596</v>
      </c>
      <c r="F278" s="29" t="n">
        <f aca="false">IFERROR(VLOOKUP("Caramel Machiato D",'FOOD COST'!$A:$Y,10,0),"")</f>
        <v>13.2231404958678</v>
      </c>
      <c r="G278" s="29" t="n">
        <f aca="false">IFERROR(VLOOKUP("Caramel Machiato D",'FOOD COST'!$A:$Y,18,0),"")</f>
        <v>13.2231404958678</v>
      </c>
      <c r="H278" s="29" t="n">
        <f aca="false">IFERROR(VLOOKUP("Caramel Machiato D",'FOOD COST'!$A:$Y,21,0),"")</f>
        <v>13.2231404958678</v>
      </c>
      <c r="I278" s="29" t="n">
        <f aca="false">IFERROR(VLOOKUP("Caramel Machiato D",'FOOD COST'!$A:$Y,24,0),"")</f>
        <v>13.2231404958678</v>
      </c>
      <c r="J278" s="32" t="n">
        <f aca="false">IF(OR(C278="",NOT(ISNUMBER(D278))),"",C278*D278)</f>
        <v>902.6046</v>
      </c>
      <c r="K278" s="52" t="n">
        <f aca="false">IF(OR(C278="",NOT(ISNUMBER(E278))),"",C278*E278)</f>
        <v>902.6046</v>
      </c>
      <c r="L278" s="32" t="n">
        <f aca="false">IF(OR(C278="",NOT(ISNUMBER(F278))),"",C278*F278)</f>
        <v>1785.12396694215</v>
      </c>
      <c r="M278" s="32" t="n">
        <f aca="false">IF(OR(C278="",NOT(ISNUMBER(G278))),"",C278*G278)</f>
        <v>1785.12396694215</v>
      </c>
      <c r="N278" s="32" t="n">
        <f aca="false">IF(OR(C278="",NOT(ISNUMBER(H278))),"",C278*H278)</f>
        <v>1785.12396694215</v>
      </c>
      <c r="O278" s="32" t="n">
        <f aca="false">IF(OR(C278="",NOT(ISNUMBER(I278))),"",C278*I278)</f>
        <v>1785.12396694215</v>
      </c>
    </row>
    <row r="279" customFormat="false" ht="15" hidden="false" customHeight="true" outlineLevel="0" collapsed="false">
      <c r="A279" s="5" t="s">
        <v>890</v>
      </c>
      <c r="B279" s="5" t="s">
        <v>642</v>
      </c>
      <c r="C279" s="51" t="n">
        <v>1437</v>
      </c>
      <c r="D279" s="29" t="n">
        <f aca="false">IFERROR(VLOOKUP("ICED COFFEE LATTE",'FOOD COST'!$A:$Y,7,0),"")</f>
        <v>5.03596</v>
      </c>
      <c r="E279" s="30" t="n">
        <f aca="false">IFERROR(VLOOKUP("ICED COFFEE LATTE",'FOOD COST'!$A:$Y,8,0),"")</f>
        <v>5.03596</v>
      </c>
      <c r="F279" s="29" t="n">
        <f aca="false">IFERROR(VLOOKUP("ICED COFFEE LATTE",'FOOD COST'!$A:$Y,10,0),"")</f>
        <v>10.7438016528926</v>
      </c>
      <c r="G279" s="29" t="n">
        <f aca="false">IFERROR(VLOOKUP("ICED COFFEE LATTE",'FOOD COST'!$A:$Y,18,0),"")</f>
        <v>10.7438016528926</v>
      </c>
      <c r="H279" s="29" t="n">
        <f aca="false">IFERROR(VLOOKUP("ICED COFFEE LATTE",'FOOD COST'!$A:$Y,21,0),"")</f>
        <v>10.7438016528926</v>
      </c>
      <c r="I279" s="29" t="n">
        <f aca="false">IFERROR(VLOOKUP("ICED COFFEE LATTE",'FOOD COST'!$A:$Y,24,0),"")</f>
        <v>10.7438016528926</v>
      </c>
      <c r="J279" s="32" t="n">
        <f aca="false">IF(OR(C279="",NOT(ISNUMBER(D279))),"",C279*D279)</f>
        <v>7236.67452</v>
      </c>
      <c r="K279" s="52" t="n">
        <f aca="false">IF(OR(C279="",NOT(ISNUMBER(E279))),"",C279*E279)</f>
        <v>7236.67452</v>
      </c>
      <c r="L279" s="32" t="n">
        <f aca="false">IF(OR(C279="",NOT(ISNUMBER(F279))),"",C279*F279)</f>
        <v>15438.8429752066</v>
      </c>
      <c r="M279" s="32" t="n">
        <f aca="false">IF(OR(C279="",NOT(ISNUMBER(G279))),"",C279*G279)</f>
        <v>15438.8429752066</v>
      </c>
      <c r="N279" s="32" t="n">
        <f aca="false">IF(OR(C279="",NOT(ISNUMBER(H279))),"",C279*H279)</f>
        <v>15438.8429752066</v>
      </c>
      <c r="O279" s="32" t="n">
        <f aca="false">IF(OR(C279="",NOT(ISNUMBER(I279))),"",C279*I279)</f>
        <v>15438.8429752066</v>
      </c>
    </row>
    <row r="280" customFormat="false" ht="15" hidden="false" customHeight="true" outlineLevel="0" collapsed="false">
      <c r="A280" s="5" t="s">
        <v>891</v>
      </c>
      <c r="B280" s="5" t="s">
        <v>642</v>
      </c>
      <c r="C280" s="51" t="n">
        <v>2798</v>
      </c>
      <c r="D280" s="29" t="n">
        <f aca="false">IFERROR(VLOOKUP("LIMONADA 350ML",'FOOD COST'!$A:$Y,7,0),"")</f>
        <v>2.8051498</v>
      </c>
      <c r="E280" s="30" t="n">
        <f aca="false">IFERROR(VLOOKUP("LIMONADA 350ML",'FOOD COST'!$A:$Y,8,0),"")</f>
        <v>2.8051498</v>
      </c>
      <c r="F280" s="29" t="n">
        <f aca="false">IFERROR(VLOOKUP("LIMONADA 350ML",'FOOD COST'!$A:$Y,10,0),"")</f>
        <v>8.26446280991736</v>
      </c>
      <c r="G280" s="29" t="n">
        <f aca="false">IFERROR(VLOOKUP("LIMONADA 350ML",'FOOD COST'!$A:$Y,18,0),"")</f>
        <v>8.26446280991736</v>
      </c>
      <c r="H280" s="29" t="n">
        <f aca="false">IFERROR(VLOOKUP("LIMONADA 350ML",'FOOD COST'!$A:$Y,21,0),"")</f>
        <v>8.26446280991736</v>
      </c>
      <c r="I280" s="29" t="n">
        <f aca="false">IFERROR(VLOOKUP("LIMONADA 350ML",'FOOD COST'!$A:$Y,24,0),"")</f>
        <v>8.26446280991736</v>
      </c>
      <c r="J280" s="32" t="n">
        <f aca="false">IF(OR(C280="",NOT(ISNUMBER(D280))),"",C280*D280)</f>
        <v>7848.8091404</v>
      </c>
      <c r="K280" s="52" t="n">
        <f aca="false">IF(OR(C280="",NOT(ISNUMBER(E280))),"",C280*E280)</f>
        <v>7848.8091404</v>
      </c>
      <c r="L280" s="32" t="n">
        <f aca="false">IF(OR(C280="",NOT(ISNUMBER(F280))),"",C280*F280)</f>
        <v>23123.9669421488</v>
      </c>
      <c r="M280" s="32" t="n">
        <f aca="false">IF(OR(C280="",NOT(ISNUMBER(G280))),"",C280*G280)</f>
        <v>23123.9669421488</v>
      </c>
      <c r="N280" s="32" t="n">
        <f aca="false">IF(OR(C280="",NOT(ISNUMBER(H280))),"",C280*H280)</f>
        <v>23123.9669421488</v>
      </c>
      <c r="O280" s="32" t="n">
        <f aca="false">IF(OR(C280="",NOT(ISNUMBER(I280))),"",C280*I280)</f>
        <v>23123.9669421488</v>
      </c>
    </row>
    <row r="281" customFormat="false" ht="15" hidden="false" customHeight="true" outlineLevel="0" collapsed="false">
      <c r="A281" s="5" t="s">
        <v>892</v>
      </c>
      <c r="B281" s="5" t="s">
        <v>645</v>
      </c>
      <c r="C281" s="51" t="n">
        <v>395</v>
      </c>
      <c r="D281" s="29" t="n">
        <f aca="false">IFERROR(VLOOKUP("LIMONADA 400ML D",'FOOD COST'!$A:$Y,7,0),"")</f>
        <v>2.8051498</v>
      </c>
      <c r="E281" s="30" t="n">
        <f aca="false">IFERROR(VLOOKUP("LIMONADA 400ML D",'FOOD COST'!$A:$Y,8,0),"")</f>
        <v>2.8051498</v>
      </c>
      <c r="F281" s="29" t="n">
        <f aca="false">IFERROR(VLOOKUP("LIMONADA 400ML D",'FOOD COST'!$A:$Y,10,0),"")</f>
        <v>10.7355371900826</v>
      </c>
      <c r="G281" s="29" t="n">
        <f aca="false">IFERROR(VLOOKUP("LIMONADA 400ML D",'FOOD COST'!$A:$Y,18,0),"")</f>
        <v>10.7355371900826</v>
      </c>
      <c r="H281" s="29" t="n">
        <f aca="false">IFERROR(VLOOKUP("LIMONADA 400ML D",'FOOD COST'!$A:$Y,21,0),"")</f>
        <v>10.7355371900826</v>
      </c>
      <c r="I281" s="29" t="n">
        <f aca="false">IFERROR(VLOOKUP("LIMONADA 400ML D",'FOOD COST'!$A:$Y,24,0),"")</f>
        <v>10.7355371900826</v>
      </c>
      <c r="J281" s="32" t="n">
        <f aca="false">IF(OR(C281="",NOT(ISNUMBER(D281))),"",C281*D281)</f>
        <v>1108.034171</v>
      </c>
      <c r="K281" s="52" t="n">
        <f aca="false">IF(OR(C281="",NOT(ISNUMBER(E281))),"",C281*E281)</f>
        <v>1108.034171</v>
      </c>
      <c r="L281" s="32" t="n">
        <f aca="false">IF(OR(C281="",NOT(ISNUMBER(F281))),"",C281*F281)</f>
        <v>4240.53719008265</v>
      </c>
      <c r="M281" s="32" t="n">
        <f aca="false">IF(OR(C281="",NOT(ISNUMBER(G281))),"",C281*G281)</f>
        <v>4240.53719008265</v>
      </c>
      <c r="N281" s="32" t="n">
        <f aca="false">IF(OR(C281="",NOT(ISNUMBER(H281))),"",C281*H281)</f>
        <v>4240.53719008265</v>
      </c>
      <c r="O281" s="32" t="n">
        <f aca="false">IF(OR(C281="",NOT(ISNUMBER(I281))),"",C281*I281)</f>
        <v>4240.53719008265</v>
      </c>
    </row>
    <row r="282" customFormat="false" ht="15" hidden="false" customHeight="true" outlineLevel="0" collapsed="false">
      <c r="A282" s="5" t="s">
        <v>893</v>
      </c>
      <c r="B282" s="5" t="s">
        <v>642</v>
      </c>
      <c r="C282" s="51" t="n">
        <v>230</v>
      </c>
      <c r="D282" s="29" t="n">
        <f aca="false">IFERROR(VLOOKUP("CHEESECAKE NEWYORK",'FOOD COST'!$A:$Y,7,0),"")</f>
        <v>9.562</v>
      </c>
      <c r="E282" s="30" t="n">
        <f aca="false">IFERROR(VLOOKUP("CHEESECAKE NEWYORK",'FOOD COST'!$A:$Y,8,0),"")</f>
        <v>9.562</v>
      </c>
      <c r="F282" s="29" t="n">
        <f aca="false">IFERROR(VLOOKUP("CHEESECAKE NEWYORK",'FOOD COST'!$A:$Y,10,0),"")</f>
        <v>18.018018018018</v>
      </c>
      <c r="G282" s="29" t="n">
        <f aca="false">IFERROR(VLOOKUP("CHEESECAKE NEWYORK",'FOOD COST'!$A:$Y,18,0),"")</f>
        <v>18.018018018018</v>
      </c>
      <c r="H282" s="29" t="n">
        <f aca="false">IFERROR(VLOOKUP("CHEESECAKE NEWYORK",'FOOD COST'!$A:$Y,21,0),"")</f>
        <v>18.018018018018</v>
      </c>
      <c r="I282" s="29" t="n">
        <f aca="false">IFERROR(VLOOKUP("CHEESECAKE NEWYORK",'FOOD COST'!$A:$Y,24,0),"")</f>
        <v>18.018018018018</v>
      </c>
      <c r="J282" s="32" t="n">
        <f aca="false">IF(OR(C282="",NOT(ISNUMBER(D282))),"",C282*D282)</f>
        <v>2199.26</v>
      </c>
      <c r="K282" s="52" t="n">
        <f aca="false">IF(OR(C282="",NOT(ISNUMBER(E282))),"",C282*E282)</f>
        <v>2199.26</v>
      </c>
      <c r="L282" s="32" t="n">
        <f aca="false">IF(OR(C282="",NOT(ISNUMBER(F282))),"",C282*F282)</f>
        <v>4144.14414414414</v>
      </c>
      <c r="M282" s="32" t="n">
        <f aca="false">IF(OR(C282="",NOT(ISNUMBER(G282))),"",C282*G282)</f>
        <v>4144.14414414414</v>
      </c>
      <c r="N282" s="32" t="n">
        <f aca="false">IF(OR(C282="",NOT(ISNUMBER(H282))),"",C282*H282)</f>
        <v>4144.14414414414</v>
      </c>
      <c r="O282" s="32" t="n">
        <f aca="false">IF(OR(C282="",NOT(ISNUMBER(I282))),"",C282*I282)</f>
        <v>4144.14414414414</v>
      </c>
    </row>
    <row r="283" customFormat="false" ht="15" hidden="false" customHeight="true" outlineLevel="0" collapsed="false">
      <c r="A283" s="5" t="s">
        <v>894</v>
      </c>
      <c r="B283" s="5" t="s">
        <v>645</v>
      </c>
      <c r="C283" s="51" t="n">
        <v>151</v>
      </c>
      <c r="D283" s="29" t="n">
        <f aca="false">IFERROR(VLOOKUP("CHEESECAKE NEWYORK D",'FOOD COST'!$A:$Y,7,0),"")</f>
        <v>9.562</v>
      </c>
      <c r="E283" s="30" t="n">
        <f aca="false">IFERROR(VLOOKUP("CHEESECAKE NEWYORK D",'FOOD COST'!$A:$Y,8,0),"")</f>
        <v>9.562</v>
      </c>
      <c r="F283" s="29" t="n">
        <f aca="false">IFERROR(VLOOKUP("CHEESECAKE NEWYORK D",'FOOD COST'!$A:$Y,10,0),"")</f>
        <v>18.018018018018</v>
      </c>
      <c r="G283" s="29" t="n">
        <f aca="false">IFERROR(VLOOKUP("CHEESECAKE NEWYORK D",'FOOD COST'!$A:$Y,18,0),"")</f>
        <v>18.018018018018</v>
      </c>
      <c r="H283" s="29" t="n">
        <f aca="false">IFERROR(VLOOKUP("CHEESECAKE NEWYORK D",'FOOD COST'!$A:$Y,21,0),"")</f>
        <v>18.018018018018</v>
      </c>
      <c r="I283" s="29" t="n">
        <f aca="false">IFERROR(VLOOKUP("CHEESECAKE NEWYORK D",'FOOD COST'!$A:$Y,24,0),"")</f>
        <v>18.018018018018</v>
      </c>
      <c r="J283" s="32" t="n">
        <f aca="false">IF(OR(C283="",NOT(ISNUMBER(D283))),"",C283*D283)</f>
        <v>1443.862</v>
      </c>
      <c r="K283" s="52" t="n">
        <f aca="false">IF(OR(C283="",NOT(ISNUMBER(E283))),"",C283*E283)</f>
        <v>1443.862</v>
      </c>
      <c r="L283" s="32" t="n">
        <f aca="false">IF(OR(C283="",NOT(ISNUMBER(F283))),"",C283*F283)</f>
        <v>2720.72072072072</v>
      </c>
      <c r="M283" s="32" t="n">
        <f aca="false">IF(OR(C283="",NOT(ISNUMBER(G283))),"",C283*G283)</f>
        <v>2720.72072072072</v>
      </c>
      <c r="N283" s="32" t="n">
        <f aca="false">IF(OR(C283="",NOT(ISNUMBER(H283))),"",C283*H283)</f>
        <v>2720.72072072072</v>
      </c>
      <c r="O283" s="32" t="n">
        <f aca="false">IF(OR(C283="",NOT(ISNUMBER(I283))),"",C283*I283)</f>
        <v>2720.72072072072</v>
      </c>
    </row>
    <row r="284" customFormat="false" ht="15" hidden="false" customHeight="true" outlineLevel="0" collapsed="false">
      <c r="A284" s="5" t="s">
        <v>895</v>
      </c>
      <c r="B284" s="5" t="s">
        <v>642</v>
      </c>
      <c r="C284" s="51" t="n">
        <v>224</v>
      </c>
      <c r="D284" s="29" t="n">
        <f aca="false">IFERROR(VLOOKUP("TIRAMISU CU FISTIC",'FOOD COST'!$A:$Y,7,0),"")</f>
        <v>9.295</v>
      </c>
      <c r="E284" s="30" t="n">
        <f aca="false">IFERROR(VLOOKUP("TIRAMISU CU FISTIC",'FOOD COST'!$A:$Y,8,0),"")</f>
        <v>9.295</v>
      </c>
      <c r="F284" s="29" t="n">
        <f aca="false">IFERROR(VLOOKUP("TIRAMISU CU FISTIC",'FOOD COST'!$A:$Y,10,0),"")</f>
        <v>18.018018018018</v>
      </c>
      <c r="G284" s="29" t="n">
        <f aca="false">IFERROR(VLOOKUP("TIRAMISU CU FISTIC",'FOOD COST'!$A:$Y,18,0),"")</f>
        <v>18.018018018018</v>
      </c>
      <c r="H284" s="29" t="n">
        <f aca="false">IFERROR(VLOOKUP("TIRAMISU CU FISTIC",'FOOD COST'!$A:$Y,21,0),"")</f>
        <v>18.018018018018</v>
      </c>
      <c r="I284" s="29" t="n">
        <f aca="false">IFERROR(VLOOKUP("TIRAMISU CU FISTIC",'FOOD COST'!$A:$Y,24,0),"")</f>
        <v>18.018018018018</v>
      </c>
      <c r="J284" s="32" t="n">
        <f aca="false">IF(OR(C284="",NOT(ISNUMBER(D284))),"",C284*D284)</f>
        <v>2082.08</v>
      </c>
      <c r="K284" s="52" t="n">
        <f aca="false">IF(OR(C284="",NOT(ISNUMBER(E284))),"",C284*E284)</f>
        <v>2082.08</v>
      </c>
      <c r="L284" s="32" t="n">
        <f aca="false">IF(OR(C284="",NOT(ISNUMBER(F284))),"",C284*F284)</f>
        <v>4036.03603603604</v>
      </c>
      <c r="M284" s="32" t="n">
        <f aca="false">IF(OR(C284="",NOT(ISNUMBER(G284))),"",C284*G284)</f>
        <v>4036.03603603604</v>
      </c>
      <c r="N284" s="32" t="n">
        <f aca="false">IF(OR(C284="",NOT(ISNUMBER(H284))),"",C284*H284)</f>
        <v>4036.03603603604</v>
      </c>
      <c r="O284" s="32" t="n">
        <f aca="false">IF(OR(C284="",NOT(ISNUMBER(I284))),"",C284*I284)</f>
        <v>4036.03603603604</v>
      </c>
    </row>
    <row r="285" customFormat="false" ht="15" hidden="false" customHeight="true" outlineLevel="0" collapsed="false">
      <c r="A285" s="5" t="s">
        <v>896</v>
      </c>
      <c r="B285" s="5" t="s">
        <v>645</v>
      </c>
      <c r="C285" s="51" t="n">
        <v>138</v>
      </c>
      <c r="D285" s="29" t="n">
        <f aca="false">IFERROR(VLOOKUP("TIRAMISU CU FISTIC D",'FOOD COST'!$A:$Y,7,0),"")</f>
        <v>9.295</v>
      </c>
      <c r="E285" s="30" t="n">
        <f aca="false">IFERROR(VLOOKUP("TIRAMISU CU FISTIC D",'FOOD COST'!$A:$Y,8,0),"")</f>
        <v>9.295</v>
      </c>
      <c r="F285" s="29" t="n">
        <f aca="false">IFERROR(VLOOKUP("TIRAMISU CU FISTIC D",'FOOD COST'!$A:$Y,10,0),"")</f>
        <v>18.018018018018</v>
      </c>
      <c r="G285" s="29" t="n">
        <f aca="false">IFERROR(VLOOKUP("TIRAMISU CU FISTIC D",'FOOD COST'!$A:$Y,18,0),"")</f>
        <v>18.018018018018</v>
      </c>
      <c r="H285" s="29" t="n">
        <f aca="false">IFERROR(VLOOKUP("TIRAMISU CU FISTIC D",'FOOD COST'!$A:$Y,21,0),"")</f>
        <v>18.018018018018</v>
      </c>
      <c r="I285" s="29" t="n">
        <f aca="false">IFERROR(VLOOKUP("TIRAMISU CU FISTIC D",'FOOD COST'!$A:$Y,24,0),"")</f>
        <v>18.018018018018</v>
      </c>
      <c r="J285" s="32" t="n">
        <f aca="false">IF(OR(C285="",NOT(ISNUMBER(D285))),"",C285*D285)</f>
        <v>1282.71</v>
      </c>
      <c r="K285" s="52" t="n">
        <f aca="false">IF(OR(C285="",NOT(ISNUMBER(E285))),"",C285*E285)</f>
        <v>1282.71</v>
      </c>
      <c r="L285" s="32" t="n">
        <f aca="false">IF(OR(C285="",NOT(ISNUMBER(F285))),"",C285*F285)</f>
        <v>2486.48648648649</v>
      </c>
      <c r="M285" s="32" t="n">
        <f aca="false">IF(OR(C285="",NOT(ISNUMBER(G285))),"",C285*G285)</f>
        <v>2486.48648648649</v>
      </c>
      <c r="N285" s="32" t="n">
        <f aca="false">IF(OR(C285="",NOT(ISNUMBER(H285))),"",C285*H285)</f>
        <v>2486.48648648649</v>
      </c>
      <c r="O285" s="32" t="n">
        <f aca="false">IF(OR(C285="",NOT(ISNUMBER(I285))),"",C285*I285)</f>
        <v>2486.48648648649</v>
      </c>
    </row>
    <row r="286" customFormat="false" ht="15" hidden="false" customHeight="true" outlineLevel="0" collapsed="false">
      <c r="A286" s="5" t="s">
        <v>897</v>
      </c>
      <c r="B286" s="5" t="s">
        <v>642</v>
      </c>
      <c r="C286" s="51" t="n">
        <v>255</v>
      </c>
      <c r="D286" s="29" t="n">
        <f aca="false">IFERROR(VLOOKUP("MANDARINA CU SORBET",'FOOD COST'!$A:$Y,7,0),"")</f>
        <v>11.923</v>
      </c>
      <c r="E286" s="30" t="n">
        <f aca="false">IFERROR(VLOOKUP("MANDARINA CU SORBET",'FOOD COST'!$A:$Y,8,0),"")</f>
        <v>11.923</v>
      </c>
      <c r="F286" s="29" t="n">
        <f aca="false">IFERROR(VLOOKUP("MANDARINA CU SORBET",'FOOD COST'!$A:$Y,10,0),"")</f>
        <v>18.9189189189189</v>
      </c>
      <c r="G286" s="29" t="n">
        <f aca="false">IFERROR(VLOOKUP("MANDARINA CU SORBET",'FOOD COST'!$A:$Y,18,0),"")</f>
        <v>18.9189189189189</v>
      </c>
      <c r="H286" s="29" t="n">
        <f aca="false">IFERROR(VLOOKUP("MANDARINA CU SORBET",'FOOD COST'!$A:$Y,21,0),"")</f>
        <v>18.9189189189189</v>
      </c>
      <c r="I286" s="29" t="n">
        <f aca="false">IFERROR(VLOOKUP("MANDARINA CU SORBET",'FOOD COST'!$A:$Y,24,0),"")</f>
        <v>18.9189189189189</v>
      </c>
      <c r="J286" s="32" t="n">
        <f aca="false">IF(OR(C286="",NOT(ISNUMBER(D286))),"",C286*D286)</f>
        <v>3040.365</v>
      </c>
      <c r="K286" s="52" t="n">
        <f aca="false">IF(OR(C286="",NOT(ISNUMBER(E286))),"",C286*E286)</f>
        <v>3040.365</v>
      </c>
      <c r="L286" s="32" t="n">
        <f aca="false">IF(OR(C286="",NOT(ISNUMBER(F286))),"",C286*F286)</f>
        <v>4824.32432432432</v>
      </c>
      <c r="M286" s="32" t="n">
        <f aca="false">IF(OR(C286="",NOT(ISNUMBER(G286))),"",C286*G286)</f>
        <v>4824.32432432432</v>
      </c>
      <c r="N286" s="32" t="n">
        <f aca="false">IF(OR(C286="",NOT(ISNUMBER(H286))),"",C286*H286)</f>
        <v>4824.32432432432</v>
      </c>
      <c r="O286" s="32" t="n">
        <f aca="false">IF(OR(C286="",NOT(ISNUMBER(I286))),"",C286*I286)</f>
        <v>4824.32432432432</v>
      </c>
    </row>
    <row r="287" customFormat="false" ht="15" hidden="false" customHeight="true" outlineLevel="0" collapsed="false">
      <c r="A287" s="5" t="s">
        <v>898</v>
      </c>
      <c r="B287" s="5" t="s">
        <v>645</v>
      </c>
      <c r="C287" s="51"/>
      <c r="D287" s="29" t="n">
        <f aca="false">IFERROR(VLOOKUP("MANDARINA CU SORBET D",'FOOD COST'!$A:$Y,7,0),"")</f>
        <v>11.923</v>
      </c>
      <c r="E287" s="30" t="n">
        <f aca="false">IFERROR(VLOOKUP("MANDARINA CU SORBET D",'FOOD COST'!$A:$Y,8,0),"")</f>
        <v>11.923</v>
      </c>
      <c r="F287" s="29" t="n">
        <f aca="false">IFERROR(VLOOKUP("MANDARINA CU SORBET D",'FOOD COST'!$A:$Y,10,0),"")</f>
        <v>18.9189189189189</v>
      </c>
      <c r="G287" s="29" t="n">
        <f aca="false">IFERROR(VLOOKUP("MANDARINA CU SORBET D",'FOOD COST'!$A:$Y,18,0),"")</f>
        <v>18.9189189189189</v>
      </c>
      <c r="H287" s="29" t="n">
        <f aca="false">IFERROR(VLOOKUP("MANDARINA CU SORBET D",'FOOD COST'!$A:$Y,21,0),"")</f>
        <v>18.9189189189189</v>
      </c>
      <c r="I287" s="29" t="n">
        <f aca="false">IFERROR(VLOOKUP("MANDARINA CU SORBET D",'FOOD COST'!$A:$Y,24,0),"")</f>
        <v>18.9189189189189</v>
      </c>
      <c r="J287" s="32" t="str">
        <f aca="false">IF(OR(C287="",NOT(ISNUMBER(D287))),"",C287*D287)</f>
        <v/>
      </c>
      <c r="K287" s="52" t="str">
        <f aca="false">IF(OR(C287="",NOT(ISNUMBER(E287))),"",C287*E287)</f>
        <v/>
      </c>
      <c r="L287" s="32" t="str">
        <f aca="false">IF(OR(C287="",NOT(ISNUMBER(F287))),"",C287*F287)</f>
        <v/>
      </c>
      <c r="M287" s="32" t="str">
        <f aca="false">IF(OR(C287="",NOT(ISNUMBER(G287))),"",C287*G287)</f>
        <v/>
      </c>
      <c r="N287" s="32" t="str">
        <f aca="false">IF(OR(C287="",NOT(ISNUMBER(H287))),"",C287*H287)</f>
        <v/>
      </c>
      <c r="O287" s="32" t="str">
        <f aca="false">IF(OR(C287="",NOT(ISNUMBER(I287))),"",C287*I287)</f>
        <v/>
      </c>
    </row>
    <row r="288" customFormat="false" ht="15" hidden="false" customHeight="true" outlineLevel="0" collapsed="false">
      <c r="A288" s="5" t="s">
        <v>899</v>
      </c>
      <c r="B288" s="5" t="s">
        <v>642</v>
      </c>
      <c r="C288" s="51" t="n">
        <v>934</v>
      </c>
      <c r="D288" s="29" t="n">
        <f aca="false">IFERROR(VLOOKUP("Junior Meal Hamburger",'FOOD COST'!$A:$Y,7,0),"")</f>
        <v>23.0303424</v>
      </c>
      <c r="E288" s="30" t="n">
        <f aca="false">IFERROR(VLOOKUP("Junior Meal Hamburger",'FOOD COST'!$A:$Y,8,0),"")</f>
        <v>23.4480124</v>
      </c>
      <c r="F288" s="29" t="n">
        <f aca="false">IFERROR(VLOOKUP("Junior Meal Hamburger",'FOOD COST'!$A:$Y,10,0),"")</f>
        <v>35.1351351351351</v>
      </c>
      <c r="G288" s="29" t="n">
        <f aca="false">IFERROR(VLOOKUP("Junior Meal Hamburger",'FOOD COST'!$A:$Y,18,0),"")</f>
        <v>35.1351351351351</v>
      </c>
      <c r="H288" s="29" t="n">
        <f aca="false">IFERROR(VLOOKUP("Junior Meal Hamburger",'FOOD COST'!$A:$Y,21,0),"")</f>
        <v>35.1351351351351</v>
      </c>
      <c r="I288" s="29" t="n">
        <f aca="false">IFERROR(VLOOKUP("Junior Meal Hamburger",'FOOD COST'!$A:$Y,24,0),"")</f>
        <v>35.1351351351351</v>
      </c>
      <c r="J288" s="32" t="n">
        <f aca="false">IF(OR(C288="",NOT(ISNUMBER(D288))),"",C288*D288)</f>
        <v>21510.3398016</v>
      </c>
      <c r="K288" s="52" t="n">
        <f aca="false">IF(OR(C288="",NOT(ISNUMBER(E288))),"",C288*E288)</f>
        <v>21900.4435816</v>
      </c>
      <c r="L288" s="32" t="n">
        <f aca="false">IF(OR(C288="",NOT(ISNUMBER(F288))),"",C288*F288)</f>
        <v>32816.2162162162</v>
      </c>
      <c r="M288" s="32" t="n">
        <f aca="false">IF(OR(C288="",NOT(ISNUMBER(G288))),"",C288*G288)</f>
        <v>32816.2162162162</v>
      </c>
      <c r="N288" s="32" t="n">
        <f aca="false">IF(OR(C288="",NOT(ISNUMBER(H288))),"",C288*H288)</f>
        <v>32816.2162162162</v>
      </c>
      <c r="O288" s="32" t="n">
        <f aca="false">IF(OR(C288="",NOT(ISNUMBER(I288))),"",C288*I288)</f>
        <v>32816.2162162162</v>
      </c>
    </row>
    <row r="289" customFormat="false" ht="15" hidden="false" customHeight="true" outlineLevel="0" collapsed="false">
      <c r="A289" s="5" t="s">
        <v>900</v>
      </c>
      <c r="B289" s="5" t="s">
        <v>645</v>
      </c>
      <c r="C289" s="51" t="n">
        <v>161</v>
      </c>
      <c r="D289" s="29" t="n">
        <f aca="false">IFERROR(VLOOKUP("Junior Meal Hamburger D",'FOOD COST'!$A:$Y,7,0),"")</f>
        <v>23.0303424</v>
      </c>
      <c r="E289" s="30" t="n">
        <f aca="false">IFERROR(VLOOKUP("Junior Meal Hamburger D",'FOOD COST'!$A:$Y,8,0),"")</f>
        <v>23.4480124</v>
      </c>
      <c r="F289" s="29" t="n">
        <f aca="false">IFERROR(VLOOKUP("Junior Meal Hamburger D",'FOOD COST'!$A:$Y,10,0),"")</f>
        <v>35.1351351351351</v>
      </c>
      <c r="G289" s="29" t="n">
        <f aca="false">IFERROR(VLOOKUP("Junior Meal Hamburger D",'FOOD COST'!$A:$Y,18,0),"")</f>
        <v>35.1351351351351</v>
      </c>
      <c r="H289" s="29" t="n">
        <f aca="false">IFERROR(VLOOKUP("Junior Meal Hamburger D",'FOOD COST'!$A:$Y,21,0),"")</f>
        <v>35.1351351351351</v>
      </c>
      <c r="I289" s="29" t="n">
        <f aca="false">IFERROR(VLOOKUP("Junior Meal Hamburger D",'FOOD COST'!$A:$Y,24,0),"")</f>
        <v>35.1351351351351</v>
      </c>
      <c r="J289" s="32" t="n">
        <f aca="false">IF(OR(C289="",NOT(ISNUMBER(D289))),"",C289*D289)</f>
        <v>3707.8851264</v>
      </c>
      <c r="K289" s="52" t="n">
        <f aca="false">IF(OR(C289="",NOT(ISNUMBER(E289))),"",C289*E289)</f>
        <v>3775.1299964</v>
      </c>
      <c r="L289" s="32" t="n">
        <f aca="false">IF(OR(C289="",NOT(ISNUMBER(F289))),"",C289*F289)</f>
        <v>5656.75675675676</v>
      </c>
      <c r="M289" s="32" t="n">
        <f aca="false">IF(OR(C289="",NOT(ISNUMBER(G289))),"",C289*G289)</f>
        <v>5656.75675675676</v>
      </c>
      <c r="N289" s="32" t="n">
        <f aca="false">IF(OR(C289="",NOT(ISNUMBER(H289))),"",C289*H289)</f>
        <v>5656.75675675676</v>
      </c>
      <c r="O289" s="32" t="n">
        <f aca="false">IF(OR(C289="",NOT(ISNUMBER(I289))),"",C289*I289)</f>
        <v>5656.75675675676</v>
      </c>
    </row>
    <row r="290" customFormat="false" ht="15" hidden="false" customHeight="true" outlineLevel="0" collapsed="false">
      <c r="A290" s="5" t="s">
        <v>901</v>
      </c>
      <c r="B290" s="5" t="s">
        <v>642</v>
      </c>
      <c r="C290" s="51" t="n">
        <v>1744</v>
      </c>
      <c r="D290" s="29" t="n">
        <f aca="false">IFERROR(VLOOKUP("Junior Meal Pui Burger",'FOOD COST'!$A:$Y,7,0),"")</f>
        <v>21.6014244</v>
      </c>
      <c r="E290" s="30" t="n">
        <f aca="false">IFERROR(VLOOKUP("Junior Meal Pui Burger",'FOOD COST'!$A:$Y,8,0),"")</f>
        <v>21.6014244</v>
      </c>
      <c r="F290" s="29" t="n">
        <f aca="false">IFERROR(VLOOKUP("Junior Meal Pui Burger",'FOOD COST'!$A:$Y,10,0),"")</f>
        <v>35.1351351351351</v>
      </c>
      <c r="G290" s="29" t="n">
        <f aca="false">IFERROR(VLOOKUP("Junior Meal Pui Burger",'FOOD COST'!$A:$Y,18,0),"")</f>
        <v>35.1351351351351</v>
      </c>
      <c r="H290" s="29" t="n">
        <f aca="false">IFERROR(VLOOKUP("Junior Meal Pui Burger",'FOOD COST'!$A:$Y,21,0),"")</f>
        <v>35.5765765765766</v>
      </c>
      <c r="I290" s="29" t="n">
        <f aca="false">IFERROR(VLOOKUP("Junior Meal Pui Burger",'FOOD COST'!$A:$Y,24,0),"")</f>
        <v>36.027027027027</v>
      </c>
      <c r="J290" s="32" t="n">
        <f aca="false">IF(OR(C290="",NOT(ISNUMBER(D290))),"",C290*D290)</f>
        <v>37672.8841536</v>
      </c>
      <c r="K290" s="52" t="n">
        <f aca="false">IF(OR(C290="",NOT(ISNUMBER(E290))),"",C290*E290)</f>
        <v>37672.8841536</v>
      </c>
      <c r="L290" s="32" t="n">
        <f aca="false">IF(OR(C290="",NOT(ISNUMBER(F290))),"",C290*F290)</f>
        <v>61275.6756756757</v>
      </c>
      <c r="M290" s="32" t="n">
        <f aca="false">IF(OR(C290="",NOT(ISNUMBER(G290))),"",C290*G290)</f>
        <v>61275.6756756757</v>
      </c>
      <c r="N290" s="32" t="n">
        <f aca="false">IF(OR(C290="",NOT(ISNUMBER(H290))),"",C290*H290)</f>
        <v>62045.5495495496</v>
      </c>
      <c r="O290" s="32" t="n">
        <f aca="false">IF(OR(C290="",NOT(ISNUMBER(I290))),"",C290*I290)</f>
        <v>62831.1351351351</v>
      </c>
    </row>
    <row r="291" customFormat="false" ht="15" hidden="false" customHeight="true" outlineLevel="0" collapsed="false">
      <c r="A291" s="5" t="s">
        <v>902</v>
      </c>
      <c r="B291" s="5" t="s">
        <v>645</v>
      </c>
      <c r="C291" s="51" t="n">
        <v>221</v>
      </c>
      <c r="D291" s="29" t="n">
        <f aca="false">IFERROR(VLOOKUP("Junior Meal Pui Burger D",'FOOD COST'!$A:$Y,7,0),"")</f>
        <v>21.6014244</v>
      </c>
      <c r="E291" s="30" t="n">
        <f aca="false">IFERROR(VLOOKUP("Junior Meal Pui Burger D",'FOOD COST'!$A:$Y,8,0),"")</f>
        <v>21.6014244</v>
      </c>
      <c r="F291" s="29" t="n">
        <f aca="false">IFERROR(VLOOKUP("Junior Meal Pui Burger D",'FOOD COST'!$A:$Y,10,0),"")</f>
        <v>35.1351351351351</v>
      </c>
      <c r="G291" s="29" t="n">
        <f aca="false">IFERROR(VLOOKUP("Junior Meal Pui Burger D",'FOOD COST'!$A:$Y,18,0),"")</f>
        <v>35.1351351351351</v>
      </c>
      <c r="H291" s="29" t="n">
        <f aca="false">IFERROR(VLOOKUP("Junior Meal Pui Burger D",'FOOD COST'!$A:$Y,21,0),"")</f>
        <v>35.5765765765766</v>
      </c>
      <c r="I291" s="29" t="n">
        <f aca="false">IFERROR(VLOOKUP("Junior Meal Pui Burger D",'FOOD COST'!$A:$Y,24,0),"")</f>
        <v>36.027027027027</v>
      </c>
      <c r="J291" s="32" t="n">
        <f aca="false">IF(OR(C291="",NOT(ISNUMBER(D291))),"",C291*D291)</f>
        <v>4773.9147924</v>
      </c>
      <c r="K291" s="52" t="n">
        <f aca="false">IF(OR(C291="",NOT(ISNUMBER(E291))),"",C291*E291)</f>
        <v>4773.9147924</v>
      </c>
      <c r="L291" s="32" t="n">
        <f aca="false">IF(OR(C291="",NOT(ISNUMBER(F291))),"",C291*F291)</f>
        <v>7764.86486486486</v>
      </c>
      <c r="M291" s="32" t="n">
        <f aca="false">IF(OR(C291="",NOT(ISNUMBER(G291))),"",C291*G291)</f>
        <v>7764.86486486486</v>
      </c>
      <c r="N291" s="32" t="n">
        <f aca="false">IF(OR(C291="",NOT(ISNUMBER(H291))),"",C291*H291)</f>
        <v>7862.42342342342</v>
      </c>
      <c r="O291" s="32" t="n">
        <f aca="false">IF(OR(C291="",NOT(ISNUMBER(I291))),"",C291*I291)</f>
        <v>7961.97297297297</v>
      </c>
    </row>
    <row r="292" customFormat="false" ht="15" hidden="false" customHeight="true" outlineLevel="0" collapsed="false">
      <c r="A292" s="5" t="s">
        <v>903</v>
      </c>
      <c r="B292" s="5" t="s">
        <v>642</v>
      </c>
      <c r="C292" s="51" t="n">
        <v>1985</v>
      </c>
      <c r="D292" s="29" t="n">
        <f aca="false">IFERROR(VLOOKUP("Junior Meal 4 Nuggets",'FOOD COST'!$A:$Y,7,0),"")</f>
        <v>20.3611204</v>
      </c>
      <c r="E292" s="30" t="n">
        <f aca="false">IFERROR(VLOOKUP("Junior Meal 4 Nuggets",'FOOD COST'!$A:$Y,8,0),"")</f>
        <v>20.3611204</v>
      </c>
      <c r="F292" s="29" t="n">
        <f aca="false">IFERROR(VLOOKUP("Junior Meal 4 Nuggets",'FOOD COST'!$A:$Y,10,0),"")</f>
        <v>35.1351351351351</v>
      </c>
      <c r="G292" s="29" t="n">
        <f aca="false">IFERROR(VLOOKUP("Junior Meal 4 Nuggets",'FOOD COST'!$A:$Y,18,0),"")</f>
        <v>35.3603603603604</v>
      </c>
      <c r="H292" s="29" t="n">
        <f aca="false">IFERROR(VLOOKUP("Junior Meal 4 Nuggets",'FOOD COST'!$A:$Y,21,0),"")</f>
        <v>35.5855855855856</v>
      </c>
      <c r="I292" s="29" t="n">
        <f aca="false">IFERROR(VLOOKUP("Junior Meal 4 Nuggets",'FOOD COST'!$A:$Y,24,0),"")</f>
        <v>36.027027027027</v>
      </c>
      <c r="J292" s="32" t="n">
        <f aca="false">IF(OR(C292="",NOT(ISNUMBER(D292))),"",C292*D292)</f>
        <v>40416.823994</v>
      </c>
      <c r="K292" s="52" t="n">
        <f aca="false">IF(OR(C292="",NOT(ISNUMBER(E292))),"",C292*E292)</f>
        <v>40416.823994</v>
      </c>
      <c r="L292" s="32" t="n">
        <f aca="false">IF(OR(C292="",NOT(ISNUMBER(F292))),"",C292*F292)</f>
        <v>69743.2432432432</v>
      </c>
      <c r="M292" s="32" t="n">
        <f aca="false">IF(OR(C292="",NOT(ISNUMBER(G292))),"",C292*G292)</f>
        <v>70190.3153153153</v>
      </c>
      <c r="N292" s="32" t="n">
        <f aca="false">IF(OR(C292="",NOT(ISNUMBER(H292))),"",C292*H292)</f>
        <v>70637.3873873874</v>
      </c>
      <c r="O292" s="32" t="n">
        <f aca="false">IF(OR(C292="",NOT(ISNUMBER(I292))),"",C292*I292)</f>
        <v>71513.6486486486</v>
      </c>
    </row>
    <row r="293" customFormat="false" ht="15" hidden="false" customHeight="true" outlineLevel="0" collapsed="false">
      <c r="A293" s="5" t="s">
        <v>904</v>
      </c>
      <c r="B293" s="5" t="s">
        <v>645</v>
      </c>
      <c r="C293" s="51" t="n">
        <v>207</v>
      </c>
      <c r="D293" s="29" t="n">
        <f aca="false">IFERROR(VLOOKUP("Junior Meal 4 Nuggets D",'FOOD COST'!$A:$Y,7,0),"")</f>
        <v>20.3611204</v>
      </c>
      <c r="E293" s="30" t="n">
        <f aca="false">IFERROR(VLOOKUP("Junior Meal 4 Nuggets D",'FOOD COST'!$A:$Y,8,0),"")</f>
        <v>20.3611204</v>
      </c>
      <c r="F293" s="29" t="n">
        <f aca="false">IFERROR(VLOOKUP("Junior Meal 4 Nuggets D",'FOOD COST'!$A:$Y,10,0),"")</f>
        <v>35.1351351351351</v>
      </c>
      <c r="G293" s="29" t="n">
        <f aca="false">IFERROR(VLOOKUP("Junior Meal 4 Nuggets D",'FOOD COST'!$A:$Y,18,0),"")</f>
        <v>35.3603603603604</v>
      </c>
      <c r="H293" s="29" t="n">
        <f aca="false">IFERROR(VLOOKUP("Junior Meal 4 Nuggets D",'FOOD COST'!$A:$Y,21,0),"")</f>
        <v>35.5855855855856</v>
      </c>
      <c r="I293" s="29" t="n">
        <f aca="false">IFERROR(VLOOKUP("Junior Meal 4 Nuggets D",'FOOD COST'!$A:$Y,24,0),"")</f>
        <v>36.027027027027</v>
      </c>
      <c r="J293" s="32" t="n">
        <f aca="false">IF(OR(C293="",NOT(ISNUMBER(D293))),"",C293*D293)</f>
        <v>4214.7519228</v>
      </c>
      <c r="K293" s="52" t="n">
        <f aca="false">IF(OR(C293="",NOT(ISNUMBER(E293))),"",C293*E293)</f>
        <v>4214.7519228</v>
      </c>
      <c r="L293" s="32" t="n">
        <f aca="false">IF(OR(C293="",NOT(ISNUMBER(F293))),"",C293*F293)</f>
        <v>7272.97297297297</v>
      </c>
      <c r="M293" s="32" t="n">
        <f aca="false">IF(OR(C293="",NOT(ISNUMBER(G293))),"",C293*G293)</f>
        <v>7319.59459459459</v>
      </c>
      <c r="N293" s="32" t="n">
        <f aca="false">IF(OR(C293="",NOT(ISNUMBER(H293))),"",C293*H293)</f>
        <v>7366.21621621622</v>
      </c>
      <c r="O293" s="32" t="n">
        <f aca="false">IF(OR(C293="",NOT(ISNUMBER(I293))),"",C293*I293)</f>
        <v>7457.59459459459</v>
      </c>
    </row>
    <row r="294" customFormat="false" ht="15" hidden="false" customHeight="true" outlineLevel="0" collapsed="false">
      <c r="A294" s="53" t="s">
        <v>929</v>
      </c>
      <c r="C294" s="51" t="n">
        <v>3315</v>
      </c>
      <c r="J294" s="54" t="n">
        <v>14245</v>
      </c>
      <c r="K294" s="55" t="n">
        <v>14390</v>
      </c>
      <c r="L294" s="54" t="n">
        <v>0</v>
      </c>
      <c r="M294" s="54" t="n">
        <v>0</v>
      </c>
      <c r="N294" s="54" t="n">
        <v>0</v>
      </c>
      <c r="O294" s="54" t="n">
        <v>0</v>
      </c>
    </row>
    <row r="295" customFormat="false" ht="15" hidden="false" customHeight="true" outlineLevel="0" collapsed="false">
      <c r="A295" s="45" t="s">
        <v>930</v>
      </c>
      <c r="C295" s="56" t="n">
        <f aca="false">SUM(C11:C294)</f>
        <v>1496245</v>
      </c>
      <c r="J295" s="57" t="n">
        <f aca="false">SUM(J11:J294)</f>
        <v>7178746.3168949</v>
      </c>
      <c r="K295" s="57" t="n">
        <f aca="false">SUM(K11:K294)</f>
        <v>7393583.7209749</v>
      </c>
      <c r="L295" s="57" t="n">
        <f aca="false">SUM(L11:L294)</f>
        <v>15976959.1470479</v>
      </c>
      <c r="M295" s="57" t="n">
        <f aca="false">SUM(M11:M294)</f>
        <v>16350953.4083091</v>
      </c>
      <c r="N295" s="57" t="n">
        <f aca="false">SUM(N11:N294)</f>
        <v>16556461.282183</v>
      </c>
      <c r="O295" s="57" t="n">
        <f aca="false">SUM(O11:O294)</f>
        <v>16840111.8227236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2"/>
    <col collapsed="false" customWidth="true" hidden="false" outlineLevel="0" max="5" min="3" style="1" width="8"/>
    <col collapsed="false" customWidth="true" hidden="false" outlineLevel="0" max="6" min="6" style="1" width="7"/>
    <col collapsed="false" customWidth="true" hidden="false" outlineLevel="0" max="7" min="7" style="1" width="8"/>
    <col collapsed="false" customWidth="true" hidden="false" outlineLevel="0" max="8" min="8" style="1" width="7"/>
    <col collapsed="false" customWidth="true" hidden="false" outlineLevel="0" max="9" min="9" style="1" width="8"/>
    <col collapsed="false" customWidth="true" hidden="false" outlineLevel="0" max="10" min="10" style="1" width="7"/>
  </cols>
  <sheetData>
    <row r="1" customFormat="false" ht="17.25" hidden="false" customHeight="true" outlineLevel="0" collapsed="false">
      <c r="A1" s="2" t="s">
        <v>931</v>
      </c>
    </row>
    <row r="2" customFormat="false" ht="15" hidden="false" customHeight="true" outlineLevel="0" collapsed="false">
      <c r="A2" s="3" t="s">
        <v>932</v>
      </c>
    </row>
    <row r="4" customFormat="false" ht="15" hidden="false" customHeight="true" outlineLevel="0" collapsed="false">
      <c r="A4" s="58" t="s">
        <v>933</v>
      </c>
      <c r="B4" s="59"/>
      <c r="C4" s="59"/>
      <c r="D4" s="59"/>
      <c r="E4" s="59"/>
      <c r="F4" s="59"/>
      <c r="G4" s="59"/>
      <c r="H4" s="59"/>
      <c r="I4" s="59"/>
      <c r="J4" s="59"/>
    </row>
    <row r="5" customFormat="false" ht="21.75" hidden="false" customHeight="true" outlineLevel="0" collapsed="false">
      <c r="A5" s="27" t="s">
        <v>618</v>
      </c>
      <c r="B5" s="27" t="s">
        <v>934</v>
      </c>
      <c r="C5" s="27" t="s">
        <v>935</v>
      </c>
      <c r="D5" s="27" t="s">
        <v>936</v>
      </c>
      <c r="E5" s="27" t="s">
        <v>937</v>
      </c>
      <c r="F5" s="27" t="s">
        <v>938</v>
      </c>
      <c r="G5" s="27" t="s">
        <v>939</v>
      </c>
      <c r="H5" s="27" t="s">
        <v>940</v>
      </c>
      <c r="I5" s="27" t="s">
        <v>941</v>
      </c>
      <c r="J5" s="27" t="s">
        <v>942</v>
      </c>
    </row>
    <row r="6" customFormat="false" ht="15" hidden="false" customHeight="true" outlineLevel="0" collapsed="false">
      <c r="A6" s="60" t="s">
        <v>943</v>
      </c>
      <c r="B6" s="61" t="n">
        <v>3398322</v>
      </c>
      <c r="C6" s="62" t="n">
        <v>0.321376180778319</v>
      </c>
      <c r="D6" s="63" t="n">
        <v>0.557988949963856</v>
      </c>
      <c r="E6" s="64" t="n">
        <v>0.574971016949048</v>
      </c>
      <c r="F6" s="65" t="n">
        <v>1.69820669851912</v>
      </c>
      <c r="G6" s="64" t="n">
        <v>0.565988580823429</v>
      </c>
      <c r="H6" s="65" t="n">
        <v>0.799963085957267</v>
      </c>
      <c r="I6" s="64" t="n">
        <v>0.557078092835861</v>
      </c>
      <c r="J6" s="65" t="n">
        <v>-0.0910857127995546</v>
      </c>
    </row>
    <row r="7" customFormat="false" ht="15" hidden="false" customHeight="true" outlineLevel="0" collapsed="false">
      <c r="A7" s="60" t="s">
        <v>944</v>
      </c>
      <c r="B7" s="61" t="n">
        <v>948400</v>
      </c>
      <c r="C7" s="62" t="n">
        <v>0.0896893142704423</v>
      </c>
      <c r="D7" s="63" t="n">
        <v>0.500375491077604</v>
      </c>
      <c r="E7" s="64" t="n">
        <v>0.487172190109392</v>
      </c>
      <c r="F7" s="65" t="n">
        <v>-1.32033009682123</v>
      </c>
      <c r="G7" s="64" t="n">
        <v>0.478210206086709</v>
      </c>
      <c r="H7" s="65" t="n">
        <v>-2.21652849908945</v>
      </c>
      <c r="I7" s="64" t="n">
        <v>0.469419235668072</v>
      </c>
      <c r="J7" s="65" t="n">
        <v>-3.09562554095322</v>
      </c>
    </row>
    <row r="8" customFormat="false" ht="15" hidden="false" customHeight="true" outlineLevel="0" collapsed="false">
      <c r="A8" s="60" t="s">
        <v>945</v>
      </c>
      <c r="B8" s="61" t="n">
        <v>267185</v>
      </c>
      <c r="C8" s="62" t="n">
        <v>0.0252674393012949</v>
      </c>
      <c r="D8" s="63" t="n">
        <v>0.417757351687057</v>
      </c>
      <c r="E8" s="64" t="n">
        <v>0.417757351687057</v>
      </c>
      <c r="F8" s="65" t="n">
        <v>0</v>
      </c>
      <c r="G8" s="64" t="n">
        <v>0.417757351687057</v>
      </c>
      <c r="H8" s="65" t="n">
        <v>0</v>
      </c>
      <c r="I8" s="64" t="n">
        <v>0.417757351687057</v>
      </c>
      <c r="J8" s="65" t="n">
        <v>0</v>
      </c>
    </row>
    <row r="9" customFormat="false" ht="15" hidden="false" customHeight="true" outlineLevel="0" collapsed="false">
      <c r="A9" s="60" t="s">
        <v>946</v>
      </c>
      <c r="B9" s="61" t="n">
        <v>144580</v>
      </c>
      <c r="C9" s="62" t="n">
        <v>0.0136727974032271</v>
      </c>
      <c r="D9" s="63" t="n">
        <v>0.442664935956232</v>
      </c>
      <c r="E9" s="64" t="n">
        <v>0.442664935956232</v>
      </c>
      <c r="F9" s="65" t="n">
        <v>0</v>
      </c>
      <c r="G9" s="64" t="n">
        <v>0.442664935956232</v>
      </c>
      <c r="H9" s="65" t="n">
        <v>0</v>
      </c>
      <c r="I9" s="64" t="n">
        <v>0.442664935956232</v>
      </c>
      <c r="J9" s="65" t="n">
        <v>0</v>
      </c>
    </row>
    <row r="10" customFormat="false" ht="15" hidden="false" customHeight="true" outlineLevel="0" collapsed="false">
      <c r="A10" s="60" t="s">
        <v>947</v>
      </c>
      <c r="B10" s="61" t="n">
        <v>1096926.85950413</v>
      </c>
      <c r="C10" s="62" t="n">
        <v>0.103735362540864</v>
      </c>
      <c r="D10" s="63" t="n">
        <v>0.474190425019163</v>
      </c>
      <c r="E10" s="64" t="n">
        <v>0.474190425019163</v>
      </c>
      <c r="F10" s="65" t="n">
        <v>0</v>
      </c>
      <c r="G10" s="64" t="n">
        <v>0.474190425019163</v>
      </c>
      <c r="H10" s="65" t="n">
        <v>0</v>
      </c>
      <c r="I10" s="64" t="n">
        <v>0.474190425019163</v>
      </c>
      <c r="J10" s="65" t="n">
        <v>0</v>
      </c>
    </row>
    <row r="11" customFormat="false" ht="15" hidden="false" customHeight="true" outlineLevel="0" collapsed="false">
      <c r="A11" s="60" t="s">
        <v>389</v>
      </c>
      <c r="B11" s="61" t="n">
        <v>1057501</v>
      </c>
      <c r="C11" s="62" t="n">
        <v>0.100006895329299</v>
      </c>
      <c r="D11" s="63" t="n">
        <v>0.504982543925444</v>
      </c>
      <c r="E11" s="64" t="n">
        <v>0.499361686699746</v>
      </c>
      <c r="F11" s="65" t="n">
        <v>-0.562085722569816</v>
      </c>
      <c r="G11" s="64" t="n">
        <v>0.494478817517278</v>
      </c>
      <c r="H11" s="65" t="n">
        <v>-1.05037264081662</v>
      </c>
      <c r="I11" s="64" t="n">
        <v>0.485180186819886</v>
      </c>
      <c r="J11" s="65" t="n">
        <v>-1.98023571055578</v>
      </c>
    </row>
    <row r="12" customFormat="false" ht="15" hidden="false" customHeight="true" outlineLevel="0" collapsed="false">
      <c r="A12" s="60" t="s">
        <v>948</v>
      </c>
      <c r="B12" s="61" t="n">
        <v>402905</v>
      </c>
      <c r="C12" s="62" t="n">
        <v>0.038102354666947</v>
      </c>
      <c r="D12" s="63" t="n">
        <v>0.554444650710072</v>
      </c>
      <c r="E12" s="64" t="n">
        <v>0.549080863045962</v>
      </c>
      <c r="F12" s="65" t="n">
        <v>-0.53637876641105</v>
      </c>
      <c r="G12" s="64" t="n">
        <v>0.547029350664736</v>
      </c>
      <c r="H12" s="65" t="n">
        <v>-0.741530004533642</v>
      </c>
      <c r="I12" s="64" t="n">
        <v>0.544007495269258</v>
      </c>
      <c r="J12" s="65" t="n">
        <v>-1.04371554408141</v>
      </c>
    </row>
    <row r="13" customFormat="false" ht="15" hidden="false" customHeight="true" outlineLevel="0" collapsed="false">
      <c r="A13" s="60" t="s">
        <v>949</v>
      </c>
      <c r="B13" s="61" t="n">
        <v>2109776.21621621</v>
      </c>
      <c r="C13" s="62" t="n">
        <v>0.199519593100506</v>
      </c>
      <c r="D13" s="63" t="n">
        <v>0.34391815619825</v>
      </c>
      <c r="E13" s="64" t="n">
        <v>0.337155506792251</v>
      </c>
      <c r="F13" s="65" t="n">
        <v>-0.676264940599969</v>
      </c>
      <c r="G13" s="64" t="n">
        <v>0.33065368390574</v>
      </c>
      <c r="H13" s="65" t="n">
        <v>-1.326447229251</v>
      </c>
      <c r="I13" s="64" t="n">
        <v>0.31861104202257</v>
      </c>
      <c r="J13" s="65" t="n">
        <v>-2.53071141756804</v>
      </c>
    </row>
    <row r="14" customFormat="false" ht="15" hidden="false" customHeight="true" outlineLevel="0" collapsed="false">
      <c r="A14" s="60" t="s">
        <v>950</v>
      </c>
      <c r="B14" s="61" t="n">
        <v>1116305</v>
      </c>
      <c r="C14" s="62" t="n">
        <v>0.105567935435118</v>
      </c>
      <c r="D14" s="63" t="n">
        <v>0.31647517812744</v>
      </c>
      <c r="E14" s="64" t="n">
        <v>0.313506390468934</v>
      </c>
      <c r="F14" s="65" t="n">
        <v>-0.296878765850522</v>
      </c>
      <c r="G14" s="64" t="n">
        <v>0.307732835341581</v>
      </c>
      <c r="H14" s="65" t="n">
        <v>-0.874234278585867</v>
      </c>
      <c r="I14" s="64" t="n">
        <v>0.302441540453467</v>
      </c>
      <c r="J14" s="65" t="n">
        <v>-1.40336376739728</v>
      </c>
    </row>
    <row r="15" customFormat="false" ht="15" hidden="false" customHeight="true" outlineLevel="0" collapsed="false">
      <c r="A15" s="60" t="s">
        <v>951</v>
      </c>
      <c r="B15" s="61" t="n">
        <v>32378</v>
      </c>
      <c r="C15" s="62" t="n">
        <v>0.0030619576312193</v>
      </c>
      <c r="D15" s="63" t="n">
        <v>0.154521450751252</v>
      </c>
      <c r="E15" s="64" t="n">
        <v>0.154521450751252</v>
      </c>
      <c r="F15" s="65" t="n">
        <v>0</v>
      </c>
      <c r="G15" s="64" t="n">
        <v>0.154521450751252</v>
      </c>
      <c r="H15" s="65" t="n">
        <v>0</v>
      </c>
      <c r="I15" s="64" t="n">
        <v>0.154521450751252</v>
      </c>
      <c r="J15" s="65" t="n">
        <v>0</v>
      </c>
    </row>
    <row r="16" customFormat="false" ht="15" hidden="false" customHeight="true" outlineLevel="0" collapsed="false">
      <c r="A16" s="66" t="s">
        <v>952</v>
      </c>
      <c r="B16" s="67" t="n">
        <v>10574280.8685131</v>
      </c>
      <c r="C16" s="68" t="n">
        <v>1</v>
      </c>
      <c r="D16" s="69" t="n">
        <v>0.464129765284786</v>
      </c>
      <c r="E16" s="69" t="n">
        <v>0.466878404547309</v>
      </c>
      <c r="F16" s="70" t="n">
        <v>0.274863926252367</v>
      </c>
      <c r="G16" s="69" t="n">
        <v>0.460489874238341</v>
      </c>
      <c r="H16" s="70" t="n">
        <v>-0.36398910464448</v>
      </c>
      <c r="I16" s="69" t="n">
        <v>0.452153027459413</v>
      </c>
      <c r="J16" s="70" t="n">
        <v>-1.19767378253728</v>
      </c>
    </row>
    <row r="18" customFormat="false" ht="15" hidden="false" customHeight="true" outlineLevel="0" collapsed="false">
      <c r="A18" s="58" t="s">
        <v>953</v>
      </c>
      <c r="B18" s="59"/>
      <c r="C18" s="59"/>
      <c r="D18" s="59"/>
      <c r="E18" s="59"/>
      <c r="F18" s="59"/>
      <c r="G18" s="59"/>
      <c r="H18" s="59"/>
      <c r="I18" s="59"/>
      <c r="J18" s="59"/>
    </row>
    <row r="19" customFormat="false" ht="21.75" hidden="false" customHeight="true" outlineLevel="0" collapsed="false">
      <c r="A19" s="27" t="s">
        <v>618</v>
      </c>
      <c r="B19" s="27" t="s">
        <v>934</v>
      </c>
      <c r="C19" s="27" t="s">
        <v>935</v>
      </c>
      <c r="D19" s="27" t="s">
        <v>936</v>
      </c>
      <c r="E19" s="27" t="s">
        <v>937</v>
      </c>
      <c r="F19" s="27" t="s">
        <v>938</v>
      </c>
      <c r="G19" s="27" t="s">
        <v>939</v>
      </c>
      <c r="H19" s="27" t="s">
        <v>940</v>
      </c>
      <c r="I19" s="27" t="s">
        <v>941</v>
      </c>
      <c r="J19" s="27" t="s">
        <v>942</v>
      </c>
    </row>
    <row r="20" customFormat="false" ht="15" hidden="false" customHeight="true" outlineLevel="0" collapsed="false">
      <c r="A20" s="60" t="s">
        <v>943</v>
      </c>
      <c r="B20" s="61" t="n">
        <v>2015679</v>
      </c>
      <c r="C20" s="62" t="n">
        <v>0.373088845213762</v>
      </c>
      <c r="D20" s="63" t="n">
        <v>0.486548290785956</v>
      </c>
      <c r="E20" s="64" t="n">
        <v>0.501171511143625</v>
      </c>
      <c r="F20" s="65" t="n">
        <v>1.46232203576698</v>
      </c>
      <c r="G20" s="64" t="n">
        <v>0.496845628069691</v>
      </c>
      <c r="H20" s="65" t="n">
        <v>1.02973372837356</v>
      </c>
      <c r="I20" s="64" t="n">
        <v>0.491476480220213</v>
      </c>
      <c r="J20" s="65" t="n">
        <v>0.492818943425705</v>
      </c>
    </row>
    <row r="21" customFormat="false" ht="15" hidden="false" customHeight="true" outlineLevel="0" collapsed="false">
      <c r="A21" s="60" t="s">
        <v>944</v>
      </c>
      <c r="B21" s="61" t="n">
        <v>526644</v>
      </c>
      <c r="C21" s="62" t="n">
        <v>0.0974783196127739</v>
      </c>
      <c r="D21" s="63" t="n">
        <v>0.418675958429387</v>
      </c>
      <c r="E21" s="64" t="n">
        <v>0.40636396269154</v>
      </c>
      <c r="F21" s="65" t="n">
        <v>-1.23119957378472</v>
      </c>
      <c r="G21" s="64" t="n">
        <v>0.401883989069751</v>
      </c>
      <c r="H21" s="65" t="n">
        <v>-1.67919693596357</v>
      </c>
      <c r="I21" s="64" t="n">
        <v>0.397441324889805</v>
      </c>
      <c r="J21" s="65" t="n">
        <v>-2.12346335395816</v>
      </c>
    </row>
    <row r="22" customFormat="false" ht="15" hidden="false" customHeight="true" outlineLevel="0" collapsed="false">
      <c r="A22" s="60" t="s">
        <v>945</v>
      </c>
      <c r="B22" s="61" t="n">
        <v>106246</v>
      </c>
      <c r="C22" s="62" t="n">
        <v>0.0196654315734705</v>
      </c>
      <c r="D22" s="63" t="n">
        <v>0.457960422336185</v>
      </c>
      <c r="E22" s="64" t="n">
        <v>0.457960422336185</v>
      </c>
      <c r="F22" s="65" t="n">
        <v>0</v>
      </c>
      <c r="G22" s="64" t="n">
        <v>0.457960422336185</v>
      </c>
      <c r="H22" s="65" t="n">
        <v>0</v>
      </c>
      <c r="I22" s="64" t="n">
        <v>0.457960422336185</v>
      </c>
      <c r="J22" s="65" t="n">
        <v>0</v>
      </c>
    </row>
    <row r="23" customFormat="false" ht="15" hidden="false" customHeight="true" outlineLevel="0" collapsed="false">
      <c r="A23" s="60" t="s">
        <v>946</v>
      </c>
      <c r="B23" s="61" t="n">
        <v>67386</v>
      </c>
      <c r="C23" s="62" t="n">
        <v>0.0124727027089009</v>
      </c>
      <c r="D23" s="63" t="n">
        <v>0.391227470547341</v>
      </c>
      <c r="E23" s="64" t="n">
        <v>0.391227470547341</v>
      </c>
      <c r="F23" s="65" t="n">
        <v>0</v>
      </c>
      <c r="G23" s="64" t="n">
        <v>0.391227470547341</v>
      </c>
      <c r="H23" s="65" t="n">
        <v>0</v>
      </c>
      <c r="I23" s="64" t="n">
        <v>0.391227470547341</v>
      </c>
      <c r="J23" s="65" t="n">
        <v>0</v>
      </c>
    </row>
    <row r="24" customFormat="false" ht="15" hidden="false" customHeight="true" outlineLevel="0" collapsed="false">
      <c r="A24" s="60" t="s">
        <v>947</v>
      </c>
      <c r="B24" s="61" t="n">
        <v>81600.0082644629</v>
      </c>
      <c r="C24" s="62" t="n">
        <v>0.0151036215849954</v>
      </c>
      <c r="D24" s="63" t="n">
        <v>0.32370121061009</v>
      </c>
      <c r="E24" s="64" t="n">
        <v>0.32370121061009</v>
      </c>
      <c r="F24" s="65" t="n">
        <v>0</v>
      </c>
      <c r="G24" s="64" t="n">
        <v>0.32370121061009</v>
      </c>
      <c r="H24" s="65" t="n">
        <v>0</v>
      </c>
      <c r="I24" s="64" t="n">
        <v>0.32370121061009</v>
      </c>
      <c r="J24" s="65" t="n">
        <v>0</v>
      </c>
    </row>
    <row r="25" customFormat="false" ht="15" hidden="false" customHeight="true" outlineLevel="0" collapsed="false">
      <c r="A25" s="60" t="s">
        <v>389</v>
      </c>
      <c r="B25" s="61" t="n">
        <v>675113</v>
      </c>
      <c r="C25" s="62" t="n">
        <v>0.124958949097946</v>
      </c>
      <c r="D25" s="63" t="n">
        <v>0.418874561883303</v>
      </c>
      <c r="E25" s="64" t="n">
        <v>0.414975747407983</v>
      </c>
      <c r="F25" s="65" t="n">
        <v>-0.389881447531987</v>
      </c>
      <c r="G25" s="64" t="n">
        <v>0.411637789642963</v>
      </c>
      <c r="H25" s="65" t="n">
        <v>-0.723677224033997</v>
      </c>
      <c r="I25" s="64" t="n">
        <v>0.405248745743663</v>
      </c>
      <c r="J25" s="65" t="n">
        <v>-1.36258161396397</v>
      </c>
    </row>
    <row r="26" customFormat="false" ht="15" hidden="false" customHeight="true" outlineLevel="0" collapsed="false">
      <c r="A26" s="60" t="s">
        <v>948</v>
      </c>
      <c r="B26" s="61" t="n">
        <v>286466</v>
      </c>
      <c r="C26" s="62" t="n">
        <v>0.0530229610632475</v>
      </c>
      <c r="D26" s="63" t="n">
        <v>0.689647757145948</v>
      </c>
      <c r="E26" s="64" t="n">
        <v>0.681980443264137</v>
      </c>
      <c r="F26" s="65" t="n">
        <v>-0.766731388181108</v>
      </c>
      <c r="G26" s="64" t="n">
        <v>0.680579155772201</v>
      </c>
      <c r="H26" s="65" t="n">
        <v>-0.906860137374643</v>
      </c>
      <c r="I26" s="64" t="n">
        <v>0.67806245577313</v>
      </c>
      <c r="J26" s="65" t="n">
        <v>-1.15853013728174</v>
      </c>
    </row>
    <row r="27" customFormat="false" ht="15" hidden="false" customHeight="true" outlineLevel="0" collapsed="false">
      <c r="A27" s="60" t="s">
        <v>949</v>
      </c>
      <c r="B27" s="61" t="n">
        <v>1086484.01801802</v>
      </c>
      <c r="C27" s="62" t="n">
        <v>0.201101002503648</v>
      </c>
      <c r="D27" s="63" t="n">
        <v>0.276014431318516</v>
      </c>
      <c r="E27" s="64" t="n">
        <v>0.271917620056747</v>
      </c>
      <c r="F27" s="65" t="n">
        <v>-0.409681126176958</v>
      </c>
      <c r="G27" s="64" t="n">
        <v>0.267940645916543</v>
      </c>
      <c r="H27" s="65" t="n">
        <v>-0.807378540197312</v>
      </c>
      <c r="I27" s="64" t="n">
        <v>0.260473827671371</v>
      </c>
      <c r="J27" s="65" t="n">
        <v>-1.55406036471455</v>
      </c>
    </row>
    <row r="28" customFormat="false" ht="15" hidden="false" customHeight="true" outlineLevel="0" collapsed="false">
      <c r="A28" s="60" t="s">
        <v>950</v>
      </c>
      <c r="B28" s="61" t="n">
        <v>540124</v>
      </c>
      <c r="C28" s="62" t="n">
        <v>0.0999733784160266</v>
      </c>
      <c r="D28" s="63" t="n">
        <v>0.31718668683711</v>
      </c>
      <c r="E28" s="64" t="n">
        <v>0.314670789363349</v>
      </c>
      <c r="F28" s="65" t="n">
        <v>-0.251589747376052</v>
      </c>
      <c r="G28" s="64" t="n">
        <v>0.309756859910012</v>
      </c>
      <c r="H28" s="65" t="n">
        <v>-0.742982692709715</v>
      </c>
      <c r="I28" s="64" t="n">
        <v>0.305228703035207</v>
      </c>
      <c r="J28" s="65" t="n">
        <v>-1.19579838019028</v>
      </c>
    </row>
    <row r="29" customFormat="false" ht="15" hidden="false" customHeight="true" outlineLevel="0" collapsed="false">
      <c r="A29" s="60" t="s">
        <v>951</v>
      </c>
      <c r="B29" s="61" t="n">
        <v>16937</v>
      </c>
      <c r="C29" s="62" t="n">
        <v>0.00313492662838949</v>
      </c>
      <c r="D29" s="63" t="n">
        <v>0.145078180851064</v>
      </c>
      <c r="E29" s="64" t="n">
        <v>0.145078180851064</v>
      </c>
      <c r="F29" s="65" t="n">
        <v>0</v>
      </c>
      <c r="G29" s="64" t="n">
        <v>0.145078180851064</v>
      </c>
      <c r="H29" s="65" t="n">
        <v>0</v>
      </c>
      <c r="I29" s="64" t="n">
        <v>0.145078180851064</v>
      </c>
      <c r="J29" s="65" t="n">
        <v>0</v>
      </c>
    </row>
    <row r="30" customFormat="false" ht="15" hidden="false" customHeight="true" outlineLevel="0" collapsed="false">
      <c r="A30" s="66" t="s">
        <v>952</v>
      </c>
      <c r="B30" s="67" t="n">
        <v>5402678.27853474</v>
      </c>
      <c r="C30" s="68" t="n">
        <v>1</v>
      </c>
      <c r="D30" s="69" t="n">
        <v>0.417693355590393</v>
      </c>
      <c r="E30" s="69" t="n">
        <v>0.420894704161716</v>
      </c>
      <c r="F30" s="70" t="n">
        <v>0.320134857132343</v>
      </c>
      <c r="G30" s="69" t="n">
        <v>0.416718429694081</v>
      </c>
      <c r="H30" s="70" t="n">
        <v>-0.097492589631154</v>
      </c>
      <c r="I30" s="69" t="n">
        <v>0.410732464816568</v>
      </c>
      <c r="J30" s="70" t="n">
        <v>-0.696089077382489</v>
      </c>
    </row>
    <row r="32" customFormat="false" ht="15" hidden="false" customHeight="true" outlineLevel="0" collapsed="false">
      <c r="A32" s="58" t="s">
        <v>954</v>
      </c>
      <c r="B32" s="59"/>
      <c r="C32" s="59"/>
      <c r="D32" s="59"/>
      <c r="E32" s="59"/>
      <c r="F32" s="59"/>
      <c r="G32" s="59"/>
      <c r="H32" s="59"/>
      <c r="I32" s="59"/>
      <c r="J32" s="59"/>
    </row>
    <row r="33" customFormat="false" ht="21.75" hidden="false" customHeight="true" outlineLevel="0" collapsed="false">
      <c r="A33" s="27" t="s">
        <v>618</v>
      </c>
      <c r="B33" s="27" t="s">
        <v>934</v>
      </c>
      <c r="C33" s="27" t="s">
        <v>935</v>
      </c>
      <c r="D33" s="27" t="s">
        <v>936</v>
      </c>
      <c r="E33" s="27" t="s">
        <v>937</v>
      </c>
      <c r="F33" s="27" t="s">
        <v>938</v>
      </c>
      <c r="G33" s="27" t="s">
        <v>939</v>
      </c>
      <c r="H33" s="27" t="s">
        <v>940</v>
      </c>
      <c r="I33" s="27" t="s">
        <v>941</v>
      </c>
      <c r="J33" s="27" t="s">
        <v>942</v>
      </c>
    </row>
    <row r="34" customFormat="false" ht="15" hidden="false" customHeight="true" outlineLevel="0" collapsed="false">
      <c r="A34" s="60" t="s">
        <v>943</v>
      </c>
      <c r="B34" s="61" t="n">
        <v>5414001</v>
      </c>
      <c r="C34" s="62" t="n">
        <v>0.338863043347042</v>
      </c>
      <c r="D34" s="63" t="n">
        <v>0.531390977644482</v>
      </c>
      <c r="E34" s="64" t="n">
        <v>0.547447180820466</v>
      </c>
      <c r="F34" s="65" t="n">
        <v>1.60562031759834</v>
      </c>
      <c r="G34" s="64" t="n">
        <v>0.540315751138302</v>
      </c>
      <c r="H34" s="65" t="n">
        <v>0.892477349381993</v>
      </c>
      <c r="I34" s="64" t="n">
        <v>0.532796733741469</v>
      </c>
      <c r="J34" s="65" t="n">
        <v>0.140575609698679</v>
      </c>
    </row>
    <row r="35" customFormat="false" ht="15" hidden="false" customHeight="true" outlineLevel="0" collapsed="false">
      <c r="A35" s="60" t="s">
        <v>944</v>
      </c>
      <c r="B35" s="61" t="n">
        <v>1475044</v>
      </c>
      <c r="C35" s="62" t="n">
        <v>0.0923232003301798</v>
      </c>
      <c r="D35" s="63" t="n">
        <v>0.471205817100583</v>
      </c>
      <c r="E35" s="64" t="n">
        <v>0.458263084828841</v>
      </c>
      <c r="F35" s="65" t="n">
        <v>-1.29427322717425</v>
      </c>
      <c r="G35" s="64" t="n">
        <v>0.451035601136659</v>
      </c>
      <c r="H35" s="65" t="n">
        <v>-2.01702159639241</v>
      </c>
      <c r="I35" s="64" t="n">
        <v>0.443915382905363</v>
      </c>
      <c r="J35" s="65" t="n">
        <v>-2.72904341952205</v>
      </c>
    </row>
    <row r="36" customFormat="false" ht="15" hidden="false" customHeight="true" outlineLevel="0" collapsed="false">
      <c r="A36" s="60" t="s">
        <v>945</v>
      </c>
      <c r="B36" s="61" t="n">
        <v>373431</v>
      </c>
      <c r="C36" s="62" t="n">
        <v>0.0233730960042544</v>
      </c>
      <c r="D36" s="63" t="n">
        <v>0.42919566047074</v>
      </c>
      <c r="E36" s="64" t="n">
        <v>0.42919566047074</v>
      </c>
      <c r="F36" s="65" t="n">
        <v>0</v>
      </c>
      <c r="G36" s="64" t="n">
        <v>0.42919566047074</v>
      </c>
      <c r="H36" s="65" t="n">
        <v>0</v>
      </c>
      <c r="I36" s="64" t="n">
        <v>0.42919566047074</v>
      </c>
      <c r="J36" s="65" t="n">
        <v>0</v>
      </c>
    </row>
    <row r="37" customFormat="false" ht="15" hidden="false" customHeight="true" outlineLevel="0" collapsed="false">
      <c r="A37" s="60" t="s">
        <v>946</v>
      </c>
      <c r="B37" s="61" t="n">
        <v>211966</v>
      </c>
      <c r="C37" s="62" t="n">
        <v>0.0132669801586847</v>
      </c>
      <c r="D37" s="63" t="n">
        <v>0.42631256077388</v>
      </c>
      <c r="E37" s="64" t="n">
        <v>0.42631256077388</v>
      </c>
      <c r="F37" s="65" t="n">
        <v>0</v>
      </c>
      <c r="G37" s="64" t="n">
        <v>0.42631256077388</v>
      </c>
      <c r="H37" s="65" t="n">
        <v>0</v>
      </c>
      <c r="I37" s="64" t="n">
        <v>0.42631256077388</v>
      </c>
      <c r="J37" s="65" t="n">
        <v>0</v>
      </c>
    </row>
    <row r="38" customFormat="false" ht="15" hidden="false" customHeight="true" outlineLevel="0" collapsed="false">
      <c r="A38" s="60" t="s">
        <v>947</v>
      </c>
      <c r="B38" s="61" t="n">
        <v>1178526.8677686</v>
      </c>
      <c r="C38" s="62" t="n">
        <v>0.0737641535489784</v>
      </c>
      <c r="D38" s="63" t="n">
        <v>0.463770704030753</v>
      </c>
      <c r="E38" s="64" t="n">
        <v>0.463770704030753</v>
      </c>
      <c r="F38" s="65" t="n">
        <v>0</v>
      </c>
      <c r="G38" s="64" t="n">
        <v>0.463770704030753</v>
      </c>
      <c r="H38" s="65" t="n">
        <v>0</v>
      </c>
      <c r="I38" s="64" t="n">
        <v>0.463770704030753</v>
      </c>
      <c r="J38" s="65" t="n">
        <v>0</v>
      </c>
    </row>
    <row r="39" customFormat="false" ht="15" hidden="false" customHeight="true" outlineLevel="0" collapsed="false">
      <c r="A39" s="60" t="s">
        <v>389</v>
      </c>
      <c r="B39" s="61" t="n">
        <v>1732614</v>
      </c>
      <c r="C39" s="62" t="n">
        <v>0.10844454092005</v>
      </c>
      <c r="D39" s="63" t="n">
        <v>0.471430589518779</v>
      </c>
      <c r="E39" s="64" t="n">
        <v>0.466517680904518</v>
      </c>
      <c r="F39" s="65" t="n">
        <v>-0.491290861426097</v>
      </c>
      <c r="G39" s="64" t="n">
        <v>0.462270567871801</v>
      </c>
      <c r="H39" s="65" t="n">
        <v>-0.916002164697827</v>
      </c>
      <c r="I39" s="64" t="n">
        <v>0.454166613480994</v>
      </c>
      <c r="J39" s="65" t="n">
        <v>-1.72639760377846</v>
      </c>
    </row>
    <row r="40" customFormat="false" ht="15" hidden="false" customHeight="true" outlineLevel="0" collapsed="false">
      <c r="A40" s="60" t="s">
        <v>948</v>
      </c>
      <c r="B40" s="61" t="n">
        <v>689372</v>
      </c>
      <c r="C40" s="62" t="n">
        <v>0.0431478852549597</v>
      </c>
      <c r="D40" s="63" t="n">
        <v>0.610627877733917</v>
      </c>
      <c r="E40" s="64" t="n">
        <v>0.604308618584587</v>
      </c>
      <c r="F40" s="65" t="n">
        <v>-0.631925914932985</v>
      </c>
      <c r="G40" s="64" t="n">
        <v>0.602472622165319</v>
      </c>
      <c r="H40" s="65" t="n">
        <v>-0.815525556859775</v>
      </c>
      <c r="I40" s="64" t="n">
        <v>0.599600774665171</v>
      </c>
      <c r="J40" s="65" t="n">
        <v>-1.1027103068746</v>
      </c>
    </row>
    <row r="41" customFormat="false" ht="15" hidden="false" customHeight="true" outlineLevel="0" collapsed="false">
      <c r="A41" s="60" t="s">
        <v>949</v>
      </c>
      <c r="B41" s="61" t="n">
        <v>3196260.23423423</v>
      </c>
      <c r="C41" s="62" t="n">
        <v>0.200054353573584</v>
      </c>
      <c r="D41" s="63" t="n">
        <v>0.320836083263285</v>
      </c>
      <c r="E41" s="64" t="n">
        <v>0.315051363280776</v>
      </c>
      <c r="F41" s="65" t="n">
        <v>-0.578471998250862</v>
      </c>
      <c r="G41" s="64" t="n">
        <v>0.309471547486511</v>
      </c>
      <c r="H41" s="65" t="n">
        <v>-1.13645357767742</v>
      </c>
      <c r="I41" s="64" t="n">
        <v>0.299089205985665</v>
      </c>
      <c r="J41" s="65" t="n">
        <v>-2.17468772776203</v>
      </c>
    </row>
    <row r="42" customFormat="false" ht="15" hidden="false" customHeight="true" outlineLevel="0" collapsed="false">
      <c r="A42" s="60" t="s">
        <v>950</v>
      </c>
      <c r="B42" s="61" t="n">
        <v>1656429</v>
      </c>
      <c r="C42" s="62" t="n">
        <v>0.103676111627666</v>
      </c>
      <c r="D42" s="63" t="n">
        <v>0.316707184893581</v>
      </c>
      <c r="E42" s="64" t="n">
        <v>0.313885700519734</v>
      </c>
      <c r="F42" s="65" t="n">
        <v>-0.282148437384661</v>
      </c>
      <c r="G42" s="64" t="n">
        <v>0.308390908045239</v>
      </c>
      <c r="H42" s="65" t="n">
        <v>-0.831627684834246</v>
      </c>
      <c r="I42" s="64" t="n">
        <v>0.303346132695092</v>
      </c>
      <c r="J42" s="65" t="n">
        <v>-1.33610521984891</v>
      </c>
    </row>
    <row r="43" customFormat="false" ht="15" hidden="false" customHeight="true" outlineLevel="0" collapsed="false">
      <c r="A43" s="60" t="s">
        <v>951</v>
      </c>
      <c r="B43" s="61" t="n">
        <v>49315</v>
      </c>
      <c r="C43" s="62" t="n">
        <v>0.00308663241522478</v>
      </c>
      <c r="D43" s="63" t="n">
        <v>0.151278237851663</v>
      </c>
      <c r="E43" s="64" t="n">
        <v>0.151278237851663</v>
      </c>
      <c r="F43" s="65" t="n">
        <v>0</v>
      </c>
      <c r="G43" s="64" t="n">
        <v>0.151278237851663</v>
      </c>
      <c r="H43" s="65" t="n">
        <v>0</v>
      </c>
      <c r="I43" s="64" t="n">
        <v>0.151278237851663</v>
      </c>
      <c r="J43" s="65" t="n">
        <v>0</v>
      </c>
    </row>
    <row r="44" customFormat="false" ht="15" hidden="false" customHeight="true" outlineLevel="0" collapsed="false">
      <c r="A44" s="66" t="s">
        <v>952</v>
      </c>
      <c r="B44" s="67" t="n">
        <v>15976959.1470479</v>
      </c>
      <c r="C44" s="68" t="n">
        <v>1</v>
      </c>
      <c r="D44" s="69" t="n">
        <v>0.44842709122272</v>
      </c>
      <c r="E44" s="69" t="n">
        <v>0.451300516655193</v>
      </c>
      <c r="F44" s="70" t="n">
        <v>0.287342543247282</v>
      </c>
      <c r="G44" s="69" t="n">
        <v>0.445698727234419</v>
      </c>
      <c r="H44" s="70" t="n">
        <v>-0.272836398830123</v>
      </c>
      <c r="I44" s="69" t="n">
        <v>0.438191491758246</v>
      </c>
      <c r="J44" s="70" t="n">
        <v>-1.02355994644743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2026-07-13T17:46:08Z</dcterms:created>
  <dc:creator>openpyxl</dc:creator>
  <dc:description/>
  <dc:language>en-US</dc:language>
  <cp:lastModifiedBy/>
  <dcterms:modified xsi:type="dcterms:W3CDTF">2026-07-17T12:13:06Z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