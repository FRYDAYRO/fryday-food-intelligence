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alentin H\Downloads\"/>
    </mc:Choice>
  </mc:AlternateContent>
  <xr:revisionPtr revIDLastSave="0" documentId="13_ncr:1_{85D1BB94-4F49-4DE9-A156-DD2E8A116EA8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1. Denumiri RO" sheetId="1" r:id="rId1"/>
    <sheet name="2. Reteta vita RO" sheetId="2" r:id="rId2"/>
    <sheet name="2b. Reteta vita PREP-RO" sheetId="3" r:id="rId3"/>
    <sheet name="3. Reteta Pesto-Lemon RO" sheetId="4" r:id="rId4"/>
    <sheet name="4. Activare Lipton RO" sheetId="5" r:id="rId5"/>
    <sheet name="Produs nou Pepsi 400-500ml" sheetId="6" r:id="rId6"/>
    <sheet name="Upsell bauturi" sheetId="7" r:id="rId7"/>
    <sheet name="Add-on topping milkshake" sheetId="8" r:id="rId8"/>
    <sheet name="Limonada 310ML CAN " sheetId="9" r:id="rId9"/>
    <sheet name="Sacosa packuri delivery" sheetId="10" r:id="rId10"/>
    <sheet name="8. Preturi INSTORE RO" sheetId="11" r:id="rId11"/>
    <sheet name="9. Preturi DELIVERY RO" sheetId="12" r:id="rId12"/>
    <sheet name="Chisinau Pesto Lemon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2" l="1"/>
  <c r="G6" i="9"/>
  <c r="F6" i="9"/>
  <c r="E13" i="9"/>
  <c r="E10" i="9"/>
  <c r="E51" i="6"/>
  <c r="E48" i="6"/>
  <c r="E45" i="6"/>
  <c r="E42" i="6"/>
  <c r="E39" i="6"/>
  <c r="G49" i="6"/>
  <c r="H49" i="6" s="1"/>
  <c r="G46" i="6"/>
  <c r="H46" i="6" s="1"/>
  <c r="G43" i="6"/>
  <c r="H43" i="6" s="1"/>
  <c r="G40" i="6"/>
  <c r="H40" i="6" s="1"/>
  <c r="G37" i="6"/>
  <c r="G33" i="6"/>
  <c r="G30" i="6"/>
  <c r="G27" i="6"/>
  <c r="G24" i="6"/>
  <c r="G21" i="6"/>
  <c r="E41" i="6"/>
  <c r="E47" i="6"/>
  <c r="E50" i="6" s="1"/>
  <c r="E14" i="6"/>
  <c r="E15" i="6"/>
  <c r="E8" i="6"/>
  <c r="E7" i="6"/>
  <c r="H37" i="6" l="1"/>
  <c r="E11" i="6"/>
  <c r="E49" i="6"/>
  <c r="E46" i="6"/>
  <c r="E43" i="6"/>
  <c r="E40" i="6"/>
  <c r="E37" i="6"/>
  <c r="E18" i="6"/>
  <c r="E21" i="6" l="1"/>
  <c r="E23" i="6" s="1"/>
  <c r="H21" i="6" s="1"/>
  <c r="E24" i="6"/>
  <c r="E26" i="6" s="1"/>
  <c r="H24" i="6" s="1"/>
  <c r="E27" i="6"/>
  <c r="E29" i="6" s="1"/>
  <c r="H27" i="6" s="1"/>
  <c r="E30" i="6"/>
  <c r="E32" i="6" s="1"/>
  <c r="H30" i="6" s="1"/>
  <c r="E33" i="6"/>
  <c r="E35" i="6" s="1"/>
  <c r="H33" i="6" s="1"/>
</calcChain>
</file>

<file path=xl/sharedStrings.xml><?xml version="1.0" encoding="utf-8"?>
<sst xmlns="http://schemas.openxmlformats.org/spreadsheetml/2006/main" count="1656" uniqueCount="571">
  <si>
    <t>CR – IT | Modificare denumiri Crispy / Wings / Packs</t>
  </si>
  <si>
    <t>România</t>
  </si>
  <si>
    <t>Data implementare: 03 august 2026</t>
  </si>
  <si>
    <t>Denumire comercială ACTUALĂ</t>
  </si>
  <si>
    <t>Denumire comercială NOUĂ</t>
  </si>
  <si>
    <t>Denumire NBO (rețetar) ACTUALĂ</t>
  </si>
  <si>
    <t>Denumire NBO (rețetar) NOUĂ</t>
  </si>
  <si>
    <t>Canal</t>
  </si>
  <si>
    <t>Observații</t>
  </si>
  <si>
    <t>HOMESTYLE CRISPY 3 (180G)</t>
  </si>
  <si>
    <t>HOMESTYLE CRISPY 3 (149G)</t>
  </si>
  <si>
    <t>HOMESTYLE CRISPY 3 (180G) new</t>
  </si>
  <si>
    <t>HOMESTYLE CRISPY 3 (149G) new</t>
  </si>
  <si>
    <t>Instore</t>
  </si>
  <si>
    <t>Modificare</t>
  </si>
  <si>
    <t>HOMESTYLE CRISPY 3 (180G) D</t>
  </si>
  <si>
    <t>HOMESTYLE CRISPY 3 (149G) D</t>
  </si>
  <si>
    <t>HOMESTYLE CRISPY 3 (180G) new D</t>
  </si>
  <si>
    <t>HOMESTYLE CRISPY 3 (149G) new D</t>
  </si>
  <si>
    <t>Delivery</t>
  </si>
  <si>
    <t>HOMESTYLE CRISPY 4 (240G)</t>
  </si>
  <si>
    <t>HOMESTYLE CRISPY 4 (198G)</t>
  </si>
  <si>
    <t>HOMESTYLE CRISPY 4 (240G) new</t>
  </si>
  <si>
    <t>HOMESTYLE CRISPY 4 (198G) new</t>
  </si>
  <si>
    <t>HOMESTYLE CRISPY 4 (240G) D</t>
  </si>
  <si>
    <t>HOMESTYLE CRISPY 4 (198G) D</t>
  </si>
  <si>
    <t>HOMESTYLE CRISPY 4 (240G) new D</t>
  </si>
  <si>
    <t>HOMESTYLE CRISPY 4 (198G) new D</t>
  </si>
  <si>
    <t>HOMESTYLE CRISPY 5 (300G)</t>
  </si>
  <si>
    <t>HOMESTYLE CRISPY 5 (248G)</t>
  </si>
  <si>
    <t>HOMESTYLE CRISPY 5 (300G) new</t>
  </si>
  <si>
    <t>HOMESTYLE CRISPY 5 (248G) new</t>
  </si>
  <si>
    <t>HOMESTYLE CRISPY 5 (300G) D</t>
  </si>
  <si>
    <t>HOMESTYLE CRISPY 5 (248G) D</t>
  </si>
  <si>
    <t>HOMESTYLE CRISPY 5 (300G) new D</t>
  </si>
  <si>
    <t>HOMESTYLE CRISPY 5 (248G) new D</t>
  </si>
  <si>
    <t>PACK HOMESTYLE CRISPY 20 (1200G)</t>
  </si>
  <si>
    <t>PACK HOMESTYLE CRISPY 20 (990G)</t>
  </si>
  <si>
    <t>PACK HOMESTYLE CRISPY 20 (1200G) new</t>
  </si>
  <si>
    <t>PACK HOMESTYLE CRISPY 20 (990G) new</t>
  </si>
  <si>
    <t>PACK HOMESTYLE CRISPY 20 (1200G) D</t>
  </si>
  <si>
    <t>PACK HOMESTYLE CRISPY 20 (990G) D</t>
  </si>
  <si>
    <t>PACK HOMESTYLE CRISPY 20 (1200G) new D</t>
  </si>
  <si>
    <t>PACK HOMESTYLE CRISPY 20 (990G) new D</t>
  </si>
  <si>
    <t>PACK COUNTRY WINGS 30 (900G)</t>
  </si>
  <si>
    <t>PACK COUNTRY WINGS 30 (810G)</t>
  </si>
  <si>
    <t>PACK COUNTRY WINGS 30 (900G) new</t>
  </si>
  <si>
    <t>PACK COUNTRY WINGS 30 (810G) new</t>
  </si>
  <si>
    <t>PACK COUNTRY WINGS 30 (900G) D</t>
  </si>
  <si>
    <t>PACK COUNTRY WINGS 30 (810G) D</t>
  </si>
  <si>
    <t>PACK COUNTRY WINGS 30 (900G) new D</t>
  </si>
  <si>
    <t>PACK COUNTRY WINGS 30 (810G) new D</t>
  </si>
  <si>
    <t>PACK COUNTRY HOT WINGS 30 (990G)</t>
  </si>
  <si>
    <t>PACK COUNTRY HOT WINGS 30 (891G)</t>
  </si>
  <si>
    <t>PACK COUNTRY HOT WINGS 30 (990G) new</t>
  </si>
  <si>
    <t>PACK COUNTRY HOT WINGS 30 (891G) new</t>
  </si>
  <si>
    <t>PACK COUNTRY HOT WINGS 30 (990G) D</t>
  </si>
  <si>
    <t>PACK COUNTRY HOT WINGS 30 (891G) D</t>
  </si>
  <si>
    <t>PACK COUNTRY HOT WINGS 30 (990G) new D</t>
  </si>
  <si>
    <t>PACK COUNTRY HOT WINGS 30 (891G) new D</t>
  </si>
  <si>
    <t>CR – IT | Schimbare rețetă vită (koliber 60G → 80G)</t>
  </si>
  <si>
    <t>Denumire comercială</t>
  </si>
  <si>
    <t>Denumire NBO (rețetă)</t>
  </si>
  <si>
    <t>Cod produs</t>
  </si>
  <si>
    <t>Materie primă ACTUALĂ</t>
  </si>
  <si>
    <t>Cod materie ACTUALĂ</t>
  </si>
  <si>
    <t>Materie primă NOUĂ</t>
  </si>
  <si>
    <t>Cod materie NOUĂ</t>
  </si>
  <si>
    <t>BURGERI VITĂ</t>
  </si>
  <si>
    <t>AMERICAN CHEESEBURGER</t>
  </si>
  <si>
    <t>AMERICAN CHEESEBURGER new</t>
  </si>
  <si>
    <t>810015</t>
  </si>
  <si>
    <t>PREP - smashed koliber 60G</t>
  </si>
  <si>
    <t>7000210</t>
  </si>
  <si>
    <t>PREP - smashed koliber 80G</t>
  </si>
  <si>
    <t>de alocat</t>
  </si>
  <si>
    <t>AMERICAN CHEESEBURGER D</t>
  </si>
  <si>
    <t>AMERICAN CHEESEBURGER new D</t>
  </si>
  <si>
    <t>920015</t>
  </si>
  <si>
    <t>AMERICAN DUBLU CHEESEBURGER</t>
  </si>
  <si>
    <t>AMERICAN DUBLU CHEESEBURGER new</t>
  </si>
  <si>
    <t>810016</t>
  </si>
  <si>
    <t>AMERICAN DUBLU CHEESEBURGER D</t>
  </si>
  <si>
    <t>AMERICAN DUBLU CHEESEBURGER new D</t>
  </si>
  <si>
    <t>920016</t>
  </si>
  <si>
    <t>AMERICAN TRIPLU CHEESEBURGER</t>
  </si>
  <si>
    <t>AMERICAN TRIPLU CHEESEBURGER new</t>
  </si>
  <si>
    <t>810017</t>
  </si>
  <si>
    <t>AMERICAN TRIPLU CHEESEBURGER D</t>
  </si>
  <si>
    <t>AMERICAN TRIPLU CHEESEBURGER new D</t>
  </si>
  <si>
    <t>920017</t>
  </si>
  <si>
    <t>AMERICAN TRIPLU CHEESEBURGER LETTUCE WRAP</t>
  </si>
  <si>
    <t>810040</t>
  </si>
  <si>
    <t>AMERICAN TRIPLU CHEESEBURGER LETTUCE WRAP D</t>
  </si>
  <si>
    <t>920040</t>
  </si>
  <si>
    <t>BLACK TRUFFLE SMASHED</t>
  </si>
  <si>
    <t>BLACK TRUFFLE SMASHED new</t>
  </si>
  <si>
    <t>810030</t>
  </si>
  <si>
    <t>BLACK TRUFFLE SMASHED D</t>
  </si>
  <si>
    <t>BLACK TRUFFLE SMASHED new D</t>
  </si>
  <si>
    <t>920030</t>
  </si>
  <si>
    <t>CHEESEBURGER</t>
  </si>
  <si>
    <t>CHEESEBURGER new</t>
  </si>
  <si>
    <t>810010</t>
  </si>
  <si>
    <t>CHEESEBURGER D</t>
  </si>
  <si>
    <t>CHEESEBURGER new D</t>
  </si>
  <si>
    <t>920010</t>
  </si>
  <si>
    <t>DUBLU BLACK TRUFFLE SMASHED</t>
  </si>
  <si>
    <t>DUBLU BLACK TRUFFLE SMASHED new</t>
  </si>
  <si>
    <t>810031</t>
  </si>
  <si>
    <t>DUBLU BLACK TRUFFLE SMASHED D</t>
  </si>
  <si>
    <t>DUBLU BLACK TRUFFLE SMASHED new D</t>
  </si>
  <si>
    <t>920031</t>
  </si>
  <si>
    <t>DUBLU CHEESEBURGER</t>
  </si>
  <si>
    <t>DUBLU CHEESEBURGER new</t>
  </si>
  <si>
    <t>810011</t>
  </si>
  <si>
    <t>DUBLU CHEESEBURGER D</t>
  </si>
  <si>
    <t>DUBLU CHEESEBURGER new D</t>
  </si>
  <si>
    <t>920011</t>
  </si>
  <si>
    <t>DUBLU HAMBURGER</t>
  </si>
  <si>
    <t>DUBLU HAMBURGER new</t>
  </si>
  <si>
    <t>810006</t>
  </si>
  <si>
    <t>DUBLU HAMBURGER D</t>
  </si>
  <si>
    <t>DUBLU HAMBURGER new D</t>
  </si>
  <si>
    <t>920006</t>
  </si>
  <si>
    <t>DUBLU RED PEPPER SMASHED</t>
  </si>
  <si>
    <t>DUBLU RED PEPPER SMASHED new</t>
  </si>
  <si>
    <t>810036</t>
  </si>
  <si>
    <t>DUBLU RED PEPPER SMASHED D</t>
  </si>
  <si>
    <t>DUBLU RED PEPPER SMASHED new D</t>
  </si>
  <si>
    <t>920036</t>
  </si>
  <si>
    <t>DUBLU SMASHED BURGER (rețetă nouă)</t>
  </si>
  <si>
    <t>DUBLU SMASHED BURGER new (rețetă nouă)</t>
  </si>
  <si>
    <t>810026</t>
  </si>
  <si>
    <t>DUBLU SMASHED BURGER D (rețetă nouă)</t>
  </si>
  <si>
    <t>DUBLU SMASHED BURGER new D (rețetă nouă)</t>
  </si>
  <si>
    <t>920026</t>
  </si>
  <si>
    <t>HAMBURGER</t>
  </si>
  <si>
    <t>HAMBURGER new</t>
  </si>
  <si>
    <t>–</t>
  </si>
  <si>
    <t>HAMBURGER D</t>
  </si>
  <si>
    <t>HAMBURGER new D</t>
  </si>
  <si>
    <t>RED PEPPER SMASHED</t>
  </si>
  <si>
    <t>RED PEPPER SMASHED new</t>
  </si>
  <si>
    <t>810035</t>
  </si>
  <si>
    <t>RED PEPPER SMASHED D</t>
  </si>
  <si>
    <t>RED PEPPER SMASHED new D</t>
  </si>
  <si>
    <t>920035</t>
  </si>
  <si>
    <t>SMASHED BURGER (rețetă nouă)</t>
  </si>
  <si>
    <t>SMASHED BURGER new (rețetă nouă)</t>
  </si>
  <si>
    <t>810025</t>
  </si>
  <si>
    <t>SMASHED BURGER D (rețetă nouă)</t>
  </si>
  <si>
    <t>SMASHED BURGER new D (rețetă nouă)</t>
  </si>
  <si>
    <t>920025</t>
  </si>
  <si>
    <t>JUNIOR</t>
  </si>
  <si>
    <t>Junior Meal Hamburger</t>
  </si>
  <si>
    <t>Junior Meal Hamburger new</t>
  </si>
  <si>
    <t>Junior Meal Hamburger D</t>
  </si>
  <si>
    <t>Junior Meal Hamburger new D</t>
  </si>
  <si>
    <t>România · Data implementare: 03.08.2026</t>
  </si>
  <si>
    <t>Cod</t>
  </si>
  <si>
    <t>Cant.</t>
  </si>
  <si>
    <t>UM</t>
  </si>
  <si>
    <t>EA</t>
  </si>
  <si>
    <t>PREP - Defrosted koliber 60G</t>
  </si>
  <si>
    <t>7000209</t>
  </si>
  <si>
    <t>PREP - Defrosting Koliber 60G</t>
  </si>
  <si>
    <t>7000208</t>
  </si>
  <si>
    <t>BURGER 60G KOLIBER</t>
  </si>
  <si>
    <t>7000162</t>
  </si>
  <si>
    <t>BURGER VITA 80G PL</t>
  </si>
  <si>
    <t>7000268</t>
  </si>
  <si>
    <t>FOLIE [130MM] HAMBURGER FRYDAY</t>
  </si>
  <si>
    <t>Varianta A — CU folie</t>
  </si>
  <si>
    <t>Materie primă</t>
  </si>
  <si>
    <t>Varianta B — FĂRĂ folie</t>
  </si>
  <si>
    <t>1. Galați</t>
  </si>
  <si>
    <t>1. București Vitan</t>
  </si>
  <si>
    <t>2. Vaslui</t>
  </si>
  <si>
    <t>2. București Berceni DT</t>
  </si>
  <si>
    <t>3. Iași Moldova Mall</t>
  </si>
  <si>
    <t>3. Sun Plaza</t>
  </si>
  <si>
    <t>4. Arad Atrium</t>
  </si>
  <si>
    <t>4. Ploiești</t>
  </si>
  <si>
    <t>5. Timișoara</t>
  </si>
  <si>
    <t>5. Băneasa</t>
  </si>
  <si>
    <t>6. Oradea</t>
  </si>
  <si>
    <t>6. Cluj Vivo</t>
  </si>
  <si>
    <t>7. Tg. Mureș</t>
  </si>
  <si>
    <t>7. Cluj Iulius</t>
  </si>
  <si>
    <t>8. Tg. Mureș Plaza M</t>
  </si>
  <si>
    <t>8. Cluj Memo</t>
  </si>
  <si>
    <t>9. Alba Iulia</t>
  </si>
  <si>
    <t>9. Rm. Vâlcea</t>
  </si>
  <si>
    <t>10. Sibiu</t>
  </si>
  <si>
    <t>10. Constanța City Park</t>
  </si>
  <si>
    <t>11. Sibiu Selimbar</t>
  </si>
  <si>
    <t>11. Constanța Vivo</t>
  </si>
  <si>
    <t>12. Craiova</t>
  </si>
  <si>
    <t>12. Iași Palas</t>
  </si>
  <si>
    <t>13. Craiova Electroputere</t>
  </si>
  <si>
    <t>13. Suceava</t>
  </si>
  <si>
    <t>14. Târgoviște</t>
  </si>
  <si>
    <t>14. Piatra Neamț</t>
  </si>
  <si>
    <t>15. Pitești</t>
  </si>
  <si>
    <t>16. Pitești Vivo</t>
  </si>
  <si>
    <t>CR – IT | Modificare rețetă Homestyle Pesto &amp; Lemon (sos 40 → 30)</t>
  </si>
  <si>
    <t>Cantitate ACTUALĂ</t>
  </si>
  <si>
    <t>Cantitate NOUĂ</t>
  </si>
  <si>
    <t>HOMESTYLE CHICKEN PESTO</t>
  </si>
  <si>
    <t>HOMESTYLE CHICKEN PESTO new</t>
  </si>
  <si>
    <t>Green Pesto Mayo</t>
  </si>
  <si>
    <t>700963</t>
  </si>
  <si>
    <t>ML</t>
  </si>
  <si>
    <t>HOMESTYLE CHICKEN PESTO D</t>
  </si>
  <si>
    <t>HOMESTYLE CHICKEN PESTO new D</t>
  </si>
  <si>
    <t>HOMESTYLE CHICKEN LEMON</t>
  </si>
  <si>
    <t>HOMESTYLE CHICKEN LEMON new</t>
  </si>
  <si>
    <t>Lemon Pepper Mayo</t>
  </si>
  <si>
    <t>702122</t>
  </si>
  <si>
    <t>GM</t>
  </si>
  <si>
    <t>HOMESTYLE CHICKEN LEMON D</t>
  </si>
  <si>
    <t>HOMESTYLE CHICKEN LEMON new D</t>
  </si>
  <si>
    <t>HOMESTYLE CHICKEN LEMON LETTUCE WRAP</t>
  </si>
  <si>
    <t>HOMESTYLE CHICKEN LEMON LETTUCE WRAP new</t>
  </si>
  <si>
    <t>HOMESTYLE CHICKEN LEMON LETTUCE WRAP D</t>
  </si>
  <si>
    <t>HOMESTYLE CHICKEN LEMON LETTUCE WRAP new D</t>
  </si>
  <si>
    <t>România – Delivery</t>
  </si>
  <si>
    <t>Denumire NBO / rețetă</t>
  </si>
  <si>
    <t>Categorie</t>
  </si>
  <si>
    <t>Preț cu TVA</t>
  </si>
  <si>
    <t>Lipton Lamaie 0.5L</t>
  </si>
  <si>
    <t>DRINKS</t>
  </si>
  <si>
    <t>JUNIOR / Meniu</t>
  </si>
  <si>
    <t>Delivery (MD)</t>
  </si>
  <si>
    <t>Rețetar</t>
  </si>
  <si>
    <t>Cod materie primă</t>
  </si>
  <si>
    <t>Denumire materie primă (NBO)</t>
  </si>
  <si>
    <t>Cantitate</t>
  </si>
  <si>
    <t>România – categoria DRINKS și Upsell. 400 ml apare în categoria Drinks și în Upsell; 250 ml se elimină din ambele și rămâne doar la Junior Meal (pentru selecție).</t>
  </si>
  <si>
    <t>Produs NOU</t>
  </si>
  <si>
    <t>CR – IT | Upsell băuturi – modificare opțiuni</t>
  </si>
  <si>
    <t>Opțiune</t>
  </si>
  <si>
    <t>Situație actuală</t>
  </si>
  <si>
    <t>Băutură 250 ml</t>
  </si>
  <si>
    <t>Rămâne DOAR la Junior Meal</t>
  </si>
  <si>
    <t>Băutură 400 ml</t>
  </si>
  <si>
    <t>Nu există</t>
  </si>
  <si>
    <t>Pahar NOU, fără siglă Pepsi</t>
  </si>
  <si>
    <t>Băutură 500 ml</t>
  </si>
  <si>
    <t>Poză nouă cu paharul nou, fără siglă Pepsi</t>
  </si>
  <si>
    <t>Junior Meal</t>
  </si>
  <si>
    <t>Rămâne 250 ml</t>
  </si>
  <si>
    <t>250 ml rămâne exclusiv la Junior Meal</t>
  </si>
  <si>
    <t>Sinteză: upsell băuturi trece de la {250 ml, 500 ml} la {400 ml, 500 ml}, ambele cu paharul nou (fără siglă Pepsi). 400 ml apare și în categoria Drinks. 250 ml se elimină din categoria Drinks și din Upsell — rămâne exclusiv la Junior Meal.</t>
  </si>
  <si>
    <t>CR – IT | Add-on topping milkshake (piure 20 g)</t>
  </si>
  <si>
    <t>România – toppinguri add-on la milkshake, 4 lei fiecare; fiecare topping = piure 20 g.</t>
  </si>
  <si>
    <t>Denumire comercială (add-on)</t>
  </si>
  <si>
    <t>Se aplică la milkshake</t>
  </si>
  <si>
    <t>Topping Căpșuni</t>
  </si>
  <si>
    <t>MILKSHAKE &amp; DESSERT</t>
  </si>
  <si>
    <t>Topping Capsuni new</t>
  </si>
  <si>
    <t>Add-on NOU</t>
  </si>
  <si>
    <t>Topping Fructul Pasiunii</t>
  </si>
  <si>
    <t>Milkshake Fructul Pasiunii</t>
  </si>
  <si>
    <t>Topping Fructul Pasiunii new</t>
  </si>
  <si>
    <t>Topping Cireșe</t>
  </si>
  <si>
    <t>Milkshake Cireșe</t>
  </si>
  <si>
    <t>Topping Cirese new</t>
  </si>
  <si>
    <t>702016</t>
  </si>
  <si>
    <t>Piure Capsuni Monin</t>
  </si>
  <si>
    <t>85010299</t>
  </si>
  <si>
    <t>MONIN FDM PUREE PASSION FRUIT 1L</t>
  </si>
  <si>
    <t>85010298</t>
  </si>
  <si>
    <t>MONIN FDM PUREE CHERRY 1L</t>
  </si>
  <si>
    <t>Notă: fiecare add-on = piure 20 g (Monin), tarifat 4 lei. Coduri materie primă: Căpșuni 702016, Fructul Pasiunii 85010299, Cireșe 85010298. Topping Căpșuni se aplică la milkshake Căpșuni și Banane.</t>
  </si>
  <si>
    <t>FRYCAFE</t>
  </si>
  <si>
    <t>Rețetar — LIMONADA 220ML CAN new D</t>
  </si>
  <si>
    <t>702548</t>
  </si>
  <si>
    <t>Prep Limonada</t>
  </si>
  <si>
    <t>CR – IT | Sacoșă ca ambalaj la packurile de pe Delivery</t>
  </si>
  <si>
    <t>România – se adaugă sacoșa ca ambalaj (2 lei) la packurile livrate</t>
  </si>
  <si>
    <t>Produs (pack Delivery)</t>
  </si>
  <si>
    <t>Ambalaj adăugat</t>
  </si>
  <si>
    <t>Preț ambalaj</t>
  </si>
  <si>
    <t>Sacoșă (Sacosa mare to go FRD 32X16.5X34)</t>
  </si>
  <si>
    <t>Se adaugă ca ambalaj</t>
  </si>
  <si>
    <t>Notă: sacoșa se adaugă ca ambalaj obligatoriu la cele 3 packuri livrate, tarifată 2 lei/comandă (denumirile packurilor sunt cele NOI, cf. CR Denumiri).</t>
  </si>
  <si>
    <t>CR – IT | Modificare prețuri INSTORE</t>
  </si>
  <si>
    <t>România – etapa 03 august 2026. Prețuri cu TVA.</t>
  </si>
  <si>
    <t>Produs</t>
  </si>
  <si>
    <t>Preț actual</t>
  </si>
  <si>
    <t>Preț NOU</t>
  </si>
  <si>
    <t>BURGERI</t>
  </si>
  <si>
    <t>Nu se schimbă</t>
  </si>
  <si>
    <t>Se schimbă</t>
  </si>
  <si>
    <t>SMASHED BURGER</t>
  </si>
  <si>
    <t>DUBLU SMASHED BURGER</t>
  </si>
  <si>
    <t xml:space="preserve">SAMURAI CHICKEN </t>
  </si>
  <si>
    <t>CHICKEN PESTO</t>
  </si>
  <si>
    <t>CHICKEN LEMON</t>
  </si>
  <si>
    <t>Chicken FryRanch XRemus</t>
  </si>
  <si>
    <t>PUI BURGER</t>
  </si>
  <si>
    <t>DUBLU PUI BURGER</t>
  </si>
  <si>
    <t>HOMESTYLE CHICKEN FRYRANCH</t>
  </si>
  <si>
    <t>CHICKEN TRUFFLE</t>
  </si>
  <si>
    <t>DUBLU CHICKEN TRUFFLE</t>
  </si>
  <si>
    <t>TRIPLU PUI BURGER</t>
  </si>
  <si>
    <t>TRIPLU CHICKEN TRUFFLE</t>
  </si>
  <si>
    <t>SHRIMP BURGER</t>
  </si>
  <si>
    <t>BURGER VEGETARIAN</t>
  </si>
  <si>
    <t>BURGERI LETTUCE WRAP-NO BUN</t>
  </si>
  <si>
    <t>HOMESTYLE CHICKEN FRYRANCH LETTUCE WRAP</t>
  </si>
  <si>
    <t>MIC DEJUN</t>
  </si>
  <si>
    <t>ALMETTE FRESH PUI</t>
  </si>
  <si>
    <t>ALMETTE BASIL PUI</t>
  </si>
  <si>
    <t>ALMETTE FRESH PORC</t>
  </si>
  <si>
    <t>ALMETTE BASIL PORC</t>
  </si>
  <si>
    <t>ROSTI SAUSAGE BURGER</t>
  </si>
  <si>
    <t>PRODUSE PUI</t>
  </si>
  <si>
    <t>4 NUGGETS</t>
  </si>
  <si>
    <t>6 NUGGETS</t>
  </si>
  <si>
    <t>9 NUGGETS</t>
  </si>
  <si>
    <t>3 COUNTRY WINGS</t>
  </si>
  <si>
    <t>5 COUNTRY WINGS</t>
  </si>
  <si>
    <t>7 COUNTRY WINGS</t>
  </si>
  <si>
    <t>9 COUNTRY WINGS</t>
  </si>
  <si>
    <t>3 HOT COUNTRY WINGS</t>
  </si>
  <si>
    <t>5 HOT COUNTRY WINGS</t>
  </si>
  <si>
    <t>7 HOT COUNTRY WINGS</t>
  </si>
  <si>
    <t>9 HOT COUNTRY WINGS</t>
  </si>
  <si>
    <t>Extra Homestyle Crispy</t>
  </si>
  <si>
    <t xml:space="preserve">CARTOFI </t>
  </si>
  <si>
    <t>REALLY CRUNCHY FRIES 170G</t>
  </si>
  <si>
    <t>CARTOFI CRISS CUT 140G</t>
  </si>
  <si>
    <t>Fry Shaker Parmezan &amp; Usturoi</t>
  </si>
  <si>
    <t>Fry Shaker Cajun</t>
  </si>
  <si>
    <t>GUSTARI</t>
  </si>
  <si>
    <t>MAC &amp; CHEESY BITES</t>
  </si>
  <si>
    <t>SALATA COLESLAW</t>
  </si>
  <si>
    <t xml:space="preserve">ADD ON </t>
  </si>
  <si>
    <t>PROSOP UMED</t>
  </si>
  <si>
    <t>Punga</t>
  </si>
  <si>
    <t>Punga Mica</t>
  </si>
  <si>
    <t>Sacosa</t>
  </si>
  <si>
    <t>ADD ON BURGER</t>
  </si>
  <si>
    <t>ADD-ON Bacon</t>
  </si>
  <si>
    <t xml:space="preserve">ADD-ON Felie BRANZA CHEDDAR </t>
  </si>
  <si>
    <t>ADD-ON Jalapenos(4FELII)</t>
  </si>
  <si>
    <t>ADD ON NUTELLA BURGER</t>
  </si>
  <si>
    <t>ADD-ON Capsuni</t>
  </si>
  <si>
    <t>ADD-ON Nutella</t>
  </si>
  <si>
    <t>ADD-ON Banane</t>
  </si>
  <si>
    <t>ADD ON MILKSHAKE</t>
  </si>
  <si>
    <t>NOU</t>
  </si>
  <si>
    <t>Topping Cirese</t>
  </si>
  <si>
    <t>Topping Banane</t>
  </si>
  <si>
    <t>Topping Capsuni</t>
  </si>
  <si>
    <t>Topping Biscoff</t>
  </si>
  <si>
    <t>Topping Oreo</t>
  </si>
  <si>
    <t>Topping KitKat</t>
  </si>
  <si>
    <t>Topping Apple Cinnamon</t>
  </si>
  <si>
    <t xml:space="preserve">Add Nutella </t>
  </si>
  <si>
    <t>SOSURI HEINZ</t>
  </si>
  <si>
    <t>Sos Truffle Mayo</t>
  </si>
  <si>
    <t>Sos Samurai</t>
  </si>
  <si>
    <t>Sos Usturoi</t>
  </si>
  <si>
    <t>Sos Ketchup 10ml</t>
  </si>
  <si>
    <t>Sos Mayoneza 10ml</t>
  </si>
  <si>
    <t>Sos Barbeque 25G</t>
  </si>
  <si>
    <t>Sos HONEY MUSTARD 25G</t>
  </si>
  <si>
    <t>Sos SWEET CHILLI 25G</t>
  </si>
  <si>
    <t>2X Sos Ketchup 10ml/Mayoneza 10ml</t>
  </si>
  <si>
    <t>SOSURI SPECIALE</t>
  </si>
  <si>
    <t>Side Cheddar 40 ml</t>
  </si>
  <si>
    <t>SIDE SOS FRYRANCH 40G</t>
  </si>
  <si>
    <t>DIP N Cheddar 100 ML</t>
  </si>
  <si>
    <t>DIP N FRYRANCH 100G</t>
  </si>
  <si>
    <t>DIP N TRUFFLE 100G</t>
  </si>
  <si>
    <t>DIP N FRYRANCH 250G</t>
  </si>
  <si>
    <t>DIP N FRYRANCH 400G</t>
  </si>
  <si>
    <t>DESERT</t>
  </si>
  <si>
    <t>APPLE TOFFEE FRYPIE</t>
  </si>
  <si>
    <t>2X APPLE TOFFEE FRYPIE</t>
  </si>
  <si>
    <t>ApfelStorm X Toffee</t>
  </si>
  <si>
    <t>Nutella Burger</t>
  </si>
  <si>
    <t>Nutella Burger Capsuni</t>
  </si>
  <si>
    <t>Nutella Burger Banane</t>
  </si>
  <si>
    <t>Milkshake Biscoff</t>
  </si>
  <si>
    <t xml:space="preserve">Milkshake Apple Cinnamon </t>
  </si>
  <si>
    <t xml:space="preserve">Milkshake Vanilie </t>
  </si>
  <si>
    <t xml:space="preserve">Milkshake Banane </t>
  </si>
  <si>
    <t xml:space="preserve">Milkshake Capsuni </t>
  </si>
  <si>
    <t xml:space="preserve">Milkshake Ciocolata </t>
  </si>
  <si>
    <t>Milkshake Vanilie 200G</t>
  </si>
  <si>
    <t>Milkshake Ciocolata 200G</t>
  </si>
  <si>
    <t>Milkshake Capsuni 200G</t>
  </si>
  <si>
    <t>Milkshake Banane 200G</t>
  </si>
  <si>
    <t>Milkshake Biscoff 210G</t>
  </si>
  <si>
    <t>Milkshake Apple Cinnamon 220G</t>
  </si>
  <si>
    <t>Milkshake Fructul Pasiunii 200G</t>
  </si>
  <si>
    <t xml:space="preserve">Milkshake Fructul Pasiunii </t>
  </si>
  <si>
    <t>Milkshake Cirese 200G</t>
  </si>
  <si>
    <t>Milkshake Cirese</t>
  </si>
  <si>
    <t xml:space="preserve">Milkshake Dark Franui </t>
  </si>
  <si>
    <t>RACORITOARE</t>
  </si>
  <si>
    <t>Pepsi  /PEPSI ZERO ZAHAR/7UP ZERO ZAHAR/MIRINDA ZERO ZAHAR/LIPTON 400ML</t>
  </si>
  <si>
    <t xml:space="preserve">PRODUS NOU </t>
  </si>
  <si>
    <t>Pepsi  /PEPSI ZERO ZAHAR/7UP ZERO ZAHAR/MIRINDA ZERO ZAHAR/LIPTON 500 ML</t>
  </si>
  <si>
    <t>Pepsi cu gust de Căpșuni și Frișcă</t>
  </si>
  <si>
    <t>Pepsi cu gust de Înghețată de Vanilie</t>
  </si>
  <si>
    <t>Apa Plata AQUA CARPATICA</t>
  </si>
  <si>
    <t>Apa Minerala AQUA CARPATICA</t>
  </si>
  <si>
    <t>Apa Evian</t>
  </si>
  <si>
    <t>Prigat Portocale</t>
  </si>
  <si>
    <t>Prigat Capsuni &amp;Banane</t>
  </si>
  <si>
    <t>Dr Pepper</t>
  </si>
  <si>
    <t>Red Bull</t>
  </si>
  <si>
    <t>BAUTURI ALCOOLICE</t>
  </si>
  <si>
    <t>Bere Corona</t>
  </si>
  <si>
    <t>Bere Budweiser</t>
  </si>
  <si>
    <t>FRYZZZ</t>
  </si>
  <si>
    <t>FRYZZZ APEROL SPRITZ (CU ALCOOL)</t>
  </si>
  <si>
    <t>FRYZZZ ORANGE SPRITZ (FARA ALCOOL)</t>
  </si>
  <si>
    <t>FRYZZZ CAPSUNI</t>
  </si>
  <si>
    <t>FRYZZZ GRAPEFRUIT</t>
  </si>
  <si>
    <t>FRYZZZ PINACOLADA</t>
  </si>
  <si>
    <t>FRYZZZ PEPENE ROSU</t>
  </si>
  <si>
    <t>FRY CAFE</t>
  </si>
  <si>
    <t>ICED LATTE POPCORN</t>
  </si>
  <si>
    <t>ICED LATTE TIRAMISU</t>
  </si>
  <si>
    <t>ICED COFFEE LATTE</t>
  </si>
  <si>
    <t>LIMONADA 350 ML</t>
  </si>
  <si>
    <t>Espresso</t>
  </si>
  <si>
    <t>Espresso Grande</t>
  </si>
  <si>
    <t>Latte Machiato</t>
  </si>
  <si>
    <t>Americano</t>
  </si>
  <si>
    <t>Americano Grande</t>
  </si>
  <si>
    <t>Cappucino</t>
  </si>
  <si>
    <t>Cappucino Grande</t>
  </si>
  <si>
    <t>Caffe Latte</t>
  </si>
  <si>
    <t>Caffe Latte Grande</t>
  </si>
  <si>
    <t>Cioco Cappucino</t>
  </si>
  <si>
    <t>Cioco Cappucino Grande</t>
  </si>
  <si>
    <t>Vanilla Latte</t>
  </si>
  <si>
    <t>Vanilla Latte Grande</t>
  </si>
  <si>
    <t>Caramel Machiato</t>
  </si>
  <si>
    <t>ADD SIROP CARAMEL/CIOCOLATA/VANILIE</t>
  </si>
  <si>
    <t>PRAJITURI</t>
  </si>
  <si>
    <t>Tort ciocolata zmeura</t>
  </si>
  <si>
    <t>Profiterol ciocolata</t>
  </si>
  <si>
    <t>CARROT CAKE</t>
  </si>
  <si>
    <t>Tort pufos capsuni</t>
  </si>
  <si>
    <t>Prajitura vanilie bezea</t>
  </si>
  <si>
    <t>TIRAMISU</t>
  </si>
  <si>
    <t>Prajitura mascarpone capsuni</t>
  </si>
  <si>
    <t>Prajitura Maritozzo</t>
  </si>
  <si>
    <t>Millefoglie</t>
  </si>
  <si>
    <t>CHEESECAKE NEWYORK</t>
  </si>
  <si>
    <t>TIRAMISU CU FISTIC</t>
  </si>
  <si>
    <t>MANDARINA CU SORBET</t>
  </si>
  <si>
    <t>JUNIOR MEAL</t>
  </si>
  <si>
    <t>Junior Meal Pui Burger</t>
  </si>
  <si>
    <t>Junior Meal 4 Nuggets</t>
  </si>
  <si>
    <t>JUCARIE</t>
  </si>
  <si>
    <t>CR – IT | Modificare prețuri DELIVERY</t>
  </si>
  <si>
    <t>România – etapa 03 august 2026. Prețuri cu TVA; „înainte de discount" = listare NErotunjită.</t>
  </si>
  <si>
    <t>Preț actual (după discount)</t>
  </si>
  <si>
    <t>Preț NOU ÎNAINTE de discount</t>
  </si>
  <si>
    <t>Preț NOU DUPĂ discount</t>
  </si>
  <si>
    <t>Se aplică discount</t>
  </si>
  <si>
    <t>SINGLE SMASHED BEEF BURGER</t>
  </si>
  <si>
    <t>DA – 30%</t>
  </si>
  <si>
    <t>-</t>
  </si>
  <si>
    <t>NU</t>
  </si>
  <si>
    <t>SMASHED BURGER(RETETA NOUA)</t>
  </si>
  <si>
    <t xml:space="preserve">NOU LA FRY </t>
  </si>
  <si>
    <t>LETTUCE WRAP</t>
  </si>
  <si>
    <t>CHICKEN BURGERS</t>
  </si>
  <si>
    <t>HOMESTYLE CHICKEN RANCH</t>
  </si>
  <si>
    <t>SAMURAI CHICKEN</t>
  </si>
  <si>
    <t>BREAKFAST</t>
  </si>
  <si>
    <t>BURGERS SPECIALS &amp;SNACKS</t>
  </si>
  <si>
    <t>FRIED CHICKEN</t>
  </si>
  <si>
    <t>FRIES&amp;SAUCES</t>
  </si>
  <si>
    <t>Cartofi prajiti in ulei de alune 112g</t>
  </si>
  <si>
    <t>Cartofi prajiti in ulei de alune 150g</t>
  </si>
  <si>
    <t>Cartofi prajiti in ulei de alune SuperSize 250g</t>
  </si>
  <si>
    <t>SAUCES</t>
  </si>
  <si>
    <t>SIDE FRYRANCH 40G</t>
  </si>
  <si>
    <t>ADD ON UPSELL</t>
  </si>
  <si>
    <t>ADD Bacon</t>
  </si>
  <si>
    <t>ADD Felie Cheddar</t>
  </si>
  <si>
    <t>ADD Jalapeno</t>
  </si>
  <si>
    <t>AMBALAJE</t>
  </si>
  <si>
    <t>APPLE  TOFFEE FRYPIE</t>
  </si>
  <si>
    <t>Milkshake Cirese CA200GN</t>
  </si>
  <si>
    <t xml:space="preserve">ACTIVARE SIDE + JUNIOR MEAL </t>
  </si>
  <si>
    <t>Corona</t>
  </si>
  <si>
    <t>Budweiser</t>
  </si>
  <si>
    <t>DOZA PEPSI ZERO</t>
  </si>
  <si>
    <t>DOZE PEPSI 330 ML/TWIST ZERO 330 ML/7UP 330 ML/MIRINDA PORTOCALE 330 ML</t>
  </si>
  <si>
    <t>CR – IT | Chișinău · Modificare rețetă Homestyle Pesto &amp; Lemon (sos 40 → 30)</t>
  </si>
  <si>
    <t>Chișinău (Moldova)</t>
  </si>
  <si>
    <t>1 EA</t>
  </si>
  <si>
    <t>2 EA</t>
  </si>
  <si>
    <t>3 EA</t>
  </si>
  <si>
    <t>PREP - Defrosted Koliber 80G</t>
  </si>
  <si>
    <t>PREP - Defrosting Koliber 80G</t>
  </si>
  <si>
    <t>PREP - Defrosted koliber 80G</t>
  </si>
  <si>
    <t>CR – IT | Schimbare rețetar vită — flux PREP</t>
  </si>
  <si>
    <t xml:space="preserve">Restaurante alocate </t>
  </si>
  <si>
    <t>observatii</t>
  </si>
  <si>
    <t>MODIFICARE</t>
  </si>
  <si>
    <t>OBSERVATIE</t>
  </si>
  <si>
    <t>CR – IT | Activare produs : Lipton Lamaie 0.5L</t>
  </si>
  <si>
    <t>MD</t>
  </si>
  <si>
    <t>D</t>
  </si>
  <si>
    <t>BIOGON C E290 10KG</t>
  </si>
  <si>
    <t>DE ALOCAT</t>
  </si>
  <si>
    <t>PAHAR PP [500ML] FRY</t>
  </si>
  <si>
    <t>PAHAR PP [700ML] FRY</t>
  </si>
  <si>
    <t>CAPAC PP [90MM] FRY</t>
  </si>
  <si>
    <t>PRET</t>
  </si>
  <si>
    <t>PAI HARTIE 8 MM</t>
  </si>
  <si>
    <t>BASE-SOFT DRINKS 500 ML NEW</t>
  </si>
  <si>
    <t>PEPSI MAX BIB</t>
  </si>
  <si>
    <t>Pepsi Zero 500ML  new</t>
  </si>
  <si>
    <t>gm</t>
  </si>
  <si>
    <t>ea</t>
  </si>
  <si>
    <t>Rețetar — BASE-PEPSI SOFT DRINKS 400 ML NEW</t>
  </si>
  <si>
    <t>MATERII PRIME</t>
  </si>
  <si>
    <t>Pepsi -Cola 500ML  new</t>
  </si>
  <si>
    <t>PEPSI-COLA  BIB</t>
  </si>
  <si>
    <t>Rețetar — BASE-PEPSI SOFT DRINKS 500 ML NEW</t>
  </si>
  <si>
    <t>Mirinda Zero Zahar 500ML  new</t>
  </si>
  <si>
    <t xml:space="preserve">Denumire Produs NBO </t>
  </si>
  <si>
    <t>MIRINDA ORANGE ZERO BIB</t>
  </si>
  <si>
    <t>Bautura 7 UP zero 500 ml new</t>
  </si>
  <si>
    <t>7 UP ZERO BIB</t>
  </si>
  <si>
    <t>LIPTON 500 ML NEW</t>
  </si>
  <si>
    <t xml:space="preserve">LIPTON BIB </t>
  </si>
  <si>
    <t>Pepsi Zero 400ML  new</t>
  </si>
  <si>
    <t>Pepsi -Cola 400ML  new</t>
  </si>
  <si>
    <t>LIPTON  400ML NEW</t>
  </si>
  <si>
    <t>Mirinda Zero Zahar 400ML  new</t>
  </si>
  <si>
    <t>Bautura 7 UP zero 400ml new</t>
  </si>
  <si>
    <t>BASE-PEPSI SOFT DRINKS 400 ML NEW</t>
  </si>
  <si>
    <t>CR – IT | Băuturi: IMPLEMENTARE BAUTURI 500/ 400 ml</t>
  </si>
  <si>
    <t>MATERIAL COST</t>
  </si>
  <si>
    <t>PRET FTVA</t>
  </si>
  <si>
    <t>PRET CU TVA</t>
  </si>
  <si>
    <t>FC</t>
  </si>
  <si>
    <t>Băutură 250 ml/apa/prigat</t>
  </si>
  <si>
    <t>SE ADAUGĂ în upsell/drinks</t>
  </si>
  <si>
    <t>Disponibilă în upsell/drinks</t>
  </si>
  <si>
    <t>se modifica reteta si ramane in drinks/upsell</t>
  </si>
  <si>
    <t>SE ELIMINĂ din upsell/drinks</t>
  </si>
  <si>
    <t>Milkshake Banane</t>
  </si>
  <si>
    <t>Milkshake Căpșuni</t>
  </si>
  <si>
    <t>Topping Banane new</t>
  </si>
  <si>
    <t>Piure Banane Monin</t>
  </si>
  <si>
    <t xml:space="preserve">România – Delivery. Format CAN (ca la milkshake CAN). </t>
  </si>
  <si>
    <t>Limonadă 310ML</t>
  </si>
  <si>
    <t>LIMONADA 310ML NEW D</t>
  </si>
  <si>
    <t>DOZA PETSLIM 330 ML CU CAPAC SOT 202CPA13 FRYDAY</t>
  </si>
  <si>
    <t>PAI 12 MM</t>
  </si>
  <si>
    <t xml:space="preserve">CR – IT | Produs NOU: Limonadă 310ML  (Delivery)- SE ELIMINA LIMONADA ACTUALA </t>
  </si>
  <si>
    <t>Preț F TVA</t>
  </si>
  <si>
    <t>DUBLU SMASHED BURGER(RETETA NOUA )</t>
  </si>
  <si>
    <t>LIMONADA 310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</si>
</sst>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b/>
      <sz val="14"/>
      <color rgb="FFD32F2F"/>
      <name val="Arial"/>
      <family val="2"/>
    </font>
    <font>
      <sz val="10"/>
      <color rgb="FF666666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D32F2F"/>
      <name val="Arial"/>
      <family val="2"/>
    </font>
    <font>
      <sz val="9"/>
      <color rgb="FF666666"/>
      <name val="Arial"/>
      <family val="2"/>
    </font>
    <font>
      <b/>
      <sz val="13"/>
      <color rgb="FFD32F2F"/>
      <name val="Arial"/>
      <family val="2"/>
    </font>
    <font>
      <sz val="9"/>
      <color rgb="FFE65100"/>
      <name val="Arial"/>
      <family val="2"/>
    </font>
    <font>
      <b/>
      <sz val="11"/>
      <color rgb="FF1A7A3C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666666"/>
      <name val="Arial"/>
      <family val="2"/>
    </font>
    <font>
      <sz val="9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F3F3"/>
      </patternFill>
    </fill>
    <fill>
      <patternFill patternType="solid">
        <fgColor rgb="FFF5E0E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thin">
        <color rgb="FFCCCCC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4" fontId="5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4" fontId="6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3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vertical="center" wrapText="1"/>
    </xf>
    <xf numFmtId="0" fontId="17" fillId="5" borderId="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/>
    <xf numFmtId="0" fontId="4" fillId="2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4" fillId="0" borderId="0" xfId="0" applyFont="1"/>
    <xf numFmtId="0" fontId="5" fillId="3" borderId="0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5" fillId="5" borderId="1" xfId="0" applyFont="1" applyFill="1" applyBorder="1" applyAlignment="1">
      <alignment vertical="center" wrapText="1"/>
    </xf>
    <xf numFmtId="164" fontId="0" fillId="5" borderId="1" xfId="0" applyNumberFormat="1" applyFill="1" applyBorder="1"/>
    <xf numFmtId="0" fontId="5" fillId="3" borderId="7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0" fontId="0" fillId="5" borderId="0" xfId="0" applyFill="1"/>
    <xf numFmtId="0" fontId="4" fillId="2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0" fillId="0" borderId="8" xfId="0" applyBorder="1"/>
    <xf numFmtId="0" fontId="19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0" fillId="0" borderId="0" xfId="0" applyBorder="1"/>
    <xf numFmtId="0" fontId="16" fillId="6" borderId="8" xfId="0" applyFont="1" applyFill="1" applyBorder="1" applyAlignment="1">
      <alignment vertical="center" wrapText="1"/>
    </xf>
    <xf numFmtId="0" fontId="16" fillId="6" borderId="8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/>
    </xf>
    <xf numFmtId="0" fontId="0" fillId="6" borderId="8" xfId="0" applyFont="1" applyFill="1" applyBorder="1"/>
    <xf numFmtId="0" fontId="19" fillId="3" borderId="0" xfId="0" applyFont="1" applyFill="1" applyBorder="1" applyAlignment="1">
      <alignment horizontal="center" vertical="center"/>
    </xf>
    <xf numFmtId="10" fontId="13" fillId="0" borderId="8" xfId="1" applyNumberFormat="1" applyFont="1" applyBorder="1"/>
    <xf numFmtId="0" fontId="13" fillId="0" borderId="8" xfId="0" applyFont="1" applyBorder="1"/>
    <xf numFmtId="0" fontId="13" fillId="0" borderId="0" xfId="0" applyFont="1"/>
    <xf numFmtId="0" fontId="13" fillId="0" borderId="0" xfId="0" applyFont="1" applyBorder="1"/>
    <xf numFmtId="0" fontId="5" fillId="5" borderId="4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10" fontId="1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I15" sqref="I15"/>
    </sheetView>
  </sheetViews>
  <sheetFormatPr defaultRowHeight="14.4" x14ac:dyDescent="0.3"/>
  <cols>
    <col min="1" max="4" width="30" customWidth="1"/>
    <col min="5" max="5" width="11" customWidth="1"/>
    <col min="6" max="6" width="14" customWidth="1"/>
  </cols>
  <sheetData>
    <row r="1" spans="1:6" ht="17.399999999999999" x14ac:dyDescent="0.3">
      <c r="A1" s="19" t="s">
        <v>0</v>
      </c>
      <c r="B1" s="18"/>
      <c r="C1" s="18"/>
      <c r="D1" s="18"/>
      <c r="E1" s="18"/>
      <c r="F1" s="18"/>
    </row>
    <row r="2" spans="1:6" x14ac:dyDescent="0.3">
      <c r="A2" s="17" t="s">
        <v>1</v>
      </c>
      <c r="B2" s="18"/>
      <c r="C2" s="18"/>
      <c r="D2" s="18"/>
      <c r="E2" s="18"/>
      <c r="F2" s="18"/>
    </row>
    <row r="3" spans="1:6" x14ac:dyDescent="0.3">
      <c r="A3" s="2" t="s">
        <v>2</v>
      </c>
    </row>
    <row r="5" spans="1:6" ht="30" customHeight="1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3">
      <c r="A6" s="4" t="s">
        <v>9</v>
      </c>
      <c r="B6" s="4" t="s">
        <v>10</v>
      </c>
      <c r="C6" s="5" t="s">
        <v>11</v>
      </c>
      <c r="D6" s="5" t="s">
        <v>12</v>
      </c>
      <c r="E6" s="5" t="s">
        <v>13</v>
      </c>
      <c r="F6" s="5" t="s">
        <v>14</v>
      </c>
    </row>
    <row r="7" spans="1:6" x14ac:dyDescent="0.3">
      <c r="A7" s="4" t="s">
        <v>15</v>
      </c>
      <c r="B7" s="4" t="s">
        <v>16</v>
      </c>
      <c r="C7" s="5" t="s">
        <v>17</v>
      </c>
      <c r="D7" s="5" t="s">
        <v>18</v>
      </c>
      <c r="E7" s="5" t="s">
        <v>19</v>
      </c>
      <c r="F7" s="5" t="s">
        <v>14</v>
      </c>
    </row>
    <row r="8" spans="1:6" x14ac:dyDescent="0.3">
      <c r="A8" s="4" t="s">
        <v>20</v>
      </c>
      <c r="B8" s="4" t="s">
        <v>21</v>
      </c>
      <c r="C8" s="5" t="s">
        <v>22</v>
      </c>
      <c r="D8" s="5" t="s">
        <v>23</v>
      </c>
      <c r="E8" s="5" t="s">
        <v>13</v>
      </c>
      <c r="F8" s="5" t="s">
        <v>14</v>
      </c>
    </row>
    <row r="9" spans="1:6" x14ac:dyDescent="0.3">
      <c r="A9" s="4" t="s">
        <v>24</v>
      </c>
      <c r="B9" s="4" t="s">
        <v>25</v>
      </c>
      <c r="C9" s="5" t="s">
        <v>26</v>
      </c>
      <c r="D9" s="5" t="s">
        <v>27</v>
      </c>
      <c r="E9" s="5" t="s">
        <v>19</v>
      </c>
      <c r="F9" s="5" t="s">
        <v>14</v>
      </c>
    </row>
    <row r="10" spans="1:6" x14ac:dyDescent="0.3">
      <c r="A10" s="4" t="s">
        <v>28</v>
      </c>
      <c r="B10" s="4" t="s">
        <v>29</v>
      </c>
      <c r="C10" s="5" t="s">
        <v>30</v>
      </c>
      <c r="D10" s="5" t="s">
        <v>31</v>
      </c>
      <c r="E10" s="5" t="s">
        <v>13</v>
      </c>
      <c r="F10" s="5" t="s">
        <v>14</v>
      </c>
    </row>
    <row r="11" spans="1:6" x14ac:dyDescent="0.3">
      <c r="A11" s="4" t="s">
        <v>32</v>
      </c>
      <c r="B11" s="4" t="s">
        <v>33</v>
      </c>
      <c r="C11" s="5" t="s">
        <v>34</v>
      </c>
      <c r="D11" s="5" t="s">
        <v>35</v>
      </c>
      <c r="E11" s="5" t="s">
        <v>19</v>
      </c>
      <c r="F11" s="5" t="s">
        <v>14</v>
      </c>
    </row>
    <row r="12" spans="1:6" ht="22.8" x14ac:dyDescent="0.3">
      <c r="A12" s="4" t="s">
        <v>36</v>
      </c>
      <c r="B12" s="4" t="s">
        <v>37</v>
      </c>
      <c r="C12" s="5" t="s">
        <v>38</v>
      </c>
      <c r="D12" s="5" t="s">
        <v>39</v>
      </c>
      <c r="E12" s="5" t="s">
        <v>13</v>
      </c>
      <c r="F12" s="5" t="s">
        <v>14</v>
      </c>
    </row>
    <row r="13" spans="1:6" ht="22.8" x14ac:dyDescent="0.3">
      <c r="A13" s="4" t="s">
        <v>40</v>
      </c>
      <c r="B13" s="4" t="s">
        <v>41</v>
      </c>
      <c r="C13" s="5" t="s">
        <v>42</v>
      </c>
      <c r="D13" s="5" t="s">
        <v>43</v>
      </c>
      <c r="E13" s="5" t="s">
        <v>19</v>
      </c>
      <c r="F13" s="5" t="s">
        <v>14</v>
      </c>
    </row>
    <row r="14" spans="1:6" x14ac:dyDescent="0.3">
      <c r="A14" s="4" t="s">
        <v>44</v>
      </c>
      <c r="B14" s="4" t="s">
        <v>45</v>
      </c>
      <c r="C14" s="5" t="s">
        <v>46</v>
      </c>
      <c r="D14" s="5" t="s">
        <v>47</v>
      </c>
      <c r="E14" s="5" t="s">
        <v>13</v>
      </c>
      <c r="F14" s="5" t="s">
        <v>14</v>
      </c>
    </row>
    <row r="15" spans="1:6" x14ac:dyDescent="0.3">
      <c r="A15" s="4" t="s">
        <v>48</v>
      </c>
      <c r="B15" s="4" t="s">
        <v>49</v>
      </c>
      <c r="C15" s="5" t="s">
        <v>50</v>
      </c>
      <c r="D15" s="5" t="s">
        <v>51</v>
      </c>
      <c r="E15" s="5" t="s">
        <v>19</v>
      </c>
      <c r="F15" s="5" t="s">
        <v>14</v>
      </c>
    </row>
    <row r="16" spans="1:6" ht="22.8" x14ac:dyDescent="0.3">
      <c r="A16" s="4" t="s">
        <v>52</v>
      </c>
      <c r="B16" s="4" t="s">
        <v>53</v>
      </c>
      <c r="C16" s="5" t="s">
        <v>54</v>
      </c>
      <c r="D16" s="5" t="s">
        <v>55</v>
      </c>
      <c r="E16" s="5" t="s">
        <v>13</v>
      </c>
      <c r="F16" s="5" t="s">
        <v>14</v>
      </c>
    </row>
    <row r="17" spans="1:6" ht="22.8" x14ac:dyDescent="0.3">
      <c r="A17" s="4" t="s">
        <v>56</v>
      </c>
      <c r="B17" s="4" t="s">
        <v>57</v>
      </c>
      <c r="C17" s="5" t="s">
        <v>58</v>
      </c>
      <c r="D17" s="5" t="s">
        <v>59</v>
      </c>
      <c r="E17" s="5" t="s">
        <v>19</v>
      </c>
      <c r="F17" s="5" t="s">
        <v>14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workbookViewId="0">
      <selection activeCell="A39" sqref="A39"/>
    </sheetView>
  </sheetViews>
  <sheetFormatPr defaultRowHeight="14.4" x14ac:dyDescent="0.3"/>
  <cols>
    <col min="1" max="2" width="34" customWidth="1"/>
    <col min="3" max="3" width="10" customWidth="1"/>
    <col min="4" max="4" width="12" customWidth="1"/>
    <col min="5" max="5" width="24" customWidth="1"/>
    <col min="6" max="6" width="14" customWidth="1"/>
    <col min="7" max="7" width="24" customWidth="1"/>
    <col min="8" max="8" width="14" customWidth="1"/>
    <col min="9" max="9" width="26" customWidth="1"/>
  </cols>
  <sheetData>
    <row r="1" spans="1:9" ht="17.399999999999999" x14ac:dyDescent="0.3">
      <c r="A1" s="19" t="s">
        <v>60</v>
      </c>
      <c r="B1" s="18"/>
      <c r="C1" s="18"/>
      <c r="D1" s="18"/>
      <c r="E1" s="18"/>
      <c r="F1" s="18"/>
      <c r="G1" s="18"/>
      <c r="H1" s="18"/>
      <c r="I1" s="18"/>
    </row>
    <row r="2" spans="1:9" x14ac:dyDescent="0.3">
      <c r="A2" s="17" t="s">
        <v>1</v>
      </c>
      <c r="B2" s="18"/>
      <c r="C2" s="18"/>
      <c r="D2" s="18"/>
      <c r="E2" s="18"/>
      <c r="F2" s="18"/>
      <c r="G2" s="18"/>
      <c r="H2" s="18"/>
      <c r="I2" s="18"/>
    </row>
    <row r="3" spans="1:9" x14ac:dyDescent="0.3">
      <c r="A3" s="2" t="s">
        <v>2</v>
      </c>
    </row>
    <row r="4" spans="1:9" ht="30" customHeight="1" x14ac:dyDescent="0.3">
      <c r="A4" s="3" t="s">
        <v>61</v>
      </c>
      <c r="B4" s="3" t="s">
        <v>62</v>
      </c>
      <c r="C4" s="3" t="s">
        <v>7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8</v>
      </c>
    </row>
    <row r="5" spans="1:9" x14ac:dyDescent="0.3">
      <c r="A5" s="6" t="s">
        <v>68</v>
      </c>
      <c r="B5" s="6"/>
      <c r="C5" s="6"/>
      <c r="D5" s="6"/>
      <c r="E5" s="6"/>
      <c r="F5" s="6"/>
      <c r="G5" s="6"/>
      <c r="H5" s="6"/>
      <c r="I5" s="6"/>
    </row>
    <row r="6" spans="1:9" x14ac:dyDescent="0.3">
      <c r="A6" s="4" t="s">
        <v>69</v>
      </c>
      <c r="B6" s="4" t="s">
        <v>70</v>
      </c>
      <c r="C6" s="5" t="s">
        <v>13</v>
      </c>
      <c r="D6" s="5" t="s">
        <v>71</v>
      </c>
      <c r="E6" s="5" t="s">
        <v>72</v>
      </c>
      <c r="F6" s="5" t="s">
        <v>73</v>
      </c>
      <c r="G6" s="5" t="s">
        <v>74</v>
      </c>
      <c r="H6" s="5" t="s">
        <v>75</v>
      </c>
      <c r="I6" s="5" t="s">
        <v>504</v>
      </c>
    </row>
    <row r="7" spans="1:9" x14ac:dyDescent="0.3">
      <c r="A7" s="4" t="s">
        <v>76</v>
      </c>
      <c r="B7" s="4" t="s">
        <v>77</v>
      </c>
      <c r="C7" s="5" t="s">
        <v>19</v>
      </c>
      <c r="D7" s="5" t="s">
        <v>78</v>
      </c>
      <c r="E7" s="5" t="s">
        <v>72</v>
      </c>
      <c r="F7" s="5" t="s">
        <v>73</v>
      </c>
      <c r="G7" s="5" t="s">
        <v>74</v>
      </c>
      <c r="H7" s="5" t="s">
        <v>75</v>
      </c>
      <c r="I7" s="5" t="s">
        <v>504</v>
      </c>
    </row>
    <row r="8" spans="1:9" x14ac:dyDescent="0.3">
      <c r="A8" s="4" t="s">
        <v>79</v>
      </c>
      <c r="B8" s="4" t="s">
        <v>80</v>
      </c>
      <c r="C8" s="5" t="s">
        <v>13</v>
      </c>
      <c r="D8" s="5" t="s">
        <v>81</v>
      </c>
      <c r="E8" s="5" t="s">
        <v>72</v>
      </c>
      <c r="F8" s="5" t="s">
        <v>73</v>
      </c>
      <c r="G8" s="5" t="s">
        <v>74</v>
      </c>
      <c r="H8" s="5" t="s">
        <v>75</v>
      </c>
      <c r="I8" s="5" t="s">
        <v>505</v>
      </c>
    </row>
    <row r="9" spans="1:9" ht="22.8" x14ac:dyDescent="0.3">
      <c r="A9" s="4" t="s">
        <v>82</v>
      </c>
      <c r="B9" s="4" t="s">
        <v>83</v>
      </c>
      <c r="C9" s="5" t="s">
        <v>19</v>
      </c>
      <c r="D9" s="5" t="s">
        <v>84</v>
      </c>
      <c r="E9" s="5" t="s">
        <v>72</v>
      </c>
      <c r="F9" s="5" t="s">
        <v>73</v>
      </c>
      <c r="G9" s="5" t="s">
        <v>74</v>
      </c>
      <c r="H9" s="5" t="s">
        <v>75</v>
      </c>
      <c r="I9" s="5" t="s">
        <v>505</v>
      </c>
    </row>
    <row r="10" spans="1:9" x14ac:dyDescent="0.3">
      <c r="A10" s="4" t="s">
        <v>85</v>
      </c>
      <c r="B10" s="4" t="s">
        <v>86</v>
      </c>
      <c r="C10" s="5" t="s">
        <v>13</v>
      </c>
      <c r="D10" s="5" t="s">
        <v>87</v>
      </c>
      <c r="E10" s="5" t="s">
        <v>72</v>
      </c>
      <c r="F10" s="5" t="s">
        <v>73</v>
      </c>
      <c r="G10" s="5" t="s">
        <v>74</v>
      </c>
      <c r="H10" s="5" t="s">
        <v>75</v>
      </c>
      <c r="I10" s="5" t="s">
        <v>506</v>
      </c>
    </row>
    <row r="11" spans="1:9" ht="22.8" x14ac:dyDescent="0.3">
      <c r="A11" s="4" t="s">
        <v>88</v>
      </c>
      <c r="B11" s="4" t="s">
        <v>89</v>
      </c>
      <c r="C11" s="5" t="s">
        <v>19</v>
      </c>
      <c r="D11" s="5" t="s">
        <v>90</v>
      </c>
      <c r="E11" s="5" t="s">
        <v>72</v>
      </c>
      <c r="F11" s="5" t="s">
        <v>73</v>
      </c>
      <c r="G11" s="5" t="s">
        <v>74</v>
      </c>
      <c r="H11" s="5" t="s">
        <v>75</v>
      </c>
      <c r="I11" s="5" t="s">
        <v>506</v>
      </c>
    </row>
    <row r="12" spans="1:9" ht="22.8" x14ac:dyDescent="0.3">
      <c r="A12" s="4" t="s">
        <v>91</v>
      </c>
      <c r="B12" s="4" t="s">
        <v>91</v>
      </c>
      <c r="C12" s="5" t="s">
        <v>13</v>
      </c>
      <c r="D12" s="5" t="s">
        <v>92</v>
      </c>
      <c r="E12" s="5" t="s">
        <v>72</v>
      </c>
      <c r="F12" s="5" t="s">
        <v>73</v>
      </c>
      <c r="G12" s="5" t="s">
        <v>74</v>
      </c>
      <c r="H12" s="5" t="s">
        <v>75</v>
      </c>
      <c r="I12" s="5" t="s">
        <v>506</v>
      </c>
    </row>
    <row r="13" spans="1:9" ht="22.8" x14ac:dyDescent="0.3">
      <c r="A13" s="4" t="s">
        <v>93</v>
      </c>
      <c r="B13" s="4" t="s">
        <v>93</v>
      </c>
      <c r="C13" s="5" t="s">
        <v>19</v>
      </c>
      <c r="D13" s="5" t="s">
        <v>94</v>
      </c>
      <c r="E13" s="5" t="s">
        <v>72</v>
      </c>
      <c r="F13" s="5" t="s">
        <v>73</v>
      </c>
      <c r="G13" s="5" t="s">
        <v>74</v>
      </c>
      <c r="H13" s="5" t="s">
        <v>75</v>
      </c>
      <c r="I13" s="5" t="s">
        <v>506</v>
      </c>
    </row>
    <row r="14" spans="1:9" x14ac:dyDescent="0.3">
      <c r="A14" s="4" t="s">
        <v>95</v>
      </c>
      <c r="B14" s="4" t="s">
        <v>96</v>
      </c>
      <c r="C14" s="5" t="s">
        <v>13</v>
      </c>
      <c r="D14" s="5" t="s">
        <v>97</v>
      </c>
      <c r="E14" s="5" t="s">
        <v>72</v>
      </c>
      <c r="F14" s="5" t="s">
        <v>73</v>
      </c>
      <c r="G14" s="5" t="s">
        <v>74</v>
      </c>
      <c r="H14" s="5" t="s">
        <v>75</v>
      </c>
      <c r="I14" s="5" t="s">
        <v>504</v>
      </c>
    </row>
    <row r="15" spans="1:9" x14ac:dyDescent="0.3">
      <c r="A15" s="4" t="s">
        <v>98</v>
      </c>
      <c r="B15" s="4" t="s">
        <v>99</v>
      </c>
      <c r="C15" s="5" t="s">
        <v>19</v>
      </c>
      <c r="D15" s="5" t="s">
        <v>100</v>
      </c>
      <c r="E15" s="5" t="s">
        <v>72</v>
      </c>
      <c r="F15" s="5" t="s">
        <v>73</v>
      </c>
      <c r="G15" s="5" t="s">
        <v>74</v>
      </c>
      <c r="H15" s="5" t="s">
        <v>75</v>
      </c>
      <c r="I15" s="5" t="s">
        <v>504</v>
      </c>
    </row>
    <row r="16" spans="1:9" x14ac:dyDescent="0.3">
      <c r="A16" s="4" t="s">
        <v>101</v>
      </c>
      <c r="B16" s="4" t="s">
        <v>102</v>
      </c>
      <c r="C16" s="5" t="s">
        <v>13</v>
      </c>
      <c r="D16" s="5" t="s">
        <v>103</v>
      </c>
      <c r="E16" s="5" t="s">
        <v>72</v>
      </c>
      <c r="F16" s="5" t="s">
        <v>73</v>
      </c>
      <c r="G16" s="5" t="s">
        <v>74</v>
      </c>
      <c r="H16" s="5" t="s">
        <v>75</v>
      </c>
      <c r="I16" s="5" t="s">
        <v>504</v>
      </c>
    </row>
    <row r="17" spans="1:9" x14ac:dyDescent="0.3">
      <c r="A17" s="4" t="s">
        <v>104</v>
      </c>
      <c r="B17" s="4" t="s">
        <v>105</v>
      </c>
      <c r="C17" s="5" t="s">
        <v>19</v>
      </c>
      <c r="D17" s="5" t="s">
        <v>106</v>
      </c>
      <c r="E17" s="5" t="s">
        <v>72</v>
      </c>
      <c r="F17" s="5" t="s">
        <v>73</v>
      </c>
      <c r="G17" s="5" t="s">
        <v>74</v>
      </c>
      <c r="H17" s="5" t="s">
        <v>75</v>
      </c>
      <c r="I17" s="5" t="s">
        <v>504</v>
      </c>
    </row>
    <row r="18" spans="1:9" x14ac:dyDescent="0.3">
      <c r="A18" s="4" t="s">
        <v>107</v>
      </c>
      <c r="B18" s="4" t="s">
        <v>108</v>
      </c>
      <c r="C18" s="5" t="s">
        <v>13</v>
      </c>
      <c r="D18" s="5" t="s">
        <v>109</v>
      </c>
      <c r="E18" s="5" t="s">
        <v>72</v>
      </c>
      <c r="F18" s="5" t="s">
        <v>73</v>
      </c>
      <c r="G18" s="5" t="s">
        <v>74</v>
      </c>
      <c r="H18" s="5" t="s">
        <v>75</v>
      </c>
      <c r="I18" s="5" t="s">
        <v>505</v>
      </c>
    </row>
    <row r="19" spans="1:9" x14ac:dyDescent="0.3">
      <c r="A19" s="4" t="s">
        <v>110</v>
      </c>
      <c r="B19" s="4" t="s">
        <v>111</v>
      </c>
      <c r="C19" s="5" t="s">
        <v>19</v>
      </c>
      <c r="D19" s="5" t="s">
        <v>112</v>
      </c>
      <c r="E19" s="5" t="s">
        <v>72</v>
      </c>
      <c r="F19" s="5" t="s">
        <v>73</v>
      </c>
      <c r="G19" s="5" t="s">
        <v>74</v>
      </c>
      <c r="H19" s="5" t="s">
        <v>75</v>
      </c>
      <c r="I19" s="5" t="s">
        <v>505</v>
      </c>
    </row>
    <row r="20" spans="1:9" x14ac:dyDescent="0.3">
      <c r="A20" s="4" t="s">
        <v>113</v>
      </c>
      <c r="B20" s="4" t="s">
        <v>114</v>
      </c>
      <c r="C20" s="5" t="s">
        <v>13</v>
      </c>
      <c r="D20" s="5" t="s">
        <v>115</v>
      </c>
      <c r="E20" s="5" t="s">
        <v>72</v>
      </c>
      <c r="F20" s="5" t="s">
        <v>73</v>
      </c>
      <c r="G20" s="5" t="s">
        <v>74</v>
      </c>
      <c r="H20" s="5" t="s">
        <v>75</v>
      </c>
      <c r="I20" s="5" t="s">
        <v>505</v>
      </c>
    </row>
    <row r="21" spans="1:9" x14ac:dyDescent="0.3">
      <c r="A21" s="4" t="s">
        <v>116</v>
      </c>
      <c r="B21" s="4" t="s">
        <v>117</v>
      </c>
      <c r="C21" s="5" t="s">
        <v>19</v>
      </c>
      <c r="D21" s="5" t="s">
        <v>118</v>
      </c>
      <c r="E21" s="5" t="s">
        <v>72</v>
      </c>
      <c r="F21" s="5" t="s">
        <v>73</v>
      </c>
      <c r="G21" s="5" t="s">
        <v>74</v>
      </c>
      <c r="H21" s="5" t="s">
        <v>75</v>
      </c>
      <c r="I21" s="5" t="s">
        <v>505</v>
      </c>
    </row>
    <row r="22" spans="1:9" x14ac:dyDescent="0.3">
      <c r="A22" s="4" t="s">
        <v>119</v>
      </c>
      <c r="B22" s="4" t="s">
        <v>120</v>
      </c>
      <c r="C22" s="5" t="s">
        <v>13</v>
      </c>
      <c r="D22" s="5" t="s">
        <v>121</v>
      </c>
      <c r="E22" s="5" t="s">
        <v>72</v>
      </c>
      <c r="F22" s="5" t="s">
        <v>73</v>
      </c>
      <c r="G22" s="5" t="s">
        <v>74</v>
      </c>
      <c r="H22" s="5" t="s">
        <v>75</v>
      </c>
      <c r="I22" s="5" t="s">
        <v>505</v>
      </c>
    </row>
    <row r="23" spans="1:9" x14ac:dyDescent="0.3">
      <c r="A23" s="4" t="s">
        <v>122</v>
      </c>
      <c r="B23" s="4" t="s">
        <v>123</v>
      </c>
      <c r="C23" s="5" t="s">
        <v>19</v>
      </c>
      <c r="D23" s="5" t="s">
        <v>124</v>
      </c>
      <c r="E23" s="5" t="s">
        <v>72</v>
      </c>
      <c r="F23" s="5" t="s">
        <v>73</v>
      </c>
      <c r="G23" s="5" t="s">
        <v>74</v>
      </c>
      <c r="H23" s="5" t="s">
        <v>75</v>
      </c>
      <c r="I23" s="5" t="s">
        <v>505</v>
      </c>
    </row>
    <row r="24" spans="1:9" x14ac:dyDescent="0.3">
      <c r="A24" s="4" t="s">
        <v>125</v>
      </c>
      <c r="B24" s="4" t="s">
        <v>126</v>
      </c>
      <c r="C24" s="5" t="s">
        <v>13</v>
      </c>
      <c r="D24" s="5" t="s">
        <v>127</v>
      </c>
      <c r="E24" s="5" t="s">
        <v>72</v>
      </c>
      <c r="F24" s="5" t="s">
        <v>73</v>
      </c>
      <c r="G24" s="5" t="s">
        <v>74</v>
      </c>
      <c r="H24" s="5" t="s">
        <v>75</v>
      </c>
      <c r="I24" s="5" t="s">
        <v>505</v>
      </c>
    </row>
    <row r="25" spans="1:9" x14ac:dyDescent="0.3">
      <c r="A25" s="4" t="s">
        <v>128</v>
      </c>
      <c r="B25" s="4" t="s">
        <v>129</v>
      </c>
      <c r="C25" s="5" t="s">
        <v>19</v>
      </c>
      <c r="D25" s="5" t="s">
        <v>130</v>
      </c>
      <c r="E25" s="5" t="s">
        <v>72</v>
      </c>
      <c r="F25" s="5" t="s">
        <v>73</v>
      </c>
      <c r="G25" s="5" t="s">
        <v>74</v>
      </c>
      <c r="H25" s="5" t="s">
        <v>75</v>
      </c>
      <c r="I25" s="5" t="s">
        <v>505</v>
      </c>
    </row>
    <row r="26" spans="1:9" ht="22.8" x14ac:dyDescent="0.3">
      <c r="A26" s="4" t="s">
        <v>131</v>
      </c>
      <c r="B26" s="4" t="s">
        <v>132</v>
      </c>
      <c r="C26" s="5" t="s">
        <v>13</v>
      </c>
      <c r="D26" s="5" t="s">
        <v>133</v>
      </c>
      <c r="E26" s="5" t="s">
        <v>72</v>
      </c>
      <c r="F26" s="5" t="s">
        <v>73</v>
      </c>
      <c r="G26" s="5" t="s">
        <v>74</v>
      </c>
      <c r="H26" s="5" t="s">
        <v>75</v>
      </c>
      <c r="I26" s="5" t="s">
        <v>505</v>
      </c>
    </row>
    <row r="27" spans="1:9" ht="22.8" x14ac:dyDescent="0.3">
      <c r="A27" s="4" t="s">
        <v>134</v>
      </c>
      <c r="B27" s="4" t="s">
        <v>135</v>
      </c>
      <c r="C27" s="5" t="s">
        <v>19</v>
      </c>
      <c r="D27" s="5" t="s">
        <v>136</v>
      </c>
      <c r="E27" s="5" t="s">
        <v>72</v>
      </c>
      <c r="F27" s="5" t="s">
        <v>73</v>
      </c>
      <c r="G27" s="5" t="s">
        <v>74</v>
      </c>
      <c r="H27" s="5" t="s">
        <v>75</v>
      </c>
      <c r="I27" s="5" t="s">
        <v>505</v>
      </c>
    </row>
    <row r="28" spans="1:9" x14ac:dyDescent="0.3">
      <c r="A28" s="4" t="s">
        <v>137</v>
      </c>
      <c r="B28" s="4" t="s">
        <v>138</v>
      </c>
      <c r="C28" s="5" t="s">
        <v>13</v>
      </c>
      <c r="D28" s="5" t="s">
        <v>139</v>
      </c>
      <c r="E28" s="5" t="s">
        <v>72</v>
      </c>
      <c r="F28" s="5" t="s">
        <v>73</v>
      </c>
      <c r="G28" s="5" t="s">
        <v>74</v>
      </c>
      <c r="H28" s="5" t="s">
        <v>75</v>
      </c>
      <c r="I28" s="5" t="s">
        <v>504</v>
      </c>
    </row>
    <row r="29" spans="1:9" x14ac:dyDescent="0.3">
      <c r="A29" s="4" t="s">
        <v>140</v>
      </c>
      <c r="B29" s="4" t="s">
        <v>141</v>
      </c>
      <c r="C29" s="5" t="s">
        <v>19</v>
      </c>
      <c r="D29" s="5" t="s">
        <v>139</v>
      </c>
      <c r="E29" s="5" t="s">
        <v>72</v>
      </c>
      <c r="F29" s="5" t="s">
        <v>73</v>
      </c>
      <c r="G29" s="5" t="s">
        <v>74</v>
      </c>
      <c r="H29" s="5" t="s">
        <v>75</v>
      </c>
      <c r="I29" s="5" t="s">
        <v>504</v>
      </c>
    </row>
    <row r="30" spans="1:9" x14ac:dyDescent="0.3">
      <c r="A30" s="4" t="s">
        <v>142</v>
      </c>
      <c r="B30" s="4" t="s">
        <v>143</v>
      </c>
      <c r="C30" s="5" t="s">
        <v>13</v>
      </c>
      <c r="D30" s="5" t="s">
        <v>144</v>
      </c>
      <c r="E30" s="5" t="s">
        <v>72</v>
      </c>
      <c r="F30" s="5" t="s">
        <v>73</v>
      </c>
      <c r="G30" s="5" t="s">
        <v>74</v>
      </c>
      <c r="H30" s="5" t="s">
        <v>75</v>
      </c>
      <c r="I30" s="5" t="s">
        <v>504</v>
      </c>
    </row>
    <row r="31" spans="1:9" x14ac:dyDescent="0.3">
      <c r="A31" s="4" t="s">
        <v>145</v>
      </c>
      <c r="B31" s="4" t="s">
        <v>146</v>
      </c>
      <c r="C31" s="5" t="s">
        <v>19</v>
      </c>
      <c r="D31" s="5" t="s">
        <v>147</v>
      </c>
      <c r="E31" s="5" t="s">
        <v>72</v>
      </c>
      <c r="F31" s="5" t="s">
        <v>73</v>
      </c>
      <c r="G31" s="5" t="s">
        <v>74</v>
      </c>
      <c r="H31" s="5" t="s">
        <v>75</v>
      </c>
      <c r="I31" s="5" t="s">
        <v>504</v>
      </c>
    </row>
    <row r="32" spans="1:9" x14ac:dyDescent="0.3">
      <c r="A32" s="4" t="s">
        <v>148</v>
      </c>
      <c r="B32" s="4" t="s">
        <v>149</v>
      </c>
      <c r="C32" s="5" t="s">
        <v>13</v>
      </c>
      <c r="D32" s="5" t="s">
        <v>150</v>
      </c>
      <c r="E32" s="5" t="s">
        <v>72</v>
      </c>
      <c r="F32" s="5" t="s">
        <v>73</v>
      </c>
      <c r="G32" s="5" t="s">
        <v>74</v>
      </c>
      <c r="H32" s="5" t="s">
        <v>75</v>
      </c>
      <c r="I32" s="5" t="s">
        <v>504</v>
      </c>
    </row>
    <row r="33" spans="1:9" x14ac:dyDescent="0.3">
      <c r="A33" s="4" t="s">
        <v>151</v>
      </c>
      <c r="B33" s="4" t="s">
        <v>152</v>
      </c>
      <c r="C33" s="5" t="s">
        <v>19</v>
      </c>
      <c r="D33" s="5" t="s">
        <v>153</v>
      </c>
      <c r="E33" s="5" t="s">
        <v>72</v>
      </c>
      <c r="F33" s="5" t="s">
        <v>73</v>
      </c>
      <c r="G33" s="5" t="s">
        <v>74</v>
      </c>
      <c r="H33" s="5" t="s">
        <v>75</v>
      </c>
      <c r="I33" s="5" t="s">
        <v>504</v>
      </c>
    </row>
    <row r="34" spans="1:9" x14ac:dyDescent="0.3">
      <c r="A34" s="6" t="s">
        <v>154</v>
      </c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 t="s">
        <v>155</v>
      </c>
      <c r="B35" s="4" t="s">
        <v>156</v>
      </c>
      <c r="C35" s="5" t="s">
        <v>13</v>
      </c>
      <c r="D35" s="5" t="s">
        <v>139</v>
      </c>
      <c r="E35" s="5" t="s">
        <v>72</v>
      </c>
      <c r="F35" s="5" t="s">
        <v>73</v>
      </c>
      <c r="G35" s="5" t="s">
        <v>74</v>
      </c>
      <c r="H35" s="5" t="s">
        <v>75</v>
      </c>
      <c r="I35" s="5" t="s">
        <v>504</v>
      </c>
    </row>
    <row r="36" spans="1:9" x14ac:dyDescent="0.3">
      <c r="A36" s="4" t="s">
        <v>157</v>
      </c>
      <c r="B36" s="4" t="s">
        <v>158</v>
      </c>
      <c r="C36" s="5" t="s">
        <v>19</v>
      </c>
      <c r="D36" s="5" t="s">
        <v>139</v>
      </c>
      <c r="E36" s="5" t="s">
        <v>72</v>
      </c>
      <c r="F36" s="5" t="s">
        <v>73</v>
      </c>
      <c r="G36" s="5" t="s">
        <v>74</v>
      </c>
      <c r="H36" s="5" t="s">
        <v>75</v>
      </c>
      <c r="I36" s="5" t="s">
        <v>504</v>
      </c>
    </row>
  </sheetData>
  <mergeCells count="2">
    <mergeCell ref="A1:I1"/>
    <mergeCell ref="A2:I2"/>
  </mergeCells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1"/>
  <sheetViews>
    <sheetView workbookViewId="0">
      <selection activeCell="M8" sqref="M8"/>
    </sheetView>
  </sheetViews>
  <sheetFormatPr defaultRowHeight="14.4" x14ac:dyDescent="0.3"/>
  <cols>
    <col min="1" max="1" width="30" customWidth="1"/>
    <col min="2" max="2" width="12" customWidth="1"/>
    <col min="3" max="4" width="7" customWidth="1"/>
    <col min="5" max="5" width="30" customWidth="1"/>
    <col min="6" max="6" width="12" customWidth="1"/>
    <col min="7" max="8" width="7" customWidth="1"/>
    <col min="9" max="9" width="26.21875" customWidth="1"/>
    <col min="10" max="10" width="17" customWidth="1"/>
  </cols>
  <sheetData>
    <row r="1" spans="1:14" ht="16.8" x14ac:dyDescent="0.3">
      <c r="A1" s="21" t="s">
        <v>510</v>
      </c>
      <c r="B1" s="18"/>
      <c r="C1" s="18"/>
      <c r="D1" s="18"/>
      <c r="E1" s="18"/>
      <c r="F1" s="18"/>
      <c r="G1" s="18"/>
      <c r="H1" s="18"/>
      <c r="I1" s="18"/>
    </row>
    <row r="2" spans="1:14" x14ac:dyDescent="0.3">
      <c r="A2" s="17" t="s">
        <v>159</v>
      </c>
      <c r="B2" s="18"/>
      <c r="C2" s="18"/>
      <c r="D2" s="18"/>
      <c r="E2" s="18"/>
      <c r="F2" s="18"/>
      <c r="G2" s="18"/>
      <c r="H2" s="18"/>
      <c r="I2" s="18"/>
    </row>
    <row r="3" spans="1:14" x14ac:dyDescent="0.3">
      <c r="A3" s="1"/>
    </row>
    <row r="4" spans="1:14" x14ac:dyDescent="0.3">
      <c r="A4" s="13" t="s">
        <v>173</v>
      </c>
    </row>
    <row r="5" spans="1:14" ht="28.05" customHeight="1" x14ac:dyDescent="0.3">
      <c r="A5" s="3" t="s">
        <v>64</v>
      </c>
      <c r="B5" s="3" t="s">
        <v>160</v>
      </c>
      <c r="C5" s="3" t="s">
        <v>161</v>
      </c>
      <c r="D5" s="3" t="s">
        <v>162</v>
      </c>
      <c r="E5" s="3" t="s">
        <v>66</v>
      </c>
      <c r="F5" s="3" t="s">
        <v>160</v>
      </c>
      <c r="G5" s="3" t="s">
        <v>161</v>
      </c>
      <c r="H5" s="3" t="s">
        <v>162</v>
      </c>
      <c r="I5" s="3" t="s">
        <v>511</v>
      </c>
      <c r="J5" s="32" t="s">
        <v>512</v>
      </c>
    </row>
    <row r="6" spans="1:14" x14ac:dyDescent="0.3">
      <c r="A6" s="6" t="s">
        <v>72</v>
      </c>
      <c r="B6" s="22">
        <v>7000210</v>
      </c>
      <c r="C6" s="6"/>
      <c r="D6" s="6"/>
      <c r="E6" s="6" t="s">
        <v>74</v>
      </c>
      <c r="F6" s="12" t="s">
        <v>75</v>
      </c>
      <c r="G6" s="6"/>
      <c r="H6" s="6"/>
      <c r="I6" s="14" t="s">
        <v>176</v>
      </c>
      <c r="J6" s="33" t="s">
        <v>513</v>
      </c>
      <c r="L6" s="29"/>
      <c r="M6" s="29"/>
      <c r="N6" s="30"/>
    </row>
    <row r="7" spans="1:14" x14ac:dyDescent="0.3">
      <c r="A7" s="4" t="s">
        <v>164</v>
      </c>
      <c r="B7" s="5" t="s">
        <v>165</v>
      </c>
      <c r="C7" s="5">
        <v>1</v>
      </c>
      <c r="D7" s="5" t="s">
        <v>163</v>
      </c>
      <c r="E7" s="11" t="s">
        <v>507</v>
      </c>
      <c r="F7" s="12" t="s">
        <v>75</v>
      </c>
      <c r="G7" s="5">
        <v>1</v>
      </c>
      <c r="H7" s="5" t="s">
        <v>163</v>
      </c>
      <c r="I7" s="14" t="s">
        <v>178</v>
      </c>
      <c r="J7" s="33"/>
      <c r="L7" s="29"/>
      <c r="M7" s="29"/>
      <c r="N7" s="30"/>
    </row>
    <row r="8" spans="1:14" x14ac:dyDescent="0.3">
      <c r="A8" s="6" t="s">
        <v>164</v>
      </c>
      <c r="B8" s="26" t="s">
        <v>165</v>
      </c>
      <c r="C8" s="6"/>
      <c r="D8" s="6"/>
      <c r="E8" s="6" t="s">
        <v>509</v>
      </c>
      <c r="F8" s="12" t="s">
        <v>75</v>
      </c>
      <c r="G8" s="6"/>
      <c r="H8" s="6"/>
      <c r="I8" s="14" t="s">
        <v>180</v>
      </c>
      <c r="J8" s="33"/>
      <c r="L8" s="29"/>
      <c r="M8" s="29"/>
      <c r="N8" s="30"/>
    </row>
    <row r="9" spans="1:14" x14ac:dyDescent="0.3">
      <c r="A9" s="4" t="s">
        <v>166</v>
      </c>
      <c r="B9" s="5" t="s">
        <v>167</v>
      </c>
      <c r="C9" s="5">
        <v>1</v>
      </c>
      <c r="D9" s="5" t="s">
        <v>163</v>
      </c>
      <c r="E9" s="11" t="s">
        <v>508</v>
      </c>
      <c r="F9" s="12" t="s">
        <v>75</v>
      </c>
      <c r="G9" s="5">
        <v>1</v>
      </c>
      <c r="H9" s="5" t="s">
        <v>163</v>
      </c>
      <c r="I9" s="14" t="s">
        <v>182</v>
      </c>
      <c r="J9" s="33"/>
      <c r="L9" s="29"/>
      <c r="M9" s="29"/>
      <c r="N9" s="30"/>
    </row>
    <row r="10" spans="1:14" x14ac:dyDescent="0.3">
      <c r="A10" s="6" t="s">
        <v>166</v>
      </c>
      <c r="B10" s="26" t="s">
        <v>167</v>
      </c>
      <c r="C10" s="6"/>
      <c r="D10" s="6"/>
      <c r="E10" s="6" t="s">
        <v>509</v>
      </c>
      <c r="F10" s="12" t="s">
        <v>75</v>
      </c>
      <c r="G10" s="6"/>
      <c r="H10" s="6"/>
      <c r="I10" s="14" t="s">
        <v>184</v>
      </c>
      <c r="J10" s="33"/>
      <c r="L10" s="29"/>
      <c r="M10" s="29"/>
      <c r="N10" s="30"/>
    </row>
    <row r="11" spans="1:14" x14ac:dyDescent="0.3">
      <c r="A11" s="4" t="s">
        <v>168</v>
      </c>
      <c r="B11" s="5" t="s">
        <v>169</v>
      </c>
      <c r="C11" s="5">
        <v>1</v>
      </c>
      <c r="D11" s="5" t="s">
        <v>163</v>
      </c>
      <c r="E11" s="25" t="s">
        <v>170</v>
      </c>
      <c r="F11" s="5" t="s">
        <v>171</v>
      </c>
      <c r="G11" s="5">
        <v>1</v>
      </c>
      <c r="H11" s="5" t="s">
        <v>163</v>
      </c>
      <c r="I11" s="14" t="s">
        <v>186</v>
      </c>
      <c r="J11" s="33"/>
      <c r="L11" s="29"/>
      <c r="M11" s="29"/>
      <c r="N11" s="30"/>
    </row>
    <row r="12" spans="1:14" ht="22.8" x14ac:dyDescent="0.3">
      <c r="A12" s="4"/>
      <c r="B12" s="5"/>
      <c r="C12" s="5"/>
      <c r="D12" s="5"/>
      <c r="E12" s="11" t="s">
        <v>172</v>
      </c>
      <c r="F12" s="12" t="s">
        <v>75</v>
      </c>
      <c r="G12" s="5">
        <v>1</v>
      </c>
      <c r="H12" s="5" t="s">
        <v>163</v>
      </c>
      <c r="I12" s="14" t="s">
        <v>188</v>
      </c>
      <c r="J12" s="33"/>
      <c r="L12" s="29"/>
      <c r="M12" s="29"/>
      <c r="N12" s="30"/>
    </row>
    <row r="13" spans="1:14" x14ac:dyDescent="0.3">
      <c r="I13" s="14" t="s">
        <v>190</v>
      </c>
      <c r="L13" s="29"/>
      <c r="M13" s="29"/>
      <c r="N13" s="30"/>
    </row>
    <row r="14" spans="1:14" ht="28.05" customHeight="1" x14ac:dyDescent="0.3">
      <c r="I14" s="14" t="s">
        <v>192</v>
      </c>
      <c r="L14" s="29"/>
      <c r="M14" s="29"/>
      <c r="N14" s="30"/>
    </row>
    <row r="15" spans="1:14" x14ac:dyDescent="0.3">
      <c r="I15" s="14" t="s">
        <v>194</v>
      </c>
      <c r="L15" s="29"/>
      <c r="M15" s="29"/>
      <c r="N15" s="30"/>
    </row>
    <row r="16" spans="1:14" x14ac:dyDescent="0.3">
      <c r="I16" s="14" t="s">
        <v>196</v>
      </c>
      <c r="L16" s="29"/>
      <c r="M16" s="29"/>
      <c r="N16" s="30"/>
    </row>
    <row r="17" spans="1:14" x14ac:dyDescent="0.3">
      <c r="I17" s="14" t="s">
        <v>198</v>
      </c>
      <c r="L17" s="29"/>
      <c r="M17" s="29"/>
      <c r="N17" s="30"/>
    </row>
    <row r="18" spans="1:14" x14ac:dyDescent="0.3">
      <c r="I18" s="14" t="s">
        <v>200</v>
      </c>
      <c r="L18" s="29"/>
      <c r="M18" s="29"/>
      <c r="N18" s="30"/>
    </row>
    <row r="19" spans="1:14" x14ac:dyDescent="0.3">
      <c r="I19" s="14" t="s">
        <v>202</v>
      </c>
      <c r="L19" s="29"/>
      <c r="M19" s="29"/>
      <c r="N19" s="30"/>
    </row>
    <row r="20" spans="1:14" x14ac:dyDescent="0.3">
      <c r="I20" s="14" t="s">
        <v>204</v>
      </c>
      <c r="L20" s="29"/>
      <c r="M20" s="29"/>
      <c r="N20" s="30"/>
    </row>
    <row r="21" spans="1:14" x14ac:dyDescent="0.3">
      <c r="I21" s="14" t="s">
        <v>205</v>
      </c>
      <c r="L21" s="29"/>
      <c r="M21" s="29"/>
      <c r="N21" s="30"/>
    </row>
    <row r="22" spans="1:14" x14ac:dyDescent="0.3">
      <c r="A22" s="13" t="s">
        <v>175</v>
      </c>
    </row>
    <row r="23" spans="1:14" x14ac:dyDescent="0.3">
      <c r="A23" s="3" t="s">
        <v>64</v>
      </c>
      <c r="B23" s="3" t="s">
        <v>160</v>
      </c>
      <c r="C23" s="3" t="s">
        <v>161</v>
      </c>
      <c r="D23" s="3" t="s">
        <v>162</v>
      </c>
      <c r="E23" s="3" t="s">
        <v>66</v>
      </c>
      <c r="F23" s="3" t="s">
        <v>160</v>
      </c>
      <c r="G23" s="3" t="s">
        <v>161</v>
      </c>
      <c r="H23" s="3" t="s">
        <v>162</v>
      </c>
      <c r="I23" s="3" t="s">
        <v>511</v>
      </c>
      <c r="J23" s="32" t="s">
        <v>514</v>
      </c>
    </row>
    <row r="24" spans="1:14" x14ac:dyDescent="0.3">
      <c r="A24" s="6" t="s">
        <v>72</v>
      </c>
      <c r="B24" s="22">
        <v>7000210</v>
      </c>
      <c r="C24" s="6"/>
      <c r="D24" s="6"/>
      <c r="E24" s="6" t="s">
        <v>74</v>
      </c>
      <c r="F24" s="12" t="s">
        <v>75</v>
      </c>
      <c r="G24" s="6"/>
      <c r="H24" s="6"/>
      <c r="I24" s="14" t="s">
        <v>177</v>
      </c>
      <c r="J24" s="33" t="s">
        <v>513</v>
      </c>
      <c r="K24" s="15"/>
      <c r="L24" s="16"/>
    </row>
    <row r="25" spans="1:14" x14ac:dyDescent="0.3">
      <c r="A25" s="4" t="s">
        <v>164</v>
      </c>
      <c r="B25" s="5" t="s">
        <v>165</v>
      </c>
      <c r="C25" s="5">
        <v>1</v>
      </c>
      <c r="D25" s="5" t="s">
        <v>163</v>
      </c>
      <c r="E25" s="11" t="s">
        <v>507</v>
      </c>
      <c r="F25" s="12" t="s">
        <v>75</v>
      </c>
      <c r="G25" s="5">
        <v>1</v>
      </c>
      <c r="H25" s="5" t="s">
        <v>163</v>
      </c>
      <c r="I25" s="14" t="s">
        <v>179</v>
      </c>
      <c r="J25" s="33"/>
      <c r="K25" s="15"/>
      <c r="L25" s="16"/>
    </row>
    <row r="26" spans="1:14" x14ac:dyDescent="0.3">
      <c r="A26" s="6" t="s">
        <v>164</v>
      </c>
      <c r="B26" s="26" t="s">
        <v>165</v>
      </c>
      <c r="C26" s="6"/>
      <c r="D26" s="6"/>
      <c r="E26" s="6" t="s">
        <v>509</v>
      </c>
      <c r="F26" s="12" t="s">
        <v>75</v>
      </c>
      <c r="G26" s="6"/>
      <c r="H26" s="6"/>
      <c r="I26" s="14" t="s">
        <v>181</v>
      </c>
      <c r="J26" s="33"/>
      <c r="K26" s="15"/>
      <c r="L26" s="16"/>
    </row>
    <row r="27" spans="1:14" x14ac:dyDescent="0.3">
      <c r="A27" s="4" t="s">
        <v>166</v>
      </c>
      <c r="B27" s="5" t="s">
        <v>167</v>
      </c>
      <c r="C27" s="5">
        <v>1</v>
      </c>
      <c r="D27" s="5" t="s">
        <v>163</v>
      </c>
      <c r="E27" s="11" t="s">
        <v>508</v>
      </c>
      <c r="F27" s="12" t="s">
        <v>75</v>
      </c>
      <c r="G27" s="5">
        <v>1</v>
      </c>
      <c r="H27" s="5" t="s">
        <v>163</v>
      </c>
      <c r="I27" s="14" t="s">
        <v>183</v>
      </c>
      <c r="J27" s="33"/>
      <c r="K27" s="15"/>
      <c r="L27" s="16"/>
    </row>
    <row r="28" spans="1:14" x14ac:dyDescent="0.3">
      <c r="A28" s="6" t="s">
        <v>166</v>
      </c>
      <c r="B28" s="26" t="s">
        <v>167</v>
      </c>
      <c r="C28" s="6"/>
      <c r="D28" s="6"/>
      <c r="E28" s="6" t="s">
        <v>509</v>
      </c>
      <c r="F28" s="12" t="s">
        <v>75</v>
      </c>
      <c r="G28" s="6"/>
      <c r="H28" s="6"/>
      <c r="I28" s="14" t="s">
        <v>185</v>
      </c>
      <c r="J28" s="33"/>
      <c r="K28" s="29"/>
      <c r="L28" s="30"/>
    </row>
    <row r="29" spans="1:14" x14ac:dyDescent="0.3">
      <c r="A29" s="4" t="s">
        <v>168</v>
      </c>
      <c r="B29" s="5" t="s">
        <v>169</v>
      </c>
      <c r="C29" s="5">
        <v>1</v>
      </c>
      <c r="D29" s="5" t="s">
        <v>163</v>
      </c>
      <c r="E29" s="25" t="s">
        <v>170</v>
      </c>
      <c r="F29" s="5" t="s">
        <v>171</v>
      </c>
      <c r="G29" s="5">
        <v>1</v>
      </c>
      <c r="H29" s="5" t="s">
        <v>163</v>
      </c>
      <c r="I29" s="14" t="s">
        <v>187</v>
      </c>
      <c r="J29" s="33"/>
      <c r="K29" s="29"/>
      <c r="L29" s="30"/>
    </row>
    <row r="30" spans="1:14" x14ac:dyDescent="0.3">
      <c r="I30" s="14" t="s">
        <v>189</v>
      </c>
      <c r="K30" s="29"/>
      <c r="L30" s="30"/>
    </row>
    <row r="31" spans="1:14" x14ac:dyDescent="0.3">
      <c r="I31" s="14" t="s">
        <v>191</v>
      </c>
      <c r="J31" s="29"/>
      <c r="K31" s="29"/>
      <c r="L31" s="30"/>
    </row>
    <row r="32" spans="1:14" x14ac:dyDescent="0.3">
      <c r="I32" s="14" t="s">
        <v>193</v>
      </c>
      <c r="J32" s="29"/>
      <c r="K32" s="29"/>
      <c r="L32" s="30"/>
    </row>
    <row r="33" spans="9:12" x14ac:dyDescent="0.3">
      <c r="I33" s="14" t="s">
        <v>195</v>
      </c>
      <c r="J33" s="29"/>
      <c r="K33" s="29"/>
      <c r="L33" s="30"/>
    </row>
    <row r="34" spans="9:12" x14ac:dyDescent="0.3">
      <c r="I34" s="14" t="s">
        <v>197</v>
      </c>
      <c r="J34" s="29"/>
      <c r="K34" s="29"/>
      <c r="L34" s="30"/>
    </row>
    <row r="35" spans="9:12" x14ac:dyDescent="0.3">
      <c r="I35" s="14" t="s">
        <v>199</v>
      </c>
      <c r="J35" s="29"/>
      <c r="K35" s="29"/>
      <c r="L35" s="30"/>
    </row>
    <row r="36" spans="9:12" x14ac:dyDescent="0.3">
      <c r="I36" s="14" t="s">
        <v>201</v>
      </c>
      <c r="J36" s="29"/>
      <c r="K36" s="29"/>
      <c r="L36" s="30"/>
    </row>
    <row r="37" spans="9:12" x14ac:dyDescent="0.3">
      <c r="I37" s="14" t="s">
        <v>203</v>
      </c>
      <c r="J37" s="29"/>
      <c r="K37" s="29"/>
      <c r="L37" s="30"/>
    </row>
    <row r="51" spans="1:9" ht="30" customHeight="1" x14ac:dyDescent="0.3">
      <c r="A51" s="9"/>
      <c r="B51" s="31"/>
      <c r="C51" s="31"/>
      <c r="D51" s="31"/>
      <c r="E51" s="31"/>
      <c r="F51" s="31"/>
      <c r="G51" s="31"/>
      <c r="H51" s="31"/>
      <c r="I51" s="31"/>
    </row>
  </sheetData>
  <mergeCells count="4">
    <mergeCell ref="J6:J12"/>
    <mergeCell ref="J24:J29"/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tabSelected="1" workbookViewId="0">
      <selection activeCell="D15" sqref="D15"/>
    </sheetView>
  </sheetViews>
  <sheetFormatPr defaultRowHeight="14.4" x14ac:dyDescent="0.3"/>
  <cols>
    <col min="1" max="2" width="32" customWidth="1"/>
    <col min="3" max="3" width="10" customWidth="1"/>
    <col min="4" max="4" width="20" customWidth="1"/>
    <col min="5" max="5" width="14" customWidth="1"/>
    <col min="6" max="6" width="8" customWidth="1"/>
    <col min="7" max="8" width="15" customWidth="1"/>
    <col min="9" max="9" width="16" customWidth="1"/>
  </cols>
  <sheetData>
    <row r="1" spans="1:9" ht="17.399999999999999" x14ac:dyDescent="0.3">
      <c r="A1" s="19" t="s">
        <v>206</v>
      </c>
      <c r="B1" s="18"/>
      <c r="C1" s="18"/>
      <c r="D1" s="18"/>
      <c r="E1" s="18"/>
      <c r="F1" s="18"/>
      <c r="G1" s="18"/>
      <c r="H1" s="18"/>
      <c r="I1" s="18"/>
    </row>
    <row r="2" spans="1:9" x14ac:dyDescent="0.3">
      <c r="A2" s="34" t="s">
        <v>1</v>
      </c>
      <c r="B2" s="35"/>
      <c r="C2" s="35"/>
      <c r="D2" s="35"/>
      <c r="E2" s="35"/>
      <c r="F2" s="35"/>
      <c r="G2" s="35"/>
      <c r="H2" s="35"/>
      <c r="I2" s="35"/>
    </row>
    <row r="3" spans="1:9" x14ac:dyDescent="0.3">
      <c r="A3" s="2" t="s">
        <v>2</v>
      </c>
    </row>
    <row r="4" spans="1:9" ht="30" customHeight="1" x14ac:dyDescent="0.3">
      <c r="A4" s="3" t="s">
        <v>61</v>
      </c>
      <c r="B4" s="3" t="s">
        <v>62</v>
      </c>
      <c r="C4" s="3" t="s">
        <v>7</v>
      </c>
      <c r="D4" s="3" t="s">
        <v>174</v>
      </c>
      <c r="E4" s="3" t="s">
        <v>160</v>
      </c>
      <c r="F4" s="3" t="s">
        <v>162</v>
      </c>
      <c r="G4" s="3" t="s">
        <v>207</v>
      </c>
      <c r="H4" s="3" t="s">
        <v>208</v>
      </c>
      <c r="I4" s="3" t="s">
        <v>8</v>
      </c>
    </row>
    <row r="5" spans="1:9" x14ac:dyDescent="0.3">
      <c r="A5" s="4" t="s">
        <v>209</v>
      </c>
      <c r="B5" s="4" t="s">
        <v>210</v>
      </c>
      <c r="C5" s="5" t="s">
        <v>13</v>
      </c>
      <c r="D5" s="5" t="s">
        <v>211</v>
      </c>
      <c r="E5" s="5" t="s">
        <v>212</v>
      </c>
      <c r="F5" s="5" t="s">
        <v>213</v>
      </c>
      <c r="G5" s="5">
        <v>40</v>
      </c>
      <c r="H5" s="5">
        <v>30</v>
      </c>
      <c r="I5" s="5" t="s">
        <v>14</v>
      </c>
    </row>
    <row r="6" spans="1:9" x14ac:dyDescent="0.3">
      <c r="A6" s="4" t="s">
        <v>214</v>
      </c>
      <c r="B6" s="4" t="s">
        <v>215</v>
      </c>
      <c r="C6" s="5" t="s">
        <v>19</v>
      </c>
      <c r="D6" s="5" t="s">
        <v>211</v>
      </c>
      <c r="E6" s="5" t="s">
        <v>212</v>
      </c>
      <c r="F6" s="5" t="s">
        <v>213</v>
      </c>
      <c r="G6" s="5">
        <v>40</v>
      </c>
      <c r="H6" s="5">
        <v>30</v>
      </c>
      <c r="I6" s="5" t="s">
        <v>14</v>
      </c>
    </row>
    <row r="7" spans="1:9" x14ac:dyDescent="0.3">
      <c r="A7" s="4" t="s">
        <v>216</v>
      </c>
      <c r="B7" s="4" t="s">
        <v>217</v>
      </c>
      <c r="C7" s="5" t="s">
        <v>13</v>
      </c>
      <c r="D7" s="5" t="s">
        <v>218</v>
      </c>
      <c r="E7" s="5" t="s">
        <v>219</v>
      </c>
      <c r="F7" s="5" t="s">
        <v>220</v>
      </c>
      <c r="G7" s="5">
        <v>40</v>
      </c>
      <c r="H7" s="5">
        <v>30</v>
      </c>
      <c r="I7" s="5" t="s">
        <v>14</v>
      </c>
    </row>
    <row r="8" spans="1:9" x14ac:dyDescent="0.3">
      <c r="A8" s="4" t="s">
        <v>221</v>
      </c>
      <c r="B8" s="4" t="s">
        <v>222</v>
      </c>
      <c r="C8" s="5" t="s">
        <v>19</v>
      </c>
      <c r="D8" s="5" t="s">
        <v>218</v>
      </c>
      <c r="E8" s="5" t="s">
        <v>219</v>
      </c>
      <c r="F8" s="5" t="s">
        <v>220</v>
      </c>
      <c r="G8" s="5">
        <v>40</v>
      </c>
      <c r="H8" s="5">
        <v>30</v>
      </c>
      <c r="I8" s="5" t="s">
        <v>14</v>
      </c>
    </row>
    <row r="9" spans="1:9" ht="22.8" x14ac:dyDescent="0.3">
      <c r="A9" s="4" t="s">
        <v>223</v>
      </c>
      <c r="B9" s="4" t="s">
        <v>224</v>
      </c>
      <c r="C9" s="5" t="s">
        <v>13</v>
      </c>
      <c r="D9" s="5" t="s">
        <v>218</v>
      </c>
      <c r="E9" s="5" t="s">
        <v>219</v>
      </c>
      <c r="F9" s="5" t="s">
        <v>220</v>
      </c>
      <c r="G9" s="5">
        <v>40</v>
      </c>
      <c r="H9" s="5">
        <v>30</v>
      </c>
      <c r="I9" s="5" t="s">
        <v>14</v>
      </c>
    </row>
    <row r="10" spans="1:9" ht="22.8" x14ac:dyDescent="0.3">
      <c r="A10" s="4" t="s">
        <v>225</v>
      </c>
      <c r="B10" s="4" t="s">
        <v>226</v>
      </c>
      <c r="C10" s="5" t="s">
        <v>19</v>
      </c>
      <c r="D10" s="5" t="s">
        <v>218</v>
      </c>
      <c r="E10" s="5" t="s">
        <v>219</v>
      </c>
      <c r="F10" s="5" t="s">
        <v>220</v>
      </c>
      <c r="G10" s="5">
        <v>40</v>
      </c>
      <c r="H10" s="5">
        <v>30</v>
      </c>
      <c r="I10" s="5" t="s">
        <v>14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activeCell="F7" sqref="F7"/>
    </sheetView>
  </sheetViews>
  <sheetFormatPr defaultRowHeight="14.4" x14ac:dyDescent="0.3"/>
  <cols>
    <col min="1" max="2" width="26" customWidth="1"/>
    <col min="3" max="4" width="16" customWidth="1"/>
    <col min="5" max="5" width="13" customWidth="1"/>
    <col min="6" max="6" width="30.33203125" customWidth="1"/>
  </cols>
  <sheetData>
    <row r="1" spans="1:6" ht="17.399999999999999" x14ac:dyDescent="0.3">
      <c r="A1" s="19" t="s">
        <v>515</v>
      </c>
      <c r="B1" s="18"/>
      <c r="C1" s="18"/>
      <c r="D1" s="18"/>
      <c r="E1" s="18"/>
      <c r="F1" s="18"/>
    </row>
    <row r="2" spans="1:6" x14ac:dyDescent="0.3">
      <c r="A2" s="17" t="s">
        <v>227</v>
      </c>
      <c r="B2" s="18"/>
      <c r="C2" s="18"/>
      <c r="D2" s="18"/>
      <c r="E2" s="18"/>
      <c r="F2" s="18"/>
    </row>
    <row r="3" spans="1:6" x14ac:dyDescent="0.3">
      <c r="A3" s="2" t="s">
        <v>2</v>
      </c>
    </row>
    <row r="5" spans="1:6" ht="30" customHeight="1" x14ac:dyDescent="0.3">
      <c r="A5" s="3" t="s">
        <v>61</v>
      </c>
      <c r="B5" s="3" t="s">
        <v>228</v>
      </c>
      <c r="C5" s="3" t="s">
        <v>229</v>
      </c>
      <c r="D5" s="3" t="s">
        <v>7</v>
      </c>
      <c r="E5" s="3" t="s">
        <v>230</v>
      </c>
      <c r="F5" s="3" t="s">
        <v>8</v>
      </c>
    </row>
    <row r="6" spans="1:6" x14ac:dyDescent="0.3">
      <c r="A6" s="4" t="s">
        <v>231</v>
      </c>
      <c r="B6" s="4" t="s">
        <v>231</v>
      </c>
      <c r="C6" s="5" t="s">
        <v>232</v>
      </c>
      <c r="D6" s="5" t="s">
        <v>19</v>
      </c>
      <c r="E6" s="7">
        <v>12.99</v>
      </c>
      <c r="F6" s="5" t="s">
        <v>517</v>
      </c>
    </row>
    <row r="7" spans="1:6" x14ac:dyDescent="0.3">
      <c r="A7" s="4" t="s">
        <v>231</v>
      </c>
      <c r="B7" s="4" t="s">
        <v>231</v>
      </c>
      <c r="C7" s="5" t="s">
        <v>233</v>
      </c>
      <c r="D7" s="5" t="s">
        <v>234</v>
      </c>
      <c r="E7" s="7">
        <v>2</v>
      </c>
      <c r="F7" s="5" t="s">
        <v>516</v>
      </c>
    </row>
    <row r="9" spans="1:6" x14ac:dyDescent="0.3">
      <c r="A9" s="8" t="s">
        <v>235</v>
      </c>
    </row>
    <row r="10" spans="1:6" x14ac:dyDescent="0.3">
      <c r="A10" s="3" t="s">
        <v>236</v>
      </c>
      <c r="B10" s="3" t="s">
        <v>237</v>
      </c>
      <c r="C10" s="3" t="s">
        <v>238</v>
      </c>
      <c r="D10" s="3" t="s">
        <v>162</v>
      </c>
    </row>
    <row r="11" spans="1:6" x14ac:dyDescent="0.3">
      <c r="A11" s="5">
        <v>700658</v>
      </c>
      <c r="B11" s="4" t="s">
        <v>231</v>
      </c>
      <c r="C11" s="5">
        <v>1</v>
      </c>
      <c r="D11" s="5" t="s">
        <v>163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1"/>
  <sheetViews>
    <sheetView workbookViewId="0">
      <selection activeCell="F50" sqref="F50"/>
    </sheetView>
  </sheetViews>
  <sheetFormatPr defaultRowHeight="14.4" x14ac:dyDescent="0.3"/>
  <cols>
    <col min="1" max="1" width="46" customWidth="1"/>
    <col min="2" max="2" width="41.6640625" customWidth="1"/>
    <col min="3" max="3" width="20" customWidth="1"/>
    <col min="4" max="4" width="12" customWidth="1"/>
    <col min="5" max="5" width="13" customWidth="1"/>
  </cols>
  <sheetData>
    <row r="1" spans="1:5" ht="17.399999999999999" x14ac:dyDescent="0.3">
      <c r="A1" s="19" t="s">
        <v>548</v>
      </c>
      <c r="B1" s="18"/>
      <c r="C1" s="18"/>
      <c r="D1" s="18"/>
      <c r="E1" s="18"/>
    </row>
    <row r="2" spans="1:5" ht="28.05" customHeight="1" x14ac:dyDescent="0.3">
      <c r="A2" s="17" t="s">
        <v>239</v>
      </c>
      <c r="B2" s="18"/>
      <c r="C2" s="18"/>
      <c r="D2" s="18"/>
      <c r="E2" s="18"/>
    </row>
    <row r="3" spans="1:5" x14ac:dyDescent="0.3">
      <c r="A3" s="2" t="s">
        <v>2</v>
      </c>
    </row>
    <row r="5" spans="1:5" x14ac:dyDescent="0.3">
      <c r="A5" s="8" t="s">
        <v>530</v>
      </c>
    </row>
    <row r="6" spans="1:5" x14ac:dyDescent="0.3">
      <c r="A6" s="3" t="s">
        <v>160</v>
      </c>
      <c r="B6" s="3" t="s">
        <v>174</v>
      </c>
      <c r="C6" s="3" t="s">
        <v>238</v>
      </c>
      <c r="D6" s="3" t="s">
        <v>162</v>
      </c>
      <c r="E6" s="3" t="s">
        <v>523</v>
      </c>
    </row>
    <row r="7" spans="1:5" x14ac:dyDescent="0.3">
      <c r="A7" s="39" t="s">
        <v>519</v>
      </c>
      <c r="B7" s="40" t="s">
        <v>520</v>
      </c>
      <c r="C7" s="39">
        <v>1</v>
      </c>
      <c r="D7" s="39" t="s">
        <v>163</v>
      </c>
      <c r="E7" s="41">
        <f>211.9/500</f>
        <v>0.42380000000000001</v>
      </c>
    </row>
    <row r="8" spans="1:5" x14ac:dyDescent="0.3">
      <c r="A8" s="39" t="s">
        <v>519</v>
      </c>
      <c r="B8" s="40" t="s">
        <v>522</v>
      </c>
      <c r="C8" s="39">
        <v>2</v>
      </c>
      <c r="D8" s="39" t="s">
        <v>163</v>
      </c>
      <c r="E8" s="41">
        <f>180.39/1000</f>
        <v>0.18038999999999999</v>
      </c>
    </row>
    <row r="9" spans="1:5" x14ac:dyDescent="0.3">
      <c r="A9" s="39">
        <v>697054</v>
      </c>
      <c r="B9" s="41" t="s">
        <v>518</v>
      </c>
      <c r="C9" s="39">
        <v>3.97</v>
      </c>
      <c r="D9" s="39" t="s">
        <v>220</v>
      </c>
      <c r="E9" s="41">
        <v>0.1</v>
      </c>
    </row>
    <row r="10" spans="1:5" x14ac:dyDescent="0.3">
      <c r="A10" s="39">
        <v>702138</v>
      </c>
      <c r="B10" s="40" t="s">
        <v>524</v>
      </c>
      <c r="C10" s="39">
        <v>1</v>
      </c>
      <c r="D10" s="39" t="s">
        <v>163</v>
      </c>
      <c r="E10" s="40">
        <v>0.17599999999999999</v>
      </c>
    </row>
    <row r="11" spans="1:5" x14ac:dyDescent="0.3">
      <c r="E11">
        <f>SUM(E7:E10)</f>
        <v>0.88019000000000003</v>
      </c>
    </row>
    <row r="12" spans="1:5" x14ac:dyDescent="0.3">
      <c r="A12" s="8" t="s">
        <v>534</v>
      </c>
    </row>
    <row r="13" spans="1:5" x14ac:dyDescent="0.3">
      <c r="A13" s="3" t="s">
        <v>160</v>
      </c>
      <c r="B13" s="3" t="s">
        <v>174</v>
      </c>
      <c r="C13" s="3" t="s">
        <v>238</v>
      </c>
      <c r="D13" s="3" t="s">
        <v>162</v>
      </c>
      <c r="E13" s="3" t="s">
        <v>523</v>
      </c>
    </row>
    <row r="14" spans="1:5" x14ac:dyDescent="0.3">
      <c r="A14" s="39" t="s">
        <v>519</v>
      </c>
      <c r="B14" s="40" t="s">
        <v>521</v>
      </c>
      <c r="C14" s="39">
        <v>1</v>
      </c>
      <c r="D14" s="39" t="s">
        <v>163</v>
      </c>
      <c r="E14" s="41">
        <f>282.65/500</f>
        <v>0.56529999999999991</v>
      </c>
    </row>
    <row r="15" spans="1:5" x14ac:dyDescent="0.3">
      <c r="A15" s="39" t="s">
        <v>519</v>
      </c>
      <c r="B15" s="40" t="s">
        <v>522</v>
      </c>
      <c r="C15" s="39">
        <v>2</v>
      </c>
      <c r="D15" s="39" t="s">
        <v>163</v>
      </c>
      <c r="E15" s="41">
        <f>180.39/1000</f>
        <v>0.18038999999999999</v>
      </c>
    </row>
    <row r="16" spans="1:5" x14ac:dyDescent="0.3">
      <c r="A16" s="39">
        <v>697054</v>
      </c>
      <c r="B16" s="41" t="s">
        <v>518</v>
      </c>
      <c r="C16" s="39">
        <v>4.96</v>
      </c>
      <c r="D16" s="39" t="s">
        <v>220</v>
      </c>
      <c r="E16" s="41">
        <v>0.1</v>
      </c>
    </row>
    <row r="17" spans="1:8" x14ac:dyDescent="0.3">
      <c r="A17" s="39">
        <v>702138</v>
      </c>
      <c r="B17" s="40" t="s">
        <v>524</v>
      </c>
      <c r="C17" s="39">
        <v>1</v>
      </c>
      <c r="D17" s="39" t="s">
        <v>163</v>
      </c>
      <c r="E17" s="42">
        <v>0.17599999999999999</v>
      </c>
    </row>
    <row r="18" spans="1:8" x14ac:dyDescent="0.3">
      <c r="E18">
        <f>SUM(E14:E17)</f>
        <v>1.02169</v>
      </c>
    </row>
    <row r="20" spans="1:8" ht="28.05" customHeight="1" x14ac:dyDescent="0.3">
      <c r="A20" s="46" t="s">
        <v>536</v>
      </c>
      <c r="B20" s="46" t="s">
        <v>531</v>
      </c>
      <c r="C20" s="46" t="s">
        <v>238</v>
      </c>
      <c r="D20" s="46" t="s">
        <v>162</v>
      </c>
      <c r="E20" s="46" t="s">
        <v>549</v>
      </c>
      <c r="F20" s="32" t="s">
        <v>551</v>
      </c>
      <c r="G20" s="32" t="s">
        <v>550</v>
      </c>
      <c r="H20" s="32" t="s">
        <v>552</v>
      </c>
    </row>
    <row r="21" spans="1:8" x14ac:dyDescent="0.3">
      <c r="A21" s="48" t="s">
        <v>527</v>
      </c>
      <c r="B21" s="48" t="s">
        <v>525</v>
      </c>
      <c r="C21" s="49">
        <v>1</v>
      </c>
      <c r="D21" s="50" t="s">
        <v>529</v>
      </c>
      <c r="E21" s="50">
        <f>E18</f>
        <v>1.02169</v>
      </c>
      <c r="F21" s="51">
        <v>10.99</v>
      </c>
      <c r="G21" s="51">
        <f>F21/121*100</f>
        <v>9.0826446280991728</v>
      </c>
      <c r="H21" s="61">
        <f>E23/G21</f>
        <v>0.52426250227479532</v>
      </c>
    </row>
    <row r="22" spans="1:8" x14ac:dyDescent="0.3">
      <c r="A22" s="48"/>
      <c r="B22" s="48" t="s">
        <v>526</v>
      </c>
      <c r="C22" s="49">
        <v>83.32</v>
      </c>
      <c r="D22" s="50" t="s">
        <v>528</v>
      </c>
      <c r="E22" s="50">
        <v>3.74</v>
      </c>
      <c r="F22" s="51"/>
      <c r="G22" s="51"/>
      <c r="H22" s="62"/>
    </row>
    <row r="23" spans="1:8" x14ac:dyDescent="0.3">
      <c r="A23" s="43"/>
      <c r="B23" s="28"/>
      <c r="C23" s="27"/>
      <c r="D23" s="53"/>
      <c r="E23" s="54">
        <f>SUM(E21:E22)</f>
        <v>4.7616899999999998</v>
      </c>
      <c r="H23" s="63"/>
    </row>
    <row r="24" spans="1:8" ht="14.4" customHeight="1" x14ac:dyDescent="0.3">
      <c r="A24" s="48" t="s">
        <v>532</v>
      </c>
      <c r="B24" s="48" t="s">
        <v>525</v>
      </c>
      <c r="C24" s="49">
        <v>1</v>
      </c>
      <c r="D24" s="50" t="s">
        <v>529</v>
      </c>
      <c r="E24" s="50">
        <f>E18</f>
        <v>1.02169</v>
      </c>
      <c r="F24" s="51">
        <v>10.99</v>
      </c>
      <c r="G24" s="51">
        <f>F24/121*100</f>
        <v>9.0826446280991728</v>
      </c>
      <c r="H24" s="61">
        <f>E26/G24</f>
        <v>0.52426250227479532</v>
      </c>
    </row>
    <row r="25" spans="1:8" x14ac:dyDescent="0.3">
      <c r="A25" s="48"/>
      <c r="B25" s="48" t="s">
        <v>533</v>
      </c>
      <c r="C25" s="49">
        <v>83.32</v>
      </c>
      <c r="D25" s="50" t="s">
        <v>528</v>
      </c>
      <c r="E25" s="50">
        <v>3.74</v>
      </c>
      <c r="F25" s="51"/>
      <c r="G25" s="51"/>
      <c r="H25" s="62"/>
    </row>
    <row r="26" spans="1:8" x14ac:dyDescent="0.3">
      <c r="A26" s="36"/>
      <c r="B26" s="36"/>
      <c r="C26" s="38"/>
      <c r="D26" s="37"/>
      <c r="E26" s="60">
        <f>SUM(E24:E25)</f>
        <v>4.7616899999999998</v>
      </c>
      <c r="F26" s="55"/>
      <c r="G26" s="55"/>
      <c r="H26" s="64"/>
    </row>
    <row r="27" spans="1:8" x14ac:dyDescent="0.3">
      <c r="A27" s="48" t="s">
        <v>540</v>
      </c>
      <c r="B27" s="48" t="s">
        <v>525</v>
      </c>
      <c r="C27" s="49">
        <v>1</v>
      </c>
      <c r="D27" s="50" t="s">
        <v>529</v>
      </c>
      <c r="E27" s="50">
        <f>E18</f>
        <v>1.02169</v>
      </c>
      <c r="F27" s="51">
        <v>10.99</v>
      </c>
      <c r="G27" s="51">
        <f>F27/121*100</f>
        <v>9.0826446280991728</v>
      </c>
      <c r="H27" s="61">
        <f>E29/G27</f>
        <v>0.51149089171974527</v>
      </c>
    </row>
    <row r="28" spans="1:8" x14ac:dyDescent="0.3">
      <c r="A28" s="48"/>
      <c r="B28" s="48" t="s">
        <v>541</v>
      </c>
      <c r="C28" s="49">
        <v>55.54</v>
      </c>
      <c r="D28" s="50" t="s">
        <v>528</v>
      </c>
      <c r="E28" s="50">
        <v>3.6240000000000001</v>
      </c>
      <c r="F28" s="51"/>
      <c r="G28" s="51"/>
      <c r="H28" s="62"/>
    </row>
    <row r="29" spans="1:8" x14ac:dyDescent="0.3">
      <c r="A29" s="43"/>
      <c r="B29" s="28"/>
      <c r="C29" s="27"/>
      <c r="D29" s="53"/>
      <c r="E29" s="54">
        <f>SUM(E27:E28)</f>
        <v>4.6456900000000001</v>
      </c>
      <c r="H29" s="63"/>
    </row>
    <row r="30" spans="1:8" x14ac:dyDescent="0.3">
      <c r="A30" s="56" t="s">
        <v>535</v>
      </c>
      <c r="B30" s="56" t="s">
        <v>525</v>
      </c>
      <c r="C30" s="57">
        <v>1</v>
      </c>
      <c r="D30" s="58" t="s">
        <v>529</v>
      </c>
      <c r="E30" s="58">
        <f>E18</f>
        <v>1.02169</v>
      </c>
      <c r="F30" s="59">
        <v>10.99</v>
      </c>
      <c r="G30" s="51">
        <f>F30/121*100</f>
        <v>9.0826446280991728</v>
      </c>
      <c r="H30" s="61">
        <f>E32/G30</f>
        <v>0.52426250227479532</v>
      </c>
    </row>
    <row r="31" spans="1:8" x14ac:dyDescent="0.3">
      <c r="A31" s="56"/>
      <c r="B31" s="56" t="s">
        <v>537</v>
      </c>
      <c r="C31" s="57">
        <v>83.32</v>
      </c>
      <c r="D31" s="58" t="s">
        <v>528</v>
      </c>
      <c r="E31" s="58">
        <v>3.74</v>
      </c>
      <c r="F31" s="59"/>
      <c r="G31" s="51"/>
      <c r="H31" s="51"/>
    </row>
    <row r="32" spans="1:8" x14ac:dyDescent="0.3">
      <c r="A32" s="43"/>
      <c r="B32" s="28"/>
      <c r="C32" s="27"/>
      <c r="D32" s="53"/>
      <c r="E32" s="54">
        <f>SUM(E30:E31)</f>
        <v>4.7616899999999998</v>
      </c>
      <c r="F32" s="55"/>
      <c r="G32" s="55"/>
      <c r="H32" s="55"/>
    </row>
    <row r="33" spans="1:8" x14ac:dyDescent="0.3">
      <c r="A33" s="48" t="s">
        <v>538</v>
      </c>
      <c r="B33" s="48" t="s">
        <v>525</v>
      </c>
      <c r="C33" s="49">
        <v>1</v>
      </c>
      <c r="D33" s="50" t="s">
        <v>529</v>
      </c>
      <c r="E33" s="50">
        <f>E18</f>
        <v>1.02169</v>
      </c>
      <c r="F33" s="51">
        <v>10.99</v>
      </c>
      <c r="G33" s="51">
        <f>F33/121*100</f>
        <v>9.0826446280991728</v>
      </c>
      <c r="H33" s="61">
        <f>E35/G33</f>
        <v>0.52426250227479532</v>
      </c>
    </row>
    <row r="34" spans="1:8" x14ac:dyDescent="0.3">
      <c r="A34" s="48"/>
      <c r="B34" s="48" t="s">
        <v>539</v>
      </c>
      <c r="C34" s="49">
        <v>83.32</v>
      </c>
      <c r="D34" s="50" t="s">
        <v>528</v>
      </c>
      <c r="E34" s="50">
        <v>3.74</v>
      </c>
      <c r="F34" s="51"/>
      <c r="G34" s="51"/>
      <c r="H34" s="51"/>
    </row>
    <row r="35" spans="1:8" x14ac:dyDescent="0.3">
      <c r="A35" s="43"/>
      <c r="B35" s="24"/>
      <c r="C35" s="23"/>
      <c r="D35" s="47"/>
      <c r="E35" s="52">
        <f>SUM(E33:E34)</f>
        <v>4.7616899999999998</v>
      </c>
    </row>
    <row r="36" spans="1:8" s="45" customFormat="1" x14ac:dyDescent="0.3">
      <c r="A36" s="44"/>
      <c r="B36" s="65"/>
      <c r="C36" s="66"/>
      <c r="D36" s="67"/>
      <c r="E36" s="67"/>
    </row>
    <row r="37" spans="1:8" x14ac:dyDescent="0.3">
      <c r="A37" s="48" t="s">
        <v>542</v>
      </c>
      <c r="B37" s="48" t="s">
        <v>547</v>
      </c>
      <c r="C37" s="49">
        <v>1</v>
      </c>
      <c r="D37" s="50" t="s">
        <v>529</v>
      </c>
      <c r="E37" s="50">
        <f>E11</f>
        <v>0.88019000000000003</v>
      </c>
      <c r="F37" s="51">
        <v>7.99</v>
      </c>
      <c r="G37" s="51">
        <f>F37/121*100</f>
        <v>6.6033057851239665</v>
      </c>
      <c r="H37" s="61">
        <f>E39/G37</f>
        <v>0.58685605757196502</v>
      </c>
    </row>
    <row r="38" spans="1:8" x14ac:dyDescent="0.3">
      <c r="A38" s="48"/>
      <c r="B38" s="48" t="s">
        <v>526</v>
      </c>
      <c r="C38" s="49">
        <v>66.66</v>
      </c>
      <c r="D38" s="50" t="s">
        <v>528</v>
      </c>
      <c r="E38" s="50">
        <v>2.9950000000000001</v>
      </c>
      <c r="F38" s="51"/>
      <c r="G38" s="51"/>
      <c r="H38" s="62"/>
    </row>
    <row r="39" spans="1:8" x14ac:dyDescent="0.3">
      <c r="A39" s="43"/>
      <c r="B39" s="28"/>
      <c r="C39" s="27"/>
      <c r="D39" s="53"/>
      <c r="E39" s="54">
        <f>SUM(E37:E38)</f>
        <v>3.8751899999999999</v>
      </c>
      <c r="H39" s="63"/>
    </row>
    <row r="40" spans="1:8" x14ac:dyDescent="0.3">
      <c r="A40" s="48" t="s">
        <v>543</v>
      </c>
      <c r="B40" s="48" t="s">
        <v>547</v>
      </c>
      <c r="C40" s="49">
        <v>1</v>
      </c>
      <c r="D40" s="50" t="s">
        <v>529</v>
      </c>
      <c r="E40" s="50">
        <f>E11</f>
        <v>0.88019000000000003</v>
      </c>
      <c r="F40" s="51">
        <v>7.99</v>
      </c>
      <c r="G40" s="51">
        <f>F40/121*100</f>
        <v>6.6033057851239665</v>
      </c>
      <c r="H40" s="61">
        <f>E42/G40</f>
        <v>0.58685605757196502</v>
      </c>
    </row>
    <row r="41" spans="1:8" x14ac:dyDescent="0.3">
      <c r="A41" s="48"/>
      <c r="B41" s="48" t="s">
        <v>533</v>
      </c>
      <c r="C41" s="49">
        <v>66.66</v>
      </c>
      <c r="D41" s="50" t="s">
        <v>528</v>
      </c>
      <c r="E41" s="50">
        <f>E38</f>
        <v>2.9950000000000001</v>
      </c>
      <c r="F41" s="51"/>
      <c r="G41" s="51"/>
      <c r="H41" s="62"/>
    </row>
    <row r="42" spans="1:8" x14ac:dyDescent="0.3">
      <c r="A42" s="43"/>
      <c r="B42" s="28"/>
      <c r="C42" s="27"/>
      <c r="D42" s="53"/>
      <c r="E42" s="54">
        <f>SUM(E40:E41)</f>
        <v>3.8751899999999999</v>
      </c>
      <c r="F42" s="55"/>
      <c r="G42" s="55"/>
      <c r="H42" s="64"/>
    </row>
    <row r="43" spans="1:8" x14ac:dyDescent="0.3">
      <c r="A43" s="48" t="s">
        <v>544</v>
      </c>
      <c r="B43" s="48" t="s">
        <v>547</v>
      </c>
      <c r="C43" s="49">
        <v>1</v>
      </c>
      <c r="D43" s="50" t="s">
        <v>529</v>
      </c>
      <c r="E43" s="50">
        <f>E11</f>
        <v>0.88019000000000003</v>
      </c>
      <c r="F43" s="51">
        <v>7.99</v>
      </c>
      <c r="G43" s="51">
        <f>F43/121*100</f>
        <v>6.6033057851239665</v>
      </c>
      <c r="H43" s="61">
        <f>E45/G43</f>
        <v>0.57246932415519403</v>
      </c>
    </row>
    <row r="44" spans="1:8" x14ac:dyDescent="0.3">
      <c r="A44" s="48"/>
      <c r="B44" s="48" t="s">
        <v>541</v>
      </c>
      <c r="C44" s="49">
        <v>44.44</v>
      </c>
      <c r="D44" s="50" t="s">
        <v>528</v>
      </c>
      <c r="E44" s="50">
        <v>2.9</v>
      </c>
      <c r="F44" s="51"/>
      <c r="G44" s="51"/>
      <c r="H44" s="62"/>
    </row>
    <row r="45" spans="1:8" x14ac:dyDescent="0.3">
      <c r="A45" s="43"/>
      <c r="B45" s="28"/>
      <c r="C45" s="27"/>
      <c r="D45" s="53"/>
      <c r="E45" s="54">
        <f>SUM(E43:E44)</f>
        <v>3.7801900000000002</v>
      </c>
      <c r="H45" s="63"/>
    </row>
    <row r="46" spans="1:8" x14ac:dyDescent="0.3">
      <c r="A46" s="48" t="s">
        <v>545</v>
      </c>
      <c r="B46" s="48" t="s">
        <v>547</v>
      </c>
      <c r="C46" s="49">
        <v>1</v>
      </c>
      <c r="D46" s="50" t="s">
        <v>529</v>
      </c>
      <c r="E46" s="50">
        <f>E11</f>
        <v>0.88019000000000003</v>
      </c>
      <c r="F46" s="59">
        <v>7.99</v>
      </c>
      <c r="G46" s="51">
        <f>F46/121*100</f>
        <v>6.6033057851239665</v>
      </c>
      <c r="H46" s="61">
        <f>E48/G46</f>
        <v>0.58685605757196502</v>
      </c>
    </row>
    <row r="47" spans="1:8" x14ac:dyDescent="0.3">
      <c r="A47" s="48"/>
      <c r="B47" s="48" t="s">
        <v>537</v>
      </c>
      <c r="C47" s="49">
        <v>66.66</v>
      </c>
      <c r="D47" s="50" t="s">
        <v>528</v>
      </c>
      <c r="E47" s="50">
        <f>E38</f>
        <v>2.9950000000000001</v>
      </c>
      <c r="F47" s="59"/>
      <c r="G47" s="51"/>
      <c r="H47" s="51"/>
    </row>
    <row r="48" spans="1:8" x14ac:dyDescent="0.3">
      <c r="A48" s="43"/>
      <c r="B48" s="28"/>
      <c r="C48" s="27"/>
      <c r="D48" s="53"/>
      <c r="E48" s="54">
        <f>SUM(E46:E47)</f>
        <v>3.8751899999999999</v>
      </c>
      <c r="F48" s="55"/>
      <c r="G48" s="55"/>
      <c r="H48" s="55"/>
    </row>
    <row r="49" spans="1:8" x14ac:dyDescent="0.3">
      <c r="A49" s="48" t="s">
        <v>546</v>
      </c>
      <c r="B49" s="48" t="s">
        <v>547</v>
      </c>
      <c r="C49" s="49">
        <v>1</v>
      </c>
      <c r="D49" s="50" t="s">
        <v>529</v>
      </c>
      <c r="E49" s="50">
        <f>E11</f>
        <v>0.88019000000000003</v>
      </c>
      <c r="F49" s="51">
        <v>7.99</v>
      </c>
      <c r="G49" s="51">
        <f>F49/121*100</f>
        <v>6.6033057851239665</v>
      </c>
      <c r="H49" s="61">
        <f>E51/G49</f>
        <v>0.58685605757196502</v>
      </c>
    </row>
    <row r="50" spans="1:8" x14ac:dyDescent="0.3">
      <c r="A50" s="48"/>
      <c r="B50" s="48" t="s">
        <v>539</v>
      </c>
      <c r="C50" s="49">
        <v>66.66</v>
      </c>
      <c r="D50" s="50" t="s">
        <v>528</v>
      </c>
      <c r="E50" s="50">
        <f>E47</f>
        <v>2.9950000000000001</v>
      </c>
      <c r="F50" s="51"/>
      <c r="G50" s="51"/>
      <c r="H50" s="51"/>
    </row>
    <row r="51" spans="1:8" x14ac:dyDescent="0.3">
      <c r="E51" s="54">
        <f>SUM(E49:E50)</f>
        <v>3.8751899999999999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selection activeCell="A11" sqref="A11:XFD11"/>
    </sheetView>
  </sheetViews>
  <sheetFormatPr defaultRowHeight="14.4" x14ac:dyDescent="0.3"/>
  <cols>
    <col min="1" max="1" width="20" customWidth="1"/>
    <col min="2" max="2" width="26" customWidth="1"/>
    <col min="3" max="3" width="30" customWidth="1"/>
    <col min="4" max="4" width="34" customWidth="1"/>
  </cols>
  <sheetData>
    <row r="1" spans="1:5" ht="17.399999999999999" x14ac:dyDescent="0.3">
      <c r="A1" s="19" t="s">
        <v>241</v>
      </c>
      <c r="B1" s="18"/>
      <c r="C1" s="18"/>
      <c r="D1" s="18"/>
      <c r="E1" s="18"/>
    </row>
    <row r="2" spans="1:5" x14ac:dyDescent="0.3">
      <c r="A2" s="17" t="s">
        <v>1</v>
      </c>
      <c r="B2" s="18"/>
      <c r="C2" s="18"/>
      <c r="D2" s="18"/>
      <c r="E2" s="18"/>
    </row>
    <row r="3" spans="1:5" x14ac:dyDescent="0.3">
      <c r="A3" s="2" t="s">
        <v>2</v>
      </c>
    </row>
    <row r="5" spans="1:5" ht="25.95" customHeight="1" x14ac:dyDescent="0.3">
      <c r="A5" s="3" t="s">
        <v>242</v>
      </c>
      <c r="B5" s="3" t="s">
        <v>243</v>
      </c>
      <c r="C5" s="3" t="s">
        <v>14</v>
      </c>
      <c r="D5" s="3" t="s">
        <v>8</v>
      </c>
    </row>
    <row r="6" spans="1:5" x14ac:dyDescent="0.3">
      <c r="A6" s="4" t="s">
        <v>244</v>
      </c>
      <c r="B6" s="4" t="s">
        <v>555</v>
      </c>
      <c r="C6" s="4" t="s">
        <v>557</v>
      </c>
      <c r="D6" s="4" t="s">
        <v>245</v>
      </c>
    </row>
    <row r="7" spans="1:5" x14ac:dyDescent="0.3">
      <c r="A7" s="4" t="s">
        <v>246</v>
      </c>
      <c r="B7" s="4" t="s">
        <v>247</v>
      </c>
      <c r="C7" s="4" t="s">
        <v>554</v>
      </c>
      <c r="D7" s="4" t="s">
        <v>248</v>
      </c>
    </row>
    <row r="8" spans="1:5" ht="22.8" x14ac:dyDescent="0.3">
      <c r="A8" s="4" t="s">
        <v>249</v>
      </c>
      <c r="B8" s="4" t="s">
        <v>555</v>
      </c>
      <c r="C8" s="4" t="s">
        <v>556</v>
      </c>
      <c r="D8" s="4" t="s">
        <v>250</v>
      </c>
    </row>
    <row r="9" spans="1:5" x14ac:dyDescent="0.3">
      <c r="A9" s="4" t="s">
        <v>251</v>
      </c>
      <c r="B9" s="4" t="s">
        <v>553</v>
      </c>
      <c r="C9" s="4" t="s">
        <v>252</v>
      </c>
      <c r="D9" s="4" t="s">
        <v>253</v>
      </c>
    </row>
    <row r="11" spans="1:5" ht="30" customHeight="1" x14ac:dyDescent="0.3">
      <c r="A11" s="20" t="s">
        <v>254</v>
      </c>
      <c r="B11" s="18"/>
      <c r="C11" s="18"/>
      <c r="D11" s="18"/>
    </row>
  </sheetData>
  <mergeCells count="3">
    <mergeCell ref="A2:E2"/>
    <mergeCell ref="A1:E1"/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"/>
  <sheetViews>
    <sheetView workbookViewId="0">
      <selection activeCell="F12" sqref="F12"/>
    </sheetView>
  </sheetViews>
  <sheetFormatPr defaultRowHeight="14.4" x14ac:dyDescent="0.3"/>
  <cols>
    <col min="1" max="1" width="26" customWidth="1"/>
    <col min="2" max="2" width="22" customWidth="1"/>
    <col min="3" max="3" width="34" customWidth="1"/>
    <col min="4" max="4" width="24" customWidth="1"/>
    <col min="5" max="5" width="12" customWidth="1"/>
    <col min="6" max="6" width="18" customWidth="1"/>
  </cols>
  <sheetData>
    <row r="1" spans="1:6" ht="17.399999999999999" x14ac:dyDescent="0.3">
      <c r="A1" s="19" t="s">
        <v>255</v>
      </c>
      <c r="B1" s="18"/>
      <c r="C1" s="18"/>
      <c r="D1" s="18"/>
      <c r="E1" s="18"/>
      <c r="F1" s="18"/>
    </row>
    <row r="2" spans="1:6" x14ac:dyDescent="0.3">
      <c r="A2" s="17" t="s">
        <v>256</v>
      </c>
      <c r="B2" s="18"/>
      <c r="C2" s="18"/>
      <c r="D2" s="18"/>
      <c r="E2" s="18"/>
      <c r="F2" s="18"/>
    </row>
    <row r="3" spans="1:6" x14ac:dyDescent="0.3">
      <c r="A3" s="2" t="s">
        <v>2</v>
      </c>
    </row>
    <row r="5" spans="1:6" ht="30" customHeight="1" x14ac:dyDescent="0.3">
      <c r="A5" s="3" t="s">
        <v>257</v>
      </c>
      <c r="B5" s="3" t="s">
        <v>229</v>
      </c>
      <c r="C5" s="3" t="s">
        <v>258</v>
      </c>
      <c r="D5" s="3" t="s">
        <v>62</v>
      </c>
      <c r="E5" s="3" t="s">
        <v>230</v>
      </c>
      <c r="F5" s="3" t="s">
        <v>8</v>
      </c>
    </row>
    <row r="6" spans="1:6" x14ac:dyDescent="0.3">
      <c r="A6" s="4" t="s">
        <v>259</v>
      </c>
      <c r="B6" s="5" t="s">
        <v>260</v>
      </c>
      <c r="C6" s="4" t="s">
        <v>559</v>
      </c>
      <c r="D6" s="4" t="s">
        <v>261</v>
      </c>
      <c r="E6" s="10">
        <v>4</v>
      </c>
      <c r="F6" s="68" t="s">
        <v>262</v>
      </c>
    </row>
    <row r="7" spans="1:6" x14ac:dyDescent="0.3">
      <c r="A7" s="4" t="s">
        <v>356</v>
      </c>
      <c r="B7" s="5" t="s">
        <v>260</v>
      </c>
      <c r="C7" s="4" t="s">
        <v>558</v>
      </c>
      <c r="D7" s="4" t="s">
        <v>560</v>
      </c>
      <c r="E7" s="10">
        <v>4</v>
      </c>
      <c r="F7" s="68" t="s">
        <v>262</v>
      </c>
    </row>
    <row r="8" spans="1:6" x14ac:dyDescent="0.3">
      <c r="A8" s="4" t="s">
        <v>263</v>
      </c>
      <c r="B8" s="5" t="s">
        <v>260</v>
      </c>
      <c r="C8" s="4" t="s">
        <v>264</v>
      </c>
      <c r="D8" s="4" t="s">
        <v>265</v>
      </c>
      <c r="E8" s="10">
        <v>4</v>
      </c>
      <c r="F8" s="68" t="s">
        <v>262</v>
      </c>
    </row>
    <row r="9" spans="1:6" x14ac:dyDescent="0.3">
      <c r="A9" s="4" t="s">
        <v>266</v>
      </c>
      <c r="B9" s="5" t="s">
        <v>260</v>
      </c>
      <c r="C9" s="4" t="s">
        <v>267</v>
      </c>
      <c r="D9" s="4" t="s">
        <v>268</v>
      </c>
      <c r="E9" s="10">
        <v>4</v>
      </c>
      <c r="F9" s="68" t="s">
        <v>262</v>
      </c>
    </row>
    <row r="11" spans="1:6" x14ac:dyDescent="0.3">
      <c r="A11" s="8" t="s">
        <v>235</v>
      </c>
    </row>
    <row r="12" spans="1:6" ht="24" customHeight="1" x14ac:dyDescent="0.3">
      <c r="A12" s="3" t="s">
        <v>62</v>
      </c>
      <c r="B12" s="3" t="s">
        <v>160</v>
      </c>
      <c r="C12" s="3" t="s">
        <v>174</v>
      </c>
      <c r="D12" s="3" t="s">
        <v>238</v>
      </c>
      <c r="E12" s="3" t="s">
        <v>162</v>
      </c>
      <c r="F12" s="3" t="s">
        <v>8</v>
      </c>
    </row>
    <row r="13" spans="1:6" x14ac:dyDescent="0.3">
      <c r="A13" s="4" t="s">
        <v>261</v>
      </c>
      <c r="B13" s="5" t="s">
        <v>269</v>
      </c>
      <c r="C13" s="4" t="s">
        <v>270</v>
      </c>
      <c r="D13" s="5">
        <v>15</v>
      </c>
      <c r="E13" s="5" t="s">
        <v>213</v>
      </c>
      <c r="F13" s="5"/>
    </row>
    <row r="14" spans="1:6" x14ac:dyDescent="0.3">
      <c r="A14" s="4" t="s">
        <v>261</v>
      </c>
      <c r="B14" s="5" t="s">
        <v>269</v>
      </c>
      <c r="C14" s="4" t="s">
        <v>561</v>
      </c>
      <c r="D14" s="5">
        <v>15</v>
      </c>
      <c r="E14" s="5" t="s">
        <v>213</v>
      </c>
      <c r="F14" s="5"/>
    </row>
    <row r="15" spans="1:6" x14ac:dyDescent="0.3">
      <c r="A15" s="4" t="s">
        <v>265</v>
      </c>
      <c r="B15" s="5" t="s">
        <v>271</v>
      </c>
      <c r="C15" s="4" t="s">
        <v>272</v>
      </c>
      <c r="D15" s="5">
        <v>15</v>
      </c>
      <c r="E15" s="5" t="s">
        <v>213</v>
      </c>
      <c r="F15" s="5"/>
    </row>
    <row r="16" spans="1:6" x14ac:dyDescent="0.3">
      <c r="A16" s="4" t="s">
        <v>268</v>
      </c>
      <c r="B16" s="5" t="s">
        <v>273</v>
      </c>
      <c r="C16" s="4" t="s">
        <v>274</v>
      </c>
      <c r="D16" s="5">
        <v>15</v>
      </c>
      <c r="E16" s="5" t="s">
        <v>213</v>
      </c>
      <c r="F16" s="5"/>
    </row>
    <row r="18" spans="1:6" ht="43.95" customHeight="1" x14ac:dyDescent="0.3">
      <c r="A18" s="20" t="s">
        <v>275</v>
      </c>
      <c r="B18" s="18"/>
      <c r="C18" s="18"/>
      <c r="D18" s="18"/>
      <c r="E18" s="18"/>
      <c r="F18" s="18"/>
    </row>
  </sheetData>
  <mergeCells count="3">
    <mergeCell ref="A2:F2"/>
    <mergeCell ref="A18:F18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"/>
  <sheetViews>
    <sheetView workbookViewId="0">
      <selection activeCell="E12" sqref="E12"/>
    </sheetView>
  </sheetViews>
  <sheetFormatPr defaultRowHeight="14.4" x14ac:dyDescent="0.3"/>
  <cols>
    <col min="1" max="1" width="32" customWidth="1"/>
    <col min="2" max="2" width="24" customWidth="1"/>
    <col min="3" max="4" width="12" customWidth="1"/>
    <col min="5" max="5" width="13" customWidth="1"/>
    <col min="6" max="6" width="12.109375" customWidth="1"/>
  </cols>
  <sheetData>
    <row r="1" spans="1:7" ht="17.399999999999999" x14ac:dyDescent="0.3">
      <c r="A1" s="19" t="s">
        <v>567</v>
      </c>
      <c r="B1" s="18"/>
      <c r="C1" s="18"/>
      <c r="D1" s="18"/>
      <c r="E1" s="18"/>
      <c r="F1" s="18"/>
    </row>
    <row r="2" spans="1:7" x14ac:dyDescent="0.3">
      <c r="A2" s="17" t="s">
        <v>562</v>
      </c>
      <c r="B2" s="18"/>
      <c r="C2" s="18"/>
      <c r="D2" s="18"/>
      <c r="E2" s="18"/>
      <c r="F2" s="18"/>
    </row>
    <row r="3" spans="1:7" x14ac:dyDescent="0.3">
      <c r="A3" s="2" t="s">
        <v>2</v>
      </c>
    </row>
    <row r="5" spans="1:7" ht="28.05" customHeight="1" x14ac:dyDescent="0.3">
      <c r="A5" s="3" t="s">
        <v>61</v>
      </c>
      <c r="B5" s="3" t="s">
        <v>62</v>
      </c>
      <c r="C5" s="3" t="s">
        <v>229</v>
      </c>
      <c r="D5" s="3" t="s">
        <v>7</v>
      </c>
      <c r="E5" s="3" t="s">
        <v>230</v>
      </c>
      <c r="F5" s="3" t="s">
        <v>568</v>
      </c>
      <c r="G5" s="32" t="s">
        <v>552</v>
      </c>
    </row>
    <row r="6" spans="1:7" x14ac:dyDescent="0.3">
      <c r="A6" s="4" t="s">
        <v>563</v>
      </c>
      <c r="B6" s="4" t="s">
        <v>564</v>
      </c>
      <c r="C6" s="5" t="s">
        <v>232</v>
      </c>
      <c r="D6" s="5" t="s">
        <v>19</v>
      </c>
      <c r="E6" s="10">
        <v>13</v>
      </c>
      <c r="F6" s="5">
        <f>E6/121*100</f>
        <v>10.743801652892563</v>
      </c>
      <c r="G6" s="72">
        <f>E13/F6</f>
        <v>0.36945488461538456</v>
      </c>
    </row>
    <row r="8" spans="1:7" x14ac:dyDescent="0.3">
      <c r="A8" s="8" t="s">
        <v>277</v>
      </c>
    </row>
    <row r="9" spans="1:7" x14ac:dyDescent="0.3">
      <c r="A9" s="3" t="s">
        <v>160</v>
      </c>
      <c r="B9" s="3" t="s">
        <v>174</v>
      </c>
      <c r="C9" s="3" t="s">
        <v>238</v>
      </c>
      <c r="D9" s="3" t="s">
        <v>162</v>
      </c>
      <c r="E9" s="3" t="s">
        <v>8</v>
      </c>
    </row>
    <row r="10" spans="1:7" ht="35.4" x14ac:dyDescent="0.3">
      <c r="A10" s="70" t="s">
        <v>278</v>
      </c>
      <c r="B10" s="71" t="s">
        <v>279</v>
      </c>
      <c r="C10" s="70">
        <v>62.01</v>
      </c>
      <c r="D10" s="70" t="s">
        <v>213</v>
      </c>
      <c r="E10" s="71">
        <f>0.035*C10</f>
        <v>2.17035</v>
      </c>
    </row>
    <row r="11" spans="1:7" ht="35.4" x14ac:dyDescent="0.3">
      <c r="A11" s="70">
        <v>7000218</v>
      </c>
      <c r="B11" s="71" t="s">
        <v>565</v>
      </c>
      <c r="C11" s="70">
        <v>1</v>
      </c>
      <c r="D11" s="70" t="s">
        <v>163</v>
      </c>
      <c r="E11" s="71">
        <v>1.47</v>
      </c>
    </row>
    <row r="12" spans="1:7" x14ac:dyDescent="0.3">
      <c r="A12" s="69">
        <v>5042</v>
      </c>
      <c r="B12" s="69" t="s">
        <v>566</v>
      </c>
      <c r="C12" s="69">
        <v>1</v>
      </c>
      <c r="D12" s="69" t="s">
        <v>163</v>
      </c>
      <c r="E12" s="69">
        <v>0.32900000000000001</v>
      </c>
    </row>
    <row r="13" spans="1:7" x14ac:dyDescent="0.3">
      <c r="E13" s="63">
        <f>SUM(E10:E12)</f>
        <v>3.9693499999999999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workbookViewId="0">
      <selection activeCell="A10" sqref="A10:E10"/>
    </sheetView>
  </sheetViews>
  <sheetFormatPr defaultRowHeight="14.4" x14ac:dyDescent="0.3"/>
  <cols>
    <col min="1" max="1" width="40" customWidth="1"/>
    <col min="2" max="2" width="12" customWidth="1"/>
    <col min="3" max="3" width="16" customWidth="1"/>
    <col min="4" max="4" width="14" customWidth="1"/>
    <col min="5" max="5" width="26" customWidth="1"/>
  </cols>
  <sheetData>
    <row r="1" spans="1:5" ht="17.399999999999999" x14ac:dyDescent="0.3">
      <c r="A1" s="19" t="s">
        <v>280</v>
      </c>
      <c r="B1" s="18"/>
      <c r="C1" s="18"/>
      <c r="D1" s="18"/>
      <c r="E1" s="18"/>
    </row>
    <row r="2" spans="1:5" x14ac:dyDescent="0.3">
      <c r="A2" s="17" t="s">
        <v>281</v>
      </c>
      <c r="B2" s="18"/>
      <c r="C2" s="18"/>
      <c r="D2" s="18"/>
      <c r="E2" s="18"/>
    </row>
    <row r="3" spans="1:5" x14ac:dyDescent="0.3">
      <c r="A3" s="2" t="s">
        <v>2</v>
      </c>
    </row>
    <row r="5" spans="1:5" ht="28.05" customHeight="1" x14ac:dyDescent="0.3">
      <c r="A5" s="3" t="s">
        <v>282</v>
      </c>
      <c r="B5" s="3" t="s">
        <v>7</v>
      </c>
      <c r="C5" s="3" t="s">
        <v>283</v>
      </c>
      <c r="D5" s="3" t="s">
        <v>284</v>
      </c>
      <c r="E5" s="3" t="s">
        <v>8</v>
      </c>
    </row>
    <row r="6" spans="1:5" ht="34.200000000000003" x14ac:dyDescent="0.3">
      <c r="A6" s="4" t="s">
        <v>41</v>
      </c>
      <c r="B6" s="5" t="s">
        <v>19</v>
      </c>
      <c r="C6" s="4" t="s">
        <v>285</v>
      </c>
      <c r="D6" s="10">
        <v>2</v>
      </c>
      <c r="E6" s="5" t="s">
        <v>286</v>
      </c>
    </row>
    <row r="7" spans="1:5" ht="34.200000000000003" x14ac:dyDescent="0.3">
      <c r="A7" s="4" t="s">
        <v>49</v>
      </c>
      <c r="B7" s="5" t="s">
        <v>19</v>
      </c>
      <c r="C7" s="4" t="s">
        <v>285</v>
      </c>
      <c r="D7" s="10">
        <v>2</v>
      </c>
      <c r="E7" s="5" t="s">
        <v>286</v>
      </c>
    </row>
    <row r="8" spans="1:5" ht="34.200000000000003" x14ac:dyDescent="0.3">
      <c r="A8" s="4" t="s">
        <v>57</v>
      </c>
      <c r="B8" s="5" t="s">
        <v>19</v>
      </c>
      <c r="C8" s="4" t="s">
        <v>285</v>
      </c>
      <c r="D8" s="10">
        <v>2</v>
      </c>
      <c r="E8" s="5" t="s">
        <v>286</v>
      </c>
    </row>
    <row r="10" spans="1:5" ht="30" customHeight="1" x14ac:dyDescent="0.3">
      <c r="A10" s="20" t="s">
        <v>287</v>
      </c>
      <c r="B10" s="18"/>
      <c r="C10" s="18"/>
      <c r="D10" s="18"/>
      <c r="E10" s="18"/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96"/>
  <sheetViews>
    <sheetView topLeftCell="A47" workbookViewId="0">
      <selection activeCell="G45" sqref="G45"/>
    </sheetView>
  </sheetViews>
  <sheetFormatPr defaultRowHeight="14.4" x14ac:dyDescent="0.3"/>
  <cols>
    <col min="1" max="1" width="40" customWidth="1"/>
    <col min="2" max="3" width="14" customWidth="1"/>
    <col min="4" max="4" width="24" customWidth="1"/>
  </cols>
  <sheetData>
    <row r="1" spans="1:4" ht="17.399999999999999" x14ac:dyDescent="0.3">
      <c r="A1" s="19" t="s">
        <v>288</v>
      </c>
      <c r="B1" s="18"/>
      <c r="C1" s="18"/>
      <c r="D1" s="18"/>
    </row>
    <row r="2" spans="1:4" x14ac:dyDescent="0.3">
      <c r="A2" s="17" t="s">
        <v>289</v>
      </c>
      <c r="B2" s="18"/>
      <c r="C2" s="18"/>
      <c r="D2" s="18"/>
    </row>
    <row r="3" spans="1:4" x14ac:dyDescent="0.3">
      <c r="A3" s="2" t="s">
        <v>2</v>
      </c>
    </row>
    <row r="5" spans="1:4" ht="24" customHeight="1" x14ac:dyDescent="0.3">
      <c r="A5" s="3" t="s">
        <v>290</v>
      </c>
      <c r="B5" s="3" t="s">
        <v>291</v>
      </c>
      <c r="C5" s="3" t="s">
        <v>292</v>
      </c>
      <c r="D5" s="3" t="s">
        <v>8</v>
      </c>
    </row>
    <row r="6" spans="1:4" x14ac:dyDescent="0.3">
      <c r="A6" s="6" t="s">
        <v>293</v>
      </c>
      <c r="B6" s="6"/>
      <c r="C6" s="6"/>
      <c r="D6" s="6"/>
    </row>
    <row r="7" spans="1:4" x14ac:dyDescent="0.3">
      <c r="A7" s="4" t="s">
        <v>137</v>
      </c>
      <c r="B7" s="7">
        <v>8</v>
      </c>
      <c r="C7" s="7">
        <v>8</v>
      </c>
      <c r="D7" s="5" t="s">
        <v>294</v>
      </c>
    </row>
    <row r="8" spans="1:4" x14ac:dyDescent="0.3">
      <c r="A8" s="4" t="s">
        <v>69</v>
      </c>
      <c r="B8" s="7">
        <v>10</v>
      </c>
      <c r="C8" s="7">
        <v>10</v>
      </c>
      <c r="D8" s="5" t="s">
        <v>294</v>
      </c>
    </row>
    <row r="9" spans="1:4" x14ac:dyDescent="0.3">
      <c r="A9" s="4" t="s">
        <v>79</v>
      </c>
      <c r="B9" s="7">
        <v>16</v>
      </c>
      <c r="C9" s="7">
        <v>16</v>
      </c>
      <c r="D9" s="5" t="s">
        <v>294</v>
      </c>
    </row>
    <row r="10" spans="1:4" x14ac:dyDescent="0.3">
      <c r="A10" s="4" t="s">
        <v>85</v>
      </c>
      <c r="B10" s="7">
        <v>22</v>
      </c>
      <c r="C10" s="7">
        <v>22</v>
      </c>
      <c r="D10" s="5" t="s">
        <v>294</v>
      </c>
    </row>
    <row r="11" spans="1:4" x14ac:dyDescent="0.3">
      <c r="A11" s="4" t="s">
        <v>119</v>
      </c>
      <c r="B11" s="7">
        <v>14</v>
      </c>
      <c r="C11" s="7">
        <v>14.99</v>
      </c>
      <c r="D11" s="5" t="s">
        <v>295</v>
      </c>
    </row>
    <row r="12" spans="1:4" x14ac:dyDescent="0.3">
      <c r="A12" s="4" t="s">
        <v>101</v>
      </c>
      <c r="B12" s="7">
        <v>11</v>
      </c>
      <c r="C12" s="7">
        <v>11.49</v>
      </c>
      <c r="D12" s="5" t="s">
        <v>295</v>
      </c>
    </row>
    <row r="13" spans="1:4" x14ac:dyDescent="0.3">
      <c r="A13" s="4" t="s">
        <v>113</v>
      </c>
      <c r="B13" s="7">
        <v>17</v>
      </c>
      <c r="C13" s="7">
        <v>17.989999999999998</v>
      </c>
      <c r="D13" s="5" t="s">
        <v>295</v>
      </c>
    </row>
    <row r="14" spans="1:4" x14ac:dyDescent="0.3">
      <c r="A14" s="4" t="s">
        <v>296</v>
      </c>
      <c r="B14" s="7">
        <v>20.99</v>
      </c>
      <c r="C14" s="7">
        <v>21.99</v>
      </c>
      <c r="D14" s="5" t="s">
        <v>295</v>
      </c>
    </row>
    <row r="15" spans="1:4" x14ac:dyDescent="0.3">
      <c r="A15" s="4" t="s">
        <v>297</v>
      </c>
      <c r="B15" s="7">
        <v>26.99</v>
      </c>
      <c r="C15" s="7">
        <v>28.99</v>
      </c>
      <c r="D15" s="5" t="s">
        <v>295</v>
      </c>
    </row>
    <row r="16" spans="1:4" x14ac:dyDescent="0.3">
      <c r="A16" s="4" t="s">
        <v>95</v>
      </c>
      <c r="B16" s="7">
        <v>22</v>
      </c>
      <c r="C16" s="7">
        <v>22.99</v>
      </c>
      <c r="D16" s="5" t="s">
        <v>295</v>
      </c>
    </row>
    <row r="17" spans="1:4" x14ac:dyDescent="0.3">
      <c r="A17" s="4" t="s">
        <v>107</v>
      </c>
      <c r="B17" s="7">
        <v>28</v>
      </c>
      <c r="C17" s="7">
        <v>29.99</v>
      </c>
      <c r="D17" s="5" t="s">
        <v>295</v>
      </c>
    </row>
    <row r="18" spans="1:4" x14ac:dyDescent="0.3">
      <c r="A18" s="4" t="s">
        <v>142</v>
      </c>
      <c r="B18" s="7">
        <v>26</v>
      </c>
      <c r="C18" s="7">
        <v>26.99</v>
      </c>
      <c r="D18" s="5" t="s">
        <v>295</v>
      </c>
    </row>
    <row r="19" spans="1:4" x14ac:dyDescent="0.3">
      <c r="A19" s="4" t="s">
        <v>125</v>
      </c>
      <c r="B19" s="7">
        <v>32</v>
      </c>
      <c r="C19" s="7">
        <v>33.99</v>
      </c>
      <c r="D19" s="5" t="s">
        <v>295</v>
      </c>
    </row>
    <row r="20" spans="1:4" x14ac:dyDescent="0.3">
      <c r="A20" s="4" t="s">
        <v>298</v>
      </c>
      <c r="B20" s="7">
        <v>15.99</v>
      </c>
      <c r="C20" s="7">
        <v>15.99</v>
      </c>
      <c r="D20" s="5" t="s">
        <v>294</v>
      </c>
    </row>
    <row r="21" spans="1:4" x14ac:dyDescent="0.3">
      <c r="A21" s="4" t="s">
        <v>299</v>
      </c>
      <c r="B21" s="7">
        <v>15.99</v>
      </c>
      <c r="C21" s="7">
        <v>15.99</v>
      </c>
      <c r="D21" s="5" t="s">
        <v>294</v>
      </c>
    </row>
    <row r="22" spans="1:4" x14ac:dyDescent="0.3">
      <c r="A22" s="4" t="s">
        <v>300</v>
      </c>
      <c r="B22" s="7">
        <v>15.99</v>
      </c>
      <c r="C22" s="7">
        <v>15.99</v>
      </c>
      <c r="D22" s="5" t="s">
        <v>294</v>
      </c>
    </row>
    <row r="23" spans="1:4" x14ac:dyDescent="0.3">
      <c r="A23" s="4" t="s">
        <v>301</v>
      </c>
      <c r="B23" s="7">
        <v>18</v>
      </c>
      <c r="C23" s="7">
        <v>18</v>
      </c>
      <c r="D23" s="5" t="s">
        <v>294</v>
      </c>
    </row>
    <row r="24" spans="1:4" x14ac:dyDescent="0.3">
      <c r="A24" s="4" t="s">
        <v>302</v>
      </c>
      <c r="B24" s="7">
        <v>7</v>
      </c>
      <c r="C24" s="7">
        <v>7</v>
      </c>
      <c r="D24" s="5" t="s">
        <v>294</v>
      </c>
    </row>
    <row r="25" spans="1:4" x14ac:dyDescent="0.3">
      <c r="A25" s="4" t="s">
        <v>303</v>
      </c>
      <c r="B25" s="7">
        <v>15</v>
      </c>
      <c r="C25" s="7">
        <v>15.49</v>
      </c>
      <c r="D25" s="5" t="s">
        <v>295</v>
      </c>
    </row>
    <row r="26" spans="1:4" x14ac:dyDescent="0.3">
      <c r="A26" s="4" t="s">
        <v>209</v>
      </c>
      <c r="B26" s="7">
        <v>26</v>
      </c>
      <c r="C26" s="7">
        <v>26.99</v>
      </c>
      <c r="D26" s="5" t="s">
        <v>295</v>
      </c>
    </row>
    <row r="27" spans="1:4" x14ac:dyDescent="0.3">
      <c r="A27" s="4" t="s">
        <v>216</v>
      </c>
      <c r="B27" s="7">
        <v>26</v>
      </c>
      <c r="C27" s="7">
        <v>26.99</v>
      </c>
      <c r="D27" s="5" t="s">
        <v>295</v>
      </c>
    </row>
    <row r="28" spans="1:4" x14ac:dyDescent="0.3">
      <c r="A28" s="4" t="s">
        <v>304</v>
      </c>
      <c r="B28" s="7">
        <v>26</v>
      </c>
      <c r="C28" s="7">
        <v>26.99</v>
      </c>
      <c r="D28" s="5" t="s">
        <v>295</v>
      </c>
    </row>
    <row r="29" spans="1:4" x14ac:dyDescent="0.3">
      <c r="A29" s="4" t="s">
        <v>305</v>
      </c>
      <c r="B29" s="7">
        <v>14</v>
      </c>
      <c r="C29" s="7">
        <v>14.49</v>
      </c>
      <c r="D29" s="5" t="s">
        <v>295</v>
      </c>
    </row>
    <row r="30" spans="1:4" x14ac:dyDescent="0.3">
      <c r="A30" s="4" t="s">
        <v>306</v>
      </c>
      <c r="B30" s="7">
        <v>19</v>
      </c>
      <c r="C30" s="7">
        <v>19.989999999999998</v>
      </c>
      <c r="D30" s="5" t="s">
        <v>295</v>
      </c>
    </row>
    <row r="31" spans="1:4" x14ac:dyDescent="0.3">
      <c r="A31" s="4" t="s">
        <v>307</v>
      </c>
      <c r="B31" s="7">
        <v>20</v>
      </c>
      <c r="C31" s="7">
        <v>20.99</v>
      </c>
      <c r="D31" s="5" t="s">
        <v>295</v>
      </c>
    </row>
    <row r="32" spans="1:4" x14ac:dyDescent="0.3">
      <c r="A32" s="4" t="s">
        <v>308</v>
      </c>
      <c r="B32" s="7">
        <v>24</v>
      </c>
      <c r="C32" s="7">
        <v>24.49</v>
      </c>
      <c r="D32" s="5" t="s">
        <v>295</v>
      </c>
    </row>
    <row r="33" spans="1:4" x14ac:dyDescent="0.3">
      <c r="A33" s="4" t="s">
        <v>309</v>
      </c>
      <c r="B33" s="7">
        <v>25</v>
      </c>
      <c r="C33" s="7">
        <v>25.99</v>
      </c>
      <c r="D33" s="5" t="s">
        <v>295</v>
      </c>
    </row>
    <row r="34" spans="1:4" x14ac:dyDescent="0.3">
      <c r="A34" s="4" t="s">
        <v>310</v>
      </c>
      <c r="B34" s="7">
        <v>20</v>
      </c>
      <c r="C34" s="7">
        <v>20.99</v>
      </c>
      <c r="D34" s="5" t="s">
        <v>295</v>
      </c>
    </row>
    <row r="35" spans="1:4" x14ac:dyDescent="0.3">
      <c r="A35" s="6" t="s">
        <v>311</v>
      </c>
      <c r="B35" s="6"/>
      <c r="C35" s="6"/>
      <c r="D35" s="6"/>
    </row>
    <row r="36" spans="1:4" ht="22.8" x14ac:dyDescent="0.3">
      <c r="A36" s="4" t="s">
        <v>91</v>
      </c>
      <c r="B36" s="7">
        <v>22</v>
      </c>
      <c r="C36" s="7">
        <v>22.99</v>
      </c>
      <c r="D36" s="5" t="s">
        <v>295</v>
      </c>
    </row>
    <row r="37" spans="1:4" ht="22.8" x14ac:dyDescent="0.3">
      <c r="A37" s="4" t="s">
        <v>312</v>
      </c>
      <c r="B37" s="7">
        <v>26</v>
      </c>
      <c r="C37" s="7">
        <v>26.99</v>
      </c>
      <c r="D37" s="5" t="s">
        <v>295</v>
      </c>
    </row>
    <row r="38" spans="1:4" x14ac:dyDescent="0.3">
      <c r="A38" s="4" t="s">
        <v>223</v>
      </c>
      <c r="B38" s="7">
        <v>26</v>
      </c>
      <c r="C38" s="7">
        <v>26.99</v>
      </c>
      <c r="D38" s="5" t="s">
        <v>295</v>
      </c>
    </row>
    <row r="39" spans="1:4" x14ac:dyDescent="0.3">
      <c r="A39" s="6" t="s">
        <v>313</v>
      </c>
      <c r="B39" s="6"/>
      <c r="C39" s="6"/>
      <c r="D39" s="6"/>
    </row>
    <row r="40" spans="1:4" x14ac:dyDescent="0.3">
      <c r="A40" s="4" t="s">
        <v>314</v>
      </c>
      <c r="B40" s="7">
        <v>17</v>
      </c>
      <c r="C40" s="7">
        <v>17</v>
      </c>
      <c r="D40" s="5" t="s">
        <v>294</v>
      </c>
    </row>
    <row r="41" spans="1:4" x14ac:dyDescent="0.3">
      <c r="A41" s="4" t="s">
        <v>315</v>
      </c>
      <c r="B41" s="7">
        <v>17</v>
      </c>
      <c r="C41" s="7">
        <v>17</v>
      </c>
      <c r="D41" s="5" t="s">
        <v>294</v>
      </c>
    </row>
    <row r="42" spans="1:4" x14ac:dyDescent="0.3">
      <c r="A42" s="4" t="s">
        <v>316</v>
      </c>
      <c r="B42" s="7">
        <v>17</v>
      </c>
      <c r="C42" s="7">
        <v>17</v>
      </c>
      <c r="D42" s="5" t="s">
        <v>294</v>
      </c>
    </row>
    <row r="43" spans="1:4" x14ac:dyDescent="0.3">
      <c r="A43" s="4" t="s">
        <v>317</v>
      </c>
      <c r="B43" s="7">
        <v>17</v>
      </c>
      <c r="C43" s="7">
        <v>17</v>
      </c>
      <c r="D43" s="5" t="s">
        <v>294</v>
      </c>
    </row>
    <row r="44" spans="1:4" x14ac:dyDescent="0.3">
      <c r="A44" s="4" t="s">
        <v>318</v>
      </c>
      <c r="B44" s="7">
        <v>20</v>
      </c>
      <c r="C44" s="7">
        <v>20</v>
      </c>
      <c r="D44" s="5" t="s">
        <v>294</v>
      </c>
    </row>
    <row r="45" spans="1:4" x14ac:dyDescent="0.3">
      <c r="A45" s="6" t="s">
        <v>319</v>
      </c>
      <c r="B45" s="6"/>
      <c r="C45" s="6"/>
      <c r="D45" s="6"/>
    </row>
    <row r="46" spans="1:4" x14ac:dyDescent="0.3">
      <c r="A46" s="4" t="s">
        <v>320</v>
      </c>
      <c r="B46" s="7">
        <v>9</v>
      </c>
      <c r="C46" s="7">
        <v>9.5</v>
      </c>
      <c r="D46" s="5" t="s">
        <v>295</v>
      </c>
    </row>
    <row r="47" spans="1:4" x14ac:dyDescent="0.3">
      <c r="A47" s="4" t="s">
        <v>321</v>
      </c>
      <c r="B47" s="7">
        <v>16</v>
      </c>
      <c r="C47" s="7">
        <v>16.5</v>
      </c>
      <c r="D47" s="5" t="s">
        <v>295</v>
      </c>
    </row>
    <row r="48" spans="1:4" x14ac:dyDescent="0.3">
      <c r="A48" s="4" t="s">
        <v>322</v>
      </c>
      <c r="B48" s="7">
        <v>22</v>
      </c>
      <c r="C48" s="7">
        <v>22.5</v>
      </c>
      <c r="D48" s="5" t="s">
        <v>295</v>
      </c>
    </row>
    <row r="49" spans="1:4" x14ac:dyDescent="0.3">
      <c r="A49" s="4" t="s">
        <v>323</v>
      </c>
      <c r="B49" s="7">
        <v>14.5</v>
      </c>
      <c r="C49" s="7">
        <v>15</v>
      </c>
      <c r="D49" s="5" t="s">
        <v>295</v>
      </c>
    </row>
    <row r="50" spans="1:4" x14ac:dyDescent="0.3">
      <c r="A50" s="4" t="s">
        <v>324</v>
      </c>
      <c r="B50" s="7">
        <v>21</v>
      </c>
      <c r="C50" s="7">
        <v>21.5</v>
      </c>
      <c r="D50" s="5" t="s">
        <v>295</v>
      </c>
    </row>
    <row r="51" spans="1:4" x14ac:dyDescent="0.3">
      <c r="A51" s="4" t="s">
        <v>325</v>
      </c>
      <c r="B51" s="7">
        <v>26.5</v>
      </c>
      <c r="C51" s="7">
        <v>27</v>
      </c>
      <c r="D51" s="5" t="s">
        <v>295</v>
      </c>
    </row>
    <row r="52" spans="1:4" x14ac:dyDescent="0.3">
      <c r="A52" s="4" t="s">
        <v>326</v>
      </c>
      <c r="B52" s="7">
        <v>31.5</v>
      </c>
      <c r="C52" s="7">
        <v>32</v>
      </c>
      <c r="D52" s="5" t="s">
        <v>295</v>
      </c>
    </row>
    <row r="53" spans="1:4" x14ac:dyDescent="0.3">
      <c r="A53" s="4" t="s">
        <v>327</v>
      </c>
      <c r="B53" s="7">
        <v>14.5</v>
      </c>
      <c r="C53" s="7">
        <v>15</v>
      </c>
      <c r="D53" s="5" t="s">
        <v>295</v>
      </c>
    </row>
    <row r="54" spans="1:4" x14ac:dyDescent="0.3">
      <c r="A54" s="4" t="s">
        <v>328</v>
      </c>
      <c r="B54" s="7">
        <v>21</v>
      </c>
      <c r="C54" s="7">
        <v>21.5</v>
      </c>
      <c r="D54" s="5" t="s">
        <v>295</v>
      </c>
    </row>
    <row r="55" spans="1:4" x14ac:dyDescent="0.3">
      <c r="A55" s="4" t="s">
        <v>329</v>
      </c>
      <c r="B55" s="7">
        <v>26.5</v>
      </c>
      <c r="C55" s="7">
        <v>27</v>
      </c>
      <c r="D55" s="5" t="s">
        <v>295</v>
      </c>
    </row>
    <row r="56" spans="1:4" x14ac:dyDescent="0.3">
      <c r="A56" s="4" t="s">
        <v>330</v>
      </c>
      <c r="B56" s="7">
        <v>31.5</v>
      </c>
      <c r="C56" s="7">
        <v>32</v>
      </c>
      <c r="D56" s="5" t="s">
        <v>295</v>
      </c>
    </row>
    <row r="57" spans="1:4" x14ac:dyDescent="0.3">
      <c r="A57" s="4" t="s">
        <v>10</v>
      </c>
      <c r="B57" s="7">
        <v>18</v>
      </c>
      <c r="C57" s="7">
        <v>18.5</v>
      </c>
      <c r="D57" s="5" t="s">
        <v>295</v>
      </c>
    </row>
    <row r="58" spans="1:4" x14ac:dyDescent="0.3">
      <c r="A58" s="4" t="s">
        <v>21</v>
      </c>
      <c r="B58" s="7">
        <v>24</v>
      </c>
      <c r="C58" s="7">
        <v>24.5</v>
      </c>
      <c r="D58" s="5" t="s">
        <v>295</v>
      </c>
    </row>
    <row r="59" spans="1:4" x14ac:dyDescent="0.3">
      <c r="A59" s="4" t="s">
        <v>29</v>
      </c>
      <c r="B59" s="7">
        <v>30</v>
      </c>
      <c r="C59" s="7">
        <v>30.5</v>
      </c>
      <c r="D59" s="5" t="s">
        <v>295</v>
      </c>
    </row>
    <row r="60" spans="1:4" x14ac:dyDescent="0.3">
      <c r="A60" s="4" t="s">
        <v>37</v>
      </c>
      <c r="B60" s="7">
        <v>100</v>
      </c>
      <c r="C60" s="7">
        <v>101.24</v>
      </c>
      <c r="D60" s="5" t="s">
        <v>295</v>
      </c>
    </row>
    <row r="61" spans="1:4" x14ac:dyDescent="0.3">
      <c r="A61" s="4" t="s">
        <v>45</v>
      </c>
      <c r="B61" s="7">
        <v>100</v>
      </c>
      <c r="C61" s="7">
        <v>101.24</v>
      </c>
      <c r="D61" s="5" t="s">
        <v>295</v>
      </c>
    </row>
    <row r="62" spans="1:4" x14ac:dyDescent="0.3">
      <c r="A62" s="4" t="s">
        <v>53</v>
      </c>
      <c r="B62" s="7">
        <v>100</v>
      </c>
      <c r="C62" s="7">
        <v>101.24</v>
      </c>
      <c r="D62" s="5" t="s">
        <v>295</v>
      </c>
    </row>
    <row r="63" spans="1:4" x14ac:dyDescent="0.3">
      <c r="A63" s="4" t="s">
        <v>331</v>
      </c>
      <c r="B63" s="7">
        <v>7</v>
      </c>
      <c r="C63" s="7">
        <v>7</v>
      </c>
      <c r="D63" s="5" t="s">
        <v>294</v>
      </c>
    </row>
    <row r="64" spans="1:4" x14ac:dyDescent="0.3">
      <c r="A64" s="6" t="s">
        <v>332</v>
      </c>
      <c r="B64" s="6"/>
      <c r="C64" s="6"/>
      <c r="D64" s="6"/>
    </row>
    <row r="65" spans="1:4" x14ac:dyDescent="0.3">
      <c r="A65" s="4" t="s">
        <v>333</v>
      </c>
      <c r="B65" s="7">
        <v>11.9</v>
      </c>
      <c r="C65" s="7">
        <v>12.4</v>
      </c>
      <c r="D65" s="5" t="s">
        <v>295</v>
      </c>
    </row>
    <row r="66" spans="1:4" x14ac:dyDescent="0.3">
      <c r="A66" s="4" t="s">
        <v>334</v>
      </c>
      <c r="B66" s="7">
        <v>15</v>
      </c>
      <c r="C66" s="7">
        <v>15.5</v>
      </c>
      <c r="D66" s="5" t="s">
        <v>295</v>
      </c>
    </row>
    <row r="67" spans="1:4" x14ac:dyDescent="0.3">
      <c r="A67" s="4" t="s">
        <v>335</v>
      </c>
      <c r="B67" s="7">
        <v>5</v>
      </c>
      <c r="C67" s="7">
        <v>5</v>
      </c>
      <c r="D67" s="5" t="s">
        <v>294</v>
      </c>
    </row>
    <row r="68" spans="1:4" x14ac:dyDescent="0.3">
      <c r="A68" s="4" t="s">
        <v>336</v>
      </c>
      <c r="B68" s="7">
        <v>5</v>
      </c>
      <c r="C68" s="7">
        <v>5</v>
      </c>
      <c r="D68" s="5" t="s">
        <v>294</v>
      </c>
    </row>
    <row r="69" spans="1:4" x14ac:dyDescent="0.3">
      <c r="A69" s="6" t="s">
        <v>337</v>
      </c>
      <c r="B69" s="6"/>
      <c r="C69" s="6"/>
      <c r="D69" s="6"/>
    </row>
    <row r="70" spans="1:4" x14ac:dyDescent="0.3">
      <c r="A70" s="4" t="s">
        <v>338</v>
      </c>
      <c r="B70" s="7">
        <v>16.5</v>
      </c>
      <c r="C70" s="7">
        <v>16.5</v>
      </c>
      <c r="D70" s="5" t="s">
        <v>294</v>
      </c>
    </row>
    <row r="71" spans="1:4" x14ac:dyDescent="0.3">
      <c r="A71" s="4" t="s">
        <v>339</v>
      </c>
      <c r="B71" s="7">
        <v>10</v>
      </c>
      <c r="C71" s="7">
        <v>10.25</v>
      </c>
      <c r="D71" s="5" t="s">
        <v>295</v>
      </c>
    </row>
    <row r="72" spans="1:4" x14ac:dyDescent="0.3">
      <c r="A72" s="6" t="s">
        <v>340</v>
      </c>
      <c r="B72" s="6"/>
      <c r="C72" s="6"/>
      <c r="D72" s="6"/>
    </row>
    <row r="73" spans="1:4" x14ac:dyDescent="0.3">
      <c r="A73" s="4" t="s">
        <v>341</v>
      </c>
      <c r="B73" s="7">
        <v>2</v>
      </c>
      <c r="C73" s="7">
        <v>2</v>
      </c>
      <c r="D73" s="5" t="s">
        <v>294</v>
      </c>
    </row>
    <row r="74" spans="1:4" x14ac:dyDescent="0.3">
      <c r="A74" s="4" t="s">
        <v>342</v>
      </c>
      <c r="B74" s="7">
        <v>1</v>
      </c>
      <c r="C74" s="7">
        <v>1.5</v>
      </c>
      <c r="D74" s="5" t="s">
        <v>295</v>
      </c>
    </row>
    <row r="75" spans="1:4" x14ac:dyDescent="0.3">
      <c r="A75" s="4" t="s">
        <v>343</v>
      </c>
      <c r="B75" s="7">
        <v>0.5</v>
      </c>
      <c r="C75" s="7">
        <v>0.75</v>
      </c>
      <c r="D75" s="5" t="s">
        <v>295</v>
      </c>
    </row>
    <row r="76" spans="1:4" x14ac:dyDescent="0.3">
      <c r="A76" s="4" t="s">
        <v>344</v>
      </c>
      <c r="B76" s="7">
        <v>1.5</v>
      </c>
      <c r="C76" s="7">
        <v>2</v>
      </c>
      <c r="D76" s="5" t="s">
        <v>295</v>
      </c>
    </row>
    <row r="77" spans="1:4" x14ac:dyDescent="0.3">
      <c r="A77" s="6" t="s">
        <v>345</v>
      </c>
      <c r="B77" s="6"/>
      <c r="C77" s="6"/>
      <c r="D77" s="6"/>
    </row>
    <row r="78" spans="1:4" x14ac:dyDescent="0.3">
      <c r="A78" s="4" t="s">
        <v>346</v>
      </c>
      <c r="B78" s="7">
        <v>5</v>
      </c>
      <c r="C78" s="7">
        <v>5</v>
      </c>
      <c r="D78" s="5" t="s">
        <v>294</v>
      </c>
    </row>
    <row r="79" spans="1:4" x14ac:dyDescent="0.3">
      <c r="A79" s="4" t="s">
        <v>347</v>
      </c>
      <c r="B79" s="7">
        <v>3</v>
      </c>
      <c r="C79" s="7">
        <v>3</v>
      </c>
      <c r="D79" s="5" t="s">
        <v>294</v>
      </c>
    </row>
    <row r="80" spans="1:4" x14ac:dyDescent="0.3">
      <c r="A80" s="4" t="s">
        <v>348</v>
      </c>
      <c r="B80" s="7">
        <v>2</v>
      </c>
      <c r="C80" s="7">
        <v>2</v>
      </c>
      <c r="D80" s="5" t="s">
        <v>294</v>
      </c>
    </row>
    <row r="81" spans="1:4" x14ac:dyDescent="0.3">
      <c r="A81" s="6" t="s">
        <v>349</v>
      </c>
      <c r="B81" s="6"/>
      <c r="C81" s="6"/>
      <c r="D81" s="6"/>
    </row>
    <row r="82" spans="1:4" x14ac:dyDescent="0.3">
      <c r="A82" s="4" t="s">
        <v>350</v>
      </c>
      <c r="B82" s="7">
        <v>3</v>
      </c>
      <c r="C82" s="7">
        <v>3</v>
      </c>
      <c r="D82" s="5" t="s">
        <v>294</v>
      </c>
    </row>
    <row r="83" spans="1:4" x14ac:dyDescent="0.3">
      <c r="A83" s="4" t="s">
        <v>351</v>
      </c>
      <c r="B83" s="7">
        <v>3</v>
      </c>
      <c r="C83" s="7">
        <v>3</v>
      </c>
      <c r="D83" s="5" t="s">
        <v>294</v>
      </c>
    </row>
    <row r="84" spans="1:4" x14ac:dyDescent="0.3">
      <c r="A84" s="4" t="s">
        <v>352</v>
      </c>
      <c r="B84" s="7">
        <v>3</v>
      </c>
      <c r="C84" s="7">
        <v>3</v>
      </c>
      <c r="D84" s="5" t="s">
        <v>294</v>
      </c>
    </row>
    <row r="85" spans="1:4" x14ac:dyDescent="0.3">
      <c r="A85" s="6" t="s">
        <v>353</v>
      </c>
      <c r="B85" s="6"/>
      <c r="C85" s="6"/>
      <c r="D85" s="6"/>
    </row>
    <row r="86" spans="1:4" x14ac:dyDescent="0.3">
      <c r="A86" s="4" t="s">
        <v>263</v>
      </c>
      <c r="B86" s="7">
        <v>4</v>
      </c>
      <c r="C86" s="7">
        <v>4</v>
      </c>
      <c r="D86" s="5" t="s">
        <v>354</v>
      </c>
    </row>
    <row r="87" spans="1:4" x14ac:dyDescent="0.3">
      <c r="A87" s="4" t="s">
        <v>355</v>
      </c>
      <c r="B87" s="7">
        <v>4</v>
      </c>
      <c r="C87" s="7">
        <v>4</v>
      </c>
      <c r="D87" s="5" t="s">
        <v>354</v>
      </c>
    </row>
    <row r="88" spans="1:4" x14ac:dyDescent="0.3">
      <c r="A88" s="4" t="s">
        <v>356</v>
      </c>
      <c r="B88" s="7">
        <v>4</v>
      </c>
      <c r="C88" s="7">
        <v>4</v>
      </c>
      <c r="D88" s="5" t="s">
        <v>354</v>
      </c>
    </row>
    <row r="89" spans="1:4" x14ac:dyDescent="0.3">
      <c r="A89" s="4" t="s">
        <v>357</v>
      </c>
      <c r="B89" s="7">
        <v>4</v>
      </c>
      <c r="C89" s="7">
        <v>4</v>
      </c>
      <c r="D89" s="5" t="s">
        <v>354</v>
      </c>
    </row>
    <row r="90" spans="1:4" x14ac:dyDescent="0.3">
      <c r="A90" s="4" t="s">
        <v>358</v>
      </c>
      <c r="B90" s="7">
        <v>4</v>
      </c>
      <c r="C90" s="7">
        <v>4</v>
      </c>
      <c r="D90" s="5" t="s">
        <v>294</v>
      </c>
    </row>
    <row r="91" spans="1:4" x14ac:dyDescent="0.3">
      <c r="A91" s="4" t="s">
        <v>359</v>
      </c>
      <c r="B91" s="7">
        <v>4</v>
      </c>
      <c r="C91" s="7">
        <v>4</v>
      </c>
      <c r="D91" s="5" t="s">
        <v>294</v>
      </c>
    </row>
    <row r="92" spans="1:4" x14ac:dyDescent="0.3">
      <c r="A92" s="4" t="s">
        <v>360</v>
      </c>
      <c r="B92" s="7">
        <v>4</v>
      </c>
      <c r="C92" s="7">
        <v>4</v>
      </c>
      <c r="D92" s="5" t="s">
        <v>294</v>
      </c>
    </row>
    <row r="93" spans="1:4" x14ac:dyDescent="0.3">
      <c r="A93" s="4" t="s">
        <v>361</v>
      </c>
      <c r="B93" s="7">
        <v>3</v>
      </c>
      <c r="C93" s="7">
        <v>3</v>
      </c>
      <c r="D93" s="5" t="s">
        <v>295</v>
      </c>
    </row>
    <row r="94" spans="1:4" x14ac:dyDescent="0.3">
      <c r="A94" s="4" t="s">
        <v>362</v>
      </c>
      <c r="B94" s="7">
        <v>3</v>
      </c>
      <c r="C94" s="7">
        <v>3</v>
      </c>
      <c r="D94" s="5" t="s">
        <v>295</v>
      </c>
    </row>
    <row r="95" spans="1:4" x14ac:dyDescent="0.3">
      <c r="A95" s="6" t="s">
        <v>363</v>
      </c>
      <c r="B95" s="6"/>
      <c r="C95" s="6"/>
      <c r="D95" s="6"/>
    </row>
    <row r="96" spans="1:4" x14ac:dyDescent="0.3">
      <c r="A96" s="4" t="s">
        <v>364</v>
      </c>
      <c r="B96" s="7">
        <v>6</v>
      </c>
      <c r="C96" s="7">
        <v>6.1</v>
      </c>
      <c r="D96" s="5" t="s">
        <v>295</v>
      </c>
    </row>
    <row r="97" spans="1:4" x14ac:dyDescent="0.3">
      <c r="A97" s="4" t="s">
        <v>365</v>
      </c>
      <c r="B97" s="7">
        <v>6</v>
      </c>
      <c r="C97" s="7">
        <v>6.1</v>
      </c>
      <c r="D97" s="5" t="s">
        <v>295</v>
      </c>
    </row>
    <row r="98" spans="1:4" x14ac:dyDescent="0.3">
      <c r="A98" s="4" t="s">
        <v>366</v>
      </c>
      <c r="B98" s="7">
        <v>6</v>
      </c>
      <c r="C98" s="7">
        <v>6.1</v>
      </c>
      <c r="D98" s="5" t="s">
        <v>295</v>
      </c>
    </row>
    <row r="99" spans="1:4" x14ac:dyDescent="0.3">
      <c r="A99" s="4" t="s">
        <v>367</v>
      </c>
      <c r="B99" s="7">
        <v>3</v>
      </c>
      <c r="C99" s="7">
        <v>3.1</v>
      </c>
      <c r="D99" s="5" t="s">
        <v>295</v>
      </c>
    </row>
    <row r="100" spans="1:4" x14ac:dyDescent="0.3">
      <c r="A100" s="4" t="s">
        <v>368</v>
      </c>
      <c r="B100" s="7">
        <v>3</v>
      </c>
      <c r="C100" s="7">
        <v>3.1</v>
      </c>
      <c r="D100" s="5" t="s">
        <v>295</v>
      </c>
    </row>
    <row r="101" spans="1:4" x14ac:dyDescent="0.3">
      <c r="A101" s="4" t="s">
        <v>369</v>
      </c>
      <c r="B101" s="7">
        <v>5</v>
      </c>
      <c r="C101" s="7">
        <v>5.0999999999999996</v>
      </c>
      <c r="D101" s="5" t="s">
        <v>295</v>
      </c>
    </row>
    <row r="102" spans="1:4" x14ac:dyDescent="0.3">
      <c r="A102" s="4" t="s">
        <v>370</v>
      </c>
      <c r="B102" s="7">
        <v>5</v>
      </c>
      <c r="C102" s="7">
        <v>5.0999999999999996</v>
      </c>
      <c r="D102" s="5" t="s">
        <v>295</v>
      </c>
    </row>
    <row r="103" spans="1:4" x14ac:dyDescent="0.3">
      <c r="A103" s="4" t="s">
        <v>371</v>
      </c>
      <c r="B103" s="7">
        <v>5</v>
      </c>
      <c r="C103" s="7">
        <v>5.0999999999999996</v>
      </c>
      <c r="D103" s="5" t="s">
        <v>295</v>
      </c>
    </row>
    <row r="104" spans="1:4" x14ac:dyDescent="0.3">
      <c r="A104" s="4" t="s">
        <v>372</v>
      </c>
      <c r="B104" s="7">
        <v>5</v>
      </c>
      <c r="C104" s="7">
        <v>5.0999999999999996</v>
      </c>
      <c r="D104" s="5" t="s">
        <v>295</v>
      </c>
    </row>
    <row r="105" spans="1:4" x14ac:dyDescent="0.3">
      <c r="A105" s="6" t="s">
        <v>373</v>
      </c>
      <c r="B105" s="6"/>
      <c r="C105" s="6"/>
      <c r="D105" s="6"/>
    </row>
    <row r="106" spans="1:4" x14ac:dyDescent="0.3">
      <c r="A106" s="4" t="s">
        <v>374</v>
      </c>
      <c r="B106" s="7">
        <v>6</v>
      </c>
      <c r="C106" s="7">
        <v>6.1</v>
      </c>
      <c r="D106" s="5" t="s">
        <v>295</v>
      </c>
    </row>
    <row r="107" spans="1:4" x14ac:dyDescent="0.3">
      <c r="A107" s="4" t="s">
        <v>375</v>
      </c>
      <c r="B107" s="7">
        <v>6</v>
      </c>
      <c r="C107" s="7">
        <v>6.1</v>
      </c>
      <c r="D107" s="5" t="s">
        <v>295</v>
      </c>
    </row>
    <row r="108" spans="1:4" x14ac:dyDescent="0.3">
      <c r="A108" s="4" t="s">
        <v>376</v>
      </c>
      <c r="B108" s="7">
        <v>13.98</v>
      </c>
      <c r="C108" s="7">
        <v>14.08</v>
      </c>
      <c r="D108" s="5" t="s">
        <v>295</v>
      </c>
    </row>
    <row r="109" spans="1:4" x14ac:dyDescent="0.3">
      <c r="A109" s="4" t="s">
        <v>377</v>
      </c>
      <c r="B109" s="7">
        <v>13.98</v>
      </c>
      <c r="C109" s="7">
        <v>14.08</v>
      </c>
      <c r="D109" s="5" t="s">
        <v>295</v>
      </c>
    </row>
    <row r="110" spans="1:4" x14ac:dyDescent="0.3">
      <c r="A110" s="4" t="s">
        <v>378</v>
      </c>
      <c r="B110" s="7">
        <v>13.98</v>
      </c>
      <c r="C110" s="7">
        <v>14.08</v>
      </c>
      <c r="D110" s="5" t="s">
        <v>295</v>
      </c>
    </row>
    <row r="111" spans="1:4" x14ac:dyDescent="0.3">
      <c r="A111" s="4" t="s">
        <v>379</v>
      </c>
      <c r="B111" s="7">
        <v>25</v>
      </c>
      <c r="C111" s="7">
        <v>25.1</v>
      </c>
      <c r="D111" s="5" t="s">
        <v>295</v>
      </c>
    </row>
    <row r="112" spans="1:4" x14ac:dyDescent="0.3">
      <c r="A112" s="4" t="s">
        <v>380</v>
      </c>
      <c r="B112" s="7">
        <v>35</v>
      </c>
      <c r="C112" s="7">
        <v>35.1</v>
      </c>
      <c r="D112" s="5" t="s">
        <v>295</v>
      </c>
    </row>
    <row r="113" spans="1:4" x14ac:dyDescent="0.3">
      <c r="A113" s="6" t="s">
        <v>381</v>
      </c>
      <c r="B113" s="6"/>
      <c r="C113" s="6"/>
      <c r="D113" s="6"/>
    </row>
    <row r="114" spans="1:4" x14ac:dyDescent="0.3">
      <c r="A114" s="4" t="s">
        <v>382</v>
      </c>
      <c r="B114" s="7">
        <v>10</v>
      </c>
      <c r="C114" s="7">
        <v>10</v>
      </c>
      <c r="D114" s="5" t="s">
        <v>294</v>
      </c>
    </row>
    <row r="115" spans="1:4" x14ac:dyDescent="0.3">
      <c r="A115" s="4" t="s">
        <v>383</v>
      </c>
      <c r="B115" s="7">
        <v>15</v>
      </c>
      <c r="C115" s="7">
        <v>15</v>
      </c>
      <c r="D115" s="5" t="s">
        <v>294</v>
      </c>
    </row>
    <row r="116" spans="1:4" x14ac:dyDescent="0.3">
      <c r="A116" s="4" t="s">
        <v>384</v>
      </c>
      <c r="B116" s="7">
        <v>19.899999999999999</v>
      </c>
      <c r="C116" s="7">
        <v>19.899999999999999</v>
      </c>
      <c r="D116" s="5" t="s">
        <v>294</v>
      </c>
    </row>
    <row r="117" spans="1:4" x14ac:dyDescent="0.3">
      <c r="A117" s="4" t="s">
        <v>385</v>
      </c>
      <c r="B117" s="7">
        <v>10</v>
      </c>
      <c r="C117" s="7">
        <v>10</v>
      </c>
      <c r="D117" s="5" t="s">
        <v>294</v>
      </c>
    </row>
    <row r="118" spans="1:4" x14ac:dyDescent="0.3">
      <c r="A118" s="4" t="s">
        <v>386</v>
      </c>
      <c r="B118" s="7">
        <v>12</v>
      </c>
      <c r="C118" s="7">
        <v>12</v>
      </c>
      <c r="D118" s="5" t="s">
        <v>294</v>
      </c>
    </row>
    <row r="119" spans="1:4" x14ac:dyDescent="0.3">
      <c r="A119" s="4" t="s">
        <v>387</v>
      </c>
      <c r="B119" s="7">
        <v>12</v>
      </c>
      <c r="C119" s="7">
        <v>12</v>
      </c>
      <c r="D119" s="5" t="s">
        <v>294</v>
      </c>
    </row>
    <row r="120" spans="1:4" x14ac:dyDescent="0.3">
      <c r="A120" s="4" t="s">
        <v>388</v>
      </c>
      <c r="B120" s="7">
        <v>18</v>
      </c>
      <c r="C120" s="7">
        <v>18</v>
      </c>
      <c r="D120" s="5" t="s">
        <v>294</v>
      </c>
    </row>
    <row r="121" spans="1:4" x14ac:dyDescent="0.3">
      <c r="A121" s="4" t="s">
        <v>389</v>
      </c>
      <c r="B121" s="7">
        <v>18</v>
      </c>
      <c r="C121" s="7">
        <v>18</v>
      </c>
      <c r="D121" s="5" t="s">
        <v>294</v>
      </c>
    </row>
    <row r="122" spans="1:4" x14ac:dyDescent="0.3">
      <c r="A122" s="4" t="s">
        <v>390</v>
      </c>
      <c r="B122" s="7">
        <v>18</v>
      </c>
      <c r="C122" s="7">
        <v>18</v>
      </c>
      <c r="D122" s="5" t="s">
        <v>294</v>
      </c>
    </row>
    <row r="123" spans="1:4" x14ac:dyDescent="0.3">
      <c r="A123" s="4" t="s">
        <v>391</v>
      </c>
      <c r="B123" s="7">
        <v>18</v>
      </c>
      <c r="C123" s="7">
        <v>18</v>
      </c>
      <c r="D123" s="5" t="s">
        <v>294</v>
      </c>
    </row>
    <row r="124" spans="1:4" x14ac:dyDescent="0.3">
      <c r="A124" s="4" t="s">
        <v>392</v>
      </c>
      <c r="B124" s="7">
        <v>18</v>
      </c>
      <c r="C124" s="7">
        <v>18</v>
      </c>
      <c r="D124" s="5" t="s">
        <v>294</v>
      </c>
    </row>
    <row r="125" spans="1:4" x14ac:dyDescent="0.3">
      <c r="A125" s="4" t="s">
        <v>393</v>
      </c>
      <c r="B125" s="7">
        <v>18</v>
      </c>
      <c r="C125" s="7">
        <v>18</v>
      </c>
      <c r="D125" s="5" t="s">
        <v>294</v>
      </c>
    </row>
    <row r="126" spans="1:4" x14ac:dyDescent="0.3">
      <c r="A126" s="4" t="s">
        <v>394</v>
      </c>
      <c r="B126" s="7">
        <v>12</v>
      </c>
      <c r="C126" s="7">
        <v>12</v>
      </c>
      <c r="D126" s="5" t="s">
        <v>294</v>
      </c>
    </row>
    <row r="127" spans="1:4" x14ac:dyDescent="0.3">
      <c r="A127" s="4" t="s">
        <v>395</v>
      </c>
      <c r="B127" s="7">
        <v>14</v>
      </c>
      <c r="C127" s="7">
        <v>14</v>
      </c>
      <c r="D127" s="5" t="s">
        <v>294</v>
      </c>
    </row>
    <row r="128" spans="1:4" x14ac:dyDescent="0.3">
      <c r="A128" s="4" t="s">
        <v>396</v>
      </c>
      <c r="B128" s="7">
        <v>14</v>
      </c>
      <c r="C128" s="7">
        <v>14</v>
      </c>
      <c r="D128" s="5" t="s">
        <v>294</v>
      </c>
    </row>
    <row r="129" spans="1:4" x14ac:dyDescent="0.3">
      <c r="A129" s="4" t="s">
        <v>397</v>
      </c>
      <c r="B129" s="7">
        <v>14</v>
      </c>
      <c r="C129" s="7">
        <v>14</v>
      </c>
      <c r="D129" s="5" t="s">
        <v>294</v>
      </c>
    </row>
    <row r="130" spans="1:4" x14ac:dyDescent="0.3">
      <c r="A130" s="4" t="s">
        <v>398</v>
      </c>
      <c r="B130" s="7">
        <v>14</v>
      </c>
      <c r="C130" s="7">
        <v>14</v>
      </c>
      <c r="D130" s="5" t="s">
        <v>294</v>
      </c>
    </row>
    <row r="131" spans="1:4" x14ac:dyDescent="0.3">
      <c r="A131" s="4" t="s">
        <v>399</v>
      </c>
      <c r="B131" s="7">
        <v>14</v>
      </c>
      <c r="C131" s="7">
        <v>14</v>
      </c>
      <c r="D131" s="5" t="s">
        <v>294</v>
      </c>
    </row>
    <row r="132" spans="1:4" x14ac:dyDescent="0.3">
      <c r="A132" s="4" t="s">
        <v>400</v>
      </c>
      <c r="B132" s="7">
        <v>14</v>
      </c>
      <c r="C132" s="7">
        <v>14</v>
      </c>
      <c r="D132" s="5" t="s">
        <v>294</v>
      </c>
    </row>
    <row r="133" spans="1:4" x14ac:dyDescent="0.3">
      <c r="A133" s="4" t="s">
        <v>401</v>
      </c>
      <c r="B133" s="7">
        <v>18</v>
      </c>
      <c r="C133" s="7">
        <v>18</v>
      </c>
      <c r="D133" s="5" t="s">
        <v>294</v>
      </c>
    </row>
    <row r="134" spans="1:4" x14ac:dyDescent="0.3">
      <c r="A134" s="4" t="s">
        <v>402</v>
      </c>
      <c r="B134" s="7">
        <v>14</v>
      </c>
      <c r="C134" s="7">
        <v>14</v>
      </c>
      <c r="D134" s="5" t="s">
        <v>294</v>
      </c>
    </row>
    <row r="135" spans="1:4" x14ac:dyDescent="0.3">
      <c r="A135" s="4" t="s">
        <v>403</v>
      </c>
      <c r="B135" s="7">
        <v>18</v>
      </c>
      <c r="C135" s="7">
        <v>18</v>
      </c>
      <c r="D135" s="5" t="s">
        <v>294</v>
      </c>
    </row>
    <row r="136" spans="1:4" x14ac:dyDescent="0.3">
      <c r="A136" s="4" t="s">
        <v>404</v>
      </c>
      <c r="B136" s="7">
        <v>24</v>
      </c>
      <c r="C136" s="7">
        <v>24</v>
      </c>
      <c r="D136" s="5" t="s">
        <v>294</v>
      </c>
    </row>
    <row r="137" spans="1:4" x14ac:dyDescent="0.3">
      <c r="A137" s="6" t="s">
        <v>405</v>
      </c>
      <c r="B137" s="6"/>
      <c r="C137" s="6"/>
      <c r="D137" s="6"/>
    </row>
    <row r="138" spans="1:4" ht="22.8" x14ac:dyDescent="0.3">
      <c r="A138" s="4" t="s">
        <v>406</v>
      </c>
      <c r="B138" s="7">
        <v>7</v>
      </c>
      <c r="C138" s="7">
        <v>7.99</v>
      </c>
      <c r="D138" s="5" t="s">
        <v>407</v>
      </c>
    </row>
    <row r="139" spans="1:4" ht="22.8" x14ac:dyDescent="0.3">
      <c r="A139" s="4" t="s">
        <v>408</v>
      </c>
      <c r="B139" s="7">
        <v>10</v>
      </c>
      <c r="C139" s="7">
        <v>10.99</v>
      </c>
      <c r="D139" s="5" t="s">
        <v>295</v>
      </c>
    </row>
    <row r="140" spans="1:4" x14ac:dyDescent="0.3">
      <c r="A140" s="4" t="s">
        <v>409</v>
      </c>
      <c r="B140" s="7">
        <v>9.5</v>
      </c>
      <c r="C140" s="7">
        <v>10.49</v>
      </c>
      <c r="D140" s="5" t="s">
        <v>295</v>
      </c>
    </row>
    <row r="141" spans="1:4" x14ac:dyDescent="0.3">
      <c r="A141" s="4" t="s">
        <v>410</v>
      </c>
      <c r="B141" s="7">
        <v>9.5</v>
      </c>
      <c r="C141" s="7">
        <v>10.49</v>
      </c>
      <c r="D141" s="5" t="s">
        <v>295</v>
      </c>
    </row>
    <row r="142" spans="1:4" x14ac:dyDescent="0.3">
      <c r="A142" s="4" t="s">
        <v>411</v>
      </c>
      <c r="B142" s="7">
        <v>10</v>
      </c>
      <c r="C142" s="7">
        <v>10.99</v>
      </c>
      <c r="D142" s="5" t="s">
        <v>295</v>
      </c>
    </row>
    <row r="143" spans="1:4" x14ac:dyDescent="0.3">
      <c r="A143" s="4" t="s">
        <v>412</v>
      </c>
      <c r="B143" s="7">
        <v>10</v>
      </c>
      <c r="C143" s="7">
        <v>10.99</v>
      </c>
      <c r="D143" s="5" t="s">
        <v>295</v>
      </c>
    </row>
    <row r="144" spans="1:4" x14ac:dyDescent="0.3">
      <c r="A144" s="4" t="s">
        <v>413</v>
      </c>
      <c r="B144" s="7">
        <v>15</v>
      </c>
      <c r="C144" s="7">
        <v>15.99</v>
      </c>
      <c r="D144" s="5" t="s">
        <v>295</v>
      </c>
    </row>
    <row r="145" spans="1:4" x14ac:dyDescent="0.3">
      <c r="A145" s="4" t="s">
        <v>414</v>
      </c>
      <c r="B145" s="7">
        <v>10</v>
      </c>
      <c r="C145" s="7">
        <v>10.99</v>
      </c>
      <c r="D145" s="5" t="s">
        <v>295</v>
      </c>
    </row>
    <row r="146" spans="1:4" x14ac:dyDescent="0.3">
      <c r="A146" s="4" t="s">
        <v>415</v>
      </c>
      <c r="B146" s="7">
        <v>10</v>
      </c>
      <c r="C146" s="7">
        <v>10.99</v>
      </c>
      <c r="D146" s="5" t="s">
        <v>295</v>
      </c>
    </row>
    <row r="147" spans="1:4" x14ac:dyDescent="0.3">
      <c r="A147" s="4" t="s">
        <v>416</v>
      </c>
      <c r="B147" s="7">
        <v>11</v>
      </c>
      <c r="C147" s="7">
        <v>11.99</v>
      </c>
      <c r="D147" s="5" t="s">
        <v>295</v>
      </c>
    </row>
    <row r="148" spans="1:4" x14ac:dyDescent="0.3">
      <c r="A148" s="4" t="s">
        <v>417</v>
      </c>
      <c r="B148" s="7">
        <v>15</v>
      </c>
      <c r="C148" s="7">
        <v>15.99</v>
      </c>
      <c r="D148" s="5" t="s">
        <v>295</v>
      </c>
    </row>
    <row r="149" spans="1:4" x14ac:dyDescent="0.3">
      <c r="A149" s="6" t="s">
        <v>418</v>
      </c>
      <c r="B149" s="6"/>
      <c r="C149" s="6"/>
      <c r="D149" s="6"/>
    </row>
    <row r="150" spans="1:4" x14ac:dyDescent="0.3">
      <c r="A150" s="4" t="s">
        <v>419</v>
      </c>
      <c r="B150" s="7">
        <v>15</v>
      </c>
      <c r="C150" s="7">
        <v>15.99</v>
      </c>
      <c r="D150" s="5" t="s">
        <v>295</v>
      </c>
    </row>
    <row r="151" spans="1:4" x14ac:dyDescent="0.3">
      <c r="A151" s="4" t="s">
        <v>420</v>
      </c>
      <c r="B151" s="7">
        <v>15</v>
      </c>
      <c r="C151" s="7">
        <v>15.99</v>
      </c>
      <c r="D151" s="5" t="s">
        <v>295</v>
      </c>
    </row>
    <row r="152" spans="1:4" x14ac:dyDescent="0.3">
      <c r="A152" s="6" t="s">
        <v>421</v>
      </c>
      <c r="B152" s="6"/>
      <c r="C152" s="6"/>
      <c r="D152" s="6"/>
    </row>
    <row r="153" spans="1:4" x14ac:dyDescent="0.3">
      <c r="A153" s="4" t="s">
        <v>422</v>
      </c>
      <c r="B153" s="7">
        <v>29.9</v>
      </c>
      <c r="C153" s="7">
        <v>29.9</v>
      </c>
      <c r="D153" s="5" t="s">
        <v>294</v>
      </c>
    </row>
    <row r="154" spans="1:4" x14ac:dyDescent="0.3">
      <c r="A154" s="4" t="s">
        <v>423</v>
      </c>
      <c r="B154" s="7">
        <v>15</v>
      </c>
      <c r="C154" s="7">
        <v>15</v>
      </c>
      <c r="D154" s="5" t="s">
        <v>294</v>
      </c>
    </row>
    <row r="155" spans="1:4" x14ac:dyDescent="0.3">
      <c r="A155" s="4" t="s">
        <v>424</v>
      </c>
      <c r="B155" s="7">
        <v>13</v>
      </c>
      <c r="C155" s="7">
        <v>13.99</v>
      </c>
      <c r="D155" s="5" t="s">
        <v>295</v>
      </c>
    </row>
    <row r="156" spans="1:4" x14ac:dyDescent="0.3">
      <c r="A156" s="4" t="s">
        <v>425</v>
      </c>
      <c r="B156" s="7">
        <v>13</v>
      </c>
      <c r="C156" s="7">
        <v>13.99</v>
      </c>
      <c r="D156" s="5" t="s">
        <v>295</v>
      </c>
    </row>
    <row r="157" spans="1:4" x14ac:dyDescent="0.3">
      <c r="A157" s="4" t="s">
        <v>426</v>
      </c>
      <c r="B157" s="7">
        <v>13</v>
      </c>
      <c r="C157" s="7">
        <v>13.99</v>
      </c>
      <c r="D157" s="5" t="s">
        <v>295</v>
      </c>
    </row>
    <row r="158" spans="1:4" x14ac:dyDescent="0.3">
      <c r="A158" s="4" t="s">
        <v>427</v>
      </c>
      <c r="B158" s="7">
        <v>13</v>
      </c>
      <c r="C158" s="7">
        <v>13.99</v>
      </c>
      <c r="D158" s="5" t="s">
        <v>295</v>
      </c>
    </row>
    <row r="159" spans="1:4" x14ac:dyDescent="0.3">
      <c r="A159" s="6" t="s">
        <v>428</v>
      </c>
      <c r="B159" s="6"/>
      <c r="C159" s="6"/>
      <c r="D159" s="6"/>
    </row>
    <row r="160" spans="1:4" x14ac:dyDescent="0.3">
      <c r="A160" s="4" t="s">
        <v>429</v>
      </c>
      <c r="B160" s="7">
        <v>17</v>
      </c>
      <c r="C160" s="7">
        <v>17</v>
      </c>
      <c r="D160" s="5" t="s">
        <v>294</v>
      </c>
    </row>
    <row r="161" spans="1:4" x14ac:dyDescent="0.3">
      <c r="A161" s="4" t="s">
        <v>430</v>
      </c>
      <c r="B161" s="7">
        <v>17</v>
      </c>
      <c r="C161" s="7">
        <v>17</v>
      </c>
      <c r="D161" s="5" t="s">
        <v>294</v>
      </c>
    </row>
    <row r="162" spans="1:4" x14ac:dyDescent="0.3">
      <c r="A162" s="4" t="s">
        <v>431</v>
      </c>
      <c r="B162" s="7">
        <v>13</v>
      </c>
      <c r="C162" s="7">
        <v>13.99</v>
      </c>
      <c r="D162" s="5" t="s">
        <v>295</v>
      </c>
    </row>
    <row r="163" spans="1:4" x14ac:dyDescent="0.3">
      <c r="A163" s="4" t="s">
        <v>432</v>
      </c>
      <c r="B163" s="7">
        <v>10</v>
      </c>
      <c r="C163" s="7">
        <v>10.99</v>
      </c>
      <c r="D163" s="5" t="s">
        <v>295</v>
      </c>
    </row>
    <row r="164" spans="1:4" x14ac:dyDescent="0.3">
      <c r="A164" s="4" t="s">
        <v>433</v>
      </c>
      <c r="B164" s="7">
        <v>8</v>
      </c>
      <c r="C164" s="7">
        <v>8.99</v>
      </c>
      <c r="D164" s="5" t="s">
        <v>295</v>
      </c>
    </row>
    <row r="165" spans="1:4" x14ac:dyDescent="0.3">
      <c r="A165" s="4" t="s">
        <v>434</v>
      </c>
      <c r="B165" s="7">
        <v>10</v>
      </c>
      <c r="C165" s="7">
        <v>10.99</v>
      </c>
      <c r="D165" s="5" t="s">
        <v>295</v>
      </c>
    </row>
    <row r="166" spans="1:4" x14ac:dyDescent="0.3">
      <c r="A166" s="4" t="s">
        <v>435</v>
      </c>
      <c r="B166" s="7">
        <v>13</v>
      </c>
      <c r="C166" s="7">
        <v>13.99</v>
      </c>
      <c r="D166" s="5" t="s">
        <v>295</v>
      </c>
    </row>
    <row r="167" spans="1:4" x14ac:dyDescent="0.3">
      <c r="A167" s="4" t="s">
        <v>436</v>
      </c>
      <c r="B167" s="7">
        <v>10</v>
      </c>
      <c r="C167" s="7">
        <v>10.99</v>
      </c>
      <c r="D167" s="5" t="s">
        <v>295</v>
      </c>
    </row>
    <row r="168" spans="1:4" x14ac:dyDescent="0.3">
      <c r="A168" s="4" t="s">
        <v>437</v>
      </c>
      <c r="B168" s="7">
        <v>12</v>
      </c>
      <c r="C168" s="7">
        <v>12.99</v>
      </c>
      <c r="D168" s="5" t="s">
        <v>295</v>
      </c>
    </row>
    <row r="169" spans="1:4" x14ac:dyDescent="0.3">
      <c r="A169" s="4" t="s">
        <v>438</v>
      </c>
      <c r="B169" s="7">
        <v>12</v>
      </c>
      <c r="C169" s="7">
        <v>12.99</v>
      </c>
      <c r="D169" s="5" t="s">
        <v>295</v>
      </c>
    </row>
    <row r="170" spans="1:4" x14ac:dyDescent="0.3">
      <c r="A170" s="4" t="s">
        <v>439</v>
      </c>
      <c r="B170" s="7">
        <v>14</v>
      </c>
      <c r="C170" s="7">
        <v>14.99</v>
      </c>
      <c r="D170" s="5" t="s">
        <v>295</v>
      </c>
    </row>
    <row r="171" spans="1:4" x14ac:dyDescent="0.3">
      <c r="A171" s="4" t="s">
        <v>440</v>
      </c>
      <c r="B171" s="7">
        <v>12</v>
      </c>
      <c r="C171" s="7">
        <v>12.99</v>
      </c>
      <c r="D171" s="5" t="s">
        <v>295</v>
      </c>
    </row>
    <row r="172" spans="1:4" x14ac:dyDescent="0.3">
      <c r="A172" s="4" t="s">
        <v>441</v>
      </c>
      <c r="B172" s="7">
        <v>14</v>
      </c>
      <c r="C172" s="7">
        <v>14.99</v>
      </c>
      <c r="D172" s="5" t="s">
        <v>295</v>
      </c>
    </row>
    <row r="173" spans="1:4" x14ac:dyDescent="0.3">
      <c r="A173" s="4" t="s">
        <v>442</v>
      </c>
      <c r="B173" s="7">
        <v>13</v>
      </c>
      <c r="C173" s="7">
        <v>13.99</v>
      </c>
      <c r="D173" s="5" t="s">
        <v>295</v>
      </c>
    </row>
    <row r="174" spans="1:4" x14ac:dyDescent="0.3">
      <c r="A174" s="4" t="s">
        <v>443</v>
      </c>
      <c r="B174" s="7">
        <v>15</v>
      </c>
      <c r="C174" s="7">
        <v>15.99</v>
      </c>
      <c r="D174" s="5" t="s">
        <v>295</v>
      </c>
    </row>
    <row r="175" spans="1:4" x14ac:dyDescent="0.3">
      <c r="A175" s="4" t="s">
        <v>444</v>
      </c>
      <c r="B175" s="7">
        <v>13</v>
      </c>
      <c r="C175" s="7">
        <v>13.99</v>
      </c>
      <c r="D175" s="5" t="s">
        <v>295</v>
      </c>
    </row>
    <row r="176" spans="1:4" x14ac:dyDescent="0.3">
      <c r="A176" s="4" t="s">
        <v>445</v>
      </c>
      <c r="B176" s="7">
        <v>15</v>
      </c>
      <c r="C176" s="7">
        <v>15.99</v>
      </c>
      <c r="D176" s="5" t="s">
        <v>295</v>
      </c>
    </row>
    <row r="177" spans="1:4" x14ac:dyDescent="0.3">
      <c r="A177" s="4" t="s">
        <v>446</v>
      </c>
      <c r="B177" s="7">
        <v>15</v>
      </c>
      <c r="C177" s="7">
        <v>15.99</v>
      </c>
      <c r="D177" s="5" t="s">
        <v>295</v>
      </c>
    </row>
    <row r="178" spans="1:4" x14ac:dyDescent="0.3">
      <c r="A178" s="4" t="s">
        <v>447</v>
      </c>
      <c r="B178" s="7">
        <v>3.5</v>
      </c>
      <c r="C178" s="7">
        <v>3.5</v>
      </c>
      <c r="D178" s="5" t="s">
        <v>294</v>
      </c>
    </row>
    <row r="179" spans="1:4" x14ac:dyDescent="0.3">
      <c r="A179" s="6" t="s">
        <v>448</v>
      </c>
      <c r="B179" s="6"/>
      <c r="C179" s="6"/>
      <c r="D179" s="6"/>
    </row>
    <row r="180" spans="1:4" x14ac:dyDescent="0.3">
      <c r="A180" s="4" t="s">
        <v>449</v>
      </c>
      <c r="B180" s="7">
        <v>17</v>
      </c>
      <c r="C180" s="7">
        <v>17</v>
      </c>
      <c r="D180" s="5" t="s">
        <v>294</v>
      </c>
    </row>
    <row r="181" spans="1:4" x14ac:dyDescent="0.3">
      <c r="A181" s="4" t="s">
        <v>450</v>
      </c>
      <c r="B181" s="7">
        <v>15</v>
      </c>
      <c r="C181" s="7">
        <v>15</v>
      </c>
      <c r="D181" s="5" t="s">
        <v>294</v>
      </c>
    </row>
    <row r="182" spans="1:4" x14ac:dyDescent="0.3">
      <c r="A182" s="4" t="s">
        <v>451</v>
      </c>
      <c r="B182" s="7">
        <v>17</v>
      </c>
      <c r="C182" s="7">
        <v>17</v>
      </c>
      <c r="D182" s="5" t="s">
        <v>294</v>
      </c>
    </row>
    <row r="183" spans="1:4" x14ac:dyDescent="0.3">
      <c r="A183" s="4" t="s">
        <v>452</v>
      </c>
      <c r="B183" s="7">
        <v>17</v>
      </c>
      <c r="C183" s="7">
        <v>17</v>
      </c>
      <c r="D183" s="5" t="s">
        <v>294</v>
      </c>
    </row>
    <row r="184" spans="1:4" x14ac:dyDescent="0.3">
      <c r="A184" s="4" t="s">
        <v>453</v>
      </c>
      <c r="B184" s="7">
        <v>15</v>
      </c>
      <c r="C184" s="7">
        <v>15</v>
      </c>
      <c r="D184" s="5" t="s">
        <v>294</v>
      </c>
    </row>
    <row r="185" spans="1:4" x14ac:dyDescent="0.3">
      <c r="A185" s="4" t="s">
        <v>454</v>
      </c>
      <c r="B185" s="7">
        <v>17</v>
      </c>
      <c r="C185" s="7">
        <v>17</v>
      </c>
      <c r="D185" s="5" t="s">
        <v>294</v>
      </c>
    </row>
    <row r="186" spans="1:4" x14ac:dyDescent="0.3">
      <c r="A186" s="4" t="s">
        <v>455</v>
      </c>
      <c r="B186" s="7">
        <v>17</v>
      </c>
      <c r="C186" s="7">
        <v>17</v>
      </c>
      <c r="D186" s="5" t="s">
        <v>294</v>
      </c>
    </row>
    <row r="187" spans="1:4" x14ac:dyDescent="0.3">
      <c r="A187" s="4" t="s">
        <v>456</v>
      </c>
      <c r="B187" s="7">
        <v>17</v>
      </c>
      <c r="C187" s="7">
        <v>17</v>
      </c>
      <c r="D187" s="5" t="s">
        <v>294</v>
      </c>
    </row>
    <row r="188" spans="1:4" x14ac:dyDescent="0.3">
      <c r="A188" s="4" t="s">
        <v>457</v>
      </c>
      <c r="B188" s="7">
        <v>17</v>
      </c>
      <c r="C188" s="7">
        <v>17</v>
      </c>
      <c r="D188" s="5" t="s">
        <v>294</v>
      </c>
    </row>
    <row r="189" spans="1:4" x14ac:dyDescent="0.3">
      <c r="A189" s="4" t="s">
        <v>458</v>
      </c>
      <c r="B189" s="7">
        <v>20</v>
      </c>
      <c r="C189" s="7">
        <v>20</v>
      </c>
      <c r="D189" s="5" t="s">
        <v>294</v>
      </c>
    </row>
    <row r="190" spans="1:4" x14ac:dyDescent="0.3">
      <c r="A190" s="4" t="s">
        <v>459</v>
      </c>
      <c r="B190" s="7">
        <v>20</v>
      </c>
      <c r="C190" s="7">
        <v>20</v>
      </c>
      <c r="D190" s="5" t="s">
        <v>294</v>
      </c>
    </row>
    <row r="191" spans="1:4" x14ac:dyDescent="0.3">
      <c r="A191" s="4" t="s">
        <v>460</v>
      </c>
      <c r="B191" s="7">
        <v>21</v>
      </c>
      <c r="C191" s="7">
        <v>21</v>
      </c>
      <c r="D191" s="5" t="s">
        <v>294</v>
      </c>
    </row>
    <row r="192" spans="1:4" x14ac:dyDescent="0.3">
      <c r="A192" s="6" t="s">
        <v>461</v>
      </c>
      <c r="B192" s="6"/>
      <c r="C192" s="6"/>
      <c r="D192" s="6"/>
    </row>
    <row r="193" spans="1:4" x14ac:dyDescent="0.3">
      <c r="A193" s="4" t="s">
        <v>155</v>
      </c>
      <c r="B193" s="7">
        <v>39</v>
      </c>
      <c r="C193" s="7">
        <v>39</v>
      </c>
      <c r="D193" s="5" t="s">
        <v>294</v>
      </c>
    </row>
    <row r="194" spans="1:4" x14ac:dyDescent="0.3">
      <c r="A194" s="4" t="s">
        <v>462</v>
      </c>
      <c r="B194" s="7">
        <v>39</v>
      </c>
      <c r="C194" s="7">
        <v>39</v>
      </c>
      <c r="D194" s="5" t="s">
        <v>294</v>
      </c>
    </row>
    <row r="195" spans="1:4" x14ac:dyDescent="0.3">
      <c r="A195" s="4" t="s">
        <v>463</v>
      </c>
      <c r="B195" s="7">
        <v>39</v>
      </c>
      <c r="C195" s="7">
        <v>39</v>
      </c>
      <c r="D195" s="5" t="s">
        <v>294</v>
      </c>
    </row>
    <row r="196" spans="1:4" x14ac:dyDescent="0.3">
      <c r="A196" s="4" t="s">
        <v>464</v>
      </c>
      <c r="B196" s="7">
        <v>20</v>
      </c>
      <c r="C196" s="7">
        <v>20</v>
      </c>
      <c r="D196" s="5" t="s">
        <v>294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59"/>
  <sheetViews>
    <sheetView topLeftCell="A4" workbookViewId="0">
      <selection activeCell="C157" sqref="C157:C159"/>
    </sheetView>
  </sheetViews>
  <sheetFormatPr defaultRowHeight="14.4" x14ac:dyDescent="0.3"/>
  <cols>
    <col min="1" max="1" width="38" customWidth="1"/>
    <col min="2" max="2" width="16" customWidth="1"/>
    <col min="3" max="3" width="18" customWidth="1"/>
    <col min="4" max="4" width="16" customWidth="1"/>
    <col min="5" max="5" width="14" customWidth="1"/>
    <col min="6" max="6" width="16" customWidth="1"/>
  </cols>
  <sheetData>
    <row r="1" spans="1:6" ht="17.399999999999999" x14ac:dyDescent="0.3">
      <c r="A1" s="19" t="s">
        <v>465</v>
      </c>
      <c r="B1" s="18"/>
      <c r="C1" s="18"/>
      <c r="D1" s="18"/>
      <c r="E1" s="18"/>
      <c r="F1" s="18"/>
    </row>
    <row r="2" spans="1:6" x14ac:dyDescent="0.3">
      <c r="A2" s="17" t="s">
        <v>466</v>
      </c>
      <c r="B2" s="18"/>
      <c r="C2" s="18"/>
      <c r="D2" s="18"/>
      <c r="E2" s="18"/>
      <c r="F2" s="18"/>
    </row>
    <row r="3" spans="1:6" x14ac:dyDescent="0.3">
      <c r="A3" s="2" t="s">
        <v>2</v>
      </c>
    </row>
    <row r="5" spans="1:6" ht="34.049999999999997" customHeight="1" x14ac:dyDescent="0.3">
      <c r="A5" s="3" t="s">
        <v>290</v>
      </c>
      <c r="B5" s="3" t="s">
        <v>467</v>
      </c>
      <c r="C5" s="3" t="s">
        <v>468</v>
      </c>
      <c r="D5" s="3" t="s">
        <v>469</v>
      </c>
      <c r="E5" s="3" t="s">
        <v>470</v>
      </c>
      <c r="F5" s="3" t="s">
        <v>8</v>
      </c>
    </row>
    <row r="6" spans="1:6" x14ac:dyDescent="0.3">
      <c r="A6" s="6" t="s">
        <v>471</v>
      </c>
      <c r="B6" s="6"/>
      <c r="C6" s="6"/>
      <c r="D6" s="6"/>
      <c r="E6" s="6"/>
      <c r="F6" s="6"/>
    </row>
    <row r="7" spans="1:6" x14ac:dyDescent="0.3">
      <c r="A7" s="4" t="s">
        <v>137</v>
      </c>
      <c r="B7" s="7">
        <v>10</v>
      </c>
      <c r="C7" s="7">
        <v>14.28571428571429</v>
      </c>
      <c r="D7" s="7">
        <v>10</v>
      </c>
      <c r="E7" s="5" t="s">
        <v>472</v>
      </c>
      <c r="F7" s="5" t="s">
        <v>294</v>
      </c>
    </row>
    <row r="8" spans="1:6" x14ac:dyDescent="0.3">
      <c r="A8" s="4" t="s">
        <v>101</v>
      </c>
      <c r="B8" s="7">
        <v>13</v>
      </c>
      <c r="C8" s="7">
        <v>19.271428571428569</v>
      </c>
      <c r="D8" s="7">
        <v>13.49</v>
      </c>
      <c r="E8" s="5" t="s">
        <v>472</v>
      </c>
      <c r="F8" s="5" t="s">
        <v>295</v>
      </c>
    </row>
    <row r="9" spans="1:6" x14ac:dyDescent="0.3">
      <c r="A9" s="4" t="s">
        <v>69</v>
      </c>
      <c r="B9" s="7">
        <v>13</v>
      </c>
      <c r="C9" s="5" t="s">
        <v>473</v>
      </c>
      <c r="D9" s="7">
        <v>13</v>
      </c>
      <c r="E9" s="5" t="s">
        <v>474</v>
      </c>
      <c r="F9" s="5" t="s">
        <v>294</v>
      </c>
    </row>
    <row r="10" spans="1:6" x14ac:dyDescent="0.3">
      <c r="A10" s="4" t="s">
        <v>475</v>
      </c>
      <c r="B10" s="7">
        <v>24.5</v>
      </c>
      <c r="C10" s="7">
        <v>36.414285714285711</v>
      </c>
      <c r="D10" s="7">
        <v>25.49</v>
      </c>
      <c r="E10" s="5" t="s">
        <v>472</v>
      </c>
      <c r="F10" s="5" t="s">
        <v>295</v>
      </c>
    </row>
    <row r="11" spans="1:6" x14ac:dyDescent="0.3">
      <c r="A11" s="4" t="s">
        <v>95</v>
      </c>
      <c r="B11" s="7">
        <v>25</v>
      </c>
      <c r="C11" s="7">
        <v>37.128571428571433</v>
      </c>
      <c r="D11" s="7">
        <v>25.99</v>
      </c>
      <c r="E11" s="5" t="s">
        <v>472</v>
      </c>
      <c r="F11" s="5" t="s">
        <v>295</v>
      </c>
    </row>
    <row r="12" spans="1:6" x14ac:dyDescent="0.3">
      <c r="A12" s="4" t="s">
        <v>142</v>
      </c>
      <c r="B12" s="7">
        <v>29</v>
      </c>
      <c r="C12" s="7">
        <v>42.842857142857142</v>
      </c>
      <c r="D12" s="7">
        <v>29.99</v>
      </c>
      <c r="E12" s="5" t="s">
        <v>472</v>
      </c>
      <c r="F12" s="5" t="s">
        <v>295</v>
      </c>
    </row>
    <row r="13" spans="1:6" x14ac:dyDescent="0.3">
      <c r="A13" s="4" t="s">
        <v>119</v>
      </c>
      <c r="B13" s="7">
        <v>16</v>
      </c>
      <c r="C13" s="7">
        <v>24.271428571428569</v>
      </c>
      <c r="D13" s="7">
        <v>16.989999999999998</v>
      </c>
      <c r="E13" s="5" t="s">
        <v>472</v>
      </c>
      <c r="F13" s="5" t="s">
        <v>295</v>
      </c>
    </row>
    <row r="14" spans="1:6" x14ac:dyDescent="0.3">
      <c r="A14" s="4" t="s">
        <v>113</v>
      </c>
      <c r="B14" s="7">
        <v>19</v>
      </c>
      <c r="C14" s="7">
        <v>28.55714285714286</v>
      </c>
      <c r="D14" s="7">
        <v>19.989999999999998</v>
      </c>
      <c r="E14" s="5" t="s">
        <v>472</v>
      </c>
      <c r="F14" s="5" t="s">
        <v>295</v>
      </c>
    </row>
    <row r="15" spans="1:6" x14ac:dyDescent="0.3">
      <c r="A15" s="4" t="s">
        <v>569</v>
      </c>
      <c r="B15" s="7">
        <v>30.5</v>
      </c>
      <c r="C15" s="7">
        <v>46.414285714285718</v>
      </c>
      <c r="D15" s="7">
        <v>32.49</v>
      </c>
      <c r="E15" s="5" t="s">
        <v>472</v>
      </c>
      <c r="F15" s="5" t="s">
        <v>295</v>
      </c>
    </row>
    <row r="16" spans="1:6" x14ac:dyDescent="0.3">
      <c r="A16" s="4" t="s">
        <v>79</v>
      </c>
      <c r="B16" s="7">
        <v>19</v>
      </c>
      <c r="C16" s="5" t="s">
        <v>473</v>
      </c>
      <c r="D16" s="7">
        <v>19</v>
      </c>
      <c r="E16" s="5" t="s">
        <v>474</v>
      </c>
      <c r="F16" s="5" t="s">
        <v>294</v>
      </c>
    </row>
    <row r="17" spans="1:6" x14ac:dyDescent="0.3">
      <c r="A17" s="4" t="s">
        <v>107</v>
      </c>
      <c r="B17" s="7">
        <v>31</v>
      </c>
      <c r="C17" s="7">
        <v>47.128571428571433</v>
      </c>
      <c r="D17" s="7">
        <v>32.99</v>
      </c>
      <c r="E17" s="5" t="s">
        <v>472</v>
      </c>
      <c r="F17" s="5" t="s">
        <v>295</v>
      </c>
    </row>
    <row r="18" spans="1:6" x14ac:dyDescent="0.3">
      <c r="A18" s="4" t="s">
        <v>125</v>
      </c>
      <c r="B18" s="7">
        <v>35</v>
      </c>
      <c r="C18" s="7">
        <v>52.842857142857149</v>
      </c>
      <c r="D18" s="7">
        <v>36.99</v>
      </c>
      <c r="E18" s="5" t="s">
        <v>472</v>
      </c>
      <c r="F18" s="5" t="s">
        <v>295</v>
      </c>
    </row>
    <row r="19" spans="1:6" x14ac:dyDescent="0.3">
      <c r="A19" s="6" t="s">
        <v>476</v>
      </c>
      <c r="B19" s="6"/>
      <c r="C19" s="6"/>
      <c r="D19" s="6"/>
      <c r="E19" s="6"/>
      <c r="F19" s="6"/>
    </row>
    <row r="20" spans="1:6" x14ac:dyDescent="0.3">
      <c r="A20" s="4" t="s">
        <v>85</v>
      </c>
      <c r="B20" s="7">
        <v>25</v>
      </c>
      <c r="C20" s="5" t="s">
        <v>473</v>
      </c>
      <c r="D20" s="7">
        <v>25</v>
      </c>
      <c r="E20" s="5" t="s">
        <v>474</v>
      </c>
      <c r="F20" s="5" t="s">
        <v>294</v>
      </c>
    </row>
    <row r="21" spans="1:6" x14ac:dyDescent="0.3">
      <c r="A21" s="6" t="s">
        <v>477</v>
      </c>
      <c r="B21" s="6"/>
      <c r="C21" s="6"/>
      <c r="D21" s="6"/>
      <c r="E21" s="6"/>
      <c r="F21" s="6"/>
    </row>
    <row r="22" spans="1:6" ht="22.8" x14ac:dyDescent="0.3">
      <c r="A22" s="4" t="s">
        <v>91</v>
      </c>
      <c r="B22" s="7">
        <v>25</v>
      </c>
      <c r="C22" s="5" t="s">
        <v>473</v>
      </c>
      <c r="D22" s="7">
        <f>25+2.99</f>
        <v>27.990000000000002</v>
      </c>
      <c r="E22" s="5" t="s">
        <v>474</v>
      </c>
      <c r="F22" s="5" t="s">
        <v>295</v>
      </c>
    </row>
    <row r="23" spans="1:6" ht="22.8" x14ac:dyDescent="0.3">
      <c r="A23" s="4" t="s">
        <v>312</v>
      </c>
      <c r="B23" s="7">
        <v>28</v>
      </c>
      <c r="C23" s="5" t="s">
        <v>473</v>
      </c>
      <c r="D23" s="7">
        <v>28.99</v>
      </c>
      <c r="E23" s="5" t="s">
        <v>474</v>
      </c>
      <c r="F23" s="5" t="s">
        <v>295</v>
      </c>
    </row>
    <row r="24" spans="1:6" ht="22.8" x14ac:dyDescent="0.3">
      <c r="A24" s="4" t="s">
        <v>223</v>
      </c>
      <c r="B24" s="7">
        <v>28</v>
      </c>
      <c r="C24" s="5" t="s">
        <v>473</v>
      </c>
      <c r="D24" s="7">
        <v>28.99</v>
      </c>
      <c r="E24" s="5" t="s">
        <v>474</v>
      </c>
      <c r="F24" s="5" t="s">
        <v>295</v>
      </c>
    </row>
    <row r="25" spans="1:6" x14ac:dyDescent="0.3">
      <c r="A25" s="6" t="s">
        <v>478</v>
      </c>
      <c r="B25" s="6"/>
      <c r="C25" s="6"/>
      <c r="D25" s="6"/>
      <c r="E25" s="6"/>
      <c r="F25" s="6"/>
    </row>
    <row r="26" spans="1:6" x14ac:dyDescent="0.3">
      <c r="A26" s="4" t="s">
        <v>302</v>
      </c>
      <c r="B26" s="7">
        <v>10</v>
      </c>
      <c r="C26" s="7">
        <v>14.28571428571429</v>
      </c>
      <c r="D26" s="7">
        <v>10</v>
      </c>
      <c r="E26" s="5" t="s">
        <v>472</v>
      </c>
      <c r="F26" s="5" t="s">
        <v>294</v>
      </c>
    </row>
    <row r="27" spans="1:6" x14ac:dyDescent="0.3">
      <c r="A27" s="4" t="s">
        <v>303</v>
      </c>
      <c r="B27" s="7">
        <v>18</v>
      </c>
      <c r="C27" s="7">
        <v>26.414285714285711</v>
      </c>
      <c r="D27" s="7">
        <v>18.489999999999998</v>
      </c>
      <c r="E27" s="5" t="s">
        <v>472</v>
      </c>
      <c r="F27" s="5" t="s">
        <v>295</v>
      </c>
    </row>
    <row r="28" spans="1:6" x14ac:dyDescent="0.3">
      <c r="A28" s="4" t="s">
        <v>209</v>
      </c>
      <c r="B28" s="7">
        <v>28</v>
      </c>
      <c r="C28" s="7">
        <v>42.128571428571433</v>
      </c>
      <c r="D28" s="7">
        <v>29.49</v>
      </c>
      <c r="E28" s="5" t="s">
        <v>472</v>
      </c>
      <c r="F28" s="5" t="s">
        <v>295</v>
      </c>
    </row>
    <row r="29" spans="1:6" x14ac:dyDescent="0.3">
      <c r="A29" s="4" t="s">
        <v>216</v>
      </c>
      <c r="B29" s="7">
        <v>28</v>
      </c>
      <c r="C29" s="7">
        <v>41.414285714285718</v>
      </c>
      <c r="D29" s="7">
        <v>28.99</v>
      </c>
      <c r="E29" s="5" t="s">
        <v>472</v>
      </c>
      <c r="F29" s="5" t="s">
        <v>295</v>
      </c>
    </row>
    <row r="30" spans="1:6" x14ac:dyDescent="0.3">
      <c r="A30" s="4" t="s">
        <v>479</v>
      </c>
      <c r="B30" s="7">
        <v>28</v>
      </c>
      <c r="C30" s="7">
        <v>41.414285714285718</v>
      </c>
      <c r="D30" s="7">
        <v>28.99</v>
      </c>
      <c r="E30" s="5" t="s">
        <v>472</v>
      </c>
      <c r="F30" s="5" t="s">
        <v>295</v>
      </c>
    </row>
    <row r="31" spans="1:6" x14ac:dyDescent="0.3">
      <c r="A31" s="4" t="s">
        <v>305</v>
      </c>
      <c r="B31" s="7">
        <v>16</v>
      </c>
      <c r="C31" s="7">
        <v>23.55714285714286</v>
      </c>
      <c r="D31" s="7">
        <v>16.489999999999998</v>
      </c>
      <c r="E31" s="5" t="s">
        <v>472</v>
      </c>
      <c r="F31" s="5" t="s">
        <v>295</v>
      </c>
    </row>
    <row r="32" spans="1:6" x14ac:dyDescent="0.3">
      <c r="A32" s="4" t="s">
        <v>306</v>
      </c>
      <c r="B32" s="7">
        <v>21</v>
      </c>
      <c r="C32" s="7">
        <v>31.414285714285711</v>
      </c>
      <c r="D32" s="7">
        <v>21.99</v>
      </c>
      <c r="E32" s="5" t="s">
        <v>472</v>
      </c>
      <c r="F32" s="5" t="s">
        <v>295</v>
      </c>
    </row>
    <row r="33" spans="1:6" x14ac:dyDescent="0.3">
      <c r="A33" s="4" t="s">
        <v>480</v>
      </c>
      <c r="B33" s="7" t="s">
        <v>139</v>
      </c>
      <c r="C33" s="7">
        <v>25.7</v>
      </c>
      <c r="D33" s="7">
        <v>17.989999999999998</v>
      </c>
      <c r="E33" s="5" t="s">
        <v>472</v>
      </c>
      <c r="F33" s="68" t="s">
        <v>240</v>
      </c>
    </row>
    <row r="34" spans="1:6" x14ac:dyDescent="0.3">
      <c r="A34" s="4" t="s">
        <v>299</v>
      </c>
      <c r="B34" s="7" t="s">
        <v>139</v>
      </c>
      <c r="C34" s="7">
        <v>25.7</v>
      </c>
      <c r="D34" s="7">
        <v>17.989999999999998</v>
      </c>
      <c r="E34" s="5" t="s">
        <v>472</v>
      </c>
      <c r="F34" s="68" t="s">
        <v>240</v>
      </c>
    </row>
    <row r="35" spans="1:6" x14ac:dyDescent="0.3">
      <c r="A35" s="4" t="s">
        <v>300</v>
      </c>
      <c r="B35" s="7" t="s">
        <v>139</v>
      </c>
      <c r="C35" s="7">
        <v>25.7</v>
      </c>
      <c r="D35" s="7">
        <v>17.989999999999998</v>
      </c>
      <c r="E35" s="5" t="s">
        <v>472</v>
      </c>
      <c r="F35" s="68" t="s">
        <v>240</v>
      </c>
    </row>
    <row r="36" spans="1:6" x14ac:dyDescent="0.3">
      <c r="A36" s="6" t="s">
        <v>481</v>
      </c>
      <c r="B36" s="6"/>
      <c r="C36" s="6"/>
      <c r="D36" s="6"/>
      <c r="E36" s="6"/>
      <c r="F36" s="6"/>
    </row>
    <row r="37" spans="1:6" x14ac:dyDescent="0.3">
      <c r="A37" s="4" t="s">
        <v>314</v>
      </c>
      <c r="B37" s="7">
        <v>20</v>
      </c>
      <c r="C37" s="7">
        <v>28.571428571428569</v>
      </c>
      <c r="D37" s="7">
        <v>20</v>
      </c>
      <c r="E37" s="5" t="s">
        <v>472</v>
      </c>
      <c r="F37" s="5" t="s">
        <v>295</v>
      </c>
    </row>
    <row r="38" spans="1:6" x14ac:dyDescent="0.3">
      <c r="A38" s="4" t="s">
        <v>315</v>
      </c>
      <c r="B38" s="7">
        <v>20</v>
      </c>
      <c r="C38" s="7">
        <v>28.571428571428569</v>
      </c>
      <c r="D38" s="7">
        <v>20</v>
      </c>
      <c r="E38" s="5" t="s">
        <v>472</v>
      </c>
      <c r="F38" s="5" t="s">
        <v>295</v>
      </c>
    </row>
    <row r="39" spans="1:6" x14ac:dyDescent="0.3">
      <c r="A39" s="4" t="s">
        <v>316</v>
      </c>
      <c r="B39" s="7">
        <v>20</v>
      </c>
      <c r="C39" s="7">
        <v>28.571428571428569</v>
      </c>
      <c r="D39" s="7">
        <v>20</v>
      </c>
      <c r="E39" s="5" t="s">
        <v>472</v>
      </c>
      <c r="F39" s="5" t="s">
        <v>295</v>
      </c>
    </row>
    <row r="40" spans="1:6" x14ac:dyDescent="0.3">
      <c r="A40" s="4" t="s">
        <v>317</v>
      </c>
      <c r="B40" s="7">
        <v>20</v>
      </c>
      <c r="C40" s="7">
        <v>28.571428571428569</v>
      </c>
      <c r="D40" s="7">
        <v>20</v>
      </c>
      <c r="E40" s="5" t="s">
        <v>472</v>
      </c>
      <c r="F40" s="5" t="s">
        <v>295</v>
      </c>
    </row>
    <row r="41" spans="1:6" x14ac:dyDescent="0.3">
      <c r="A41" s="4" t="s">
        <v>318</v>
      </c>
      <c r="B41" s="7">
        <v>23</v>
      </c>
      <c r="C41" s="7">
        <v>32.857142857142861</v>
      </c>
      <c r="D41" s="7">
        <v>23</v>
      </c>
      <c r="E41" s="5" t="s">
        <v>472</v>
      </c>
      <c r="F41" s="5" t="s">
        <v>295</v>
      </c>
    </row>
    <row r="42" spans="1:6" x14ac:dyDescent="0.3">
      <c r="A42" s="6" t="s">
        <v>482</v>
      </c>
      <c r="B42" s="6"/>
      <c r="C42" s="6"/>
      <c r="D42" s="6"/>
      <c r="E42" s="6"/>
      <c r="F42" s="6"/>
    </row>
    <row r="43" spans="1:6" x14ac:dyDescent="0.3">
      <c r="A43" s="4" t="s">
        <v>309</v>
      </c>
      <c r="B43" s="7">
        <v>28</v>
      </c>
      <c r="C43" s="7">
        <v>41.414285714285718</v>
      </c>
      <c r="D43" s="7">
        <v>28.99</v>
      </c>
      <c r="E43" s="5" t="s">
        <v>472</v>
      </c>
      <c r="F43" s="5" t="s">
        <v>295</v>
      </c>
    </row>
    <row r="44" spans="1:6" x14ac:dyDescent="0.3">
      <c r="A44" s="4" t="s">
        <v>310</v>
      </c>
      <c r="B44" s="7">
        <v>23</v>
      </c>
      <c r="C44" s="7">
        <v>34.271428571428572</v>
      </c>
      <c r="D44" s="7">
        <v>23.99</v>
      </c>
      <c r="E44" s="5" t="s">
        <v>472</v>
      </c>
      <c r="F44" s="5" t="s">
        <v>295</v>
      </c>
    </row>
    <row r="45" spans="1:6" x14ac:dyDescent="0.3">
      <c r="A45" s="4" t="s">
        <v>338</v>
      </c>
      <c r="B45" s="7">
        <v>16.5</v>
      </c>
      <c r="C45" s="5"/>
      <c r="D45" s="7">
        <v>16.5</v>
      </c>
      <c r="E45" s="5" t="s">
        <v>474</v>
      </c>
      <c r="F45" s="5" t="s">
        <v>294</v>
      </c>
    </row>
    <row r="46" spans="1:6" x14ac:dyDescent="0.3">
      <c r="A46" s="4" t="s">
        <v>339</v>
      </c>
      <c r="B46" s="7">
        <v>10</v>
      </c>
      <c r="C46" s="5"/>
      <c r="D46" s="7">
        <v>10.25</v>
      </c>
      <c r="E46" s="5" t="s">
        <v>474</v>
      </c>
      <c r="F46" s="5" t="s">
        <v>295</v>
      </c>
    </row>
    <row r="47" spans="1:6" x14ac:dyDescent="0.3">
      <c r="A47" s="6" t="s">
        <v>483</v>
      </c>
      <c r="B47" s="6"/>
      <c r="C47" s="6"/>
      <c r="D47" s="6"/>
      <c r="E47" s="6"/>
      <c r="F47" s="6"/>
    </row>
    <row r="48" spans="1:6" x14ac:dyDescent="0.3">
      <c r="A48" s="4" t="s">
        <v>320</v>
      </c>
      <c r="B48" s="7">
        <v>12</v>
      </c>
      <c r="C48" s="7">
        <v>17.857142857142861</v>
      </c>
      <c r="D48" s="7">
        <v>12.5</v>
      </c>
      <c r="E48" s="5" t="s">
        <v>472</v>
      </c>
      <c r="F48" s="5" t="s">
        <v>295</v>
      </c>
    </row>
    <row r="49" spans="1:6" x14ac:dyDescent="0.3">
      <c r="A49" s="4" t="s">
        <v>321</v>
      </c>
      <c r="B49" s="7">
        <v>19</v>
      </c>
      <c r="C49" s="7">
        <v>27.857142857142861</v>
      </c>
      <c r="D49" s="7">
        <v>19.5</v>
      </c>
      <c r="E49" s="5" t="s">
        <v>472</v>
      </c>
      <c r="F49" s="5" t="s">
        <v>295</v>
      </c>
    </row>
    <row r="50" spans="1:6" x14ac:dyDescent="0.3">
      <c r="A50" s="4" t="s">
        <v>322</v>
      </c>
      <c r="B50" s="7">
        <v>26</v>
      </c>
      <c r="C50" s="7">
        <v>37.857142857142861</v>
      </c>
      <c r="D50" s="7">
        <v>26.5</v>
      </c>
      <c r="E50" s="5" t="s">
        <v>472</v>
      </c>
      <c r="F50" s="5" t="s">
        <v>295</v>
      </c>
    </row>
    <row r="51" spans="1:6" x14ac:dyDescent="0.3">
      <c r="A51" s="4" t="s">
        <v>323</v>
      </c>
      <c r="B51" s="7">
        <v>17</v>
      </c>
      <c r="C51" s="7">
        <v>25</v>
      </c>
      <c r="D51" s="7">
        <v>17.5</v>
      </c>
      <c r="E51" s="5" t="s">
        <v>472</v>
      </c>
      <c r="F51" s="5" t="s">
        <v>295</v>
      </c>
    </row>
    <row r="52" spans="1:6" x14ac:dyDescent="0.3">
      <c r="A52" s="4" t="s">
        <v>324</v>
      </c>
      <c r="B52" s="7">
        <v>27.5</v>
      </c>
      <c r="C52" s="7">
        <v>40</v>
      </c>
      <c r="D52" s="7">
        <v>28</v>
      </c>
      <c r="E52" s="5" t="s">
        <v>472</v>
      </c>
      <c r="F52" s="5" t="s">
        <v>295</v>
      </c>
    </row>
    <row r="53" spans="1:6" x14ac:dyDescent="0.3">
      <c r="A53" s="4" t="s">
        <v>325</v>
      </c>
      <c r="B53" s="7">
        <v>30.5</v>
      </c>
      <c r="C53" s="7">
        <v>44.285714285714292</v>
      </c>
      <c r="D53" s="7">
        <v>31</v>
      </c>
      <c r="E53" s="5" t="s">
        <v>472</v>
      </c>
      <c r="F53" s="5" t="s">
        <v>295</v>
      </c>
    </row>
    <row r="54" spans="1:6" x14ac:dyDescent="0.3">
      <c r="A54" s="4" t="s">
        <v>326</v>
      </c>
      <c r="B54" s="7">
        <v>36</v>
      </c>
      <c r="C54" s="7">
        <v>52.142857142857153</v>
      </c>
      <c r="D54" s="7">
        <v>36.5</v>
      </c>
      <c r="E54" s="5" t="s">
        <v>472</v>
      </c>
      <c r="F54" s="5" t="s">
        <v>295</v>
      </c>
    </row>
    <row r="55" spans="1:6" x14ac:dyDescent="0.3">
      <c r="A55" s="4" t="s">
        <v>327</v>
      </c>
      <c r="B55" s="7">
        <v>17</v>
      </c>
      <c r="C55" s="7">
        <v>25</v>
      </c>
      <c r="D55" s="7">
        <v>17.5</v>
      </c>
      <c r="E55" s="5" t="s">
        <v>472</v>
      </c>
      <c r="F55" s="5" t="s">
        <v>295</v>
      </c>
    </row>
    <row r="56" spans="1:6" x14ac:dyDescent="0.3">
      <c r="A56" s="4" t="s">
        <v>328</v>
      </c>
      <c r="B56" s="7">
        <v>27.5</v>
      </c>
      <c r="C56" s="7">
        <v>40</v>
      </c>
      <c r="D56" s="7">
        <v>28</v>
      </c>
      <c r="E56" s="5" t="s">
        <v>472</v>
      </c>
      <c r="F56" s="5" t="s">
        <v>295</v>
      </c>
    </row>
    <row r="57" spans="1:6" x14ac:dyDescent="0.3">
      <c r="A57" s="4" t="s">
        <v>329</v>
      </c>
      <c r="B57" s="7">
        <v>30.5</v>
      </c>
      <c r="C57" s="7">
        <v>44.285714285714292</v>
      </c>
      <c r="D57" s="7">
        <v>31</v>
      </c>
      <c r="E57" s="5" t="s">
        <v>472</v>
      </c>
      <c r="F57" s="5" t="s">
        <v>295</v>
      </c>
    </row>
    <row r="58" spans="1:6" x14ac:dyDescent="0.3">
      <c r="A58" s="4" t="s">
        <v>330</v>
      </c>
      <c r="B58" s="7">
        <v>36</v>
      </c>
      <c r="C58" s="7">
        <v>52.142857142857153</v>
      </c>
      <c r="D58" s="7">
        <v>36.5</v>
      </c>
      <c r="E58" s="5" t="s">
        <v>472</v>
      </c>
      <c r="F58" s="5" t="s">
        <v>295</v>
      </c>
    </row>
    <row r="59" spans="1:6" x14ac:dyDescent="0.3">
      <c r="A59" s="4" t="s">
        <v>10</v>
      </c>
      <c r="B59" s="7">
        <v>20.5</v>
      </c>
      <c r="C59" s="7">
        <v>30</v>
      </c>
      <c r="D59" s="7">
        <v>21</v>
      </c>
      <c r="E59" s="5" t="s">
        <v>472</v>
      </c>
      <c r="F59" s="5" t="s">
        <v>295</v>
      </c>
    </row>
    <row r="60" spans="1:6" x14ac:dyDescent="0.3">
      <c r="A60" s="4" t="s">
        <v>21</v>
      </c>
      <c r="B60" s="7">
        <v>28</v>
      </c>
      <c r="C60" s="7">
        <v>40.714285714285722</v>
      </c>
      <c r="D60" s="7">
        <v>28.5</v>
      </c>
      <c r="E60" s="5" t="s">
        <v>472</v>
      </c>
      <c r="F60" s="5" t="s">
        <v>295</v>
      </c>
    </row>
    <row r="61" spans="1:6" x14ac:dyDescent="0.3">
      <c r="A61" s="4" t="s">
        <v>29</v>
      </c>
      <c r="B61" s="7">
        <v>34</v>
      </c>
      <c r="C61" s="7">
        <v>49.285714285714292</v>
      </c>
      <c r="D61" s="7">
        <v>34.5</v>
      </c>
      <c r="E61" s="5" t="s">
        <v>472</v>
      </c>
      <c r="F61" s="5" t="s">
        <v>295</v>
      </c>
    </row>
    <row r="62" spans="1:6" x14ac:dyDescent="0.3">
      <c r="A62" s="4" t="s">
        <v>37</v>
      </c>
      <c r="B62" s="7">
        <v>120</v>
      </c>
      <c r="C62" s="5" t="s">
        <v>473</v>
      </c>
      <c r="D62" s="7">
        <v>121.24</v>
      </c>
      <c r="E62" s="5" t="s">
        <v>474</v>
      </c>
      <c r="F62" s="5" t="s">
        <v>295</v>
      </c>
    </row>
    <row r="63" spans="1:6" x14ac:dyDescent="0.3">
      <c r="A63" s="4" t="s">
        <v>45</v>
      </c>
      <c r="B63" s="7">
        <v>120</v>
      </c>
      <c r="C63" s="5" t="s">
        <v>473</v>
      </c>
      <c r="D63" s="7">
        <v>121.24</v>
      </c>
      <c r="E63" s="5" t="s">
        <v>474</v>
      </c>
      <c r="F63" s="5" t="s">
        <v>295</v>
      </c>
    </row>
    <row r="64" spans="1:6" x14ac:dyDescent="0.3">
      <c r="A64" s="4" t="s">
        <v>53</v>
      </c>
      <c r="B64" s="7">
        <v>120</v>
      </c>
      <c r="C64" s="5" t="s">
        <v>473</v>
      </c>
      <c r="D64" s="7">
        <v>121.24</v>
      </c>
      <c r="E64" s="5" t="s">
        <v>474</v>
      </c>
      <c r="F64" s="5" t="s">
        <v>295</v>
      </c>
    </row>
    <row r="65" spans="1:6" x14ac:dyDescent="0.3">
      <c r="A65" s="4" t="s">
        <v>331</v>
      </c>
      <c r="B65" s="7">
        <v>7</v>
      </c>
      <c r="C65" s="5"/>
      <c r="D65" s="7">
        <v>7</v>
      </c>
      <c r="E65" s="5" t="s">
        <v>474</v>
      </c>
      <c r="F65" s="5" t="s">
        <v>294</v>
      </c>
    </row>
    <row r="66" spans="1:6" x14ac:dyDescent="0.3">
      <c r="A66" s="6" t="s">
        <v>484</v>
      </c>
      <c r="B66" s="6"/>
      <c r="C66" s="6"/>
      <c r="D66" s="6"/>
      <c r="E66" s="6"/>
      <c r="F66" s="6"/>
    </row>
    <row r="67" spans="1:6" x14ac:dyDescent="0.3">
      <c r="A67" s="4" t="s">
        <v>334</v>
      </c>
      <c r="B67" s="7">
        <v>13.65</v>
      </c>
      <c r="C67" s="7">
        <v>19.857142857142861</v>
      </c>
      <c r="D67" s="7">
        <v>13.9</v>
      </c>
      <c r="E67" s="5" t="s">
        <v>472</v>
      </c>
      <c r="F67" s="5" t="s">
        <v>295</v>
      </c>
    </row>
    <row r="68" spans="1:6" x14ac:dyDescent="0.3">
      <c r="A68" s="4" t="s">
        <v>485</v>
      </c>
      <c r="B68" s="7">
        <v>13.99</v>
      </c>
      <c r="C68" s="5"/>
      <c r="D68" s="7">
        <v>14.24</v>
      </c>
      <c r="E68" s="5" t="s">
        <v>474</v>
      </c>
      <c r="F68" s="5" t="s">
        <v>295</v>
      </c>
    </row>
    <row r="69" spans="1:6" x14ac:dyDescent="0.3">
      <c r="A69" s="4" t="s">
        <v>486</v>
      </c>
      <c r="B69" s="7">
        <v>15.99</v>
      </c>
      <c r="C69" s="5"/>
      <c r="D69" s="7">
        <v>16.239999999999998</v>
      </c>
      <c r="E69" s="5" t="s">
        <v>474</v>
      </c>
      <c r="F69" s="5" t="s">
        <v>295</v>
      </c>
    </row>
    <row r="70" spans="1:6" x14ac:dyDescent="0.3">
      <c r="A70" s="4" t="s">
        <v>487</v>
      </c>
      <c r="B70" s="7">
        <v>22.99</v>
      </c>
      <c r="C70" s="5"/>
      <c r="D70" s="7">
        <v>23.24</v>
      </c>
      <c r="E70" s="5" t="s">
        <v>474</v>
      </c>
      <c r="F70" s="5" t="s">
        <v>295</v>
      </c>
    </row>
    <row r="71" spans="1:6" x14ac:dyDescent="0.3">
      <c r="A71" s="4" t="s">
        <v>335</v>
      </c>
      <c r="B71" s="7">
        <v>5</v>
      </c>
      <c r="C71" s="5"/>
      <c r="D71" s="7">
        <v>5</v>
      </c>
      <c r="E71" s="5" t="s">
        <v>474</v>
      </c>
      <c r="F71" s="5" t="s">
        <v>294</v>
      </c>
    </row>
    <row r="72" spans="1:6" x14ac:dyDescent="0.3">
      <c r="A72" s="4" t="s">
        <v>336</v>
      </c>
      <c r="B72" s="7">
        <v>5</v>
      </c>
      <c r="C72" s="5"/>
      <c r="D72" s="7">
        <v>5</v>
      </c>
      <c r="E72" s="5" t="s">
        <v>474</v>
      </c>
      <c r="F72" s="5" t="s">
        <v>294</v>
      </c>
    </row>
    <row r="73" spans="1:6" x14ac:dyDescent="0.3">
      <c r="A73" s="6" t="s">
        <v>488</v>
      </c>
      <c r="B73" s="6"/>
      <c r="C73" s="6"/>
      <c r="D73" s="6"/>
      <c r="E73" s="6"/>
      <c r="F73" s="6"/>
    </row>
    <row r="74" spans="1:6" x14ac:dyDescent="0.3">
      <c r="A74" s="4" t="s">
        <v>364</v>
      </c>
      <c r="B74" s="7">
        <v>6</v>
      </c>
      <c r="C74" s="5"/>
      <c r="D74" s="7">
        <v>6.1</v>
      </c>
      <c r="E74" s="5" t="s">
        <v>474</v>
      </c>
      <c r="F74" s="5" t="s">
        <v>295</v>
      </c>
    </row>
    <row r="75" spans="1:6" x14ac:dyDescent="0.3">
      <c r="A75" s="4" t="s">
        <v>365</v>
      </c>
      <c r="B75" s="7">
        <v>6</v>
      </c>
      <c r="C75" s="5"/>
      <c r="D75" s="7">
        <v>6.1</v>
      </c>
      <c r="E75" s="5" t="s">
        <v>474</v>
      </c>
      <c r="F75" s="5" t="s">
        <v>295</v>
      </c>
    </row>
    <row r="76" spans="1:6" x14ac:dyDescent="0.3">
      <c r="A76" s="4" t="s">
        <v>366</v>
      </c>
      <c r="B76" s="7">
        <v>6</v>
      </c>
      <c r="C76" s="5"/>
      <c r="D76" s="7">
        <v>6.1</v>
      </c>
      <c r="E76" s="5" t="s">
        <v>474</v>
      </c>
      <c r="F76" s="5" t="s">
        <v>295</v>
      </c>
    </row>
    <row r="77" spans="1:6" x14ac:dyDescent="0.3">
      <c r="A77" s="4" t="s">
        <v>374</v>
      </c>
      <c r="B77" s="7">
        <v>6.5</v>
      </c>
      <c r="C77" s="5"/>
      <c r="D77" s="7">
        <v>6.6</v>
      </c>
      <c r="E77" s="5" t="s">
        <v>474</v>
      </c>
      <c r="F77" s="5" t="s">
        <v>295</v>
      </c>
    </row>
    <row r="78" spans="1:6" x14ac:dyDescent="0.3">
      <c r="A78" s="4" t="s">
        <v>489</v>
      </c>
      <c r="B78" s="7">
        <v>6</v>
      </c>
      <c r="C78" s="5"/>
      <c r="D78" s="7">
        <v>6.1</v>
      </c>
      <c r="E78" s="5" t="s">
        <v>474</v>
      </c>
      <c r="F78" s="5" t="s">
        <v>295</v>
      </c>
    </row>
    <row r="79" spans="1:6" x14ac:dyDescent="0.3">
      <c r="A79" s="4" t="s">
        <v>367</v>
      </c>
      <c r="B79" s="7">
        <v>3.5</v>
      </c>
      <c r="C79" s="5"/>
      <c r="D79" s="7">
        <v>3.6</v>
      </c>
      <c r="E79" s="5" t="s">
        <v>474</v>
      </c>
      <c r="F79" s="5" t="s">
        <v>295</v>
      </c>
    </row>
    <row r="80" spans="1:6" x14ac:dyDescent="0.3">
      <c r="A80" s="4" t="s">
        <v>368</v>
      </c>
      <c r="B80" s="7">
        <v>3.5</v>
      </c>
      <c r="C80" s="5"/>
      <c r="D80" s="7">
        <v>3.6</v>
      </c>
      <c r="E80" s="5" t="s">
        <v>474</v>
      </c>
      <c r="F80" s="5" t="s">
        <v>295</v>
      </c>
    </row>
    <row r="81" spans="1:6" x14ac:dyDescent="0.3">
      <c r="A81" s="4" t="s">
        <v>369</v>
      </c>
      <c r="B81" s="7">
        <v>5.2</v>
      </c>
      <c r="C81" s="5"/>
      <c r="D81" s="7">
        <v>5.3</v>
      </c>
      <c r="E81" s="5" t="s">
        <v>474</v>
      </c>
      <c r="F81" s="5" t="s">
        <v>295</v>
      </c>
    </row>
    <row r="82" spans="1:6" x14ac:dyDescent="0.3">
      <c r="A82" s="4" t="s">
        <v>370</v>
      </c>
      <c r="B82" s="7">
        <v>5.2</v>
      </c>
      <c r="C82" s="5"/>
      <c r="D82" s="7">
        <v>5.3</v>
      </c>
      <c r="E82" s="5" t="s">
        <v>474</v>
      </c>
      <c r="F82" s="5" t="s">
        <v>295</v>
      </c>
    </row>
    <row r="83" spans="1:6" x14ac:dyDescent="0.3">
      <c r="A83" s="4" t="s">
        <v>371</v>
      </c>
      <c r="B83" s="7">
        <v>5.2</v>
      </c>
      <c r="C83" s="5"/>
      <c r="D83" s="7">
        <v>5.3</v>
      </c>
      <c r="E83" s="5" t="s">
        <v>474</v>
      </c>
      <c r="F83" s="5" t="s">
        <v>295</v>
      </c>
    </row>
    <row r="84" spans="1:6" x14ac:dyDescent="0.3">
      <c r="A84" s="4" t="s">
        <v>376</v>
      </c>
      <c r="B84" s="7">
        <v>13.98</v>
      </c>
      <c r="C84" s="5"/>
      <c r="D84" s="7">
        <v>14.08</v>
      </c>
      <c r="E84" s="5" t="s">
        <v>474</v>
      </c>
      <c r="F84" s="5" t="s">
        <v>295</v>
      </c>
    </row>
    <row r="85" spans="1:6" x14ac:dyDescent="0.3">
      <c r="A85" s="4" t="s">
        <v>377</v>
      </c>
      <c r="B85" s="7">
        <v>13.98</v>
      </c>
      <c r="C85" s="5"/>
      <c r="D85" s="7">
        <v>14.08</v>
      </c>
      <c r="E85" s="5" t="s">
        <v>474</v>
      </c>
      <c r="F85" s="5" t="s">
        <v>295</v>
      </c>
    </row>
    <row r="86" spans="1:6" x14ac:dyDescent="0.3">
      <c r="A86" s="4" t="s">
        <v>379</v>
      </c>
      <c r="B86" s="7">
        <v>25</v>
      </c>
      <c r="C86" s="5"/>
      <c r="D86" s="7">
        <v>25.1</v>
      </c>
      <c r="E86" s="5" t="s">
        <v>474</v>
      </c>
      <c r="F86" s="5" t="s">
        <v>295</v>
      </c>
    </row>
    <row r="87" spans="1:6" x14ac:dyDescent="0.3">
      <c r="A87" s="4" t="s">
        <v>380</v>
      </c>
      <c r="B87" s="7">
        <v>35</v>
      </c>
      <c r="C87" s="5"/>
      <c r="D87" s="7">
        <v>35.1</v>
      </c>
      <c r="E87" s="5" t="s">
        <v>474</v>
      </c>
      <c r="F87" s="5" t="s">
        <v>295</v>
      </c>
    </row>
    <row r="88" spans="1:6" x14ac:dyDescent="0.3">
      <c r="A88" s="4" t="s">
        <v>378</v>
      </c>
      <c r="B88" s="7">
        <v>13.98</v>
      </c>
      <c r="C88" s="5"/>
      <c r="D88" s="7">
        <v>14.08</v>
      </c>
      <c r="E88" s="5" t="s">
        <v>474</v>
      </c>
      <c r="F88" s="5" t="s">
        <v>295</v>
      </c>
    </row>
    <row r="89" spans="1:6" x14ac:dyDescent="0.3">
      <c r="A89" s="6" t="s">
        <v>490</v>
      </c>
      <c r="B89" s="6"/>
      <c r="C89" s="6"/>
      <c r="D89" s="6"/>
      <c r="E89" s="6"/>
      <c r="F89" s="6"/>
    </row>
    <row r="90" spans="1:6" x14ac:dyDescent="0.3">
      <c r="A90" s="4" t="s">
        <v>491</v>
      </c>
      <c r="B90" s="7">
        <v>2</v>
      </c>
      <c r="C90" s="5"/>
      <c r="D90" s="7">
        <v>2</v>
      </c>
      <c r="E90" s="5" t="s">
        <v>474</v>
      </c>
      <c r="F90" s="5" t="s">
        <v>294</v>
      </c>
    </row>
    <row r="91" spans="1:6" x14ac:dyDescent="0.3">
      <c r="A91" s="4" t="s">
        <v>492</v>
      </c>
      <c r="B91" s="7">
        <v>3</v>
      </c>
      <c r="C91" s="5"/>
      <c r="D91" s="7">
        <v>3</v>
      </c>
      <c r="E91" s="5" t="s">
        <v>474</v>
      </c>
      <c r="F91" s="5" t="s">
        <v>294</v>
      </c>
    </row>
    <row r="92" spans="1:6" x14ac:dyDescent="0.3">
      <c r="A92" s="4" t="s">
        <v>493</v>
      </c>
      <c r="B92" s="7">
        <v>2</v>
      </c>
      <c r="C92" s="5"/>
      <c r="D92" s="7">
        <v>2</v>
      </c>
      <c r="E92" s="5" t="s">
        <v>474</v>
      </c>
      <c r="F92" s="5" t="s">
        <v>294</v>
      </c>
    </row>
    <row r="93" spans="1:6" x14ac:dyDescent="0.3">
      <c r="A93" s="6" t="s">
        <v>494</v>
      </c>
      <c r="B93" s="6"/>
      <c r="C93" s="6"/>
      <c r="D93" s="6"/>
      <c r="E93" s="6"/>
      <c r="F93" s="6"/>
    </row>
    <row r="94" spans="1:6" x14ac:dyDescent="0.3">
      <c r="A94" s="4" t="s">
        <v>343</v>
      </c>
      <c r="B94" s="7">
        <v>0.5</v>
      </c>
      <c r="C94" s="5"/>
      <c r="D94" s="7">
        <v>0.5</v>
      </c>
      <c r="E94" s="5" t="s">
        <v>474</v>
      </c>
      <c r="F94" s="5" t="s">
        <v>294</v>
      </c>
    </row>
    <row r="95" spans="1:6" x14ac:dyDescent="0.3">
      <c r="A95" s="4" t="s">
        <v>344</v>
      </c>
      <c r="B95" s="7">
        <v>1.5</v>
      </c>
      <c r="C95" s="5"/>
      <c r="D95" s="7">
        <v>1.5</v>
      </c>
      <c r="E95" s="5" t="s">
        <v>474</v>
      </c>
      <c r="F95" s="5" t="s">
        <v>294</v>
      </c>
    </row>
    <row r="96" spans="1:6" x14ac:dyDescent="0.3">
      <c r="A96" s="6" t="s">
        <v>260</v>
      </c>
      <c r="B96" s="6"/>
      <c r="C96" s="6"/>
      <c r="D96" s="6"/>
      <c r="E96" s="6"/>
      <c r="F96" s="6"/>
    </row>
    <row r="97" spans="1:6" x14ac:dyDescent="0.3">
      <c r="A97" s="4" t="s">
        <v>495</v>
      </c>
      <c r="B97" s="7">
        <v>10.9</v>
      </c>
      <c r="C97" s="5"/>
      <c r="D97" s="7">
        <v>10.9</v>
      </c>
      <c r="E97" s="5" t="s">
        <v>474</v>
      </c>
      <c r="F97" s="5" t="s">
        <v>294</v>
      </c>
    </row>
    <row r="98" spans="1:6" x14ac:dyDescent="0.3">
      <c r="A98" s="4" t="s">
        <v>385</v>
      </c>
      <c r="B98" s="7">
        <v>12</v>
      </c>
      <c r="C98" s="5"/>
      <c r="D98" s="7">
        <v>12</v>
      </c>
      <c r="E98" s="5" t="s">
        <v>474</v>
      </c>
      <c r="F98" s="5" t="s">
        <v>294</v>
      </c>
    </row>
    <row r="99" spans="1:6" x14ac:dyDescent="0.3">
      <c r="A99" s="4" t="s">
        <v>386</v>
      </c>
      <c r="B99" s="7">
        <v>14</v>
      </c>
      <c r="C99" s="5"/>
      <c r="D99" s="7">
        <v>14</v>
      </c>
      <c r="E99" s="5" t="s">
        <v>474</v>
      </c>
      <c r="F99" s="5" t="s">
        <v>294</v>
      </c>
    </row>
    <row r="100" spans="1:6" x14ac:dyDescent="0.3">
      <c r="A100" s="4" t="s">
        <v>387</v>
      </c>
      <c r="B100" s="7">
        <v>14</v>
      </c>
      <c r="C100" s="5"/>
      <c r="D100" s="7">
        <v>14</v>
      </c>
      <c r="E100" s="5" t="s">
        <v>474</v>
      </c>
      <c r="F100" s="5" t="s">
        <v>294</v>
      </c>
    </row>
    <row r="101" spans="1:6" x14ac:dyDescent="0.3">
      <c r="A101" s="4" t="s">
        <v>383</v>
      </c>
      <c r="B101" s="7">
        <v>15</v>
      </c>
      <c r="C101" s="5"/>
      <c r="D101" s="7">
        <v>15</v>
      </c>
      <c r="E101" s="5" t="s">
        <v>474</v>
      </c>
      <c r="F101" s="5" t="s">
        <v>294</v>
      </c>
    </row>
    <row r="102" spans="1:6" x14ac:dyDescent="0.3">
      <c r="A102" s="4" t="s">
        <v>394</v>
      </c>
      <c r="B102" s="7">
        <v>14</v>
      </c>
      <c r="C102" s="5"/>
      <c r="D102" s="7">
        <v>14</v>
      </c>
      <c r="E102" s="5" t="s">
        <v>474</v>
      </c>
      <c r="F102" s="5" t="s">
        <v>294</v>
      </c>
    </row>
    <row r="103" spans="1:6" x14ac:dyDescent="0.3">
      <c r="A103" s="4" t="s">
        <v>395</v>
      </c>
      <c r="B103" s="7">
        <v>16</v>
      </c>
      <c r="C103" s="5"/>
      <c r="D103" s="7">
        <v>16</v>
      </c>
      <c r="E103" s="5" t="s">
        <v>474</v>
      </c>
      <c r="F103" s="5" t="s">
        <v>294</v>
      </c>
    </row>
    <row r="104" spans="1:6" x14ac:dyDescent="0.3">
      <c r="A104" s="4" t="s">
        <v>396</v>
      </c>
      <c r="B104" s="7">
        <v>16</v>
      </c>
      <c r="C104" s="5"/>
      <c r="D104" s="7">
        <v>16</v>
      </c>
      <c r="E104" s="5" t="s">
        <v>474</v>
      </c>
      <c r="F104" s="5" t="s">
        <v>294</v>
      </c>
    </row>
    <row r="105" spans="1:6" x14ac:dyDescent="0.3">
      <c r="A105" s="4" t="s">
        <v>397</v>
      </c>
      <c r="B105" s="7">
        <v>16</v>
      </c>
      <c r="C105" s="5"/>
      <c r="D105" s="7">
        <v>16</v>
      </c>
      <c r="E105" s="5" t="s">
        <v>474</v>
      </c>
      <c r="F105" s="5" t="s">
        <v>294</v>
      </c>
    </row>
    <row r="106" spans="1:6" x14ac:dyDescent="0.3">
      <c r="A106" s="4" t="s">
        <v>398</v>
      </c>
      <c r="B106" s="7">
        <v>16</v>
      </c>
      <c r="C106" s="5"/>
      <c r="D106" s="7">
        <v>16</v>
      </c>
      <c r="E106" s="5" t="s">
        <v>474</v>
      </c>
      <c r="F106" s="5" t="s">
        <v>294</v>
      </c>
    </row>
    <row r="107" spans="1:6" x14ac:dyDescent="0.3">
      <c r="A107" s="4" t="s">
        <v>399</v>
      </c>
      <c r="B107" s="7">
        <v>16</v>
      </c>
      <c r="C107" s="5"/>
      <c r="D107" s="7">
        <v>16</v>
      </c>
      <c r="E107" s="5" t="s">
        <v>474</v>
      </c>
      <c r="F107" s="5" t="s">
        <v>294</v>
      </c>
    </row>
    <row r="108" spans="1:6" x14ac:dyDescent="0.3">
      <c r="A108" s="4" t="s">
        <v>496</v>
      </c>
      <c r="B108" s="7">
        <v>16</v>
      </c>
      <c r="C108" s="5"/>
      <c r="D108" s="7">
        <v>16</v>
      </c>
      <c r="E108" s="5" t="s">
        <v>474</v>
      </c>
      <c r="F108" s="5" t="s">
        <v>294</v>
      </c>
    </row>
    <row r="109" spans="1:6" x14ac:dyDescent="0.3">
      <c r="A109" s="4" t="s">
        <v>400</v>
      </c>
      <c r="B109" s="7">
        <v>16</v>
      </c>
      <c r="C109" s="5"/>
      <c r="D109" s="7">
        <v>16</v>
      </c>
      <c r="E109" s="5" t="s">
        <v>474</v>
      </c>
      <c r="F109" s="5" t="s">
        <v>294</v>
      </c>
    </row>
    <row r="110" spans="1:6" x14ac:dyDescent="0.3">
      <c r="A110" s="6" t="s">
        <v>232</v>
      </c>
      <c r="B110" s="6"/>
      <c r="C110" s="6"/>
      <c r="D110" s="6"/>
      <c r="E110" s="6"/>
      <c r="F110" s="6"/>
    </row>
    <row r="111" spans="1:6" x14ac:dyDescent="0.3">
      <c r="A111" s="4" t="s">
        <v>411</v>
      </c>
      <c r="B111" s="7">
        <v>11</v>
      </c>
      <c r="C111" s="5"/>
      <c r="D111" s="7">
        <v>11.99</v>
      </c>
      <c r="E111" s="5" t="s">
        <v>474</v>
      </c>
      <c r="F111" s="5" t="s">
        <v>295</v>
      </c>
    </row>
    <row r="112" spans="1:6" x14ac:dyDescent="0.3">
      <c r="A112" s="4" t="s">
        <v>412</v>
      </c>
      <c r="B112" s="7">
        <v>11</v>
      </c>
      <c r="C112" s="5"/>
      <c r="D112" s="7">
        <v>11.99</v>
      </c>
      <c r="E112" s="5" t="s">
        <v>474</v>
      </c>
      <c r="F112" s="5" t="s">
        <v>295</v>
      </c>
    </row>
    <row r="113" spans="1:6" x14ac:dyDescent="0.3">
      <c r="A113" s="4" t="s">
        <v>414</v>
      </c>
      <c r="B113" s="7">
        <v>12</v>
      </c>
      <c r="C113" s="5"/>
      <c r="D113" s="7">
        <v>12.99</v>
      </c>
      <c r="E113" s="5" t="s">
        <v>474</v>
      </c>
      <c r="F113" s="5" t="s">
        <v>295</v>
      </c>
    </row>
    <row r="114" spans="1:6" x14ac:dyDescent="0.3">
      <c r="A114" s="4" t="s">
        <v>415</v>
      </c>
      <c r="B114" s="7">
        <v>12</v>
      </c>
      <c r="C114" s="5"/>
      <c r="D114" s="7">
        <v>12.99</v>
      </c>
      <c r="E114" s="5" t="s">
        <v>474</v>
      </c>
      <c r="F114" s="5" t="s">
        <v>295</v>
      </c>
    </row>
    <row r="115" spans="1:6" x14ac:dyDescent="0.3">
      <c r="A115" s="4" t="s">
        <v>231</v>
      </c>
      <c r="B115" s="7">
        <v>12</v>
      </c>
      <c r="C115" s="5"/>
      <c r="D115" s="7">
        <v>12.99</v>
      </c>
      <c r="E115" s="5" t="s">
        <v>474</v>
      </c>
      <c r="F115" s="5" t="s">
        <v>497</v>
      </c>
    </row>
    <row r="116" spans="1:6" x14ac:dyDescent="0.3">
      <c r="A116" s="4" t="s">
        <v>416</v>
      </c>
      <c r="B116" s="7">
        <v>12</v>
      </c>
      <c r="C116" s="5"/>
      <c r="D116" s="7">
        <v>12.99</v>
      </c>
      <c r="E116" s="5" t="s">
        <v>474</v>
      </c>
      <c r="F116" s="5" t="s">
        <v>295</v>
      </c>
    </row>
    <row r="117" spans="1:6" x14ac:dyDescent="0.3">
      <c r="A117" s="4" t="s">
        <v>417</v>
      </c>
      <c r="B117" s="7">
        <v>17</v>
      </c>
      <c r="C117" s="5"/>
      <c r="D117" s="7">
        <v>17.989999999999998</v>
      </c>
      <c r="E117" s="5" t="s">
        <v>474</v>
      </c>
      <c r="F117" s="5" t="s">
        <v>295</v>
      </c>
    </row>
    <row r="118" spans="1:6" x14ac:dyDescent="0.3">
      <c r="A118" s="4" t="s">
        <v>498</v>
      </c>
      <c r="B118" s="7">
        <v>19</v>
      </c>
      <c r="C118" s="5"/>
      <c r="D118" s="7">
        <v>19.989999999999998</v>
      </c>
      <c r="E118" s="5" t="s">
        <v>474</v>
      </c>
      <c r="F118" s="5" t="s">
        <v>295</v>
      </c>
    </row>
    <row r="119" spans="1:6" x14ac:dyDescent="0.3">
      <c r="A119" s="4" t="s">
        <v>499</v>
      </c>
      <c r="B119" s="7">
        <v>18</v>
      </c>
      <c r="C119" s="5"/>
      <c r="D119" s="7">
        <v>18.989999999999998</v>
      </c>
      <c r="E119" s="5" t="s">
        <v>474</v>
      </c>
      <c r="F119" s="5" t="s">
        <v>295</v>
      </c>
    </row>
    <row r="120" spans="1:6" x14ac:dyDescent="0.3">
      <c r="A120" s="4" t="s">
        <v>413</v>
      </c>
      <c r="B120" s="7">
        <v>17</v>
      </c>
      <c r="C120" s="5"/>
      <c r="D120" s="7">
        <v>17.989999999999998</v>
      </c>
      <c r="E120" s="5" t="s">
        <v>474</v>
      </c>
      <c r="F120" s="5" t="s">
        <v>295</v>
      </c>
    </row>
    <row r="121" spans="1:6" x14ac:dyDescent="0.3">
      <c r="A121" s="4" t="s">
        <v>409</v>
      </c>
      <c r="B121" s="7">
        <v>9.5</v>
      </c>
      <c r="C121" s="5"/>
      <c r="D121" s="7">
        <v>10.49</v>
      </c>
      <c r="E121" s="5" t="s">
        <v>474</v>
      </c>
      <c r="F121" s="5" t="s">
        <v>295</v>
      </c>
    </row>
    <row r="122" spans="1:6" x14ac:dyDescent="0.3">
      <c r="A122" s="4" t="s">
        <v>410</v>
      </c>
      <c r="B122" s="7">
        <v>9.5</v>
      </c>
      <c r="C122" s="5"/>
      <c r="D122" s="7">
        <v>10.49</v>
      </c>
      <c r="E122" s="5" t="s">
        <v>474</v>
      </c>
      <c r="F122" s="5" t="s">
        <v>295</v>
      </c>
    </row>
    <row r="123" spans="1:6" x14ac:dyDescent="0.3">
      <c r="A123" s="4" t="s">
        <v>500</v>
      </c>
      <c r="B123" s="7">
        <v>5.49</v>
      </c>
      <c r="C123" s="5"/>
      <c r="D123" s="7">
        <v>5.49</v>
      </c>
      <c r="E123" s="5" t="s">
        <v>474</v>
      </c>
      <c r="F123" s="5" t="s">
        <v>295</v>
      </c>
    </row>
    <row r="124" spans="1:6" ht="22.8" x14ac:dyDescent="0.3">
      <c r="A124" s="4" t="s">
        <v>501</v>
      </c>
      <c r="B124" s="7">
        <v>9.5</v>
      </c>
      <c r="C124" s="5"/>
      <c r="D124" s="7">
        <v>10.49</v>
      </c>
      <c r="E124" s="5" t="s">
        <v>474</v>
      </c>
      <c r="F124" s="5" t="s">
        <v>295</v>
      </c>
    </row>
    <row r="125" spans="1:6" x14ac:dyDescent="0.3">
      <c r="A125" s="4" t="s">
        <v>570</v>
      </c>
      <c r="B125" s="7" t="s">
        <v>473</v>
      </c>
      <c r="C125" s="5"/>
      <c r="D125" s="7">
        <v>13</v>
      </c>
      <c r="E125" s="5" t="s">
        <v>474</v>
      </c>
      <c r="F125" s="5" t="s">
        <v>407</v>
      </c>
    </row>
    <row r="126" spans="1:6" x14ac:dyDescent="0.3">
      <c r="A126" s="6" t="s">
        <v>448</v>
      </c>
      <c r="B126" s="6"/>
      <c r="C126" s="6"/>
      <c r="D126" s="6"/>
      <c r="E126" s="6"/>
      <c r="F126" s="6"/>
    </row>
    <row r="127" spans="1:6" x14ac:dyDescent="0.3">
      <c r="A127" s="4" t="s">
        <v>449</v>
      </c>
      <c r="B127" s="7">
        <v>18</v>
      </c>
      <c r="C127" s="5"/>
      <c r="D127" s="7">
        <v>18</v>
      </c>
      <c r="E127" s="5" t="s">
        <v>474</v>
      </c>
      <c r="F127" s="5" t="s">
        <v>294</v>
      </c>
    </row>
    <row r="128" spans="1:6" x14ac:dyDescent="0.3">
      <c r="A128" s="4" t="s">
        <v>450</v>
      </c>
      <c r="B128" s="7">
        <v>16</v>
      </c>
      <c r="C128" s="5"/>
      <c r="D128" s="7">
        <v>16</v>
      </c>
      <c r="E128" s="5" t="s">
        <v>474</v>
      </c>
      <c r="F128" s="5" t="s">
        <v>294</v>
      </c>
    </row>
    <row r="129" spans="1:6" x14ac:dyDescent="0.3">
      <c r="A129" s="4" t="s">
        <v>451</v>
      </c>
      <c r="B129" s="7">
        <v>18</v>
      </c>
      <c r="C129" s="5"/>
      <c r="D129" s="7">
        <v>18</v>
      </c>
      <c r="E129" s="5" t="s">
        <v>474</v>
      </c>
      <c r="F129" s="5" t="s">
        <v>294</v>
      </c>
    </row>
    <row r="130" spans="1:6" x14ac:dyDescent="0.3">
      <c r="A130" s="4" t="s">
        <v>452</v>
      </c>
      <c r="B130" s="7">
        <v>18</v>
      </c>
      <c r="C130" s="5"/>
      <c r="D130" s="7">
        <v>18</v>
      </c>
      <c r="E130" s="5" t="s">
        <v>474</v>
      </c>
      <c r="F130" s="5" t="s">
        <v>294</v>
      </c>
    </row>
    <row r="131" spans="1:6" x14ac:dyDescent="0.3">
      <c r="A131" s="4" t="s">
        <v>453</v>
      </c>
      <c r="B131" s="7">
        <v>16</v>
      </c>
      <c r="C131" s="5"/>
      <c r="D131" s="7">
        <v>16</v>
      </c>
      <c r="E131" s="5" t="s">
        <v>474</v>
      </c>
      <c r="F131" s="5" t="s">
        <v>294</v>
      </c>
    </row>
    <row r="132" spans="1:6" x14ac:dyDescent="0.3">
      <c r="A132" s="4" t="s">
        <v>454</v>
      </c>
      <c r="B132" s="7">
        <v>18</v>
      </c>
      <c r="C132" s="5"/>
      <c r="D132" s="7">
        <v>18</v>
      </c>
      <c r="E132" s="5" t="s">
        <v>474</v>
      </c>
      <c r="F132" s="5" t="s">
        <v>294</v>
      </c>
    </row>
    <row r="133" spans="1:6" x14ac:dyDescent="0.3">
      <c r="A133" s="4" t="s">
        <v>455</v>
      </c>
      <c r="B133" s="7">
        <v>18</v>
      </c>
      <c r="C133" s="5"/>
      <c r="D133" s="7">
        <v>18</v>
      </c>
      <c r="E133" s="5" t="s">
        <v>474</v>
      </c>
      <c r="F133" s="5" t="s">
        <v>294</v>
      </c>
    </row>
    <row r="134" spans="1:6" x14ac:dyDescent="0.3">
      <c r="A134" s="4" t="s">
        <v>456</v>
      </c>
      <c r="B134" s="7">
        <v>18</v>
      </c>
      <c r="C134" s="5"/>
      <c r="D134" s="7">
        <v>18</v>
      </c>
      <c r="E134" s="5" t="s">
        <v>474</v>
      </c>
      <c r="F134" s="5" t="s">
        <v>294</v>
      </c>
    </row>
    <row r="135" spans="1:6" x14ac:dyDescent="0.3">
      <c r="A135" s="4" t="s">
        <v>457</v>
      </c>
      <c r="B135" s="7">
        <v>18</v>
      </c>
      <c r="C135" s="5"/>
      <c r="D135" s="7">
        <v>18</v>
      </c>
      <c r="E135" s="5" t="s">
        <v>474</v>
      </c>
      <c r="F135" s="5" t="s">
        <v>294</v>
      </c>
    </row>
    <row r="136" spans="1:6" x14ac:dyDescent="0.3">
      <c r="A136" s="4" t="s">
        <v>458</v>
      </c>
      <c r="B136" s="7">
        <v>21</v>
      </c>
      <c r="C136" s="5"/>
      <c r="D136" s="7">
        <v>21</v>
      </c>
      <c r="E136" s="5" t="s">
        <v>474</v>
      </c>
      <c r="F136" s="5" t="s">
        <v>294</v>
      </c>
    </row>
    <row r="137" spans="1:6" x14ac:dyDescent="0.3">
      <c r="A137" s="4" t="s">
        <v>459</v>
      </c>
      <c r="B137" s="7">
        <v>21</v>
      </c>
      <c r="C137" s="5"/>
      <c r="D137" s="7">
        <v>21</v>
      </c>
      <c r="E137" s="5" t="s">
        <v>474</v>
      </c>
      <c r="F137" s="5" t="s">
        <v>294</v>
      </c>
    </row>
    <row r="138" spans="1:6" x14ac:dyDescent="0.3">
      <c r="A138" s="6" t="s">
        <v>276</v>
      </c>
      <c r="B138" s="6"/>
      <c r="C138" s="6"/>
      <c r="D138" s="6"/>
      <c r="E138" s="6"/>
      <c r="F138" s="6"/>
    </row>
    <row r="139" spans="1:6" x14ac:dyDescent="0.3">
      <c r="A139" s="4" t="s">
        <v>433</v>
      </c>
      <c r="B139" s="7">
        <v>9</v>
      </c>
      <c r="C139" s="5"/>
      <c r="D139" s="7">
        <v>9.99</v>
      </c>
      <c r="E139" s="5" t="s">
        <v>474</v>
      </c>
      <c r="F139" s="5" t="s">
        <v>295</v>
      </c>
    </row>
    <row r="140" spans="1:6" x14ac:dyDescent="0.3">
      <c r="A140" s="4" t="s">
        <v>434</v>
      </c>
      <c r="B140" s="7">
        <v>11</v>
      </c>
      <c r="C140" s="5"/>
      <c r="D140" s="7">
        <v>11.99</v>
      </c>
      <c r="E140" s="5" t="s">
        <v>474</v>
      </c>
      <c r="F140" s="5" t="s">
        <v>295</v>
      </c>
    </row>
    <row r="141" spans="1:6" x14ac:dyDescent="0.3">
      <c r="A141" s="4" t="s">
        <v>435</v>
      </c>
      <c r="B141" s="7">
        <v>14</v>
      </c>
      <c r="C141" s="5"/>
      <c r="D141" s="7">
        <v>14.99</v>
      </c>
      <c r="E141" s="5" t="s">
        <v>474</v>
      </c>
      <c r="F141" s="5" t="s">
        <v>295</v>
      </c>
    </row>
    <row r="142" spans="1:6" x14ac:dyDescent="0.3">
      <c r="A142" s="4" t="s">
        <v>436</v>
      </c>
      <c r="B142" s="7">
        <v>11</v>
      </c>
      <c r="C142" s="5"/>
      <c r="D142" s="7">
        <v>11.99</v>
      </c>
      <c r="E142" s="5" t="s">
        <v>474</v>
      </c>
      <c r="F142" s="5" t="s">
        <v>295</v>
      </c>
    </row>
    <row r="143" spans="1:6" x14ac:dyDescent="0.3">
      <c r="A143" s="4" t="s">
        <v>437</v>
      </c>
      <c r="B143" s="7">
        <v>14</v>
      </c>
      <c r="C143" s="5"/>
      <c r="D143" s="7">
        <v>14.99</v>
      </c>
      <c r="E143" s="5" t="s">
        <v>474</v>
      </c>
      <c r="F143" s="5" t="s">
        <v>295</v>
      </c>
    </row>
    <row r="144" spans="1:6" x14ac:dyDescent="0.3">
      <c r="A144" s="4" t="s">
        <v>438</v>
      </c>
      <c r="B144" s="7">
        <v>13</v>
      </c>
      <c r="C144" s="5"/>
      <c r="D144" s="7">
        <v>13.99</v>
      </c>
      <c r="E144" s="5" t="s">
        <v>474</v>
      </c>
      <c r="F144" s="5" t="s">
        <v>295</v>
      </c>
    </row>
    <row r="145" spans="1:6" x14ac:dyDescent="0.3">
      <c r="A145" s="4" t="s">
        <v>439</v>
      </c>
      <c r="B145" s="7">
        <v>15</v>
      </c>
      <c r="C145" s="5"/>
      <c r="D145" s="7">
        <v>15.99</v>
      </c>
      <c r="E145" s="5" t="s">
        <v>474</v>
      </c>
      <c r="F145" s="5" t="s">
        <v>295</v>
      </c>
    </row>
    <row r="146" spans="1:6" x14ac:dyDescent="0.3">
      <c r="A146" s="4" t="s">
        <v>440</v>
      </c>
      <c r="B146" s="7">
        <v>14</v>
      </c>
      <c r="C146" s="5"/>
      <c r="D146" s="7">
        <v>14.99</v>
      </c>
      <c r="E146" s="5" t="s">
        <v>474</v>
      </c>
      <c r="F146" s="5" t="s">
        <v>295</v>
      </c>
    </row>
    <row r="147" spans="1:6" x14ac:dyDescent="0.3">
      <c r="A147" s="4" t="s">
        <v>441</v>
      </c>
      <c r="B147" s="7">
        <v>15</v>
      </c>
      <c r="C147" s="5"/>
      <c r="D147" s="7">
        <v>15.99</v>
      </c>
      <c r="E147" s="5" t="s">
        <v>474</v>
      </c>
      <c r="F147" s="5" t="s">
        <v>295</v>
      </c>
    </row>
    <row r="148" spans="1:6" x14ac:dyDescent="0.3">
      <c r="A148" s="4" t="s">
        <v>442</v>
      </c>
      <c r="B148" s="7">
        <v>14</v>
      </c>
      <c r="C148" s="5"/>
      <c r="D148" s="7">
        <v>14.99</v>
      </c>
      <c r="E148" s="5" t="s">
        <v>474</v>
      </c>
      <c r="F148" s="5" t="s">
        <v>295</v>
      </c>
    </row>
    <row r="149" spans="1:6" x14ac:dyDescent="0.3">
      <c r="A149" s="4" t="s">
        <v>443</v>
      </c>
      <c r="B149" s="7">
        <v>16</v>
      </c>
      <c r="C149" s="5"/>
      <c r="D149" s="7">
        <v>16.989999999999998</v>
      </c>
      <c r="E149" s="5" t="s">
        <v>474</v>
      </c>
      <c r="F149" s="5" t="s">
        <v>295</v>
      </c>
    </row>
    <row r="150" spans="1:6" x14ac:dyDescent="0.3">
      <c r="A150" s="4" t="s">
        <v>444</v>
      </c>
      <c r="B150" s="7">
        <v>14</v>
      </c>
      <c r="C150" s="5"/>
      <c r="D150" s="7">
        <v>14.99</v>
      </c>
      <c r="E150" s="5" t="s">
        <v>474</v>
      </c>
      <c r="F150" s="5" t="s">
        <v>295</v>
      </c>
    </row>
    <row r="151" spans="1:6" x14ac:dyDescent="0.3">
      <c r="A151" s="4" t="s">
        <v>445</v>
      </c>
      <c r="B151" s="7">
        <v>16</v>
      </c>
      <c r="C151" s="5"/>
      <c r="D151" s="7">
        <v>16.989999999999998</v>
      </c>
      <c r="E151" s="5" t="s">
        <v>474</v>
      </c>
      <c r="F151" s="5" t="s">
        <v>295</v>
      </c>
    </row>
    <row r="152" spans="1:6" x14ac:dyDescent="0.3">
      <c r="A152" s="4" t="s">
        <v>446</v>
      </c>
      <c r="B152" s="7">
        <v>16</v>
      </c>
      <c r="C152" s="5"/>
      <c r="D152" s="7">
        <v>16.989999999999998</v>
      </c>
      <c r="E152" s="5" t="s">
        <v>474</v>
      </c>
      <c r="F152" s="5" t="s">
        <v>295</v>
      </c>
    </row>
    <row r="153" spans="1:6" x14ac:dyDescent="0.3">
      <c r="A153" s="6" t="s">
        <v>461</v>
      </c>
      <c r="B153" s="6"/>
      <c r="C153" s="6"/>
      <c r="D153" s="6"/>
      <c r="E153" s="6"/>
      <c r="F153" s="6"/>
    </row>
    <row r="154" spans="1:6" x14ac:dyDescent="0.3">
      <c r="A154" s="4" t="s">
        <v>155</v>
      </c>
      <c r="B154" s="7">
        <v>39</v>
      </c>
      <c r="C154" s="5"/>
      <c r="D154" s="7">
        <v>39</v>
      </c>
      <c r="E154" s="5" t="s">
        <v>474</v>
      </c>
      <c r="F154" s="5" t="s">
        <v>294</v>
      </c>
    </row>
    <row r="155" spans="1:6" x14ac:dyDescent="0.3">
      <c r="A155" s="4" t="s">
        <v>462</v>
      </c>
      <c r="B155" s="7">
        <v>39</v>
      </c>
      <c r="C155" s="5"/>
      <c r="D155" s="7">
        <v>39</v>
      </c>
      <c r="E155" s="5" t="s">
        <v>474</v>
      </c>
      <c r="F155" s="5" t="s">
        <v>294</v>
      </c>
    </row>
    <row r="156" spans="1:6" x14ac:dyDescent="0.3">
      <c r="A156" s="4" t="s">
        <v>463</v>
      </c>
      <c r="B156" s="7">
        <v>39</v>
      </c>
      <c r="C156" s="5"/>
      <c r="D156" s="7">
        <v>39</v>
      </c>
      <c r="E156" s="5" t="s">
        <v>474</v>
      </c>
      <c r="F156" s="5" t="s">
        <v>294</v>
      </c>
    </row>
    <row r="157" spans="1:6" x14ac:dyDescent="0.3">
      <c r="A157" s="4" t="s">
        <v>155</v>
      </c>
      <c r="B157" s="7">
        <v>39</v>
      </c>
      <c r="C157" s="7"/>
      <c r="D157" s="7">
        <v>39</v>
      </c>
      <c r="E157" s="5" t="s">
        <v>474</v>
      </c>
      <c r="F157" s="5" t="s">
        <v>294</v>
      </c>
    </row>
    <row r="158" spans="1:6" x14ac:dyDescent="0.3">
      <c r="A158" s="4" t="s">
        <v>462</v>
      </c>
      <c r="B158" s="7">
        <v>39</v>
      </c>
      <c r="C158" s="7"/>
      <c r="D158" s="7">
        <v>39</v>
      </c>
      <c r="E158" s="5" t="s">
        <v>474</v>
      </c>
      <c r="F158" s="5" t="s">
        <v>294</v>
      </c>
    </row>
    <row r="159" spans="1:6" x14ac:dyDescent="0.3">
      <c r="A159" s="4" t="s">
        <v>463</v>
      </c>
      <c r="B159" s="7">
        <v>39</v>
      </c>
      <c r="C159" s="7"/>
      <c r="D159" s="7">
        <v>39</v>
      </c>
      <c r="E159" s="5" t="s">
        <v>474</v>
      </c>
      <c r="F159" s="5" t="s">
        <v>294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"/>
  <sheetViews>
    <sheetView workbookViewId="0">
      <selection activeCell="B21" sqref="B21"/>
    </sheetView>
  </sheetViews>
  <sheetFormatPr defaultRowHeight="14.4" x14ac:dyDescent="0.3"/>
  <cols>
    <col min="1" max="2" width="32" customWidth="1"/>
    <col min="3" max="3" width="10" customWidth="1"/>
    <col min="4" max="4" width="20" customWidth="1"/>
    <col min="5" max="5" width="14" customWidth="1"/>
    <col min="6" max="6" width="8" customWidth="1"/>
    <col min="7" max="8" width="15" customWidth="1"/>
    <col min="9" max="9" width="16" customWidth="1"/>
  </cols>
  <sheetData>
    <row r="1" spans="1:9" ht="17.399999999999999" x14ac:dyDescent="0.3">
      <c r="A1" s="19" t="s">
        <v>502</v>
      </c>
      <c r="B1" s="18"/>
      <c r="C1" s="18"/>
      <c r="D1" s="18"/>
      <c r="E1" s="18"/>
      <c r="F1" s="18"/>
      <c r="G1" s="18"/>
      <c r="H1" s="18"/>
      <c r="I1" s="18"/>
    </row>
    <row r="2" spans="1:9" x14ac:dyDescent="0.3">
      <c r="A2" s="17" t="s">
        <v>503</v>
      </c>
      <c r="B2" s="18"/>
      <c r="C2" s="18"/>
      <c r="D2" s="18"/>
      <c r="E2" s="18"/>
      <c r="F2" s="18"/>
      <c r="G2" s="18"/>
      <c r="H2" s="18"/>
      <c r="I2" s="18"/>
    </row>
    <row r="3" spans="1:9" x14ac:dyDescent="0.3">
      <c r="A3" s="2" t="s">
        <v>2</v>
      </c>
    </row>
    <row r="4" spans="1:9" ht="30" customHeight="1" x14ac:dyDescent="0.3">
      <c r="A4" s="3" t="s">
        <v>61</v>
      </c>
      <c r="B4" s="3" t="s">
        <v>62</v>
      </c>
      <c r="C4" s="3" t="s">
        <v>7</v>
      </c>
      <c r="D4" s="3" t="s">
        <v>174</v>
      </c>
      <c r="E4" s="3" t="s">
        <v>160</v>
      </c>
      <c r="F4" s="3" t="s">
        <v>162</v>
      </c>
      <c r="G4" s="3" t="s">
        <v>207</v>
      </c>
      <c r="H4" s="3" t="s">
        <v>208</v>
      </c>
      <c r="I4" s="3" t="s">
        <v>8</v>
      </c>
    </row>
    <row r="5" spans="1:9" x14ac:dyDescent="0.3">
      <c r="A5" s="4" t="s">
        <v>209</v>
      </c>
      <c r="B5" s="4" t="s">
        <v>210</v>
      </c>
      <c r="C5" s="5" t="s">
        <v>13</v>
      </c>
      <c r="D5" s="5" t="s">
        <v>211</v>
      </c>
      <c r="E5" s="5" t="s">
        <v>212</v>
      </c>
      <c r="F5" s="5" t="s">
        <v>213</v>
      </c>
      <c r="G5" s="5">
        <v>40</v>
      </c>
      <c r="H5" s="5">
        <v>30</v>
      </c>
      <c r="I5" s="5" t="s">
        <v>14</v>
      </c>
    </row>
    <row r="6" spans="1:9" x14ac:dyDescent="0.3">
      <c r="A6" s="4" t="s">
        <v>214</v>
      </c>
      <c r="B6" s="4" t="s">
        <v>215</v>
      </c>
      <c r="C6" s="5" t="s">
        <v>19</v>
      </c>
      <c r="D6" s="5" t="s">
        <v>211</v>
      </c>
      <c r="E6" s="5" t="s">
        <v>212</v>
      </c>
      <c r="F6" s="5" t="s">
        <v>213</v>
      </c>
      <c r="G6" s="5">
        <v>40</v>
      </c>
      <c r="H6" s="5">
        <v>30</v>
      </c>
      <c r="I6" s="5" t="s">
        <v>14</v>
      </c>
    </row>
    <row r="7" spans="1:9" x14ac:dyDescent="0.3">
      <c r="A7" s="4" t="s">
        <v>216</v>
      </c>
      <c r="B7" s="4" t="s">
        <v>217</v>
      </c>
      <c r="C7" s="5" t="s">
        <v>13</v>
      </c>
      <c r="D7" s="5" t="s">
        <v>218</v>
      </c>
      <c r="E7" s="5" t="s">
        <v>219</v>
      </c>
      <c r="F7" s="5" t="s">
        <v>220</v>
      </c>
      <c r="G7" s="5">
        <v>40</v>
      </c>
      <c r="H7" s="5">
        <v>30</v>
      </c>
      <c r="I7" s="5" t="s">
        <v>14</v>
      </c>
    </row>
    <row r="8" spans="1:9" x14ac:dyDescent="0.3">
      <c r="A8" s="4" t="s">
        <v>221</v>
      </c>
      <c r="B8" s="4" t="s">
        <v>222</v>
      </c>
      <c r="C8" s="5" t="s">
        <v>19</v>
      </c>
      <c r="D8" s="5" t="s">
        <v>218</v>
      </c>
      <c r="E8" s="5" t="s">
        <v>219</v>
      </c>
      <c r="F8" s="5" t="s">
        <v>220</v>
      </c>
      <c r="G8" s="5">
        <v>40</v>
      </c>
      <c r="H8" s="5">
        <v>30</v>
      </c>
      <c r="I8" s="5" t="s">
        <v>14</v>
      </c>
    </row>
    <row r="9" spans="1:9" ht="22.8" x14ac:dyDescent="0.3">
      <c r="A9" s="4" t="s">
        <v>223</v>
      </c>
      <c r="B9" s="4" t="s">
        <v>224</v>
      </c>
      <c r="C9" s="5" t="s">
        <v>13</v>
      </c>
      <c r="D9" s="5" t="s">
        <v>218</v>
      </c>
      <c r="E9" s="5" t="s">
        <v>219</v>
      </c>
      <c r="F9" s="5" t="s">
        <v>220</v>
      </c>
      <c r="G9" s="5">
        <v>40</v>
      </c>
      <c r="H9" s="5">
        <v>30</v>
      </c>
      <c r="I9" s="5" t="s">
        <v>14</v>
      </c>
    </row>
    <row r="10" spans="1:9" ht="22.8" x14ac:dyDescent="0.3">
      <c r="A10" s="4" t="s">
        <v>225</v>
      </c>
      <c r="B10" s="4" t="s">
        <v>226</v>
      </c>
      <c r="C10" s="5" t="s">
        <v>19</v>
      </c>
      <c r="D10" s="5" t="s">
        <v>218</v>
      </c>
      <c r="E10" s="5" t="s">
        <v>219</v>
      </c>
      <c r="F10" s="5" t="s">
        <v>220</v>
      </c>
      <c r="G10" s="5">
        <v>40</v>
      </c>
      <c r="H10" s="5">
        <v>30</v>
      </c>
      <c r="I10" s="5" t="s">
        <v>14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1. Denumiri RO</vt:lpstr>
      <vt:lpstr>2. Reteta vita RO</vt:lpstr>
      <vt:lpstr>2b. Reteta vita PREP-RO</vt:lpstr>
      <vt:lpstr>3. Reteta Pesto-Lemon RO</vt:lpstr>
      <vt:lpstr>4. Activare Lipton RO</vt:lpstr>
      <vt:lpstr>Produs nou Pepsi 400-500ml</vt:lpstr>
      <vt:lpstr>Upsell bauturi</vt:lpstr>
      <vt:lpstr>Add-on topping milkshake</vt:lpstr>
      <vt:lpstr>Limonada 310ML CAN </vt:lpstr>
      <vt:lpstr>Sacosa packuri delivery</vt:lpstr>
      <vt:lpstr>8. Preturi INSTORE RO</vt:lpstr>
      <vt:lpstr>9. Preturi DELIVERY RO</vt:lpstr>
      <vt:lpstr>Chisinau Pesto Lemon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H</cp:lastModifiedBy>
  <dcterms:created xsi:type="dcterms:W3CDTF">2026-07-20T19:43:51Z</dcterms:created>
  <dcterms:modified xsi:type="dcterms:W3CDTF">2026-07-21T15:11:06Z</dcterms:modified>
</cp:coreProperties>
</file>