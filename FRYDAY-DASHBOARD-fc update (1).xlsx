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lucianflorea/Downloads/"/>
    </mc:Choice>
  </mc:AlternateContent>
  <xr:revisionPtr revIDLastSave="0" documentId="13_ncr:1_{46C23D69-0592-2B4D-8EB9-D7ACDFC91E99}" xr6:coauthVersionLast="47" xr6:coauthVersionMax="47" xr10:uidLastSave="{00000000-0000-0000-0000-000000000000}"/>
  <bookViews>
    <workbookView xWindow="0" yWindow="0" windowWidth="38400" windowHeight="21600" tabRatio="500" activeTab="8" xr2:uid="{00000000-000D-0000-FFFF-FFFF00000000}"/>
  </bookViews>
  <sheets>
    <sheet name="GHID" sheetId="1" r:id="rId1"/>
    <sheet name="MASTER FC SĂPTĂMÂNĂ" sheetId="2" r:id="rId2"/>
    <sheet name="MASTER FC LUNĂ" sheetId="3" r:id="rId3"/>
    <sheet name="MASTER FC PERIOADĂ" sheetId="4" r:id="rId4"/>
    <sheet name="TOP SALES" sheetId="5" r:id="rId5"/>
    <sheet name="TOP FC" sheetId="6" r:id="rId6"/>
    <sheet name="SCENARIU" sheetId="7" r:id="rId7"/>
    <sheet name="AJUSTĂRI PE PRODUS" sheetId="8" r:id="rId8"/>
    <sheet name="SIMULARE PE PRODUS" sheetId="9" r:id="rId9"/>
    <sheet name="ECONOMII" sheetId="10" r:id="rId10"/>
    <sheet name="RETETAR" sheetId="11" r:id="rId11"/>
    <sheet name="NOMENCLATOR" sheetId="12" r:id="rId12"/>
  </sheets>
  <definedNames>
    <definedName name="_xlnm._FilterDatabase" localSheetId="7" hidden="1">'AJUSTĂRI PE PRODUS'!$A$5:$AB$203</definedName>
    <definedName name="_xlnm._FilterDatabase" localSheetId="8" hidden="1">'SIMULARE PE PRODUS'!$A$5:$BZ$243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966" i="11" l="1"/>
  <c r="I966" i="11" s="1"/>
  <c r="H964" i="11"/>
  <c r="I964" i="11" s="1"/>
  <c r="H963" i="11"/>
  <c r="I963" i="11" s="1"/>
  <c r="H962" i="11"/>
  <c r="I962" i="11" s="1"/>
  <c r="H961" i="11"/>
  <c r="I961" i="11" s="1"/>
  <c r="H960" i="11"/>
  <c r="I960" i="11" s="1"/>
  <c r="H959" i="11"/>
  <c r="I959" i="11" s="1"/>
  <c r="H957" i="11"/>
  <c r="I957" i="11" s="1"/>
  <c r="H956" i="11"/>
  <c r="I956" i="11" s="1"/>
  <c r="H955" i="11"/>
  <c r="I955" i="11" s="1"/>
  <c r="H954" i="11"/>
  <c r="I954" i="11" s="1"/>
  <c r="H953" i="11"/>
  <c r="I953" i="11" s="1"/>
  <c r="H952" i="11"/>
  <c r="I952" i="11" s="1"/>
  <c r="H950" i="11"/>
  <c r="I950" i="11" s="1"/>
  <c r="H949" i="11"/>
  <c r="I949" i="11" s="1"/>
  <c r="H948" i="11"/>
  <c r="I948" i="11" s="1"/>
  <c r="H947" i="11"/>
  <c r="I947" i="11" s="1"/>
  <c r="H946" i="11"/>
  <c r="I946" i="11" s="1"/>
  <c r="H945" i="11"/>
  <c r="I945" i="11" s="1"/>
  <c r="H944" i="11"/>
  <c r="I944" i="11" s="1"/>
  <c r="H942" i="11"/>
  <c r="I942" i="11" s="1"/>
  <c r="H941" i="11"/>
  <c r="I941" i="11" s="1"/>
  <c r="H940" i="11"/>
  <c r="I940" i="11" s="1"/>
  <c r="H939" i="11"/>
  <c r="I939" i="11" s="1"/>
  <c r="H938" i="11"/>
  <c r="I938" i="11" s="1"/>
  <c r="H937" i="11"/>
  <c r="I937" i="11" s="1"/>
  <c r="H936" i="11"/>
  <c r="I936" i="11" s="1"/>
  <c r="H934" i="11"/>
  <c r="I934" i="11" s="1"/>
  <c r="H933" i="11"/>
  <c r="I933" i="11" s="1"/>
  <c r="H932" i="11"/>
  <c r="I932" i="11" s="1"/>
  <c r="H931" i="11"/>
  <c r="I931" i="11" s="1"/>
  <c r="H930" i="11"/>
  <c r="I930" i="11" s="1"/>
  <c r="H929" i="11"/>
  <c r="I929" i="11" s="1"/>
  <c r="H928" i="11"/>
  <c r="I928" i="11" s="1"/>
  <c r="H927" i="11"/>
  <c r="I927" i="11" s="1"/>
  <c r="H925" i="11"/>
  <c r="I925" i="11" s="1"/>
  <c r="H924" i="11"/>
  <c r="I924" i="11" s="1"/>
  <c r="H922" i="11"/>
  <c r="I922" i="11" s="1"/>
  <c r="H921" i="11"/>
  <c r="I921" i="11" s="1"/>
  <c r="H919" i="11"/>
  <c r="I919" i="11" s="1"/>
  <c r="H917" i="11"/>
  <c r="I917" i="11" s="1"/>
  <c r="K916" i="11"/>
  <c r="H915" i="11"/>
  <c r="I915" i="11" s="1"/>
  <c r="K914" i="11"/>
  <c r="H913" i="11"/>
  <c r="I913" i="11" s="1"/>
  <c r="H911" i="11"/>
  <c r="I911" i="11" s="1"/>
  <c r="H910" i="11"/>
  <c r="I910" i="11" s="1"/>
  <c r="H908" i="11"/>
  <c r="I908" i="11" s="1"/>
  <c r="K907" i="11"/>
  <c r="H906" i="11"/>
  <c r="I906" i="11" s="1"/>
  <c r="H904" i="11"/>
  <c r="I904" i="11" s="1"/>
  <c r="H902" i="11"/>
  <c r="I902" i="11" s="1"/>
  <c r="H901" i="11"/>
  <c r="I901" i="11" s="1"/>
  <c r="H899" i="11"/>
  <c r="I899" i="11" s="1"/>
  <c r="H898" i="11"/>
  <c r="I898" i="11" s="1"/>
  <c r="H896" i="11"/>
  <c r="I896" i="11" s="1"/>
  <c r="H894" i="11"/>
  <c r="I894" i="11" s="1"/>
  <c r="H892" i="11"/>
  <c r="I892" i="11" s="1"/>
  <c r="H890" i="11"/>
  <c r="I890" i="11" s="1"/>
  <c r="H888" i="11"/>
  <c r="I888" i="11" s="1"/>
  <c r="H886" i="11"/>
  <c r="I886" i="11" s="1"/>
  <c r="H884" i="11"/>
  <c r="I884" i="11" s="1"/>
  <c r="H882" i="11"/>
  <c r="I882" i="11" s="1"/>
  <c r="H880" i="11"/>
  <c r="I880" i="11" s="1"/>
  <c r="H879" i="11"/>
  <c r="I879" i="11" s="1"/>
  <c r="H878" i="11"/>
  <c r="I878" i="11" s="1"/>
  <c r="H877" i="11"/>
  <c r="I877" i="11" s="1"/>
  <c r="H876" i="11"/>
  <c r="I876" i="11" s="1"/>
  <c r="H875" i="11"/>
  <c r="I875" i="11" s="1"/>
  <c r="H874" i="11"/>
  <c r="I874" i="11" s="1"/>
  <c r="H873" i="11"/>
  <c r="I873" i="11" s="1"/>
  <c r="H871" i="11"/>
  <c r="I871" i="11" s="1"/>
  <c r="H870" i="11"/>
  <c r="I870" i="11" s="1"/>
  <c r="H869" i="11"/>
  <c r="I869" i="11" s="1"/>
  <c r="H867" i="11"/>
  <c r="I867" i="11" s="1"/>
  <c r="H866" i="11"/>
  <c r="I866" i="11" s="1"/>
  <c r="H865" i="11"/>
  <c r="I865" i="11" s="1"/>
  <c r="H863" i="11"/>
  <c r="I863" i="11" s="1"/>
  <c r="H862" i="11"/>
  <c r="I862" i="11" s="1"/>
  <c r="H861" i="11"/>
  <c r="I861" i="11" s="1"/>
  <c r="H860" i="11"/>
  <c r="I860" i="11" s="1"/>
  <c r="H859" i="11"/>
  <c r="I859" i="11" s="1"/>
  <c r="H858" i="11"/>
  <c r="I858" i="11" s="1"/>
  <c r="H856" i="11"/>
  <c r="I856" i="11" s="1"/>
  <c r="H855" i="11"/>
  <c r="I855" i="11" s="1"/>
  <c r="H854" i="11"/>
  <c r="I854" i="11" s="1"/>
  <c r="H853" i="11"/>
  <c r="I853" i="11" s="1"/>
  <c r="H852" i="11"/>
  <c r="I852" i="11" s="1"/>
  <c r="H851" i="11"/>
  <c r="I851" i="11" s="1"/>
  <c r="H850" i="11"/>
  <c r="I850" i="11" s="1"/>
  <c r="H848" i="11"/>
  <c r="I848" i="11" s="1"/>
  <c r="H847" i="11"/>
  <c r="I847" i="11" s="1"/>
  <c r="H846" i="11"/>
  <c r="I846" i="11" s="1"/>
  <c r="H845" i="11"/>
  <c r="I845" i="11" s="1"/>
  <c r="H843" i="11"/>
  <c r="I843" i="11" s="1"/>
  <c r="H841" i="11"/>
  <c r="I841" i="11" s="1"/>
  <c r="H840" i="11"/>
  <c r="I840" i="11" s="1"/>
  <c r="H839" i="11"/>
  <c r="I839" i="11" s="1"/>
  <c r="H838" i="11"/>
  <c r="I838" i="11" s="1"/>
  <c r="H837" i="11"/>
  <c r="I837" i="11" s="1"/>
  <c r="H836" i="11"/>
  <c r="I836" i="11" s="1"/>
  <c r="H835" i="11"/>
  <c r="I835" i="11" s="1"/>
  <c r="H834" i="11"/>
  <c r="I834" i="11" s="1"/>
  <c r="H832" i="11"/>
  <c r="I832" i="11" s="1"/>
  <c r="H831" i="11"/>
  <c r="I831" i="11" s="1"/>
  <c r="H830" i="11"/>
  <c r="I830" i="11" s="1"/>
  <c r="H829" i="11"/>
  <c r="I829" i="11" s="1"/>
  <c r="H828" i="11"/>
  <c r="I828" i="11" s="1"/>
  <c r="H827" i="11"/>
  <c r="I827" i="11" s="1"/>
  <c r="H826" i="11"/>
  <c r="I826" i="11" s="1"/>
  <c r="H825" i="11"/>
  <c r="I825" i="11" s="1"/>
  <c r="H824" i="11"/>
  <c r="I824" i="11" s="1"/>
  <c r="H822" i="11"/>
  <c r="I822" i="11" s="1"/>
  <c r="H820" i="11"/>
  <c r="I820" i="11" s="1"/>
  <c r="H819" i="11"/>
  <c r="I819" i="11" s="1"/>
  <c r="H818" i="11"/>
  <c r="I818" i="11" s="1"/>
  <c r="H816" i="11"/>
  <c r="I816" i="11" s="1"/>
  <c r="K815" i="11"/>
  <c r="H814" i="11"/>
  <c r="I814" i="11" s="1"/>
  <c r="H812" i="11"/>
  <c r="I812" i="11" s="1"/>
  <c r="H811" i="11"/>
  <c r="I811" i="11" s="1"/>
  <c r="H810" i="11"/>
  <c r="I810" i="11" s="1"/>
  <c r="H809" i="11"/>
  <c r="I809" i="11" s="1"/>
  <c r="H808" i="11"/>
  <c r="I808" i="11" s="1"/>
  <c r="H807" i="11"/>
  <c r="I807" i="11" s="1"/>
  <c r="K806" i="11"/>
  <c r="H805" i="11"/>
  <c r="I805" i="11" s="1"/>
  <c r="H803" i="11"/>
  <c r="I803" i="11" s="1"/>
  <c r="H802" i="11"/>
  <c r="I802" i="11" s="1"/>
  <c r="H800" i="11"/>
  <c r="I800" i="11" s="1"/>
  <c r="H798" i="11"/>
  <c r="I798" i="11" s="1"/>
  <c r="H796" i="11"/>
  <c r="I796" i="11" s="1"/>
  <c r="H795" i="11"/>
  <c r="I795" i="11" s="1"/>
  <c r="H793" i="11"/>
  <c r="I793" i="11" s="1"/>
  <c r="H792" i="11"/>
  <c r="I792" i="11" s="1"/>
  <c r="H790" i="11"/>
  <c r="I790" i="11" s="1"/>
  <c r="H788" i="11"/>
  <c r="I788" i="11" s="1"/>
  <c r="K787" i="11"/>
  <c r="H786" i="11"/>
  <c r="I786" i="11" s="1"/>
  <c r="H785" i="11"/>
  <c r="I785" i="11" s="1"/>
  <c r="H783" i="11"/>
  <c r="I783" i="11" s="1"/>
  <c r="K784" i="11" s="1"/>
  <c r="H782" i="11"/>
  <c r="I782" i="11" s="1"/>
  <c r="H781" i="11"/>
  <c r="I781" i="11" s="1"/>
  <c r="J784" i="11" s="1"/>
  <c r="K780" i="11"/>
  <c r="H779" i="11"/>
  <c r="I779" i="11" s="1"/>
  <c r="H778" i="11"/>
  <c r="I778" i="11" s="1"/>
  <c r="K777" i="11"/>
  <c r="H776" i="11"/>
  <c r="I776" i="11" s="1"/>
  <c r="H775" i="11"/>
  <c r="I775" i="11" s="1"/>
  <c r="K774" i="11"/>
  <c r="H773" i="11"/>
  <c r="I773" i="11" s="1"/>
  <c r="H772" i="11"/>
  <c r="I772" i="11" s="1"/>
  <c r="J774" i="11" s="1"/>
  <c r="J771" i="11"/>
  <c r="H770" i="11"/>
  <c r="I770" i="11" s="1"/>
  <c r="H768" i="11"/>
  <c r="I768" i="11" s="1"/>
  <c r="H766" i="11"/>
  <c r="I766" i="11" s="1"/>
  <c r="H764" i="11"/>
  <c r="I764" i="11" s="1"/>
  <c r="H763" i="11"/>
  <c r="I763" i="11" s="1"/>
  <c r="H761" i="11"/>
  <c r="I761" i="11" s="1"/>
  <c r="H760" i="11"/>
  <c r="I760" i="11" s="1"/>
  <c r="K759" i="11"/>
  <c r="H758" i="11"/>
  <c r="I758" i="11" s="1"/>
  <c r="H757" i="11"/>
  <c r="I757" i="11" s="1"/>
  <c r="H755" i="11"/>
  <c r="I755" i="11" s="1"/>
  <c r="H754" i="11"/>
  <c r="I754" i="11" s="1"/>
  <c r="H753" i="11"/>
  <c r="I753" i="11" s="1"/>
  <c r="H752" i="11"/>
  <c r="I752" i="11" s="1"/>
  <c r="H750" i="11"/>
  <c r="I750" i="11" s="1"/>
  <c r="H749" i="11"/>
  <c r="I749" i="11" s="1"/>
  <c r="H748" i="11"/>
  <c r="I748" i="11" s="1"/>
  <c r="H747" i="11"/>
  <c r="I747" i="11" s="1"/>
  <c r="H745" i="11"/>
  <c r="I745" i="11" s="1"/>
  <c r="H744" i="11"/>
  <c r="I744" i="11" s="1"/>
  <c r="H743" i="11"/>
  <c r="I743" i="11" s="1"/>
  <c r="H742" i="11"/>
  <c r="I742" i="11" s="1"/>
  <c r="H740" i="11"/>
  <c r="I740" i="11" s="1"/>
  <c r="H738" i="11"/>
  <c r="I738" i="11" s="1"/>
  <c r="H737" i="11"/>
  <c r="I737" i="11" s="1"/>
  <c r="H736" i="11"/>
  <c r="I736" i="11" s="1"/>
  <c r="H735" i="11"/>
  <c r="I735" i="11" s="1"/>
  <c r="H734" i="11"/>
  <c r="I734" i="11" s="1"/>
  <c r="H733" i="11"/>
  <c r="I733" i="11" s="1"/>
  <c r="H732" i="11"/>
  <c r="I732" i="11" s="1"/>
  <c r="H730" i="11"/>
  <c r="I730" i="11" s="1"/>
  <c r="H729" i="11"/>
  <c r="I729" i="11" s="1"/>
  <c r="H728" i="11"/>
  <c r="I728" i="11" s="1"/>
  <c r="H727" i="11"/>
  <c r="I727" i="11" s="1"/>
  <c r="H726" i="11"/>
  <c r="I726" i="11" s="1"/>
  <c r="H724" i="11"/>
  <c r="I724" i="11" s="1"/>
  <c r="H723" i="11"/>
  <c r="I723" i="11" s="1"/>
  <c r="H722" i="11"/>
  <c r="I722" i="11" s="1"/>
  <c r="K721" i="11"/>
  <c r="H720" i="11"/>
  <c r="I720" i="11" s="1"/>
  <c r="H719" i="11"/>
  <c r="I719" i="11" s="1"/>
  <c r="K718" i="11"/>
  <c r="H717" i="11"/>
  <c r="I717" i="11" s="1"/>
  <c r="H716" i="11"/>
  <c r="I716" i="11" s="1"/>
  <c r="K715" i="11"/>
  <c r="H714" i="11"/>
  <c r="I714" i="11" s="1"/>
  <c r="H713" i="11"/>
  <c r="I713" i="11" s="1"/>
  <c r="J715" i="11" s="1"/>
  <c r="J712" i="11"/>
  <c r="H711" i="11"/>
  <c r="I711" i="11" s="1"/>
  <c r="H709" i="11"/>
  <c r="I709" i="11" s="1"/>
  <c r="H708" i="11"/>
  <c r="I708" i="11" s="1"/>
  <c r="H706" i="11"/>
  <c r="I706" i="11" s="1"/>
  <c r="H704" i="11"/>
  <c r="I704" i="11" s="1"/>
  <c r="H703" i="11"/>
  <c r="I703" i="11" s="1"/>
  <c r="K702" i="11"/>
  <c r="H701" i="11"/>
  <c r="I701" i="11" s="1"/>
  <c r="H700" i="11"/>
  <c r="I700" i="11" s="1"/>
  <c r="K699" i="11"/>
  <c r="H698" i="11"/>
  <c r="I698" i="11" s="1"/>
  <c r="H697" i="11"/>
  <c r="I697" i="11" s="1"/>
  <c r="K696" i="11"/>
  <c r="H695" i="11"/>
  <c r="I695" i="11" s="1"/>
  <c r="H694" i="11"/>
  <c r="I694" i="11" s="1"/>
  <c r="H692" i="11"/>
  <c r="I692" i="11" s="1"/>
  <c r="H691" i="11"/>
  <c r="I691" i="11" s="1"/>
  <c r="K690" i="11"/>
  <c r="H689" i="11"/>
  <c r="I689" i="11" s="1"/>
  <c r="H688" i="11"/>
  <c r="I688" i="11" s="1"/>
  <c r="K687" i="11"/>
  <c r="H686" i="11"/>
  <c r="I686" i="11" s="1"/>
  <c r="H685" i="11"/>
  <c r="I685" i="11" s="1"/>
  <c r="K684" i="11"/>
  <c r="H683" i="11"/>
  <c r="I683" i="11" s="1"/>
  <c r="H682" i="11"/>
  <c r="I682" i="11" s="1"/>
  <c r="H680" i="11"/>
  <c r="I680" i="11" s="1"/>
  <c r="H679" i="11"/>
  <c r="I679" i="11" s="1"/>
  <c r="H677" i="11"/>
  <c r="I677" i="11" s="1"/>
  <c r="H676" i="11"/>
  <c r="I676" i="11" s="1"/>
  <c r="H675" i="11"/>
  <c r="I675" i="11" s="1"/>
  <c r="H673" i="11"/>
  <c r="I673" i="11" s="1"/>
  <c r="H672" i="11"/>
  <c r="I672" i="11" s="1"/>
  <c r="H670" i="11"/>
  <c r="I670" i="11" s="1"/>
  <c r="H669" i="11"/>
  <c r="I669" i="11" s="1"/>
  <c r="H668" i="11"/>
  <c r="I668" i="11" s="1"/>
  <c r="H666" i="11"/>
  <c r="I666" i="11" s="1"/>
  <c r="H665" i="11"/>
  <c r="I665" i="11" s="1"/>
  <c r="H663" i="11"/>
  <c r="I663" i="11" s="1"/>
  <c r="H662" i="11"/>
  <c r="I662" i="11" s="1"/>
  <c r="H661" i="11"/>
  <c r="I661" i="11" s="1"/>
  <c r="H659" i="11"/>
  <c r="I659" i="11" s="1"/>
  <c r="H658" i="11"/>
  <c r="I658" i="11" s="1"/>
  <c r="H656" i="11"/>
  <c r="I656" i="11" s="1"/>
  <c r="H655" i="11"/>
  <c r="I655" i="11" s="1"/>
  <c r="H654" i="11"/>
  <c r="I654" i="11" s="1"/>
  <c r="H652" i="11"/>
  <c r="I652" i="11" s="1"/>
  <c r="H651" i="11"/>
  <c r="I651" i="11" s="1"/>
  <c r="H650" i="11"/>
  <c r="I650" i="11" s="1"/>
  <c r="H648" i="11"/>
  <c r="I648" i="11" s="1"/>
  <c r="H647" i="11"/>
  <c r="I647" i="11" s="1"/>
  <c r="H646" i="11"/>
  <c r="I646" i="11" s="1"/>
  <c r="K645" i="11"/>
  <c r="H644" i="11"/>
  <c r="I644" i="11" s="1"/>
  <c r="H643" i="11"/>
  <c r="I643" i="11" s="1"/>
  <c r="H641" i="11"/>
  <c r="I641" i="11" s="1"/>
  <c r="H640" i="11"/>
  <c r="I640" i="11" s="1"/>
  <c r="H639" i="11"/>
  <c r="I639" i="11" s="1"/>
  <c r="H637" i="11"/>
  <c r="I637" i="11" s="1"/>
  <c r="H636" i="11"/>
  <c r="I636" i="11" s="1"/>
  <c r="H635" i="11"/>
  <c r="I635" i="11" s="1"/>
  <c r="H634" i="11"/>
  <c r="I634" i="11" s="1"/>
  <c r="H633" i="11"/>
  <c r="I633" i="11" s="1"/>
  <c r="H632" i="11"/>
  <c r="I632" i="11" s="1"/>
  <c r="H631" i="11"/>
  <c r="I631" i="11" s="1"/>
  <c r="H629" i="11"/>
  <c r="I629" i="11" s="1"/>
  <c r="K628" i="11"/>
  <c r="H627" i="11"/>
  <c r="I627" i="11" s="1"/>
  <c r="H626" i="11"/>
  <c r="I626" i="11" s="1"/>
  <c r="K625" i="11"/>
  <c r="H624" i="11"/>
  <c r="I624" i="11" s="1"/>
  <c r="H623" i="11"/>
  <c r="I623" i="11" s="1"/>
  <c r="K622" i="11"/>
  <c r="H621" i="11"/>
  <c r="I621" i="11" s="1"/>
  <c r="H620" i="11"/>
  <c r="I620" i="11" s="1"/>
  <c r="J622" i="11" s="1"/>
  <c r="H618" i="11"/>
  <c r="I618" i="11" s="1"/>
  <c r="H617" i="11"/>
  <c r="I617" i="11" s="1"/>
  <c r="H616" i="11"/>
  <c r="I616" i="11" s="1"/>
  <c r="H615" i="11"/>
  <c r="I615" i="11" s="1"/>
  <c r="J614" i="11"/>
  <c r="H613" i="11"/>
  <c r="I613" i="11" s="1"/>
  <c r="H612" i="11"/>
  <c r="I612" i="11" s="1"/>
  <c r="H611" i="11"/>
  <c r="I611" i="11" s="1"/>
  <c r="H610" i="11"/>
  <c r="I610" i="11" s="1"/>
  <c r="K609" i="11"/>
  <c r="H608" i="11"/>
  <c r="I608" i="11" s="1"/>
  <c r="H607" i="11"/>
  <c r="I607" i="11" s="1"/>
  <c r="H606" i="11"/>
  <c r="I606" i="11" s="1"/>
  <c r="H605" i="11"/>
  <c r="I605" i="11" s="1"/>
  <c r="H603" i="11"/>
  <c r="I603" i="11" s="1"/>
  <c r="H602" i="11"/>
  <c r="I602" i="11" s="1"/>
  <c r="H601" i="11"/>
  <c r="I601" i="11" s="1"/>
  <c r="H600" i="11"/>
  <c r="I600" i="11" s="1"/>
  <c r="H599" i="11"/>
  <c r="I599" i="11" s="1"/>
  <c r="H597" i="11"/>
  <c r="I597" i="11" s="1"/>
  <c r="H595" i="11"/>
  <c r="I595" i="11" s="1"/>
  <c r="H594" i="11"/>
  <c r="I594" i="11" s="1"/>
  <c r="H593" i="11"/>
  <c r="I593" i="11" s="1"/>
  <c r="H592" i="11"/>
  <c r="I592" i="11" s="1"/>
  <c r="H591" i="11"/>
  <c r="I591" i="11" s="1"/>
  <c r="H590" i="11"/>
  <c r="I590" i="11" s="1"/>
  <c r="H589" i="11"/>
  <c r="I589" i="11" s="1"/>
  <c r="H588" i="11"/>
  <c r="I588" i="11" s="1"/>
  <c r="H587" i="11"/>
  <c r="I587" i="11" s="1"/>
  <c r="H586" i="11"/>
  <c r="I586" i="11" s="1"/>
  <c r="H585" i="11"/>
  <c r="I585" i="11" s="1"/>
  <c r="H584" i="11"/>
  <c r="I584" i="11" s="1"/>
  <c r="H583" i="11"/>
  <c r="I583" i="11" s="1"/>
  <c r="H581" i="11"/>
  <c r="I581" i="11" s="1"/>
  <c r="H580" i="11"/>
  <c r="I580" i="11" s="1"/>
  <c r="H579" i="11"/>
  <c r="I579" i="11" s="1"/>
  <c r="H578" i="11"/>
  <c r="I578" i="11" s="1"/>
  <c r="H577" i="11"/>
  <c r="I577" i="11" s="1"/>
  <c r="H576" i="11"/>
  <c r="I576" i="11" s="1"/>
  <c r="H575" i="11"/>
  <c r="I575" i="11" s="1"/>
  <c r="H574" i="11"/>
  <c r="I574" i="11" s="1"/>
  <c r="H573" i="11"/>
  <c r="I573" i="11" s="1"/>
  <c r="H572" i="11"/>
  <c r="I572" i="11" s="1"/>
  <c r="H571" i="11"/>
  <c r="I571" i="11" s="1"/>
  <c r="H570" i="11"/>
  <c r="I570" i="11" s="1"/>
  <c r="H569" i="11"/>
  <c r="I569" i="11" s="1"/>
  <c r="H568" i="11"/>
  <c r="I568" i="11" s="1"/>
  <c r="H566" i="11"/>
  <c r="I566" i="11" s="1"/>
  <c r="H565" i="11"/>
  <c r="I565" i="11" s="1"/>
  <c r="H564" i="11"/>
  <c r="I564" i="11" s="1"/>
  <c r="H563" i="11"/>
  <c r="I563" i="11" s="1"/>
  <c r="H562" i="11"/>
  <c r="I562" i="11" s="1"/>
  <c r="H561" i="11"/>
  <c r="I561" i="11" s="1"/>
  <c r="H560" i="11"/>
  <c r="I560" i="11" s="1"/>
  <c r="H559" i="11"/>
  <c r="I559" i="11" s="1"/>
  <c r="H558" i="11"/>
  <c r="I558" i="11" s="1"/>
  <c r="H557" i="11"/>
  <c r="I557" i="11" s="1"/>
  <c r="H555" i="11"/>
  <c r="I555" i="11" s="1"/>
  <c r="K554" i="11"/>
  <c r="H553" i="11"/>
  <c r="I553" i="11" s="1"/>
  <c r="H552" i="11"/>
  <c r="I552" i="11" s="1"/>
  <c r="H551" i="11"/>
  <c r="I551" i="11" s="1"/>
  <c r="H550" i="11"/>
  <c r="I550" i="11" s="1"/>
  <c r="H549" i="11"/>
  <c r="I549" i="11" s="1"/>
  <c r="H548" i="11"/>
  <c r="I548" i="11" s="1"/>
  <c r="K547" i="11"/>
  <c r="H546" i="11"/>
  <c r="I546" i="11" s="1"/>
  <c r="H545" i="11"/>
  <c r="I545" i="11" s="1"/>
  <c r="H544" i="11"/>
  <c r="I544" i="11" s="1"/>
  <c r="H543" i="11"/>
  <c r="I543" i="11" s="1"/>
  <c r="H542" i="11"/>
  <c r="I542" i="11" s="1"/>
  <c r="H541" i="11"/>
  <c r="I541" i="11" s="1"/>
  <c r="H539" i="11"/>
  <c r="I539" i="11" s="1"/>
  <c r="H538" i="11"/>
  <c r="I538" i="11" s="1"/>
  <c r="H537" i="11"/>
  <c r="I537" i="11" s="1"/>
  <c r="H536" i="11"/>
  <c r="I536" i="11" s="1"/>
  <c r="H535" i="11"/>
  <c r="I535" i="11" s="1"/>
  <c r="H533" i="11"/>
  <c r="I533" i="11" s="1"/>
  <c r="H532" i="11"/>
  <c r="I532" i="11" s="1"/>
  <c r="H531" i="11"/>
  <c r="I531" i="11" s="1"/>
  <c r="H529" i="11"/>
  <c r="I529" i="11" s="1"/>
  <c r="H528" i="11"/>
  <c r="I528" i="11" s="1"/>
  <c r="H527" i="11"/>
  <c r="I527" i="11" s="1"/>
  <c r="H525" i="11"/>
  <c r="I525" i="11" s="1"/>
  <c r="H524" i="11"/>
  <c r="I524" i="11" s="1"/>
  <c r="H523" i="11"/>
  <c r="I523" i="11" s="1"/>
  <c r="H521" i="11"/>
  <c r="I521" i="11" s="1"/>
  <c r="H520" i="11"/>
  <c r="I520" i="11" s="1"/>
  <c r="H519" i="11"/>
  <c r="I519" i="11" s="1"/>
  <c r="H517" i="11"/>
  <c r="I517" i="11" s="1"/>
  <c r="H516" i="11"/>
  <c r="I516" i="11" s="1"/>
  <c r="H515" i="11"/>
  <c r="I515" i="11" s="1"/>
  <c r="H514" i="11"/>
  <c r="I514" i="11" s="1"/>
  <c r="H513" i="11"/>
  <c r="I513" i="11" s="1"/>
  <c r="H512" i="11"/>
  <c r="I512" i="11" s="1"/>
  <c r="H511" i="11"/>
  <c r="I511" i="11" s="1"/>
  <c r="H510" i="11"/>
  <c r="I510" i="11" s="1"/>
  <c r="H508" i="11"/>
  <c r="I508" i="11" s="1"/>
  <c r="H507" i="11"/>
  <c r="I507" i="11" s="1"/>
  <c r="H506" i="11"/>
  <c r="I506" i="11" s="1"/>
  <c r="H505" i="11"/>
  <c r="I505" i="11" s="1"/>
  <c r="H504" i="11"/>
  <c r="I504" i="11" s="1"/>
  <c r="H503" i="11"/>
  <c r="I503" i="11" s="1"/>
  <c r="H502" i="11"/>
  <c r="I502" i="11" s="1"/>
  <c r="H501" i="11"/>
  <c r="I501" i="11" s="1"/>
  <c r="H499" i="11"/>
  <c r="I499" i="11" s="1"/>
  <c r="H498" i="11"/>
  <c r="I498" i="11" s="1"/>
  <c r="H497" i="11"/>
  <c r="I497" i="11" s="1"/>
  <c r="H496" i="11"/>
  <c r="I496" i="11" s="1"/>
  <c r="H495" i="11"/>
  <c r="I495" i="11" s="1"/>
  <c r="H494" i="11"/>
  <c r="I494" i="11" s="1"/>
  <c r="H493" i="11"/>
  <c r="I493" i="11" s="1"/>
  <c r="H492" i="11"/>
  <c r="I492" i="11" s="1"/>
  <c r="H490" i="11"/>
  <c r="I490" i="11" s="1"/>
  <c r="H489" i="11"/>
  <c r="I489" i="11" s="1"/>
  <c r="H488" i="11"/>
  <c r="I488" i="11" s="1"/>
  <c r="H487" i="11"/>
  <c r="I487" i="11" s="1"/>
  <c r="H486" i="11"/>
  <c r="I486" i="11" s="1"/>
  <c r="H485" i="11"/>
  <c r="I485" i="11" s="1"/>
  <c r="H484" i="11"/>
  <c r="I484" i="11" s="1"/>
  <c r="H483" i="11"/>
  <c r="I483" i="11" s="1"/>
  <c r="H481" i="11"/>
  <c r="I481" i="11" s="1"/>
  <c r="H480" i="11"/>
  <c r="I480" i="11" s="1"/>
  <c r="H479" i="11"/>
  <c r="I479" i="11" s="1"/>
  <c r="H478" i="11"/>
  <c r="I478" i="11" s="1"/>
  <c r="H477" i="11"/>
  <c r="I477" i="11" s="1"/>
  <c r="H476" i="11"/>
  <c r="I476" i="11" s="1"/>
  <c r="H475" i="11"/>
  <c r="I475" i="11" s="1"/>
  <c r="H474" i="11"/>
  <c r="I474" i="11" s="1"/>
  <c r="H472" i="11"/>
  <c r="I472" i="11" s="1"/>
  <c r="H471" i="11"/>
  <c r="I471" i="11" s="1"/>
  <c r="H470" i="11"/>
  <c r="I470" i="11" s="1"/>
  <c r="H469" i="11"/>
  <c r="I469" i="11" s="1"/>
  <c r="H468" i="11"/>
  <c r="I468" i="11" s="1"/>
  <c r="H467" i="11"/>
  <c r="I467" i="11" s="1"/>
  <c r="H466" i="11"/>
  <c r="I466" i="11" s="1"/>
  <c r="J465" i="11"/>
  <c r="H464" i="11"/>
  <c r="I464" i="11" s="1"/>
  <c r="J463" i="11"/>
  <c r="H462" i="11"/>
  <c r="I462" i="11" s="1"/>
  <c r="J461" i="11"/>
  <c r="H460" i="11"/>
  <c r="I460" i="11" s="1"/>
  <c r="K459" i="11"/>
  <c r="H458" i="11"/>
  <c r="I458" i="11" s="1"/>
  <c r="H457" i="11"/>
  <c r="I457" i="11" s="1"/>
  <c r="H456" i="11"/>
  <c r="I456" i="11" s="1"/>
  <c r="H455" i="11"/>
  <c r="I455" i="11" s="1"/>
  <c r="H454" i="11"/>
  <c r="I454" i="11" s="1"/>
  <c r="H453" i="11"/>
  <c r="I453" i="11" s="1"/>
  <c r="K452" i="11"/>
  <c r="H451" i="11"/>
  <c r="I451" i="11" s="1"/>
  <c r="H450" i="11"/>
  <c r="I450" i="11" s="1"/>
  <c r="H449" i="11"/>
  <c r="I449" i="11" s="1"/>
  <c r="H448" i="11"/>
  <c r="I448" i="11" s="1"/>
  <c r="H447" i="11"/>
  <c r="I447" i="11" s="1"/>
  <c r="K446" i="11"/>
  <c r="H445" i="11"/>
  <c r="I445" i="11" s="1"/>
  <c r="H444" i="11"/>
  <c r="I444" i="11" s="1"/>
  <c r="H443" i="11"/>
  <c r="I443" i="11" s="1"/>
  <c r="H442" i="11"/>
  <c r="I442" i="11" s="1"/>
  <c r="H441" i="11"/>
  <c r="I441" i="11" s="1"/>
  <c r="K440" i="11"/>
  <c r="H439" i="11"/>
  <c r="I439" i="11" s="1"/>
  <c r="H438" i="11"/>
  <c r="I438" i="11" s="1"/>
  <c r="H437" i="11"/>
  <c r="I437" i="11" s="1"/>
  <c r="H436" i="11"/>
  <c r="I436" i="11" s="1"/>
  <c r="H435" i="11"/>
  <c r="I435" i="11" s="1"/>
  <c r="K434" i="11"/>
  <c r="H433" i="11"/>
  <c r="I433" i="11" s="1"/>
  <c r="H432" i="11"/>
  <c r="I432" i="11" s="1"/>
  <c r="H431" i="11"/>
  <c r="I431" i="11" s="1"/>
  <c r="H430" i="11"/>
  <c r="I430" i="11" s="1"/>
  <c r="H429" i="11"/>
  <c r="I429" i="11" s="1"/>
  <c r="K428" i="11"/>
  <c r="H427" i="11"/>
  <c r="I427" i="11" s="1"/>
  <c r="H426" i="11"/>
  <c r="I426" i="11" s="1"/>
  <c r="H425" i="11"/>
  <c r="I425" i="11" s="1"/>
  <c r="H424" i="11"/>
  <c r="I424" i="11" s="1"/>
  <c r="H422" i="11"/>
  <c r="I422" i="11" s="1"/>
  <c r="H421" i="11"/>
  <c r="I421" i="11" s="1"/>
  <c r="H419" i="11"/>
  <c r="I419" i="11" s="1"/>
  <c r="H418" i="11"/>
  <c r="I418" i="11" s="1"/>
  <c r="H416" i="11"/>
  <c r="I416" i="11" s="1"/>
  <c r="H415" i="11"/>
  <c r="I415" i="11" s="1"/>
  <c r="H413" i="11"/>
  <c r="I413" i="11" s="1"/>
  <c r="H412" i="11"/>
  <c r="I412" i="11" s="1"/>
  <c r="H411" i="11"/>
  <c r="I411" i="11" s="1"/>
  <c r="H410" i="11"/>
  <c r="I410" i="11" s="1"/>
  <c r="H408" i="11"/>
  <c r="I408" i="11" s="1"/>
  <c r="H407" i="11"/>
  <c r="I407" i="11" s="1"/>
  <c r="H406" i="11"/>
  <c r="I406" i="11" s="1"/>
  <c r="H405" i="11"/>
  <c r="I405" i="11" s="1"/>
  <c r="H403" i="11"/>
  <c r="I403" i="11" s="1"/>
  <c r="H402" i="11"/>
  <c r="I402" i="11" s="1"/>
  <c r="H401" i="11"/>
  <c r="I401" i="11" s="1"/>
  <c r="H400" i="11"/>
  <c r="I400" i="11" s="1"/>
  <c r="H399" i="11"/>
  <c r="I399" i="11" s="1"/>
  <c r="H398" i="11"/>
  <c r="I398" i="11" s="1"/>
  <c r="H397" i="11"/>
  <c r="I397" i="11" s="1"/>
  <c r="H396" i="11"/>
  <c r="I396" i="11" s="1"/>
  <c r="H394" i="11"/>
  <c r="I394" i="11" s="1"/>
  <c r="H393" i="11"/>
  <c r="I393" i="11" s="1"/>
  <c r="H392" i="11"/>
  <c r="I392" i="11" s="1"/>
  <c r="H391" i="11"/>
  <c r="I391" i="11" s="1"/>
  <c r="H390" i="11"/>
  <c r="I390" i="11" s="1"/>
  <c r="H389" i="11"/>
  <c r="I389" i="11" s="1"/>
  <c r="H388" i="11"/>
  <c r="I388" i="11" s="1"/>
  <c r="H387" i="11"/>
  <c r="I387" i="11" s="1"/>
  <c r="H386" i="11"/>
  <c r="I386" i="11" s="1"/>
  <c r="H384" i="11"/>
  <c r="I384" i="11" s="1"/>
  <c r="H383" i="11"/>
  <c r="I383" i="11" s="1"/>
  <c r="H382" i="11"/>
  <c r="I382" i="11" s="1"/>
  <c r="H381" i="11"/>
  <c r="I381" i="11" s="1"/>
  <c r="H380" i="11"/>
  <c r="I380" i="11" s="1"/>
  <c r="H379" i="11"/>
  <c r="I379" i="11" s="1"/>
  <c r="H378" i="11"/>
  <c r="I378" i="11" s="1"/>
  <c r="H376" i="11"/>
  <c r="I376" i="11" s="1"/>
  <c r="H375" i="11"/>
  <c r="I375" i="11" s="1"/>
  <c r="H374" i="11"/>
  <c r="I374" i="11" s="1"/>
  <c r="H373" i="11"/>
  <c r="I373" i="11" s="1"/>
  <c r="H372" i="11"/>
  <c r="I372" i="11" s="1"/>
  <c r="H371" i="11"/>
  <c r="I371" i="11" s="1"/>
  <c r="H370" i="11"/>
  <c r="I370" i="11" s="1"/>
  <c r="H368" i="11"/>
  <c r="I368" i="11" s="1"/>
  <c r="H367" i="11"/>
  <c r="I367" i="11" s="1"/>
  <c r="H366" i="11"/>
  <c r="I366" i="11" s="1"/>
  <c r="H365" i="11"/>
  <c r="I365" i="11" s="1"/>
  <c r="H364" i="11"/>
  <c r="I364" i="11" s="1"/>
  <c r="H363" i="11"/>
  <c r="I363" i="11" s="1"/>
  <c r="H362" i="11"/>
  <c r="I362" i="11" s="1"/>
  <c r="H361" i="11"/>
  <c r="I361" i="11" s="1"/>
  <c r="H359" i="11"/>
  <c r="I359" i="11" s="1"/>
  <c r="H358" i="11"/>
  <c r="I358" i="11" s="1"/>
  <c r="H357" i="11"/>
  <c r="I357" i="11" s="1"/>
  <c r="H356" i="11"/>
  <c r="I356" i="11" s="1"/>
  <c r="H355" i="11"/>
  <c r="I355" i="11" s="1"/>
  <c r="H354" i="11"/>
  <c r="I354" i="11" s="1"/>
  <c r="H353" i="11"/>
  <c r="I353" i="11" s="1"/>
  <c r="H352" i="11"/>
  <c r="I352" i="11" s="1"/>
  <c r="H350" i="11"/>
  <c r="I350" i="11" s="1"/>
  <c r="H349" i="11"/>
  <c r="I349" i="11" s="1"/>
  <c r="H348" i="11"/>
  <c r="I348" i="11" s="1"/>
  <c r="H347" i="11"/>
  <c r="I347" i="11" s="1"/>
  <c r="H346" i="11"/>
  <c r="I346" i="11" s="1"/>
  <c r="H345" i="11"/>
  <c r="I345" i="11" s="1"/>
  <c r="H344" i="11"/>
  <c r="I344" i="11" s="1"/>
  <c r="H342" i="11"/>
  <c r="I342" i="11" s="1"/>
  <c r="J341" i="11"/>
  <c r="H340" i="11"/>
  <c r="I340" i="11" s="1"/>
  <c r="H338" i="11"/>
  <c r="I338" i="11" s="1"/>
  <c r="H336" i="11"/>
  <c r="I336" i="11" s="1"/>
  <c r="H335" i="11"/>
  <c r="I335" i="11" s="1"/>
  <c r="H334" i="11"/>
  <c r="I334" i="11" s="1"/>
  <c r="H332" i="11"/>
  <c r="I332" i="11" s="1"/>
  <c r="H331" i="11"/>
  <c r="I331" i="11" s="1"/>
  <c r="H330" i="11"/>
  <c r="I330" i="11" s="1"/>
  <c r="H328" i="11"/>
  <c r="I328" i="11" s="1"/>
  <c r="H327" i="11"/>
  <c r="I327" i="11" s="1"/>
  <c r="H326" i="11"/>
  <c r="I326" i="11" s="1"/>
  <c r="H324" i="11"/>
  <c r="I324" i="11" s="1"/>
  <c r="H323" i="11"/>
  <c r="I323" i="11" s="1"/>
  <c r="H322" i="11"/>
  <c r="I322" i="11" s="1"/>
  <c r="H320" i="11"/>
  <c r="I320" i="11" s="1"/>
  <c r="H319" i="11"/>
  <c r="I319" i="11" s="1"/>
  <c r="H318" i="11"/>
  <c r="I318" i="11" s="1"/>
  <c r="H316" i="11"/>
  <c r="I316" i="11" s="1"/>
  <c r="H314" i="11"/>
  <c r="I314" i="11" s="1"/>
  <c r="H312" i="11"/>
  <c r="I312" i="11" s="1"/>
  <c r="H311" i="11"/>
  <c r="I311" i="11" s="1"/>
  <c r="H310" i="11"/>
  <c r="I310" i="11" s="1"/>
  <c r="H309" i="11"/>
  <c r="I309" i="11" s="1"/>
  <c r="H308" i="11"/>
  <c r="I308" i="11" s="1"/>
  <c r="H307" i="11"/>
  <c r="I307" i="11" s="1"/>
  <c r="H305" i="11"/>
  <c r="I305" i="11" s="1"/>
  <c r="H304" i="11"/>
  <c r="I304" i="11" s="1"/>
  <c r="H303" i="11"/>
  <c r="I303" i="11" s="1"/>
  <c r="H302" i="11"/>
  <c r="I302" i="11" s="1"/>
  <c r="H301" i="11"/>
  <c r="I301" i="11" s="1"/>
  <c r="H300" i="11"/>
  <c r="I300" i="11" s="1"/>
  <c r="H298" i="11"/>
  <c r="I298" i="11" s="1"/>
  <c r="H297" i="11"/>
  <c r="I297" i="11" s="1"/>
  <c r="H296" i="11"/>
  <c r="I296" i="11" s="1"/>
  <c r="H295" i="11"/>
  <c r="I295" i="11" s="1"/>
  <c r="H294" i="11"/>
  <c r="I294" i="11" s="1"/>
  <c r="H293" i="11"/>
  <c r="I293" i="11" s="1"/>
  <c r="H292" i="11"/>
  <c r="I292" i="11" s="1"/>
  <c r="H291" i="11"/>
  <c r="I291" i="11" s="1"/>
  <c r="H289" i="11"/>
  <c r="I289" i="11" s="1"/>
  <c r="H288" i="11"/>
  <c r="I288" i="11" s="1"/>
  <c r="H287" i="11"/>
  <c r="I287" i="11" s="1"/>
  <c r="H286" i="11"/>
  <c r="I286" i="11" s="1"/>
  <c r="H285" i="11"/>
  <c r="I285" i="11" s="1"/>
  <c r="H284" i="11"/>
  <c r="I284" i="11" s="1"/>
  <c r="H283" i="11"/>
  <c r="I283" i="11" s="1"/>
  <c r="H281" i="11"/>
  <c r="I281" i="11" s="1"/>
  <c r="H280" i="11"/>
  <c r="I280" i="11" s="1"/>
  <c r="H279" i="11"/>
  <c r="I279" i="11" s="1"/>
  <c r="H278" i="11"/>
  <c r="I278" i="11" s="1"/>
  <c r="H277" i="11"/>
  <c r="I277" i="11" s="1"/>
  <c r="H276" i="11"/>
  <c r="I276" i="11" s="1"/>
  <c r="H275" i="11"/>
  <c r="I275" i="11" s="1"/>
  <c r="H273" i="11"/>
  <c r="I273" i="11" s="1"/>
  <c r="H272" i="11"/>
  <c r="I272" i="11" s="1"/>
  <c r="H271" i="11"/>
  <c r="I271" i="11" s="1"/>
  <c r="H270" i="11"/>
  <c r="I270" i="11" s="1"/>
  <c r="H269" i="11"/>
  <c r="I269" i="11" s="1"/>
  <c r="H268" i="11"/>
  <c r="I268" i="11" s="1"/>
  <c r="H267" i="11"/>
  <c r="I267" i="11" s="1"/>
  <c r="K266" i="11"/>
  <c r="H265" i="11"/>
  <c r="I265" i="11" s="1"/>
  <c r="H264" i="11"/>
  <c r="I264" i="11" s="1"/>
  <c r="H263" i="11"/>
  <c r="I263" i="11" s="1"/>
  <c r="H262" i="11"/>
  <c r="I262" i="11" s="1"/>
  <c r="H261" i="11"/>
  <c r="I261" i="11" s="1"/>
  <c r="H260" i="11"/>
  <c r="I260" i="11" s="1"/>
  <c r="H258" i="11"/>
  <c r="I258" i="11" s="1"/>
  <c r="H257" i="11"/>
  <c r="I257" i="11" s="1"/>
  <c r="H255" i="11"/>
  <c r="I255" i="11" s="1"/>
  <c r="H254" i="11"/>
  <c r="I254" i="11" s="1"/>
  <c r="H253" i="11"/>
  <c r="I253" i="11" s="1"/>
  <c r="H252" i="11"/>
  <c r="I252" i="11" s="1"/>
  <c r="H251" i="11"/>
  <c r="I251" i="11" s="1"/>
  <c r="H250" i="11"/>
  <c r="I250" i="11" s="1"/>
  <c r="H249" i="11"/>
  <c r="I249" i="11" s="1"/>
  <c r="H248" i="11"/>
  <c r="I248" i="11" s="1"/>
  <c r="J247" i="11"/>
  <c r="H246" i="11"/>
  <c r="I246" i="11" s="1"/>
  <c r="H245" i="11"/>
  <c r="I245" i="11" s="1"/>
  <c r="H244" i="11"/>
  <c r="I244" i="11" s="1"/>
  <c r="K247" i="11" s="1"/>
  <c r="J243" i="11"/>
  <c r="H242" i="11"/>
  <c r="I242" i="11" s="1"/>
  <c r="H241" i="11"/>
  <c r="I241" i="11" s="1"/>
  <c r="H240" i="11"/>
  <c r="I240" i="11" s="1"/>
  <c r="J239" i="11"/>
  <c r="H238" i="11"/>
  <c r="I238" i="11" s="1"/>
  <c r="H237" i="11"/>
  <c r="I237" i="11" s="1"/>
  <c r="H236" i="11"/>
  <c r="I236" i="11" s="1"/>
  <c r="K239" i="11" s="1"/>
  <c r="H234" i="11"/>
  <c r="I234" i="11" s="1"/>
  <c r="H233" i="11"/>
  <c r="I233" i="11" s="1"/>
  <c r="H232" i="11"/>
  <c r="I232" i="11" s="1"/>
  <c r="H230" i="11"/>
  <c r="I230" i="11" s="1"/>
  <c r="H229" i="11"/>
  <c r="I229" i="11" s="1"/>
  <c r="H228" i="11"/>
  <c r="I228" i="11" s="1"/>
  <c r="H226" i="11"/>
  <c r="I226" i="11" s="1"/>
  <c r="H225" i="11"/>
  <c r="I225" i="11" s="1"/>
  <c r="H223" i="11"/>
  <c r="I223" i="11" s="1"/>
  <c r="H222" i="11"/>
  <c r="I222" i="11" s="1"/>
  <c r="H221" i="11"/>
  <c r="I221" i="11" s="1"/>
  <c r="H220" i="11"/>
  <c r="I220" i="11" s="1"/>
  <c r="H219" i="11"/>
  <c r="I219" i="11" s="1"/>
  <c r="H218" i="11"/>
  <c r="I218" i="11" s="1"/>
  <c r="H217" i="11"/>
  <c r="I217" i="11" s="1"/>
  <c r="H215" i="11"/>
  <c r="I215" i="11" s="1"/>
  <c r="H214" i="11"/>
  <c r="I214" i="11" s="1"/>
  <c r="H213" i="11"/>
  <c r="I213" i="11" s="1"/>
  <c r="H212" i="11"/>
  <c r="I212" i="11" s="1"/>
  <c r="H211" i="11"/>
  <c r="I211" i="11" s="1"/>
  <c r="H209" i="11"/>
  <c r="I209" i="11" s="1"/>
  <c r="H208" i="11"/>
  <c r="I208" i="11" s="1"/>
  <c r="H207" i="11"/>
  <c r="I207" i="11" s="1"/>
  <c r="H206" i="11"/>
  <c r="I206" i="11" s="1"/>
  <c r="H205" i="11"/>
  <c r="I205" i="11" s="1"/>
  <c r="H203" i="11"/>
  <c r="I203" i="11" s="1"/>
  <c r="H202" i="11"/>
  <c r="I202" i="11" s="1"/>
  <c r="H201" i="11"/>
  <c r="I201" i="11" s="1"/>
  <c r="H200" i="11"/>
  <c r="I200" i="11" s="1"/>
  <c r="H199" i="11"/>
  <c r="I199" i="11" s="1"/>
  <c r="H197" i="11"/>
  <c r="I197" i="11" s="1"/>
  <c r="H196" i="11"/>
  <c r="I196" i="11" s="1"/>
  <c r="H195" i="11"/>
  <c r="I195" i="11" s="1"/>
  <c r="H194" i="11"/>
  <c r="I194" i="11" s="1"/>
  <c r="H193" i="11"/>
  <c r="I193" i="11" s="1"/>
  <c r="K192" i="11"/>
  <c r="H191" i="11"/>
  <c r="I191" i="11" s="1"/>
  <c r="H190" i="11"/>
  <c r="I190" i="11" s="1"/>
  <c r="J192" i="11" s="1"/>
  <c r="H188" i="11"/>
  <c r="I188" i="11" s="1"/>
  <c r="H187" i="11"/>
  <c r="I187" i="11" s="1"/>
  <c r="H186" i="11"/>
  <c r="I186" i="11" s="1"/>
  <c r="H185" i="11"/>
  <c r="I185" i="11" s="1"/>
  <c r="H184" i="11"/>
  <c r="I184" i="11" s="1"/>
  <c r="H183" i="11"/>
  <c r="I183" i="11" s="1"/>
  <c r="H182" i="11"/>
  <c r="I182" i="11" s="1"/>
  <c r="H181" i="11"/>
  <c r="I181" i="11" s="1"/>
  <c r="H179" i="11"/>
  <c r="I179" i="11" s="1"/>
  <c r="H177" i="11"/>
  <c r="I177" i="11" s="1"/>
  <c r="H176" i="11"/>
  <c r="I176" i="11" s="1"/>
  <c r="H175" i="11"/>
  <c r="I175" i="11" s="1"/>
  <c r="H174" i="11"/>
  <c r="I174" i="11" s="1"/>
  <c r="H173" i="11"/>
  <c r="I173" i="11" s="1"/>
  <c r="H172" i="11"/>
  <c r="I172" i="11" s="1"/>
  <c r="H171" i="11"/>
  <c r="I171" i="11" s="1"/>
  <c r="K170" i="11"/>
  <c r="H169" i="11"/>
  <c r="I169" i="11" s="1"/>
  <c r="K168" i="11"/>
  <c r="H167" i="11"/>
  <c r="I167" i="11" s="1"/>
  <c r="H166" i="11"/>
  <c r="I166" i="11" s="1"/>
  <c r="K165" i="11"/>
  <c r="H164" i="11"/>
  <c r="I164" i="11" s="1"/>
  <c r="H163" i="11"/>
  <c r="I163" i="11" s="1"/>
  <c r="H161" i="11"/>
  <c r="I161" i="11" s="1"/>
  <c r="H159" i="11"/>
  <c r="I159" i="11" s="1"/>
  <c r="H158" i="11"/>
  <c r="I158" i="11" s="1"/>
  <c r="H157" i="11"/>
  <c r="I157" i="11" s="1"/>
  <c r="H155" i="11"/>
  <c r="I155" i="11" s="1"/>
  <c r="H154" i="11"/>
  <c r="I154" i="11" s="1"/>
  <c r="H153" i="11"/>
  <c r="I153" i="11" s="1"/>
  <c r="K152" i="11"/>
  <c r="H151" i="11"/>
  <c r="I151" i="11" s="1"/>
  <c r="H150" i="11"/>
  <c r="I150" i="11" s="1"/>
  <c r="H149" i="11"/>
  <c r="I149" i="11" s="1"/>
  <c r="H148" i="11"/>
  <c r="I148" i="11" s="1"/>
  <c r="H146" i="11"/>
  <c r="I146" i="11" s="1"/>
  <c r="H144" i="11"/>
  <c r="I144" i="11" s="1"/>
  <c r="H142" i="11"/>
  <c r="I142" i="11" s="1"/>
  <c r="H140" i="11"/>
  <c r="I140" i="11" s="1"/>
  <c r="H138" i="11"/>
  <c r="I138" i="11" s="1"/>
  <c r="H136" i="11"/>
  <c r="I136" i="11" s="1"/>
  <c r="H135" i="11"/>
  <c r="I135" i="11" s="1"/>
  <c r="H134" i="11"/>
  <c r="I134" i="11" s="1"/>
  <c r="H133" i="11"/>
  <c r="I133" i="11" s="1"/>
  <c r="H131" i="11"/>
  <c r="I131" i="11" s="1"/>
  <c r="H130" i="11"/>
  <c r="I130" i="11" s="1"/>
  <c r="H129" i="11"/>
  <c r="I129" i="11" s="1"/>
  <c r="H128" i="11"/>
  <c r="I128" i="11" s="1"/>
  <c r="H126" i="11"/>
  <c r="I126" i="11" s="1"/>
  <c r="H125" i="11"/>
  <c r="I125" i="11" s="1"/>
  <c r="H124" i="11"/>
  <c r="I124" i="11" s="1"/>
  <c r="H123" i="11"/>
  <c r="I123" i="11" s="1"/>
  <c r="H121" i="11"/>
  <c r="I121" i="11" s="1"/>
  <c r="H120" i="11"/>
  <c r="I120" i="11" s="1"/>
  <c r="H119" i="11"/>
  <c r="I119" i="11" s="1"/>
  <c r="H118" i="11"/>
  <c r="I118" i="11" s="1"/>
  <c r="H116" i="11"/>
  <c r="I116" i="11" s="1"/>
  <c r="H115" i="11"/>
  <c r="I115" i="11" s="1"/>
  <c r="H114" i="11"/>
  <c r="I114" i="11" s="1"/>
  <c r="H113" i="11"/>
  <c r="I113" i="11" s="1"/>
  <c r="H111" i="11"/>
  <c r="I111" i="11" s="1"/>
  <c r="H110" i="11"/>
  <c r="I110" i="11" s="1"/>
  <c r="H109" i="11"/>
  <c r="I109" i="11" s="1"/>
  <c r="H108" i="11"/>
  <c r="I108" i="11" s="1"/>
  <c r="H106" i="11"/>
  <c r="I106" i="11" s="1"/>
  <c r="H105" i="11"/>
  <c r="I105" i="11" s="1"/>
  <c r="H104" i="11"/>
  <c r="I104" i="11" s="1"/>
  <c r="H103" i="11"/>
  <c r="I103" i="11" s="1"/>
  <c r="H102" i="11"/>
  <c r="I102" i="11" s="1"/>
  <c r="H101" i="11"/>
  <c r="I101" i="11" s="1"/>
  <c r="H100" i="11"/>
  <c r="I100" i="11" s="1"/>
  <c r="H98" i="11"/>
  <c r="I98" i="11" s="1"/>
  <c r="H97" i="11"/>
  <c r="I97" i="11" s="1"/>
  <c r="H96" i="11"/>
  <c r="I96" i="11" s="1"/>
  <c r="H95" i="11"/>
  <c r="I95" i="11" s="1"/>
  <c r="H94" i="11"/>
  <c r="I94" i="11" s="1"/>
  <c r="H93" i="11"/>
  <c r="I93" i="11" s="1"/>
  <c r="H91" i="11"/>
  <c r="I91" i="11" s="1"/>
  <c r="H90" i="11"/>
  <c r="I90" i="11" s="1"/>
  <c r="H89" i="11"/>
  <c r="I89" i="11" s="1"/>
  <c r="H88" i="11"/>
  <c r="I88" i="11" s="1"/>
  <c r="H87" i="11"/>
  <c r="I87" i="11" s="1"/>
  <c r="H86" i="11"/>
  <c r="I86" i="11" s="1"/>
  <c r="H85" i="11"/>
  <c r="I85" i="11" s="1"/>
  <c r="H83" i="11"/>
  <c r="I83" i="11" s="1"/>
  <c r="H82" i="11"/>
  <c r="I82" i="11" s="1"/>
  <c r="H81" i="11"/>
  <c r="I81" i="11" s="1"/>
  <c r="H80" i="11"/>
  <c r="I80" i="11" s="1"/>
  <c r="H79" i="11"/>
  <c r="I79" i="11" s="1"/>
  <c r="H78" i="11"/>
  <c r="I78" i="11" s="1"/>
  <c r="H76" i="11"/>
  <c r="I76" i="11" s="1"/>
  <c r="H74" i="11"/>
  <c r="I74" i="11" s="1"/>
  <c r="H72" i="11"/>
  <c r="I72" i="11" s="1"/>
  <c r="K71" i="11"/>
  <c r="H70" i="11"/>
  <c r="I70" i="11" s="1"/>
  <c r="K69" i="11"/>
  <c r="H68" i="11"/>
  <c r="I68" i="11" s="1"/>
  <c r="K67" i="11"/>
  <c r="H66" i="11"/>
  <c r="I66" i="11" s="1"/>
  <c r="H64" i="11"/>
  <c r="I64" i="11" s="1"/>
  <c r="H62" i="11"/>
  <c r="I62" i="11" s="1"/>
  <c r="H60" i="11"/>
  <c r="I60" i="11" s="1"/>
  <c r="H58" i="11"/>
  <c r="I58" i="11" s="1"/>
  <c r="H56" i="11"/>
  <c r="I56" i="11" s="1"/>
  <c r="H55" i="11"/>
  <c r="I55" i="11" s="1"/>
  <c r="H54" i="11"/>
  <c r="I54" i="11" s="1"/>
  <c r="H52" i="11"/>
  <c r="I52" i="11" s="1"/>
  <c r="H51" i="11"/>
  <c r="I51" i="11" s="1"/>
  <c r="H50" i="11"/>
  <c r="I50" i="11" s="1"/>
  <c r="H49" i="11"/>
  <c r="I49" i="11" s="1"/>
  <c r="H47" i="11"/>
  <c r="I47" i="11" s="1"/>
  <c r="H46" i="11"/>
  <c r="I46" i="11" s="1"/>
  <c r="H45" i="11"/>
  <c r="I45" i="11" s="1"/>
  <c r="H44" i="11"/>
  <c r="I44" i="11" s="1"/>
  <c r="H42" i="11"/>
  <c r="I42" i="11" s="1"/>
  <c r="H41" i="11"/>
  <c r="I41" i="11" s="1"/>
  <c r="H40" i="11"/>
  <c r="I40" i="11" s="1"/>
  <c r="H39" i="11"/>
  <c r="I39" i="11" s="1"/>
  <c r="H37" i="11"/>
  <c r="I37" i="11" s="1"/>
  <c r="H36" i="11"/>
  <c r="I36" i="11" s="1"/>
  <c r="H35" i="11"/>
  <c r="I35" i="11" s="1"/>
  <c r="H34" i="11"/>
  <c r="I34" i="11" s="1"/>
  <c r="H32" i="11"/>
  <c r="I32" i="11" s="1"/>
  <c r="H31" i="11"/>
  <c r="I31" i="11" s="1"/>
  <c r="H30" i="11"/>
  <c r="I30" i="11" s="1"/>
  <c r="H28" i="11"/>
  <c r="I28" i="11" s="1"/>
  <c r="H27" i="11"/>
  <c r="I27" i="11" s="1"/>
  <c r="H26" i="11"/>
  <c r="I26" i="11" s="1"/>
  <c r="H25" i="11"/>
  <c r="I25" i="11" s="1"/>
  <c r="H23" i="11"/>
  <c r="I23" i="11" s="1"/>
  <c r="H22" i="11"/>
  <c r="I22" i="11" s="1"/>
  <c r="H21" i="11"/>
  <c r="I21" i="11" s="1"/>
  <c r="H20" i="11"/>
  <c r="I20" i="11" s="1"/>
  <c r="H18" i="11"/>
  <c r="I18" i="11" s="1"/>
  <c r="H17" i="11"/>
  <c r="I17" i="11" s="1"/>
  <c r="H16" i="11"/>
  <c r="I16" i="11" s="1"/>
  <c r="H14" i="11"/>
  <c r="I14" i="11" s="1"/>
  <c r="H13" i="11"/>
  <c r="I13" i="11" s="1"/>
  <c r="H12" i="11"/>
  <c r="I12" i="11" s="1"/>
  <c r="H11" i="11"/>
  <c r="I11" i="11" s="1"/>
  <c r="H9" i="11"/>
  <c r="I9" i="11" s="1"/>
  <c r="H8" i="11"/>
  <c r="I8" i="11" s="1"/>
  <c r="H7" i="11"/>
  <c r="I7" i="11" s="1"/>
  <c r="H6" i="11"/>
  <c r="I6" i="11" s="1"/>
  <c r="H4" i="11"/>
  <c r="I4" i="11" s="1"/>
  <c r="B20" i="10"/>
  <c r="I19" i="10"/>
  <c r="H19" i="10"/>
  <c r="G19" i="10"/>
  <c r="F19" i="10"/>
  <c r="E19" i="10"/>
  <c r="I18" i="10"/>
  <c r="H18" i="10"/>
  <c r="G18" i="10"/>
  <c r="F18" i="10"/>
  <c r="E18" i="10"/>
  <c r="I17" i="10"/>
  <c r="H17" i="10"/>
  <c r="G17" i="10"/>
  <c r="F17" i="10"/>
  <c r="E17" i="10"/>
  <c r="I16" i="10"/>
  <c r="H16" i="10"/>
  <c r="G16" i="10"/>
  <c r="F16" i="10"/>
  <c r="E16" i="10"/>
  <c r="I15" i="10"/>
  <c r="H15" i="10"/>
  <c r="G15" i="10"/>
  <c r="F15" i="10"/>
  <c r="E15" i="10"/>
  <c r="I14" i="10"/>
  <c r="H14" i="10"/>
  <c r="G14" i="10"/>
  <c r="F14" i="10"/>
  <c r="E14" i="10"/>
  <c r="I13" i="10"/>
  <c r="H13" i="10"/>
  <c r="G13" i="10"/>
  <c r="F13" i="10"/>
  <c r="E13" i="10"/>
  <c r="I12" i="10"/>
  <c r="H12" i="10"/>
  <c r="G12" i="10"/>
  <c r="F12" i="10"/>
  <c r="E12" i="10"/>
  <c r="I11" i="10"/>
  <c r="H11" i="10"/>
  <c r="G11" i="10"/>
  <c r="F11" i="10"/>
  <c r="E11" i="10"/>
  <c r="I10" i="10"/>
  <c r="H10" i="10"/>
  <c r="G10" i="10"/>
  <c r="F10" i="10"/>
  <c r="E10" i="10"/>
  <c r="I9" i="10"/>
  <c r="H9" i="10"/>
  <c r="G9" i="10"/>
  <c r="F9" i="10"/>
  <c r="E9" i="10"/>
  <c r="I8" i="10"/>
  <c r="H8" i="10"/>
  <c r="G8" i="10"/>
  <c r="F8" i="10"/>
  <c r="E8" i="10"/>
  <c r="I7" i="10"/>
  <c r="H7" i="10"/>
  <c r="G7" i="10"/>
  <c r="F7" i="10"/>
  <c r="E7" i="10"/>
  <c r="I6" i="10"/>
  <c r="H6" i="10"/>
  <c r="G6" i="10"/>
  <c r="F6" i="10"/>
  <c r="E6" i="10"/>
  <c r="I5" i="10"/>
  <c r="I20" i="10" s="1"/>
  <c r="F44" i="7" s="1"/>
  <c r="H5" i="10"/>
  <c r="H20" i="10" s="1"/>
  <c r="E44" i="7" s="1"/>
  <c r="G5" i="10"/>
  <c r="G20" i="10" s="1"/>
  <c r="D44" i="7" s="1"/>
  <c r="F5" i="10"/>
  <c r="F20" i="10" s="1"/>
  <c r="C44" i="7" s="1"/>
  <c r="E5" i="10"/>
  <c r="E20" i="10" s="1"/>
  <c r="B44" i="7" s="1"/>
  <c r="BJ242" i="9"/>
  <c r="BI242" i="9"/>
  <c r="BH242" i="9"/>
  <c r="BG242" i="9"/>
  <c r="BF242" i="9"/>
  <c r="BE242" i="9"/>
  <c r="BD242" i="9"/>
  <c r="AX242" i="9"/>
  <c r="AW242" i="9"/>
  <c r="AP242" i="9"/>
  <c r="AO242" i="9"/>
  <c r="AH242" i="9"/>
  <c r="AG242" i="9"/>
  <c r="Z242" i="9"/>
  <c r="Y242" i="9"/>
  <c r="S242" i="9"/>
  <c r="R242" i="9"/>
  <c r="H242" i="9"/>
  <c r="J242" i="9" s="1"/>
  <c r="BJ241" i="9"/>
  <c r="BI241" i="9"/>
  <c r="BH241" i="9"/>
  <c r="BG241" i="9"/>
  <c r="BF241" i="9"/>
  <c r="BE241" i="9"/>
  <c r="BD241" i="9"/>
  <c r="AX241" i="9"/>
  <c r="AW241" i="9"/>
  <c r="AP241" i="9"/>
  <c r="AO241" i="9"/>
  <c r="AH241" i="9"/>
  <c r="AG241" i="9"/>
  <c r="Z241" i="9"/>
  <c r="Y241" i="9"/>
  <c r="S241" i="9"/>
  <c r="R241" i="9"/>
  <c r="H241" i="9"/>
  <c r="J241" i="9" s="1"/>
  <c r="BJ240" i="9"/>
  <c r="BI240" i="9"/>
  <c r="BH240" i="9"/>
  <c r="BG240" i="9"/>
  <c r="BF240" i="9"/>
  <c r="BE240" i="9"/>
  <c r="BD240" i="9"/>
  <c r="AX240" i="9"/>
  <c r="AW240" i="9"/>
  <c r="AP240" i="9"/>
  <c r="AO240" i="9"/>
  <c r="AH240" i="9"/>
  <c r="AG240" i="9"/>
  <c r="Z240" i="9"/>
  <c r="Y240" i="9"/>
  <c r="S240" i="9"/>
  <c r="R240" i="9"/>
  <c r="H240" i="9"/>
  <c r="J240" i="9" s="1"/>
  <c r="BO237" i="9"/>
  <c r="BN237" i="9"/>
  <c r="BM237" i="9"/>
  <c r="BL237" i="9"/>
  <c r="BK237" i="9"/>
  <c r="BJ237" i="9"/>
  <c r="BD237" i="9"/>
  <c r="AY237" i="9"/>
  <c r="AV237" i="9"/>
  <c r="AQ237" i="9"/>
  <c r="AN237" i="9"/>
  <c r="AI237" i="9"/>
  <c r="AF237" i="9"/>
  <c r="AA237" i="9"/>
  <c r="X237" i="9"/>
  <c r="S237" i="9"/>
  <c r="R237" i="9"/>
  <c r="I237" i="9"/>
  <c r="K237" i="9" s="1"/>
  <c r="BJ236" i="9"/>
  <c r="BD236" i="9"/>
  <c r="AW236" i="9"/>
  <c r="AV236" i="9"/>
  <c r="AO236" i="9"/>
  <c r="AN236" i="9"/>
  <c r="AG236" i="9"/>
  <c r="AF236" i="9"/>
  <c r="Y236" i="9"/>
  <c r="X236" i="9"/>
  <c r="S236" i="9"/>
  <c r="R236" i="9"/>
  <c r="BO235" i="9"/>
  <c r="BN235" i="9"/>
  <c r="BM235" i="9"/>
  <c r="BL235" i="9"/>
  <c r="BK235" i="9"/>
  <c r="BJ235" i="9"/>
  <c r="BD235" i="9"/>
  <c r="AY235" i="9"/>
  <c r="AV235" i="9"/>
  <c r="AQ235" i="9"/>
  <c r="AN235" i="9"/>
  <c r="AI235" i="9"/>
  <c r="AF235" i="9"/>
  <c r="AA235" i="9"/>
  <c r="X235" i="9"/>
  <c r="S235" i="9"/>
  <c r="R235" i="9"/>
  <c r="I235" i="9"/>
  <c r="K235" i="9" s="1"/>
  <c r="BJ234" i="9"/>
  <c r="BD234" i="9"/>
  <c r="AW234" i="9"/>
  <c r="AV234" i="9"/>
  <c r="AO234" i="9"/>
  <c r="AN234" i="9"/>
  <c r="AG234" i="9"/>
  <c r="AF234" i="9"/>
  <c r="Y234" i="9"/>
  <c r="X234" i="9"/>
  <c r="S234" i="9"/>
  <c r="R234" i="9"/>
  <c r="BO231" i="9"/>
  <c r="BN231" i="9"/>
  <c r="BM231" i="9"/>
  <c r="BL231" i="9"/>
  <c r="BK231" i="9"/>
  <c r="BJ231" i="9"/>
  <c r="BD231" i="9"/>
  <c r="AY231" i="9"/>
  <c r="AV231" i="9"/>
  <c r="AQ231" i="9"/>
  <c r="AN231" i="9"/>
  <c r="AI231" i="9"/>
  <c r="AF231" i="9"/>
  <c r="AA231" i="9"/>
  <c r="X231" i="9"/>
  <c r="S231" i="9"/>
  <c r="R231" i="9"/>
  <c r="BO230" i="9"/>
  <c r="BN230" i="9"/>
  <c r="BM230" i="9"/>
  <c r="BL230" i="9"/>
  <c r="BK230" i="9"/>
  <c r="BJ230" i="9"/>
  <c r="BD230" i="9"/>
  <c r="AY230" i="9"/>
  <c r="AV230" i="9"/>
  <c r="AQ230" i="9"/>
  <c r="AN230" i="9"/>
  <c r="AI230" i="9"/>
  <c r="AF230" i="9"/>
  <c r="AA230" i="9"/>
  <c r="X230" i="9"/>
  <c r="S230" i="9"/>
  <c r="R230" i="9"/>
  <c r="BJ229" i="9"/>
  <c r="BD229" i="9"/>
  <c r="AW229" i="9"/>
  <c r="AV229" i="9"/>
  <c r="AO229" i="9"/>
  <c r="AN229" i="9"/>
  <c r="AG229" i="9"/>
  <c r="AF229" i="9"/>
  <c r="Y229" i="9"/>
  <c r="X229" i="9"/>
  <c r="S229" i="9"/>
  <c r="R229" i="9"/>
  <c r="BO228" i="9"/>
  <c r="BN228" i="9"/>
  <c r="BM228" i="9"/>
  <c r="BL228" i="9"/>
  <c r="BK228" i="9"/>
  <c r="BJ228" i="9"/>
  <c r="BD228" i="9"/>
  <c r="AY228" i="9"/>
  <c r="AV228" i="9"/>
  <c r="AQ228" i="9"/>
  <c r="AN228" i="9"/>
  <c r="AI228" i="9"/>
  <c r="AF228" i="9"/>
  <c r="AA228" i="9"/>
  <c r="X228" i="9"/>
  <c r="S228" i="9"/>
  <c r="R228" i="9"/>
  <c r="BO225" i="9"/>
  <c r="BN225" i="9"/>
  <c r="BM225" i="9"/>
  <c r="BL225" i="9"/>
  <c r="BK225" i="9"/>
  <c r="BJ225" i="9"/>
  <c r="BD225" i="9"/>
  <c r="AY225" i="9"/>
  <c r="AV225" i="9"/>
  <c r="AQ225" i="9"/>
  <c r="AN225" i="9"/>
  <c r="AI225" i="9"/>
  <c r="AF225" i="9"/>
  <c r="AA225" i="9"/>
  <c r="X225" i="9"/>
  <c r="S225" i="9"/>
  <c r="R225" i="9"/>
  <c r="K225" i="9"/>
  <c r="J225" i="9"/>
  <c r="L225" i="9" s="1"/>
  <c r="BO224" i="9"/>
  <c r="BN224" i="9"/>
  <c r="BM224" i="9"/>
  <c r="BL224" i="9"/>
  <c r="BK224" i="9"/>
  <c r="BJ224" i="9"/>
  <c r="BI224" i="9"/>
  <c r="BH224" i="9"/>
  <c r="BG224" i="9"/>
  <c r="BF224" i="9"/>
  <c r="BE224" i="9"/>
  <c r="BD224" i="9"/>
  <c r="AY224" i="9"/>
  <c r="AX224" i="9"/>
  <c r="AQ224" i="9"/>
  <c r="AP224" i="9"/>
  <c r="AI224" i="9"/>
  <c r="AH224" i="9"/>
  <c r="AA224" i="9"/>
  <c r="Z224" i="9"/>
  <c r="S224" i="9"/>
  <c r="R224" i="9"/>
  <c r="K224" i="9"/>
  <c r="J224" i="9"/>
  <c r="L224" i="9" s="1"/>
  <c r="BO223" i="9"/>
  <c r="BN223" i="9"/>
  <c r="BM223" i="9"/>
  <c r="BL223" i="9"/>
  <c r="BK223" i="9"/>
  <c r="BJ223" i="9"/>
  <c r="BI223" i="9"/>
  <c r="BH223" i="9"/>
  <c r="BG223" i="9"/>
  <c r="BF223" i="9"/>
  <c r="BE223" i="9"/>
  <c r="BD223" i="9"/>
  <c r="AY223" i="9"/>
  <c r="AX223" i="9"/>
  <c r="AQ223" i="9"/>
  <c r="AP223" i="9"/>
  <c r="AI223" i="9"/>
  <c r="AH223" i="9"/>
  <c r="AA223" i="9"/>
  <c r="Z223" i="9"/>
  <c r="S223" i="9"/>
  <c r="R223" i="9"/>
  <c r="K223" i="9"/>
  <c r="J223" i="9"/>
  <c r="BJ220" i="9"/>
  <c r="BD220" i="9"/>
  <c r="AW220" i="9"/>
  <c r="AV220" i="9"/>
  <c r="AO220" i="9"/>
  <c r="AN220" i="9"/>
  <c r="AG220" i="9"/>
  <c r="AF220" i="9"/>
  <c r="Y220" i="9"/>
  <c r="X220" i="9"/>
  <c r="S220" i="9"/>
  <c r="R220" i="9"/>
  <c r="BJ219" i="9"/>
  <c r="BD219" i="9"/>
  <c r="AW219" i="9"/>
  <c r="AV219" i="9"/>
  <c r="AO219" i="9"/>
  <c r="AN219" i="9"/>
  <c r="AG219" i="9"/>
  <c r="AF219" i="9"/>
  <c r="Y219" i="9"/>
  <c r="X219" i="9"/>
  <c r="S219" i="9"/>
  <c r="R219" i="9"/>
  <c r="BJ218" i="9"/>
  <c r="BD218" i="9"/>
  <c r="AW218" i="9"/>
  <c r="AV218" i="9"/>
  <c r="AO218" i="9"/>
  <c r="AN218" i="9"/>
  <c r="AG218" i="9"/>
  <c r="AF218" i="9"/>
  <c r="Y218" i="9"/>
  <c r="X218" i="9"/>
  <c r="S218" i="9"/>
  <c r="R218" i="9"/>
  <c r="BJ215" i="9"/>
  <c r="BD215" i="9"/>
  <c r="AW215" i="9"/>
  <c r="AV215" i="9"/>
  <c r="AO215" i="9"/>
  <c r="AN215" i="9"/>
  <c r="AG215" i="9"/>
  <c r="AF215" i="9"/>
  <c r="Y215" i="9"/>
  <c r="X215" i="9"/>
  <c r="S215" i="9"/>
  <c r="R215" i="9"/>
  <c r="BJ214" i="9"/>
  <c r="BD214" i="9"/>
  <c r="AW214" i="9"/>
  <c r="AV214" i="9"/>
  <c r="AO214" i="9"/>
  <c r="AN214" i="9"/>
  <c r="AG214" i="9"/>
  <c r="AF214" i="9"/>
  <c r="Y214" i="9"/>
  <c r="X214" i="9"/>
  <c r="S214" i="9"/>
  <c r="R214" i="9"/>
  <c r="BJ213" i="9"/>
  <c r="BD213" i="9"/>
  <c r="AW213" i="9"/>
  <c r="AV213" i="9"/>
  <c r="AO213" i="9"/>
  <c r="AN213" i="9"/>
  <c r="AG213" i="9"/>
  <c r="AF213" i="9"/>
  <c r="Y213" i="9"/>
  <c r="X213" i="9"/>
  <c r="Z213" i="9" s="1"/>
  <c r="S213" i="9"/>
  <c r="R213" i="9"/>
  <c r="BJ212" i="9"/>
  <c r="BD212" i="9"/>
  <c r="AW212" i="9"/>
  <c r="AV212" i="9"/>
  <c r="AO212" i="9"/>
  <c r="AN212" i="9"/>
  <c r="AG212" i="9"/>
  <c r="AF212" i="9"/>
  <c r="Y212" i="9"/>
  <c r="X212" i="9"/>
  <c r="S212" i="9"/>
  <c r="R212" i="9"/>
  <c r="BJ211" i="9"/>
  <c r="BD211" i="9"/>
  <c r="AW211" i="9"/>
  <c r="AV211" i="9"/>
  <c r="AO211" i="9"/>
  <c r="AN211" i="9"/>
  <c r="AG211" i="9"/>
  <c r="AF211" i="9"/>
  <c r="Y211" i="9"/>
  <c r="X211" i="9"/>
  <c r="S211" i="9"/>
  <c r="R211" i="9"/>
  <c r="BJ208" i="9"/>
  <c r="BD208" i="9"/>
  <c r="AW208" i="9"/>
  <c r="AV208" i="9"/>
  <c r="AO208" i="9"/>
  <c r="AN208" i="9"/>
  <c r="AG208" i="9"/>
  <c r="AF208" i="9"/>
  <c r="Y208" i="9"/>
  <c r="X208" i="9"/>
  <c r="S208" i="9"/>
  <c r="R208" i="9"/>
  <c r="BJ207" i="9"/>
  <c r="BD207" i="9"/>
  <c r="AW207" i="9"/>
  <c r="AV207" i="9"/>
  <c r="AO207" i="9"/>
  <c r="AN207" i="9"/>
  <c r="AG207" i="9"/>
  <c r="AF207" i="9"/>
  <c r="Y207" i="9"/>
  <c r="X207" i="9"/>
  <c r="S207" i="9"/>
  <c r="R207" i="9"/>
  <c r="BJ204" i="9"/>
  <c r="BD204" i="9"/>
  <c r="AW204" i="9"/>
  <c r="AV204" i="9"/>
  <c r="AO204" i="9"/>
  <c r="AN204" i="9"/>
  <c r="AG204" i="9"/>
  <c r="AF204" i="9"/>
  <c r="Y204" i="9"/>
  <c r="X204" i="9"/>
  <c r="S204" i="9"/>
  <c r="R204" i="9"/>
  <c r="BJ203" i="9"/>
  <c r="BD203" i="9"/>
  <c r="AW203" i="9"/>
  <c r="AV203" i="9"/>
  <c r="AO203" i="9"/>
  <c r="AN203" i="9"/>
  <c r="AG203" i="9"/>
  <c r="AF203" i="9"/>
  <c r="Y203" i="9"/>
  <c r="X203" i="9"/>
  <c r="S203" i="9"/>
  <c r="R203" i="9"/>
  <c r="BJ202" i="9"/>
  <c r="BD202" i="9"/>
  <c r="AW202" i="9"/>
  <c r="AV202" i="9"/>
  <c r="AO202" i="9"/>
  <c r="AN202" i="9"/>
  <c r="AG202" i="9"/>
  <c r="AF202" i="9"/>
  <c r="Y202" i="9"/>
  <c r="X202" i="9"/>
  <c r="S202" i="9"/>
  <c r="R202" i="9"/>
  <c r="BJ201" i="9"/>
  <c r="BD201" i="9"/>
  <c r="AW201" i="9"/>
  <c r="AV201" i="9"/>
  <c r="AO201" i="9"/>
  <c r="AN201" i="9"/>
  <c r="AG201" i="9"/>
  <c r="AF201" i="9"/>
  <c r="Y201" i="9"/>
  <c r="X201" i="9"/>
  <c r="S201" i="9"/>
  <c r="R201" i="9"/>
  <c r="BJ200" i="9"/>
  <c r="BD200" i="9"/>
  <c r="AW200" i="9"/>
  <c r="AV200" i="9"/>
  <c r="AO200" i="9"/>
  <c r="AN200" i="9"/>
  <c r="AG200" i="9"/>
  <c r="AF200" i="9"/>
  <c r="Y200" i="9"/>
  <c r="X200" i="9"/>
  <c r="S200" i="9"/>
  <c r="R200" i="9"/>
  <c r="BJ199" i="9"/>
  <c r="BD199" i="9"/>
  <c r="AW199" i="9"/>
  <c r="AV199" i="9"/>
  <c r="AO199" i="9"/>
  <c r="AN199" i="9"/>
  <c r="AG199" i="9"/>
  <c r="AF199" i="9"/>
  <c r="Y199" i="9"/>
  <c r="X199" i="9"/>
  <c r="S199" i="9"/>
  <c r="R199" i="9"/>
  <c r="BO196" i="9"/>
  <c r="BN196" i="9"/>
  <c r="BM196" i="9"/>
  <c r="BL196" i="9"/>
  <c r="BK196" i="9"/>
  <c r="BJ196" i="9"/>
  <c r="BD196" i="9"/>
  <c r="AY196" i="9"/>
  <c r="AV196" i="9"/>
  <c r="AQ196" i="9"/>
  <c r="AN196" i="9"/>
  <c r="AI196" i="9"/>
  <c r="AF196" i="9"/>
  <c r="AA196" i="9"/>
  <c r="X196" i="9"/>
  <c r="S196" i="9"/>
  <c r="R196" i="9"/>
  <c r="BO195" i="9"/>
  <c r="BN195" i="9"/>
  <c r="BM195" i="9"/>
  <c r="BL195" i="9"/>
  <c r="BK195" i="9"/>
  <c r="BJ195" i="9"/>
  <c r="BD195" i="9"/>
  <c r="AY195" i="9"/>
  <c r="AV195" i="9"/>
  <c r="AQ195" i="9"/>
  <c r="AN195" i="9"/>
  <c r="AI195" i="9"/>
  <c r="AF195" i="9"/>
  <c r="AA195" i="9"/>
  <c r="X195" i="9"/>
  <c r="S195" i="9"/>
  <c r="R195" i="9"/>
  <c r="I195" i="9"/>
  <c r="K195" i="9" s="1"/>
  <c r="BO194" i="9"/>
  <c r="BN194" i="9"/>
  <c r="BM194" i="9"/>
  <c r="BL194" i="9"/>
  <c r="BK194" i="9"/>
  <c r="BJ194" i="9"/>
  <c r="BD194" i="9"/>
  <c r="AY194" i="9"/>
  <c r="AV194" i="9"/>
  <c r="AQ194" i="9"/>
  <c r="AN194" i="9"/>
  <c r="AI194" i="9"/>
  <c r="AF194" i="9"/>
  <c r="AA194" i="9"/>
  <c r="X194" i="9"/>
  <c r="S194" i="9"/>
  <c r="R194" i="9"/>
  <c r="I194" i="9"/>
  <c r="K194" i="9" s="1"/>
  <c r="BO193" i="9"/>
  <c r="BN193" i="9"/>
  <c r="BM193" i="9"/>
  <c r="BL193" i="9"/>
  <c r="BK193" i="9"/>
  <c r="BJ193" i="9"/>
  <c r="BD193" i="9"/>
  <c r="AY193" i="9"/>
  <c r="AV193" i="9"/>
  <c r="AQ193" i="9"/>
  <c r="AN193" i="9"/>
  <c r="AI193" i="9"/>
  <c r="AF193" i="9"/>
  <c r="AA193" i="9"/>
  <c r="X193" i="9"/>
  <c r="S193" i="9"/>
  <c r="R193" i="9"/>
  <c r="I193" i="9"/>
  <c r="K193" i="9" s="1"/>
  <c r="BO192" i="9"/>
  <c r="BN192" i="9"/>
  <c r="BM192" i="9"/>
  <c r="BL192" i="9"/>
  <c r="BK192" i="9"/>
  <c r="BJ192" i="9"/>
  <c r="BD192" i="9"/>
  <c r="AY192" i="9"/>
  <c r="AV192" i="9"/>
  <c r="AQ192" i="9"/>
  <c r="AN192" i="9"/>
  <c r="AI192" i="9"/>
  <c r="AF192" i="9"/>
  <c r="AA192" i="9"/>
  <c r="X192" i="9"/>
  <c r="S192" i="9"/>
  <c r="R192" i="9"/>
  <c r="BJ191" i="9"/>
  <c r="BD191" i="9"/>
  <c r="AW191" i="9"/>
  <c r="AV191" i="9"/>
  <c r="AO191" i="9"/>
  <c r="AN191" i="9"/>
  <c r="AG191" i="9"/>
  <c r="AF191" i="9"/>
  <c r="Y191" i="9"/>
  <c r="X191" i="9"/>
  <c r="S191" i="9"/>
  <c r="R191" i="9"/>
  <c r="BO190" i="9"/>
  <c r="BN190" i="9"/>
  <c r="BM190" i="9"/>
  <c r="BL190" i="9"/>
  <c r="BK190" i="9"/>
  <c r="BJ190" i="9"/>
  <c r="BD190" i="9"/>
  <c r="AY190" i="9"/>
  <c r="AV190" i="9"/>
  <c r="AQ190" i="9"/>
  <c r="AN190" i="9"/>
  <c r="AI190" i="9"/>
  <c r="AF190" i="9"/>
  <c r="AA190" i="9"/>
  <c r="X190" i="9"/>
  <c r="S190" i="9"/>
  <c r="R190" i="9"/>
  <c r="BJ189" i="9"/>
  <c r="BD189" i="9"/>
  <c r="AW189" i="9"/>
  <c r="AV189" i="9"/>
  <c r="AO189" i="9"/>
  <c r="AN189" i="9"/>
  <c r="AG189" i="9"/>
  <c r="AF189" i="9"/>
  <c r="Y189" i="9"/>
  <c r="X189" i="9"/>
  <c r="S189" i="9"/>
  <c r="R189" i="9"/>
  <c r="BO188" i="9"/>
  <c r="BN188" i="9"/>
  <c r="BM188" i="9"/>
  <c r="BL188" i="9"/>
  <c r="BK188" i="9"/>
  <c r="BJ188" i="9"/>
  <c r="BD188" i="9"/>
  <c r="AY188" i="9"/>
  <c r="AV188" i="9"/>
  <c r="AQ188" i="9"/>
  <c r="AN188" i="9"/>
  <c r="AI188" i="9"/>
  <c r="AF188" i="9"/>
  <c r="AA188" i="9"/>
  <c r="X188" i="9"/>
  <c r="S188" i="9"/>
  <c r="R188" i="9"/>
  <c r="BO187" i="9"/>
  <c r="BN187" i="9"/>
  <c r="BM187" i="9"/>
  <c r="BL187" i="9"/>
  <c r="BK187" i="9"/>
  <c r="BJ187" i="9"/>
  <c r="BD187" i="9"/>
  <c r="AY187" i="9"/>
  <c r="AV187" i="9"/>
  <c r="AQ187" i="9"/>
  <c r="AN187" i="9"/>
  <c r="AI187" i="9"/>
  <c r="AF187" i="9"/>
  <c r="AA187" i="9"/>
  <c r="X187" i="9"/>
  <c r="S187" i="9"/>
  <c r="R187" i="9"/>
  <c r="BO186" i="9"/>
  <c r="BN186" i="9"/>
  <c r="BM186" i="9"/>
  <c r="BL186" i="9"/>
  <c r="BK186" i="9"/>
  <c r="BJ186" i="9"/>
  <c r="BD186" i="9"/>
  <c r="AY186" i="9"/>
  <c r="AV186" i="9"/>
  <c r="AQ186" i="9"/>
  <c r="AN186" i="9"/>
  <c r="AI186" i="9"/>
  <c r="AF186" i="9"/>
  <c r="AA186" i="9"/>
  <c r="X186" i="9"/>
  <c r="S186" i="9"/>
  <c r="R186" i="9"/>
  <c r="BO185" i="9"/>
  <c r="BN185" i="9"/>
  <c r="BM185" i="9"/>
  <c r="BL185" i="9"/>
  <c r="BK185" i="9"/>
  <c r="BJ185" i="9"/>
  <c r="BD185" i="9"/>
  <c r="AY185" i="9"/>
  <c r="AV185" i="9"/>
  <c r="AQ185" i="9"/>
  <c r="AN185" i="9"/>
  <c r="AI185" i="9"/>
  <c r="AF185" i="9"/>
  <c r="AA185" i="9"/>
  <c r="X185" i="9"/>
  <c r="S185" i="9"/>
  <c r="R185" i="9"/>
  <c r="I185" i="9"/>
  <c r="K185" i="9" s="1"/>
  <c r="BO184" i="9"/>
  <c r="BN184" i="9"/>
  <c r="BM184" i="9"/>
  <c r="BL184" i="9"/>
  <c r="BK184" i="9"/>
  <c r="BJ184" i="9"/>
  <c r="BD184" i="9"/>
  <c r="AY184" i="9"/>
  <c r="AV184" i="9"/>
  <c r="AQ184" i="9"/>
  <c r="AN184" i="9"/>
  <c r="AI184" i="9"/>
  <c r="AF184" i="9"/>
  <c r="AA184" i="9"/>
  <c r="X184" i="9"/>
  <c r="S184" i="9"/>
  <c r="R184" i="9"/>
  <c r="I184" i="9"/>
  <c r="K184" i="9" s="1"/>
  <c r="BJ183" i="9"/>
  <c r="BD183" i="9"/>
  <c r="AW183" i="9"/>
  <c r="AV183" i="9"/>
  <c r="AO183" i="9"/>
  <c r="AN183" i="9"/>
  <c r="AG183" i="9"/>
  <c r="AF183" i="9"/>
  <c r="Y183" i="9"/>
  <c r="X183" i="9"/>
  <c r="S183" i="9"/>
  <c r="R183" i="9"/>
  <c r="BO182" i="9"/>
  <c r="BN182" i="9"/>
  <c r="BM182" i="9"/>
  <c r="BL182" i="9"/>
  <c r="BK182" i="9"/>
  <c r="BJ182" i="9"/>
  <c r="BD182" i="9"/>
  <c r="AY182" i="9"/>
  <c r="AV182" i="9"/>
  <c r="AQ182" i="9"/>
  <c r="AN182" i="9"/>
  <c r="AI182" i="9"/>
  <c r="AF182" i="9"/>
  <c r="AA182" i="9"/>
  <c r="X182" i="9"/>
  <c r="S182" i="9"/>
  <c r="R182" i="9"/>
  <c r="I182" i="9"/>
  <c r="K182" i="9" s="1"/>
  <c r="BO181" i="9"/>
  <c r="BN181" i="9"/>
  <c r="BM181" i="9"/>
  <c r="BL181" i="9"/>
  <c r="BK181" i="9"/>
  <c r="BJ181" i="9"/>
  <c r="BD181" i="9"/>
  <c r="AY181" i="9"/>
  <c r="AV181" i="9"/>
  <c r="AQ181" i="9"/>
  <c r="AN181" i="9"/>
  <c r="AI181" i="9"/>
  <c r="AF181" i="9"/>
  <c r="AA181" i="9"/>
  <c r="X181" i="9"/>
  <c r="S181" i="9"/>
  <c r="R181" i="9"/>
  <c r="I181" i="9"/>
  <c r="K181" i="9" s="1"/>
  <c r="BO180" i="9"/>
  <c r="BN180" i="9"/>
  <c r="BM180" i="9"/>
  <c r="BL180" i="9"/>
  <c r="BK180" i="9"/>
  <c r="BJ180" i="9"/>
  <c r="BD180" i="9"/>
  <c r="AY180" i="9"/>
  <c r="AV180" i="9"/>
  <c r="AQ180" i="9"/>
  <c r="AN180" i="9"/>
  <c r="AI180" i="9"/>
  <c r="AF180" i="9"/>
  <c r="AA180" i="9"/>
  <c r="X180" i="9"/>
  <c r="S180" i="9"/>
  <c r="R180" i="9"/>
  <c r="I180" i="9"/>
  <c r="K180" i="9" s="1"/>
  <c r="BO179" i="9"/>
  <c r="BN179" i="9"/>
  <c r="BM179" i="9"/>
  <c r="BL179" i="9"/>
  <c r="BK179" i="9"/>
  <c r="BJ179" i="9"/>
  <c r="BD179" i="9"/>
  <c r="AY179" i="9"/>
  <c r="AV179" i="9"/>
  <c r="AQ179" i="9"/>
  <c r="AN179" i="9"/>
  <c r="AI179" i="9"/>
  <c r="AF179" i="9"/>
  <c r="AA179" i="9"/>
  <c r="X179" i="9"/>
  <c r="S179" i="9"/>
  <c r="R179" i="9"/>
  <c r="BJ178" i="9"/>
  <c r="BD178" i="9"/>
  <c r="AW178" i="9"/>
  <c r="AV178" i="9"/>
  <c r="AO178" i="9"/>
  <c r="AN178" i="9"/>
  <c r="AG178" i="9"/>
  <c r="AF178" i="9"/>
  <c r="Y178" i="9"/>
  <c r="X178" i="9"/>
  <c r="S178" i="9"/>
  <c r="R178" i="9"/>
  <c r="I178" i="9"/>
  <c r="K178" i="9" s="1"/>
  <c r="BJ177" i="9"/>
  <c r="BD177" i="9"/>
  <c r="AW177" i="9"/>
  <c r="AV177" i="9"/>
  <c r="AO177" i="9"/>
  <c r="AN177" i="9"/>
  <c r="AG177" i="9"/>
  <c r="AF177" i="9"/>
  <c r="Y177" i="9"/>
  <c r="X177" i="9"/>
  <c r="S177" i="9"/>
  <c r="R177" i="9"/>
  <c r="I177" i="9"/>
  <c r="K177" i="9" s="1"/>
  <c r="BJ176" i="9"/>
  <c r="BD176" i="9"/>
  <c r="AW176" i="9"/>
  <c r="AV176" i="9"/>
  <c r="AO176" i="9"/>
  <c r="AN176" i="9"/>
  <c r="AG176" i="9"/>
  <c r="AF176" i="9"/>
  <c r="Y176" i="9"/>
  <c r="X176" i="9"/>
  <c r="S176" i="9"/>
  <c r="R176" i="9"/>
  <c r="BO175" i="9"/>
  <c r="BN175" i="9"/>
  <c r="BM175" i="9"/>
  <c r="BL175" i="9"/>
  <c r="BK175" i="9"/>
  <c r="BJ175" i="9"/>
  <c r="BD175" i="9"/>
  <c r="AY175" i="9"/>
  <c r="AV175" i="9"/>
  <c r="AQ175" i="9"/>
  <c r="AN175" i="9"/>
  <c r="AI175" i="9"/>
  <c r="AF175" i="9"/>
  <c r="AA175" i="9"/>
  <c r="X175" i="9"/>
  <c r="S175" i="9"/>
  <c r="R175" i="9"/>
  <c r="BO174" i="9"/>
  <c r="BN174" i="9"/>
  <c r="BM174" i="9"/>
  <c r="BL174" i="9"/>
  <c r="BK174" i="9"/>
  <c r="BJ174" i="9"/>
  <c r="BD174" i="9"/>
  <c r="AY174" i="9"/>
  <c r="AV174" i="9"/>
  <c r="AQ174" i="9"/>
  <c r="AN174" i="9"/>
  <c r="AI174" i="9"/>
  <c r="AF174" i="9"/>
  <c r="AA174" i="9"/>
  <c r="X174" i="9"/>
  <c r="S174" i="9"/>
  <c r="R174" i="9"/>
  <c r="BJ173" i="9"/>
  <c r="BD173" i="9"/>
  <c r="AW173" i="9"/>
  <c r="AV173" i="9"/>
  <c r="AO173" i="9"/>
  <c r="AN173" i="9"/>
  <c r="AG173" i="9"/>
  <c r="AF173" i="9"/>
  <c r="Y173" i="9"/>
  <c r="X173" i="9"/>
  <c r="S173" i="9"/>
  <c r="R173" i="9"/>
  <c r="BJ172" i="9"/>
  <c r="BD172" i="9"/>
  <c r="AW172" i="9"/>
  <c r="AV172" i="9"/>
  <c r="AO172" i="9"/>
  <c r="AN172" i="9"/>
  <c r="AG172" i="9"/>
  <c r="AF172" i="9"/>
  <c r="Y172" i="9"/>
  <c r="X172" i="9"/>
  <c r="S172" i="9"/>
  <c r="R172" i="9"/>
  <c r="BO171" i="9"/>
  <c r="BN171" i="9"/>
  <c r="BM171" i="9"/>
  <c r="BL171" i="9"/>
  <c r="BK171" i="9"/>
  <c r="BJ171" i="9"/>
  <c r="BD171" i="9"/>
  <c r="AY171" i="9"/>
  <c r="AV171" i="9"/>
  <c r="AQ171" i="9"/>
  <c r="AN171" i="9"/>
  <c r="AI171" i="9"/>
  <c r="AF171" i="9"/>
  <c r="AA171" i="9"/>
  <c r="X171" i="9"/>
  <c r="S171" i="9"/>
  <c r="R171" i="9"/>
  <c r="BJ170" i="9"/>
  <c r="BD170" i="9"/>
  <c r="AW170" i="9"/>
  <c r="AV170" i="9"/>
  <c r="AO170" i="9"/>
  <c r="AN170" i="9"/>
  <c r="AG170" i="9"/>
  <c r="AF170" i="9"/>
  <c r="Y170" i="9"/>
  <c r="X170" i="9"/>
  <c r="S170" i="9"/>
  <c r="R170" i="9"/>
  <c r="BO169" i="9"/>
  <c r="BN169" i="9"/>
  <c r="BM169" i="9"/>
  <c r="BL169" i="9"/>
  <c r="BK169" i="9"/>
  <c r="BJ169" i="9"/>
  <c r="BD169" i="9"/>
  <c r="AY169" i="9"/>
  <c r="AV169" i="9"/>
  <c r="AQ169" i="9"/>
  <c r="AN169" i="9"/>
  <c r="AI169" i="9"/>
  <c r="AF169" i="9"/>
  <c r="AA169" i="9"/>
  <c r="X169" i="9"/>
  <c r="S169" i="9"/>
  <c r="R169" i="9"/>
  <c r="BJ168" i="9"/>
  <c r="BD168" i="9"/>
  <c r="AW168" i="9"/>
  <c r="AV168" i="9"/>
  <c r="AO168" i="9"/>
  <c r="AN168" i="9"/>
  <c r="AG168" i="9"/>
  <c r="AF168" i="9"/>
  <c r="Y168" i="9"/>
  <c r="X168" i="9"/>
  <c r="S168" i="9"/>
  <c r="R168" i="9"/>
  <c r="BJ167" i="9"/>
  <c r="BD167" i="9"/>
  <c r="AW167" i="9"/>
  <c r="AV167" i="9"/>
  <c r="AO167" i="9"/>
  <c r="AN167" i="9"/>
  <c r="AG167" i="9"/>
  <c r="AF167" i="9"/>
  <c r="Y167" i="9"/>
  <c r="X167" i="9"/>
  <c r="S167" i="9"/>
  <c r="R167" i="9"/>
  <c r="BJ166" i="9"/>
  <c r="BD166" i="9"/>
  <c r="AW166" i="9"/>
  <c r="AV166" i="9"/>
  <c r="AO166" i="9"/>
  <c r="AN166" i="9"/>
  <c r="AG166" i="9"/>
  <c r="AF166" i="9"/>
  <c r="Y166" i="9"/>
  <c r="X166" i="9"/>
  <c r="S166" i="9"/>
  <c r="R166" i="9"/>
  <c r="BJ165" i="9"/>
  <c r="BD165" i="9"/>
  <c r="AW165" i="9"/>
  <c r="AV165" i="9"/>
  <c r="AO165" i="9"/>
  <c r="AN165" i="9"/>
  <c r="AG165" i="9"/>
  <c r="AF165" i="9"/>
  <c r="Y165" i="9"/>
  <c r="X165" i="9"/>
  <c r="S165" i="9"/>
  <c r="R165" i="9"/>
  <c r="BJ164" i="9"/>
  <c r="BD164" i="9"/>
  <c r="AW164" i="9"/>
  <c r="AV164" i="9"/>
  <c r="AO164" i="9"/>
  <c r="AN164" i="9"/>
  <c r="AG164" i="9"/>
  <c r="AF164" i="9"/>
  <c r="Y164" i="9"/>
  <c r="X164" i="9"/>
  <c r="S164" i="9"/>
  <c r="R164" i="9"/>
  <c r="BO161" i="9"/>
  <c r="BN161" i="9"/>
  <c r="BM161" i="9"/>
  <c r="BL161" i="9"/>
  <c r="BK161" i="9"/>
  <c r="BJ161" i="9"/>
  <c r="BD161" i="9"/>
  <c r="AY161" i="9"/>
  <c r="AV161" i="9"/>
  <c r="AQ161" i="9"/>
  <c r="AN161" i="9"/>
  <c r="AI161" i="9"/>
  <c r="AF161" i="9"/>
  <c r="AA161" i="9"/>
  <c r="X161" i="9"/>
  <c r="S161" i="9"/>
  <c r="R161" i="9"/>
  <c r="I161" i="9"/>
  <c r="K161" i="9" s="1"/>
  <c r="BO160" i="9"/>
  <c r="BN160" i="9"/>
  <c r="BM160" i="9"/>
  <c r="BL160" i="9"/>
  <c r="BK160" i="9"/>
  <c r="BJ160" i="9"/>
  <c r="BD160" i="9"/>
  <c r="AY160" i="9"/>
  <c r="AV160" i="9"/>
  <c r="AQ160" i="9"/>
  <c r="AN160" i="9"/>
  <c r="AI160" i="9"/>
  <c r="AF160" i="9"/>
  <c r="AA160" i="9"/>
  <c r="X160" i="9"/>
  <c r="S160" i="9"/>
  <c r="R160" i="9"/>
  <c r="I160" i="9"/>
  <c r="K160" i="9" s="1"/>
  <c r="BO159" i="9"/>
  <c r="BN159" i="9"/>
  <c r="BM159" i="9"/>
  <c r="BL159" i="9"/>
  <c r="BK159" i="9"/>
  <c r="BJ159" i="9"/>
  <c r="BD159" i="9"/>
  <c r="AY159" i="9"/>
  <c r="AV159" i="9"/>
  <c r="AQ159" i="9"/>
  <c r="AN159" i="9"/>
  <c r="AI159" i="9"/>
  <c r="AF159" i="9"/>
  <c r="AA159" i="9"/>
  <c r="X159" i="9"/>
  <c r="S159" i="9"/>
  <c r="R159" i="9"/>
  <c r="I159" i="9"/>
  <c r="K159" i="9" s="1"/>
  <c r="BJ158" i="9"/>
  <c r="BD158" i="9"/>
  <c r="AW158" i="9"/>
  <c r="AV158" i="9"/>
  <c r="AO158" i="9"/>
  <c r="AN158" i="9"/>
  <c r="AG158" i="9"/>
  <c r="AF158" i="9"/>
  <c r="Y158" i="9"/>
  <c r="X158" i="9"/>
  <c r="S158" i="9"/>
  <c r="R158" i="9"/>
  <c r="BJ157" i="9"/>
  <c r="BD157" i="9"/>
  <c r="AW157" i="9"/>
  <c r="AV157" i="9"/>
  <c r="AO157" i="9"/>
  <c r="AN157" i="9"/>
  <c r="AG157" i="9"/>
  <c r="AF157" i="9"/>
  <c r="Y157" i="9"/>
  <c r="X157" i="9"/>
  <c r="S157" i="9"/>
  <c r="R157" i="9"/>
  <c r="BJ156" i="9"/>
  <c r="BD156" i="9"/>
  <c r="AW156" i="9"/>
  <c r="AV156" i="9"/>
  <c r="AO156" i="9"/>
  <c r="AN156" i="9"/>
  <c r="AG156" i="9"/>
  <c r="AF156" i="9"/>
  <c r="Y156" i="9"/>
  <c r="X156" i="9"/>
  <c r="S156" i="9"/>
  <c r="R156" i="9"/>
  <c r="BJ155" i="9"/>
  <c r="BD155" i="9"/>
  <c r="AW155" i="9"/>
  <c r="AV155" i="9"/>
  <c r="AO155" i="9"/>
  <c r="AN155" i="9"/>
  <c r="AG155" i="9"/>
  <c r="AF155" i="9"/>
  <c r="Y155" i="9"/>
  <c r="X155" i="9"/>
  <c r="S155" i="9"/>
  <c r="R155" i="9"/>
  <c r="BJ154" i="9"/>
  <c r="BD154" i="9"/>
  <c r="AW154" i="9"/>
  <c r="AV154" i="9"/>
  <c r="AO154" i="9"/>
  <c r="AN154" i="9"/>
  <c r="AG154" i="9"/>
  <c r="AF154" i="9"/>
  <c r="Y154" i="9"/>
  <c r="X154" i="9"/>
  <c r="S154" i="9"/>
  <c r="R154" i="9"/>
  <c r="BJ153" i="9"/>
  <c r="BD153" i="9"/>
  <c r="AW153" i="9"/>
  <c r="AV153" i="9"/>
  <c r="AO153" i="9"/>
  <c r="AN153" i="9"/>
  <c r="AG153" i="9"/>
  <c r="AF153" i="9"/>
  <c r="Y153" i="9"/>
  <c r="X153" i="9"/>
  <c r="S153" i="9"/>
  <c r="R153" i="9"/>
  <c r="BJ152" i="9"/>
  <c r="BD152" i="9"/>
  <c r="AW152" i="9"/>
  <c r="AV152" i="9"/>
  <c r="AO152" i="9"/>
  <c r="AN152" i="9"/>
  <c r="AG152" i="9"/>
  <c r="AF152" i="9"/>
  <c r="Y152" i="9"/>
  <c r="X152" i="9"/>
  <c r="S152" i="9"/>
  <c r="R152" i="9"/>
  <c r="BJ151" i="9"/>
  <c r="BD151" i="9"/>
  <c r="AW151" i="9"/>
  <c r="AV151" i="9"/>
  <c r="AO151" i="9"/>
  <c r="AN151" i="9"/>
  <c r="AG151" i="9"/>
  <c r="AF151" i="9"/>
  <c r="Y151" i="9"/>
  <c r="X151" i="9"/>
  <c r="S151" i="9"/>
  <c r="R151" i="9"/>
  <c r="BJ150" i="9"/>
  <c r="BD150" i="9"/>
  <c r="AW150" i="9"/>
  <c r="AV150" i="9"/>
  <c r="AO150" i="9"/>
  <c r="AN150" i="9"/>
  <c r="AG150" i="9"/>
  <c r="AF150" i="9"/>
  <c r="Y150" i="9"/>
  <c r="X150" i="9"/>
  <c r="S150" i="9"/>
  <c r="R150" i="9"/>
  <c r="BJ149" i="9"/>
  <c r="BD149" i="9"/>
  <c r="AW149" i="9"/>
  <c r="AV149" i="9"/>
  <c r="AO149" i="9"/>
  <c r="AN149" i="9"/>
  <c r="AG149" i="9"/>
  <c r="AF149" i="9"/>
  <c r="Y149" i="9"/>
  <c r="X149" i="9"/>
  <c r="S149" i="9"/>
  <c r="R149" i="9"/>
  <c r="BJ148" i="9"/>
  <c r="BD148" i="9"/>
  <c r="AW148" i="9"/>
  <c r="AV148" i="9"/>
  <c r="AO148" i="9"/>
  <c r="AN148" i="9"/>
  <c r="AG148" i="9"/>
  <c r="AF148" i="9"/>
  <c r="Y148" i="9"/>
  <c r="X148" i="9"/>
  <c r="S148" i="9"/>
  <c r="R148" i="9"/>
  <c r="BJ147" i="9"/>
  <c r="BD147" i="9"/>
  <c r="AW147" i="9"/>
  <c r="AV147" i="9"/>
  <c r="AO147" i="9"/>
  <c r="AN147" i="9"/>
  <c r="AG147" i="9"/>
  <c r="AF147" i="9"/>
  <c r="Y147" i="9"/>
  <c r="X147" i="9"/>
  <c r="S147" i="9"/>
  <c r="R147" i="9"/>
  <c r="BJ146" i="9"/>
  <c r="BD146" i="9"/>
  <c r="AW146" i="9"/>
  <c r="AV146" i="9"/>
  <c r="AO146" i="9"/>
  <c r="AN146" i="9"/>
  <c r="AG146" i="9"/>
  <c r="AF146" i="9"/>
  <c r="Y146" i="9"/>
  <c r="X146" i="9"/>
  <c r="S146" i="9"/>
  <c r="R146" i="9"/>
  <c r="I146" i="9"/>
  <c r="K146" i="9" s="1"/>
  <c r="BJ145" i="9"/>
  <c r="BD145" i="9"/>
  <c r="AW145" i="9"/>
  <c r="AV145" i="9"/>
  <c r="AO145" i="9"/>
  <c r="AN145" i="9"/>
  <c r="AG145" i="9"/>
  <c r="AF145" i="9"/>
  <c r="Y145" i="9"/>
  <c r="X145" i="9"/>
  <c r="S145" i="9"/>
  <c r="R145" i="9"/>
  <c r="BJ144" i="9"/>
  <c r="BD144" i="9"/>
  <c r="AW144" i="9"/>
  <c r="AV144" i="9"/>
  <c r="AO144" i="9"/>
  <c r="AN144" i="9"/>
  <c r="AG144" i="9"/>
  <c r="AF144" i="9"/>
  <c r="Y144" i="9"/>
  <c r="X144" i="9"/>
  <c r="S144" i="9"/>
  <c r="R144" i="9"/>
  <c r="BJ143" i="9"/>
  <c r="BD143" i="9"/>
  <c r="AW143" i="9"/>
  <c r="AV143" i="9"/>
  <c r="AO143" i="9"/>
  <c r="AN143" i="9"/>
  <c r="AG143" i="9"/>
  <c r="AF143" i="9"/>
  <c r="Y143" i="9"/>
  <c r="X143" i="9"/>
  <c r="S143" i="9"/>
  <c r="R143" i="9"/>
  <c r="BO142" i="9"/>
  <c r="BN142" i="9"/>
  <c r="BM142" i="9"/>
  <c r="BL142" i="9"/>
  <c r="BK142" i="9"/>
  <c r="BJ142" i="9"/>
  <c r="BD142" i="9"/>
  <c r="AY142" i="9"/>
  <c r="AV142" i="9"/>
  <c r="AQ142" i="9"/>
  <c r="AN142" i="9"/>
  <c r="AI142" i="9"/>
  <c r="AF142" i="9"/>
  <c r="AA142" i="9"/>
  <c r="X142" i="9"/>
  <c r="S142" i="9"/>
  <c r="R142" i="9"/>
  <c r="I142" i="9"/>
  <c r="K142" i="9" s="1"/>
  <c r="BJ141" i="9"/>
  <c r="BD141" i="9"/>
  <c r="AW141" i="9"/>
  <c r="AV141" i="9"/>
  <c r="AO141" i="9"/>
  <c r="AN141" i="9"/>
  <c r="AG141" i="9"/>
  <c r="AF141" i="9"/>
  <c r="Y141" i="9"/>
  <c r="X141" i="9"/>
  <c r="S141" i="9"/>
  <c r="R141" i="9"/>
  <c r="BJ140" i="9"/>
  <c r="BD140" i="9"/>
  <c r="AW140" i="9"/>
  <c r="AV140" i="9"/>
  <c r="AO140" i="9"/>
  <c r="AN140" i="9"/>
  <c r="AG140" i="9"/>
  <c r="AF140" i="9"/>
  <c r="Y140" i="9"/>
  <c r="X140" i="9"/>
  <c r="S140" i="9"/>
  <c r="R140" i="9"/>
  <c r="BJ139" i="9"/>
  <c r="BD139" i="9"/>
  <c r="AW139" i="9"/>
  <c r="AV139" i="9"/>
  <c r="AO139" i="9"/>
  <c r="AN139" i="9"/>
  <c r="AG139" i="9"/>
  <c r="AF139" i="9"/>
  <c r="Y139" i="9"/>
  <c r="X139" i="9"/>
  <c r="S139" i="9"/>
  <c r="R139" i="9"/>
  <c r="BJ138" i="9"/>
  <c r="BD138" i="9"/>
  <c r="AW138" i="9"/>
  <c r="AV138" i="9"/>
  <c r="AO138" i="9"/>
  <c r="AN138" i="9"/>
  <c r="AG138" i="9"/>
  <c r="AF138" i="9"/>
  <c r="Y138" i="9"/>
  <c r="X138" i="9"/>
  <c r="S138" i="9"/>
  <c r="R138" i="9"/>
  <c r="BJ137" i="9"/>
  <c r="BD137" i="9"/>
  <c r="AW137" i="9"/>
  <c r="AV137" i="9"/>
  <c r="AO137" i="9"/>
  <c r="AN137" i="9"/>
  <c r="AG137" i="9"/>
  <c r="AF137" i="9"/>
  <c r="Y137" i="9"/>
  <c r="X137" i="9"/>
  <c r="S137" i="9"/>
  <c r="R137" i="9"/>
  <c r="BJ136" i="9"/>
  <c r="BD136" i="9"/>
  <c r="AW136" i="9"/>
  <c r="AV136" i="9"/>
  <c r="AO136" i="9"/>
  <c r="AN136" i="9"/>
  <c r="AG136" i="9"/>
  <c r="AF136" i="9"/>
  <c r="Y136" i="9"/>
  <c r="X136" i="9"/>
  <c r="S136" i="9"/>
  <c r="R136" i="9"/>
  <c r="H136" i="9"/>
  <c r="J136" i="9" s="1"/>
  <c r="BJ135" i="9"/>
  <c r="BD135" i="9"/>
  <c r="AW135" i="9"/>
  <c r="AV135" i="9"/>
  <c r="AO135" i="9"/>
  <c r="AN135" i="9"/>
  <c r="AG135" i="9"/>
  <c r="AF135" i="9"/>
  <c r="Y135" i="9"/>
  <c r="X135" i="9"/>
  <c r="S135" i="9"/>
  <c r="R135" i="9"/>
  <c r="BJ134" i="9"/>
  <c r="BD134" i="9"/>
  <c r="AW134" i="9"/>
  <c r="AV134" i="9"/>
  <c r="AO134" i="9"/>
  <c r="AN134" i="9"/>
  <c r="AG134" i="9"/>
  <c r="AF134" i="9"/>
  <c r="Y134" i="9"/>
  <c r="X134" i="9"/>
  <c r="S134" i="9"/>
  <c r="R134" i="9"/>
  <c r="BJ133" i="9"/>
  <c r="BD133" i="9"/>
  <c r="AW133" i="9"/>
  <c r="AV133" i="9"/>
  <c r="AO133" i="9"/>
  <c r="AN133" i="9"/>
  <c r="AG133" i="9"/>
  <c r="AF133" i="9"/>
  <c r="Y133" i="9"/>
  <c r="X133" i="9"/>
  <c r="S133" i="9"/>
  <c r="R133" i="9"/>
  <c r="BJ132" i="9"/>
  <c r="BD132" i="9"/>
  <c r="AW132" i="9"/>
  <c r="AV132" i="9"/>
  <c r="AO132" i="9"/>
  <c r="AN132" i="9"/>
  <c r="AG132" i="9"/>
  <c r="AF132" i="9"/>
  <c r="Y132" i="9"/>
  <c r="X132" i="9"/>
  <c r="S132" i="9"/>
  <c r="R132" i="9"/>
  <c r="BJ131" i="9"/>
  <c r="BD131" i="9"/>
  <c r="AW131" i="9"/>
  <c r="AV131" i="9"/>
  <c r="AO131" i="9"/>
  <c r="AN131" i="9"/>
  <c r="AG131" i="9"/>
  <c r="AF131" i="9"/>
  <c r="Y131" i="9"/>
  <c r="X131" i="9"/>
  <c r="S131" i="9"/>
  <c r="R131" i="9"/>
  <c r="BO130" i="9"/>
  <c r="BN130" i="9"/>
  <c r="BM130" i="9"/>
  <c r="BL130" i="9"/>
  <c r="BK130" i="9"/>
  <c r="BJ130" i="9"/>
  <c r="BD130" i="9"/>
  <c r="AY130" i="9"/>
  <c r="AV130" i="9"/>
  <c r="AQ130" i="9"/>
  <c r="AN130" i="9"/>
  <c r="AI130" i="9"/>
  <c r="AF130" i="9"/>
  <c r="AA130" i="9"/>
  <c r="X130" i="9"/>
  <c r="S130" i="9"/>
  <c r="R130" i="9"/>
  <c r="BO129" i="9"/>
  <c r="BN129" i="9"/>
  <c r="BM129" i="9"/>
  <c r="BL129" i="9"/>
  <c r="BK129" i="9"/>
  <c r="BJ129" i="9"/>
  <c r="BD129" i="9"/>
  <c r="AY129" i="9"/>
  <c r="AV129" i="9"/>
  <c r="AQ129" i="9"/>
  <c r="AN129" i="9"/>
  <c r="AI129" i="9"/>
  <c r="AF129" i="9"/>
  <c r="AA129" i="9"/>
  <c r="X129" i="9"/>
  <c r="S129" i="9"/>
  <c r="R129" i="9"/>
  <c r="I129" i="9"/>
  <c r="K129" i="9" s="1"/>
  <c r="BO128" i="9"/>
  <c r="BN128" i="9"/>
  <c r="BM128" i="9"/>
  <c r="BL128" i="9"/>
  <c r="BK128" i="9"/>
  <c r="BJ128" i="9"/>
  <c r="BD128" i="9"/>
  <c r="AY128" i="9"/>
  <c r="AV128" i="9"/>
  <c r="AQ128" i="9"/>
  <c r="AN128" i="9"/>
  <c r="AI128" i="9"/>
  <c r="AF128" i="9"/>
  <c r="AA128" i="9"/>
  <c r="X128" i="9"/>
  <c r="S128" i="9"/>
  <c r="R128" i="9"/>
  <c r="I128" i="9"/>
  <c r="K128" i="9" s="1"/>
  <c r="BJ125" i="9"/>
  <c r="BI125" i="9"/>
  <c r="BH125" i="9"/>
  <c r="BG125" i="9"/>
  <c r="BF125" i="9"/>
  <c r="BE125" i="9"/>
  <c r="BD125" i="9"/>
  <c r="AX125" i="9"/>
  <c r="AW125" i="9"/>
  <c r="AP125" i="9"/>
  <c r="AO125" i="9"/>
  <c r="AH125" i="9"/>
  <c r="AG125" i="9"/>
  <c r="Z125" i="9"/>
  <c r="Y125" i="9"/>
  <c r="S125" i="9"/>
  <c r="R125" i="9"/>
  <c r="H125" i="9"/>
  <c r="J125" i="9" s="1"/>
  <c r="BJ124" i="9"/>
  <c r="BD124" i="9"/>
  <c r="AW124" i="9"/>
  <c r="AV124" i="9"/>
  <c r="AO124" i="9"/>
  <c r="AN124" i="9"/>
  <c r="AG124" i="9"/>
  <c r="AF124" i="9"/>
  <c r="Y124" i="9"/>
  <c r="X124" i="9"/>
  <c r="S124" i="9"/>
  <c r="R124" i="9"/>
  <c r="BJ123" i="9"/>
  <c r="BD123" i="9"/>
  <c r="AW123" i="9"/>
  <c r="AV123" i="9"/>
  <c r="AO123" i="9"/>
  <c r="AN123" i="9"/>
  <c r="AG123" i="9"/>
  <c r="AF123" i="9"/>
  <c r="Y123" i="9"/>
  <c r="X123" i="9"/>
  <c r="S123" i="9"/>
  <c r="R123" i="9"/>
  <c r="BJ122" i="9"/>
  <c r="BD122" i="9"/>
  <c r="AW122" i="9"/>
  <c r="AV122" i="9"/>
  <c r="AO122" i="9"/>
  <c r="AN122" i="9"/>
  <c r="AG122" i="9"/>
  <c r="AF122" i="9"/>
  <c r="Y122" i="9"/>
  <c r="X122" i="9"/>
  <c r="S122" i="9"/>
  <c r="R122" i="9"/>
  <c r="BO121" i="9"/>
  <c r="BN121" i="9"/>
  <c r="BM121" i="9"/>
  <c r="BL121" i="9"/>
  <c r="BK121" i="9"/>
  <c r="BJ121" i="9"/>
  <c r="BD121" i="9"/>
  <c r="AY121" i="9"/>
  <c r="AV121" i="9"/>
  <c r="AQ121" i="9"/>
  <c r="AN121" i="9"/>
  <c r="AI121" i="9"/>
  <c r="AF121" i="9"/>
  <c r="AA121" i="9"/>
  <c r="X121" i="9"/>
  <c r="S121" i="9"/>
  <c r="R121" i="9"/>
  <c r="I121" i="9"/>
  <c r="K121" i="9" s="1"/>
  <c r="BJ120" i="9"/>
  <c r="BI120" i="9"/>
  <c r="BH120" i="9"/>
  <c r="BG120" i="9"/>
  <c r="BF120" i="9"/>
  <c r="BE120" i="9"/>
  <c r="BD120" i="9"/>
  <c r="AX120" i="9"/>
  <c r="AW120" i="9"/>
  <c r="AP120" i="9"/>
  <c r="AO120" i="9"/>
  <c r="AH120" i="9"/>
  <c r="AG120" i="9"/>
  <c r="Z120" i="9"/>
  <c r="Y120" i="9"/>
  <c r="S120" i="9"/>
  <c r="R120" i="9"/>
  <c r="BJ119" i="9"/>
  <c r="BD119" i="9"/>
  <c r="AW119" i="9"/>
  <c r="AV119" i="9"/>
  <c r="AO119" i="9"/>
  <c r="AN119" i="9"/>
  <c r="AG119" i="9"/>
  <c r="AF119" i="9"/>
  <c r="Y119" i="9"/>
  <c r="X119" i="9"/>
  <c r="S119" i="9"/>
  <c r="R119" i="9"/>
  <c r="BJ118" i="9"/>
  <c r="BD118" i="9"/>
  <c r="AW118" i="9"/>
  <c r="AV118" i="9"/>
  <c r="AO118" i="9"/>
  <c r="AN118" i="9"/>
  <c r="AG118" i="9"/>
  <c r="AF118" i="9"/>
  <c r="Y118" i="9"/>
  <c r="X118" i="9"/>
  <c r="S118" i="9"/>
  <c r="R118" i="9"/>
  <c r="BJ117" i="9"/>
  <c r="BI117" i="9"/>
  <c r="BH117" i="9"/>
  <c r="BG117" i="9"/>
  <c r="BF117" i="9"/>
  <c r="BE117" i="9"/>
  <c r="BD117" i="9"/>
  <c r="AX117" i="9"/>
  <c r="AW117" i="9"/>
  <c r="AP117" i="9"/>
  <c r="AO117" i="9"/>
  <c r="AH117" i="9"/>
  <c r="AG117" i="9"/>
  <c r="Z117" i="9"/>
  <c r="Y117" i="9"/>
  <c r="S117" i="9"/>
  <c r="R117" i="9"/>
  <c r="H117" i="9"/>
  <c r="J117" i="9" s="1"/>
  <c r="BJ116" i="9"/>
  <c r="BD116" i="9"/>
  <c r="AW116" i="9"/>
  <c r="AV116" i="9"/>
  <c r="AO116" i="9"/>
  <c r="AN116" i="9"/>
  <c r="AG116" i="9"/>
  <c r="AF116" i="9"/>
  <c r="Y116" i="9"/>
  <c r="X116" i="9"/>
  <c r="S116" i="9"/>
  <c r="R116" i="9"/>
  <c r="BO115" i="9"/>
  <c r="BN115" i="9"/>
  <c r="BM115" i="9"/>
  <c r="BL115" i="9"/>
  <c r="BK115" i="9"/>
  <c r="BJ115" i="9"/>
  <c r="BD115" i="9"/>
  <c r="AY115" i="9"/>
  <c r="AV115" i="9"/>
  <c r="AQ115" i="9"/>
  <c r="AN115" i="9"/>
  <c r="AI115" i="9"/>
  <c r="AF115" i="9"/>
  <c r="AA115" i="9"/>
  <c r="X115" i="9"/>
  <c r="S115" i="9"/>
  <c r="R115" i="9"/>
  <c r="I115" i="9"/>
  <c r="K115" i="9" s="1"/>
  <c r="BJ114" i="9"/>
  <c r="BD114" i="9"/>
  <c r="AW114" i="9"/>
  <c r="AV114" i="9"/>
  <c r="AO114" i="9"/>
  <c r="AN114" i="9"/>
  <c r="AG114" i="9"/>
  <c r="AF114" i="9"/>
  <c r="Y114" i="9"/>
  <c r="X114" i="9"/>
  <c r="S114" i="9"/>
  <c r="R114" i="9"/>
  <c r="BJ113" i="9"/>
  <c r="BD113" i="9"/>
  <c r="AW113" i="9"/>
  <c r="AV113" i="9"/>
  <c r="AO113" i="9"/>
  <c r="AN113" i="9"/>
  <c r="AG113" i="9"/>
  <c r="AF113" i="9"/>
  <c r="Y113" i="9"/>
  <c r="X113" i="9"/>
  <c r="S113" i="9"/>
  <c r="R113" i="9"/>
  <c r="BJ112" i="9"/>
  <c r="BD112" i="9"/>
  <c r="AW112" i="9"/>
  <c r="AV112" i="9"/>
  <c r="AO112" i="9"/>
  <c r="AN112" i="9"/>
  <c r="AG112" i="9"/>
  <c r="AF112" i="9"/>
  <c r="Y112" i="9"/>
  <c r="X112" i="9"/>
  <c r="S112" i="9"/>
  <c r="R112" i="9"/>
  <c r="BJ111" i="9"/>
  <c r="BD111" i="9"/>
  <c r="AW111" i="9"/>
  <c r="AV111" i="9"/>
  <c r="AO111" i="9"/>
  <c r="AN111" i="9"/>
  <c r="AG111" i="9"/>
  <c r="AF111" i="9"/>
  <c r="Y111" i="9"/>
  <c r="X111" i="9"/>
  <c r="S111" i="9"/>
  <c r="R111" i="9"/>
  <c r="BO110" i="9"/>
  <c r="BN110" i="9"/>
  <c r="BM110" i="9"/>
  <c r="BL110" i="9"/>
  <c r="BK110" i="9"/>
  <c r="BJ110" i="9"/>
  <c r="BD110" i="9"/>
  <c r="AY110" i="9"/>
  <c r="AV110" i="9"/>
  <c r="AQ110" i="9"/>
  <c r="AN110" i="9"/>
  <c r="AI110" i="9"/>
  <c r="AF110" i="9"/>
  <c r="AA110" i="9"/>
  <c r="X110" i="9"/>
  <c r="S110" i="9"/>
  <c r="R110" i="9"/>
  <c r="I110" i="9"/>
  <c r="K110" i="9" s="1"/>
  <c r="BO109" i="9"/>
  <c r="BN109" i="9"/>
  <c r="BM109" i="9"/>
  <c r="BL109" i="9"/>
  <c r="BK109" i="9"/>
  <c r="BJ109" i="9"/>
  <c r="BD109" i="9"/>
  <c r="AY109" i="9"/>
  <c r="AV109" i="9"/>
  <c r="AQ109" i="9"/>
  <c r="AN109" i="9"/>
  <c r="AI109" i="9"/>
  <c r="AF109" i="9"/>
  <c r="AA109" i="9"/>
  <c r="X109" i="9"/>
  <c r="S109" i="9"/>
  <c r="R109" i="9"/>
  <c r="I109" i="9"/>
  <c r="K109" i="9" s="1"/>
  <c r="BJ108" i="9"/>
  <c r="BI108" i="9"/>
  <c r="BH108" i="9"/>
  <c r="BG108" i="9"/>
  <c r="BF108" i="9"/>
  <c r="BE108" i="9"/>
  <c r="BD108" i="9"/>
  <c r="AX108" i="9"/>
  <c r="AW108" i="9"/>
  <c r="AP108" i="9"/>
  <c r="AO108" i="9"/>
  <c r="AH108" i="9"/>
  <c r="AG108" i="9"/>
  <c r="Z108" i="9"/>
  <c r="Y108" i="9"/>
  <c r="S108" i="9"/>
  <c r="R108" i="9"/>
  <c r="H108" i="9"/>
  <c r="J108" i="9" s="1"/>
  <c r="BO107" i="9"/>
  <c r="BN107" i="9"/>
  <c r="BM107" i="9"/>
  <c r="BL107" i="9"/>
  <c r="BK107" i="9"/>
  <c r="BJ107" i="9"/>
  <c r="BD107" i="9"/>
  <c r="AY107" i="9"/>
  <c r="AV107" i="9"/>
  <c r="AQ107" i="9"/>
  <c r="AN107" i="9"/>
  <c r="AI107" i="9"/>
  <c r="AF107" i="9"/>
  <c r="AA107" i="9"/>
  <c r="X107" i="9"/>
  <c r="S107" i="9"/>
  <c r="R107" i="9"/>
  <c r="I107" i="9"/>
  <c r="K107" i="9" s="1"/>
  <c r="BJ106" i="9"/>
  <c r="BD106" i="9"/>
  <c r="AW106" i="9"/>
  <c r="AV106" i="9"/>
  <c r="AO106" i="9"/>
  <c r="AN106" i="9"/>
  <c r="AG106" i="9"/>
  <c r="AF106" i="9"/>
  <c r="Y106" i="9"/>
  <c r="X106" i="9"/>
  <c r="S106" i="9"/>
  <c r="R106" i="9"/>
  <c r="BO105" i="9"/>
  <c r="BN105" i="9"/>
  <c r="BM105" i="9"/>
  <c r="BL105" i="9"/>
  <c r="BK105" i="9"/>
  <c r="BJ105" i="9"/>
  <c r="BD105" i="9"/>
  <c r="AY105" i="9"/>
  <c r="AV105" i="9"/>
  <c r="AQ105" i="9"/>
  <c r="AN105" i="9"/>
  <c r="AI105" i="9"/>
  <c r="AF105" i="9"/>
  <c r="AA105" i="9"/>
  <c r="X105" i="9"/>
  <c r="S105" i="9"/>
  <c r="R105" i="9"/>
  <c r="I105" i="9"/>
  <c r="K105" i="9" s="1"/>
  <c r="BO104" i="9"/>
  <c r="BN104" i="9"/>
  <c r="BM104" i="9"/>
  <c r="BL104" i="9"/>
  <c r="BK104" i="9"/>
  <c r="BJ104" i="9"/>
  <c r="BD104" i="9"/>
  <c r="AY104" i="9"/>
  <c r="AV104" i="9"/>
  <c r="AQ104" i="9"/>
  <c r="AN104" i="9"/>
  <c r="AI104" i="9"/>
  <c r="AF104" i="9"/>
  <c r="AA104" i="9"/>
  <c r="X104" i="9"/>
  <c r="S104" i="9"/>
  <c r="R104" i="9"/>
  <c r="I104" i="9"/>
  <c r="K104" i="9" s="1"/>
  <c r="BO103" i="9"/>
  <c r="BN103" i="9"/>
  <c r="BM103" i="9"/>
  <c r="BL103" i="9"/>
  <c r="BK103" i="9"/>
  <c r="BJ103" i="9"/>
  <c r="BD103" i="9"/>
  <c r="AY103" i="9"/>
  <c r="AV103" i="9"/>
  <c r="AQ103" i="9"/>
  <c r="AN103" i="9"/>
  <c r="AI103" i="9"/>
  <c r="AF103" i="9"/>
  <c r="AA103" i="9"/>
  <c r="X103" i="9"/>
  <c r="S103" i="9"/>
  <c r="R103" i="9"/>
  <c r="I103" i="9"/>
  <c r="K103" i="9" s="1"/>
  <c r="BO102" i="9"/>
  <c r="BN102" i="9"/>
  <c r="BM102" i="9"/>
  <c r="BL102" i="9"/>
  <c r="BK102" i="9"/>
  <c r="BJ102" i="9"/>
  <c r="BD102" i="9"/>
  <c r="AY102" i="9"/>
  <c r="AV102" i="9"/>
  <c r="AQ102" i="9"/>
  <c r="AN102" i="9"/>
  <c r="AI102" i="9"/>
  <c r="AF102" i="9"/>
  <c r="AA102" i="9"/>
  <c r="X102" i="9"/>
  <c r="S102" i="9"/>
  <c r="R102" i="9"/>
  <c r="I102" i="9"/>
  <c r="K102" i="9" s="1"/>
  <c r="BO101" i="9"/>
  <c r="BN101" i="9"/>
  <c r="BM101" i="9"/>
  <c r="BL101" i="9"/>
  <c r="BK101" i="9"/>
  <c r="BJ101" i="9"/>
  <c r="BD101" i="9"/>
  <c r="AY101" i="9"/>
  <c r="AV101" i="9"/>
  <c r="AQ101" i="9"/>
  <c r="AN101" i="9"/>
  <c r="AI101" i="9"/>
  <c r="AF101" i="9"/>
  <c r="AA101" i="9"/>
  <c r="X101" i="9"/>
  <c r="S101" i="9"/>
  <c r="R101" i="9"/>
  <c r="I101" i="9"/>
  <c r="K101" i="9" s="1"/>
  <c r="BO100" i="9"/>
  <c r="BN100" i="9"/>
  <c r="BM100" i="9"/>
  <c r="BL100" i="9"/>
  <c r="BK100" i="9"/>
  <c r="BJ100" i="9"/>
  <c r="BD100" i="9"/>
  <c r="AY100" i="9"/>
  <c r="AV100" i="9"/>
  <c r="AQ100" i="9"/>
  <c r="AN100" i="9"/>
  <c r="AI100" i="9"/>
  <c r="AF100" i="9"/>
  <c r="AA100" i="9"/>
  <c r="X100" i="9"/>
  <c r="S100" i="9"/>
  <c r="R100" i="9"/>
  <c r="T100" i="9" s="1"/>
  <c r="I100" i="9"/>
  <c r="K100" i="9" s="1"/>
  <c r="BO99" i="9"/>
  <c r="BN99" i="9"/>
  <c r="BM99" i="9"/>
  <c r="BL99" i="9"/>
  <c r="BK99" i="9"/>
  <c r="BJ99" i="9"/>
  <c r="BD99" i="9"/>
  <c r="AY99" i="9"/>
  <c r="AV99" i="9"/>
  <c r="AQ99" i="9"/>
  <c r="AN99" i="9"/>
  <c r="AI99" i="9"/>
  <c r="AF99" i="9"/>
  <c r="AA99" i="9"/>
  <c r="X99" i="9"/>
  <c r="S99" i="9"/>
  <c r="R99" i="9"/>
  <c r="I99" i="9"/>
  <c r="K99" i="9" s="1"/>
  <c r="BO98" i="9"/>
  <c r="BN98" i="9"/>
  <c r="BM98" i="9"/>
  <c r="BL98" i="9"/>
  <c r="BK98" i="9"/>
  <c r="BJ98" i="9"/>
  <c r="BD98" i="9"/>
  <c r="AY98" i="9"/>
  <c r="AV98" i="9"/>
  <c r="AQ98" i="9"/>
  <c r="AN98" i="9"/>
  <c r="AI98" i="9"/>
  <c r="AF98" i="9"/>
  <c r="AA98" i="9"/>
  <c r="X98" i="9"/>
  <c r="S98" i="9"/>
  <c r="R98" i="9"/>
  <c r="I98" i="9"/>
  <c r="K98" i="9" s="1"/>
  <c r="BJ97" i="9"/>
  <c r="BD97" i="9"/>
  <c r="AW97" i="9"/>
  <c r="AV97" i="9"/>
  <c r="AO97" i="9"/>
  <c r="AN97" i="9"/>
  <c r="AG97" i="9"/>
  <c r="AF97" i="9"/>
  <c r="Y97" i="9"/>
  <c r="X97" i="9"/>
  <c r="S97" i="9"/>
  <c r="R97" i="9"/>
  <c r="BO96" i="9"/>
  <c r="BN96" i="9"/>
  <c r="BM96" i="9"/>
  <c r="BL96" i="9"/>
  <c r="BK96" i="9"/>
  <c r="BJ96" i="9"/>
  <c r="BD96" i="9"/>
  <c r="AY96" i="9"/>
  <c r="AV96" i="9"/>
  <c r="AQ96" i="9"/>
  <c r="AN96" i="9"/>
  <c r="AI96" i="9"/>
  <c r="AF96" i="9"/>
  <c r="AA96" i="9"/>
  <c r="X96" i="9"/>
  <c r="S96" i="9"/>
  <c r="R96" i="9"/>
  <c r="I96" i="9"/>
  <c r="K96" i="9" s="1"/>
  <c r="BO95" i="9"/>
  <c r="BN95" i="9"/>
  <c r="BM95" i="9"/>
  <c r="BL95" i="9"/>
  <c r="BK95" i="9"/>
  <c r="BJ95" i="9"/>
  <c r="BD95" i="9"/>
  <c r="AY95" i="9"/>
  <c r="AV95" i="9"/>
  <c r="AQ95" i="9"/>
  <c r="AN95" i="9"/>
  <c r="AI95" i="9"/>
  <c r="AF95" i="9"/>
  <c r="AA95" i="9"/>
  <c r="X95" i="9"/>
  <c r="S95" i="9"/>
  <c r="R95" i="9"/>
  <c r="I95" i="9"/>
  <c r="K95" i="9" s="1"/>
  <c r="BO94" i="9"/>
  <c r="BN94" i="9"/>
  <c r="BM94" i="9"/>
  <c r="BL94" i="9"/>
  <c r="BK94" i="9"/>
  <c r="BJ94" i="9"/>
  <c r="BD94" i="9"/>
  <c r="AY94" i="9"/>
  <c r="AV94" i="9"/>
  <c r="AQ94" i="9"/>
  <c r="AN94" i="9"/>
  <c r="AI94" i="9"/>
  <c r="AF94" i="9"/>
  <c r="AA94" i="9"/>
  <c r="X94" i="9"/>
  <c r="S94" i="9"/>
  <c r="R94" i="9"/>
  <c r="I94" i="9"/>
  <c r="K94" i="9" s="1"/>
  <c r="BO93" i="9"/>
  <c r="BN93" i="9"/>
  <c r="BM93" i="9"/>
  <c r="BL93" i="9"/>
  <c r="BK93" i="9"/>
  <c r="BJ93" i="9"/>
  <c r="BD93" i="9"/>
  <c r="AY93" i="9"/>
  <c r="AV93" i="9"/>
  <c r="AQ93" i="9"/>
  <c r="AN93" i="9"/>
  <c r="AI93" i="9"/>
  <c r="AF93" i="9"/>
  <c r="AA93" i="9"/>
  <c r="X93" i="9"/>
  <c r="S93" i="9"/>
  <c r="R93" i="9"/>
  <c r="I93" i="9"/>
  <c r="K93" i="9" s="1"/>
  <c r="BJ90" i="9"/>
  <c r="BD90" i="9"/>
  <c r="AW90" i="9"/>
  <c r="AV90" i="9"/>
  <c r="AO90" i="9"/>
  <c r="AN90" i="9"/>
  <c r="AG90" i="9"/>
  <c r="AF90" i="9"/>
  <c r="Y90" i="9"/>
  <c r="X90" i="9"/>
  <c r="S90" i="9"/>
  <c r="R90" i="9"/>
  <c r="BO89" i="9"/>
  <c r="BN89" i="9"/>
  <c r="BM89" i="9"/>
  <c r="BL89" i="9"/>
  <c r="BK89" i="9"/>
  <c r="BJ89" i="9"/>
  <c r="BD89" i="9"/>
  <c r="AY89" i="9"/>
  <c r="AV89" i="9"/>
  <c r="AQ89" i="9"/>
  <c r="AN89" i="9"/>
  <c r="AI89" i="9"/>
  <c r="AF89" i="9"/>
  <c r="AA89" i="9"/>
  <c r="X89" i="9"/>
  <c r="S89" i="9"/>
  <c r="R89" i="9"/>
  <c r="BJ88" i="9"/>
  <c r="BD88" i="9"/>
  <c r="AW88" i="9"/>
  <c r="AV88" i="9"/>
  <c r="AO88" i="9"/>
  <c r="AN88" i="9"/>
  <c r="AG88" i="9"/>
  <c r="AF88" i="9"/>
  <c r="Y88" i="9"/>
  <c r="X88" i="9"/>
  <c r="S88" i="9"/>
  <c r="R88" i="9"/>
  <c r="BJ87" i="9"/>
  <c r="BD87" i="9"/>
  <c r="AW87" i="9"/>
  <c r="AV87" i="9"/>
  <c r="AO87" i="9"/>
  <c r="AN87" i="9"/>
  <c r="AG87" i="9"/>
  <c r="AF87" i="9"/>
  <c r="Y87" i="9"/>
  <c r="X87" i="9"/>
  <c r="S87" i="9"/>
  <c r="R87" i="9"/>
  <c r="BJ86" i="9"/>
  <c r="BD86" i="9"/>
  <c r="AW86" i="9"/>
  <c r="AV86" i="9"/>
  <c r="AO86" i="9"/>
  <c r="AN86" i="9"/>
  <c r="AG86" i="9"/>
  <c r="AF86" i="9"/>
  <c r="Y86" i="9"/>
  <c r="AA86" i="9" s="1"/>
  <c r="X86" i="9"/>
  <c r="S86" i="9"/>
  <c r="R86" i="9"/>
  <c r="BJ85" i="9"/>
  <c r="BD85" i="9"/>
  <c r="AW85" i="9"/>
  <c r="AV85" i="9"/>
  <c r="AO85" i="9"/>
  <c r="AN85" i="9"/>
  <c r="AG85" i="9"/>
  <c r="AF85" i="9"/>
  <c r="Y85" i="9"/>
  <c r="X85" i="9"/>
  <c r="S85" i="9"/>
  <c r="R85" i="9"/>
  <c r="BJ84" i="9"/>
  <c r="BD84" i="9"/>
  <c r="AW84" i="9"/>
  <c r="AV84" i="9"/>
  <c r="AO84" i="9"/>
  <c r="AN84" i="9"/>
  <c r="AG84" i="9"/>
  <c r="AF84" i="9"/>
  <c r="Y84" i="9"/>
  <c r="X84" i="9"/>
  <c r="S84" i="9"/>
  <c r="R84" i="9"/>
  <c r="BJ83" i="9"/>
  <c r="BD83" i="9"/>
  <c r="AW83" i="9"/>
  <c r="AV83" i="9"/>
  <c r="AO83" i="9"/>
  <c r="AN83" i="9"/>
  <c r="AG83" i="9"/>
  <c r="AF83" i="9"/>
  <c r="Y83" i="9"/>
  <c r="X83" i="9"/>
  <c r="S83" i="9"/>
  <c r="R83" i="9"/>
  <c r="BJ82" i="9"/>
  <c r="BD82" i="9"/>
  <c r="AW82" i="9"/>
  <c r="AV82" i="9"/>
  <c r="AO82" i="9"/>
  <c r="AN82" i="9"/>
  <c r="AG82" i="9"/>
  <c r="AF82" i="9"/>
  <c r="Y82" i="9"/>
  <c r="X82" i="9"/>
  <c r="S82" i="9"/>
  <c r="R82" i="9"/>
  <c r="BJ81" i="9"/>
  <c r="BD81" i="9"/>
  <c r="AW81" i="9"/>
  <c r="AV81" i="9"/>
  <c r="AO81" i="9"/>
  <c r="AN81" i="9"/>
  <c r="AG81" i="9"/>
  <c r="AF81" i="9"/>
  <c r="Y81" i="9"/>
  <c r="X81" i="9"/>
  <c r="S81" i="9"/>
  <c r="R81" i="9"/>
  <c r="BJ80" i="9"/>
  <c r="BD80" i="9"/>
  <c r="AW80" i="9"/>
  <c r="AV80" i="9"/>
  <c r="AO80" i="9"/>
  <c r="AN80" i="9"/>
  <c r="AG80" i="9"/>
  <c r="AF80" i="9"/>
  <c r="Y80" i="9"/>
  <c r="X80" i="9"/>
  <c r="S80" i="9"/>
  <c r="R80" i="9"/>
  <c r="BJ79" i="9"/>
  <c r="BD79" i="9"/>
  <c r="AW79" i="9"/>
  <c r="AV79" i="9"/>
  <c r="AO79" i="9"/>
  <c r="AN79" i="9"/>
  <c r="AG79" i="9"/>
  <c r="AF79" i="9"/>
  <c r="Y79" i="9"/>
  <c r="X79" i="9"/>
  <c r="S79" i="9"/>
  <c r="R79" i="9"/>
  <c r="BJ78" i="9"/>
  <c r="BD78" i="9"/>
  <c r="AW78" i="9"/>
  <c r="AV78" i="9"/>
  <c r="AO78" i="9"/>
  <c r="AN78" i="9"/>
  <c r="AG78" i="9"/>
  <c r="AF78" i="9"/>
  <c r="Y78" i="9"/>
  <c r="X78" i="9"/>
  <c r="S78" i="9"/>
  <c r="R78" i="9"/>
  <c r="BJ77" i="9"/>
  <c r="BD77" i="9"/>
  <c r="AW77" i="9"/>
  <c r="AV77" i="9"/>
  <c r="AO77" i="9"/>
  <c r="AN77" i="9"/>
  <c r="AG77" i="9"/>
  <c r="AF77" i="9"/>
  <c r="Y77" i="9"/>
  <c r="X77" i="9"/>
  <c r="S77" i="9"/>
  <c r="R77" i="9"/>
  <c r="BJ76" i="9"/>
  <c r="BD76" i="9"/>
  <c r="AW76" i="9"/>
  <c r="AV76" i="9"/>
  <c r="AO76" i="9"/>
  <c r="AN76" i="9"/>
  <c r="AG76" i="9"/>
  <c r="AF76" i="9"/>
  <c r="Y76" i="9"/>
  <c r="X76" i="9"/>
  <c r="S76" i="9"/>
  <c r="R76" i="9"/>
  <c r="BJ75" i="9"/>
  <c r="BD75" i="9"/>
  <c r="AW75" i="9"/>
  <c r="AV75" i="9"/>
  <c r="AO75" i="9"/>
  <c r="AN75" i="9"/>
  <c r="AG75" i="9"/>
  <c r="AF75" i="9"/>
  <c r="Y75" i="9"/>
  <c r="X75" i="9"/>
  <c r="S75" i="9"/>
  <c r="R75" i="9"/>
  <c r="BJ72" i="9"/>
  <c r="BI72" i="9"/>
  <c r="BH72" i="9"/>
  <c r="BG72" i="9"/>
  <c r="BF72" i="9"/>
  <c r="BE72" i="9"/>
  <c r="BD72" i="9"/>
  <c r="AX72" i="9"/>
  <c r="AW72" i="9"/>
  <c r="AP72" i="9"/>
  <c r="AO72" i="9"/>
  <c r="AH72" i="9"/>
  <c r="AG72" i="9"/>
  <c r="Z72" i="9"/>
  <c r="Y72" i="9"/>
  <c r="S72" i="9"/>
  <c r="R72" i="9"/>
  <c r="BO71" i="9"/>
  <c r="BN71" i="9"/>
  <c r="BM71" i="9"/>
  <c r="BL71" i="9"/>
  <c r="BK71" i="9"/>
  <c r="BJ71" i="9"/>
  <c r="BI71" i="9"/>
  <c r="BH71" i="9"/>
  <c r="BG71" i="9"/>
  <c r="BF71" i="9"/>
  <c r="BE71" i="9"/>
  <c r="BD71" i="9"/>
  <c r="AY71" i="9"/>
  <c r="AX71" i="9"/>
  <c r="AQ71" i="9"/>
  <c r="AP71" i="9"/>
  <c r="AI71" i="9"/>
  <c r="AH71" i="9"/>
  <c r="AA71" i="9"/>
  <c r="Z71" i="9"/>
  <c r="S71" i="9"/>
  <c r="R71" i="9"/>
  <c r="BJ70" i="9"/>
  <c r="BD70" i="9"/>
  <c r="AV70" i="9"/>
  <c r="AN70" i="9"/>
  <c r="AF70" i="9"/>
  <c r="X70" i="9"/>
  <c r="S70" i="9"/>
  <c r="R70" i="9"/>
  <c r="BJ69" i="9"/>
  <c r="BD69" i="9"/>
  <c r="AW69" i="9"/>
  <c r="AV69" i="9"/>
  <c r="AO69" i="9"/>
  <c r="AN69" i="9"/>
  <c r="AG69" i="9"/>
  <c r="AF69" i="9"/>
  <c r="Y69" i="9"/>
  <c r="X69" i="9"/>
  <c r="S69" i="9"/>
  <c r="R69" i="9"/>
  <c r="BJ66" i="9"/>
  <c r="BD66" i="9"/>
  <c r="AW66" i="9"/>
  <c r="AV66" i="9"/>
  <c r="AO66" i="9"/>
  <c r="AN66" i="9"/>
  <c r="AG66" i="9"/>
  <c r="AF66" i="9"/>
  <c r="Y66" i="9"/>
  <c r="X66" i="9"/>
  <c r="S66" i="9"/>
  <c r="R66" i="9"/>
  <c r="BJ65" i="9"/>
  <c r="BD65" i="9"/>
  <c r="AW65" i="9"/>
  <c r="AV65" i="9"/>
  <c r="AO65" i="9"/>
  <c r="AN65" i="9"/>
  <c r="AG65" i="9"/>
  <c r="AF65" i="9"/>
  <c r="Y65" i="9"/>
  <c r="X65" i="9"/>
  <c r="S65" i="9"/>
  <c r="R65" i="9"/>
  <c r="BJ64" i="9"/>
  <c r="BD64" i="9"/>
  <c r="AW64" i="9"/>
  <c r="AV64" i="9"/>
  <c r="AO64" i="9"/>
  <c r="AN64" i="9"/>
  <c r="AG64" i="9"/>
  <c r="AF64" i="9"/>
  <c r="Y64" i="9"/>
  <c r="X64" i="9"/>
  <c r="S64" i="9"/>
  <c r="R64" i="9"/>
  <c r="BJ63" i="9"/>
  <c r="BD63" i="9"/>
  <c r="AW63" i="9"/>
  <c r="AV63" i="9"/>
  <c r="AO63" i="9"/>
  <c r="AN63" i="9"/>
  <c r="AG63" i="9"/>
  <c r="AF63" i="9"/>
  <c r="Y63" i="9"/>
  <c r="X63" i="9"/>
  <c r="S63" i="9"/>
  <c r="R63" i="9"/>
  <c r="BJ62" i="9"/>
  <c r="BD62" i="9"/>
  <c r="AW62" i="9"/>
  <c r="AV62" i="9"/>
  <c r="AO62" i="9"/>
  <c r="AN62" i="9"/>
  <c r="AG62" i="9"/>
  <c r="AF62" i="9"/>
  <c r="Y62" i="9"/>
  <c r="X62" i="9"/>
  <c r="S62" i="9"/>
  <c r="R62" i="9"/>
  <c r="BJ61" i="9"/>
  <c r="BD61" i="9"/>
  <c r="AW61" i="9"/>
  <c r="AV61" i="9"/>
  <c r="AO61" i="9"/>
  <c r="AN61" i="9"/>
  <c r="AG61" i="9"/>
  <c r="AF61" i="9"/>
  <c r="Y61" i="9"/>
  <c r="X61" i="9"/>
  <c r="S61" i="9"/>
  <c r="R61" i="9"/>
  <c r="BJ60" i="9"/>
  <c r="BD60" i="9"/>
  <c r="AW60" i="9"/>
  <c r="AV60" i="9"/>
  <c r="AO60" i="9"/>
  <c r="AN60" i="9"/>
  <c r="AG60" i="9"/>
  <c r="AF60" i="9"/>
  <c r="Y60" i="9"/>
  <c r="X60" i="9"/>
  <c r="S60" i="9"/>
  <c r="R60" i="9"/>
  <c r="BJ59" i="9"/>
  <c r="BD59" i="9"/>
  <c r="AW59" i="9"/>
  <c r="AV59" i="9"/>
  <c r="AO59" i="9"/>
  <c r="AN59" i="9"/>
  <c r="AG59" i="9"/>
  <c r="AF59" i="9"/>
  <c r="Y59" i="9"/>
  <c r="X59" i="9"/>
  <c r="S59" i="9"/>
  <c r="R59" i="9"/>
  <c r="BJ58" i="9"/>
  <c r="BD58" i="9"/>
  <c r="AW58" i="9"/>
  <c r="AV58" i="9"/>
  <c r="AO58" i="9"/>
  <c r="AN58" i="9"/>
  <c r="AG58" i="9"/>
  <c r="AF58" i="9"/>
  <c r="Y58" i="9"/>
  <c r="X58" i="9"/>
  <c r="S58" i="9"/>
  <c r="R58" i="9"/>
  <c r="BJ57" i="9"/>
  <c r="BD57" i="9"/>
  <c r="AW57" i="9"/>
  <c r="AV57" i="9"/>
  <c r="AO57" i="9"/>
  <c r="AN57" i="9"/>
  <c r="AG57" i="9"/>
  <c r="AF57" i="9"/>
  <c r="Y57" i="9"/>
  <c r="X57" i="9"/>
  <c r="S57" i="9"/>
  <c r="R57" i="9"/>
  <c r="BJ56" i="9"/>
  <c r="BD56" i="9"/>
  <c r="AW56" i="9"/>
  <c r="AV56" i="9"/>
  <c r="AO56" i="9"/>
  <c r="AN56" i="9"/>
  <c r="AG56" i="9"/>
  <c r="AF56" i="9"/>
  <c r="Y56" i="9"/>
  <c r="X56" i="9"/>
  <c r="S56" i="9"/>
  <c r="R56" i="9"/>
  <c r="BJ55" i="9"/>
  <c r="BD55" i="9"/>
  <c r="AW55" i="9"/>
  <c r="AV55" i="9"/>
  <c r="AO55" i="9"/>
  <c r="AN55" i="9"/>
  <c r="AG55" i="9"/>
  <c r="AF55" i="9"/>
  <c r="Y55" i="9"/>
  <c r="X55" i="9"/>
  <c r="S55" i="9"/>
  <c r="R55" i="9"/>
  <c r="BJ54" i="9"/>
  <c r="BD54" i="9"/>
  <c r="AW54" i="9"/>
  <c r="AV54" i="9"/>
  <c r="AO54" i="9"/>
  <c r="AN54" i="9"/>
  <c r="AG54" i="9"/>
  <c r="AF54" i="9"/>
  <c r="Y54" i="9"/>
  <c r="X54" i="9"/>
  <c r="S54" i="9"/>
  <c r="R54" i="9"/>
  <c r="BJ53" i="9"/>
  <c r="BD53" i="9"/>
  <c r="AW53" i="9"/>
  <c r="AV53" i="9"/>
  <c r="AO53" i="9"/>
  <c r="AN53" i="9"/>
  <c r="AG53" i="9"/>
  <c r="AF53" i="9"/>
  <c r="Y53" i="9"/>
  <c r="X53" i="9"/>
  <c r="S53" i="9"/>
  <c r="R53" i="9"/>
  <c r="BJ52" i="9"/>
  <c r="BD52" i="9"/>
  <c r="AW52" i="9"/>
  <c r="AV52" i="9"/>
  <c r="AO52" i="9"/>
  <c r="AN52" i="9"/>
  <c r="AG52" i="9"/>
  <c r="AF52" i="9"/>
  <c r="Y52" i="9"/>
  <c r="X52" i="9"/>
  <c r="S52" i="9"/>
  <c r="R52" i="9"/>
  <c r="BJ51" i="9"/>
  <c r="BD51" i="9"/>
  <c r="AW51" i="9"/>
  <c r="AV51" i="9"/>
  <c r="AO51" i="9"/>
  <c r="AN51" i="9"/>
  <c r="AG51" i="9"/>
  <c r="AF51" i="9"/>
  <c r="Y51" i="9"/>
  <c r="X51" i="9"/>
  <c r="Z51" i="9" s="1"/>
  <c r="S51" i="9"/>
  <c r="R51" i="9"/>
  <c r="BJ50" i="9"/>
  <c r="BD50" i="9"/>
  <c r="AW50" i="9"/>
  <c r="AV50" i="9"/>
  <c r="AO50" i="9"/>
  <c r="AN50" i="9"/>
  <c r="AG50" i="9"/>
  <c r="AF50" i="9"/>
  <c r="Y50" i="9"/>
  <c r="X50" i="9"/>
  <c r="S50" i="9"/>
  <c r="R50" i="9"/>
  <c r="BJ47" i="9"/>
  <c r="BD47" i="9"/>
  <c r="AW47" i="9"/>
  <c r="AV47" i="9"/>
  <c r="AO47" i="9"/>
  <c r="AN47" i="9"/>
  <c r="AG47" i="9"/>
  <c r="AF47" i="9"/>
  <c r="Y47" i="9"/>
  <c r="X47" i="9"/>
  <c r="S47" i="9"/>
  <c r="R47" i="9"/>
  <c r="BJ44" i="9"/>
  <c r="BD44" i="9"/>
  <c r="AW44" i="9"/>
  <c r="AV44" i="9"/>
  <c r="BH44" i="9" s="1"/>
  <c r="AO44" i="9"/>
  <c r="AN44" i="9"/>
  <c r="AG44" i="9"/>
  <c r="AF44" i="9"/>
  <c r="Y44" i="9"/>
  <c r="X44" i="9"/>
  <c r="S44" i="9"/>
  <c r="R44" i="9"/>
  <c r="BO41" i="9"/>
  <c r="BN41" i="9"/>
  <c r="BM41" i="9"/>
  <c r="BL41" i="9"/>
  <c r="BK41" i="9"/>
  <c r="BJ41" i="9"/>
  <c r="BD41" i="9"/>
  <c r="AY41" i="9"/>
  <c r="AV41" i="9"/>
  <c r="AQ41" i="9"/>
  <c r="AN41" i="9"/>
  <c r="AI41" i="9"/>
  <c r="AF41" i="9"/>
  <c r="AA41" i="9"/>
  <c r="X41" i="9"/>
  <c r="S41" i="9"/>
  <c r="R41" i="9"/>
  <c r="BO40" i="9"/>
  <c r="BN40" i="9"/>
  <c r="BM40" i="9"/>
  <c r="BL40" i="9"/>
  <c r="BK40" i="9"/>
  <c r="BJ40" i="9"/>
  <c r="BD40" i="9"/>
  <c r="AY40" i="9"/>
  <c r="AV40" i="9"/>
  <c r="AQ40" i="9"/>
  <c r="AN40" i="9"/>
  <c r="AI40" i="9"/>
  <c r="AF40" i="9"/>
  <c r="AA40" i="9"/>
  <c r="X40" i="9"/>
  <c r="S40" i="9"/>
  <c r="R40" i="9"/>
  <c r="I40" i="9"/>
  <c r="K40" i="9" s="1"/>
  <c r="BJ39" i="9"/>
  <c r="BD39" i="9"/>
  <c r="AW39" i="9"/>
  <c r="AV39" i="9"/>
  <c r="AO39" i="9"/>
  <c r="AN39" i="9"/>
  <c r="AG39" i="9"/>
  <c r="AF39" i="9"/>
  <c r="Y39" i="9"/>
  <c r="X39" i="9"/>
  <c r="S39" i="9"/>
  <c r="R39" i="9"/>
  <c r="BJ38" i="9"/>
  <c r="BD38" i="9"/>
  <c r="AW38" i="9"/>
  <c r="AV38" i="9"/>
  <c r="AO38" i="9"/>
  <c r="AN38" i="9"/>
  <c r="AG38" i="9"/>
  <c r="AF38" i="9"/>
  <c r="Y38" i="9"/>
  <c r="X38" i="9"/>
  <c r="S38" i="9"/>
  <c r="R38" i="9"/>
  <c r="BJ37" i="9"/>
  <c r="BD37" i="9"/>
  <c r="AW37" i="9"/>
  <c r="AV37" i="9"/>
  <c r="AO37" i="9"/>
  <c r="AN37" i="9"/>
  <c r="AG37" i="9"/>
  <c r="AF37" i="9"/>
  <c r="Y37" i="9"/>
  <c r="X37" i="9"/>
  <c r="S37" i="9"/>
  <c r="R37" i="9"/>
  <c r="BJ36" i="9"/>
  <c r="BD36" i="9"/>
  <c r="AW36" i="9"/>
  <c r="AV36" i="9"/>
  <c r="AO36" i="9"/>
  <c r="AN36" i="9"/>
  <c r="AG36" i="9"/>
  <c r="AF36" i="9"/>
  <c r="Y36" i="9"/>
  <c r="X36" i="9"/>
  <c r="S36" i="9"/>
  <c r="R36" i="9"/>
  <c r="BJ35" i="9"/>
  <c r="BD35" i="9"/>
  <c r="AW35" i="9"/>
  <c r="AV35" i="9"/>
  <c r="AO35" i="9"/>
  <c r="AN35" i="9"/>
  <c r="AG35" i="9"/>
  <c r="AF35" i="9"/>
  <c r="Y35" i="9"/>
  <c r="X35" i="9"/>
  <c r="S35" i="9"/>
  <c r="R35" i="9"/>
  <c r="BJ34" i="9"/>
  <c r="BD34" i="9"/>
  <c r="AW34" i="9"/>
  <c r="AV34" i="9"/>
  <c r="AO34" i="9"/>
  <c r="AN34" i="9"/>
  <c r="AG34" i="9"/>
  <c r="AF34" i="9"/>
  <c r="Y34" i="9"/>
  <c r="X34" i="9"/>
  <c r="S34" i="9"/>
  <c r="R34" i="9"/>
  <c r="BJ33" i="9"/>
  <c r="BD33" i="9"/>
  <c r="AW33" i="9"/>
  <c r="AV33" i="9"/>
  <c r="AO33" i="9"/>
  <c r="AN33" i="9"/>
  <c r="AG33" i="9"/>
  <c r="AF33" i="9"/>
  <c r="Y33" i="9"/>
  <c r="X33" i="9"/>
  <c r="S33" i="9"/>
  <c r="R33" i="9"/>
  <c r="BJ32" i="9"/>
  <c r="BD32" i="9"/>
  <c r="AW32" i="9"/>
  <c r="AV32" i="9"/>
  <c r="AO32" i="9"/>
  <c r="AN32" i="9"/>
  <c r="AG32" i="9"/>
  <c r="AF32" i="9"/>
  <c r="Y32" i="9"/>
  <c r="X32" i="9"/>
  <c r="S32" i="9"/>
  <c r="R32" i="9"/>
  <c r="BJ31" i="9"/>
  <c r="BD31" i="9"/>
  <c r="AW31" i="9"/>
  <c r="AV31" i="9"/>
  <c r="AO31" i="9"/>
  <c r="AN31" i="9"/>
  <c r="AG31" i="9"/>
  <c r="AF31" i="9"/>
  <c r="Y31" i="9"/>
  <c r="X31" i="9"/>
  <c r="S31" i="9"/>
  <c r="R31" i="9"/>
  <c r="BJ30" i="9"/>
  <c r="BD30" i="9"/>
  <c r="AW30" i="9"/>
  <c r="AV30" i="9"/>
  <c r="AO30" i="9"/>
  <c r="AN30" i="9"/>
  <c r="AG30" i="9"/>
  <c r="AF30" i="9"/>
  <c r="Y30" i="9"/>
  <c r="X30" i="9"/>
  <c r="S30" i="9"/>
  <c r="R30" i="9"/>
  <c r="BJ27" i="9"/>
  <c r="BD27" i="9"/>
  <c r="AW27" i="9"/>
  <c r="AV27" i="9"/>
  <c r="AO27" i="9"/>
  <c r="AN27" i="9"/>
  <c r="AG27" i="9"/>
  <c r="AF27" i="9"/>
  <c r="Y27" i="9"/>
  <c r="X27" i="9"/>
  <c r="S27" i="9"/>
  <c r="R27" i="9"/>
  <c r="BJ26" i="9"/>
  <c r="BD26" i="9"/>
  <c r="AW26" i="9"/>
  <c r="AV26" i="9"/>
  <c r="AO26" i="9"/>
  <c r="AN26" i="9"/>
  <c r="AG26" i="9"/>
  <c r="AF26" i="9"/>
  <c r="Y26" i="9"/>
  <c r="X26" i="9"/>
  <c r="S26" i="9"/>
  <c r="R26" i="9"/>
  <c r="BJ25" i="9"/>
  <c r="BD25" i="9"/>
  <c r="AW25" i="9"/>
  <c r="AV25" i="9"/>
  <c r="AO25" i="9"/>
  <c r="AN25" i="9"/>
  <c r="AG25" i="9"/>
  <c r="AF25" i="9"/>
  <c r="Y25" i="9"/>
  <c r="X25" i="9"/>
  <c r="S25" i="9"/>
  <c r="R25" i="9"/>
  <c r="BJ24" i="9"/>
  <c r="BD24" i="9"/>
  <c r="AW24" i="9"/>
  <c r="AV24" i="9"/>
  <c r="AO24" i="9"/>
  <c r="AN24" i="9"/>
  <c r="AG24" i="9"/>
  <c r="AF24" i="9"/>
  <c r="Y24" i="9"/>
  <c r="X24" i="9"/>
  <c r="S24" i="9"/>
  <c r="R24" i="9"/>
  <c r="BJ23" i="9"/>
  <c r="BD23" i="9"/>
  <c r="AW23" i="9"/>
  <c r="AV23" i="9"/>
  <c r="AO23" i="9"/>
  <c r="AN23" i="9"/>
  <c r="AG23" i="9"/>
  <c r="AF23" i="9"/>
  <c r="Y23" i="9"/>
  <c r="X23" i="9"/>
  <c r="S23" i="9"/>
  <c r="R23" i="9"/>
  <c r="BJ22" i="9"/>
  <c r="BD22" i="9"/>
  <c r="AV22" i="9"/>
  <c r="AN22" i="9"/>
  <c r="AF22" i="9"/>
  <c r="X22" i="9"/>
  <c r="S22" i="9"/>
  <c r="R22" i="9"/>
  <c r="BJ21" i="9"/>
  <c r="BD21" i="9"/>
  <c r="AW21" i="9"/>
  <c r="AV21" i="9"/>
  <c r="AO21" i="9"/>
  <c r="AN21" i="9"/>
  <c r="AG21" i="9"/>
  <c r="AF21" i="9"/>
  <c r="Y21" i="9"/>
  <c r="X21" i="9"/>
  <c r="S21" i="9"/>
  <c r="R21" i="9"/>
  <c r="BO18" i="9"/>
  <c r="BN18" i="9"/>
  <c r="BM18" i="9"/>
  <c r="BL18" i="9"/>
  <c r="BK18" i="9"/>
  <c r="BJ18" i="9"/>
  <c r="BD18" i="9"/>
  <c r="AY18" i="9"/>
  <c r="AV18" i="9"/>
  <c r="AQ18" i="9"/>
  <c r="AN18" i="9"/>
  <c r="AI18" i="9"/>
  <c r="AF18" i="9"/>
  <c r="AA18" i="9"/>
  <c r="X18" i="9"/>
  <c r="S18" i="9"/>
  <c r="R18" i="9"/>
  <c r="BJ17" i="9"/>
  <c r="BD17" i="9"/>
  <c r="AW17" i="9"/>
  <c r="AV17" i="9"/>
  <c r="AO17" i="9"/>
  <c r="AN17" i="9"/>
  <c r="AG17" i="9"/>
  <c r="AF17" i="9"/>
  <c r="Y17" i="9"/>
  <c r="X17" i="9"/>
  <c r="S17" i="9"/>
  <c r="R17" i="9"/>
  <c r="BJ16" i="9"/>
  <c r="BD16" i="9"/>
  <c r="AW16" i="9"/>
  <c r="AV16" i="9"/>
  <c r="AO16" i="9"/>
  <c r="AN16" i="9"/>
  <c r="AG16" i="9"/>
  <c r="AF16" i="9"/>
  <c r="Y16" i="9"/>
  <c r="X16" i="9"/>
  <c r="S16" i="9"/>
  <c r="R16" i="9"/>
  <c r="BJ13" i="9"/>
  <c r="BD13" i="9"/>
  <c r="AW13" i="9"/>
  <c r="AV13" i="9"/>
  <c r="AO13" i="9"/>
  <c r="AN13" i="9"/>
  <c r="AG13" i="9"/>
  <c r="AF13" i="9"/>
  <c r="Y13" i="9"/>
  <c r="X13" i="9"/>
  <c r="S13" i="9"/>
  <c r="R13" i="9"/>
  <c r="BJ12" i="9"/>
  <c r="BD12" i="9"/>
  <c r="AW12" i="9"/>
  <c r="AV12" i="9"/>
  <c r="AO12" i="9"/>
  <c r="AN12" i="9"/>
  <c r="AG12" i="9"/>
  <c r="AF12" i="9"/>
  <c r="Y12" i="9"/>
  <c r="X12" i="9"/>
  <c r="S12" i="9"/>
  <c r="R12" i="9"/>
  <c r="BJ11" i="9"/>
  <c r="BD11" i="9"/>
  <c r="AW11" i="9"/>
  <c r="AV11" i="9"/>
  <c r="AO11" i="9"/>
  <c r="AN11" i="9"/>
  <c r="AG11" i="9"/>
  <c r="AF11" i="9"/>
  <c r="Y11" i="9"/>
  <c r="X11" i="9"/>
  <c r="S11" i="9"/>
  <c r="R11" i="9"/>
  <c r="BJ10" i="9"/>
  <c r="BD10" i="9"/>
  <c r="AW10" i="9"/>
  <c r="AV10" i="9"/>
  <c r="AO10" i="9"/>
  <c r="AN10" i="9"/>
  <c r="AG10" i="9"/>
  <c r="AF10" i="9"/>
  <c r="Y10" i="9"/>
  <c r="X10" i="9"/>
  <c r="S10" i="9"/>
  <c r="R10" i="9"/>
  <c r="BJ9" i="9"/>
  <c r="BD9" i="9"/>
  <c r="AW9" i="9"/>
  <c r="AV9" i="9"/>
  <c r="AO9" i="9"/>
  <c r="AN9" i="9"/>
  <c r="AG9" i="9"/>
  <c r="AF9" i="9"/>
  <c r="Y9" i="9"/>
  <c r="X9" i="9"/>
  <c r="S9" i="9"/>
  <c r="R9" i="9"/>
  <c r="BJ8" i="9"/>
  <c r="BD8" i="9"/>
  <c r="AW8" i="9"/>
  <c r="AV8" i="9"/>
  <c r="AO8" i="9"/>
  <c r="AN8" i="9"/>
  <c r="AG8" i="9"/>
  <c r="AF8" i="9"/>
  <c r="Y8" i="9"/>
  <c r="X8" i="9"/>
  <c r="S8" i="9"/>
  <c r="R8" i="9"/>
  <c r="BJ7" i="9"/>
  <c r="BD7" i="9"/>
  <c r="AW7" i="9"/>
  <c r="AV7" i="9"/>
  <c r="AO7" i="9"/>
  <c r="AN7" i="9"/>
  <c r="AG7" i="9"/>
  <c r="AF7" i="9"/>
  <c r="Y7" i="9"/>
  <c r="X7" i="9"/>
  <c r="S7" i="9"/>
  <c r="R7" i="9"/>
  <c r="S4" i="9"/>
  <c r="R4" i="9"/>
  <c r="G4" i="9"/>
  <c r="F4" i="9"/>
  <c r="D4" i="9"/>
  <c r="E203" i="8"/>
  <c r="D203" i="8"/>
  <c r="E202" i="8"/>
  <c r="D202" i="8"/>
  <c r="E201" i="8"/>
  <c r="D201" i="8"/>
  <c r="E200" i="8"/>
  <c r="D200" i="8"/>
  <c r="E199" i="8"/>
  <c r="D199" i="8"/>
  <c r="E198" i="8"/>
  <c r="D198" i="8"/>
  <c r="E197" i="8"/>
  <c r="D197" i="8"/>
  <c r="E196" i="8"/>
  <c r="D196" i="8"/>
  <c r="E195" i="8"/>
  <c r="D195" i="8"/>
  <c r="E194" i="8"/>
  <c r="D194" i="8"/>
  <c r="E193" i="8"/>
  <c r="D193" i="8"/>
  <c r="E192" i="8"/>
  <c r="D192" i="8"/>
  <c r="E191" i="8"/>
  <c r="D191" i="8"/>
  <c r="E190" i="8"/>
  <c r="D190" i="8"/>
  <c r="E189" i="8"/>
  <c r="D189" i="8"/>
  <c r="E188" i="8"/>
  <c r="D188" i="8"/>
  <c r="E187" i="8"/>
  <c r="D187" i="8"/>
  <c r="E186" i="8"/>
  <c r="D186" i="8"/>
  <c r="E185" i="8"/>
  <c r="D185" i="8"/>
  <c r="E184" i="8"/>
  <c r="D184" i="8"/>
  <c r="E183" i="8"/>
  <c r="D183" i="8"/>
  <c r="E182" i="8"/>
  <c r="D182" i="8"/>
  <c r="E181" i="8"/>
  <c r="D181" i="8"/>
  <c r="E180" i="8"/>
  <c r="D180" i="8"/>
  <c r="E179" i="8"/>
  <c r="D179" i="8"/>
  <c r="E178" i="8"/>
  <c r="D178" i="8"/>
  <c r="E177" i="8"/>
  <c r="D177" i="8"/>
  <c r="E176" i="8"/>
  <c r="D176" i="8"/>
  <c r="E175" i="8"/>
  <c r="D175" i="8"/>
  <c r="E174" i="8"/>
  <c r="D174" i="8"/>
  <c r="E173" i="8"/>
  <c r="D173" i="8"/>
  <c r="E172" i="8"/>
  <c r="D172" i="8"/>
  <c r="E171" i="8"/>
  <c r="D171" i="8"/>
  <c r="E170" i="8"/>
  <c r="D170" i="8"/>
  <c r="E169" i="8"/>
  <c r="D169" i="8"/>
  <c r="E168" i="8"/>
  <c r="D168" i="8"/>
  <c r="E167" i="8"/>
  <c r="D167" i="8"/>
  <c r="E166" i="8"/>
  <c r="D166" i="8"/>
  <c r="E165" i="8"/>
  <c r="D165" i="8"/>
  <c r="E164" i="8"/>
  <c r="D164" i="8"/>
  <c r="E163" i="8"/>
  <c r="D163" i="8"/>
  <c r="E162" i="8"/>
  <c r="D162" i="8"/>
  <c r="E161" i="8"/>
  <c r="D161" i="8"/>
  <c r="E160" i="8"/>
  <c r="D160" i="8"/>
  <c r="E159" i="8"/>
  <c r="D159" i="8"/>
  <c r="E158" i="8"/>
  <c r="D158" i="8"/>
  <c r="E157" i="8"/>
  <c r="D157" i="8"/>
  <c r="E156" i="8"/>
  <c r="D156" i="8"/>
  <c r="E155" i="8"/>
  <c r="D155" i="8"/>
  <c r="E154" i="8"/>
  <c r="D154" i="8"/>
  <c r="E153" i="8"/>
  <c r="D153" i="8"/>
  <c r="E152" i="8"/>
  <c r="D152" i="8"/>
  <c r="E151" i="8"/>
  <c r="D151" i="8"/>
  <c r="E150" i="8"/>
  <c r="D150" i="8"/>
  <c r="E149" i="8"/>
  <c r="D149" i="8"/>
  <c r="E148" i="8"/>
  <c r="D148" i="8"/>
  <c r="E147" i="8"/>
  <c r="D147" i="8"/>
  <c r="E146" i="8"/>
  <c r="D146" i="8"/>
  <c r="E145" i="8"/>
  <c r="D145" i="8"/>
  <c r="E144" i="8"/>
  <c r="D144" i="8"/>
  <c r="E143" i="8"/>
  <c r="D143" i="8"/>
  <c r="E142" i="8"/>
  <c r="D142" i="8"/>
  <c r="E141" i="8"/>
  <c r="D141" i="8"/>
  <c r="E140" i="8"/>
  <c r="D140" i="8"/>
  <c r="E139" i="8"/>
  <c r="D139" i="8"/>
  <c r="E138" i="8"/>
  <c r="D138" i="8"/>
  <c r="E137" i="8"/>
  <c r="D137" i="8"/>
  <c r="E136" i="8"/>
  <c r="D136" i="8"/>
  <c r="E135" i="8"/>
  <c r="D135" i="8"/>
  <c r="E134" i="8"/>
  <c r="D134" i="8"/>
  <c r="E133" i="8"/>
  <c r="D133" i="8"/>
  <c r="E132" i="8"/>
  <c r="D132" i="8"/>
  <c r="E131" i="8"/>
  <c r="D131" i="8"/>
  <c r="E130" i="8"/>
  <c r="D130" i="8"/>
  <c r="E129" i="8"/>
  <c r="D129" i="8"/>
  <c r="E128" i="8"/>
  <c r="D128" i="8"/>
  <c r="E127" i="8"/>
  <c r="D127" i="8"/>
  <c r="E126" i="8"/>
  <c r="D126" i="8"/>
  <c r="E125" i="8"/>
  <c r="D125" i="8"/>
  <c r="E124" i="8"/>
  <c r="D124" i="8"/>
  <c r="E123" i="8"/>
  <c r="D123" i="8"/>
  <c r="E122" i="8"/>
  <c r="D122" i="8"/>
  <c r="E121" i="8"/>
  <c r="D121" i="8"/>
  <c r="E120" i="8"/>
  <c r="D120" i="8"/>
  <c r="E119" i="8"/>
  <c r="D119" i="8"/>
  <c r="E118" i="8"/>
  <c r="D118" i="8"/>
  <c r="E117" i="8"/>
  <c r="D117" i="8"/>
  <c r="E116" i="8"/>
  <c r="D116" i="8"/>
  <c r="E115" i="8"/>
  <c r="D115" i="8"/>
  <c r="E114" i="8"/>
  <c r="D114" i="8"/>
  <c r="E113" i="8"/>
  <c r="D113" i="8"/>
  <c r="E112" i="8"/>
  <c r="D112" i="8"/>
  <c r="E111" i="8"/>
  <c r="D111" i="8"/>
  <c r="E110" i="8"/>
  <c r="D110" i="8"/>
  <c r="E109" i="8"/>
  <c r="D109" i="8"/>
  <c r="E108" i="8"/>
  <c r="D108" i="8"/>
  <c r="E107" i="8"/>
  <c r="D107" i="8"/>
  <c r="E106" i="8"/>
  <c r="D106" i="8"/>
  <c r="E105" i="8"/>
  <c r="D105" i="8"/>
  <c r="E104" i="8"/>
  <c r="D104" i="8"/>
  <c r="E103" i="8"/>
  <c r="D103" i="8"/>
  <c r="E102" i="8"/>
  <c r="D102" i="8"/>
  <c r="E101" i="8"/>
  <c r="D101" i="8"/>
  <c r="E100" i="8"/>
  <c r="D100" i="8"/>
  <c r="E99" i="8"/>
  <c r="D99" i="8"/>
  <c r="E98" i="8"/>
  <c r="D98" i="8"/>
  <c r="E97" i="8"/>
  <c r="D97" i="8"/>
  <c r="E96" i="8"/>
  <c r="D96" i="8"/>
  <c r="E95" i="8"/>
  <c r="D95" i="8"/>
  <c r="E94" i="8"/>
  <c r="D94" i="8"/>
  <c r="E93" i="8"/>
  <c r="D93" i="8"/>
  <c r="E92" i="8"/>
  <c r="D92" i="8"/>
  <c r="E91" i="8"/>
  <c r="D91" i="8"/>
  <c r="E90" i="8"/>
  <c r="D90" i="8"/>
  <c r="E89" i="8"/>
  <c r="D89" i="8"/>
  <c r="E88" i="8"/>
  <c r="D88" i="8"/>
  <c r="E87" i="8"/>
  <c r="D87" i="8"/>
  <c r="E86" i="8"/>
  <c r="D86" i="8"/>
  <c r="E85" i="8"/>
  <c r="D85" i="8"/>
  <c r="E84" i="8"/>
  <c r="D84" i="8"/>
  <c r="E83" i="8"/>
  <c r="D83" i="8"/>
  <c r="E82" i="8"/>
  <c r="D82" i="8"/>
  <c r="E81" i="8"/>
  <c r="D81" i="8"/>
  <c r="E80" i="8"/>
  <c r="D80" i="8"/>
  <c r="E79" i="8"/>
  <c r="D79" i="8"/>
  <c r="E78" i="8"/>
  <c r="D78" i="8"/>
  <c r="E77" i="8"/>
  <c r="D77" i="8"/>
  <c r="E76" i="8"/>
  <c r="D76" i="8"/>
  <c r="E75" i="8"/>
  <c r="D75" i="8"/>
  <c r="E74" i="8"/>
  <c r="D74" i="8"/>
  <c r="E73" i="8"/>
  <c r="D73" i="8"/>
  <c r="E72" i="8"/>
  <c r="D72" i="8"/>
  <c r="E71" i="8"/>
  <c r="D71" i="8"/>
  <c r="E70" i="8"/>
  <c r="D70" i="8"/>
  <c r="E69" i="8"/>
  <c r="D69" i="8"/>
  <c r="E68" i="8"/>
  <c r="D68" i="8"/>
  <c r="E67" i="8"/>
  <c r="D67" i="8"/>
  <c r="E66" i="8"/>
  <c r="D66" i="8"/>
  <c r="E65" i="8"/>
  <c r="D65" i="8"/>
  <c r="E64" i="8"/>
  <c r="D64" i="8"/>
  <c r="E63" i="8"/>
  <c r="D63" i="8"/>
  <c r="E62" i="8"/>
  <c r="D62" i="8"/>
  <c r="E61" i="8"/>
  <c r="D61" i="8"/>
  <c r="E60" i="8"/>
  <c r="D60" i="8"/>
  <c r="E59" i="8"/>
  <c r="D59"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3" i="8"/>
  <c r="D43" i="8"/>
  <c r="E42" i="8"/>
  <c r="D42"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E11" i="8"/>
  <c r="D11" i="8"/>
  <c r="E10" i="8"/>
  <c r="D10" i="8"/>
  <c r="E9" i="8"/>
  <c r="D9" i="8"/>
  <c r="E8" i="8"/>
  <c r="D8" i="8"/>
  <c r="E7" i="8"/>
  <c r="D7" i="8"/>
  <c r="E6" i="8"/>
  <c r="D6" i="8"/>
  <c r="H38" i="7"/>
  <c r="G38" i="7"/>
  <c r="H37" i="7"/>
  <c r="G37" i="7"/>
  <c r="H36" i="7"/>
  <c r="G36" i="7"/>
  <c r="H35" i="7"/>
  <c r="G35" i="7"/>
  <c r="H34" i="7"/>
  <c r="G34" i="7"/>
  <c r="H33" i="7"/>
  <c r="G33" i="7"/>
  <c r="H32" i="7"/>
  <c r="G32" i="7"/>
  <c r="H31" i="7"/>
  <c r="G31" i="7"/>
  <c r="H30" i="7"/>
  <c r="G30" i="7"/>
  <c r="H29" i="7"/>
  <c r="G29" i="7"/>
  <c r="H28" i="7"/>
  <c r="G28" i="7"/>
  <c r="H27" i="7"/>
  <c r="G27" i="7"/>
  <c r="H26" i="7"/>
  <c r="G26" i="7"/>
  <c r="H25" i="7"/>
  <c r="G25" i="7"/>
  <c r="H24" i="7"/>
  <c r="G24" i="7"/>
  <c r="H23" i="7"/>
  <c r="G23" i="7"/>
  <c r="H22" i="7"/>
  <c r="G22" i="7"/>
  <c r="H21" i="7"/>
  <c r="G21" i="7"/>
  <c r="H20" i="7"/>
  <c r="G20" i="7"/>
  <c r="H19" i="7"/>
  <c r="G19" i="7"/>
  <c r="F15" i="7"/>
  <c r="E15" i="7"/>
  <c r="B15" i="7"/>
  <c r="F10" i="7"/>
  <c r="E10" i="7"/>
  <c r="D10" i="7"/>
  <c r="C10" i="7"/>
  <c r="B10" i="7"/>
  <c r="E202" i="6"/>
  <c r="D202" i="6"/>
  <c r="F202" i="6" s="1"/>
  <c r="E201" i="6"/>
  <c r="D201" i="6"/>
  <c r="F201" i="6" s="1"/>
  <c r="E200" i="6"/>
  <c r="D200" i="6"/>
  <c r="F200" i="6" s="1"/>
  <c r="E199" i="6"/>
  <c r="D199" i="6"/>
  <c r="F199" i="6" s="1"/>
  <c r="E198" i="6"/>
  <c r="D198" i="6"/>
  <c r="F198" i="6" s="1"/>
  <c r="E197" i="6"/>
  <c r="D197" i="6"/>
  <c r="F197" i="6" s="1"/>
  <c r="E196" i="6"/>
  <c r="D196" i="6"/>
  <c r="F196" i="6" s="1"/>
  <c r="E195" i="6"/>
  <c r="D195" i="6"/>
  <c r="F195" i="6" s="1"/>
  <c r="E194" i="6"/>
  <c r="D194" i="6"/>
  <c r="F194" i="6" s="1"/>
  <c r="E193" i="6"/>
  <c r="D193" i="6"/>
  <c r="F193" i="6" s="1"/>
  <c r="E192" i="6"/>
  <c r="D192" i="6"/>
  <c r="F192" i="6" s="1"/>
  <c r="E191" i="6"/>
  <c r="D191" i="6"/>
  <c r="F191" i="6" s="1"/>
  <c r="E190" i="6"/>
  <c r="D190" i="6"/>
  <c r="F190" i="6" s="1"/>
  <c r="E189" i="6"/>
  <c r="D189" i="6"/>
  <c r="F189" i="6" s="1"/>
  <c r="E188" i="6"/>
  <c r="D188" i="6"/>
  <c r="F188" i="6" s="1"/>
  <c r="E187" i="6"/>
  <c r="D187" i="6"/>
  <c r="F187" i="6" s="1"/>
  <c r="E186" i="6"/>
  <c r="D186" i="6"/>
  <c r="F186" i="6" s="1"/>
  <c r="E185" i="6"/>
  <c r="D185" i="6"/>
  <c r="F185" i="6" s="1"/>
  <c r="E184" i="6"/>
  <c r="D184" i="6"/>
  <c r="F184" i="6" s="1"/>
  <c r="E183" i="6"/>
  <c r="D183" i="6"/>
  <c r="F183" i="6" s="1"/>
  <c r="E182" i="6"/>
  <c r="D182" i="6"/>
  <c r="F182" i="6" s="1"/>
  <c r="E181" i="6"/>
  <c r="D181" i="6"/>
  <c r="F181" i="6" s="1"/>
  <c r="E180" i="6"/>
  <c r="D180" i="6"/>
  <c r="F180" i="6" s="1"/>
  <c r="E179" i="6"/>
  <c r="D179" i="6"/>
  <c r="F179" i="6" s="1"/>
  <c r="E178" i="6"/>
  <c r="D178" i="6"/>
  <c r="F178" i="6" s="1"/>
  <c r="E177" i="6"/>
  <c r="D177" i="6"/>
  <c r="F177" i="6" s="1"/>
  <c r="E176" i="6"/>
  <c r="D176" i="6"/>
  <c r="F176" i="6" s="1"/>
  <c r="E175" i="6"/>
  <c r="D175" i="6"/>
  <c r="F175" i="6" s="1"/>
  <c r="E174" i="6"/>
  <c r="D174" i="6"/>
  <c r="F174" i="6" s="1"/>
  <c r="E173" i="6"/>
  <c r="D173" i="6"/>
  <c r="F173" i="6" s="1"/>
  <c r="E172" i="6"/>
  <c r="D172" i="6"/>
  <c r="F172" i="6" s="1"/>
  <c r="E171" i="6"/>
  <c r="D171" i="6"/>
  <c r="F171" i="6" s="1"/>
  <c r="E170" i="6"/>
  <c r="D170" i="6"/>
  <c r="F170" i="6" s="1"/>
  <c r="E169" i="6"/>
  <c r="D169" i="6"/>
  <c r="F169" i="6" s="1"/>
  <c r="E168" i="6"/>
  <c r="D168" i="6"/>
  <c r="F168" i="6" s="1"/>
  <c r="E167" i="6"/>
  <c r="D167" i="6"/>
  <c r="F167" i="6" s="1"/>
  <c r="E166" i="6"/>
  <c r="D166" i="6"/>
  <c r="F166" i="6" s="1"/>
  <c r="E165" i="6"/>
  <c r="D165" i="6"/>
  <c r="F165" i="6" s="1"/>
  <c r="E164" i="6"/>
  <c r="D164" i="6"/>
  <c r="F164" i="6" s="1"/>
  <c r="E163" i="6"/>
  <c r="D163" i="6"/>
  <c r="F163" i="6" s="1"/>
  <c r="E162" i="6"/>
  <c r="D162" i="6"/>
  <c r="F162" i="6" s="1"/>
  <c r="E161" i="6"/>
  <c r="D161" i="6"/>
  <c r="F161" i="6" s="1"/>
  <c r="E160" i="6"/>
  <c r="D160" i="6"/>
  <c r="F160" i="6" s="1"/>
  <c r="E159" i="6"/>
  <c r="D159" i="6"/>
  <c r="F159" i="6" s="1"/>
  <c r="E158" i="6"/>
  <c r="D158" i="6"/>
  <c r="F158" i="6" s="1"/>
  <c r="E157" i="6"/>
  <c r="D157" i="6"/>
  <c r="F157" i="6" s="1"/>
  <c r="E156" i="6"/>
  <c r="D156" i="6"/>
  <c r="F156" i="6" s="1"/>
  <c r="E155" i="6"/>
  <c r="D155" i="6"/>
  <c r="E154" i="6"/>
  <c r="D154" i="6"/>
  <c r="F154" i="6" s="1"/>
  <c r="E153" i="6"/>
  <c r="D153" i="6"/>
  <c r="F153" i="6" s="1"/>
  <c r="E152" i="6"/>
  <c r="D152" i="6"/>
  <c r="F152" i="6" s="1"/>
  <c r="E151" i="6"/>
  <c r="D151" i="6"/>
  <c r="F151" i="6" s="1"/>
  <c r="E150" i="6"/>
  <c r="D150" i="6"/>
  <c r="F150" i="6" s="1"/>
  <c r="E149" i="6"/>
  <c r="D149" i="6"/>
  <c r="F149" i="6" s="1"/>
  <c r="E148" i="6"/>
  <c r="D148" i="6"/>
  <c r="F148" i="6" s="1"/>
  <c r="E147" i="6"/>
  <c r="D147" i="6"/>
  <c r="F147" i="6" s="1"/>
  <c r="E146" i="6"/>
  <c r="D146" i="6"/>
  <c r="E145" i="6"/>
  <c r="D145" i="6"/>
  <c r="F145" i="6" s="1"/>
  <c r="E144" i="6"/>
  <c r="D144" i="6"/>
  <c r="F144" i="6" s="1"/>
  <c r="E143" i="6"/>
  <c r="D143" i="6"/>
  <c r="F143" i="6" s="1"/>
  <c r="E142" i="6"/>
  <c r="D142" i="6"/>
  <c r="F142" i="6" s="1"/>
  <c r="E141" i="6"/>
  <c r="D141" i="6"/>
  <c r="F141" i="6" s="1"/>
  <c r="E140" i="6"/>
  <c r="D140" i="6"/>
  <c r="F140" i="6" s="1"/>
  <c r="E139" i="6"/>
  <c r="D139" i="6"/>
  <c r="F139" i="6" s="1"/>
  <c r="E138" i="6"/>
  <c r="D138" i="6"/>
  <c r="F138" i="6" s="1"/>
  <c r="E137" i="6"/>
  <c r="D137" i="6"/>
  <c r="F137" i="6" s="1"/>
  <c r="E136" i="6"/>
  <c r="D136" i="6"/>
  <c r="F136" i="6" s="1"/>
  <c r="E135" i="6"/>
  <c r="D135" i="6"/>
  <c r="F135" i="6" s="1"/>
  <c r="E134" i="6"/>
  <c r="D134" i="6"/>
  <c r="E133" i="6"/>
  <c r="D133" i="6"/>
  <c r="E132" i="6"/>
  <c r="D132" i="6"/>
  <c r="F132" i="6" s="1"/>
  <c r="E131" i="6"/>
  <c r="D131" i="6"/>
  <c r="F131" i="6" s="1"/>
  <c r="E130" i="6"/>
  <c r="D130" i="6"/>
  <c r="F130" i="6" s="1"/>
  <c r="E129" i="6"/>
  <c r="D129" i="6"/>
  <c r="F129" i="6" s="1"/>
  <c r="E128" i="6"/>
  <c r="D128" i="6"/>
  <c r="F128" i="6" s="1"/>
  <c r="E127" i="6"/>
  <c r="D127" i="6"/>
  <c r="F127" i="6" s="1"/>
  <c r="E126" i="6"/>
  <c r="D126" i="6"/>
  <c r="F126" i="6" s="1"/>
  <c r="E125" i="6"/>
  <c r="D125" i="6"/>
  <c r="F125" i="6" s="1"/>
  <c r="E124" i="6"/>
  <c r="D124" i="6"/>
  <c r="F124" i="6" s="1"/>
  <c r="E123" i="6"/>
  <c r="D123" i="6"/>
  <c r="F123" i="6" s="1"/>
  <c r="E122" i="6"/>
  <c r="D122" i="6"/>
  <c r="F122" i="6" s="1"/>
  <c r="E121" i="6"/>
  <c r="D121" i="6"/>
  <c r="F121" i="6" s="1"/>
  <c r="E120" i="6"/>
  <c r="D120" i="6"/>
  <c r="F120" i="6" s="1"/>
  <c r="E119" i="6"/>
  <c r="D119" i="6"/>
  <c r="F119" i="6" s="1"/>
  <c r="E118" i="6"/>
  <c r="D118" i="6"/>
  <c r="F118" i="6" s="1"/>
  <c r="E117" i="6"/>
  <c r="D117" i="6"/>
  <c r="E116" i="6"/>
  <c r="D116" i="6"/>
  <c r="F116" i="6" s="1"/>
  <c r="E115" i="6"/>
  <c r="D115" i="6"/>
  <c r="E114" i="6"/>
  <c r="D114" i="6"/>
  <c r="F114" i="6" s="1"/>
  <c r="E113" i="6"/>
  <c r="D113" i="6"/>
  <c r="F113" i="6" s="1"/>
  <c r="E112" i="6"/>
  <c r="D112" i="6"/>
  <c r="F112" i="6" s="1"/>
  <c r="E111" i="6"/>
  <c r="D111" i="6"/>
  <c r="F111" i="6" s="1"/>
  <c r="E110" i="6"/>
  <c r="D110" i="6"/>
  <c r="F110" i="6" s="1"/>
  <c r="E109" i="6"/>
  <c r="D109" i="6"/>
  <c r="F109" i="6" s="1"/>
  <c r="E108" i="6"/>
  <c r="D108" i="6"/>
  <c r="F108" i="6" s="1"/>
  <c r="E107" i="6"/>
  <c r="D107" i="6"/>
  <c r="F107" i="6" s="1"/>
  <c r="E106" i="6"/>
  <c r="D106" i="6"/>
  <c r="F106" i="6" s="1"/>
  <c r="E105" i="6"/>
  <c r="D105" i="6"/>
  <c r="F105" i="6" s="1"/>
  <c r="E104" i="6"/>
  <c r="D104" i="6"/>
  <c r="F104" i="6" s="1"/>
  <c r="E103" i="6"/>
  <c r="D103" i="6"/>
  <c r="F103" i="6" s="1"/>
  <c r="E102" i="6"/>
  <c r="D102" i="6"/>
  <c r="F102" i="6" s="1"/>
  <c r="E101" i="6"/>
  <c r="D101" i="6"/>
  <c r="F101" i="6" s="1"/>
  <c r="E100" i="6"/>
  <c r="D100" i="6"/>
  <c r="F100" i="6" s="1"/>
  <c r="E99" i="6"/>
  <c r="D99" i="6"/>
  <c r="F99" i="6" s="1"/>
  <c r="E98" i="6"/>
  <c r="D98" i="6"/>
  <c r="F98" i="6" s="1"/>
  <c r="E97" i="6"/>
  <c r="D97" i="6"/>
  <c r="F97" i="6" s="1"/>
  <c r="E96" i="6"/>
  <c r="D96" i="6"/>
  <c r="F96" i="6" s="1"/>
  <c r="E95" i="6"/>
  <c r="D95" i="6"/>
  <c r="F95" i="6" s="1"/>
  <c r="E94" i="6"/>
  <c r="D94" i="6"/>
  <c r="F94" i="6" s="1"/>
  <c r="E93" i="6"/>
  <c r="D93" i="6"/>
  <c r="F93" i="6" s="1"/>
  <c r="E92" i="6"/>
  <c r="D92" i="6"/>
  <c r="F92" i="6" s="1"/>
  <c r="E91" i="6"/>
  <c r="D91" i="6"/>
  <c r="F91" i="6" s="1"/>
  <c r="E90" i="6"/>
  <c r="D90" i="6"/>
  <c r="E89" i="6"/>
  <c r="D89" i="6"/>
  <c r="E88" i="6"/>
  <c r="D88" i="6"/>
  <c r="F88" i="6" s="1"/>
  <c r="E87" i="6"/>
  <c r="D87" i="6"/>
  <c r="F87" i="6" s="1"/>
  <c r="E86" i="6"/>
  <c r="D86" i="6"/>
  <c r="F86" i="6" s="1"/>
  <c r="E85" i="6"/>
  <c r="D85" i="6"/>
  <c r="E84" i="6"/>
  <c r="D84" i="6"/>
  <c r="F84" i="6" s="1"/>
  <c r="E83" i="6"/>
  <c r="D83" i="6"/>
  <c r="F83" i="6" s="1"/>
  <c r="E82" i="6"/>
  <c r="D82" i="6"/>
  <c r="F82" i="6" s="1"/>
  <c r="E81" i="6"/>
  <c r="D81" i="6"/>
  <c r="F81" i="6" s="1"/>
  <c r="E80" i="6"/>
  <c r="D80" i="6"/>
  <c r="F80" i="6" s="1"/>
  <c r="E79" i="6"/>
  <c r="D79" i="6"/>
  <c r="F79" i="6" s="1"/>
  <c r="E78" i="6"/>
  <c r="D78" i="6"/>
  <c r="F78" i="6" s="1"/>
  <c r="E77" i="6"/>
  <c r="D77" i="6"/>
  <c r="F77" i="6" s="1"/>
  <c r="E76" i="6"/>
  <c r="D76" i="6"/>
  <c r="F76" i="6" s="1"/>
  <c r="E75" i="6"/>
  <c r="D75" i="6"/>
  <c r="E74" i="6"/>
  <c r="D74" i="6"/>
  <c r="F74" i="6" s="1"/>
  <c r="E73" i="6"/>
  <c r="D73" i="6"/>
  <c r="F73" i="6" s="1"/>
  <c r="E72" i="6"/>
  <c r="D72" i="6"/>
  <c r="F72" i="6" s="1"/>
  <c r="E71" i="6"/>
  <c r="D71" i="6"/>
  <c r="F71" i="6" s="1"/>
  <c r="E70" i="6"/>
  <c r="D70" i="6"/>
  <c r="F70" i="6" s="1"/>
  <c r="E69" i="6"/>
  <c r="D69" i="6"/>
  <c r="F69" i="6" s="1"/>
  <c r="E68" i="6"/>
  <c r="D68" i="6"/>
  <c r="F68" i="6" s="1"/>
  <c r="E67" i="6"/>
  <c r="D67" i="6"/>
  <c r="F67" i="6" s="1"/>
  <c r="E66" i="6"/>
  <c r="D66" i="6"/>
  <c r="E65" i="6"/>
  <c r="D65" i="6"/>
  <c r="F65" i="6" s="1"/>
  <c r="E64" i="6"/>
  <c r="D64" i="6"/>
  <c r="F64" i="6" s="1"/>
  <c r="E63" i="6"/>
  <c r="D63" i="6"/>
  <c r="F63" i="6" s="1"/>
  <c r="E62" i="6"/>
  <c r="D62" i="6"/>
  <c r="F62" i="6" s="1"/>
  <c r="E61" i="6"/>
  <c r="D61" i="6"/>
  <c r="F61" i="6" s="1"/>
  <c r="E60" i="6"/>
  <c r="D60" i="6"/>
  <c r="F60" i="6" s="1"/>
  <c r="E59" i="6"/>
  <c r="D59" i="6"/>
  <c r="F59" i="6" s="1"/>
  <c r="E58" i="6"/>
  <c r="D58" i="6"/>
  <c r="F58" i="6" s="1"/>
  <c r="E57" i="6"/>
  <c r="D57" i="6"/>
  <c r="F57" i="6" s="1"/>
  <c r="E56" i="6"/>
  <c r="D56" i="6"/>
  <c r="F56" i="6" s="1"/>
  <c r="E55" i="6"/>
  <c r="D55" i="6"/>
  <c r="F55" i="6" s="1"/>
  <c r="E54" i="6"/>
  <c r="D54" i="6"/>
  <c r="F54" i="6" s="1"/>
  <c r="E53" i="6"/>
  <c r="D53" i="6"/>
  <c r="F53" i="6" s="1"/>
  <c r="E52" i="6"/>
  <c r="D52" i="6"/>
  <c r="E51" i="6"/>
  <c r="D51" i="6"/>
  <c r="F51" i="6" s="1"/>
  <c r="E50" i="6"/>
  <c r="D50" i="6"/>
  <c r="E49" i="6"/>
  <c r="D49" i="6"/>
  <c r="F49" i="6" s="1"/>
  <c r="E48" i="6"/>
  <c r="D48" i="6"/>
  <c r="F48" i="6" s="1"/>
  <c r="E47" i="6"/>
  <c r="D47" i="6"/>
  <c r="F47" i="6" s="1"/>
  <c r="E46" i="6"/>
  <c r="D46" i="6"/>
  <c r="F46" i="6" s="1"/>
  <c r="E45" i="6"/>
  <c r="D45" i="6"/>
  <c r="F45" i="6" s="1"/>
  <c r="E44" i="6"/>
  <c r="D44" i="6"/>
  <c r="F44" i="6" s="1"/>
  <c r="E43" i="6"/>
  <c r="D43" i="6"/>
  <c r="F43" i="6" s="1"/>
  <c r="E42" i="6"/>
  <c r="D42" i="6"/>
  <c r="F42" i="6" s="1"/>
  <c r="E41" i="6"/>
  <c r="D41" i="6"/>
  <c r="E40" i="6"/>
  <c r="D40" i="6"/>
  <c r="F40" i="6" s="1"/>
  <c r="E39" i="6"/>
  <c r="D39" i="6"/>
  <c r="F39" i="6" s="1"/>
  <c r="E38" i="6"/>
  <c r="D38" i="6"/>
  <c r="F38" i="6" s="1"/>
  <c r="E37" i="6"/>
  <c r="D37" i="6"/>
  <c r="F37" i="6" s="1"/>
  <c r="E36" i="6"/>
  <c r="D36" i="6"/>
  <c r="F36" i="6" s="1"/>
  <c r="E35" i="6"/>
  <c r="D35" i="6"/>
  <c r="F35" i="6" s="1"/>
  <c r="E34" i="6"/>
  <c r="D34" i="6"/>
  <c r="F34" i="6" s="1"/>
  <c r="E33" i="6"/>
  <c r="D33" i="6"/>
  <c r="F33" i="6" s="1"/>
  <c r="E32" i="6"/>
  <c r="D32" i="6"/>
  <c r="F32" i="6" s="1"/>
  <c r="E31" i="6"/>
  <c r="D31" i="6"/>
  <c r="F31" i="6" s="1"/>
  <c r="E30" i="6"/>
  <c r="D30" i="6"/>
  <c r="F30" i="6" s="1"/>
  <c r="E29" i="6"/>
  <c r="D29" i="6"/>
  <c r="F29" i="6" s="1"/>
  <c r="E28" i="6"/>
  <c r="D28" i="6"/>
  <c r="F28" i="6" s="1"/>
  <c r="E27" i="6"/>
  <c r="D27" i="6"/>
  <c r="F27" i="6" s="1"/>
  <c r="E26" i="6"/>
  <c r="D26" i="6"/>
  <c r="E25" i="6"/>
  <c r="D25" i="6"/>
  <c r="F25" i="6" s="1"/>
  <c r="E24" i="6"/>
  <c r="D24" i="6"/>
  <c r="F24" i="6" s="1"/>
  <c r="E23" i="6"/>
  <c r="D23" i="6"/>
  <c r="F23" i="6" s="1"/>
  <c r="E22" i="6"/>
  <c r="D22" i="6"/>
  <c r="F22" i="6" s="1"/>
  <c r="E21" i="6"/>
  <c r="D21" i="6"/>
  <c r="F21" i="6" s="1"/>
  <c r="E20" i="6"/>
  <c r="D20" i="6"/>
  <c r="F20" i="6" s="1"/>
  <c r="E19" i="6"/>
  <c r="D19" i="6"/>
  <c r="F19" i="6" s="1"/>
  <c r="E18" i="6"/>
  <c r="D18" i="6"/>
  <c r="F18" i="6" s="1"/>
  <c r="E17" i="6"/>
  <c r="D17" i="6"/>
  <c r="F17" i="6" s="1"/>
  <c r="E16" i="6"/>
  <c r="D16" i="6"/>
  <c r="F16" i="6" s="1"/>
  <c r="E15" i="6"/>
  <c r="D15" i="6"/>
  <c r="F15" i="6" s="1"/>
  <c r="E14" i="6"/>
  <c r="D14" i="6"/>
  <c r="F14" i="6" s="1"/>
  <c r="E13" i="6"/>
  <c r="D13" i="6"/>
  <c r="F13" i="6" s="1"/>
  <c r="E12" i="6"/>
  <c r="D12" i="6"/>
  <c r="F12" i="6" s="1"/>
  <c r="E11" i="6"/>
  <c r="D11" i="6"/>
  <c r="F11" i="6" s="1"/>
  <c r="E10" i="6"/>
  <c r="D10" i="6"/>
  <c r="F10" i="6" s="1"/>
  <c r="E9" i="6"/>
  <c r="D9" i="6"/>
  <c r="F9" i="6" s="1"/>
  <c r="E8" i="6"/>
  <c r="D8" i="6"/>
  <c r="F8" i="6" s="1"/>
  <c r="E7" i="6"/>
  <c r="D7" i="6"/>
  <c r="F7" i="6" s="1"/>
  <c r="E6" i="6"/>
  <c r="D6" i="6"/>
  <c r="F6" i="6" s="1"/>
  <c r="E5" i="6"/>
  <c r="D5" i="6"/>
  <c r="F5" i="6" s="1"/>
  <c r="E202" i="5"/>
  <c r="D202" i="5"/>
  <c r="F202" i="5" s="1"/>
  <c r="E201" i="5"/>
  <c r="D201" i="5"/>
  <c r="F201" i="5" s="1"/>
  <c r="E200" i="5"/>
  <c r="D200" i="5"/>
  <c r="F200" i="5" s="1"/>
  <c r="E199" i="5"/>
  <c r="D199" i="5"/>
  <c r="F199" i="5" s="1"/>
  <c r="E198" i="5"/>
  <c r="D198" i="5"/>
  <c r="E197" i="5"/>
  <c r="D197" i="5"/>
  <c r="E196" i="5"/>
  <c r="D196" i="5"/>
  <c r="F196" i="5" s="1"/>
  <c r="E195" i="5"/>
  <c r="D195" i="5"/>
  <c r="F195" i="5" s="1"/>
  <c r="E194" i="5"/>
  <c r="D194" i="5"/>
  <c r="F194" i="5" s="1"/>
  <c r="E193" i="5"/>
  <c r="D193" i="5"/>
  <c r="F193" i="5" s="1"/>
  <c r="E192" i="5"/>
  <c r="D192" i="5"/>
  <c r="F192" i="5" s="1"/>
  <c r="E191" i="5"/>
  <c r="D191" i="5"/>
  <c r="F191" i="5" s="1"/>
  <c r="E190" i="5"/>
  <c r="D190" i="5"/>
  <c r="F190" i="5" s="1"/>
  <c r="E189" i="5"/>
  <c r="D189" i="5"/>
  <c r="F189" i="5" s="1"/>
  <c r="E188" i="5"/>
  <c r="D188" i="5"/>
  <c r="F188" i="5" s="1"/>
  <c r="E187" i="5"/>
  <c r="D187" i="5"/>
  <c r="E186" i="5"/>
  <c r="D186" i="5"/>
  <c r="F186" i="5" s="1"/>
  <c r="E185" i="5"/>
  <c r="D185" i="5"/>
  <c r="F185" i="5" s="1"/>
  <c r="E184" i="5"/>
  <c r="D184" i="5"/>
  <c r="E183" i="5"/>
  <c r="D183" i="5"/>
  <c r="F183" i="5" s="1"/>
  <c r="E182" i="5"/>
  <c r="D182" i="5"/>
  <c r="F182" i="5" s="1"/>
  <c r="E181" i="5"/>
  <c r="D181" i="5"/>
  <c r="F181" i="5" s="1"/>
  <c r="E180" i="5"/>
  <c r="D180" i="5"/>
  <c r="F180" i="5" s="1"/>
  <c r="E179" i="5"/>
  <c r="D179" i="5"/>
  <c r="F179" i="5" s="1"/>
  <c r="E178" i="5"/>
  <c r="D178" i="5"/>
  <c r="F178" i="5" s="1"/>
  <c r="E177" i="5"/>
  <c r="D177" i="5"/>
  <c r="F177" i="5" s="1"/>
  <c r="E176" i="5"/>
  <c r="D176" i="5"/>
  <c r="F176" i="5" s="1"/>
  <c r="E175" i="5"/>
  <c r="D175" i="5"/>
  <c r="F175" i="5" s="1"/>
  <c r="E174" i="5"/>
  <c r="D174" i="5"/>
  <c r="F174" i="5" s="1"/>
  <c r="E173" i="5"/>
  <c r="D173" i="5"/>
  <c r="F173" i="5" s="1"/>
  <c r="E172" i="5"/>
  <c r="D172" i="5"/>
  <c r="F172" i="5" s="1"/>
  <c r="E171" i="5"/>
  <c r="D171" i="5"/>
  <c r="F171" i="5" s="1"/>
  <c r="E170" i="5"/>
  <c r="D170" i="5"/>
  <c r="F170" i="5" s="1"/>
  <c r="E169" i="5"/>
  <c r="D169" i="5"/>
  <c r="F169" i="5" s="1"/>
  <c r="E168" i="5"/>
  <c r="D168" i="5"/>
  <c r="F168" i="5" s="1"/>
  <c r="E167" i="5"/>
  <c r="D167" i="5"/>
  <c r="F167" i="5" s="1"/>
  <c r="E166" i="5"/>
  <c r="D166" i="5"/>
  <c r="F166" i="5" s="1"/>
  <c r="E165" i="5"/>
  <c r="D165" i="5"/>
  <c r="F165" i="5" s="1"/>
  <c r="E164" i="5"/>
  <c r="D164" i="5"/>
  <c r="F164" i="5" s="1"/>
  <c r="E163" i="5"/>
  <c r="D163" i="5"/>
  <c r="F163" i="5" s="1"/>
  <c r="E162" i="5"/>
  <c r="D162" i="5"/>
  <c r="F162" i="5" s="1"/>
  <c r="E161" i="5"/>
  <c r="D161" i="5"/>
  <c r="F161" i="5" s="1"/>
  <c r="E160" i="5"/>
  <c r="D160" i="5"/>
  <c r="F160" i="5" s="1"/>
  <c r="E159" i="5"/>
  <c r="D159" i="5"/>
  <c r="E158" i="5"/>
  <c r="D158" i="5"/>
  <c r="F158" i="5" s="1"/>
  <c r="E157" i="5"/>
  <c r="D157" i="5"/>
  <c r="F157" i="5" s="1"/>
  <c r="E156" i="5"/>
  <c r="D156" i="5"/>
  <c r="F156" i="5" s="1"/>
  <c r="E155" i="5"/>
  <c r="D155" i="5"/>
  <c r="F155" i="5" s="1"/>
  <c r="E154" i="5"/>
  <c r="D154" i="5"/>
  <c r="F154" i="5" s="1"/>
  <c r="E153" i="5"/>
  <c r="D153" i="5"/>
  <c r="F153" i="5" s="1"/>
  <c r="E152" i="5"/>
  <c r="D152" i="5"/>
  <c r="F152" i="5" s="1"/>
  <c r="E151" i="5"/>
  <c r="D151" i="5"/>
  <c r="F151" i="5" s="1"/>
  <c r="E150" i="5"/>
  <c r="D150" i="5"/>
  <c r="F150" i="5" s="1"/>
  <c r="E149" i="5"/>
  <c r="D149" i="5"/>
  <c r="F149" i="5" s="1"/>
  <c r="E148" i="5"/>
  <c r="D148" i="5"/>
  <c r="F148" i="5" s="1"/>
  <c r="E147" i="5"/>
  <c r="D147" i="5"/>
  <c r="F147" i="5" s="1"/>
  <c r="E146" i="5"/>
  <c r="D146" i="5"/>
  <c r="E145" i="5"/>
  <c r="D145" i="5"/>
  <c r="F145" i="5" s="1"/>
  <c r="E144" i="5"/>
  <c r="D144" i="5"/>
  <c r="F144" i="5" s="1"/>
  <c r="E143" i="5"/>
  <c r="D143" i="5"/>
  <c r="F143" i="5" s="1"/>
  <c r="E142" i="5"/>
  <c r="D142" i="5"/>
  <c r="F142" i="5" s="1"/>
  <c r="E141" i="5"/>
  <c r="D141" i="5"/>
  <c r="F141" i="5" s="1"/>
  <c r="E140" i="5"/>
  <c r="D140" i="5"/>
  <c r="F140" i="5" s="1"/>
  <c r="E139" i="5"/>
  <c r="D139" i="5"/>
  <c r="F139" i="5" s="1"/>
  <c r="E138" i="5"/>
  <c r="D138" i="5"/>
  <c r="F138" i="5" s="1"/>
  <c r="E137" i="5"/>
  <c r="D137" i="5"/>
  <c r="E136" i="5"/>
  <c r="D136" i="5"/>
  <c r="F136" i="5" s="1"/>
  <c r="E135" i="5"/>
  <c r="D135" i="5"/>
  <c r="E134" i="5"/>
  <c r="D134" i="5"/>
  <c r="F134" i="5" s="1"/>
  <c r="E133" i="5"/>
  <c r="D133" i="5"/>
  <c r="F133" i="5" s="1"/>
  <c r="E132" i="5"/>
  <c r="D132" i="5"/>
  <c r="F132" i="5" s="1"/>
  <c r="E131" i="5"/>
  <c r="D131" i="5"/>
  <c r="F131" i="5" s="1"/>
  <c r="E130" i="5"/>
  <c r="D130" i="5"/>
  <c r="F130" i="5" s="1"/>
  <c r="E129" i="5"/>
  <c r="D129" i="5"/>
  <c r="F129" i="5" s="1"/>
  <c r="E128" i="5"/>
  <c r="D128" i="5"/>
  <c r="F128" i="5" s="1"/>
  <c r="E127" i="5"/>
  <c r="D127" i="5"/>
  <c r="F127" i="5" s="1"/>
  <c r="E126" i="5"/>
  <c r="D126" i="5"/>
  <c r="F126" i="5" s="1"/>
  <c r="E125" i="5"/>
  <c r="D125" i="5"/>
  <c r="F125" i="5" s="1"/>
  <c r="E124" i="5"/>
  <c r="D124" i="5"/>
  <c r="F124" i="5" s="1"/>
  <c r="E123" i="5"/>
  <c r="D123" i="5"/>
  <c r="F123" i="5" s="1"/>
  <c r="E122" i="5"/>
  <c r="D122" i="5"/>
  <c r="F122" i="5" s="1"/>
  <c r="E121" i="5"/>
  <c r="D121" i="5"/>
  <c r="F121" i="5" s="1"/>
  <c r="E120" i="5"/>
  <c r="D120" i="5"/>
  <c r="F120" i="5" s="1"/>
  <c r="E119" i="5"/>
  <c r="D119" i="5"/>
  <c r="F119" i="5" s="1"/>
  <c r="E118" i="5"/>
  <c r="D118" i="5"/>
  <c r="F118" i="5" s="1"/>
  <c r="E117" i="5"/>
  <c r="D117" i="5"/>
  <c r="E116" i="5"/>
  <c r="D116" i="5"/>
  <c r="F116" i="5" s="1"/>
  <c r="E115" i="5"/>
  <c r="D115" i="5"/>
  <c r="F115" i="5" s="1"/>
  <c r="E114" i="5"/>
  <c r="D114" i="5"/>
  <c r="F114" i="5" s="1"/>
  <c r="E113" i="5"/>
  <c r="D113" i="5"/>
  <c r="F113" i="5" s="1"/>
  <c r="E112" i="5"/>
  <c r="D112" i="5"/>
  <c r="F112" i="5" s="1"/>
  <c r="E111" i="5"/>
  <c r="D111" i="5"/>
  <c r="F111" i="5" s="1"/>
  <c r="E110" i="5"/>
  <c r="D110" i="5"/>
  <c r="F110" i="5" s="1"/>
  <c r="E109" i="5"/>
  <c r="D109" i="5"/>
  <c r="F109" i="5" s="1"/>
  <c r="E108" i="5"/>
  <c r="D108" i="5"/>
  <c r="F108" i="5" s="1"/>
  <c r="E107" i="5"/>
  <c r="D107" i="5"/>
  <c r="E106" i="5"/>
  <c r="D106" i="5"/>
  <c r="F106" i="5" s="1"/>
  <c r="E105" i="5"/>
  <c r="D105" i="5"/>
  <c r="F105" i="5" s="1"/>
  <c r="E104" i="5"/>
  <c r="D104" i="5"/>
  <c r="F104" i="5" s="1"/>
  <c r="E103" i="5"/>
  <c r="D103" i="5"/>
  <c r="F103" i="5" s="1"/>
  <c r="E102" i="5"/>
  <c r="D102" i="5"/>
  <c r="F102" i="5" s="1"/>
  <c r="E101" i="5"/>
  <c r="D101" i="5"/>
  <c r="E100" i="5"/>
  <c r="D100" i="5"/>
  <c r="F100" i="5" s="1"/>
  <c r="E99" i="5"/>
  <c r="D99" i="5"/>
  <c r="F99" i="5" s="1"/>
  <c r="E98" i="5"/>
  <c r="D98" i="5"/>
  <c r="F98" i="5" s="1"/>
  <c r="E97" i="5"/>
  <c r="D97" i="5"/>
  <c r="F97" i="5" s="1"/>
  <c r="E96" i="5"/>
  <c r="D96" i="5"/>
  <c r="F96" i="5" s="1"/>
  <c r="E95" i="5"/>
  <c r="D95" i="5"/>
  <c r="F95" i="5" s="1"/>
  <c r="E94" i="5"/>
  <c r="D94" i="5"/>
  <c r="F94" i="5" s="1"/>
  <c r="E93" i="5"/>
  <c r="D93" i="5"/>
  <c r="F93" i="5" s="1"/>
  <c r="E92" i="5"/>
  <c r="D92" i="5"/>
  <c r="F92" i="5" s="1"/>
  <c r="E91" i="5"/>
  <c r="D91" i="5"/>
  <c r="F91" i="5" s="1"/>
  <c r="E90" i="5"/>
  <c r="D90" i="5"/>
  <c r="F90" i="5" s="1"/>
  <c r="E89" i="5"/>
  <c r="D89" i="5"/>
  <c r="F89" i="5" s="1"/>
  <c r="E88" i="5"/>
  <c r="D88" i="5"/>
  <c r="E87" i="5"/>
  <c r="D87" i="5"/>
  <c r="E86" i="5"/>
  <c r="D86" i="5"/>
  <c r="E85" i="5"/>
  <c r="D85" i="5"/>
  <c r="E84" i="5"/>
  <c r="D84" i="5"/>
  <c r="F84" i="5" s="1"/>
  <c r="E83" i="5"/>
  <c r="D83" i="5"/>
  <c r="F83" i="5" s="1"/>
  <c r="E82" i="5"/>
  <c r="D82" i="5"/>
  <c r="F82" i="5" s="1"/>
  <c r="E81" i="5"/>
  <c r="D81" i="5"/>
  <c r="F81" i="5" s="1"/>
  <c r="E80" i="5"/>
  <c r="D80" i="5"/>
  <c r="F80" i="5" s="1"/>
  <c r="E79" i="5"/>
  <c r="D79" i="5"/>
  <c r="F79" i="5" s="1"/>
  <c r="E78" i="5"/>
  <c r="D78" i="5"/>
  <c r="F78" i="5" s="1"/>
  <c r="E77" i="5"/>
  <c r="D77" i="5"/>
  <c r="F77" i="5" s="1"/>
  <c r="E76" i="5"/>
  <c r="D76" i="5"/>
  <c r="F76" i="5" s="1"/>
  <c r="E75" i="5"/>
  <c r="D75" i="5"/>
  <c r="F75" i="5" s="1"/>
  <c r="E74" i="5"/>
  <c r="D74" i="5"/>
  <c r="F74" i="5" s="1"/>
  <c r="E73" i="5"/>
  <c r="D73" i="5"/>
  <c r="F73" i="5" s="1"/>
  <c r="E72" i="5"/>
  <c r="D72" i="5"/>
  <c r="F72" i="5" s="1"/>
  <c r="E71" i="5"/>
  <c r="D71" i="5"/>
  <c r="F71" i="5" s="1"/>
  <c r="E70" i="5"/>
  <c r="D70" i="5"/>
  <c r="F70" i="5" s="1"/>
  <c r="E69" i="5"/>
  <c r="D69" i="5"/>
  <c r="F69" i="5" s="1"/>
  <c r="E68" i="5"/>
  <c r="D68" i="5"/>
  <c r="F68" i="5" s="1"/>
  <c r="E67" i="5"/>
  <c r="D67" i="5"/>
  <c r="F67" i="5" s="1"/>
  <c r="E66" i="5"/>
  <c r="D66" i="5"/>
  <c r="F66" i="5" s="1"/>
  <c r="E65" i="5"/>
  <c r="D65" i="5"/>
  <c r="F65" i="5" s="1"/>
  <c r="E64" i="5"/>
  <c r="D64" i="5"/>
  <c r="F64" i="5" s="1"/>
  <c r="E63" i="5"/>
  <c r="D63" i="5"/>
  <c r="F63" i="5" s="1"/>
  <c r="E62" i="5"/>
  <c r="D62" i="5"/>
  <c r="F62" i="5" s="1"/>
  <c r="E61" i="5"/>
  <c r="D61" i="5"/>
  <c r="F61" i="5" s="1"/>
  <c r="E60" i="5"/>
  <c r="D60" i="5"/>
  <c r="F60" i="5" s="1"/>
  <c r="E59" i="5"/>
  <c r="D59" i="5"/>
  <c r="E58" i="5"/>
  <c r="D58" i="5"/>
  <c r="F58" i="5" s="1"/>
  <c r="E57" i="5"/>
  <c r="D57" i="5"/>
  <c r="F57" i="5" s="1"/>
  <c r="E56" i="5"/>
  <c r="D56" i="5"/>
  <c r="E55" i="5"/>
  <c r="D55" i="5"/>
  <c r="E54" i="5"/>
  <c r="D54" i="5"/>
  <c r="F54" i="5" s="1"/>
  <c r="E53" i="5"/>
  <c r="D53" i="5"/>
  <c r="F53" i="5" s="1"/>
  <c r="E52" i="5"/>
  <c r="D52" i="5"/>
  <c r="F52" i="5" s="1"/>
  <c r="E51" i="5"/>
  <c r="D51" i="5"/>
  <c r="F51" i="5" s="1"/>
  <c r="E50" i="5"/>
  <c r="D50" i="5"/>
  <c r="F50" i="5" s="1"/>
  <c r="E49" i="5"/>
  <c r="D49" i="5"/>
  <c r="F49" i="5" s="1"/>
  <c r="E48" i="5"/>
  <c r="D48" i="5"/>
  <c r="F48" i="5" s="1"/>
  <c r="E47" i="5"/>
  <c r="D47" i="5"/>
  <c r="F47" i="5" s="1"/>
  <c r="E46" i="5"/>
  <c r="D46" i="5"/>
  <c r="F46" i="5" s="1"/>
  <c r="E45" i="5"/>
  <c r="D45" i="5"/>
  <c r="F45" i="5" s="1"/>
  <c r="E44" i="5"/>
  <c r="D44" i="5"/>
  <c r="F44" i="5" s="1"/>
  <c r="E43" i="5"/>
  <c r="D43" i="5"/>
  <c r="F43" i="5" s="1"/>
  <c r="E42" i="5"/>
  <c r="D42" i="5"/>
  <c r="F42" i="5" s="1"/>
  <c r="E41" i="5"/>
  <c r="D41" i="5"/>
  <c r="F41" i="5" s="1"/>
  <c r="E40" i="5"/>
  <c r="D40" i="5"/>
  <c r="F40" i="5" s="1"/>
  <c r="E39" i="5"/>
  <c r="D39" i="5"/>
  <c r="F39" i="5" s="1"/>
  <c r="E38" i="5"/>
  <c r="D38" i="5"/>
  <c r="F38" i="5" s="1"/>
  <c r="E37" i="5"/>
  <c r="D37" i="5"/>
  <c r="E36" i="5"/>
  <c r="D36" i="5"/>
  <c r="F36" i="5" s="1"/>
  <c r="E35" i="5"/>
  <c r="D35" i="5"/>
  <c r="F35" i="5" s="1"/>
  <c r="E34" i="5"/>
  <c r="D34" i="5"/>
  <c r="F34" i="5" s="1"/>
  <c r="E33" i="5"/>
  <c r="D33" i="5"/>
  <c r="F33" i="5" s="1"/>
  <c r="E32" i="5"/>
  <c r="D32" i="5"/>
  <c r="F32" i="5" s="1"/>
  <c r="E31" i="5"/>
  <c r="D31" i="5"/>
  <c r="F31" i="5" s="1"/>
  <c r="E30" i="5"/>
  <c r="D30" i="5"/>
  <c r="F30" i="5" s="1"/>
  <c r="E29" i="5"/>
  <c r="D29" i="5"/>
  <c r="F29" i="5" s="1"/>
  <c r="E28" i="5"/>
  <c r="D28" i="5"/>
  <c r="F28" i="5" s="1"/>
  <c r="E27" i="5"/>
  <c r="D27" i="5"/>
  <c r="F27" i="5" s="1"/>
  <c r="E26" i="5"/>
  <c r="D26" i="5"/>
  <c r="F26" i="5" s="1"/>
  <c r="E25" i="5"/>
  <c r="D25" i="5"/>
  <c r="E24" i="5"/>
  <c r="D24" i="5"/>
  <c r="F24" i="5" s="1"/>
  <c r="E23" i="5"/>
  <c r="D23" i="5"/>
  <c r="F23" i="5" s="1"/>
  <c r="E22" i="5"/>
  <c r="D22" i="5"/>
  <c r="E21" i="5"/>
  <c r="D21" i="5"/>
  <c r="E20" i="5"/>
  <c r="D20" i="5"/>
  <c r="F20" i="5" s="1"/>
  <c r="E19" i="5"/>
  <c r="D19" i="5"/>
  <c r="F19" i="5" s="1"/>
  <c r="E18" i="5"/>
  <c r="D18" i="5"/>
  <c r="F18" i="5" s="1"/>
  <c r="E17" i="5"/>
  <c r="D17" i="5"/>
  <c r="F17" i="5" s="1"/>
  <c r="E16" i="5"/>
  <c r="D16" i="5"/>
  <c r="F16" i="5" s="1"/>
  <c r="E15" i="5"/>
  <c r="D15" i="5"/>
  <c r="F15" i="5" s="1"/>
  <c r="E14" i="5"/>
  <c r="D14" i="5"/>
  <c r="F14" i="5" s="1"/>
  <c r="E13" i="5"/>
  <c r="D13" i="5"/>
  <c r="E12" i="5"/>
  <c r="D12" i="5"/>
  <c r="F12" i="5" s="1"/>
  <c r="E11" i="5"/>
  <c r="D11" i="5"/>
  <c r="F11" i="5" s="1"/>
  <c r="E10" i="5"/>
  <c r="D10" i="5"/>
  <c r="F10" i="5" s="1"/>
  <c r="E9" i="5"/>
  <c r="D9" i="5"/>
  <c r="F9" i="5" s="1"/>
  <c r="E8" i="5"/>
  <c r="D8" i="5"/>
  <c r="E7" i="5"/>
  <c r="D7" i="5"/>
  <c r="F7" i="5" s="1"/>
  <c r="E6" i="5"/>
  <c r="D6" i="5"/>
  <c r="F6" i="5" s="1"/>
  <c r="E5" i="5"/>
  <c r="D5" i="5"/>
  <c r="F5" i="5" s="1"/>
  <c r="B26" i="4"/>
  <c r="B25" i="4"/>
  <c r="B24" i="4"/>
  <c r="B23" i="4"/>
  <c r="B22" i="4"/>
  <c r="B21" i="4"/>
  <c r="B20" i="4"/>
  <c r="B19" i="4"/>
  <c r="B18" i="4"/>
  <c r="B17" i="4"/>
  <c r="B16" i="4"/>
  <c r="B15" i="4"/>
  <c r="B14" i="4"/>
  <c r="B13" i="4"/>
  <c r="B12" i="4"/>
  <c r="B11" i="4"/>
  <c r="B10" i="4"/>
  <c r="B9" i="4"/>
  <c r="B8" i="4"/>
  <c r="B7" i="4"/>
  <c r="B27" i="4" s="1"/>
  <c r="G33" i="3"/>
  <c r="F33" i="3"/>
  <c r="C33" i="3"/>
  <c r="B33" i="3"/>
  <c r="D33" i="3" s="1"/>
  <c r="G32" i="3"/>
  <c r="F32" i="3"/>
  <c r="C32" i="3"/>
  <c r="B32" i="3"/>
  <c r="D32" i="3" s="1"/>
  <c r="G31" i="3"/>
  <c r="F31" i="3"/>
  <c r="C31" i="3"/>
  <c r="B31" i="3"/>
  <c r="D31" i="3" s="1"/>
  <c r="G30" i="3"/>
  <c r="M30" i="3" s="1"/>
  <c r="F30" i="3"/>
  <c r="C30" i="3"/>
  <c r="B30" i="3"/>
  <c r="D30" i="3" s="1"/>
  <c r="G29" i="3"/>
  <c r="F29" i="3"/>
  <c r="C29" i="3"/>
  <c r="B29" i="3"/>
  <c r="D29" i="3" s="1"/>
  <c r="G28" i="3"/>
  <c r="F28" i="3"/>
  <c r="C28" i="3"/>
  <c r="B28" i="3"/>
  <c r="G27" i="3"/>
  <c r="F27" i="3"/>
  <c r="C27" i="3"/>
  <c r="B27" i="3"/>
  <c r="D27" i="3" s="1"/>
  <c r="G26" i="3"/>
  <c r="F26" i="3"/>
  <c r="C26" i="3"/>
  <c r="B26" i="3"/>
  <c r="G25" i="3"/>
  <c r="F25" i="3"/>
  <c r="C25" i="3"/>
  <c r="B25" i="3"/>
  <c r="G24" i="3"/>
  <c r="F24" i="3"/>
  <c r="C24" i="3"/>
  <c r="B24" i="3"/>
  <c r="G23" i="3"/>
  <c r="F23" i="3"/>
  <c r="C23" i="3"/>
  <c r="B23" i="3"/>
  <c r="G22" i="3"/>
  <c r="F22" i="3"/>
  <c r="C22" i="3"/>
  <c r="B22" i="3"/>
  <c r="G21" i="3"/>
  <c r="F21" i="3"/>
  <c r="C21" i="3"/>
  <c r="B21" i="3"/>
  <c r="D21" i="3" s="1"/>
  <c r="G20" i="3"/>
  <c r="F20" i="3"/>
  <c r="C20" i="3"/>
  <c r="B20" i="3"/>
  <c r="D20" i="3" s="1"/>
  <c r="G19" i="3"/>
  <c r="F19" i="3"/>
  <c r="C19" i="3"/>
  <c r="B19" i="3"/>
  <c r="G18" i="3"/>
  <c r="F18" i="3"/>
  <c r="C18" i="3"/>
  <c r="B18" i="3"/>
  <c r="G17" i="3"/>
  <c r="F17" i="3"/>
  <c r="C17" i="3"/>
  <c r="B17" i="3"/>
  <c r="G16" i="3"/>
  <c r="F16" i="3"/>
  <c r="C16" i="3"/>
  <c r="B16" i="3"/>
  <c r="D16" i="3" s="1"/>
  <c r="G15" i="3"/>
  <c r="F15" i="3"/>
  <c r="C15" i="3"/>
  <c r="B15" i="3"/>
  <c r="G14" i="3"/>
  <c r="F14" i="3"/>
  <c r="C14" i="3"/>
  <c r="C34" i="3" s="1"/>
  <c r="E8" i="3" s="1"/>
  <c r="B14" i="3"/>
  <c r="C10" i="3"/>
  <c r="C9" i="3"/>
  <c r="G33" i="2"/>
  <c r="F33" i="2"/>
  <c r="C33" i="2"/>
  <c r="B33" i="2"/>
  <c r="D33" i="2" s="1"/>
  <c r="G32" i="2"/>
  <c r="F32" i="2"/>
  <c r="C32" i="2"/>
  <c r="B32" i="2"/>
  <c r="D32" i="2" s="1"/>
  <c r="G31" i="2"/>
  <c r="F31" i="2"/>
  <c r="C31" i="2"/>
  <c r="B31" i="2"/>
  <c r="D31" i="2" s="1"/>
  <c r="G30" i="2"/>
  <c r="M30" i="2" s="1"/>
  <c r="F30" i="2"/>
  <c r="C30" i="2"/>
  <c r="B30" i="2"/>
  <c r="G29" i="2"/>
  <c r="F29" i="2"/>
  <c r="C29" i="2"/>
  <c r="B29" i="2"/>
  <c r="G28" i="2"/>
  <c r="F28" i="2"/>
  <c r="C28" i="2"/>
  <c r="B28" i="2"/>
  <c r="D28" i="2" s="1"/>
  <c r="G27" i="2"/>
  <c r="F27" i="2"/>
  <c r="C27" i="2"/>
  <c r="B27" i="2"/>
  <c r="D27" i="2" s="1"/>
  <c r="G26" i="2"/>
  <c r="F26" i="2"/>
  <c r="C26" i="2"/>
  <c r="B26" i="2"/>
  <c r="D26" i="2" s="1"/>
  <c r="G25" i="2"/>
  <c r="F25" i="2"/>
  <c r="C25" i="2"/>
  <c r="B25" i="2"/>
  <c r="D25" i="2" s="1"/>
  <c r="G24" i="2"/>
  <c r="F24" i="2"/>
  <c r="C24" i="2"/>
  <c r="B24" i="2"/>
  <c r="G23" i="2"/>
  <c r="F23" i="2"/>
  <c r="C23" i="2"/>
  <c r="B23" i="2"/>
  <c r="G22" i="2"/>
  <c r="F22" i="2"/>
  <c r="C22" i="2"/>
  <c r="B22" i="2"/>
  <c r="G21" i="2"/>
  <c r="F21" i="2"/>
  <c r="C21" i="2"/>
  <c r="B21" i="2"/>
  <c r="G20" i="2"/>
  <c r="F20" i="2"/>
  <c r="C20" i="2"/>
  <c r="B20" i="2"/>
  <c r="G19" i="2"/>
  <c r="F19" i="2"/>
  <c r="C19" i="2"/>
  <c r="B19" i="2"/>
  <c r="D19" i="2" s="1"/>
  <c r="G18" i="2"/>
  <c r="F18" i="2"/>
  <c r="C18" i="2"/>
  <c r="B18" i="2"/>
  <c r="D18" i="2" s="1"/>
  <c r="G17" i="2"/>
  <c r="F17" i="2"/>
  <c r="C17" i="2"/>
  <c r="B17" i="2"/>
  <c r="D17" i="2" s="1"/>
  <c r="G16" i="2"/>
  <c r="F16" i="2"/>
  <c r="C16" i="2"/>
  <c r="B16" i="2"/>
  <c r="G15" i="2"/>
  <c r="F15" i="2"/>
  <c r="C15" i="2"/>
  <c r="B15" i="2"/>
  <c r="G14" i="2"/>
  <c r="F14" i="2"/>
  <c r="C14" i="2"/>
  <c r="C34" i="2" s="1"/>
  <c r="E8" i="2" s="1"/>
  <c r="B14" i="2"/>
  <c r="C10" i="2"/>
  <c r="C9" i="2"/>
  <c r="F155" i="6" l="1"/>
  <c r="F146" i="6"/>
  <c r="F134" i="6"/>
  <c r="F133" i="6"/>
  <c r="F117" i="6"/>
  <c r="F115" i="6"/>
  <c r="F90" i="6"/>
  <c r="F89" i="6"/>
  <c r="F85" i="6"/>
  <c r="F75" i="6"/>
  <c r="F66" i="6"/>
  <c r="F52" i="6"/>
  <c r="F50" i="6"/>
  <c r="F41" i="6"/>
  <c r="F26" i="6"/>
  <c r="F198" i="5"/>
  <c r="F197" i="5"/>
  <c r="F184" i="5"/>
  <c r="F159" i="5"/>
  <c r="F146" i="5"/>
  <c r="F137" i="5"/>
  <c r="F135" i="5"/>
  <c r="F101" i="5"/>
  <c r="F88" i="5"/>
  <c r="F87" i="5"/>
  <c r="F86" i="5"/>
  <c r="F85" i="5"/>
  <c r="F59" i="5"/>
  <c r="F37" i="5"/>
  <c r="F25" i="5"/>
  <c r="F22" i="5"/>
  <c r="F21" i="5"/>
  <c r="F13" i="5"/>
  <c r="F8" i="5"/>
  <c r="D19" i="3"/>
  <c r="D18" i="3"/>
  <c r="D30" i="2"/>
  <c r="D29" i="2"/>
  <c r="D23" i="2"/>
  <c r="D16" i="2"/>
  <c r="D15" i="2"/>
  <c r="L223" i="9"/>
  <c r="F107" i="5"/>
  <c r="F56" i="5"/>
  <c r="F55" i="5"/>
  <c r="D25" i="3"/>
  <c r="D23" i="3"/>
  <c r="D21" i="2"/>
  <c r="AM115" i="9"/>
  <c r="R126" i="8" s="1"/>
  <c r="W115" i="9"/>
  <c r="H126" i="8" s="1"/>
  <c r="AM110" i="9"/>
  <c r="R107" i="8" s="1"/>
  <c r="W93" i="9"/>
  <c r="H21" i="8" s="1"/>
  <c r="D28" i="3"/>
  <c r="D26" i="3"/>
  <c r="D24" i="3"/>
  <c r="D22" i="3"/>
  <c r="D17" i="3"/>
  <c r="D15" i="3"/>
  <c r="D22" i="2"/>
  <c r="D20" i="2"/>
  <c r="BC237" i="9"/>
  <c r="AB184" i="8" s="1"/>
  <c r="AU237" i="9"/>
  <c r="W184" i="8" s="1"/>
  <c r="AM237" i="9"/>
  <c r="R184" i="8" s="1"/>
  <c r="AE237" i="9"/>
  <c r="M184" i="8" s="1"/>
  <c r="W237" i="9"/>
  <c r="H184" i="8" s="1"/>
  <c r="BC225" i="9"/>
  <c r="AB179" i="8" s="1"/>
  <c r="AU225" i="9"/>
  <c r="W179" i="8" s="1"/>
  <c r="AM225" i="9"/>
  <c r="R179" i="8" s="1"/>
  <c r="AE225" i="9"/>
  <c r="M179" i="8" s="1"/>
  <c r="W225" i="9"/>
  <c r="H179" i="8" s="1"/>
  <c r="BC224" i="9"/>
  <c r="AB201" i="8" s="1"/>
  <c r="AU224" i="9"/>
  <c r="W201" i="8" s="1"/>
  <c r="AM224" i="9"/>
  <c r="R201" i="8" s="1"/>
  <c r="AE224" i="9"/>
  <c r="M201" i="8" s="1"/>
  <c r="W224" i="9"/>
  <c r="H201" i="8" s="1"/>
  <c r="BC223" i="9"/>
  <c r="AB200" i="8" s="1"/>
  <c r="AU223" i="9"/>
  <c r="W200" i="8" s="1"/>
  <c r="AM223" i="9"/>
  <c r="R200" i="8" s="1"/>
  <c r="AE223" i="9"/>
  <c r="M200" i="8" s="1"/>
  <c r="W223" i="9"/>
  <c r="H200" i="8" s="1"/>
  <c r="W194" i="9"/>
  <c r="H197" i="8" s="1"/>
  <c r="W161" i="9"/>
  <c r="H196" i="8" s="1"/>
  <c r="F187" i="5"/>
  <c r="F117" i="5"/>
  <c r="D24" i="2"/>
  <c r="G73" i="5"/>
  <c r="G53" i="6"/>
  <c r="AW22" i="9"/>
  <c r="AY22" i="9" s="1"/>
  <c r="AO22" i="9"/>
  <c r="AG22" i="9"/>
  <c r="Y22" i="9"/>
  <c r="AW70" i="9"/>
  <c r="AO70" i="9"/>
  <c r="AG70" i="9"/>
  <c r="Y70" i="9"/>
  <c r="AX192" i="9"/>
  <c r="BI192" i="9"/>
  <c r="AP78" i="9"/>
  <c r="BH78" i="9"/>
  <c r="BG18" i="9"/>
  <c r="AH18" i="9"/>
  <c r="J967" i="11"/>
  <c r="K967" i="11"/>
  <c r="K965" i="11"/>
  <c r="H155" i="9"/>
  <c r="J155" i="9" s="1"/>
  <c r="V155" i="9" s="1"/>
  <c r="G176" i="8" s="1"/>
  <c r="I155" i="9"/>
  <c r="K155" i="9" s="1"/>
  <c r="W155" i="9" s="1"/>
  <c r="H176" i="8" s="1"/>
  <c r="J965" i="11"/>
  <c r="K958" i="11"/>
  <c r="J958" i="11"/>
  <c r="H156" i="9"/>
  <c r="J156" i="9" s="1"/>
  <c r="V156" i="9" s="1"/>
  <c r="G178" i="8" s="1"/>
  <c r="I156" i="9"/>
  <c r="K156" i="9" s="1"/>
  <c r="W156" i="9" s="1"/>
  <c r="H178" i="8" s="1"/>
  <c r="I18" i="9"/>
  <c r="K18" i="9" s="1"/>
  <c r="J951" i="11"/>
  <c r="K951" i="11"/>
  <c r="H18" i="9"/>
  <c r="J18" i="9" s="1"/>
  <c r="L18" i="9" s="1"/>
  <c r="J943" i="11"/>
  <c r="K943" i="11"/>
  <c r="J935" i="11"/>
  <c r="H41" i="9"/>
  <c r="J41" i="9" s="1"/>
  <c r="I41" i="9"/>
  <c r="K41" i="9" s="1"/>
  <c r="K935" i="11"/>
  <c r="J926" i="11"/>
  <c r="H148" i="9"/>
  <c r="J148" i="9" s="1"/>
  <c r="V148" i="9" s="1"/>
  <c r="G169" i="8" s="1"/>
  <c r="I148" i="9"/>
  <c r="K148" i="9" s="1"/>
  <c r="W148" i="9" s="1"/>
  <c r="H169" i="8" s="1"/>
  <c r="K926" i="11"/>
  <c r="J923" i="11"/>
  <c r="K923" i="11"/>
  <c r="H132" i="9"/>
  <c r="J132" i="9" s="1"/>
  <c r="V132" i="9" s="1"/>
  <c r="G129" i="8" s="1"/>
  <c r="I132" i="9"/>
  <c r="K132" i="9" s="1"/>
  <c r="W132" i="9" s="1"/>
  <c r="H129" i="8" s="1"/>
  <c r="H186" i="9"/>
  <c r="J186" i="9" s="1"/>
  <c r="V186" i="9" s="1"/>
  <c r="G180" i="8" s="1"/>
  <c r="I186" i="9"/>
  <c r="K186" i="9" s="1"/>
  <c r="K920" i="11"/>
  <c r="J920" i="11"/>
  <c r="K918" i="11"/>
  <c r="J918" i="11"/>
  <c r="H187" i="9"/>
  <c r="J187" i="9" s="1"/>
  <c r="I187" i="9"/>
  <c r="K187" i="9" s="1"/>
  <c r="J916" i="11"/>
  <c r="H195" i="9"/>
  <c r="J195" i="9" s="1"/>
  <c r="L195" i="9" s="1"/>
  <c r="J914" i="11"/>
  <c r="H194" i="9"/>
  <c r="J194" i="9" s="1"/>
  <c r="L194" i="9" s="1"/>
  <c r="K912" i="11"/>
  <c r="I191" i="9"/>
  <c r="K191" i="9" s="1"/>
  <c r="W191" i="9" s="1"/>
  <c r="H191" i="8" s="1"/>
  <c r="J912" i="11"/>
  <c r="H191" i="9"/>
  <c r="J191" i="9" s="1"/>
  <c r="J909" i="11"/>
  <c r="K909" i="11"/>
  <c r="H193" i="9"/>
  <c r="J193" i="9" s="1"/>
  <c r="L193" i="9" s="1"/>
  <c r="J907" i="11"/>
  <c r="K905" i="11"/>
  <c r="H196" i="9"/>
  <c r="J196" i="9" s="1"/>
  <c r="J905" i="11"/>
  <c r="I196" i="9"/>
  <c r="K196" i="9" s="1"/>
  <c r="J903" i="11"/>
  <c r="K903" i="11"/>
  <c r="H134" i="9"/>
  <c r="J134" i="9" s="1"/>
  <c r="V134" i="9" s="1"/>
  <c r="G133" i="8" s="1"/>
  <c r="I134" i="9"/>
  <c r="K134" i="9" s="1"/>
  <c r="W134" i="9" s="1"/>
  <c r="H133" i="8" s="1"/>
  <c r="H131" i="9"/>
  <c r="J131" i="9" s="1"/>
  <c r="V131" i="9" s="1"/>
  <c r="G119" i="8" s="1"/>
  <c r="I131" i="9"/>
  <c r="K131" i="9" s="1"/>
  <c r="W131" i="9" s="1"/>
  <c r="H119" i="8" s="1"/>
  <c r="J900" i="11"/>
  <c r="K900" i="11"/>
  <c r="J897" i="11"/>
  <c r="K897" i="11"/>
  <c r="I78" i="9"/>
  <c r="K78" i="9" s="1"/>
  <c r="W78" i="9" s="1"/>
  <c r="H36" i="8" s="1"/>
  <c r="H78" i="9"/>
  <c r="J78" i="9" s="1"/>
  <c r="H82" i="9"/>
  <c r="J82" i="9" s="1"/>
  <c r="I82" i="9"/>
  <c r="K82" i="9" s="1"/>
  <c r="W82" i="9" s="1"/>
  <c r="H58" i="8" s="1"/>
  <c r="J895" i="11"/>
  <c r="K895" i="11"/>
  <c r="J893" i="11"/>
  <c r="K893" i="11"/>
  <c r="H87" i="9"/>
  <c r="J87" i="9" s="1"/>
  <c r="V87" i="9" s="1"/>
  <c r="G112" i="8" s="1"/>
  <c r="I87" i="9"/>
  <c r="K87" i="9" s="1"/>
  <c r="W87" i="9" s="1"/>
  <c r="H112" i="8" s="1"/>
  <c r="I85" i="9"/>
  <c r="K85" i="9" s="1"/>
  <c r="W85" i="9" s="1"/>
  <c r="H83" i="8" s="1"/>
  <c r="H85" i="9"/>
  <c r="J85" i="9" s="1"/>
  <c r="J891" i="11"/>
  <c r="K891" i="11"/>
  <c r="K889" i="11"/>
  <c r="I83" i="9"/>
  <c r="K83" i="9" s="1"/>
  <c r="W83" i="9" s="1"/>
  <c r="H81" i="8" s="1"/>
  <c r="J889" i="11"/>
  <c r="H83" i="9"/>
  <c r="J83" i="9" s="1"/>
  <c r="V83" i="9" s="1"/>
  <c r="G81" i="8" s="1"/>
  <c r="J887" i="11"/>
  <c r="K887" i="11"/>
  <c r="I84" i="9"/>
  <c r="K84" i="9" s="1"/>
  <c r="W84" i="9" s="1"/>
  <c r="H84" i="8" s="1"/>
  <c r="H84" i="9"/>
  <c r="J84" i="9" s="1"/>
  <c r="K885" i="11"/>
  <c r="J885" i="11"/>
  <c r="I90" i="9"/>
  <c r="K90" i="9" s="1"/>
  <c r="W90" i="9" s="1"/>
  <c r="H147" i="8" s="1"/>
  <c r="H90" i="9"/>
  <c r="J90" i="9" s="1"/>
  <c r="V90" i="9" s="1"/>
  <c r="G147" i="8" s="1"/>
  <c r="K883" i="11"/>
  <c r="I88" i="9"/>
  <c r="K88" i="9" s="1"/>
  <c r="W88" i="9" s="1"/>
  <c r="H118" i="8" s="1"/>
  <c r="J883" i="11"/>
  <c r="H88" i="9"/>
  <c r="J88" i="9" s="1"/>
  <c r="J881" i="11"/>
  <c r="H24" i="9"/>
  <c r="J24" i="9" s="1"/>
  <c r="I24" i="9"/>
  <c r="K24" i="9" s="1"/>
  <c r="W24" i="9" s="1"/>
  <c r="H13" i="8" s="1"/>
  <c r="K881" i="11"/>
  <c r="J872" i="11"/>
  <c r="K872" i="11"/>
  <c r="H79" i="9"/>
  <c r="J79" i="9" s="1"/>
  <c r="V79" i="9" s="1"/>
  <c r="G39" i="8" s="1"/>
  <c r="I79" i="9"/>
  <c r="K79" i="9" s="1"/>
  <c r="W79" i="9" s="1"/>
  <c r="H39" i="8" s="1"/>
  <c r="H77" i="9"/>
  <c r="J77" i="9" s="1"/>
  <c r="V77" i="9" s="1"/>
  <c r="G32" i="8" s="1"/>
  <c r="J868" i="11"/>
  <c r="K868" i="11"/>
  <c r="I77" i="9"/>
  <c r="K77" i="9" s="1"/>
  <c r="W77" i="9" s="1"/>
  <c r="H32" i="8" s="1"/>
  <c r="J864" i="11"/>
  <c r="K864" i="11"/>
  <c r="H44" i="9"/>
  <c r="J44" i="9" s="1"/>
  <c r="V44" i="9" s="1"/>
  <c r="G56" i="8" s="1"/>
  <c r="I44" i="9"/>
  <c r="K44" i="9" s="1"/>
  <c r="H30" i="9"/>
  <c r="J30" i="9" s="1"/>
  <c r="K857" i="11"/>
  <c r="J857" i="11"/>
  <c r="I30" i="9"/>
  <c r="K30" i="9" s="1"/>
  <c r="H208" i="9"/>
  <c r="J208" i="9" s="1"/>
  <c r="J849" i="11"/>
  <c r="I208" i="9"/>
  <c r="K208" i="9" s="1"/>
  <c r="W208" i="9" s="1"/>
  <c r="H82" i="8" s="1"/>
  <c r="K849" i="11"/>
  <c r="K844" i="11"/>
  <c r="H236" i="9"/>
  <c r="J236" i="9" s="1"/>
  <c r="I236" i="9"/>
  <c r="K236" i="9" s="1"/>
  <c r="W236" i="9" s="1"/>
  <c r="H146" i="8" s="1"/>
  <c r="J844" i="11"/>
  <c r="H213" i="9"/>
  <c r="J213" i="9" s="1"/>
  <c r="J842" i="11"/>
  <c r="K842" i="11"/>
  <c r="I213" i="9"/>
  <c r="K213" i="9" s="1"/>
  <c r="W213" i="9" s="1"/>
  <c r="H122" i="8" s="1"/>
  <c r="K833" i="11"/>
  <c r="J833" i="11"/>
  <c r="I27" i="9"/>
  <c r="K27" i="9" s="1"/>
  <c r="W27" i="9" s="1"/>
  <c r="H43" i="8" s="1"/>
  <c r="H27" i="9"/>
  <c r="J27" i="9" s="1"/>
  <c r="V27" i="9" s="1"/>
  <c r="G43" i="8" s="1"/>
  <c r="H119" i="9"/>
  <c r="J119" i="9" s="1"/>
  <c r="V119" i="9" s="1"/>
  <c r="G142" i="8" s="1"/>
  <c r="J823" i="11"/>
  <c r="K823" i="11"/>
  <c r="I119" i="9"/>
  <c r="K119" i="9" s="1"/>
  <c r="W119" i="9" s="1"/>
  <c r="H142" i="8" s="1"/>
  <c r="H69" i="9"/>
  <c r="J69" i="9" s="1"/>
  <c r="V69" i="9" s="1"/>
  <c r="G6" i="8" s="1"/>
  <c r="I71" i="9"/>
  <c r="K71" i="9" s="1"/>
  <c r="J821" i="11"/>
  <c r="K821" i="11"/>
  <c r="I69" i="9"/>
  <c r="K69" i="9" s="1"/>
  <c r="H72" i="9"/>
  <c r="J72" i="9" s="1"/>
  <c r="H71" i="9"/>
  <c r="J71" i="9" s="1"/>
  <c r="I72" i="9"/>
  <c r="K72" i="9" s="1"/>
  <c r="W72" i="9" s="1"/>
  <c r="H202" i="8" s="1"/>
  <c r="K817" i="11"/>
  <c r="H234" i="9"/>
  <c r="J234" i="9" s="1"/>
  <c r="J817" i="11"/>
  <c r="I234" i="9"/>
  <c r="K234" i="9" s="1"/>
  <c r="J815" i="11"/>
  <c r="H235" i="9"/>
  <c r="J235" i="9" s="1"/>
  <c r="L235" i="9" s="1"/>
  <c r="H16" i="9"/>
  <c r="J16" i="9" s="1"/>
  <c r="V16" i="9" s="1"/>
  <c r="G22" i="8" s="1"/>
  <c r="I16" i="9"/>
  <c r="K16" i="9" s="1"/>
  <c r="J813" i="11"/>
  <c r="K813" i="11"/>
  <c r="J806" i="11"/>
  <c r="H237" i="9"/>
  <c r="J237" i="9" s="1"/>
  <c r="L237" i="9" s="1"/>
  <c r="J804" i="11"/>
  <c r="H141" i="9"/>
  <c r="J141" i="9" s="1"/>
  <c r="I141" i="9"/>
  <c r="K141" i="9" s="1"/>
  <c r="W141" i="9" s="1"/>
  <c r="H152" i="8" s="1"/>
  <c r="K804" i="11"/>
  <c r="I118" i="9"/>
  <c r="K118" i="9" s="1"/>
  <c r="W118" i="9" s="1"/>
  <c r="H131" i="8" s="1"/>
  <c r="H118" i="9"/>
  <c r="J118" i="9" s="1"/>
  <c r="V118" i="9" s="1"/>
  <c r="G131" i="8" s="1"/>
  <c r="J801" i="11"/>
  <c r="K801" i="11"/>
  <c r="J799" i="11"/>
  <c r="K799" i="11"/>
  <c r="I113" i="9"/>
  <c r="K113" i="9" s="1"/>
  <c r="W113" i="9" s="1"/>
  <c r="H115" i="8" s="1"/>
  <c r="H113" i="9"/>
  <c r="J113" i="9" s="1"/>
  <c r="V113" i="9" s="1"/>
  <c r="G115" i="8" s="1"/>
  <c r="J797" i="11"/>
  <c r="K797" i="11"/>
  <c r="H140" i="9"/>
  <c r="J140" i="9" s="1"/>
  <c r="V140" i="9" s="1"/>
  <c r="G150" i="8" s="1"/>
  <c r="I140" i="9"/>
  <c r="K140" i="9" s="1"/>
  <c r="W140" i="9" s="1"/>
  <c r="H150" i="8" s="1"/>
  <c r="J794" i="11"/>
  <c r="K794" i="11"/>
  <c r="H137" i="9"/>
  <c r="J137" i="9" s="1"/>
  <c r="V137" i="9" s="1"/>
  <c r="G145" i="8" s="1"/>
  <c r="I137" i="9"/>
  <c r="K137" i="9" s="1"/>
  <c r="W137" i="9" s="1"/>
  <c r="H145" i="8" s="1"/>
  <c r="H153" i="9"/>
  <c r="J153" i="9" s="1"/>
  <c r="V153" i="9" s="1"/>
  <c r="G175" i="8" s="1"/>
  <c r="I153" i="9"/>
  <c r="K153" i="9" s="1"/>
  <c r="W153" i="9" s="1"/>
  <c r="H175" i="8" s="1"/>
  <c r="J791" i="11"/>
  <c r="K791" i="11"/>
  <c r="K789" i="11"/>
  <c r="J789" i="11"/>
  <c r="J787" i="11"/>
  <c r="H93" i="9"/>
  <c r="J93" i="9" s="1"/>
  <c r="J780" i="11"/>
  <c r="H95" i="9"/>
  <c r="J95" i="9" s="1"/>
  <c r="J777" i="11"/>
  <c r="H96" i="9"/>
  <c r="J96" i="9" s="1"/>
  <c r="K771" i="11"/>
  <c r="I117" i="9"/>
  <c r="K117" i="9" s="1"/>
  <c r="J769" i="11"/>
  <c r="K769" i="11"/>
  <c r="H123" i="9"/>
  <c r="J123" i="9" s="1"/>
  <c r="V123" i="9" s="1"/>
  <c r="G162" i="8" s="1"/>
  <c r="I123" i="9"/>
  <c r="K123" i="9" s="1"/>
  <c r="W123" i="9" s="1"/>
  <c r="H162" i="8" s="1"/>
  <c r="H122" i="9"/>
  <c r="J122" i="9" s="1"/>
  <c r="J767" i="11"/>
  <c r="K767" i="11"/>
  <c r="I122" i="9"/>
  <c r="K122" i="9" s="1"/>
  <c r="W122" i="9" s="1"/>
  <c r="H160" i="8" s="1"/>
  <c r="J765" i="11"/>
  <c r="K765" i="11"/>
  <c r="J762" i="11"/>
  <c r="K762" i="11"/>
  <c r="H94" i="9"/>
  <c r="J94" i="9" s="1"/>
  <c r="J759" i="11"/>
  <c r="J756" i="11"/>
  <c r="K756" i="11"/>
  <c r="H53" i="9"/>
  <c r="J53" i="9" s="1"/>
  <c r="V53" i="9" s="1"/>
  <c r="G38" i="8" s="1"/>
  <c r="I53" i="9"/>
  <c r="K53" i="9" s="1"/>
  <c r="W53" i="9" s="1"/>
  <c r="H38" i="8" s="1"/>
  <c r="K751" i="11"/>
  <c r="J751" i="11"/>
  <c r="H64" i="9"/>
  <c r="J64" i="9" s="1"/>
  <c r="V64" i="9" s="1"/>
  <c r="G88" i="8" s="1"/>
  <c r="I64" i="9"/>
  <c r="K64" i="9" s="1"/>
  <c r="W64" i="9" s="1"/>
  <c r="H88" i="8" s="1"/>
  <c r="K746" i="11"/>
  <c r="J746" i="11"/>
  <c r="I66" i="9"/>
  <c r="K66" i="9" s="1"/>
  <c r="W66" i="9" s="1"/>
  <c r="H106" i="8" s="1"/>
  <c r="H66" i="9"/>
  <c r="J66" i="9" s="1"/>
  <c r="V66" i="9" s="1"/>
  <c r="G106" i="8" s="1"/>
  <c r="K741" i="11"/>
  <c r="H231" i="9"/>
  <c r="J231" i="9" s="1"/>
  <c r="I231" i="9"/>
  <c r="K231" i="9" s="1"/>
  <c r="J741" i="11"/>
  <c r="K739" i="11"/>
  <c r="H165" i="9"/>
  <c r="J165" i="9" s="1"/>
  <c r="V165" i="9" s="1"/>
  <c r="G57" i="8" s="1"/>
  <c r="I165" i="9"/>
  <c r="K165" i="9" s="1"/>
  <c r="W165" i="9" s="1"/>
  <c r="H57" i="8" s="1"/>
  <c r="J739" i="11"/>
  <c r="J731" i="11"/>
  <c r="K731" i="11"/>
  <c r="H166" i="9"/>
  <c r="J166" i="9" s="1"/>
  <c r="V166" i="9" s="1"/>
  <c r="G64" i="8" s="1"/>
  <c r="I166" i="9"/>
  <c r="K166" i="9" s="1"/>
  <c r="W166" i="9" s="1"/>
  <c r="H64" i="8" s="1"/>
  <c r="K725" i="11"/>
  <c r="J725" i="11"/>
  <c r="H167" i="9"/>
  <c r="J167" i="9" s="1"/>
  <c r="I167" i="9"/>
  <c r="K167" i="9" s="1"/>
  <c r="W167" i="9" s="1"/>
  <c r="H77" i="8" s="1"/>
  <c r="J721" i="11"/>
  <c r="H104" i="9"/>
  <c r="J104" i="9" s="1"/>
  <c r="J718" i="11"/>
  <c r="H102" i="9"/>
  <c r="J102" i="9" s="1"/>
  <c r="K712" i="11"/>
  <c r="I125" i="9"/>
  <c r="K125" i="9" s="1"/>
  <c r="J710" i="11"/>
  <c r="K710" i="11"/>
  <c r="H143" i="9"/>
  <c r="J143" i="9" s="1"/>
  <c r="V143" i="9" s="1"/>
  <c r="G155" i="8" s="1"/>
  <c r="I143" i="9"/>
  <c r="K143" i="9" s="1"/>
  <c r="W143" i="9" s="1"/>
  <c r="H155" i="8" s="1"/>
  <c r="K707" i="11"/>
  <c r="J707" i="11"/>
  <c r="H169" i="9"/>
  <c r="J169" i="9" s="1"/>
  <c r="V169" i="9" s="1"/>
  <c r="G91" i="8" s="1"/>
  <c r="I169" i="9"/>
  <c r="K169" i="9" s="1"/>
  <c r="K705" i="11"/>
  <c r="I172" i="9"/>
  <c r="K172" i="9" s="1"/>
  <c r="W172" i="9" s="1"/>
  <c r="H100" i="8" s="1"/>
  <c r="J705" i="11"/>
  <c r="H172" i="9"/>
  <c r="J172" i="9" s="1"/>
  <c r="J702" i="11"/>
  <c r="H178" i="9"/>
  <c r="J178" i="9" s="1"/>
  <c r="J699" i="11"/>
  <c r="H184" i="9"/>
  <c r="J184" i="9" s="1"/>
  <c r="J696" i="11"/>
  <c r="H180" i="9"/>
  <c r="J180" i="9" s="1"/>
  <c r="J693" i="11"/>
  <c r="K693" i="11"/>
  <c r="J690" i="11"/>
  <c r="H177" i="9"/>
  <c r="J177" i="9" s="1"/>
  <c r="J687" i="11"/>
  <c r="H185" i="9"/>
  <c r="J185" i="9" s="1"/>
  <c r="J684" i="11"/>
  <c r="H182" i="9"/>
  <c r="J182" i="9" s="1"/>
  <c r="J681" i="11"/>
  <c r="H171" i="9"/>
  <c r="J171" i="9" s="1"/>
  <c r="V171" i="9" s="1"/>
  <c r="G97" i="8" s="1"/>
  <c r="I171" i="9"/>
  <c r="K171" i="9" s="1"/>
  <c r="K681" i="11"/>
  <c r="J678" i="11"/>
  <c r="K678" i="11"/>
  <c r="H170" i="9"/>
  <c r="J170" i="9" s="1"/>
  <c r="I170" i="9"/>
  <c r="K170" i="9" s="1"/>
  <c r="W170" i="9" s="1"/>
  <c r="H95" i="8" s="1"/>
  <c r="H175" i="9"/>
  <c r="J175" i="9" s="1"/>
  <c r="V175" i="9" s="1"/>
  <c r="G109" i="8" s="1"/>
  <c r="I175" i="9"/>
  <c r="K175" i="9" s="1"/>
  <c r="J674" i="11"/>
  <c r="K674" i="11"/>
  <c r="J671" i="11"/>
  <c r="K671" i="11"/>
  <c r="H173" i="9"/>
  <c r="J173" i="9" s="1"/>
  <c r="I173" i="9"/>
  <c r="K173" i="9" s="1"/>
  <c r="W173" i="9" s="1"/>
  <c r="H105" i="8" s="1"/>
  <c r="K667" i="11"/>
  <c r="J667" i="11"/>
  <c r="J664" i="11"/>
  <c r="K664" i="11"/>
  <c r="H189" i="9"/>
  <c r="J189" i="9" s="1"/>
  <c r="V189" i="9" s="1"/>
  <c r="G189" i="8" s="1"/>
  <c r="I189" i="9"/>
  <c r="K189" i="9" s="1"/>
  <c r="W189" i="9" s="1"/>
  <c r="H189" i="8" s="1"/>
  <c r="J660" i="11"/>
  <c r="K660" i="11"/>
  <c r="H174" i="9"/>
  <c r="J174" i="9" s="1"/>
  <c r="V174" i="9" s="1"/>
  <c r="G108" i="8" s="1"/>
  <c r="I174" i="9"/>
  <c r="K174" i="9" s="1"/>
  <c r="J657" i="11"/>
  <c r="H176" i="9"/>
  <c r="J176" i="9" s="1"/>
  <c r="V176" i="9" s="1"/>
  <c r="G116" i="8" s="1"/>
  <c r="I176" i="9"/>
  <c r="K176" i="9" s="1"/>
  <c r="W176" i="9" s="1"/>
  <c r="H116" i="8" s="1"/>
  <c r="K657" i="11"/>
  <c r="K653" i="11"/>
  <c r="H179" i="9"/>
  <c r="J179" i="9" s="1"/>
  <c r="V179" i="9" s="1"/>
  <c r="G134" i="8" s="1"/>
  <c r="I179" i="9"/>
  <c r="K179" i="9" s="1"/>
  <c r="J653" i="11"/>
  <c r="K649" i="11"/>
  <c r="H183" i="9"/>
  <c r="J183" i="9" s="1"/>
  <c r="V183" i="9" s="1"/>
  <c r="G154" i="8" s="1"/>
  <c r="I183" i="9"/>
  <c r="K183" i="9" s="1"/>
  <c r="W183" i="9" s="1"/>
  <c r="H154" i="8" s="1"/>
  <c r="J649" i="11"/>
  <c r="H146" i="9"/>
  <c r="J146" i="9" s="1"/>
  <c r="J645" i="11"/>
  <c r="H207" i="9"/>
  <c r="J207" i="9" s="1"/>
  <c r="V207" i="9" s="1"/>
  <c r="G46" i="8" s="1"/>
  <c r="J642" i="11"/>
  <c r="K642" i="11"/>
  <c r="I207" i="9"/>
  <c r="K207" i="9" s="1"/>
  <c r="K638" i="11"/>
  <c r="J638" i="11"/>
  <c r="I120" i="9"/>
  <c r="K120" i="9" s="1"/>
  <c r="W120" i="9" s="1"/>
  <c r="H153" i="8" s="1"/>
  <c r="H120" i="9"/>
  <c r="J120" i="9" s="1"/>
  <c r="J630" i="11"/>
  <c r="K630" i="11"/>
  <c r="J628" i="11"/>
  <c r="H100" i="9"/>
  <c r="J100" i="9" s="1"/>
  <c r="H98" i="9"/>
  <c r="J98" i="9" s="1"/>
  <c r="J625" i="11"/>
  <c r="J619" i="11"/>
  <c r="K619" i="11"/>
  <c r="K614" i="11"/>
  <c r="I136" i="9"/>
  <c r="K136" i="9" s="1"/>
  <c r="J609" i="11"/>
  <c r="H128" i="9"/>
  <c r="J128" i="9" s="1"/>
  <c r="K604" i="11"/>
  <c r="H149" i="9"/>
  <c r="J149" i="9" s="1"/>
  <c r="I149" i="9"/>
  <c r="K149" i="9" s="1"/>
  <c r="W149" i="9" s="1"/>
  <c r="H168" i="8" s="1"/>
  <c r="J604" i="11"/>
  <c r="I228" i="9"/>
  <c r="K228" i="9" s="1"/>
  <c r="J598" i="11"/>
  <c r="K598" i="11"/>
  <c r="H228" i="9"/>
  <c r="J228" i="9" s="1"/>
  <c r="J596" i="11"/>
  <c r="K596" i="11"/>
  <c r="I218" i="9"/>
  <c r="K218" i="9" s="1"/>
  <c r="H218" i="9"/>
  <c r="J218" i="9" s="1"/>
  <c r="I220" i="9"/>
  <c r="K220" i="9" s="1"/>
  <c r="W220" i="9" s="1"/>
  <c r="H89" i="8" s="1"/>
  <c r="J582" i="11"/>
  <c r="K582" i="11"/>
  <c r="H220" i="9"/>
  <c r="J220" i="9" s="1"/>
  <c r="I219" i="9"/>
  <c r="K219" i="9" s="1"/>
  <c r="W219" i="9" s="1"/>
  <c r="H69" i="8" s="1"/>
  <c r="K567" i="11"/>
  <c r="H219" i="9"/>
  <c r="J219" i="9" s="1"/>
  <c r="J567" i="11"/>
  <c r="K556" i="11"/>
  <c r="I229" i="9"/>
  <c r="K229" i="9" s="1"/>
  <c r="W229" i="9" s="1"/>
  <c r="H74" i="8" s="1"/>
  <c r="J556" i="11"/>
  <c r="H229" i="9"/>
  <c r="J229" i="9" s="1"/>
  <c r="H129" i="9"/>
  <c r="J129" i="9" s="1"/>
  <c r="J554" i="11"/>
  <c r="J547" i="11"/>
  <c r="H142" i="9"/>
  <c r="J142" i="9" s="1"/>
  <c r="J540" i="11"/>
  <c r="K540" i="11"/>
  <c r="H130" i="9"/>
  <c r="J130" i="9" s="1"/>
  <c r="I130" i="9"/>
  <c r="K130" i="9" s="1"/>
  <c r="J534" i="11"/>
  <c r="K534" i="11"/>
  <c r="J530" i="11"/>
  <c r="I50" i="9"/>
  <c r="K50" i="9" s="1"/>
  <c r="H50" i="9"/>
  <c r="J50" i="9" s="1"/>
  <c r="K530" i="11"/>
  <c r="J526" i="11"/>
  <c r="K526" i="11"/>
  <c r="H52" i="9"/>
  <c r="J52" i="9" s="1"/>
  <c r="V52" i="9" s="1"/>
  <c r="G28" i="8" s="1"/>
  <c r="I52" i="9"/>
  <c r="K52" i="9" s="1"/>
  <c r="W52" i="9" s="1"/>
  <c r="H28" i="8" s="1"/>
  <c r="H51" i="9"/>
  <c r="J51" i="9" s="1"/>
  <c r="J522" i="11"/>
  <c r="I51" i="9"/>
  <c r="K51" i="9" s="1"/>
  <c r="W51" i="9" s="1"/>
  <c r="H26" i="8" s="1"/>
  <c r="K522" i="11"/>
  <c r="J518" i="11"/>
  <c r="K518" i="11"/>
  <c r="H31" i="9"/>
  <c r="J31" i="9" s="1"/>
  <c r="I31" i="9"/>
  <c r="K31" i="9" s="1"/>
  <c r="W31" i="9" s="1"/>
  <c r="H24" i="8" s="1"/>
  <c r="K509" i="11"/>
  <c r="I38" i="9"/>
  <c r="K38" i="9" s="1"/>
  <c r="W38" i="9" s="1"/>
  <c r="H63" i="8" s="1"/>
  <c r="H38" i="9"/>
  <c r="J38" i="9" s="1"/>
  <c r="V38" i="9" s="1"/>
  <c r="G63" i="8" s="1"/>
  <c r="J509" i="11"/>
  <c r="J500" i="11"/>
  <c r="K500" i="11"/>
  <c r="H39" i="9"/>
  <c r="J39" i="9" s="1"/>
  <c r="V39" i="9" s="1"/>
  <c r="G72" i="8" s="1"/>
  <c r="I39" i="9"/>
  <c r="K39" i="9" s="1"/>
  <c r="W39" i="9" s="1"/>
  <c r="H72" i="8" s="1"/>
  <c r="J491" i="11"/>
  <c r="K491" i="11"/>
  <c r="I37" i="9"/>
  <c r="K37" i="9" s="1"/>
  <c r="W37" i="9" s="1"/>
  <c r="H53" i="8" s="1"/>
  <c r="H37" i="9"/>
  <c r="J37" i="9" s="1"/>
  <c r="H36" i="9"/>
  <c r="J36" i="9" s="1"/>
  <c r="V36" i="9" s="1"/>
  <c r="G50" i="8" s="1"/>
  <c r="I36" i="9"/>
  <c r="K36" i="9" s="1"/>
  <c r="W36" i="9" s="1"/>
  <c r="H50" i="8" s="1"/>
  <c r="J482" i="11"/>
  <c r="K482" i="11"/>
  <c r="H12" i="9"/>
  <c r="J12" i="9" s="1"/>
  <c r="V12" i="9" s="1"/>
  <c r="G27" i="8" s="1"/>
  <c r="J473" i="11"/>
  <c r="K473" i="11"/>
  <c r="I12" i="9"/>
  <c r="K12" i="9" s="1"/>
  <c r="W12" i="9" s="1"/>
  <c r="H27" i="8" s="1"/>
  <c r="K465" i="11"/>
  <c r="I242" i="9"/>
  <c r="K242" i="9" s="1"/>
  <c r="I240" i="9"/>
  <c r="K240" i="9" s="1"/>
  <c r="K463" i="11"/>
  <c r="K461" i="11"/>
  <c r="I241" i="9"/>
  <c r="K241" i="9" s="1"/>
  <c r="H107" i="9"/>
  <c r="J107" i="9" s="1"/>
  <c r="J459" i="11"/>
  <c r="J452" i="11"/>
  <c r="H103" i="9"/>
  <c r="J103" i="9" s="1"/>
  <c r="H105" i="9"/>
  <c r="J105" i="9" s="1"/>
  <c r="J446" i="11"/>
  <c r="J440" i="11"/>
  <c r="H115" i="9"/>
  <c r="J115" i="9" s="1"/>
  <c r="J434" i="11"/>
  <c r="H110" i="9"/>
  <c r="J110" i="9" s="1"/>
  <c r="J428" i="11"/>
  <c r="H109" i="9"/>
  <c r="J109" i="9" s="1"/>
  <c r="K423" i="11"/>
  <c r="H199" i="9"/>
  <c r="J199" i="9" s="1"/>
  <c r="J423" i="11"/>
  <c r="I199" i="9"/>
  <c r="K199" i="9" s="1"/>
  <c r="I202" i="9"/>
  <c r="K202" i="9" s="1"/>
  <c r="W202" i="9" s="1"/>
  <c r="H124" i="8" s="1"/>
  <c r="J420" i="11"/>
  <c r="K420" i="11"/>
  <c r="H202" i="9"/>
  <c r="J202" i="9" s="1"/>
  <c r="J417" i="11"/>
  <c r="K417" i="11"/>
  <c r="H204" i="9"/>
  <c r="J204" i="9" s="1"/>
  <c r="I204" i="9"/>
  <c r="K204" i="9" s="1"/>
  <c r="W204" i="9" s="1"/>
  <c r="H177" i="8" s="1"/>
  <c r="K414" i="11"/>
  <c r="J414" i="11"/>
  <c r="H144" i="9"/>
  <c r="J144" i="9" s="1"/>
  <c r="V144" i="9" s="1"/>
  <c r="G156" i="8" s="1"/>
  <c r="I144" i="9"/>
  <c r="K144" i="9" s="1"/>
  <c r="W144" i="9" s="1"/>
  <c r="H156" i="8" s="1"/>
  <c r="H139" i="9"/>
  <c r="J139" i="9" s="1"/>
  <c r="V139" i="9" s="1"/>
  <c r="G141" i="8" s="1"/>
  <c r="I139" i="9"/>
  <c r="K139" i="9" s="1"/>
  <c r="W139" i="9" s="1"/>
  <c r="H141" i="8" s="1"/>
  <c r="J409" i="11"/>
  <c r="K409" i="11"/>
  <c r="J404" i="11"/>
  <c r="K404" i="11"/>
  <c r="I21" i="9"/>
  <c r="K21" i="9" s="1"/>
  <c r="H21" i="9"/>
  <c r="J21" i="9" s="1"/>
  <c r="K395" i="11"/>
  <c r="I26" i="9"/>
  <c r="K26" i="9" s="1"/>
  <c r="W26" i="9" s="1"/>
  <c r="H30" i="8" s="1"/>
  <c r="J395" i="11"/>
  <c r="H26" i="9"/>
  <c r="J26" i="9" s="1"/>
  <c r="I17" i="9"/>
  <c r="K17" i="9" s="1"/>
  <c r="W17" i="9" s="1"/>
  <c r="H40" i="8" s="1"/>
  <c r="H17" i="9"/>
  <c r="J17" i="9" s="1"/>
  <c r="J385" i="11"/>
  <c r="K385" i="11"/>
  <c r="K377" i="11"/>
  <c r="I13" i="9"/>
  <c r="K13" i="9" s="1"/>
  <c r="W13" i="9" s="1"/>
  <c r="H59" i="8" s="1"/>
  <c r="H13" i="9"/>
  <c r="J13" i="9" s="1"/>
  <c r="J377" i="11"/>
  <c r="J369" i="11"/>
  <c r="K369" i="11"/>
  <c r="I34" i="9"/>
  <c r="K34" i="9" s="1"/>
  <c r="W34" i="9" s="1"/>
  <c r="H35" i="8" s="1"/>
  <c r="H34" i="9"/>
  <c r="J34" i="9" s="1"/>
  <c r="K360" i="11"/>
  <c r="I7" i="9"/>
  <c r="K7" i="9" s="1"/>
  <c r="H7" i="9"/>
  <c r="J7" i="9" s="1"/>
  <c r="J360" i="11"/>
  <c r="I22" i="9"/>
  <c r="K22" i="9" s="1"/>
  <c r="W22" i="9" s="1"/>
  <c r="H10" i="8" s="1"/>
  <c r="J351" i="11"/>
  <c r="H22" i="9"/>
  <c r="J22" i="9" s="1"/>
  <c r="V22" i="9" s="1"/>
  <c r="G10" i="8" s="1"/>
  <c r="K351" i="11"/>
  <c r="J343" i="11"/>
  <c r="H112" i="9"/>
  <c r="J112" i="9" s="1"/>
  <c r="V112" i="9" s="1"/>
  <c r="G117" i="8" s="1"/>
  <c r="K343" i="11"/>
  <c r="I112" i="9"/>
  <c r="K112" i="9" s="1"/>
  <c r="W112" i="9" s="1"/>
  <c r="H117" i="8" s="1"/>
  <c r="I108" i="9"/>
  <c r="K108" i="9" s="1"/>
  <c r="K341" i="11"/>
  <c r="K339" i="11"/>
  <c r="I114" i="9"/>
  <c r="K114" i="9" s="1"/>
  <c r="W114" i="9" s="1"/>
  <c r="H102" i="8" s="1"/>
  <c r="J339" i="11"/>
  <c r="H114" i="9"/>
  <c r="J114" i="9" s="1"/>
  <c r="V114" i="9" s="1"/>
  <c r="G102" i="8" s="1"/>
  <c r="J337" i="11"/>
  <c r="K337" i="11"/>
  <c r="I81" i="9"/>
  <c r="K81" i="9" s="1"/>
  <c r="W81" i="9" s="1"/>
  <c r="H49" i="8" s="1"/>
  <c r="H81" i="9"/>
  <c r="J81" i="9" s="1"/>
  <c r="V81" i="9" s="1"/>
  <c r="G49" i="8" s="1"/>
  <c r="H86" i="9"/>
  <c r="J86" i="9" s="1"/>
  <c r="V86" i="9" s="1"/>
  <c r="G96" i="8" s="1"/>
  <c r="I86" i="9"/>
  <c r="K86" i="9" s="1"/>
  <c r="J333" i="11"/>
  <c r="K333" i="11"/>
  <c r="I80" i="9"/>
  <c r="K80" i="9" s="1"/>
  <c r="W80" i="9" s="1"/>
  <c r="H41" i="8" s="1"/>
  <c r="J329" i="11"/>
  <c r="K329" i="11"/>
  <c r="H80" i="9"/>
  <c r="J80" i="9" s="1"/>
  <c r="I76" i="9"/>
  <c r="K76" i="9" s="1"/>
  <c r="W76" i="9" s="1"/>
  <c r="H17" i="8" s="1"/>
  <c r="J325" i="11"/>
  <c r="K325" i="11"/>
  <c r="H76" i="9"/>
  <c r="J76" i="9" s="1"/>
  <c r="J321" i="11"/>
  <c r="K321" i="11"/>
  <c r="I75" i="9"/>
  <c r="K75" i="9" s="1"/>
  <c r="H75" i="9"/>
  <c r="J75" i="9" s="1"/>
  <c r="K317" i="11"/>
  <c r="J317" i="11"/>
  <c r="K315" i="11"/>
  <c r="H111" i="9"/>
  <c r="J111" i="9" s="1"/>
  <c r="I111" i="9"/>
  <c r="K111" i="9" s="1"/>
  <c r="W111" i="9" s="1"/>
  <c r="H114" i="8" s="1"/>
  <c r="J315" i="11"/>
  <c r="J313" i="11"/>
  <c r="K313" i="11"/>
  <c r="H157" i="9"/>
  <c r="J157" i="9" s="1"/>
  <c r="V157" i="9" s="1"/>
  <c r="G181" i="8" s="1"/>
  <c r="I157" i="9"/>
  <c r="K157" i="9" s="1"/>
  <c r="W157" i="9" s="1"/>
  <c r="H181" i="8" s="1"/>
  <c r="K306" i="11"/>
  <c r="J306" i="11"/>
  <c r="H158" i="9"/>
  <c r="J158" i="9" s="1"/>
  <c r="I158" i="9"/>
  <c r="K158" i="9" s="1"/>
  <c r="W158" i="9" s="1"/>
  <c r="H182" i="8" s="1"/>
  <c r="I33" i="9"/>
  <c r="K33" i="9" s="1"/>
  <c r="W33" i="9" s="1"/>
  <c r="H37" i="8" s="1"/>
  <c r="H33" i="9"/>
  <c r="J33" i="9" s="1"/>
  <c r="J299" i="11"/>
  <c r="K299" i="11"/>
  <c r="K290" i="11"/>
  <c r="J290" i="11"/>
  <c r="J282" i="11"/>
  <c r="K282" i="11"/>
  <c r="I35" i="9"/>
  <c r="K35" i="9" s="1"/>
  <c r="W35" i="9" s="1"/>
  <c r="H45" i="8" s="1"/>
  <c r="H35" i="9"/>
  <c r="J35" i="9" s="1"/>
  <c r="K274" i="11"/>
  <c r="I32" i="9"/>
  <c r="K32" i="9" s="1"/>
  <c r="W32" i="9" s="1"/>
  <c r="H34" i="8" s="1"/>
  <c r="J274" i="11"/>
  <c r="H32" i="9"/>
  <c r="J32" i="9" s="1"/>
  <c r="J266" i="11"/>
  <c r="H40" i="9"/>
  <c r="J40" i="9" s="1"/>
  <c r="J259" i="11"/>
  <c r="K259" i="11"/>
  <c r="H133" i="9"/>
  <c r="J133" i="9" s="1"/>
  <c r="V133" i="9" s="1"/>
  <c r="G130" i="8" s="1"/>
  <c r="I133" i="9"/>
  <c r="K133" i="9" s="1"/>
  <c r="W133" i="9" s="1"/>
  <c r="H130" i="8" s="1"/>
  <c r="J256" i="11"/>
  <c r="K256" i="11"/>
  <c r="I11" i="9"/>
  <c r="K11" i="9" s="1"/>
  <c r="W11" i="9" s="1"/>
  <c r="H18" i="8" s="1"/>
  <c r="H11" i="9"/>
  <c r="J11" i="9" s="1"/>
  <c r="J235" i="11"/>
  <c r="K235" i="11"/>
  <c r="K231" i="11"/>
  <c r="I70" i="9"/>
  <c r="K70" i="9" s="1"/>
  <c r="W70" i="9" s="1"/>
  <c r="H9" i="8" s="1"/>
  <c r="J231" i="11"/>
  <c r="H70" i="9"/>
  <c r="J70" i="9" s="1"/>
  <c r="K227" i="11"/>
  <c r="H150" i="9"/>
  <c r="J150" i="9" s="1"/>
  <c r="I150" i="9"/>
  <c r="K150" i="9" s="1"/>
  <c r="W150" i="9" s="1"/>
  <c r="H171" i="8" s="1"/>
  <c r="J227" i="11"/>
  <c r="K224" i="11"/>
  <c r="H145" i="9"/>
  <c r="J145" i="9" s="1"/>
  <c r="V145" i="9" s="1"/>
  <c r="G161" i="8" s="1"/>
  <c r="I145" i="9"/>
  <c r="K145" i="9" s="1"/>
  <c r="W145" i="9" s="1"/>
  <c r="H161" i="8" s="1"/>
  <c r="J224" i="11"/>
  <c r="J216" i="11"/>
  <c r="K216" i="11"/>
  <c r="H152" i="9"/>
  <c r="J152" i="9" s="1"/>
  <c r="I152" i="9"/>
  <c r="K152" i="9" s="1"/>
  <c r="W152" i="9" s="1"/>
  <c r="H173" i="8" s="1"/>
  <c r="K210" i="11"/>
  <c r="J210" i="11"/>
  <c r="H138" i="9"/>
  <c r="J138" i="9" s="1"/>
  <c r="I138" i="9"/>
  <c r="K138" i="9" s="1"/>
  <c r="W138" i="9" s="1"/>
  <c r="H140" i="8" s="1"/>
  <c r="J204" i="11"/>
  <c r="K204" i="11"/>
  <c r="H151" i="9"/>
  <c r="J151" i="9" s="1"/>
  <c r="V151" i="9" s="1"/>
  <c r="G172" i="8" s="1"/>
  <c r="I151" i="9"/>
  <c r="K151" i="9" s="1"/>
  <c r="W151" i="9" s="1"/>
  <c r="H172" i="8" s="1"/>
  <c r="H135" i="9"/>
  <c r="J135" i="9" s="1"/>
  <c r="V135" i="9" s="1"/>
  <c r="G137" i="8" s="1"/>
  <c r="I135" i="9"/>
  <c r="K135" i="9" s="1"/>
  <c r="W135" i="9" s="1"/>
  <c r="H137" i="8" s="1"/>
  <c r="J198" i="11"/>
  <c r="K198" i="11"/>
  <c r="J189" i="11"/>
  <c r="I47" i="9"/>
  <c r="K47" i="9" s="1"/>
  <c r="H47" i="9"/>
  <c r="J47" i="9" s="1"/>
  <c r="K189" i="11"/>
  <c r="H116" i="9"/>
  <c r="J116" i="9" s="1"/>
  <c r="K180" i="11"/>
  <c r="I116" i="9"/>
  <c r="K116" i="9" s="1"/>
  <c r="W116" i="9" s="1"/>
  <c r="H128" i="8" s="1"/>
  <c r="J180" i="11"/>
  <c r="K178" i="11"/>
  <c r="I23" i="9"/>
  <c r="K23" i="9" s="1"/>
  <c r="W23" i="9" s="1"/>
  <c r="H12" i="8" s="1"/>
  <c r="J178" i="11"/>
  <c r="H23" i="9"/>
  <c r="J23" i="9" s="1"/>
  <c r="J170" i="11"/>
  <c r="H121" i="9"/>
  <c r="J121" i="9" s="1"/>
  <c r="J168" i="11"/>
  <c r="H101" i="9"/>
  <c r="J101" i="9" s="1"/>
  <c r="H99" i="9"/>
  <c r="J99" i="9" s="1"/>
  <c r="J165" i="11"/>
  <c r="I230" i="9"/>
  <c r="K230" i="9" s="1"/>
  <c r="J162" i="11"/>
  <c r="K162" i="11"/>
  <c r="H230" i="9"/>
  <c r="J230" i="9" s="1"/>
  <c r="H164" i="9"/>
  <c r="J164" i="9" s="1"/>
  <c r="I164" i="9"/>
  <c r="K164" i="9" s="1"/>
  <c r="J160" i="11"/>
  <c r="K160" i="11"/>
  <c r="J156" i="11"/>
  <c r="K156" i="11"/>
  <c r="H168" i="9"/>
  <c r="J168" i="9" s="1"/>
  <c r="V168" i="9" s="1"/>
  <c r="G78" i="8" s="1"/>
  <c r="I168" i="9"/>
  <c r="K168" i="9" s="1"/>
  <c r="W168" i="9" s="1"/>
  <c r="H78" i="8" s="1"/>
  <c r="J152" i="11"/>
  <c r="H181" i="9"/>
  <c r="J181" i="9" s="1"/>
  <c r="K147" i="11"/>
  <c r="J147" i="11"/>
  <c r="I97" i="9"/>
  <c r="K97" i="9" s="1"/>
  <c r="H97" i="9"/>
  <c r="J97" i="9" s="1"/>
  <c r="J145" i="11"/>
  <c r="K145" i="11"/>
  <c r="K143" i="11"/>
  <c r="J143" i="11"/>
  <c r="K141" i="11"/>
  <c r="I106" i="9"/>
  <c r="K106" i="9" s="1"/>
  <c r="W106" i="9" s="1"/>
  <c r="H94" i="8" s="1"/>
  <c r="H106" i="9"/>
  <c r="J106" i="9" s="1"/>
  <c r="J141" i="11"/>
  <c r="K139" i="11"/>
  <c r="H124" i="9"/>
  <c r="J124" i="9" s="1"/>
  <c r="V124" i="9" s="1"/>
  <c r="G163" i="8" s="1"/>
  <c r="I124" i="9"/>
  <c r="K124" i="9" s="1"/>
  <c r="W124" i="9" s="1"/>
  <c r="H163" i="8" s="1"/>
  <c r="J139" i="11"/>
  <c r="J137" i="11"/>
  <c r="H154" i="9"/>
  <c r="J154" i="9" s="1"/>
  <c r="V154" i="9" s="1"/>
  <c r="G174" i="8" s="1"/>
  <c r="I154" i="9"/>
  <c r="K154" i="9" s="1"/>
  <c r="W154" i="9" s="1"/>
  <c r="H174" i="8" s="1"/>
  <c r="K137" i="11"/>
  <c r="J132" i="11"/>
  <c r="H147" i="9"/>
  <c r="J147" i="9" s="1"/>
  <c r="V147" i="9" s="1"/>
  <c r="G164" i="8" s="1"/>
  <c r="I147" i="9"/>
  <c r="K147" i="9" s="1"/>
  <c r="W147" i="9" s="1"/>
  <c r="H164" i="8" s="1"/>
  <c r="K132" i="11"/>
  <c r="I25" i="9"/>
  <c r="K25" i="9" s="1"/>
  <c r="W25" i="9" s="1"/>
  <c r="H19" i="8" s="1"/>
  <c r="J127" i="11"/>
  <c r="K127" i="11"/>
  <c r="H25" i="9"/>
  <c r="J25" i="9" s="1"/>
  <c r="J122" i="11"/>
  <c r="K122" i="11"/>
  <c r="H8" i="9"/>
  <c r="J8" i="9" s="1"/>
  <c r="V8" i="9" s="1"/>
  <c r="G11" i="8" s="1"/>
  <c r="I8" i="9"/>
  <c r="K8" i="9" s="1"/>
  <c r="W8" i="9" s="1"/>
  <c r="H11" i="8" s="1"/>
  <c r="J117" i="11"/>
  <c r="K117" i="11"/>
  <c r="I9" i="9"/>
  <c r="K9" i="9" s="1"/>
  <c r="W9" i="9" s="1"/>
  <c r="H14" i="8" s="1"/>
  <c r="H9" i="9"/>
  <c r="J9" i="9" s="1"/>
  <c r="J112" i="11"/>
  <c r="K112" i="11"/>
  <c r="I10" i="9"/>
  <c r="K10" i="9" s="1"/>
  <c r="W10" i="9" s="1"/>
  <c r="H20" i="8" s="1"/>
  <c r="H10" i="9"/>
  <c r="J10" i="9" s="1"/>
  <c r="V10" i="9" s="1"/>
  <c r="G20" i="8" s="1"/>
  <c r="J107" i="11"/>
  <c r="K107" i="11"/>
  <c r="H211" i="9"/>
  <c r="J211" i="9" s="1"/>
  <c r="V211" i="9" s="1"/>
  <c r="G80" i="8" s="1"/>
  <c r="I211" i="9"/>
  <c r="K211" i="9" s="1"/>
  <c r="J99" i="11"/>
  <c r="I215" i="9"/>
  <c r="K215" i="9" s="1"/>
  <c r="W215" i="9" s="1"/>
  <c r="H151" i="8" s="1"/>
  <c r="K99" i="11"/>
  <c r="H215" i="9"/>
  <c r="J215" i="9" s="1"/>
  <c r="V215" i="9" s="1"/>
  <c r="G151" i="8" s="1"/>
  <c r="H212" i="9"/>
  <c r="J212" i="9" s="1"/>
  <c r="J92" i="11"/>
  <c r="K92" i="11"/>
  <c r="I212" i="9"/>
  <c r="K212" i="9" s="1"/>
  <c r="W212" i="9" s="1"/>
  <c r="H103" i="8" s="1"/>
  <c r="K84" i="11"/>
  <c r="J84" i="11"/>
  <c r="I214" i="9"/>
  <c r="K214" i="9" s="1"/>
  <c r="W214" i="9" s="1"/>
  <c r="H144" i="8" s="1"/>
  <c r="H214" i="9"/>
  <c r="J214" i="9" s="1"/>
  <c r="V214" i="9" s="1"/>
  <c r="G144" i="8" s="1"/>
  <c r="J77" i="11"/>
  <c r="K77" i="11"/>
  <c r="H190" i="9"/>
  <c r="J190" i="9" s="1"/>
  <c r="V190" i="9" s="1"/>
  <c r="G190" i="8" s="1"/>
  <c r="I190" i="9"/>
  <c r="K190" i="9" s="1"/>
  <c r="J75" i="11"/>
  <c r="K75" i="11"/>
  <c r="H192" i="9"/>
  <c r="J192" i="9" s="1"/>
  <c r="V192" i="9" s="1"/>
  <c r="G192" i="8" s="1"/>
  <c r="I192" i="9"/>
  <c r="K192" i="9" s="1"/>
  <c r="J73" i="11"/>
  <c r="K73" i="11"/>
  <c r="H188" i="9"/>
  <c r="J188" i="9" s="1"/>
  <c r="V188" i="9" s="1"/>
  <c r="G188" i="8" s="1"/>
  <c r="I188" i="9"/>
  <c r="K188" i="9" s="1"/>
  <c r="J71" i="11"/>
  <c r="H160" i="9"/>
  <c r="J160" i="9" s="1"/>
  <c r="J69" i="11"/>
  <c r="H161" i="9"/>
  <c r="J161" i="9" s="1"/>
  <c r="J67" i="11"/>
  <c r="H159" i="9"/>
  <c r="J159" i="9" s="1"/>
  <c r="J65" i="11"/>
  <c r="K65" i="11"/>
  <c r="J63" i="11"/>
  <c r="K63" i="11"/>
  <c r="H203" i="9"/>
  <c r="J203" i="9" s="1"/>
  <c r="V203" i="9" s="1"/>
  <c r="G111" i="8" s="1"/>
  <c r="I203" i="9"/>
  <c r="K203" i="9" s="1"/>
  <c r="W203" i="9" s="1"/>
  <c r="H111" i="8" s="1"/>
  <c r="J61" i="11"/>
  <c r="K61" i="11"/>
  <c r="H201" i="9"/>
  <c r="J201" i="9" s="1"/>
  <c r="V201" i="9" s="1"/>
  <c r="G120" i="8" s="1"/>
  <c r="I201" i="9"/>
  <c r="K201" i="9" s="1"/>
  <c r="W201" i="9" s="1"/>
  <c r="H120" i="8" s="1"/>
  <c r="J59" i="11"/>
  <c r="K59" i="11"/>
  <c r="I200" i="9"/>
  <c r="K200" i="9" s="1"/>
  <c r="W200" i="9" s="1"/>
  <c r="H110" i="8" s="1"/>
  <c r="H200" i="9"/>
  <c r="J200" i="9" s="1"/>
  <c r="V200" i="9" s="1"/>
  <c r="G110" i="8" s="1"/>
  <c r="J57" i="11"/>
  <c r="K57" i="11"/>
  <c r="I54" i="9"/>
  <c r="K54" i="9" s="1"/>
  <c r="W54" i="9" s="1"/>
  <c r="H42" i="8" s="1"/>
  <c r="H54" i="9"/>
  <c r="J54" i="9" s="1"/>
  <c r="J53" i="11"/>
  <c r="K53" i="11"/>
  <c r="H56" i="9"/>
  <c r="J56" i="9" s="1"/>
  <c r="I56" i="9"/>
  <c r="K56" i="9" s="1"/>
  <c r="W56" i="9" s="1"/>
  <c r="H47" i="8" s="1"/>
  <c r="J48" i="11"/>
  <c r="K48" i="11"/>
  <c r="I58" i="9"/>
  <c r="K58" i="9" s="1"/>
  <c r="W58" i="9" s="1"/>
  <c r="H55" i="8" s="1"/>
  <c r="H58" i="9"/>
  <c r="J58" i="9" s="1"/>
  <c r="H61" i="9"/>
  <c r="J61" i="9" s="1"/>
  <c r="V61" i="9" s="1"/>
  <c r="G61" i="8" s="1"/>
  <c r="I61" i="9"/>
  <c r="K61" i="9" s="1"/>
  <c r="W61" i="9" s="1"/>
  <c r="H61" i="8" s="1"/>
  <c r="J43" i="11"/>
  <c r="K43" i="11"/>
  <c r="J38" i="11"/>
  <c r="I62" i="9"/>
  <c r="K62" i="9" s="1"/>
  <c r="W62" i="9" s="1"/>
  <c r="H70" i="8" s="1"/>
  <c r="H62" i="9"/>
  <c r="J62" i="9" s="1"/>
  <c r="K38" i="11"/>
  <c r="J33" i="11"/>
  <c r="H55" i="9"/>
  <c r="J55" i="9" s="1"/>
  <c r="V55" i="9" s="1"/>
  <c r="G44" i="8" s="1"/>
  <c r="I55" i="9"/>
  <c r="K55" i="9" s="1"/>
  <c r="W55" i="9" s="1"/>
  <c r="H44" i="8" s="1"/>
  <c r="K33" i="11"/>
  <c r="I57" i="9"/>
  <c r="K57" i="9" s="1"/>
  <c r="W57" i="9" s="1"/>
  <c r="H52" i="8" s="1"/>
  <c r="H57" i="9"/>
  <c r="J57" i="9" s="1"/>
  <c r="K29" i="11"/>
  <c r="J29" i="11"/>
  <c r="K24" i="11"/>
  <c r="J24" i="11"/>
  <c r="I60" i="9"/>
  <c r="K60" i="9" s="1"/>
  <c r="W60" i="9" s="1"/>
  <c r="H62" i="8" s="1"/>
  <c r="H60" i="9"/>
  <c r="J60" i="9" s="1"/>
  <c r="J19" i="11"/>
  <c r="I59" i="9"/>
  <c r="K59" i="9" s="1"/>
  <c r="W59" i="9" s="1"/>
  <c r="H60" i="8" s="1"/>
  <c r="K19" i="11"/>
  <c r="H59" i="9"/>
  <c r="J59" i="9" s="1"/>
  <c r="J15" i="11"/>
  <c r="K15" i="11"/>
  <c r="I63" i="9"/>
  <c r="K63" i="9" s="1"/>
  <c r="W63" i="9" s="1"/>
  <c r="H79" i="8" s="1"/>
  <c r="H63" i="9"/>
  <c r="J63" i="9" s="1"/>
  <c r="V63" i="9" s="1"/>
  <c r="G79" i="8" s="1"/>
  <c r="H65" i="9"/>
  <c r="J65" i="9" s="1"/>
  <c r="V65" i="9" s="1"/>
  <c r="G92" i="8" s="1"/>
  <c r="J10" i="11"/>
  <c r="I65" i="9"/>
  <c r="K65" i="9" s="1"/>
  <c r="W65" i="9" s="1"/>
  <c r="H92" i="8" s="1"/>
  <c r="K10" i="11"/>
  <c r="I89" i="9"/>
  <c r="K89" i="9" s="1"/>
  <c r="J5" i="11"/>
  <c r="H89" i="9"/>
  <c r="J89" i="9" s="1"/>
  <c r="K5" i="11"/>
  <c r="BB242" i="9"/>
  <c r="AA183" i="8" s="1"/>
  <c r="BO242" i="9"/>
  <c r="AY242" i="9"/>
  <c r="AT242" i="9"/>
  <c r="V183" i="8" s="1"/>
  <c r="BN242" i="9"/>
  <c r="AQ242" i="9"/>
  <c r="AL242" i="9"/>
  <c r="Q183" i="8" s="1"/>
  <c r="AI242" i="9"/>
  <c r="BM242" i="9"/>
  <c r="AD242" i="9"/>
  <c r="L183" i="8" s="1"/>
  <c r="BL242" i="9"/>
  <c r="BK242" i="9"/>
  <c r="AA242" i="9"/>
  <c r="V242" i="9"/>
  <c r="G183" i="8" s="1"/>
  <c r="T242" i="9"/>
  <c r="BB241" i="9"/>
  <c r="AA166" i="8" s="1"/>
  <c r="BO241" i="9"/>
  <c r="AY241" i="9"/>
  <c r="AT241" i="9"/>
  <c r="V166" i="8" s="1"/>
  <c r="AQ241" i="9"/>
  <c r="BN241" i="9"/>
  <c r="AL241" i="9"/>
  <c r="Q166" i="8" s="1"/>
  <c r="AI241" i="9"/>
  <c r="BM241" i="9"/>
  <c r="AD241" i="9"/>
  <c r="L166" i="8" s="1"/>
  <c r="BL241" i="9"/>
  <c r="BK241" i="9"/>
  <c r="AA241" i="9"/>
  <c r="V241" i="9"/>
  <c r="G166" i="8" s="1"/>
  <c r="T241" i="9"/>
  <c r="BB240" i="9"/>
  <c r="AA148" i="8" s="1"/>
  <c r="BO240" i="9"/>
  <c r="AY240" i="9"/>
  <c r="AT240" i="9"/>
  <c r="V148" i="8" s="1"/>
  <c r="BN240" i="9"/>
  <c r="AQ240" i="9"/>
  <c r="AL240" i="9"/>
  <c r="Q148" i="8" s="1"/>
  <c r="BM240" i="9"/>
  <c r="AI240" i="9"/>
  <c r="AD240" i="9"/>
  <c r="L148" i="8" s="1"/>
  <c r="BK240" i="9"/>
  <c r="BL240" i="9"/>
  <c r="AA240" i="9"/>
  <c r="T240" i="9"/>
  <c r="V240" i="9"/>
  <c r="G148" i="8" s="1"/>
  <c r="BI237" i="9"/>
  <c r="AX237" i="9"/>
  <c r="BH237" i="9"/>
  <c r="AP237" i="9"/>
  <c r="BG237" i="9"/>
  <c r="AH237" i="9"/>
  <c r="Z237" i="9"/>
  <c r="BF237" i="9"/>
  <c r="BE237" i="9"/>
  <c r="T237" i="9"/>
  <c r="V237" i="9"/>
  <c r="G184" i="8" s="1"/>
  <c r="AY236" i="9"/>
  <c r="BC236" i="9" s="1"/>
  <c r="AB146" i="8" s="1"/>
  <c r="BO236" i="9"/>
  <c r="BI236" i="9"/>
  <c r="AX236" i="9"/>
  <c r="AQ236" i="9"/>
  <c r="AU236" i="9" s="1"/>
  <c r="W146" i="8" s="1"/>
  <c r="BN236" i="9"/>
  <c r="BH236" i="9"/>
  <c r="AP236" i="9"/>
  <c r="AI236" i="9"/>
  <c r="AM236" i="9" s="1"/>
  <c r="R146" i="8" s="1"/>
  <c r="BM236" i="9"/>
  <c r="BG236" i="9"/>
  <c r="AH236" i="9"/>
  <c r="AA236" i="9"/>
  <c r="AE236" i="9" s="1"/>
  <c r="M146" i="8" s="1"/>
  <c r="BK236" i="9"/>
  <c r="BL236" i="9"/>
  <c r="BF236" i="9"/>
  <c r="BE236" i="9"/>
  <c r="Z236" i="9"/>
  <c r="V236" i="9"/>
  <c r="G146" i="8" s="1"/>
  <c r="T236" i="9"/>
  <c r="BI235" i="9"/>
  <c r="AX235" i="9"/>
  <c r="BH235" i="9"/>
  <c r="AP235" i="9"/>
  <c r="BG235" i="9"/>
  <c r="AH235" i="9"/>
  <c r="BF235" i="9"/>
  <c r="Z235" i="9"/>
  <c r="BE235" i="9"/>
  <c r="T235" i="9"/>
  <c r="V235" i="9"/>
  <c r="G67" i="8" s="1"/>
  <c r="BO234" i="9"/>
  <c r="AY234" i="9"/>
  <c r="BC234" i="9" s="1"/>
  <c r="AB29" i="8" s="1"/>
  <c r="AX234" i="9"/>
  <c r="BI234" i="9"/>
  <c r="BN234" i="9"/>
  <c r="AQ234" i="9"/>
  <c r="AU234" i="9" s="1"/>
  <c r="W29" i="8" s="1"/>
  <c r="BH234" i="9"/>
  <c r="AP234" i="9"/>
  <c r="AI234" i="9"/>
  <c r="AM234" i="9" s="1"/>
  <c r="R29" i="8" s="1"/>
  <c r="BM234" i="9"/>
  <c r="BG234" i="9"/>
  <c r="AH234" i="9"/>
  <c r="AA234" i="9"/>
  <c r="AE234" i="9" s="1"/>
  <c r="M29" i="8" s="1"/>
  <c r="BK234" i="9"/>
  <c r="BL234" i="9"/>
  <c r="BF234" i="9"/>
  <c r="BE234" i="9"/>
  <c r="Z234" i="9"/>
  <c r="V234" i="9"/>
  <c r="G29" i="8" s="1"/>
  <c r="T234" i="9"/>
  <c r="AX231" i="9"/>
  <c r="BI231" i="9"/>
  <c r="BH231" i="9"/>
  <c r="AP231" i="9"/>
  <c r="AH231" i="9"/>
  <c r="BG231" i="9"/>
  <c r="Z231" i="9"/>
  <c r="BF231" i="9"/>
  <c r="BE231" i="9"/>
  <c r="T231" i="9"/>
  <c r="V231" i="9"/>
  <c r="G195" i="8" s="1"/>
  <c r="AX230" i="9"/>
  <c r="BI230" i="9"/>
  <c r="BH230" i="9"/>
  <c r="AP230" i="9"/>
  <c r="BG230" i="9"/>
  <c r="AH230" i="9"/>
  <c r="BE230" i="9"/>
  <c r="BF230" i="9"/>
  <c r="Z230" i="9"/>
  <c r="T230" i="9"/>
  <c r="BO229" i="9"/>
  <c r="AY229" i="9"/>
  <c r="BC229" i="9" s="1"/>
  <c r="AB74" i="8" s="1"/>
  <c r="AX229" i="9"/>
  <c r="BI229" i="9"/>
  <c r="BN229" i="9"/>
  <c r="AQ229" i="9"/>
  <c r="AU229" i="9" s="1"/>
  <c r="W74" i="8" s="1"/>
  <c r="AP229" i="9"/>
  <c r="BH229" i="9"/>
  <c r="BM229" i="9"/>
  <c r="AI229" i="9"/>
  <c r="AM229" i="9" s="1"/>
  <c r="R74" i="8" s="1"/>
  <c r="AH229" i="9"/>
  <c r="BG229" i="9"/>
  <c r="BL229" i="9"/>
  <c r="AA229" i="9"/>
  <c r="AE229" i="9" s="1"/>
  <c r="M74" i="8" s="1"/>
  <c r="BK229" i="9"/>
  <c r="BF229" i="9"/>
  <c r="BE229" i="9"/>
  <c r="Z229" i="9"/>
  <c r="V229" i="9"/>
  <c r="G74" i="8" s="1"/>
  <c r="T229" i="9"/>
  <c r="AX228" i="9"/>
  <c r="BI228" i="9"/>
  <c r="BH228" i="9"/>
  <c r="AP228" i="9"/>
  <c r="AH228" i="9"/>
  <c r="BG228" i="9"/>
  <c r="Z228" i="9"/>
  <c r="BE228" i="9"/>
  <c r="BF228" i="9"/>
  <c r="T228" i="9"/>
  <c r="V228" i="9"/>
  <c r="G143" i="8" s="1"/>
  <c r="BI225" i="9"/>
  <c r="AX225" i="9"/>
  <c r="BH225" i="9"/>
  <c r="AP225" i="9"/>
  <c r="AH225" i="9"/>
  <c r="BG225" i="9"/>
  <c r="Z225" i="9"/>
  <c r="BF225" i="9"/>
  <c r="BE225" i="9"/>
  <c r="T225" i="9"/>
  <c r="V225" i="9"/>
  <c r="G179" i="8" s="1"/>
  <c r="J30" i="3"/>
  <c r="I181" i="5"/>
  <c r="I18" i="6"/>
  <c r="BB224" i="9"/>
  <c r="AA201" i="8" s="1"/>
  <c r="AZ224" i="9"/>
  <c r="BA224" i="9" s="1"/>
  <c r="Z201" i="8" s="1"/>
  <c r="AR224" i="9"/>
  <c r="AS224" i="9" s="1"/>
  <c r="U201" i="8" s="1"/>
  <c r="AT224" i="9"/>
  <c r="V201" i="8" s="1"/>
  <c r="AJ224" i="9"/>
  <c r="AK224" i="9" s="1"/>
  <c r="P201" i="8" s="1"/>
  <c r="AL224" i="9"/>
  <c r="Q201" i="8" s="1"/>
  <c r="AD224" i="9"/>
  <c r="L201" i="8" s="1"/>
  <c r="AB224" i="9"/>
  <c r="AC224" i="9" s="1"/>
  <c r="K201" i="8" s="1"/>
  <c r="T224" i="9"/>
  <c r="V224" i="9"/>
  <c r="G201" i="8" s="1"/>
  <c r="I102" i="5"/>
  <c r="I125" i="6"/>
  <c r="BB223" i="9"/>
  <c r="AA200" i="8" s="1"/>
  <c r="AZ223" i="9"/>
  <c r="BA223" i="9" s="1"/>
  <c r="Z200" i="8" s="1"/>
  <c r="AT223" i="9"/>
  <c r="V200" i="8" s="1"/>
  <c r="AR223" i="9"/>
  <c r="AS223" i="9" s="1"/>
  <c r="U200" i="8" s="1"/>
  <c r="AJ223" i="9"/>
  <c r="AK223" i="9" s="1"/>
  <c r="P200" i="8" s="1"/>
  <c r="AL223" i="9"/>
  <c r="Q200" i="8" s="1"/>
  <c r="AD223" i="9"/>
  <c r="L200" i="8" s="1"/>
  <c r="AB223" i="9"/>
  <c r="AC223" i="9" s="1"/>
  <c r="K200" i="8" s="1"/>
  <c r="V223" i="9"/>
  <c r="G200" i="8" s="1"/>
  <c r="T223" i="9"/>
  <c r="L226" i="9"/>
  <c r="I34" i="6"/>
  <c r="J30" i="2"/>
  <c r="I53" i="5"/>
  <c r="AY220" i="9"/>
  <c r="BC220" i="9" s="1"/>
  <c r="AB89" i="8" s="1"/>
  <c r="BO220" i="9"/>
  <c r="BI220" i="9"/>
  <c r="AX220" i="9"/>
  <c r="BN220" i="9"/>
  <c r="AQ220" i="9"/>
  <c r="AU220" i="9" s="1"/>
  <c r="W89" i="8" s="1"/>
  <c r="BH220" i="9"/>
  <c r="AP220" i="9"/>
  <c r="AI220" i="9"/>
  <c r="AM220" i="9" s="1"/>
  <c r="R89" i="8" s="1"/>
  <c r="BM220" i="9"/>
  <c r="BG220" i="9"/>
  <c r="AH220" i="9"/>
  <c r="BL220" i="9"/>
  <c r="AA220" i="9"/>
  <c r="AE220" i="9" s="1"/>
  <c r="M89" i="8" s="1"/>
  <c r="BK220" i="9"/>
  <c r="BE220" i="9"/>
  <c r="BF220" i="9"/>
  <c r="Z220" i="9"/>
  <c r="T220" i="9"/>
  <c r="V220" i="9"/>
  <c r="G89" i="8" s="1"/>
  <c r="BO219" i="9"/>
  <c r="AY219" i="9"/>
  <c r="AX219" i="9"/>
  <c r="BI219" i="9"/>
  <c r="BN219" i="9"/>
  <c r="AQ219" i="9"/>
  <c r="AU219" i="9" s="1"/>
  <c r="W69" i="8" s="1"/>
  <c r="AP219" i="9"/>
  <c r="BH219" i="9"/>
  <c r="AI219" i="9"/>
  <c r="AM219" i="9" s="1"/>
  <c r="R69" i="8" s="1"/>
  <c r="BM219" i="9"/>
  <c r="AH219" i="9"/>
  <c r="BG219" i="9"/>
  <c r="AA219" i="9"/>
  <c r="BK219" i="9"/>
  <c r="BL219" i="9"/>
  <c r="Z219" i="9"/>
  <c r="BE219" i="9"/>
  <c r="BF219" i="9"/>
  <c r="T219" i="9"/>
  <c r="V219" i="9"/>
  <c r="G69" i="8" s="1"/>
  <c r="AY218" i="9"/>
  <c r="BC218" i="9" s="1"/>
  <c r="AB68" i="8" s="1"/>
  <c r="BO218" i="9"/>
  <c r="BI218" i="9"/>
  <c r="AX218" i="9"/>
  <c r="BN218" i="9"/>
  <c r="AQ218" i="9"/>
  <c r="AU218" i="9" s="1"/>
  <c r="W68" i="8" s="1"/>
  <c r="AP218" i="9"/>
  <c r="BH218" i="9"/>
  <c r="AI218" i="9"/>
  <c r="AM218" i="9" s="1"/>
  <c r="R68" i="8" s="1"/>
  <c r="BM218" i="9"/>
  <c r="BG218" i="9"/>
  <c r="AH218" i="9"/>
  <c r="AA218" i="9"/>
  <c r="AE218" i="9" s="1"/>
  <c r="M68" i="8" s="1"/>
  <c r="BK218" i="9"/>
  <c r="BL218" i="9"/>
  <c r="Z218" i="9"/>
  <c r="BE218" i="9"/>
  <c r="BF218" i="9"/>
  <c r="V218" i="9"/>
  <c r="G68" i="8" s="1"/>
  <c r="T218" i="9"/>
  <c r="BO215" i="9"/>
  <c r="AY215" i="9"/>
  <c r="BI215" i="9"/>
  <c r="AX215" i="9"/>
  <c r="BN215" i="9"/>
  <c r="AQ215" i="9"/>
  <c r="BH215" i="9"/>
  <c r="AP215" i="9"/>
  <c r="BM215" i="9"/>
  <c r="AI215" i="9"/>
  <c r="AH215" i="9"/>
  <c r="BG215" i="9"/>
  <c r="BK215" i="9"/>
  <c r="BL215" i="9"/>
  <c r="AA215" i="9"/>
  <c r="AE215" i="9" s="1"/>
  <c r="M151" i="8" s="1"/>
  <c r="Z215" i="9"/>
  <c r="BE215" i="9"/>
  <c r="BF215" i="9"/>
  <c r="T215" i="9"/>
  <c r="BO214" i="9"/>
  <c r="AY214" i="9"/>
  <c r="BC214" i="9" s="1"/>
  <c r="AB144" i="8" s="1"/>
  <c r="BI214" i="9"/>
  <c r="AX214" i="9"/>
  <c r="AQ214" i="9"/>
  <c r="AU214" i="9" s="1"/>
  <c r="W144" i="8" s="1"/>
  <c r="BN214" i="9"/>
  <c r="BH214" i="9"/>
  <c r="AP214" i="9"/>
  <c r="AI214" i="9"/>
  <c r="BM214" i="9"/>
  <c r="BG214" i="9"/>
  <c r="AH214" i="9"/>
  <c r="BK214" i="9"/>
  <c r="AA214" i="9"/>
  <c r="AE214" i="9" s="1"/>
  <c r="M144" i="8" s="1"/>
  <c r="BL214" i="9"/>
  <c r="BE214" i="9"/>
  <c r="BF214" i="9"/>
  <c r="Z214" i="9"/>
  <c r="T214" i="9"/>
  <c r="AY213" i="9"/>
  <c r="BC213" i="9" s="1"/>
  <c r="AB122" i="8" s="1"/>
  <c r="BO213" i="9"/>
  <c r="AX213" i="9"/>
  <c r="BI213" i="9"/>
  <c r="AQ213" i="9"/>
  <c r="AU213" i="9" s="1"/>
  <c r="W122" i="8" s="1"/>
  <c r="BN213" i="9"/>
  <c r="AP213" i="9"/>
  <c r="BH213" i="9"/>
  <c r="AI213" i="9"/>
  <c r="AM213" i="9" s="1"/>
  <c r="R122" i="8" s="1"/>
  <c r="BM213" i="9"/>
  <c r="AH213" i="9"/>
  <c r="BG213" i="9"/>
  <c r="AD213" i="9"/>
  <c r="L122" i="8" s="1"/>
  <c r="BL213" i="9"/>
  <c r="BK213" i="9"/>
  <c r="AA213" i="9"/>
  <c r="BE213" i="9"/>
  <c r="BF213" i="9"/>
  <c r="T213" i="9"/>
  <c r="V213" i="9"/>
  <c r="G122" i="8" s="1"/>
  <c r="BO212" i="9"/>
  <c r="AY212" i="9"/>
  <c r="AX212" i="9"/>
  <c r="BI212" i="9"/>
  <c r="BN212" i="9"/>
  <c r="AQ212" i="9"/>
  <c r="BH212" i="9"/>
  <c r="AP212" i="9"/>
  <c r="BM212" i="9"/>
  <c r="AI212" i="9"/>
  <c r="AH212" i="9"/>
  <c r="BG212" i="9"/>
  <c r="AA212" i="9"/>
  <c r="BK212" i="9"/>
  <c r="BL212" i="9"/>
  <c r="BE212" i="9"/>
  <c r="Z212" i="9"/>
  <c r="BF212" i="9"/>
  <c r="V212" i="9"/>
  <c r="G103" i="8" s="1"/>
  <c r="T212" i="9"/>
  <c r="AY211" i="9"/>
  <c r="BC211" i="9" s="1"/>
  <c r="AB80" i="8" s="1"/>
  <c r="BO211" i="9"/>
  <c r="BI211" i="9"/>
  <c r="AX211" i="9"/>
  <c r="AQ211" i="9"/>
  <c r="BN211" i="9"/>
  <c r="BH211" i="9"/>
  <c r="AP211" i="9"/>
  <c r="BM211" i="9"/>
  <c r="AI211" i="9"/>
  <c r="AM211" i="9" s="1"/>
  <c r="R80" i="8" s="1"/>
  <c r="AH211" i="9"/>
  <c r="BG211" i="9"/>
  <c r="BL211" i="9"/>
  <c r="BK211" i="9"/>
  <c r="AA211" i="9"/>
  <c r="BE211" i="9"/>
  <c r="BF211" i="9"/>
  <c r="Z211" i="9"/>
  <c r="T211" i="9"/>
  <c r="AY208" i="9"/>
  <c r="BC208" i="9" s="1"/>
  <c r="AB82" i="8" s="1"/>
  <c r="BO208" i="9"/>
  <c r="AX208" i="9"/>
  <c r="BI208" i="9"/>
  <c r="BN208" i="9"/>
  <c r="AQ208" i="9"/>
  <c r="AU208" i="9" s="1"/>
  <c r="W82" i="8" s="1"/>
  <c r="AP208" i="9"/>
  <c r="BH208" i="9"/>
  <c r="AI208" i="9"/>
  <c r="AM208" i="9" s="1"/>
  <c r="R82" i="8" s="1"/>
  <c r="BM208" i="9"/>
  <c r="BG208" i="9"/>
  <c r="AH208" i="9"/>
  <c r="BK208" i="9"/>
  <c r="AA208" i="9"/>
  <c r="AE208" i="9" s="1"/>
  <c r="M82" i="8" s="1"/>
  <c r="BL208" i="9"/>
  <c r="BF208" i="9"/>
  <c r="BE208" i="9"/>
  <c r="Z208" i="9"/>
  <c r="V208" i="9"/>
  <c r="G82" i="8" s="1"/>
  <c r="T208" i="9"/>
  <c r="AY207" i="9"/>
  <c r="BC207" i="9" s="1"/>
  <c r="AB46" i="8" s="1"/>
  <c r="BO207" i="9"/>
  <c r="BI207" i="9"/>
  <c r="AX207" i="9"/>
  <c r="AQ207" i="9"/>
  <c r="AU207" i="9" s="1"/>
  <c r="W46" i="8" s="1"/>
  <c r="BN207" i="9"/>
  <c r="BH207" i="9"/>
  <c r="AP207" i="9"/>
  <c r="AI207" i="9"/>
  <c r="BM207" i="9"/>
  <c r="BG207" i="9"/>
  <c r="AH207" i="9"/>
  <c r="AA207" i="9"/>
  <c r="AE207" i="9" s="1"/>
  <c r="M46" i="8" s="1"/>
  <c r="BK207" i="9"/>
  <c r="BL207" i="9"/>
  <c r="BF207" i="9"/>
  <c r="BE207" i="9"/>
  <c r="Z207" i="9"/>
  <c r="T207" i="9"/>
  <c r="BO204" i="9"/>
  <c r="AY204" i="9"/>
  <c r="BI204" i="9"/>
  <c r="AX204" i="9"/>
  <c r="BN204" i="9"/>
  <c r="AQ204" i="9"/>
  <c r="AU204" i="9" s="1"/>
  <c r="W177" i="8" s="1"/>
  <c r="AP204" i="9"/>
  <c r="BH204" i="9"/>
  <c r="BM204" i="9"/>
  <c r="AI204" i="9"/>
  <c r="AH204" i="9"/>
  <c r="BG204" i="9"/>
  <c r="AA204" i="9"/>
  <c r="BL204" i="9"/>
  <c r="BK204" i="9"/>
  <c r="BF204" i="9"/>
  <c r="Z204" i="9"/>
  <c r="BE204" i="9"/>
  <c r="T204" i="9"/>
  <c r="V204" i="9"/>
  <c r="G177" i="8" s="1"/>
  <c r="BO203" i="9"/>
  <c r="AY203" i="9"/>
  <c r="BI203" i="9"/>
  <c r="AX203" i="9"/>
  <c r="BN203" i="9"/>
  <c r="AQ203" i="9"/>
  <c r="BH203" i="9"/>
  <c r="AP203" i="9"/>
  <c r="BM203" i="9"/>
  <c r="AI203" i="9"/>
  <c r="BG203" i="9"/>
  <c r="AH203" i="9"/>
  <c r="BL203" i="9"/>
  <c r="BK203" i="9"/>
  <c r="AA203" i="9"/>
  <c r="BE203" i="9"/>
  <c r="BF203" i="9"/>
  <c r="Z203" i="9"/>
  <c r="T203" i="9"/>
  <c r="BO202" i="9"/>
  <c r="AY202" i="9"/>
  <c r="AX202" i="9"/>
  <c r="BI202" i="9"/>
  <c r="BN202" i="9"/>
  <c r="AQ202" i="9"/>
  <c r="AP202" i="9"/>
  <c r="BH202" i="9"/>
  <c r="BM202" i="9"/>
  <c r="AI202" i="9"/>
  <c r="AM202" i="9" s="1"/>
  <c r="R124" i="8" s="1"/>
  <c r="BG202" i="9"/>
  <c r="AH202" i="9"/>
  <c r="BK202" i="9"/>
  <c r="BL202" i="9"/>
  <c r="AA202" i="9"/>
  <c r="BE202" i="9"/>
  <c r="BF202" i="9"/>
  <c r="Z202" i="9"/>
  <c r="V202" i="9"/>
  <c r="G124" i="8" s="1"/>
  <c r="T202" i="9"/>
  <c r="BO201" i="9"/>
  <c r="AY201" i="9"/>
  <c r="BC201" i="9" s="1"/>
  <c r="AB120" i="8" s="1"/>
  <c r="AX201" i="9"/>
  <c r="BI201" i="9"/>
  <c r="BN201" i="9"/>
  <c r="AQ201" i="9"/>
  <c r="AP201" i="9"/>
  <c r="BH201" i="9"/>
  <c r="AI201" i="9"/>
  <c r="BM201" i="9"/>
  <c r="BG201" i="9"/>
  <c r="AH201" i="9"/>
  <c r="BL201" i="9"/>
  <c r="AA201" i="9"/>
  <c r="BK201" i="9"/>
  <c r="Z201" i="9"/>
  <c r="BF201" i="9"/>
  <c r="BE201" i="9"/>
  <c r="T201" i="9"/>
  <c r="BO200" i="9"/>
  <c r="AY200" i="9"/>
  <c r="AX200" i="9"/>
  <c r="BI200" i="9"/>
  <c r="AQ200" i="9"/>
  <c r="BN200" i="9"/>
  <c r="BH200" i="9"/>
  <c r="AP200" i="9"/>
  <c r="BM200" i="9"/>
  <c r="AI200" i="9"/>
  <c r="AH200" i="9"/>
  <c r="BG200" i="9"/>
  <c r="AA200" i="9"/>
  <c r="BK200" i="9"/>
  <c r="BL200" i="9"/>
  <c r="Z200" i="9"/>
  <c r="BF200" i="9"/>
  <c r="BE200" i="9"/>
  <c r="T200" i="9"/>
  <c r="BO199" i="9"/>
  <c r="AY199" i="9"/>
  <c r="AX199" i="9"/>
  <c r="BI199" i="9"/>
  <c r="BN199" i="9"/>
  <c r="AQ199" i="9"/>
  <c r="AU199" i="9" s="1"/>
  <c r="W98" i="8" s="1"/>
  <c r="AP199" i="9"/>
  <c r="BH199" i="9"/>
  <c r="AI199" i="9"/>
  <c r="BM199" i="9"/>
  <c r="AH199" i="9"/>
  <c r="BG199" i="9"/>
  <c r="AA199" i="9"/>
  <c r="BK199" i="9"/>
  <c r="BL199" i="9"/>
  <c r="Z199" i="9"/>
  <c r="BE199" i="9"/>
  <c r="BF199" i="9"/>
  <c r="V199" i="9"/>
  <c r="G98" i="8" s="1"/>
  <c r="T199" i="9"/>
  <c r="BI196" i="9"/>
  <c r="AX196" i="9"/>
  <c r="BH196" i="9"/>
  <c r="AP196" i="9"/>
  <c r="BG196" i="9"/>
  <c r="AH196" i="9"/>
  <c r="BF196" i="9"/>
  <c r="BE196" i="9"/>
  <c r="Z196" i="9"/>
  <c r="T196" i="9"/>
  <c r="V196" i="9"/>
  <c r="G199" i="8" s="1"/>
  <c r="BI195" i="9"/>
  <c r="AX195" i="9"/>
  <c r="BH195" i="9"/>
  <c r="AP195" i="9"/>
  <c r="BG195" i="9"/>
  <c r="AH195" i="9"/>
  <c r="BF195" i="9"/>
  <c r="BE195" i="9"/>
  <c r="Z195" i="9"/>
  <c r="T195" i="9"/>
  <c r="V195" i="9"/>
  <c r="G198" i="8" s="1"/>
  <c r="AX194" i="9"/>
  <c r="BI194" i="9"/>
  <c r="AP194" i="9"/>
  <c r="BH194" i="9"/>
  <c r="AH194" i="9"/>
  <c r="BG194" i="9"/>
  <c r="Z194" i="9"/>
  <c r="BF194" i="9"/>
  <c r="BE194" i="9"/>
  <c r="T194" i="9"/>
  <c r="V194" i="9"/>
  <c r="G197" i="8" s="1"/>
  <c r="AX193" i="9"/>
  <c r="BI193" i="9"/>
  <c r="BH193" i="9"/>
  <c r="AP193" i="9"/>
  <c r="BG193" i="9"/>
  <c r="AH193" i="9"/>
  <c r="BE193" i="9"/>
  <c r="BF193" i="9"/>
  <c r="Z193" i="9"/>
  <c r="T193" i="9"/>
  <c r="V193" i="9"/>
  <c r="G194" i="8" s="1"/>
  <c r="BH192" i="9"/>
  <c r="AP192" i="9"/>
  <c r="AH192" i="9"/>
  <c r="BG192" i="9"/>
  <c r="BF192" i="9"/>
  <c r="BE192" i="9"/>
  <c r="Z192" i="9"/>
  <c r="T192" i="9"/>
  <c r="AY191" i="9"/>
  <c r="BC191" i="9" s="1"/>
  <c r="AB191" i="8" s="1"/>
  <c r="BO191" i="9"/>
  <c r="BI191" i="9"/>
  <c r="AX191" i="9"/>
  <c r="AQ191" i="9"/>
  <c r="AU191" i="9" s="1"/>
  <c r="W191" i="8" s="1"/>
  <c r="BN191" i="9"/>
  <c r="AP191" i="9"/>
  <c r="BH191" i="9"/>
  <c r="BM191" i="9"/>
  <c r="AI191" i="9"/>
  <c r="AM191" i="9" s="1"/>
  <c r="R191" i="8" s="1"/>
  <c r="AH191" i="9"/>
  <c r="BG191" i="9"/>
  <c r="BK191" i="9"/>
  <c r="BL191" i="9"/>
  <c r="AA191" i="9"/>
  <c r="AE191" i="9" s="1"/>
  <c r="M191" i="8" s="1"/>
  <c r="BE191" i="9"/>
  <c r="BF191" i="9"/>
  <c r="Z191" i="9"/>
  <c r="T191" i="9"/>
  <c r="V191" i="9"/>
  <c r="G191" i="8" s="1"/>
  <c r="BI190" i="9"/>
  <c r="AX190" i="9"/>
  <c r="AP190" i="9"/>
  <c r="BH190" i="9"/>
  <c r="AH190" i="9"/>
  <c r="BG190" i="9"/>
  <c r="Z190" i="9"/>
  <c r="BE190" i="9"/>
  <c r="BF190" i="9"/>
  <c r="T190" i="9"/>
  <c r="BO189" i="9"/>
  <c r="AY189" i="9"/>
  <c r="BC189" i="9" s="1"/>
  <c r="AB189" i="8" s="1"/>
  <c r="BI189" i="9"/>
  <c r="AX189" i="9"/>
  <c r="BN189" i="9"/>
  <c r="AQ189" i="9"/>
  <c r="AP189" i="9"/>
  <c r="BH189" i="9"/>
  <c r="AI189" i="9"/>
  <c r="BM189" i="9"/>
  <c r="AH189" i="9"/>
  <c r="BG189" i="9"/>
  <c r="AA189" i="9"/>
  <c r="BK189" i="9"/>
  <c r="BL189" i="9"/>
  <c r="Z189" i="9"/>
  <c r="BE189" i="9"/>
  <c r="BF189" i="9"/>
  <c r="T189" i="9"/>
  <c r="BI188" i="9"/>
  <c r="AX188" i="9"/>
  <c r="BH188" i="9"/>
  <c r="AP188" i="9"/>
  <c r="BG188" i="9"/>
  <c r="AH188" i="9"/>
  <c r="BE188" i="9"/>
  <c r="BF188" i="9"/>
  <c r="Z188" i="9"/>
  <c r="T188" i="9"/>
  <c r="AX187" i="9"/>
  <c r="BI187" i="9"/>
  <c r="AP187" i="9"/>
  <c r="BH187" i="9"/>
  <c r="AH187" i="9"/>
  <c r="BG187" i="9"/>
  <c r="BE187" i="9"/>
  <c r="Z187" i="9"/>
  <c r="BF187" i="9"/>
  <c r="T187" i="9"/>
  <c r="BI186" i="9"/>
  <c r="AX186" i="9"/>
  <c r="BH186" i="9"/>
  <c r="AP186" i="9"/>
  <c r="AH186" i="9"/>
  <c r="BG186" i="9"/>
  <c r="Z186" i="9"/>
  <c r="BE186" i="9"/>
  <c r="BF186" i="9"/>
  <c r="T186" i="9"/>
  <c r="BI185" i="9"/>
  <c r="AX185" i="9"/>
  <c r="AP185" i="9"/>
  <c r="BH185" i="9"/>
  <c r="AH185" i="9"/>
  <c r="BG185" i="9"/>
  <c r="Z185" i="9"/>
  <c r="BE185" i="9"/>
  <c r="BF185" i="9"/>
  <c r="T185" i="9"/>
  <c r="AX184" i="9"/>
  <c r="BI184" i="9"/>
  <c r="AP184" i="9"/>
  <c r="BH184" i="9"/>
  <c r="BG184" i="9"/>
  <c r="AH184" i="9"/>
  <c r="BF184" i="9"/>
  <c r="BE184" i="9"/>
  <c r="Z184" i="9"/>
  <c r="T184" i="9"/>
  <c r="BO183" i="9"/>
  <c r="AY183" i="9"/>
  <c r="AX183" i="9"/>
  <c r="BI183" i="9"/>
  <c r="BN183" i="9"/>
  <c r="AQ183" i="9"/>
  <c r="AP183" i="9"/>
  <c r="BH183" i="9"/>
  <c r="BM183" i="9"/>
  <c r="AI183" i="9"/>
  <c r="BG183" i="9"/>
  <c r="AH183" i="9"/>
  <c r="BL183" i="9"/>
  <c r="BK183" i="9"/>
  <c r="AA183" i="9"/>
  <c r="BF183" i="9"/>
  <c r="BE183" i="9"/>
  <c r="Z183" i="9"/>
  <c r="T183" i="9"/>
  <c r="AX182" i="9"/>
  <c r="BI182" i="9"/>
  <c r="AP182" i="9"/>
  <c r="BH182" i="9"/>
  <c r="BG182" i="9"/>
  <c r="AH182" i="9"/>
  <c r="BE182" i="9"/>
  <c r="Z182" i="9"/>
  <c r="BF182" i="9"/>
  <c r="T182" i="9"/>
  <c r="BI181" i="9"/>
  <c r="AX181" i="9"/>
  <c r="BH181" i="9"/>
  <c r="AP181" i="9"/>
  <c r="AH181" i="9"/>
  <c r="BG181" i="9"/>
  <c r="Z181" i="9"/>
  <c r="BE181" i="9"/>
  <c r="BF181" i="9"/>
  <c r="T181" i="9"/>
  <c r="BI180" i="9"/>
  <c r="AX180" i="9"/>
  <c r="BH180" i="9"/>
  <c r="AP180" i="9"/>
  <c r="BG180" i="9"/>
  <c r="AH180" i="9"/>
  <c r="BF180" i="9"/>
  <c r="BE180" i="9"/>
  <c r="Z180" i="9"/>
  <c r="T180" i="9"/>
  <c r="AX179" i="9"/>
  <c r="BI179" i="9"/>
  <c r="BH179" i="9"/>
  <c r="AP179" i="9"/>
  <c r="BG179" i="9"/>
  <c r="AH179" i="9"/>
  <c r="Z179" i="9"/>
  <c r="BE179" i="9"/>
  <c r="BF179" i="9"/>
  <c r="T179" i="9"/>
  <c r="AY178" i="9"/>
  <c r="BC178" i="9" s="1"/>
  <c r="AB125" i="8" s="1"/>
  <c r="BO178" i="9"/>
  <c r="AX178" i="9"/>
  <c r="BI178" i="9"/>
  <c r="AQ178" i="9"/>
  <c r="AU178" i="9" s="1"/>
  <c r="W125" i="8" s="1"/>
  <c r="BN178" i="9"/>
  <c r="AP178" i="9"/>
  <c r="BH178" i="9"/>
  <c r="BM178" i="9"/>
  <c r="AI178" i="9"/>
  <c r="AM178" i="9" s="1"/>
  <c r="R125" i="8" s="1"/>
  <c r="AH178" i="9"/>
  <c r="BG178" i="9"/>
  <c r="BL178" i="9"/>
  <c r="AA178" i="9"/>
  <c r="AE178" i="9" s="1"/>
  <c r="M125" i="8" s="1"/>
  <c r="BK178" i="9"/>
  <c r="BE178" i="9"/>
  <c r="BF178" i="9"/>
  <c r="Z178" i="9"/>
  <c r="T178" i="9"/>
  <c r="BO177" i="9"/>
  <c r="AY177" i="9"/>
  <c r="BC177" i="9" s="1"/>
  <c r="AB123" i="8" s="1"/>
  <c r="AX177" i="9"/>
  <c r="BI177" i="9"/>
  <c r="BN177" i="9"/>
  <c r="AQ177" i="9"/>
  <c r="AU177" i="9" s="1"/>
  <c r="W123" i="8" s="1"/>
  <c r="AP177" i="9"/>
  <c r="BH177" i="9"/>
  <c r="AI177" i="9"/>
  <c r="AM177" i="9" s="1"/>
  <c r="R123" i="8" s="1"/>
  <c r="BM177" i="9"/>
  <c r="BG177" i="9"/>
  <c r="AH177" i="9"/>
  <c r="BK177" i="9"/>
  <c r="BL177" i="9"/>
  <c r="AA177" i="9"/>
  <c r="AE177" i="9" s="1"/>
  <c r="M123" i="8" s="1"/>
  <c r="Z177" i="9"/>
  <c r="BF177" i="9"/>
  <c r="BE177" i="9"/>
  <c r="T177" i="9"/>
  <c r="AY176" i="9"/>
  <c r="BO176" i="9"/>
  <c r="AX176" i="9"/>
  <c r="BI176" i="9"/>
  <c r="AQ176" i="9"/>
  <c r="BN176" i="9"/>
  <c r="AP176" i="9"/>
  <c r="BH176" i="9"/>
  <c r="AI176" i="9"/>
  <c r="BM176" i="9"/>
  <c r="AH176" i="9"/>
  <c r="BG176" i="9"/>
  <c r="AA176" i="9"/>
  <c r="BL176" i="9"/>
  <c r="BK176" i="9"/>
  <c r="Z176" i="9"/>
  <c r="BF176" i="9"/>
  <c r="BE176" i="9"/>
  <c r="T176" i="9"/>
  <c r="BI175" i="9"/>
  <c r="AX175" i="9"/>
  <c r="AP175" i="9"/>
  <c r="BH175" i="9"/>
  <c r="BG175" i="9"/>
  <c r="AH175" i="9"/>
  <c r="BE175" i="9"/>
  <c r="BF175" i="9"/>
  <c r="Z175" i="9"/>
  <c r="T175" i="9"/>
  <c r="AX174" i="9"/>
  <c r="BI174" i="9"/>
  <c r="AP174" i="9"/>
  <c r="BH174" i="9"/>
  <c r="AH174" i="9"/>
  <c r="BG174" i="9"/>
  <c r="Z174" i="9"/>
  <c r="BF174" i="9"/>
  <c r="BE174" i="9"/>
  <c r="T174" i="9"/>
  <c r="BO173" i="9"/>
  <c r="AY173" i="9"/>
  <c r="BI173" i="9"/>
  <c r="AX173" i="9"/>
  <c r="AQ173" i="9"/>
  <c r="BN173" i="9"/>
  <c r="AP173" i="9"/>
  <c r="BH173" i="9"/>
  <c r="BM173" i="9"/>
  <c r="AI173" i="9"/>
  <c r="AH173" i="9"/>
  <c r="BG173" i="9"/>
  <c r="BK173" i="9"/>
  <c r="AA173" i="9"/>
  <c r="BL173" i="9"/>
  <c r="Z173" i="9"/>
  <c r="BE173" i="9"/>
  <c r="BF173" i="9"/>
  <c r="T173" i="9"/>
  <c r="AY172" i="9"/>
  <c r="BO172" i="9"/>
  <c r="BI172" i="9"/>
  <c r="AX172" i="9"/>
  <c r="BN172" i="9"/>
  <c r="AQ172" i="9"/>
  <c r="BH172" i="9"/>
  <c r="AP172" i="9"/>
  <c r="BM172" i="9"/>
  <c r="AI172" i="9"/>
  <c r="BG172" i="9"/>
  <c r="AH172" i="9"/>
  <c r="BL172" i="9"/>
  <c r="AA172" i="9"/>
  <c r="BK172" i="9"/>
  <c r="BE172" i="9"/>
  <c r="Z172" i="9"/>
  <c r="BF172" i="9"/>
  <c r="T172" i="9"/>
  <c r="BI171" i="9"/>
  <c r="AX171" i="9"/>
  <c r="BH171" i="9"/>
  <c r="AP171" i="9"/>
  <c r="BG171" i="9"/>
  <c r="AH171" i="9"/>
  <c r="Z171" i="9"/>
  <c r="BF171" i="9"/>
  <c r="BE171" i="9"/>
  <c r="T171" i="9"/>
  <c r="AY170" i="9"/>
  <c r="BO170" i="9"/>
  <c r="AX170" i="9"/>
  <c r="BI170" i="9"/>
  <c r="AQ170" i="9"/>
  <c r="BN170" i="9"/>
  <c r="AP170" i="9"/>
  <c r="BH170" i="9"/>
  <c r="BM170" i="9"/>
  <c r="AI170" i="9"/>
  <c r="AH170" i="9"/>
  <c r="BG170" i="9"/>
  <c r="AA170" i="9"/>
  <c r="BK170" i="9"/>
  <c r="BL170" i="9"/>
  <c r="BE170" i="9"/>
  <c r="BF170" i="9"/>
  <c r="Z170" i="9"/>
  <c r="T170" i="9"/>
  <c r="BI169" i="9"/>
  <c r="AX169" i="9"/>
  <c r="BH169" i="9"/>
  <c r="AP169" i="9"/>
  <c r="AH169" i="9"/>
  <c r="BG169" i="9"/>
  <c r="Z169" i="9"/>
  <c r="BF169" i="9"/>
  <c r="BE169" i="9"/>
  <c r="T169" i="9"/>
  <c r="AY168" i="9"/>
  <c r="BO168" i="9"/>
  <c r="AX168" i="9"/>
  <c r="BI168" i="9"/>
  <c r="AQ168" i="9"/>
  <c r="BN168" i="9"/>
  <c r="BH168" i="9"/>
  <c r="AP168" i="9"/>
  <c r="AI168" i="9"/>
  <c r="BM168" i="9"/>
  <c r="AH168" i="9"/>
  <c r="BG168" i="9"/>
  <c r="AA168" i="9"/>
  <c r="BL168" i="9"/>
  <c r="BK168" i="9"/>
  <c r="Z168" i="9"/>
  <c r="BF168" i="9"/>
  <c r="BE168" i="9"/>
  <c r="T168" i="9"/>
  <c r="AY167" i="9"/>
  <c r="BO167" i="9"/>
  <c r="BI167" i="9"/>
  <c r="AX167" i="9"/>
  <c r="BN167" i="9"/>
  <c r="AQ167" i="9"/>
  <c r="BH167" i="9"/>
  <c r="AP167" i="9"/>
  <c r="BM167" i="9"/>
  <c r="AI167" i="9"/>
  <c r="BG167" i="9"/>
  <c r="AH167" i="9"/>
  <c r="BL167" i="9"/>
  <c r="BK167" i="9"/>
  <c r="AA167" i="9"/>
  <c r="BF167" i="9"/>
  <c r="BE167" i="9"/>
  <c r="Z167" i="9"/>
  <c r="T167" i="9"/>
  <c r="BO166" i="9"/>
  <c r="AY166" i="9"/>
  <c r="AX166" i="9"/>
  <c r="BI166" i="9"/>
  <c r="AQ166" i="9"/>
  <c r="BN166" i="9"/>
  <c r="AP166" i="9"/>
  <c r="BH166" i="9"/>
  <c r="AI166" i="9"/>
  <c r="BM166" i="9"/>
  <c r="BG166" i="9"/>
  <c r="AH166" i="9"/>
  <c r="BK166" i="9"/>
  <c r="BL166" i="9"/>
  <c r="AA166" i="9"/>
  <c r="BF166" i="9"/>
  <c r="BE166" i="9"/>
  <c r="Z166" i="9"/>
  <c r="T166" i="9"/>
  <c r="AY165" i="9"/>
  <c r="BO165" i="9"/>
  <c r="BI165" i="9"/>
  <c r="AX165" i="9"/>
  <c r="BN165" i="9"/>
  <c r="AQ165" i="9"/>
  <c r="AP165" i="9"/>
  <c r="BH165" i="9"/>
  <c r="BM165" i="9"/>
  <c r="AI165" i="9"/>
  <c r="AH165" i="9"/>
  <c r="BG165" i="9"/>
  <c r="BL165" i="9"/>
  <c r="AA165" i="9"/>
  <c r="BK165" i="9"/>
  <c r="Z165" i="9"/>
  <c r="BE165" i="9"/>
  <c r="BF165" i="9"/>
  <c r="T165" i="9"/>
  <c r="AY164" i="9"/>
  <c r="BO164" i="9"/>
  <c r="BI164" i="9"/>
  <c r="AX164" i="9"/>
  <c r="AQ164" i="9"/>
  <c r="BN164" i="9"/>
  <c r="BH164" i="9"/>
  <c r="AP164" i="9"/>
  <c r="AI164" i="9"/>
  <c r="BM164" i="9"/>
  <c r="BG164" i="9"/>
  <c r="AH164" i="9"/>
  <c r="BK164" i="9"/>
  <c r="AA164" i="9"/>
  <c r="BL164" i="9"/>
  <c r="BE164" i="9"/>
  <c r="BF164" i="9"/>
  <c r="Z164" i="9"/>
  <c r="T164" i="9"/>
  <c r="BI161" i="9"/>
  <c r="AX161" i="9"/>
  <c r="AP161" i="9"/>
  <c r="BH161" i="9"/>
  <c r="AH161" i="9"/>
  <c r="BG161" i="9"/>
  <c r="BF161" i="9"/>
  <c r="BE161" i="9"/>
  <c r="Z161" i="9"/>
  <c r="T161" i="9"/>
  <c r="BI160" i="9"/>
  <c r="AX160" i="9"/>
  <c r="BH160" i="9"/>
  <c r="AP160" i="9"/>
  <c r="BG160" i="9"/>
  <c r="AH160" i="9"/>
  <c r="BF160" i="9"/>
  <c r="BE160" i="9"/>
  <c r="Z160" i="9"/>
  <c r="T160" i="9"/>
  <c r="BI159" i="9"/>
  <c r="AX159" i="9"/>
  <c r="BH159" i="9"/>
  <c r="AP159" i="9"/>
  <c r="AH159" i="9"/>
  <c r="BG159" i="9"/>
  <c r="Z159" i="9"/>
  <c r="BF159" i="9"/>
  <c r="BE159" i="9"/>
  <c r="T159" i="9"/>
  <c r="BO158" i="9"/>
  <c r="AY158" i="9"/>
  <c r="BI158" i="9"/>
  <c r="AX158" i="9"/>
  <c r="BN158" i="9"/>
  <c r="AQ158" i="9"/>
  <c r="BH158" i="9"/>
  <c r="AP158" i="9"/>
  <c r="BM158" i="9"/>
  <c r="AI158" i="9"/>
  <c r="BG158" i="9"/>
  <c r="AH158" i="9"/>
  <c r="BL158" i="9"/>
  <c r="BK158" i="9"/>
  <c r="AA158" i="9"/>
  <c r="BF158" i="9"/>
  <c r="BE158" i="9"/>
  <c r="Z158" i="9"/>
  <c r="T158" i="9"/>
  <c r="AY157" i="9"/>
  <c r="BO157" i="9"/>
  <c r="AX157" i="9"/>
  <c r="BI157" i="9"/>
  <c r="AQ157" i="9"/>
  <c r="BN157" i="9"/>
  <c r="AP157" i="9"/>
  <c r="BH157" i="9"/>
  <c r="BM157" i="9"/>
  <c r="AI157" i="9"/>
  <c r="AH157" i="9"/>
  <c r="BG157" i="9"/>
  <c r="AA157" i="9"/>
  <c r="BL157" i="9"/>
  <c r="BK157" i="9"/>
  <c r="Z157" i="9"/>
  <c r="BE157" i="9"/>
  <c r="BF157" i="9"/>
  <c r="T157" i="9"/>
  <c r="BO156" i="9"/>
  <c r="AY156" i="9"/>
  <c r="AX156" i="9"/>
  <c r="BI156" i="9"/>
  <c r="BN156" i="9"/>
  <c r="AQ156" i="9"/>
  <c r="AP156" i="9"/>
  <c r="BH156" i="9"/>
  <c r="AI156" i="9"/>
  <c r="BM156" i="9"/>
  <c r="AH156" i="9"/>
  <c r="BG156" i="9"/>
  <c r="AA156" i="9"/>
  <c r="BL156" i="9"/>
  <c r="BK156" i="9"/>
  <c r="BE156" i="9"/>
  <c r="BF156" i="9"/>
  <c r="Z156" i="9"/>
  <c r="T156" i="9"/>
  <c r="BO155" i="9"/>
  <c r="AY155" i="9"/>
  <c r="BI155" i="9"/>
  <c r="AX155" i="9"/>
  <c r="BN155" i="9"/>
  <c r="AQ155" i="9"/>
  <c r="AP155" i="9"/>
  <c r="BH155" i="9"/>
  <c r="BM155" i="9"/>
  <c r="AI155" i="9"/>
  <c r="BG155" i="9"/>
  <c r="AH155" i="9"/>
  <c r="BL155" i="9"/>
  <c r="BK155" i="9"/>
  <c r="AA155" i="9"/>
  <c r="Z155" i="9"/>
  <c r="BF155" i="9"/>
  <c r="BE155" i="9"/>
  <c r="T155" i="9"/>
  <c r="AY154" i="9"/>
  <c r="BO154" i="9"/>
  <c r="AX154" i="9"/>
  <c r="BI154" i="9"/>
  <c r="AQ154" i="9"/>
  <c r="BN154" i="9"/>
  <c r="BH154" i="9"/>
  <c r="AP154" i="9"/>
  <c r="BM154" i="9"/>
  <c r="AI154" i="9"/>
  <c r="BG154" i="9"/>
  <c r="AH154" i="9"/>
  <c r="BK154" i="9"/>
  <c r="BL154" i="9"/>
  <c r="AA154" i="9"/>
  <c r="BE154" i="9"/>
  <c r="BF154" i="9"/>
  <c r="Z154" i="9"/>
  <c r="T154" i="9"/>
  <c r="AY153" i="9"/>
  <c r="BO153" i="9"/>
  <c r="AX153" i="9"/>
  <c r="BI153" i="9"/>
  <c r="AQ153" i="9"/>
  <c r="BN153" i="9"/>
  <c r="AP153" i="9"/>
  <c r="BH153" i="9"/>
  <c r="BM153" i="9"/>
  <c r="AI153" i="9"/>
  <c r="BG153" i="9"/>
  <c r="AH153" i="9"/>
  <c r="AA153" i="9"/>
  <c r="BK153" i="9"/>
  <c r="BL153" i="9"/>
  <c r="BE153" i="9"/>
  <c r="BF153" i="9"/>
  <c r="Z153" i="9"/>
  <c r="T153" i="9"/>
  <c r="AY152" i="9"/>
  <c r="BO152" i="9"/>
  <c r="BI152" i="9"/>
  <c r="AX152" i="9"/>
  <c r="BN152" i="9"/>
  <c r="AQ152" i="9"/>
  <c r="BH152" i="9"/>
  <c r="AP152" i="9"/>
  <c r="AI152" i="9"/>
  <c r="BM152" i="9"/>
  <c r="AH152" i="9"/>
  <c r="BG152" i="9"/>
  <c r="BK152" i="9"/>
  <c r="BL152" i="9"/>
  <c r="AA152" i="9"/>
  <c r="Z152" i="9"/>
  <c r="BF152" i="9"/>
  <c r="BE152" i="9"/>
  <c r="T152" i="9"/>
  <c r="AY151" i="9"/>
  <c r="BO151" i="9"/>
  <c r="AX151" i="9"/>
  <c r="BI151" i="9"/>
  <c r="AQ151" i="9"/>
  <c r="BN151" i="9"/>
  <c r="AP151" i="9"/>
  <c r="BH151" i="9"/>
  <c r="AI151" i="9"/>
  <c r="BM151" i="9"/>
  <c r="AH151" i="9"/>
  <c r="BG151" i="9"/>
  <c r="AA151" i="9"/>
  <c r="BL151" i="9"/>
  <c r="BK151" i="9"/>
  <c r="BE151" i="9"/>
  <c r="Z151" i="9"/>
  <c r="BF151" i="9"/>
  <c r="T151" i="9"/>
  <c r="BO150" i="9"/>
  <c r="AY150" i="9"/>
  <c r="BI150" i="9"/>
  <c r="AX150" i="9"/>
  <c r="BN150" i="9"/>
  <c r="AQ150" i="9"/>
  <c r="AP150" i="9"/>
  <c r="BH150" i="9"/>
  <c r="BM150" i="9"/>
  <c r="AI150" i="9"/>
  <c r="AH150" i="9"/>
  <c r="BG150" i="9"/>
  <c r="AA150" i="9"/>
  <c r="BK150" i="9"/>
  <c r="BL150" i="9"/>
  <c r="BF150" i="9"/>
  <c r="BE150" i="9"/>
  <c r="Z150" i="9"/>
  <c r="T150" i="9"/>
  <c r="BO149" i="9"/>
  <c r="AY149" i="9"/>
  <c r="AX149" i="9"/>
  <c r="BI149" i="9"/>
  <c r="BN149" i="9"/>
  <c r="AQ149" i="9"/>
  <c r="AP149" i="9"/>
  <c r="BH149" i="9"/>
  <c r="BM149" i="9"/>
  <c r="AI149" i="9"/>
  <c r="AH149" i="9"/>
  <c r="BG149" i="9"/>
  <c r="BK149" i="9"/>
  <c r="BL149" i="9"/>
  <c r="AA149" i="9"/>
  <c r="Z149" i="9"/>
  <c r="BE149" i="9"/>
  <c r="BF149" i="9"/>
  <c r="T149" i="9"/>
  <c r="AY148" i="9"/>
  <c r="BO148" i="9"/>
  <c r="BI148" i="9"/>
  <c r="AX148" i="9"/>
  <c r="BN148" i="9"/>
  <c r="AQ148" i="9"/>
  <c r="BH148" i="9"/>
  <c r="AP148" i="9"/>
  <c r="BM148" i="9"/>
  <c r="AI148" i="9"/>
  <c r="BG148" i="9"/>
  <c r="AH148" i="9"/>
  <c r="BL148" i="9"/>
  <c r="BK148" i="9"/>
  <c r="AA148" i="9"/>
  <c r="BF148" i="9"/>
  <c r="BE148" i="9"/>
  <c r="Z148" i="9"/>
  <c r="T148" i="9"/>
  <c r="BO147" i="9"/>
  <c r="AY147" i="9"/>
  <c r="BI147" i="9"/>
  <c r="AX147" i="9"/>
  <c r="BN147" i="9"/>
  <c r="AQ147" i="9"/>
  <c r="BH147" i="9"/>
  <c r="AP147" i="9"/>
  <c r="BM147" i="9"/>
  <c r="AI147" i="9"/>
  <c r="BG147" i="9"/>
  <c r="AH147" i="9"/>
  <c r="BK147" i="9"/>
  <c r="AA147" i="9"/>
  <c r="BL147" i="9"/>
  <c r="BF147" i="9"/>
  <c r="Z147" i="9"/>
  <c r="BE147" i="9"/>
  <c r="T147" i="9"/>
  <c r="BO146" i="9"/>
  <c r="AY146" i="9"/>
  <c r="BC146" i="9" s="1"/>
  <c r="AB165" i="8" s="1"/>
  <c r="AX146" i="9"/>
  <c r="BI146" i="9"/>
  <c r="BN146" i="9"/>
  <c r="AQ146" i="9"/>
  <c r="AU146" i="9" s="1"/>
  <c r="W165" i="8" s="1"/>
  <c r="AP146" i="9"/>
  <c r="BH146" i="9"/>
  <c r="BM146" i="9"/>
  <c r="AI146" i="9"/>
  <c r="AM146" i="9" s="1"/>
  <c r="R165" i="8" s="1"/>
  <c r="BG146" i="9"/>
  <c r="AH146" i="9"/>
  <c r="BL146" i="9"/>
  <c r="BK146" i="9"/>
  <c r="AA146" i="9"/>
  <c r="AE146" i="9" s="1"/>
  <c r="M165" i="8" s="1"/>
  <c r="BE146" i="9"/>
  <c r="Z146" i="9"/>
  <c r="BF146" i="9"/>
  <c r="T146" i="9"/>
  <c r="BO145" i="9"/>
  <c r="AY145" i="9"/>
  <c r="BI145" i="9"/>
  <c r="AX145" i="9"/>
  <c r="BN145" i="9"/>
  <c r="AQ145" i="9"/>
  <c r="BH145" i="9"/>
  <c r="AP145" i="9"/>
  <c r="BM145" i="9"/>
  <c r="AI145" i="9"/>
  <c r="AH145" i="9"/>
  <c r="BG145" i="9"/>
  <c r="AA145" i="9"/>
  <c r="BL145" i="9"/>
  <c r="BK145" i="9"/>
  <c r="Z145" i="9"/>
  <c r="BE145" i="9"/>
  <c r="BF145" i="9"/>
  <c r="T145" i="9"/>
  <c r="BO144" i="9"/>
  <c r="AY144" i="9"/>
  <c r="AX144" i="9"/>
  <c r="BI144" i="9"/>
  <c r="AQ144" i="9"/>
  <c r="BN144" i="9"/>
  <c r="AP144" i="9"/>
  <c r="BH144" i="9"/>
  <c r="AI144" i="9"/>
  <c r="BM144" i="9"/>
  <c r="AH144" i="9"/>
  <c r="BG144" i="9"/>
  <c r="BK144" i="9"/>
  <c r="AA144" i="9"/>
  <c r="BL144" i="9"/>
  <c r="Z144" i="9"/>
  <c r="BE144" i="9"/>
  <c r="BF144" i="9"/>
  <c r="T144" i="9"/>
  <c r="BO143" i="9"/>
  <c r="AY143" i="9"/>
  <c r="BI143" i="9"/>
  <c r="AX143" i="9"/>
  <c r="BN143" i="9"/>
  <c r="AQ143" i="9"/>
  <c r="BH143" i="9"/>
  <c r="AP143" i="9"/>
  <c r="BM143" i="9"/>
  <c r="AI143" i="9"/>
  <c r="BG143" i="9"/>
  <c r="AH143" i="9"/>
  <c r="BL143" i="9"/>
  <c r="AA143" i="9"/>
  <c r="BK143" i="9"/>
  <c r="BF143" i="9"/>
  <c r="Z143" i="9"/>
  <c r="BE143" i="9"/>
  <c r="T143" i="9"/>
  <c r="BI142" i="9"/>
  <c r="AX142" i="9"/>
  <c r="AP142" i="9"/>
  <c r="BH142" i="9"/>
  <c r="AH142" i="9"/>
  <c r="BG142" i="9"/>
  <c r="BF142" i="9"/>
  <c r="BE142" i="9"/>
  <c r="Z142" i="9"/>
  <c r="T142" i="9"/>
  <c r="BO141" i="9"/>
  <c r="AY141" i="9"/>
  <c r="AX141" i="9"/>
  <c r="BI141" i="9"/>
  <c r="BN141" i="9"/>
  <c r="AQ141" i="9"/>
  <c r="BH141" i="9"/>
  <c r="AP141" i="9"/>
  <c r="AI141" i="9"/>
  <c r="BM141" i="9"/>
  <c r="AH141" i="9"/>
  <c r="BG141" i="9"/>
  <c r="AA141" i="9"/>
  <c r="BK141" i="9"/>
  <c r="BL141" i="9"/>
  <c r="BE141" i="9"/>
  <c r="BF141" i="9"/>
  <c r="Z141" i="9"/>
  <c r="T141" i="9"/>
  <c r="AY140" i="9"/>
  <c r="BO140" i="9"/>
  <c r="AX140" i="9"/>
  <c r="BI140" i="9"/>
  <c r="AQ140" i="9"/>
  <c r="BN140" i="9"/>
  <c r="AP140" i="9"/>
  <c r="BH140" i="9"/>
  <c r="BM140" i="9"/>
  <c r="AI140" i="9"/>
  <c r="BG140" i="9"/>
  <c r="AH140" i="9"/>
  <c r="BK140" i="9"/>
  <c r="AA140" i="9"/>
  <c r="BL140" i="9"/>
  <c r="Z140" i="9"/>
  <c r="BE140" i="9"/>
  <c r="BF140" i="9"/>
  <c r="T140" i="9"/>
  <c r="AY139" i="9"/>
  <c r="BO139" i="9"/>
  <c r="AX139" i="9"/>
  <c r="BI139" i="9"/>
  <c r="AQ139" i="9"/>
  <c r="BN139" i="9"/>
  <c r="AP139" i="9"/>
  <c r="BH139" i="9"/>
  <c r="AI139" i="9"/>
  <c r="BM139" i="9"/>
  <c r="AH139" i="9"/>
  <c r="BG139" i="9"/>
  <c r="AA139" i="9"/>
  <c r="BK139" i="9"/>
  <c r="BL139" i="9"/>
  <c r="Z139" i="9"/>
  <c r="BE139" i="9"/>
  <c r="BF139" i="9"/>
  <c r="T139" i="9"/>
  <c r="AY138" i="9"/>
  <c r="BO138" i="9"/>
  <c r="AX138" i="9"/>
  <c r="BI138" i="9"/>
  <c r="AQ138" i="9"/>
  <c r="BN138" i="9"/>
  <c r="AP138" i="9"/>
  <c r="BH138" i="9"/>
  <c r="BM138" i="9"/>
  <c r="AI138" i="9"/>
  <c r="AH138" i="9"/>
  <c r="BG138" i="9"/>
  <c r="AA138" i="9"/>
  <c r="BL138" i="9"/>
  <c r="BK138" i="9"/>
  <c r="Z138" i="9"/>
  <c r="BF138" i="9"/>
  <c r="BE138" i="9"/>
  <c r="T138" i="9"/>
  <c r="BO137" i="9"/>
  <c r="AY137" i="9"/>
  <c r="BI137" i="9"/>
  <c r="AX137" i="9"/>
  <c r="BN137" i="9"/>
  <c r="AQ137" i="9"/>
  <c r="BH137" i="9"/>
  <c r="AP137" i="9"/>
  <c r="AI137" i="9"/>
  <c r="BM137" i="9"/>
  <c r="AH137" i="9"/>
  <c r="BG137" i="9"/>
  <c r="BL137" i="9"/>
  <c r="BK137" i="9"/>
  <c r="AA137" i="9"/>
  <c r="Z137" i="9"/>
  <c r="BF137" i="9"/>
  <c r="BE137" i="9"/>
  <c r="T137" i="9"/>
  <c r="AY136" i="9"/>
  <c r="BO136" i="9"/>
  <c r="BI136" i="9"/>
  <c r="AX136" i="9"/>
  <c r="BN136" i="9"/>
  <c r="AQ136" i="9"/>
  <c r="AP136" i="9"/>
  <c r="BH136" i="9"/>
  <c r="AI136" i="9"/>
  <c r="BM136" i="9"/>
  <c r="AH136" i="9"/>
  <c r="BG136" i="9"/>
  <c r="BL136" i="9"/>
  <c r="BK136" i="9"/>
  <c r="AA136" i="9"/>
  <c r="BE136" i="9"/>
  <c r="BF136" i="9"/>
  <c r="Z136" i="9"/>
  <c r="T136" i="9"/>
  <c r="V136" i="9"/>
  <c r="G138" i="8" s="1"/>
  <c r="BO135" i="9"/>
  <c r="AY135" i="9"/>
  <c r="BI135" i="9"/>
  <c r="AX135" i="9"/>
  <c r="BN135" i="9"/>
  <c r="AQ135" i="9"/>
  <c r="BH135" i="9"/>
  <c r="AP135" i="9"/>
  <c r="BM135" i="9"/>
  <c r="AI135" i="9"/>
  <c r="BG135" i="9"/>
  <c r="AH135" i="9"/>
  <c r="BL135" i="9"/>
  <c r="AA135" i="9"/>
  <c r="BK135" i="9"/>
  <c r="BF135" i="9"/>
  <c r="BE135" i="9"/>
  <c r="Z135" i="9"/>
  <c r="T135" i="9"/>
  <c r="BO134" i="9"/>
  <c r="AY134" i="9"/>
  <c r="BI134" i="9"/>
  <c r="AX134" i="9"/>
  <c r="BN134" i="9"/>
  <c r="AQ134" i="9"/>
  <c r="AP134" i="9"/>
  <c r="BH134" i="9"/>
  <c r="AI134" i="9"/>
  <c r="BM134" i="9"/>
  <c r="AH134" i="9"/>
  <c r="BG134" i="9"/>
  <c r="BK134" i="9"/>
  <c r="AA134" i="9"/>
  <c r="BL134" i="9"/>
  <c r="Z134" i="9"/>
  <c r="BE134" i="9"/>
  <c r="BF134" i="9"/>
  <c r="T134" i="9"/>
  <c r="AY133" i="9"/>
  <c r="BO133" i="9"/>
  <c r="AX133" i="9"/>
  <c r="BI133" i="9"/>
  <c r="AQ133" i="9"/>
  <c r="BN133" i="9"/>
  <c r="BH133" i="9"/>
  <c r="AP133" i="9"/>
  <c r="AI133" i="9"/>
  <c r="BM133" i="9"/>
  <c r="BG133" i="9"/>
  <c r="AH133" i="9"/>
  <c r="BK133" i="9"/>
  <c r="BL133" i="9"/>
  <c r="AA133" i="9"/>
  <c r="Z133" i="9"/>
  <c r="BE133" i="9"/>
  <c r="BF133" i="9"/>
  <c r="T133" i="9"/>
  <c r="AY132" i="9"/>
  <c r="BO132" i="9"/>
  <c r="BI132" i="9"/>
  <c r="AX132" i="9"/>
  <c r="AQ132" i="9"/>
  <c r="BN132" i="9"/>
  <c r="AP132" i="9"/>
  <c r="BH132" i="9"/>
  <c r="AI132" i="9"/>
  <c r="BM132" i="9"/>
  <c r="BG132" i="9"/>
  <c r="AH132" i="9"/>
  <c r="AA132" i="9"/>
  <c r="BK132" i="9"/>
  <c r="BL132" i="9"/>
  <c r="BE132" i="9"/>
  <c r="Z132" i="9"/>
  <c r="BF132" i="9"/>
  <c r="T132" i="9"/>
  <c r="BO131" i="9"/>
  <c r="AY131" i="9"/>
  <c r="BI131" i="9"/>
  <c r="AX131" i="9"/>
  <c r="BN131" i="9"/>
  <c r="AQ131" i="9"/>
  <c r="AP131" i="9"/>
  <c r="BH131" i="9"/>
  <c r="BM131" i="9"/>
  <c r="AI131" i="9"/>
  <c r="BG131" i="9"/>
  <c r="AH131" i="9"/>
  <c r="AA131" i="9"/>
  <c r="BK131" i="9"/>
  <c r="BL131" i="9"/>
  <c r="BF131" i="9"/>
  <c r="BE131" i="9"/>
  <c r="Z131" i="9"/>
  <c r="T131" i="9"/>
  <c r="BI130" i="9"/>
  <c r="AX130" i="9"/>
  <c r="AP130" i="9"/>
  <c r="BH130" i="9"/>
  <c r="AH130" i="9"/>
  <c r="BG130" i="9"/>
  <c r="BF130" i="9"/>
  <c r="BE130" i="9"/>
  <c r="Z130" i="9"/>
  <c r="T130" i="9"/>
  <c r="AX129" i="9"/>
  <c r="BI129" i="9"/>
  <c r="BH129" i="9"/>
  <c r="AP129" i="9"/>
  <c r="BG129" i="9"/>
  <c r="AH129" i="9"/>
  <c r="BF129" i="9"/>
  <c r="Z129" i="9"/>
  <c r="BE129" i="9"/>
  <c r="T129" i="9"/>
  <c r="AX128" i="9"/>
  <c r="BI128" i="9"/>
  <c r="AP128" i="9"/>
  <c r="BH128" i="9"/>
  <c r="AH128" i="9"/>
  <c r="BG128" i="9"/>
  <c r="Z128" i="9"/>
  <c r="BF128" i="9"/>
  <c r="BE128" i="9"/>
  <c r="T128" i="9"/>
  <c r="BB125" i="9"/>
  <c r="AA170" i="8" s="1"/>
  <c r="AY125" i="9"/>
  <c r="AZ125" i="9" s="1"/>
  <c r="BO125" i="9"/>
  <c r="AT125" i="9"/>
  <c r="V170" i="8" s="1"/>
  <c r="AQ125" i="9"/>
  <c r="AR125" i="9" s="1"/>
  <c r="BN125" i="9"/>
  <c r="AL125" i="9"/>
  <c r="Q170" i="8" s="1"/>
  <c r="BM125" i="9"/>
  <c r="AI125" i="9"/>
  <c r="AJ125" i="9" s="1"/>
  <c r="AD125" i="9"/>
  <c r="L170" i="8" s="1"/>
  <c r="BK125" i="9"/>
  <c r="BL125" i="9"/>
  <c r="AA125" i="9"/>
  <c r="AB125" i="9" s="1"/>
  <c r="V125" i="9"/>
  <c r="G170" i="8" s="1"/>
  <c r="T125" i="9"/>
  <c r="AY124" i="9"/>
  <c r="BO124" i="9"/>
  <c r="AX124" i="9"/>
  <c r="BI124" i="9"/>
  <c r="AQ124" i="9"/>
  <c r="BN124" i="9"/>
  <c r="AP124" i="9"/>
  <c r="BH124" i="9"/>
  <c r="AI124" i="9"/>
  <c r="BM124" i="9"/>
  <c r="BG124" i="9"/>
  <c r="AH124" i="9"/>
  <c r="AA124" i="9"/>
  <c r="BK124" i="9"/>
  <c r="BL124" i="9"/>
  <c r="Z124" i="9"/>
  <c r="BE124" i="9"/>
  <c r="BF124" i="9"/>
  <c r="T124" i="9"/>
  <c r="AY123" i="9"/>
  <c r="BO123" i="9"/>
  <c r="AX123" i="9"/>
  <c r="BI123" i="9"/>
  <c r="BN123" i="9"/>
  <c r="AQ123" i="9"/>
  <c r="AP123" i="9"/>
  <c r="BH123" i="9"/>
  <c r="BM123" i="9"/>
  <c r="AI123" i="9"/>
  <c r="BG123" i="9"/>
  <c r="AH123" i="9"/>
  <c r="BK123" i="9"/>
  <c r="BL123" i="9"/>
  <c r="AA123" i="9"/>
  <c r="BE123" i="9"/>
  <c r="BF123" i="9"/>
  <c r="Z123" i="9"/>
  <c r="T123" i="9"/>
  <c r="BO122" i="9"/>
  <c r="AY122" i="9"/>
  <c r="BI122" i="9"/>
  <c r="AX122" i="9"/>
  <c r="AQ122" i="9"/>
  <c r="BN122" i="9"/>
  <c r="AP122" i="9"/>
  <c r="BH122" i="9"/>
  <c r="AI122" i="9"/>
  <c r="BM122" i="9"/>
  <c r="BG122" i="9"/>
  <c r="AH122" i="9"/>
  <c r="AA122" i="9"/>
  <c r="BK122" i="9"/>
  <c r="BL122" i="9"/>
  <c r="BF122" i="9"/>
  <c r="BE122" i="9"/>
  <c r="Z122" i="9"/>
  <c r="T122" i="9"/>
  <c r="BI121" i="9"/>
  <c r="AX121" i="9"/>
  <c r="BH121" i="9"/>
  <c r="AP121" i="9"/>
  <c r="AH121" i="9"/>
  <c r="BG121" i="9"/>
  <c r="BF121" i="9"/>
  <c r="BE121" i="9"/>
  <c r="Z121" i="9"/>
  <c r="T121" i="9"/>
  <c r="BO120" i="9"/>
  <c r="AY120" i="9"/>
  <c r="AZ120" i="9" s="1"/>
  <c r="BN120" i="9"/>
  <c r="AQ120" i="9"/>
  <c r="AR120" i="9" s="1"/>
  <c r="BM120" i="9"/>
  <c r="AI120" i="9"/>
  <c r="AJ120" i="9" s="1"/>
  <c r="BL120" i="9"/>
  <c r="BK120" i="9"/>
  <c r="AA120" i="9"/>
  <c r="AB120" i="9" s="1"/>
  <c r="T120" i="9"/>
  <c r="AY119" i="9"/>
  <c r="BO119" i="9"/>
  <c r="AX119" i="9"/>
  <c r="BI119" i="9"/>
  <c r="BN119" i="9"/>
  <c r="AQ119" i="9"/>
  <c r="AP119" i="9"/>
  <c r="BH119" i="9"/>
  <c r="BM119" i="9"/>
  <c r="AI119" i="9"/>
  <c r="AH119" i="9"/>
  <c r="BG119" i="9"/>
  <c r="AA119" i="9"/>
  <c r="BL119" i="9"/>
  <c r="BK119" i="9"/>
  <c r="Z119" i="9"/>
  <c r="BE119" i="9"/>
  <c r="BF119" i="9"/>
  <c r="T119" i="9"/>
  <c r="BO118" i="9"/>
  <c r="AY118" i="9"/>
  <c r="BI118" i="9"/>
  <c r="AX118" i="9"/>
  <c r="BN118" i="9"/>
  <c r="AQ118" i="9"/>
  <c r="BH118" i="9"/>
  <c r="AP118" i="9"/>
  <c r="AI118" i="9"/>
  <c r="BM118" i="9"/>
  <c r="BG118" i="9"/>
  <c r="AH118" i="9"/>
  <c r="AA118" i="9"/>
  <c r="BK118" i="9"/>
  <c r="BL118" i="9"/>
  <c r="BF118" i="9"/>
  <c r="BE118" i="9"/>
  <c r="Z118" i="9"/>
  <c r="T118" i="9"/>
  <c r="BB117" i="9"/>
  <c r="AA132" i="8" s="1"/>
  <c r="BO117" i="9"/>
  <c r="AY117" i="9"/>
  <c r="AZ117" i="9" s="1"/>
  <c r="AT117" i="9"/>
  <c r="V132" i="8" s="1"/>
  <c r="BN117" i="9"/>
  <c r="AQ117" i="9"/>
  <c r="AR117" i="9" s="1"/>
  <c r="AL117" i="9"/>
  <c r="Q132" i="8" s="1"/>
  <c r="BM117" i="9"/>
  <c r="AI117" i="9"/>
  <c r="AJ117" i="9" s="1"/>
  <c r="AD117" i="9"/>
  <c r="L132" i="8" s="1"/>
  <c r="BL117" i="9"/>
  <c r="BK117" i="9"/>
  <c r="AA117" i="9"/>
  <c r="AB117" i="9" s="1"/>
  <c r="T117" i="9"/>
  <c r="V117" i="9"/>
  <c r="G132" i="8" s="1"/>
  <c r="BO116" i="9"/>
  <c r="AY116" i="9"/>
  <c r="AX116" i="9"/>
  <c r="BI116" i="9"/>
  <c r="BN116" i="9"/>
  <c r="AQ116" i="9"/>
  <c r="BH116" i="9"/>
  <c r="AP116" i="9"/>
  <c r="BM116" i="9"/>
  <c r="AI116" i="9"/>
  <c r="AH116" i="9"/>
  <c r="BG116" i="9"/>
  <c r="AA116" i="9"/>
  <c r="BK116" i="9"/>
  <c r="BL116" i="9"/>
  <c r="Z116" i="9"/>
  <c r="BE116" i="9"/>
  <c r="BF116" i="9"/>
  <c r="T116" i="9"/>
  <c r="AX115" i="9"/>
  <c r="BI115" i="9"/>
  <c r="AP115" i="9"/>
  <c r="BH115" i="9"/>
  <c r="AH115" i="9"/>
  <c r="BG115" i="9"/>
  <c r="BE115" i="9"/>
  <c r="Z115" i="9"/>
  <c r="BF115" i="9"/>
  <c r="T115" i="9"/>
  <c r="AY114" i="9"/>
  <c r="BO114" i="9"/>
  <c r="AX114" i="9"/>
  <c r="BI114" i="9"/>
  <c r="BN114" i="9"/>
  <c r="AQ114" i="9"/>
  <c r="AP114" i="9"/>
  <c r="BH114" i="9"/>
  <c r="BM114" i="9"/>
  <c r="AI114" i="9"/>
  <c r="AH114" i="9"/>
  <c r="BG114" i="9"/>
  <c r="BL114" i="9"/>
  <c r="AA114" i="9"/>
  <c r="BK114" i="9"/>
  <c r="BE114" i="9"/>
  <c r="Z114" i="9"/>
  <c r="BF114" i="9"/>
  <c r="T114" i="9"/>
  <c r="BO113" i="9"/>
  <c r="AY113" i="9"/>
  <c r="BI113" i="9"/>
  <c r="AX113" i="9"/>
  <c r="BN113" i="9"/>
  <c r="AQ113" i="9"/>
  <c r="AP113" i="9"/>
  <c r="BH113" i="9"/>
  <c r="AI113" i="9"/>
  <c r="BM113" i="9"/>
  <c r="AH113" i="9"/>
  <c r="BG113" i="9"/>
  <c r="BK113" i="9"/>
  <c r="BL113" i="9"/>
  <c r="AA113" i="9"/>
  <c r="BF113" i="9"/>
  <c r="Z113" i="9"/>
  <c r="BE113" i="9"/>
  <c r="T113" i="9"/>
  <c r="AY112" i="9"/>
  <c r="BO112" i="9"/>
  <c r="AX112" i="9"/>
  <c r="BI112" i="9"/>
  <c r="AQ112" i="9"/>
  <c r="BN112" i="9"/>
  <c r="BH112" i="9"/>
  <c r="AP112" i="9"/>
  <c r="BM112" i="9"/>
  <c r="AI112" i="9"/>
  <c r="BG112" i="9"/>
  <c r="AH112" i="9"/>
  <c r="BK112" i="9"/>
  <c r="AA112" i="9"/>
  <c r="BL112" i="9"/>
  <c r="BE112" i="9"/>
  <c r="BF112" i="9"/>
  <c r="Z112" i="9"/>
  <c r="T112" i="9"/>
  <c r="AY111" i="9"/>
  <c r="BO111" i="9"/>
  <c r="AX111" i="9"/>
  <c r="BI111" i="9"/>
  <c r="BN111" i="9"/>
  <c r="AQ111" i="9"/>
  <c r="AP111" i="9"/>
  <c r="BH111" i="9"/>
  <c r="BM111" i="9"/>
  <c r="AI111" i="9"/>
  <c r="AH111" i="9"/>
  <c r="BG111" i="9"/>
  <c r="BL111" i="9"/>
  <c r="BK111" i="9"/>
  <c r="AA111" i="9"/>
  <c r="BE111" i="9"/>
  <c r="BF111" i="9"/>
  <c r="Z111" i="9"/>
  <c r="T111" i="9"/>
  <c r="AX110" i="9"/>
  <c r="BI110" i="9"/>
  <c r="AP110" i="9"/>
  <c r="BH110" i="9"/>
  <c r="AH110" i="9"/>
  <c r="BG110" i="9"/>
  <c r="Z110" i="9"/>
  <c r="BF110" i="9"/>
  <c r="BE110" i="9"/>
  <c r="T110" i="9"/>
  <c r="AX109" i="9"/>
  <c r="BI109" i="9"/>
  <c r="AP109" i="9"/>
  <c r="BH109" i="9"/>
  <c r="BG109" i="9"/>
  <c r="AH109" i="9"/>
  <c r="Z109" i="9"/>
  <c r="BE109" i="9"/>
  <c r="BF109" i="9"/>
  <c r="T109" i="9"/>
  <c r="BB108" i="9"/>
  <c r="AA101" i="8" s="1"/>
  <c r="BO108" i="9"/>
  <c r="AY108" i="9"/>
  <c r="AZ108" i="9" s="1"/>
  <c r="AT108" i="9"/>
  <c r="V101" i="8" s="1"/>
  <c r="AQ108" i="9"/>
  <c r="AR108" i="9" s="1"/>
  <c r="BN108" i="9"/>
  <c r="AL108" i="9"/>
  <c r="Q101" i="8" s="1"/>
  <c r="BM108" i="9"/>
  <c r="AI108" i="9"/>
  <c r="AJ108" i="9" s="1"/>
  <c r="AD108" i="9"/>
  <c r="L101" i="8" s="1"/>
  <c r="AA108" i="9"/>
  <c r="AB108" i="9" s="1"/>
  <c r="BK108" i="9"/>
  <c r="BL108" i="9"/>
  <c r="T108" i="9"/>
  <c r="V108" i="9"/>
  <c r="G101" i="8" s="1"/>
  <c r="BI107" i="9"/>
  <c r="AX107" i="9"/>
  <c r="BH107" i="9"/>
  <c r="AP107" i="9"/>
  <c r="BG107" i="9"/>
  <c r="AH107" i="9"/>
  <c r="BF107" i="9"/>
  <c r="BE107" i="9"/>
  <c r="Z107" i="9"/>
  <c r="T107" i="9"/>
  <c r="BO106" i="9"/>
  <c r="AY106" i="9"/>
  <c r="BI106" i="9"/>
  <c r="AX106" i="9"/>
  <c r="AQ106" i="9"/>
  <c r="BN106" i="9"/>
  <c r="AP106" i="9"/>
  <c r="BH106" i="9"/>
  <c r="AI106" i="9"/>
  <c r="BM106" i="9"/>
  <c r="BG106" i="9"/>
  <c r="AH106" i="9"/>
  <c r="BL106" i="9"/>
  <c r="BK106" i="9"/>
  <c r="AA106" i="9"/>
  <c r="BE106" i="9"/>
  <c r="BF106" i="9"/>
  <c r="Z106" i="9"/>
  <c r="T106" i="9"/>
  <c r="AX105" i="9"/>
  <c r="BI105" i="9"/>
  <c r="BH105" i="9"/>
  <c r="AP105" i="9"/>
  <c r="BG105" i="9"/>
  <c r="AH105" i="9"/>
  <c r="BE105" i="9"/>
  <c r="Z105" i="9"/>
  <c r="BF105" i="9"/>
  <c r="T105" i="9"/>
  <c r="AX104" i="9"/>
  <c r="BI104" i="9"/>
  <c r="BH104" i="9"/>
  <c r="AP104" i="9"/>
  <c r="BG104" i="9"/>
  <c r="AH104" i="9"/>
  <c r="BF104" i="9"/>
  <c r="Z104" i="9"/>
  <c r="BE104" i="9"/>
  <c r="T104" i="9"/>
  <c r="AX103" i="9"/>
  <c r="BI103" i="9"/>
  <c r="BH103" i="9"/>
  <c r="AP103" i="9"/>
  <c r="BG103" i="9"/>
  <c r="AH103" i="9"/>
  <c r="BE103" i="9"/>
  <c r="BF103" i="9"/>
  <c r="Z103" i="9"/>
  <c r="T103" i="9"/>
  <c r="AX102" i="9"/>
  <c r="BI102" i="9"/>
  <c r="AP102" i="9"/>
  <c r="BH102" i="9"/>
  <c r="BG102" i="9"/>
  <c r="AH102" i="9"/>
  <c r="BE102" i="9"/>
  <c r="BF102" i="9"/>
  <c r="Z102" i="9"/>
  <c r="T102" i="9"/>
  <c r="AX101" i="9"/>
  <c r="BI101" i="9"/>
  <c r="AP101" i="9"/>
  <c r="BH101" i="9"/>
  <c r="AH101" i="9"/>
  <c r="BG101" i="9"/>
  <c r="Z101" i="9"/>
  <c r="BE101" i="9"/>
  <c r="BF101" i="9"/>
  <c r="T101" i="9"/>
  <c r="BI100" i="9"/>
  <c r="AX100" i="9"/>
  <c r="BH100" i="9"/>
  <c r="AP100" i="9"/>
  <c r="BG100" i="9"/>
  <c r="AH100" i="9"/>
  <c r="BE100" i="9"/>
  <c r="BF100" i="9"/>
  <c r="Z100" i="9"/>
  <c r="AX99" i="9"/>
  <c r="BI99" i="9"/>
  <c r="AP99" i="9"/>
  <c r="BH99" i="9"/>
  <c r="BG99" i="9"/>
  <c r="AH99" i="9"/>
  <c r="BF99" i="9"/>
  <c r="Z99" i="9"/>
  <c r="BE99" i="9"/>
  <c r="T99" i="9"/>
  <c r="BI98" i="9"/>
  <c r="AX98" i="9"/>
  <c r="AP98" i="9"/>
  <c r="BH98" i="9"/>
  <c r="AH98" i="9"/>
  <c r="BG98" i="9"/>
  <c r="Z98" i="9"/>
  <c r="BF98" i="9"/>
  <c r="BE98" i="9"/>
  <c r="T98" i="9"/>
  <c r="AY97" i="9"/>
  <c r="BO97" i="9"/>
  <c r="BI97" i="9"/>
  <c r="AX97" i="9"/>
  <c r="AQ97" i="9"/>
  <c r="BN97" i="9"/>
  <c r="AP97" i="9"/>
  <c r="BH97" i="9"/>
  <c r="AI97" i="9"/>
  <c r="BM97" i="9"/>
  <c r="AH97" i="9"/>
  <c r="BG97" i="9"/>
  <c r="BK97" i="9"/>
  <c r="BL97" i="9"/>
  <c r="AA97" i="9"/>
  <c r="BE97" i="9"/>
  <c r="BF97" i="9"/>
  <c r="Z97" i="9"/>
  <c r="T97" i="9"/>
  <c r="BI96" i="9"/>
  <c r="AX96" i="9"/>
  <c r="BH96" i="9"/>
  <c r="AP96" i="9"/>
  <c r="BG96" i="9"/>
  <c r="AH96" i="9"/>
  <c r="BE96" i="9"/>
  <c r="Z96" i="9"/>
  <c r="BF96" i="9"/>
  <c r="T96" i="9"/>
  <c r="AX95" i="9"/>
  <c r="BI95" i="9"/>
  <c r="BH95" i="9"/>
  <c r="AP95" i="9"/>
  <c r="AH95" i="9"/>
  <c r="BG95" i="9"/>
  <c r="Z95" i="9"/>
  <c r="BE95" i="9"/>
  <c r="BF95" i="9"/>
  <c r="T95" i="9"/>
  <c r="BI94" i="9"/>
  <c r="AX94" i="9"/>
  <c r="AP94" i="9"/>
  <c r="BH94" i="9"/>
  <c r="AH94" i="9"/>
  <c r="BG94" i="9"/>
  <c r="BF94" i="9"/>
  <c r="Z94" i="9"/>
  <c r="BE94" i="9"/>
  <c r="T94" i="9"/>
  <c r="AX93" i="9"/>
  <c r="BI93" i="9"/>
  <c r="AP93" i="9"/>
  <c r="BH93" i="9"/>
  <c r="AH93" i="9"/>
  <c r="BG93" i="9"/>
  <c r="BE93" i="9"/>
  <c r="Z93" i="9"/>
  <c r="BF93" i="9"/>
  <c r="T93" i="9"/>
  <c r="AY90" i="9"/>
  <c r="BO90" i="9"/>
  <c r="BI90" i="9"/>
  <c r="AX90" i="9"/>
  <c r="AQ90" i="9"/>
  <c r="BN90" i="9"/>
  <c r="AP90" i="9"/>
  <c r="BH90" i="9"/>
  <c r="AI90" i="9"/>
  <c r="BM90" i="9"/>
  <c r="AH90" i="9"/>
  <c r="BG90" i="9"/>
  <c r="BK90" i="9"/>
  <c r="BL90" i="9"/>
  <c r="AA90" i="9"/>
  <c r="Z90" i="9"/>
  <c r="BE90" i="9"/>
  <c r="BF90" i="9"/>
  <c r="T90" i="9"/>
  <c r="BI89" i="9"/>
  <c r="AX89" i="9"/>
  <c r="AP89" i="9"/>
  <c r="BH89" i="9"/>
  <c r="BG89" i="9"/>
  <c r="AH89" i="9"/>
  <c r="BE89" i="9"/>
  <c r="BF89" i="9"/>
  <c r="Z89" i="9"/>
  <c r="T89" i="9"/>
  <c r="AY88" i="9"/>
  <c r="BO88" i="9"/>
  <c r="AX88" i="9"/>
  <c r="BI88" i="9"/>
  <c r="AQ88" i="9"/>
  <c r="BN88" i="9"/>
  <c r="AP88" i="9"/>
  <c r="BH88" i="9"/>
  <c r="BM88" i="9"/>
  <c r="AI88" i="9"/>
  <c r="BG88" i="9"/>
  <c r="AH88" i="9"/>
  <c r="AA88" i="9"/>
  <c r="BK88" i="9"/>
  <c r="BL88" i="9"/>
  <c r="Z88" i="9"/>
  <c r="BE88" i="9"/>
  <c r="BF88" i="9"/>
  <c r="T88" i="9"/>
  <c r="AY87" i="9"/>
  <c r="BO87" i="9"/>
  <c r="AX87" i="9"/>
  <c r="BI87" i="9"/>
  <c r="AQ87" i="9"/>
  <c r="BN87" i="9"/>
  <c r="BH87" i="9"/>
  <c r="AP87" i="9"/>
  <c r="AI87" i="9"/>
  <c r="BM87" i="9"/>
  <c r="AH87" i="9"/>
  <c r="BG87" i="9"/>
  <c r="AA87" i="9"/>
  <c r="BL87" i="9"/>
  <c r="BK87" i="9"/>
  <c r="BF87" i="9"/>
  <c r="BE87" i="9"/>
  <c r="Z87" i="9"/>
  <c r="T87" i="9"/>
  <c r="AY86" i="9"/>
  <c r="BO86" i="9"/>
  <c r="AX86" i="9"/>
  <c r="BI86" i="9"/>
  <c r="BN86" i="9"/>
  <c r="AQ86" i="9"/>
  <c r="BH86" i="9"/>
  <c r="AP86" i="9"/>
  <c r="AI86" i="9"/>
  <c r="BM86" i="9"/>
  <c r="AH86" i="9"/>
  <c r="BG86" i="9"/>
  <c r="BK86" i="9"/>
  <c r="BL86" i="9"/>
  <c r="BE86" i="9"/>
  <c r="BF86" i="9"/>
  <c r="Z86" i="9"/>
  <c r="T86" i="9"/>
  <c r="AY85" i="9"/>
  <c r="BO85" i="9"/>
  <c r="BI85" i="9"/>
  <c r="AX85" i="9"/>
  <c r="BN85" i="9"/>
  <c r="AQ85" i="9"/>
  <c r="BH85" i="9"/>
  <c r="AP85" i="9"/>
  <c r="BM85" i="9"/>
  <c r="AI85" i="9"/>
  <c r="AH85" i="9"/>
  <c r="BG85" i="9"/>
  <c r="BL85" i="9"/>
  <c r="BK85" i="9"/>
  <c r="AA85" i="9"/>
  <c r="Z85" i="9"/>
  <c r="BE85" i="9"/>
  <c r="BF85" i="9"/>
  <c r="T85" i="9"/>
  <c r="BO84" i="9"/>
  <c r="AY84" i="9"/>
  <c r="BI84" i="9"/>
  <c r="AX84" i="9"/>
  <c r="AQ84" i="9"/>
  <c r="BN84" i="9"/>
  <c r="AP84" i="9"/>
  <c r="BH84" i="9"/>
  <c r="BM84" i="9"/>
  <c r="AI84" i="9"/>
  <c r="AH84" i="9"/>
  <c r="BG84" i="9"/>
  <c r="BL84" i="9"/>
  <c r="BK84" i="9"/>
  <c r="AA84" i="9"/>
  <c r="Z84" i="9"/>
  <c r="BF84" i="9"/>
  <c r="BE84" i="9"/>
  <c r="T84" i="9"/>
  <c r="BO83" i="9"/>
  <c r="AY83" i="9"/>
  <c r="AX83" i="9"/>
  <c r="BI83" i="9"/>
  <c r="BN83" i="9"/>
  <c r="AQ83" i="9"/>
  <c r="BH83" i="9"/>
  <c r="AP83" i="9"/>
  <c r="AI83" i="9"/>
  <c r="BM83" i="9"/>
  <c r="BG83" i="9"/>
  <c r="AH83" i="9"/>
  <c r="BK83" i="9"/>
  <c r="AA83" i="9"/>
  <c r="BL83" i="9"/>
  <c r="BE83" i="9"/>
  <c r="Z83" i="9"/>
  <c r="BF83" i="9"/>
  <c r="T83" i="9"/>
  <c r="BO82" i="9"/>
  <c r="AY82" i="9"/>
  <c r="BC82" i="9" s="1"/>
  <c r="AB58" i="8" s="1"/>
  <c r="AX82" i="9"/>
  <c r="BI82" i="9"/>
  <c r="BN82" i="9"/>
  <c r="AQ82" i="9"/>
  <c r="AU82" i="9" s="1"/>
  <c r="W58" i="8" s="1"/>
  <c r="AP82" i="9"/>
  <c r="BH82" i="9"/>
  <c r="AI82" i="9"/>
  <c r="AM82" i="9" s="1"/>
  <c r="R58" i="8" s="1"/>
  <c r="BM82" i="9"/>
  <c r="AH82" i="9"/>
  <c r="BG82" i="9"/>
  <c r="BK82" i="9"/>
  <c r="BL82" i="9"/>
  <c r="AA82" i="9"/>
  <c r="AE82" i="9" s="1"/>
  <c r="M58" i="8" s="1"/>
  <c r="BF82" i="9"/>
  <c r="Z82" i="9"/>
  <c r="BE82" i="9"/>
  <c r="T82" i="9"/>
  <c r="V82" i="9"/>
  <c r="G58" i="8" s="1"/>
  <c r="BO81" i="9"/>
  <c r="AY81" i="9"/>
  <c r="AX81" i="9"/>
  <c r="BI81" i="9"/>
  <c r="AQ81" i="9"/>
  <c r="BN81" i="9"/>
  <c r="AP81" i="9"/>
  <c r="BH81" i="9"/>
  <c r="AI81" i="9"/>
  <c r="BM81" i="9"/>
  <c r="AH81" i="9"/>
  <c r="BG81" i="9"/>
  <c r="AA81" i="9"/>
  <c r="BL81" i="9"/>
  <c r="BK81" i="9"/>
  <c r="BE81" i="9"/>
  <c r="BF81" i="9"/>
  <c r="Z81" i="9"/>
  <c r="T81" i="9"/>
  <c r="AY80" i="9"/>
  <c r="BO80" i="9"/>
  <c r="BI80" i="9"/>
  <c r="AX80" i="9"/>
  <c r="AQ80" i="9"/>
  <c r="BN80" i="9"/>
  <c r="AP80" i="9"/>
  <c r="BH80" i="9"/>
  <c r="AI80" i="9"/>
  <c r="BM80" i="9"/>
  <c r="AH80" i="9"/>
  <c r="BG80" i="9"/>
  <c r="AA80" i="9"/>
  <c r="BL80" i="9"/>
  <c r="BK80" i="9"/>
  <c r="BF80" i="9"/>
  <c r="Z80" i="9"/>
  <c r="BE80" i="9"/>
  <c r="T80" i="9"/>
  <c r="AY79" i="9"/>
  <c r="BO79" i="9"/>
  <c r="BI79" i="9"/>
  <c r="AX79" i="9"/>
  <c r="AQ79" i="9"/>
  <c r="BN79" i="9"/>
  <c r="AP79" i="9"/>
  <c r="BH79" i="9"/>
  <c r="AI79" i="9"/>
  <c r="BM79" i="9"/>
  <c r="BG79" i="9"/>
  <c r="AH79" i="9"/>
  <c r="AA79" i="9"/>
  <c r="BL79" i="9"/>
  <c r="BK79" i="9"/>
  <c r="BF79" i="9"/>
  <c r="BE79" i="9"/>
  <c r="Z79" i="9"/>
  <c r="T79" i="9"/>
  <c r="BO78" i="9"/>
  <c r="AY78" i="9"/>
  <c r="BC78" i="9" s="1"/>
  <c r="AB36" i="8" s="1"/>
  <c r="BI78" i="9"/>
  <c r="AX78" i="9"/>
  <c r="BN78" i="9"/>
  <c r="AQ78" i="9"/>
  <c r="AT78" i="9"/>
  <c r="V36" i="8" s="1"/>
  <c r="BM78" i="9"/>
  <c r="AI78" i="9"/>
  <c r="AM78" i="9" s="1"/>
  <c r="R36" i="8" s="1"/>
  <c r="AH78" i="9"/>
  <c r="BG78" i="9"/>
  <c r="AA78" i="9"/>
  <c r="AE78" i="9" s="1"/>
  <c r="M36" i="8" s="1"/>
  <c r="BK78" i="9"/>
  <c r="BL78" i="9"/>
  <c r="Z78" i="9"/>
  <c r="BF78" i="9"/>
  <c r="BE78" i="9"/>
  <c r="T78" i="9"/>
  <c r="V78" i="9"/>
  <c r="G36" i="8" s="1"/>
  <c r="AY77" i="9"/>
  <c r="BO77" i="9"/>
  <c r="BI77" i="9"/>
  <c r="AX77" i="9"/>
  <c r="AQ77" i="9"/>
  <c r="BN77" i="9"/>
  <c r="BH77" i="9"/>
  <c r="AP77" i="9"/>
  <c r="BM77" i="9"/>
  <c r="AI77" i="9"/>
  <c r="AH77" i="9"/>
  <c r="BG77" i="9"/>
  <c r="BL77" i="9"/>
  <c r="AA77" i="9"/>
  <c r="BK77" i="9"/>
  <c r="BF77" i="9"/>
  <c r="Z77" i="9"/>
  <c r="BE77" i="9"/>
  <c r="T77" i="9"/>
  <c r="BO76" i="9"/>
  <c r="AY76" i="9"/>
  <c r="AX76" i="9"/>
  <c r="BI76" i="9"/>
  <c r="AQ76" i="9"/>
  <c r="BN76" i="9"/>
  <c r="BH76" i="9"/>
  <c r="AP76" i="9"/>
  <c r="AI76" i="9"/>
  <c r="BM76" i="9"/>
  <c r="BG76" i="9"/>
  <c r="AH76" i="9"/>
  <c r="BL76" i="9"/>
  <c r="AA76" i="9"/>
  <c r="BK76" i="9"/>
  <c r="BF76" i="9"/>
  <c r="BE76" i="9"/>
  <c r="Z76" i="9"/>
  <c r="T76" i="9"/>
  <c r="BO75" i="9"/>
  <c r="AY75" i="9"/>
  <c r="AX75" i="9"/>
  <c r="BI75" i="9"/>
  <c r="BN75" i="9"/>
  <c r="AQ75" i="9"/>
  <c r="AP75" i="9"/>
  <c r="BH75" i="9"/>
  <c r="BM75" i="9"/>
  <c r="AI75" i="9"/>
  <c r="AH75" i="9"/>
  <c r="BG75" i="9"/>
  <c r="AA75" i="9"/>
  <c r="BK75" i="9"/>
  <c r="BL75" i="9"/>
  <c r="BF75" i="9"/>
  <c r="BE75" i="9"/>
  <c r="Z75" i="9"/>
  <c r="T75" i="9"/>
  <c r="AY72" i="9"/>
  <c r="BO72" i="9"/>
  <c r="AQ72" i="9"/>
  <c r="BN72" i="9"/>
  <c r="AI72" i="9"/>
  <c r="BM72" i="9"/>
  <c r="AA72" i="9"/>
  <c r="BK72" i="9"/>
  <c r="BL72" i="9"/>
  <c r="T72" i="9"/>
  <c r="AZ71" i="9"/>
  <c r="AR71" i="9"/>
  <c r="AJ71" i="9"/>
  <c r="AB71" i="9"/>
  <c r="T71" i="9"/>
  <c r="BO70" i="9"/>
  <c r="AY70" i="9"/>
  <c r="BI70" i="9"/>
  <c r="AX70" i="9"/>
  <c r="BN70" i="9"/>
  <c r="AQ70" i="9"/>
  <c r="BH70" i="9"/>
  <c r="AP70" i="9"/>
  <c r="AI70" i="9"/>
  <c r="BM70" i="9"/>
  <c r="AH70" i="9"/>
  <c r="BG70" i="9"/>
  <c r="AA70" i="9"/>
  <c r="BL70" i="9"/>
  <c r="BK70" i="9"/>
  <c r="BE70" i="9"/>
  <c r="Z70" i="9"/>
  <c r="BF70" i="9"/>
  <c r="T70" i="9"/>
  <c r="BO69" i="9"/>
  <c r="AY69" i="9"/>
  <c r="BI69" i="9"/>
  <c r="AX69" i="9"/>
  <c r="AQ69" i="9"/>
  <c r="BN69" i="9"/>
  <c r="BH69" i="9"/>
  <c r="AP69" i="9"/>
  <c r="BM69" i="9"/>
  <c r="AI69" i="9"/>
  <c r="AH69" i="9"/>
  <c r="BG69" i="9"/>
  <c r="AA69" i="9"/>
  <c r="BL69" i="9"/>
  <c r="BK69" i="9"/>
  <c r="Z69" i="9"/>
  <c r="BE69" i="9"/>
  <c r="BF69" i="9"/>
  <c r="T69" i="9"/>
  <c r="AY66" i="9"/>
  <c r="BO66" i="9"/>
  <c r="BI66" i="9"/>
  <c r="AX66" i="9"/>
  <c r="BN66" i="9"/>
  <c r="AQ66" i="9"/>
  <c r="BH66" i="9"/>
  <c r="AP66" i="9"/>
  <c r="AI66" i="9"/>
  <c r="BM66" i="9"/>
  <c r="AH66" i="9"/>
  <c r="BG66" i="9"/>
  <c r="BK66" i="9"/>
  <c r="AA66" i="9"/>
  <c r="BL66" i="9"/>
  <c r="Z66" i="9"/>
  <c r="BF66" i="9"/>
  <c r="BE66" i="9"/>
  <c r="T66" i="9"/>
  <c r="BO65" i="9"/>
  <c r="AY65" i="9"/>
  <c r="BI65" i="9"/>
  <c r="AX65" i="9"/>
  <c r="BN65" i="9"/>
  <c r="AQ65" i="9"/>
  <c r="AP65" i="9"/>
  <c r="BH65" i="9"/>
  <c r="AI65" i="9"/>
  <c r="BM65" i="9"/>
  <c r="AH65" i="9"/>
  <c r="BG65" i="9"/>
  <c r="BL65" i="9"/>
  <c r="BK65" i="9"/>
  <c r="AA65" i="9"/>
  <c r="BE65" i="9"/>
  <c r="Z65" i="9"/>
  <c r="BF65" i="9"/>
  <c r="T65" i="9"/>
  <c r="BO64" i="9"/>
  <c r="AY64" i="9"/>
  <c r="BI64" i="9"/>
  <c r="AX64" i="9"/>
  <c r="BN64" i="9"/>
  <c r="AQ64" i="9"/>
  <c r="AP64" i="9"/>
  <c r="BH64" i="9"/>
  <c r="AI64" i="9"/>
  <c r="BM64" i="9"/>
  <c r="BG64" i="9"/>
  <c r="AH64" i="9"/>
  <c r="BL64" i="9"/>
  <c r="BK64" i="9"/>
  <c r="AA64" i="9"/>
  <c r="BF64" i="9"/>
  <c r="BE64" i="9"/>
  <c r="Z64" i="9"/>
  <c r="T64" i="9"/>
  <c r="BO63" i="9"/>
  <c r="AY63" i="9"/>
  <c r="BI63" i="9"/>
  <c r="AX63" i="9"/>
  <c r="AQ63" i="9"/>
  <c r="BN63" i="9"/>
  <c r="AP63" i="9"/>
  <c r="BH63" i="9"/>
  <c r="BM63" i="9"/>
  <c r="AI63" i="9"/>
  <c r="BG63" i="9"/>
  <c r="AH63" i="9"/>
  <c r="AA63" i="9"/>
  <c r="BL63" i="9"/>
  <c r="BK63" i="9"/>
  <c r="BF63" i="9"/>
  <c r="BE63" i="9"/>
  <c r="Z63" i="9"/>
  <c r="T63" i="9"/>
  <c r="BO62" i="9"/>
  <c r="AY62" i="9"/>
  <c r="BI62" i="9"/>
  <c r="AX62" i="9"/>
  <c r="BN62" i="9"/>
  <c r="AQ62" i="9"/>
  <c r="AP62" i="9"/>
  <c r="BH62" i="9"/>
  <c r="AI62" i="9"/>
  <c r="BM62" i="9"/>
  <c r="BG62" i="9"/>
  <c r="AH62" i="9"/>
  <c r="AA62" i="9"/>
  <c r="BK62" i="9"/>
  <c r="BL62" i="9"/>
  <c r="Z62" i="9"/>
  <c r="BF62" i="9"/>
  <c r="BE62" i="9"/>
  <c r="T62" i="9"/>
  <c r="AY61" i="9"/>
  <c r="BO61" i="9"/>
  <c r="BI61" i="9"/>
  <c r="AX61" i="9"/>
  <c r="AQ61" i="9"/>
  <c r="BN61" i="9"/>
  <c r="BH61" i="9"/>
  <c r="AP61" i="9"/>
  <c r="AI61" i="9"/>
  <c r="BM61" i="9"/>
  <c r="AH61" i="9"/>
  <c r="BG61" i="9"/>
  <c r="BL61" i="9"/>
  <c r="BK61" i="9"/>
  <c r="AA61" i="9"/>
  <c r="BF61" i="9"/>
  <c r="BE61" i="9"/>
  <c r="Z61" i="9"/>
  <c r="T61" i="9"/>
  <c r="BO60" i="9"/>
  <c r="AY60" i="9"/>
  <c r="BI60" i="9"/>
  <c r="AX60" i="9"/>
  <c r="BN60" i="9"/>
  <c r="AQ60" i="9"/>
  <c r="AP60" i="9"/>
  <c r="BH60" i="9"/>
  <c r="AI60" i="9"/>
  <c r="BM60" i="9"/>
  <c r="AH60" i="9"/>
  <c r="BG60" i="9"/>
  <c r="BL60" i="9"/>
  <c r="BK60" i="9"/>
  <c r="AA60" i="9"/>
  <c r="Z60" i="9"/>
  <c r="BE60" i="9"/>
  <c r="BF60" i="9"/>
  <c r="T60" i="9"/>
  <c r="BO59" i="9"/>
  <c r="AY59" i="9"/>
  <c r="BI59" i="9"/>
  <c r="AX59" i="9"/>
  <c r="BN59" i="9"/>
  <c r="AQ59" i="9"/>
  <c r="AP59" i="9"/>
  <c r="BH59" i="9"/>
  <c r="AI59" i="9"/>
  <c r="BM59" i="9"/>
  <c r="AH59" i="9"/>
  <c r="BG59" i="9"/>
  <c r="BK59" i="9"/>
  <c r="BL59" i="9"/>
  <c r="AA59" i="9"/>
  <c r="Z59" i="9"/>
  <c r="BE59" i="9"/>
  <c r="BF59" i="9"/>
  <c r="T59" i="9"/>
  <c r="BO58" i="9"/>
  <c r="AY58" i="9"/>
  <c r="BI58" i="9"/>
  <c r="AX58" i="9"/>
  <c r="AQ58" i="9"/>
  <c r="BN58" i="9"/>
  <c r="BH58" i="9"/>
  <c r="AP58" i="9"/>
  <c r="AI58" i="9"/>
  <c r="BM58" i="9"/>
  <c r="AH58" i="9"/>
  <c r="BG58" i="9"/>
  <c r="AA58" i="9"/>
  <c r="BL58" i="9"/>
  <c r="BK58" i="9"/>
  <c r="Z58" i="9"/>
  <c r="BF58" i="9"/>
  <c r="BE58" i="9"/>
  <c r="T58" i="9"/>
  <c r="BO57" i="9"/>
  <c r="AY57" i="9"/>
  <c r="AX57" i="9"/>
  <c r="BI57" i="9"/>
  <c r="BN57" i="9"/>
  <c r="AQ57" i="9"/>
  <c r="BH57" i="9"/>
  <c r="AP57" i="9"/>
  <c r="AI57" i="9"/>
  <c r="BM57" i="9"/>
  <c r="AH57" i="9"/>
  <c r="BG57" i="9"/>
  <c r="AA57" i="9"/>
  <c r="BL57" i="9"/>
  <c r="BK57" i="9"/>
  <c r="BE57" i="9"/>
  <c r="BF57" i="9"/>
  <c r="Z57" i="9"/>
  <c r="T57" i="9"/>
  <c r="BO56" i="9"/>
  <c r="AY56" i="9"/>
  <c r="BI56" i="9"/>
  <c r="AX56" i="9"/>
  <c r="BN56" i="9"/>
  <c r="AQ56" i="9"/>
  <c r="AP56" i="9"/>
  <c r="BH56" i="9"/>
  <c r="BM56" i="9"/>
  <c r="AI56" i="9"/>
  <c r="BG56" i="9"/>
  <c r="AH56" i="9"/>
  <c r="BL56" i="9"/>
  <c r="BK56" i="9"/>
  <c r="AA56" i="9"/>
  <c r="BF56" i="9"/>
  <c r="BE56" i="9"/>
  <c r="Z56" i="9"/>
  <c r="T56" i="9"/>
  <c r="BO55" i="9"/>
  <c r="AY55" i="9"/>
  <c r="AX55" i="9"/>
  <c r="BI55" i="9"/>
  <c r="BN55" i="9"/>
  <c r="AQ55" i="9"/>
  <c r="BH55" i="9"/>
  <c r="AP55" i="9"/>
  <c r="BM55" i="9"/>
  <c r="AI55" i="9"/>
  <c r="BG55" i="9"/>
  <c r="AH55" i="9"/>
  <c r="BK55" i="9"/>
  <c r="BL55" i="9"/>
  <c r="AA55" i="9"/>
  <c r="Z55" i="9"/>
  <c r="BE55" i="9"/>
  <c r="BF55" i="9"/>
  <c r="T55" i="9"/>
  <c r="BO54" i="9"/>
  <c r="AY54" i="9"/>
  <c r="AX54" i="9"/>
  <c r="BI54" i="9"/>
  <c r="AQ54" i="9"/>
  <c r="BN54" i="9"/>
  <c r="BH54" i="9"/>
  <c r="AP54" i="9"/>
  <c r="AI54" i="9"/>
  <c r="BM54" i="9"/>
  <c r="BG54" i="9"/>
  <c r="AH54" i="9"/>
  <c r="BK54" i="9"/>
  <c r="AA54" i="9"/>
  <c r="BL54" i="9"/>
  <c r="BE54" i="9"/>
  <c r="Z54" i="9"/>
  <c r="BF54" i="9"/>
  <c r="T54" i="9"/>
  <c r="AY53" i="9"/>
  <c r="BO53" i="9"/>
  <c r="AX53" i="9"/>
  <c r="BI53" i="9"/>
  <c r="AQ53" i="9"/>
  <c r="BN53" i="9"/>
  <c r="AP53" i="9"/>
  <c r="BH53" i="9"/>
  <c r="AI53" i="9"/>
  <c r="BM53" i="9"/>
  <c r="AH53" i="9"/>
  <c r="BG53" i="9"/>
  <c r="AA53" i="9"/>
  <c r="BL53" i="9"/>
  <c r="BK53" i="9"/>
  <c r="Z53" i="9"/>
  <c r="BE53" i="9"/>
  <c r="BF53" i="9"/>
  <c r="T53" i="9"/>
  <c r="BO52" i="9"/>
  <c r="AY52" i="9"/>
  <c r="AX52" i="9"/>
  <c r="BI52" i="9"/>
  <c r="AQ52" i="9"/>
  <c r="BN52" i="9"/>
  <c r="BH52" i="9"/>
  <c r="AP52" i="9"/>
  <c r="BM52" i="9"/>
  <c r="AI52" i="9"/>
  <c r="BG52" i="9"/>
  <c r="AH52" i="9"/>
  <c r="BK52" i="9"/>
  <c r="AA52" i="9"/>
  <c r="BL52" i="9"/>
  <c r="Z52" i="9"/>
  <c r="BE52" i="9"/>
  <c r="BF52" i="9"/>
  <c r="T52" i="9"/>
  <c r="BO51" i="9"/>
  <c r="AY51" i="9"/>
  <c r="AX51" i="9"/>
  <c r="BI51" i="9"/>
  <c r="BN51" i="9"/>
  <c r="AQ51" i="9"/>
  <c r="BH51" i="9"/>
  <c r="AP51" i="9"/>
  <c r="AI51" i="9"/>
  <c r="BM51" i="9"/>
  <c r="BG51" i="9"/>
  <c r="AH51" i="9"/>
  <c r="BK51" i="9"/>
  <c r="BL51" i="9"/>
  <c r="AA51" i="9"/>
  <c r="AB51" i="9" s="1"/>
  <c r="BF51" i="9"/>
  <c r="BE51" i="9"/>
  <c r="T51" i="9"/>
  <c r="BO50" i="9"/>
  <c r="AY50" i="9"/>
  <c r="AX50" i="9"/>
  <c r="BI50" i="9"/>
  <c r="AQ50" i="9"/>
  <c r="BN50" i="9"/>
  <c r="AP50" i="9"/>
  <c r="BH50" i="9"/>
  <c r="BM50" i="9"/>
  <c r="AI50" i="9"/>
  <c r="BG50" i="9"/>
  <c r="AH50" i="9"/>
  <c r="AA50" i="9"/>
  <c r="BL50" i="9"/>
  <c r="BK50" i="9"/>
  <c r="Z50" i="9"/>
  <c r="BF50" i="9"/>
  <c r="BE50" i="9"/>
  <c r="T50" i="9"/>
  <c r="AY47" i="9"/>
  <c r="BO47" i="9"/>
  <c r="AX47" i="9"/>
  <c r="BI47" i="9"/>
  <c r="AQ47" i="9"/>
  <c r="BN47" i="9"/>
  <c r="BH47" i="9"/>
  <c r="AP47" i="9"/>
  <c r="BM47" i="9"/>
  <c r="AI47" i="9"/>
  <c r="AH47" i="9"/>
  <c r="BG47" i="9"/>
  <c r="AA47" i="9"/>
  <c r="BK47" i="9"/>
  <c r="BL47" i="9"/>
  <c r="Z47" i="9"/>
  <c r="BF47" i="9"/>
  <c r="BE47" i="9"/>
  <c r="T47" i="9"/>
  <c r="AY44" i="9"/>
  <c r="BO44" i="9"/>
  <c r="AX44" i="9"/>
  <c r="BI44" i="9"/>
  <c r="BN44" i="9"/>
  <c r="AQ44" i="9"/>
  <c r="AP44" i="9"/>
  <c r="BM44" i="9"/>
  <c r="AI44" i="9"/>
  <c r="AH44" i="9"/>
  <c r="BG44" i="9"/>
  <c r="AA44" i="9"/>
  <c r="BL44" i="9"/>
  <c r="BK44" i="9"/>
  <c r="BF44" i="9"/>
  <c r="Z44" i="9"/>
  <c r="BE44" i="9"/>
  <c r="T44" i="9"/>
  <c r="AX41" i="9"/>
  <c r="BI41" i="9"/>
  <c r="AP41" i="9"/>
  <c r="BH41" i="9"/>
  <c r="AH41" i="9"/>
  <c r="BG41" i="9"/>
  <c r="BF41" i="9"/>
  <c r="Z41" i="9"/>
  <c r="BE41" i="9"/>
  <c r="V41" i="9"/>
  <c r="G127" i="8" s="1"/>
  <c r="T41" i="9"/>
  <c r="BI40" i="9"/>
  <c r="AX40" i="9"/>
  <c r="AP40" i="9"/>
  <c r="BH40" i="9"/>
  <c r="AH40" i="9"/>
  <c r="BG40" i="9"/>
  <c r="Z40" i="9"/>
  <c r="BE40" i="9"/>
  <c r="BF40" i="9"/>
  <c r="T40" i="9"/>
  <c r="BO39" i="9"/>
  <c r="AY39" i="9"/>
  <c r="BI39" i="9"/>
  <c r="AX39" i="9"/>
  <c r="BN39" i="9"/>
  <c r="AQ39" i="9"/>
  <c r="BH39" i="9"/>
  <c r="AP39" i="9"/>
  <c r="BM39" i="9"/>
  <c r="AI39" i="9"/>
  <c r="BG39" i="9"/>
  <c r="AH39" i="9"/>
  <c r="BK39" i="9"/>
  <c r="AA39" i="9"/>
  <c r="BL39" i="9"/>
  <c r="Z39" i="9"/>
  <c r="BF39" i="9"/>
  <c r="BE39" i="9"/>
  <c r="T39" i="9"/>
  <c r="BO38" i="9"/>
  <c r="AY38" i="9"/>
  <c r="BI38" i="9"/>
  <c r="AX38" i="9"/>
  <c r="BN38" i="9"/>
  <c r="AQ38" i="9"/>
  <c r="BH38" i="9"/>
  <c r="AP38" i="9"/>
  <c r="BM38" i="9"/>
  <c r="AI38" i="9"/>
  <c r="BG38" i="9"/>
  <c r="AH38" i="9"/>
  <c r="AA38" i="9"/>
  <c r="BK38" i="9"/>
  <c r="BL38" i="9"/>
  <c r="BF38" i="9"/>
  <c r="BE38" i="9"/>
  <c r="Z38" i="9"/>
  <c r="T38" i="9"/>
  <c r="AY37" i="9"/>
  <c r="BO37" i="9"/>
  <c r="BI37" i="9"/>
  <c r="AX37" i="9"/>
  <c r="AQ37" i="9"/>
  <c r="BN37" i="9"/>
  <c r="BH37" i="9"/>
  <c r="AP37" i="9"/>
  <c r="AI37" i="9"/>
  <c r="BM37" i="9"/>
  <c r="AH37" i="9"/>
  <c r="BG37" i="9"/>
  <c r="AA37" i="9"/>
  <c r="BL37" i="9"/>
  <c r="BK37" i="9"/>
  <c r="Z37" i="9"/>
  <c r="BF37" i="9"/>
  <c r="BE37" i="9"/>
  <c r="T37" i="9"/>
  <c r="BO36" i="9"/>
  <c r="AY36" i="9"/>
  <c r="AX36" i="9"/>
  <c r="BI36" i="9"/>
  <c r="BN36" i="9"/>
  <c r="AQ36" i="9"/>
  <c r="BH36" i="9"/>
  <c r="AP36" i="9"/>
  <c r="AI36" i="9"/>
  <c r="BM36" i="9"/>
  <c r="AH36" i="9"/>
  <c r="BG36" i="9"/>
  <c r="BK36" i="9"/>
  <c r="AA36" i="9"/>
  <c r="BL36" i="9"/>
  <c r="BF36" i="9"/>
  <c r="Z36" i="9"/>
  <c r="BE36" i="9"/>
  <c r="T36" i="9"/>
  <c r="BO35" i="9"/>
  <c r="AY35" i="9"/>
  <c r="AX35" i="9"/>
  <c r="BI35" i="9"/>
  <c r="BN35" i="9"/>
  <c r="AQ35" i="9"/>
  <c r="BH35" i="9"/>
  <c r="AP35" i="9"/>
  <c r="BM35" i="9"/>
  <c r="AI35" i="9"/>
  <c r="BG35" i="9"/>
  <c r="AH35" i="9"/>
  <c r="BK35" i="9"/>
  <c r="AA35" i="9"/>
  <c r="BL35" i="9"/>
  <c r="BE35" i="9"/>
  <c r="BF35" i="9"/>
  <c r="Z35" i="9"/>
  <c r="T35" i="9"/>
  <c r="AY34" i="9"/>
  <c r="BO34" i="9"/>
  <c r="BI34" i="9"/>
  <c r="AX34" i="9"/>
  <c r="BN34" i="9"/>
  <c r="AQ34" i="9"/>
  <c r="BH34" i="9"/>
  <c r="AP34" i="9"/>
  <c r="AI34" i="9"/>
  <c r="BM34" i="9"/>
  <c r="BG34" i="9"/>
  <c r="AH34" i="9"/>
  <c r="BK34" i="9"/>
  <c r="AA34" i="9"/>
  <c r="BL34" i="9"/>
  <c r="Z34" i="9"/>
  <c r="BF34" i="9"/>
  <c r="BE34" i="9"/>
  <c r="T34" i="9"/>
  <c r="BO33" i="9"/>
  <c r="AY33" i="9"/>
  <c r="BI33" i="9"/>
  <c r="AX33" i="9"/>
  <c r="BN33" i="9"/>
  <c r="AQ33" i="9"/>
  <c r="AP33" i="9"/>
  <c r="BH33" i="9"/>
  <c r="AI33" i="9"/>
  <c r="BM33" i="9"/>
  <c r="AH33" i="9"/>
  <c r="BG33" i="9"/>
  <c r="BK33" i="9"/>
  <c r="AA33" i="9"/>
  <c r="BL33" i="9"/>
  <c r="Z33" i="9"/>
  <c r="BE33" i="9"/>
  <c r="BF33" i="9"/>
  <c r="T33" i="9"/>
  <c r="BO32" i="9"/>
  <c r="AY32" i="9"/>
  <c r="AX32" i="9"/>
  <c r="BI32" i="9"/>
  <c r="AQ32" i="9"/>
  <c r="BN32" i="9"/>
  <c r="BH32" i="9"/>
  <c r="AP32" i="9"/>
  <c r="AI32" i="9"/>
  <c r="BM32" i="9"/>
  <c r="AH32" i="9"/>
  <c r="BG32" i="9"/>
  <c r="BL32" i="9"/>
  <c r="AA32" i="9"/>
  <c r="BK32" i="9"/>
  <c r="BE32" i="9"/>
  <c r="Z32" i="9"/>
  <c r="BF32" i="9"/>
  <c r="T32" i="9"/>
  <c r="AY31" i="9"/>
  <c r="BO31" i="9"/>
  <c r="BI31" i="9"/>
  <c r="AX31" i="9"/>
  <c r="AQ31" i="9"/>
  <c r="BN31" i="9"/>
  <c r="AP31" i="9"/>
  <c r="BH31" i="9"/>
  <c r="BM31" i="9"/>
  <c r="AI31" i="9"/>
  <c r="AH31" i="9"/>
  <c r="BG31" i="9"/>
  <c r="AA31" i="9"/>
  <c r="BL31" i="9"/>
  <c r="BK31" i="9"/>
  <c r="BE31" i="9"/>
  <c r="Z31" i="9"/>
  <c r="BF31" i="9"/>
  <c r="T31" i="9"/>
  <c r="BO30" i="9"/>
  <c r="AY30" i="9"/>
  <c r="BI30" i="9"/>
  <c r="AX30" i="9"/>
  <c r="BN30" i="9"/>
  <c r="AQ30" i="9"/>
  <c r="AP30" i="9"/>
  <c r="BH30" i="9"/>
  <c r="BM30" i="9"/>
  <c r="AI30" i="9"/>
  <c r="BG30" i="9"/>
  <c r="AH30" i="9"/>
  <c r="BL30" i="9"/>
  <c r="BK30" i="9"/>
  <c r="AA30" i="9"/>
  <c r="Z30" i="9"/>
  <c r="BE30" i="9"/>
  <c r="BF30" i="9"/>
  <c r="T30" i="9"/>
  <c r="V30" i="9"/>
  <c r="G23" i="8" s="1"/>
  <c r="BO27" i="9"/>
  <c r="AY27" i="9"/>
  <c r="AX27" i="9"/>
  <c r="BI27" i="9"/>
  <c r="BN27" i="9"/>
  <c r="AQ27" i="9"/>
  <c r="AP27" i="9"/>
  <c r="BH27" i="9"/>
  <c r="BM27" i="9"/>
  <c r="AI27" i="9"/>
  <c r="BG27" i="9"/>
  <c r="AH27" i="9"/>
  <c r="BL27" i="9"/>
  <c r="BK27" i="9"/>
  <c r="AA27" i="9"/>
  <c r="BE27" i="9"/>
  <c r="BF27" i="9"/>
  <c r="Z27" i="9"/>
  <c r="T27" i="9"/>
  <c r="AY26" i="9"/>
  <c r="BO26" i="9"/>
  <c r="AX26" i="9"/>
  <c r="BI26" i="9"/>
  <c r="BN26" i="9"/>
  <c r="AQ26" i="9"/>
  <c r="AP26" i="9"/>
  <c r="BH26" i="9"/>
  <c r="BM26" i="9"/>
  <c r="AI26" i="9"/>
  <c r="AH26" i="9"/>
  <c r="BG26" i="9"/>
  <c r="AA26" i="9"/>
  <c r="BL26" i="9"/>
  <c r="BK26" i="9"/>
  <c r="BE26" i="9"/>
  <c r="BF26" i="9"/>
  <c r="Z26" i="9"/>
  <c r="T26" i="9"/>
  <c r="AY25" i="9"/>
  <c r="BO25" i="9"/>
  <c r="BI25" i="9"/>
  <c r="AX25" i="9"/>
  <c r="AQ25" i="9"/>
  <c r="BN25" i="9"/>
  <c r="BH25" i="9"/>
  <c r="AP25" i="9"/>
  <c r="BM25" i="9"/>
  <c r="AI25" i="9"/>
  <c r="BG25" i="9"/>
  <c r="AH25" i="9"/>
  <c r="AA25" i="9"/>
  <c r="BK25" i="9"/>
  <c r="BL25" i="9"/>
  <c r="BE25" i="9"/>
  <c r="BF25" i="9"/>
  <c r="Z25" i="9"/>
  <c r="T25" i="9"/>
  <c r="BO24" i="9"/>
  <c r="AY24" i="9"/>
  <c r="BC24" i="9" s="1"/>
  <c r="AB13" i="8" s="1"/>
  <c r="AX24" i="9"/>
  <c r="BI24" i="9"/>
  <c r="AQ24" i="9"/>
  <c r="AU24" i="9" s="1"/>
  <c r="W13" i="8" s="1"/>
  <c r="BN24" i="9"/>
  <c r="BH24" i="9"/>
  <c r="AP24" i="9"/>
  <c r="BM24" i="9"/>
  <c r="AI24" i="9"/>
  <c r="AM24" i="9" s="1"/>
  <c r="R13" i="8" s="1"/>
  <c r="BG24" i="9"/>
  <c r="AH24" i="9"/>
  <c r="BL24" i="9"/>
  <c r="BK24" i="9"/>
  <c r="AA24" i="9"/>
  <c r="AE24" i="9" s="1"/>
  <c r="M13" i="8" s="1"/>
  <c r="BE24" i="9"/>
  <c r="BF24" i="9"/>
  <c r="Z24" i="9"/>
  <c r="T24" i="9"/>
  <c r="V24" i="9"/>
  <c r="G13" i="8" s="1"/>
  <c r="AY23" i="9"/>
  <c r="BO23" i="9"/>
  <c r="AX23" i="9"/>
  <c r="BI23" i="9"/>
  <c r="AQ23" i="9"/>
  <c r="BN23" i="9"/>
  <c r="BH23" i="9"/>
  <c r="AP23" i="9"/>
  <c r="BM23" i="9"/>
  <c r="AI23" i="9"/>
  <c r="AH23" i="9"/>
  <c r="BG23" i="9"/>
  <c r="AA23" i="9"/>
  <c r="BL23" i="9"/>
  <c r="BK23" i="9"/>
  <c r="BE23" i="9"/>
  <c r="BF23" i="9"/>
  <c r="Z23" i="9"/>
  <c r="T23" i="9"/>
  <c r="BO22" i="9"/>
  <c r="AX22" i="9"/>
  <c r="BI22" i="9"/>
  <c r="BN22" i="9"/>
  <c r="AQ22" i="9"/>
  <c r="BH22" i="9"/>
  <c r="AP22" i="9"/>
  <c r="BM22" i="9"/>
  <c r="AI22" i="9"/>
  <c r="AH22" i="9"/>
  <c r="BG22" i="9"/>
  <c r="AA22" i="9"/>
  <c r="BK22" i="9"/>
  <c r="BL22" i="9"/>
  <c r="Z22" i="9"/>
  <c r="BE22" i="9"/>
  <c r="BF22" i="9"/>
  <c r="T22" i="9"/>
  <c r="BO21" i="9"/>
  <c r="AY21" i="9"/>
  <c r="BI21" i="9"/>
  <c r="AX21" i="9"/>
  <c r="AQ21" i="9"/>
  <c r="BN21" i="9"/>
  <c r="BH21" i="9"/>
  <c r="AP21" i="9"/>
  <c r="BM21" i="9"/>
  <c r="AI21" i="9"/>
  <c r="BG21" i="9"/>
  <c r="AH21" i="9"/>
  <c r="BK21" i="9"/>
  <c r="BL21" i="9"/>
  <c r="AA21" i="9"/>
  <c r="BE21" i="9"/>
  <c r="BF21" i="9"/>
  <c r="Z21" i="9"/>
  <c r="T21" i="9"/>
  <c r="BI18" i="9"/>
  <c r="AX18" i="9"/>
  <c r="BH18" i="9"/>
  <c r="AP18" i="9"/>
  <c r="AL18" i="9"/>
  <c r="Q159" i="8" s="1"/>
  <c r="AJ18" i="9"/>
  <c r="AK18" i="9" s="1"/>
  <c r="P159" i="8" s="1"/>
  <c r="BE18" i="9"/>
  <c r="BF18" i="9"/>
  <c r="Z18" i="9"/>
  <c r="T18" i="9"/>
  <c r="V18" i="9"/>
  <c r="G159" i="8" s="1"/>
  <c r="BO17" i="9"/>
  <c r="AY17" i="9"/>
  <c r="BI17" i="9"/>
  <c r="AX17" i="9"/>
  <c r="BN17" i="9"/>
  <c r="AQ17" i="9"/>
  <c r="BH17" i="9"/>
  <c r="AP17" i="9"/>
  <c r="BM17" i="9"/>
  <c r="AI17" i="9"/>
  <c r="AH17" i="9"/>
  <c r="BG17" i="9"/>
  <c r="BK17" i="9"/>
  <c r="AA17" i="9"/>
  <c r="BL17" i="9"/>
  <c r="Z17" i="9"/>
  <c r="BE17" i="9"/>
  <c r="BF17" i="9"/>
  <c r="T17" i="9"/>
  <c r="BO16" i="9"/>
  <c r="AY16" i="9"/>
  <c r="AX16" i="9"/>
  <c r="BI16" i="9"/>
  <c r="AQ16" i="9"/>
  <c r="BN16" i="9"/>
  <c r="AP16" i="9"/>
  <c r="BH16" i="9"/>
  <c r="AI16" i="9"/>
  <c r="BM16" i="9"/>
  <c r="BG16" i="9"/>
  <c r="AH16" i="9"/>
  <c r="BK16" i="9"/>
  <c r="BL16" i="9"/>
  <c r="AA16" i="9"/>
  <c r="BE16" i="9"/>
  <c r="Z16" i="9"/>
  <c r="BF16" i="9"/>
  <c r="T16" i="9"/>
  <c r="AY13" i="9"/>
  <c r="BO13" i="9"/>
  <c r="BI13" i="9"/>
  <c r="AX13" i="9"/>
  <c r="AQ13" i="9"/>
  <c r="BN13" i="9"/>
  <c r="AP13" i="9"/>
  <c r="BH13" i="9"/>
  <c r="BM13" i="9"/>
  <c r="AI13" i="9"/>
  <c r="BG13" i="9"/>
  <c r="AH13" i="9"/>
  <c r="BL13" i="9"/>
  <c r="BK13" i="9"/>
  <c r="AA13" i="9"/>
  <c r="BE13" i="9"/>
  <c r="Z13" i="9"/>
  <c r="BF13" i="9"/>
  <c r="T13" i="9"/>
  <c r="BO12" i="9"/>
  <c r="AY12" i="9"/>
  <c r="AX12" i="9"/>
  <c r="BI12" i="9"/>
  <c r="BN12" i="9"/>
  <c r="AQ12" i="9"/>
  <c r="BH12" i="9"/>
  <c r="AP12" i="9"/>
  <c r="AI12" i="9"/>
  <c r="BM12" i="9"/>
  <c r="BG12" i="9"/>
  <c r="AH12" i="9"/>
  <c r="BK12" i="9"/>
  <c r="BL12" i="9"/>
  <c r="AA12" i="9"/>
  <c r="Z12" i="9"/>
  <c r="BE12" i="9"/>
  <c r="BF12" i="9"/>
  <c r="T12" i="9"/>
  <c r="BO11" i="9"/>
  <c r="AY11" i="9"/>
  <c r="AX11" i="9"/>
  <c r="BI11" i="9"/>
  <c r="AQ11" i="9"/>
  <c r="BN11" i="9"/>
  <c r="AP11" i="9"/>
  <c r="BH11" i="9"/>
  <c r="BM11" i="9"/>
  <c r="AI11" i="9"/>
  <c r="BG11" i="9"/>
  <c r="AH11" i="9"/>
  <c r="BL11" i="9"/>
  <c r="BK11" i="9"/>
  <c r="AA11" i="9"/>
  <c r="BF11" i="9"/>
  <c r="Z11" i="9"/>
  <c r="BE11" i="9"/>
  <c r="T11" i="9"/>
  <c r="BO10" i="9"/>
  <c r="AY10" i="9"/>
  <c r="BI10" i="9"/>
  <c r="AX10" i="9"/>
  <c r="BN10" i="9"/>
  <c r="AQ10" i="9"/>
  <c r="AP10" i="9"/>
  <c r="BH10" i="9"/>
  <c r="AI10" i="9"/>
  <c r="BM10" i="9"/>
  <c r="AH10" i="9"/>
  <c r="BG10" i="9"/>
  <c r="BL10" i="9"/>
  <c r="AA10" i="9"/>
  <c r="BK10" i="9"/>
  <c r="BE10" i="9"/>
  <c r="BF10" i="9"/>
  <c r="Z10" i="9"/>
  <c r="T10" i="9"/>
  <c r="BO9" i="9"/>
  <c r="AY9" i="9"/>
  <c r="AX9" i="9"/>
  <c r="BI9" i="9"/>
  <c r="BN9" i="9"/>
  <c r="AQ9" i="9"/>
  <c r="BH9" i="9"/>
  <c r="AP9" i="9"/>
  <c r="BM9" i="9"/>
  <c r="AI9" i="9"/>
  <c r="BG9" i="9"/>
  <c r="AH9" i="9"/>
  <c r="BL9" i="9"/>
  <c r="BK9" i="9"/>
  <c r="AA9" i="9"/>
  <c r="BF9" i="9"/>
  <c r="BE9" i="9"/>
  <c r="Z9" i="9"/>
  <c r="T9" i="9"/>
  <c r="AY8" i="9"/>
  <c r="BO8" i="9"/>
  <c r="AX8" i="9"/>
  <c r="BI8" i="9"/>
  <c r="BN8" i="9"/>
  <c r="AQ8" i="9"/>
  <c r="BH8" i="9"/>
  <c r="AP8" i="9"/>
  <c r="BM8" i="9"/>
  <c r="AI8" i="9"/>
  <c r="BG8" i="9"/>
  <c r="AH8" i="9"/>
  <c r="AA8" i="9"/>
  <c r="BK8" i="9"/>
  <c r="BL8" i="9"/>
  <c r="BF8" i="9"/>
  <c r="BE8" i="9"/>
  <c r="Z8" i="9"/>
  <c r="T8" i="9"/>
  <c r="BO7" i="9"/>
  <c r="AY7" i="9"/>
  <c r="BI7" i="9"/>
  <c r="AX7" i="9"/>
  <c r="BN7" i="9"/>
  <c r="AQ7" i="9"/>
  <c r="AP7" i="9"/>
  <c r="BH7" i="9"/>
  <c r="BM7" i="9"/>
  <c r="AI7" i="9"/>
  <c r="BG7" i="9"/>
  <c r="AH7" i="9"/>
  <c r="BK7" i="9"/>
  <c r="AA7" i="9"/>
  <c r="BL7" i="9"/>
  <c r="BE7" i="9"/>
  <c r="Z7" i="9"/>
  <c r="BF7" i="9"/>
  <c r="T7" i="9"/>
  <c r="D15" i="7"/>
  <c r="C15" i="7"/>
  <c r="L33" i="3"/>
  <c r="H33" i="3"/>
  <c r="L32" i="3"/>
  <c r="H32" i="3"/>
  <c r="H31" i="3"/>
  <c r="L30" i="3"/>
  <c r="H30" i="3"/>
  <c r="H29" i="3"/>
  <c r="H28" i="3"/>
  <c r="H27" i="3"/>
  <c r="H26" i="3"/>
  <c r="H25" i="3"/>
  <c r="H24" i="3"/>
  <c r="H23" i="3"/>
  <c r="H22" i="3"/>
  <c r="H21" i="3"/>
  <c r="H20" i="3"/>
  <c r="H19" i="3"/>
  <c r="H18" i="3"/>
  <c r="L18" i="3"/>
  <c r="H17" i="3"/>
  <c r="H16" i="3"/>
  <c r="H15" i="3"/>
  <c r="G34" i="3"/>
  <c r="H14" i="3"/>
  <c r="F34" i="3"/>
  <c r="D14" i="3"/>
  <c r="B34" i="3"/>
  <c r="D8" i="3" s="1"/>
  <c r="L33" i="2"/>
  <c r="H33" i="2"/>
  <c r="H32" i="2"/>
  <c r="L32" i="2"/>
  <c r="H31" i="2"/>
  <c r="L30" i="2"/>
  <c r="H30" i="2"/>
  <c r="H29" i="2"/>
  <c r="H28" i="2"/>
  <c r="H27" i="2"/>
  <c r="H26" i="2"/>
  <c r="H25" i="2"/>
  <c r="H24" i="2"/>
  <c r="H23" i="2"/>
  <c r="H22" i="2"/>
  <c r="H21" i="2"/>
  <c r="H20" i="2"/>
  <c r="H19" i="2"/>
  <c r="L18" i="2"/>
  <c r="H18" i="2"/>
  <c r="H17" i="2"/>
  <c r="H16" i="2"/>
  <c r="H15" i="2"/>
  <c r="G34" i="2"/>
  <c r="H14" i="2"/>
  <c r="F34" i="2"/>
  <c r="B34" i="2"/>
  <c r="D8" i="2" s="1"/>
  <c r="D14" i="2"/>
  <c r="K243" i="11"/>
  <c r="AU195" i="9"/>
  <c r="W198" i="8" s="1"/>
  <c r="AE195" i="9"/>
  <c r="M198" i="8" s="1"/>
  <c r="AU194" i="9"/>
  <c r="W197" i="8" s="1"/>
  <c r="AE194" i="9"/>
  <c r="M197" i="8" s="1"/>
  <c r="BC193" i="9"/>
  <c r="AB194" i="8" s="1"/>
  <c r="AM193" i="9"/>
  <c r="R194" i="8" s="1"/>
  <c r="W193" i="9"/>
  <c r="H194" i="8" s="1"/>
  <c r="AU185" i="9"/>
  <c r="W167" i="8" s="1"/>
  <c r="AE185" i="9"/>
  <c r="M167" i="8" s="1"/>
  <c r="BC184" i="9"/>
  <c r="AB157" i="8" s="1"/>
  <c r="AM184" i="9"/>
  <c r="R157" i="8" s="1"/>
  <c r="W184" i="9"/>
  <c r="H157" i="8" s="1"/>
  <c r="AU182" i="9"/>
  <c r="W139" i="8" s="1"/>
  <c r="AE182" i="9"/>
  <c r="M139" i="8" s="1"/>
  <c r="BC181" i="9"/>
  <c r="AB136" i="8" s="1"/>
  <c r="AM181" i="9"/>
  <c r="R136" i="8" s="1"/>
  <c r="AU180" i="9"/>
  <c r="W135" i="8" s="1"/>
  <c r="W180" i="9"/>
  <c r="H135" i="8" s="1"/>
  <c r="W177" i="9"/>
  <c r="H123" i="8" s="1"/>
  <c r="BC161" i="9"/>
  <c r="AB196" i="8" s="1"/>
  <c r="BC160" i="9"/>
  <c r="AB193" i="8" s="1"/>
  <c r="AE160" i="9"/>
  <c r="M193" i="8" s="1"/>
  <c r="W160" i="9"/>
  <c r="H193" i="8" s="1"/>
  <c r="AU159" i="9"/>
  <c r="W187" i="8" s="1"/>
  <c r="W159" i="9"/>
  <c r="H187" i="8" s="1"/>
  <c r="AE142" i="9"/>
  <c r="M149" i="8" s="1"/>
  <c r="W142" i="9"/>
  <c r="H149" i="8" s="1"/>
  <c r="BC129" i="9"/>
  <c r="AB90" i="8" s="1"/>
  <c r="AE129" i="9"/>
  <c r="M90" i="8" s="1"/>
  <c r="AU128" i="9"/>
  <c r="W76" i="8" s="1"/>
  <c r="W128" i="9"/>
  <c r="H76" i="8" s="1"/>
  <c r="AM121" i="9"/>
  <c r="R158" i="8" s="1"/>
  <c r="AU115" i="9"/>
  <c r="W126" i="8" s="1"/>
  <c r="AE115" i="9"/>
  <c r="M126" i="8" s="1"/>
  <c r="AU110" i="9"/>
  <c r="W107" i="8" s="1"/>
  <c r="AE110" i="9"/>
  <c r="M107" i="8" s="1"/>
  <c r="W110" i="9"/>
  <c r="H107" i="8" s="1"/>
  <c r="BC109" i="9"/>
  <c r="AB104" i="8" s="1"/>
  <c r="AE109" i="9"/>
  <c r="M104" i="8" s="1"/>
  <c r="W109" i="9"/>
  <c r="H104" i="8" s="1"/>
  <c r="BC107" i="9"/>
  <c r="AB99" i="8" s="1"/>
  <c r="AU107" i="9"/>
  <c r="W99" i="8" s="1"/>
  <c r="AM107" i="9"/>
  <c r="R99" i="8" s="1"/>
  <c r="W107" i="9"/>
  <c r="H99" i="8" s="1"/>
  <c r="BC105" i="9"/>
  <c r="AB87" i="8" s="1"/>
  <c r="AM105" i="9"/>
  <c r="R87" i="8" s="1"/>
  <c r="AU104" i="9"/>
  <c r="W86" i="8" s="1"/>
  <c r="AE104" i="9"/>
  <c r="M86" i="8" s="1"/>
  <c r="AM103" i="9"/>
  <c r="R85" i="8" s="1"/>
  <c r="AE102" i="9"/>
  <c r="M75" i="8" s="1"/>
  <c r="W102" i="9"/>
  <c r="H75" i="8" s="1"/>
  <c r="BC101" i="9"/>
  <c r="AB73" i="8" s="1"/>
  <c r="AE101" i="9"/>
  <c r="M73" i="8" s="1"/>
  <c r="W101" i="9"/>
  <c r="H73" i="8" s="1"/>
  <c r="BC100" i="9"/>
  <c r="AB71" i="8" s="1"/>
  <c r="AM100" i="9"/>
  <c r="R71" i="8" s="1"/>
  <c r="AE100" i="9"/>
  <c r="M71" i="8" s="1"/>
  <c r="AU99" i="9"/>
  <c r="W66" i="8" s="1"/>
  <c r="AM99" i="9"/>
  <c r="R66" i="8" s="1"/>
  <c r="AE99" i="9"/>
  <c r="M66" i="8" s="1"/>
  <c r="BC98" i="9"/>
  <c r="AB65" i="8" s="1"/>
  <c r="W98" i="9"/>
  <c r="H65" i="8" s="1"/>
  <c r="AU96" i="9"/>
  <c r="W33" i="8" s="1"/>
  <c r="W96" i="9"/>
  <c r="H33" i="8" s="1"/>
  <c r="BC95" i="9"/>
  <c r="AB31" i="8" s="1"/>
  <c r="AM95" i="9"/>
  <c r="R31" i="8" s="1"/>
  <c r="BC94" i="9"/>
  <c r="AB25" i="8" s="1"/>
  <c r="BC93" i="9"/>
  <c r="AB21" i="8" s="1"/>
  <c r="AM93" i="9"/>
  <c r="R21" i="8" s="1"/>
  <c r="BC40" i="9"/>
  <c r="AB113" i="8" s="1"/>
  <c r="AM40" i="9"/>
  <c r="R113" i="8" s="1"/>
  <c r="W40" i="9"/>
  <c r="H113" i="8" s="1"/>
  <c r="AU109" i="9"/>
  <c r="W104" i="8" s="1"/>
  <c r="W103" i="9"/>
  <c r="H85" i="8" s="1"/>
  <c r="AU102" i="9"/>
  <c r="W75" i="8" s="1"/>
  <c r="AU100" i="9"/>
  <c r="W71" i="8" s="1"/>
  <c r="AM96" i="9"/>
  <c r="R33" i="8" s="1"/>
  <c r="W195" i="9"/>
  <c r="H198" i="8" s="1"/>
  <c r="BC194" i="9"/>
  <c r="AB197" i="8" s="1"/>
  <c r="AM194" i="9"/>
  <c r="R197" i="8" s="1"/>
  <c r="AU193" i="9"/>
  <c r="W194" i="8" s="1"/>
  <c r="BC185" i="9"/>
  <c r="AB167" i="8" s="1"/>
  <c r="AM185" i="9"/>
  <c r="R167" i="8" s="1"/>
  <c r="W185" i="9"/>
  <c r="H167" i="8" s="1"/>
  <c r="AU184" i="9"/>
  <c r="W157" i="8" s="1"/>
  <c r="AE184" i="9"/>
  <c r="M157" i="8" s="1"/>
  <c r="BC182" i="9"/>
  <c r="AB139" i="8" s="1"/>
  <c r="AM182" i="9"/>
  <c r="R139" i="8" s="1"/>
  <c r="W182" i="9"/>
  <c r="H139" i="8" s="1"/>
  <c r="AU181" i="9"/>
  <c r="W136" i="8" s="1"/>
  <c r="AE181" i="9"/>
  <c r="M136" i="8" s="1"/>
  <c r="W181" i="9"/>
  <c r="H136" i="8" s="1"/>
  <c r="BC180" i="9"/>
  <c r="AB135" i="8" s="1"/>
  <c r="AE180" i="9"/>
  <c r="M135" i="8" s="1"/>
  <c r="W178" i="9"/>
  <c r="H125" i="8" s="1"/>
  <c r="AE161" i="9"/>
  <c r="M196" i="8" s="1"/>
  <c r="AE159" i="9"/>
  <c r="M187" i="8" s="1"/>
  <c r="W146" i="9"/>
  <c r="H165" i="8" s="1"/>
  <c r="AM142" i="9"/>
  <c r="R149" i="8" s="1"/>
  <c r="AU129" i="9"/>
  <c r="W90" i="8" s="1"/>
  <c r="W129" i="9"/>
  <c r="H90" i="8" s="1"/>
  <c r="BC128" i="9"/>
  <c r="AB76" i="8" s="1"/>
  <c r="AM128" i="9"/>
  <c r="R76" i="8" s="1"/>
  <c r="AE128" i="9"/>
  <c r="M76" i="8" s="1"/>
  <c r="AU121" i="9"/>
  <c r="W158" i="8" s="1"/>
  <c r="BC115" i="9"/>
  <c r="AB126" i="8" s="1"/>
  <c r="W105" i="9"/>
  <c r="H87" i="8" s="1"/>
  <c r="BC104" i="9"/>
  <c r="AB86" i="8" s="1"/>
  <c r="AM104" i="9"/>
  <c r="R86" i="8" s="1"/>
  <c r="W104" i="9"/>
  <c r="H86" i="8" s="1"/>
  <c r="AU103" i="9"/>
  <c r="W85" i="8" s="1"/>
  <c r="AE103" i="9"/>
  <c r="M85" i="8" s="1"/>
  <c r="BC102" i="9"/>
  <c r="AB75" i="8" s="1"/>
  <c r="AM102" i="9"/>
  <c r="R75" i="8" s="1"/>
  <c r="AU101" i="9"/>
  <c r="W73" i="8" s="1"/>
  <c r="BC99" i="9"/>
  <c r="AB66" i="8" s="1"/>
  <c r="W99" i="9"/>
  <c r="H66" i="8" s="1"/>
  <c r="AU98" i="9"/>
  <c r="W65" i="8" s="1"/>
  <c r="AM98" i="9"/>
  <c r="R65" i="8" s="1"/>
  <c r="AE98" i="9"/>
  <c r="M65" i="8" s="1"/>
  <c r="BC96" i="9"/>
  <c r="AB33" i="8" s="1"/>
  <c r="AE96" i="9"/>
  <c r="M33" i="8" s="1"/>
  <c r="AU95" i="9"/>
  <c r="W31" i="8" s="1"/>
  <c r="AE95" i="9"/>
  <c r="M31" i="8" s="1"/>
  <c r="W95" i="9"/>
  <c r="H31" i="8" s="1"/>
  <c r="AM94" i="9"/>
  <c r="R25" i="8" s="1"/>
  <c r="W94" i="9"/>
  <c r="H25" i="8" s="1"/>
  <c r="AE93" i="9"/>
  <c r="M21" i="8" s="1"/>
  <c r="AU40" i="9"/>
  <c r="W113" i="8" s="1"/>
  <c r="AE40" i="9"/>
  <c r="M113" i="8" s="1"/>
  <c r="BC235" i="9"/>
  <c r="AB67" i="8" s="1"/>
  <c r="AU235" i="9"/>
  <c r="W67" i="8" s="1"/>
  <c r="AM235" i="9"/>
  <c r="R67" i="8" s="1"/>
  <c r="AE235" i="9"/>
  <c r="M67" i="8" s="1"/>
  <c r="W235" i="9"/>
  <c r="H67" i="8" s="1"/>
  <c r="AM195" i="9"/>
  <c r="R198" i="8" s="1"/>
  <c r="AM180" i="9"/>
  <c r="R135" i="8" s="1"/>
  <c r="AM160" i="9"/>
  <c r="R193" i="8" s="1"/>
  <c r="BC159" i="9"/>
  <c r="AB187" i="8" s="1"/>
  <c r="BC142" i="9"/>
  <c r="AB149" i="8" s="1"/>
  <c r="AM129" i="9"/>
  <c r="R90" i="8" s="1"/>
  <c r="AE121" i="9"/>
  <c r="M158" i="8" s="1"/>
  <c r="W100" i="9"/>
  <c r="H71" i="8" s="1"/>
  <c r="AE94" i="9"/>
  <c r="M25" i="8" s="1"/>
  <c r="AU161" i="9"/>
  <c r="W196" i="8" s="1"/>
  <c r="AM159" i="9"/>
  <c r="R187" i="8" s="1"/>
  <c r="W121" i="9"/>
  <c r="H158" i="8" s="1"/>
  <c r="BC110" i="9"/>
  <c r="AB107" i="8" s="1"/>
  <c r="AM109" i="9"/>
  <c r="R104" i="8" s="1"/>
  <c r="AE107" i="9"/>
  <c r="M99" i="8" s="1"/>
  <c r="AU105" i="9"/>
  <c r="W87" i="8" s="1"/>
  <c r="BC103" i="9"/>
  <c r="AB85" i="8" s="1"/>
  <c r="AU93" i="9"/>
  <c r="W21" i="8" s="1"/>
  <c r="BC195" i="9"/>
  <c r="AB198" i="8" s="1"/>
  <c r="AE193" i="9"/>
  <c r="M194" i="8" s="1"/>
  <c r="AM161" i="9"/>
  <c r="R196" i="8" s="1"/>
  <c r="AU160" i="9"/>
  <c r="W193" i="8" s="1"/>
  <c r="AU142" i="9"/>
  <c r="W149" i="8" s="1"/>
  <c r="BC121" i="9"/>
  <c r="AB158" i="8" s="1"/>
  <c r="AE105" i="9"/>
  <c r="M87" i="8" s="1"/>
  <c r="AM101" i="9"/>
  <c r="R73" i="8" s="1"/>
  <c r="AU94" i="9"/>
  <c r="W25" i="8" s="1"/>
  <c r="AE200" i="9" l="1"/>
  <c r="M110" i="8" s="1"/>
  <c r="BC200" i="9"/>
  <c r="AB110" i="8" s="1"/>
  <c r="AM204" i="9"/>
  <c r="R177" i="8" s="1"/>
  <c r="AM200" i="9"/>
  <c r="R110" i="8" s="1"/>
  <c r="AU202" i="9"/>
  <c r="W124" i="8" s="1"/>
  <c r="AE203" i="9"/>
  <c r="M111" i="8" s="1"/>
  <c r="AE204" i="9"/>
  <c r="M177" i="8" s="1"/>
  <c r="BC204" i="9"/>
  <c r="AB177" i="8" s="1"/>
  <c r="AM199" i="9"/>
  <c r="R98" i="8" s="1"/>
  <c r="AM212" i="9"/>
  <c r="R103" i="8" s="1"/>
  <c r="BC215" i="9"/>
  <c r="AB151" i="8" s="1"/>
  <c r="AU211" i="9"/>
  <c r="W80" i="8" s="1"/>
  <c r="AM214" i="9"/>
  <c r="R144" i="8" s="1"/>
  <c r="AU201" i="9"/>
  <c r="W120" i="8" s="1"/>
  <c r="AE202" i="9"/>
  <c r="M124" i="8" s="1"/>
  <c r="BC203" i="9"/>
  <c r="AB111" i="8" s="1"/>
  <c r="AM207" i="9"/>
  <c r="R46" i="8" s="1"/>
  <c r="AE211" i="9"/>
  <c r="M80" i="8" s="1"/>
  <c r="AE212" i="9"/>
  <c r="M103" i="8" s="1"/>
  <c r="BC212" i="9"/>
  <c r="AB103" i="8" s="1"/>
  <c r="AE219" i="9"/>
  <c r="M69" i="8" s="1"/>
  <c r="BC219" i="9"/>
  <c r="AB69" i="8" s="1"/>
  <c r="L230" i="9"/>
  <c r="AM215" i="9"/>
  <c r="R151" i="8" s="1"/>
  <c r="BC202" i="9"/>
  <c r="AB124" i="8" s="1"/>
  <c r="AU215" i="9"/>
  <c r="W151" i="8" s="1"/>
  <c r="L202" i="9"/>
  <c r="AU200" i="9"/>
  <c r="W110" i="8" s="1"/>
  <c r="AE201" i="9"/>
  <c r="M120" i="8" s="1"/>
  <c r="AM203" i="9"/>
  <c r="R111" i="8" s="1"/>
  <c r="AU203" i="9"/>
  <c r="W111" i="8" s="1"/>
  <c r="AE199" i="9"/>
  <c r="M98" i="8" s="1"/>
  <c r="BC199" i="9"/>
  <c r="AB98" i="8" s="1"/>
  <c r="AM201" i="9"/>
  <c r="R120" i="8" s="1"/>
  <c r="AU212" i="9"/>
  <c r="W103" i="8" s="1"/>
  <c r="V230" i="9"/>
  <c r="G186" i="8" s="1"/>
  <c r="L229" i="9"/>
  <c r="AZ192" i="9"/>
  <c r="BB192" i="9"/>
  <c r="AA192" i="8" s="1"/>
  <c r="L23" i="2"/>
  <c r="L191" i="9"/>
  <c r="AU189" i="9"/>
  <c r="W189" i="8" s="1"/>
  <c r="AM189" i="9"/>
  <c r="R189" i="8" s="1"/>
  <c r="AE189" i="9"/>
  <c r="M189" i="8" s="1"/>
  <c r="BC156" i="9"/>
  <c r="AB178" i="8" s="1"/>
  <c r="AU156" i="9"/>
  <c r="W178" i="8" s="1"/>
  <c r="AM156" i="9"/>
  <c r="R178" i="8" s="1"/>
  <c r="AE156" i="9"/>
  <c r="M178" i="8" s="1"/>
  <c r="BC155" i="9"/>
  <c r="AB176" i="8" s="1"/>
  <c r="AU155" i="9"/>
  <c r="W176" i="8" s="1"/>
  <c r="AM155" i="9"/>
  <c r="R176" i="8" s="1"/>
  <c r="AE155" i="9"/>
  <c r="M176" i="8" s="1"/>
  <c r="BC148" i="9"/>
  <c r="AB169" i="8" s="1"/>
  <c r="AU148" i="9"/>
  <c r="W169" i="8" s="1"/>
  <c r="AM148" i="9"/>
  <c r="R169" i="8" s="1"/>
  <c r="AE148" i="9"/>
  <c r="M169" i="8" s="1"/>
  <c r="BC134" i="9"/>
  <c r="AB133" i="8" s="1"/>
  <c r="AU134" i="9"/>
  <c r="W133" i="8" s="1"/>
  <c r="AM134" i="9"/>
  <c r="R133" i="8" s="1"/>
  <c r="AE134" i="9"/>
  <c r="M133" i="8" s="1"/>
  <c r="BC132" i="9"/>
  <c r="AB129" i="8" s="1"/>
  <c r="AU132" i="9"/>
  <c r="W129" i="8" s="1"/>
  <c r="AM132" i="9"/>
  <c r="R129" i="8" s="1"/>
  <c r="AE132" i="9"/>
  <c r="M129" i="8" s="1"/>
  <c r="BC131" i="9"/>
  <c r="AB119" i="8" s="1"/>
  <c r="AU131" i="9"/>
  <c r="W119" i="8" s="1"/>
  <c r="AM131" i="9"/>
  <c r="R119" i="8" s="1"/>
  <c r="AE131" i="9"/>
  <c r="M119" i="8" s="1"/>
  <c r="BC119" i="9"/>
  <c r="AB142" i="8" s="1"/>
  <c r="AU119" i="9"/>
  <c r="W142" i="8" s="1"/>
  <c r="AM119" i="9"/>
  <c r="R142" i="8" s="1"/>
  <c r="AE119" i="9"/>
  <c r="M142" i="8" s="1"/>
  <c r="BC118" i="9"/>
  <c r="AB131" i="8" s="1"/>
  <c r="AU118" i="9"/>
  <c r="W131" i="8" s="1"/>
  <c r="AM118" i="9"/>
  <c r="R131" i="8" s="1"/>
  <c r="AE118" i="9"/>
  <c r="M131" i="8" s="1"/>
  <c r="BC113" i="9"/>
  <c r="AB115" i="8" s="1"/>
  <c r="AU113" i="9"/>
  <c r="W115" i="8" s="1"/>
  <c r="AM113" i="9"/>
  <c r="R115" i="8" s="1"/>
  <c r="AE113" i="9"/>
  <c r="M115" i="8" s="1"/>
  <c r="BC90" i="9"/>
  <c r="AB147" i="8" s="1"/>
  <c r="AU90" i="9"/>
  <c r="W147" i="8" s="1"/>
  <c r="AM90" i="9"/>
  <c r="R147" i="8" s="1"/>
  <c r="AE90" i="9"/>
  <c r="M147" i="8" s="1"/>
  <c r="BC88" i="9"/>
  <c r="AB118" i="8" s="1"/>
  <c r="AU88" i="9"/>
  <c r="W118" i="8" s="1"/>
  <c r="AM88" i="9"/>
  <c r="R118" i="8" s="1"/>
  <c r="AE88" i="9"/>
  <c r="M118" i="8" s="1"/>
  <c r="BC87" i="9"/>
  <c r="AB112" i="8" s="1"/>
  <c r="AU87" i="9"/>
  <c r="W112" i="8" s="1"/>
  <c r="AM87" i="9"/>
  <c r="R112" i="8" s="1"/>
  <c r="AE87" i="9"/>
  <c r="M112" i="8" s="1"/>
  <c r="BC85" i="9"/>
  <c r="AB83" i="8" s="1"/>
  <c r="AU85" i="9"/>
  <c r="W83" i="8" s="1"/>
  <c r="AM85" i="9"/>
  <c r="R83" i="8" s="1"/>
  <c r="AE85" i="9"/>
  <c r="M83" i="8" s="1"/>
  <c r="BC84" i="9"/>
  <c r="AB84" i="8" s="1"/>
  <c r="AU84" i="9"/>
  <c r="W84" i="8" s="1"/>
  <c r="AM84" i="9"/>
  <c r="R84" i="8" s="1"/>
  <c r="AE84" i="9"/>
  <c r="M84" i="8" s="1"/>
  <c r="BC83" i="9"/>
  <c r="AB81" i="8" s="1"/>
  <c r="AU83" i="9"/>
  <c r="W81" i="8" s="1"/>
  <c r="AM83" i="9"/>
  <c r="R81" i="8" s="1"/>
  <c r="AE83" i="9"/>
  <c r="M81" i="8" s="1"/>
  <c r="BC79" i="9"/>
  <c r="AB39" i="8" s="1"/>
  <c r="AU79" i="9"/>
  <c r="W39" i="8" s="1"/>
  <c r="AM79" i="9"/>
  <c r="R39" i="8" s="1"/>
  <c r="AE79" i="9"/>
  <c r="M39" i="8" s="1"/>
  <c r="BC77" i="9"/>
  <c r="AB32" i="8" s="1"/>
  <c r="AU77" i="9"/>
  <c r="W32" i="8" s="1"/>
  <c r="AM77" i="9"/>
  <c r="R32" i="8" s="1"/>
  <c r="AE77" i="9"/>
  <c r="M32" i="8" s="1"/>
  <c r="BC69" i="9"/>
  <c r="AB6" i="8" s="1"/>
  <c r="AU69" i="9"/>
  <c r="W6" i="8" s="1"/>
  <c r="AM69" i="9"/>
  <c r="R6" i="8" s="1"/>
  <c r="AE69" i="9"/>
  <c r="M6" i="8" s="1"/>
  <c r="BC66" i="9"/>
  <c r="AB106" i="8" s="1"/>
  <c r="AU66" i="9"/>
  <c r="W106" i="8" s="1"/>
  <c r="AM66" i="9"/>
  <c r="R106" i="8" s="1"/>
  <c r="AE66" i="9"/>
  <c r="M106" i="8" s="1"/>
  <c r="BC64" i="9"/>
  <c r="AB88" i="8" s="1"/>
  <c r="AU64" i="9"/>
  <c r="W88" i="8" s="1"/>
  <c r="AM64" i="9"/>
  <c r="R88" i="8" s="1"/>
  <c r="AE64" i="9"/>
  <c r="M88" i="8" s="1"/>
  <c r="BC53" i="9"/>
  <c r="AB38" i="8" s="1"/>
  <c r="AU53" i="9"/>
  <c r="W38" i="8" s="1"/>
  <c r="AM53" i="9"/>
  <c r="R38" i="8" s="1"/>
  <c r="AE53" i="9"/>
  <c r="M38" i="8" s="1"/>
  <c r="AM50" i="9"/>
  <c r="R16" i="8" s="1"/>
  <c r="AE50" i="9"/>
  <c r="M16" i="8" s="1"/>
  <c r="BC44" i="9"/>
  <c r="AB56" i="8" s="1"/>
  <c r="AU44" i="9"/>
  <c r="W56" i="8" s="1"/>
  <c r="AM44" i="9"/>
  <c r="R56" i="8" s="1"/>
  <c r="AE44" i="9"/>
  <c r="M56" i="8" s="1"/>
  <c r="AM39" i="9"/>
  <c r="R72" i="8" s="1"/>
  <c r="AE39" i="9"/>
  <c r="M72" i="8" s="1"/>
  <c r="BC38" i="9"/>
  <c r="AB63" i="8" s="1"/>
  <c r="AU38" i="9"/>
  <c r="W63" i="8" s="1"/>
  <c r="AM38" i="9"/>
  <c r="R63" i="8" s="1"/>
  <c r="AE38" i="9"/>
  <c r="M63" i="8" s="1"/>
  <c r="BC36" i="9"/>
  <c r="AB50" i="8" s="1"/>
  <c r="AU36" i="9"/>
  <c r="W50" i="8" s="1"/>
  <c r="AM36" i="9"/>
  <c r="R50" i="8" s="1"/>
  <c r="AE36" i="9"/>
  <c r="M50" i="8" s="1"/>
  <c r="BC31" i="9"/>
  <c r="AB24" i="8" s="1"/>
  <c r="AU31" i="9"/>
  <c r="W24" i="8" s="1"/>
  <c r="AM31" i="9"/>
  <c r="R24" i="8" s="1"/>
  <c r="AE31" i="9"/>
  <c r="M24" i="8" s="1"/>
  <c r="BC30" i="9"/>
  <c r="AB23" i="8" s="1"/>
  <c r="AU30" i="9"/>
  <c r="W23" i="8" s="1"/>
  <c r="AM30" i="9"/>
  <c r="R23" i="8" s="1"/>
  <c r="AE30" i="9"/>
  <c r="M23" i="8" s="1"/>
  <c r="BC27" i="9"/>
  <c r="AB43" i="8" s="1"/>
  <c r="AU27" i="9"/>
  <c r="W43" i="8" s="1"/>
  <c r="AM27" i="9"/>
  <c r="R43" i="8" s="1"/>
  <c r="AE27" i="9"/>
  <c r="M43" i="8" s="1"/>
  <c r="BC16" i="9"/>
  <c r="AB22" i="8" s="1"/>
  <c r="AU16" i="9"/>
  <c r="W22" i="8" s="1"/>
  <c r="AM16" i="9"/>
  <c r="R22" i="8" s="1"/>
  <c r="AE16" i="9"/>
  <c r="M22" i="8" s="1"/>
  <c r="BC13" i="9"/>
  <c r="AB59" i="8" s="1"/>
  <c r="AU13" i="9"/>
  <c r="W59" i="8" s="1"/>
  <c r="AM13" i="9"/>
  <c r="R59" i="8" s="1"/>
  <c r="AE13" i="9"/>
  <c r="M59" i="8" s="1"/>
  <c r="BC12" i="9"/>
  <c r="AB27" i="8" s="1"/>
  <c r="AU12" i="9"/>
  <c r="W27" i="8" s="1"/>
  <c r="AM12" i="9"/>
  <c r="R27" i="8" s="1"/>
  <c r="AE12" i="9"/>
  <c r="M27" i="8" s="1"/>
  <c r="L200" i="9"/>
  <c r="L192" i="9"/>
  <c r="BA192" i="9" s="1"/>
  <c r="Z192" i="8" s="1"/>
  <c r="L201" i="9"/>
  <c r="L211" i="9"/>
  <c r="I91" i="5" s="1"/>
  <c r="L85" i="9"/>
  <c r="I128" i="6" s="1"/>
  <c r="V85" i="9"/>
  <c r="G83" i="8" s="1"/>
  <c r="L84" i="9"/>
  <c r="I196" i="6" s="1"/>
  <c r="V84" i="9"/>
  <c r="G84" i="8" s="1"/>
  <c r="L88" i="9"/>
  <c r="V88" i="9"/>
  <c r="G118" i="8" s="1"/>
  <c r="BB72" i="9"/>
  <c r="AA202" i="8" s="1"/>
  <c r="AT72" i="9"/>
  <c r="V202" i="8" s="1"/>
  <c r="AL72" i="9"/>
  <c r="Q202" i="8" s="1"/>
  <c r="AD72" i="9"/>
  <c r="L202" i="8" s="1"/>
  <c r="V72" i="9"/>
  <c r="G202" i="8" s="1"/>
  <c r="BB71" i="9"/>
  <c r="AA203" i="8" s="1"/>
  <c r="AT71" i="9"/>
  <c r="V203" i="8" s="1"/>
  <c r="AL71" i="9"/>
  <c r="Q203" i="8" s="1"/>
  <c r="AD71" i="9"/>
  <c r="L203" i="8" s="1"/>
  <c r="V71" i="9"/>
  <c r="G203" i="8" s="1"/>
  <c r="L93" i="9"/>
  <c r="I21" i="5" s="1"/>
  <c r="V93" i="9"/>
  <c r="G21" i="8" s="1"/>
  <c r="L95" i="9"/>
  <c r="I43" i="6" s="1"/>
  <c r="V95" i="9"/>
  <c r="G31" i="8" s="1"/>
  <c r="L96" i="9"/>
  <c r="I35" i="5" s="1"/>
  <c r="V96" i="9"/>
  <c r="G33" i="8" s="1"/>
  <c r="L94" i="9"/>
  <c r="I39" i="6" s="1"/>
  <c r="L23" i="3"/>
  <c r="V94" i="9"/>
  <c r="G25" i="8" s="1"/>
  <c r="L27" i="3"/>
  <c r="L27" i="2"/>
  <c r="L24" i="3"/>
  <c r="L24" i="2"/>
  <c r="L31" i="3"/>
  <c r="L31" i="2"/>
  <c r="L218" i="9"/>
  <c r="I26" i="6" s="1"/>
  <c r="L29" i="3"/>
  <c r="L29" i="2"/>
  <c r="L20" i="2"/>
  <c r="V50" i="9"/>
  <c r="G16" i="8" s="1"/>
  <c r="L20" i="3"/>
  <c r="L17" i="2"/>
  <c r="V31" i="9"/>
  <c r="G24" i="8" s="1"/>
  <c r="L17" i="3"/>
  <c r="L26" i="3"/>
  <c r="L26" i="2"/>
  <c r="V21" i="9"/>
  <c r="G7" i="8" s="1"/>
  <c r="L16" i="3"/>
  <c r="L16" i="2"/>
  <c r="V17" i="9"/>
  <c r="G40" i="8" s="1"/>
  <c r="L15" i="3"/>
  <c r="L15" i="2"/>
  <c r="L13" i="9"/>
  <c r="V13" i="9"/>
  <c r="G59" i="8" s="1"/>
  <c r="M14" i="3"/>
  <c r="M14" i="2"/>
  <c r="V7" i="9"/>
  <c r="G8" i="8" s="1"/>
  <c r="L14" i="3"/>
  <c r="L14" i="2"/>
  <c r="V75" i="9"/>
  <c r="G15" i="8" s="1"/>
  <c r="L22" i="3"/>
  <c r="L22" i="2"/>
  <c r="L21" i="3"/>
  <c r="L21" i="2"/>
  <c r="L19" i="3"/>
  <c r="L19" i="2"/>
  <c r="V164" i="9"/>
  <c r="G51" i="8" s="1"/>
  <c r="L25" i="3"/>
  <c r="L25" i="2"/>
  <c r="L28" i="2"/>
  <c r="L28" i="3"/>
  <c r="L87" i="9"/>
  <c r="I111" i="5" s="1"/>
  <c r="L77" i="9"/>
  <c r="I149" i="6" s="1"/>
  <c r="L134" i="9"/>
  <c r="I49" i="6" s="1"/>
  <c r="L131" i="9"/>
  <c r="I117" i="5" s="1"/>
  <c r="L78" i="9"/>
  <c r="I148" i="6" s="1"/>
  <c r="L90" i="9"/>
  <c r="I146" i="5" s="1"/>
  <c r="L24" i="9"/>
  <c r="I12" i="5" s="1"/>
  <c r="L79" i="9"/>
  <c r="I189" i="6" s="1"/>
  <c r="L236" i="9"/>
  <c r="I100" i="6" s="1"/>
  <c r="L119" i="9"/>
  <c r="I93" i="6" s="1"/>
  <c r="L71" i="9"/>
  <c r="I16" i="5" s="1"/>
  <c r="L16" i="9"/>
  <c r="I25" i="6" s="1"/>
  <c r="L118" i="9"/>
  <c r="I139" i="5" s="1"/>
  <c r="L66" i="9"/>
  <c r="L38" i="9"/>
  <c r="L39" i="9"/>
  <c r="I101" i="6" s="1"/>
  <c r="L148" i="9"/>
  <c r="I59" i="6" s="1"/>
  <c r="L12" i="9"/>
  <c r="I9" i="6" s="1"/>
  <c r="L215" i="9"/>
  <c r="L203" i="9"/>
  <c r="B42" i="7"/>
  <c r="L190" i="9"/>
  <c r="I171" i="6" s="1"/>
  <c r="V70" i="9"/>
  <c r="G9" i="8" s="1"/>
  <c r="L70" i="9"/>
  <c r="AU78" i="9"/>
  <c r="W36" i="8" s="1"/>
  <c r="AR78" i="9"/>
  <c r="BC18" i="9"/>
  <c r="AB159" i="8" s="1"/>
  <c r="AU18" i="9"/>
  <c r="W159" i="8" s="1"/>
  <c r="W18" i="9"/>
  <c r="H159" i="8" s="1"/>
  <c r="AE18" i="9"/>
  <c r="M159" i="8" s="1"/>
  <c r="AM18" i="9"/>
  <c r="R159" i="8" s="1"/>
  <c r="I108" i="6"/>
  <c r="I156" i="5"/>
  <c r="AM41" i="9"/>
  <c r="R127" i="8" s="1"/>
  <c r="W41" i="9"/>
  <c r="H127" i="8" s="1"/>
  <c r="AE41" i="9"/>
  <c r="M127" i="8" s="1"/>
  <c r="AU41" i="9"/>
  <c r="W127" i="8" s="1"/>
  <c r="BC41" i="9"/>
  <c r="AB127" i="8" s="1"/>
  <c r="I170" i="5"/>
  <c r="AU186" i="9"/>
  <c r="W180" i="8" s="1"/>
  <c r="AE186" i="9"/>
  <c r="M180" i="8" s="1"/>
  <c r="W186" i="9"/>
  <c r="H180" i="8" s="1"/>
  <c r="AM186" i="9"/>
  <c r="R180" i="8" s="1"/>
  <c r="BC186" i="9"/>
  <c r="AB180" i="8" s="1"/>
  <c r="W187" i="9"/>
  <c r="H185" i="8" s="1"/>
  <c r="AM187" i="9"/>
  <c r="R185" i="8" s="1"/>
  <c r="AE187" i="9"/>
  <c r="M185" i="8" s="1"/>
  <c r="AU187" i="9"/>
  <c r="W185" i="8" s="1"/>
  <c r="BC187" i="9"/>
  <c r="AB185" i="8" s="1"/>
  <c r="I138" i="6"/>
  <c r="I201" i="5"/>
  <c r="I142" i="6"/>
  <c r="I200" i="5"/>
  <c r="I144" i="6"/>
  <c r="I194" i="5"/>
  <c r="I197" i="5"/>
  <c r="I145" i="6"/>
  <c r="BC196" i="9"/>
  <c r="AB199" i="8" s="1"/>
  <c r="W196" i="9"/>
  <c r="H199" i="8" s="1"/>
  <c r="AU196" i="9"/>
  <c r="W199" i="8" s="1"/>
  <c r="AE196" i="9"/>
  <c r="M199" i="8" s="1"/>
  <c r="AM196" i="9"/>
  <c r="R199" i="8" s="1"/>
  <c r="I170" i="6"/>
  <c r="I115" i="5"/>
  <c r="I188" i="6"/>
  <c r="I119" i="6"/>
  <c r="M18" i="3"/>
  <c r="W44" i="9"/>
  <c r="H56" i="8" s="1"/>
  <c r="M18" i="2"/>
  <c r="M17" i="3"/>
  <c r="M17" i="2"/>
  <c r="W30" i="9"/>
  <c r="H23" i="8" s="1"/>
  <c r="I145" i="5"/>
  <c r="I147" i="5"/>
  <c r="AU71" i="9"/>
  <c r="W203" i="8" s="1"/>
  <c r="W71" i="9"/>
  <c r="H203" i="8" s="1"/>
  <c r="BC71" i="9"/>
  <c r="AB203" i="8" s="1"/>
  <c r="AE71" i="9"/>
  <c r="M203" i="8" s="1"/>
  <c r="AM71" i="9"/>
  <c r="R203" i="8" s="1"/>
  <c r="M21" i="2"/>
  <c r="M21" i="3"/>
  <c r="W69" i="9"/>
  <c r="H6" i="8" s="1"/>
  <c r="M32" i="3"/>
  <c r="W234" i="9"/>
  <c r="H29" i="8" s="1"/>
  <c r="M32" i="2"/>
  <c r="I17" i="6"/>
  <c r="I69" i="5"/>
  <c r="I23" i="5"/>
  <c r="M15" i="3"/>
  <c r="M15" i="2"/>
  <c r="W16" i="9"/>
  <c r="H22" i="8" s="1"/>
  <c r="I186" i="5"/>
  <c r="I8" i="6"/>
  <c r="I33" i="5"/>
  <c r="I38" i="6"/>
  <c r="W117" i="9"/>
  <c r="H132" i="8" s="1"/>
  <c r="L117" i="9"/>
  <c r="U117" i="9" s="1"/>
  <c r="F132" i="8" s="1"/>
  <c r="I24" i="5"/>
  <c r="I106" i="5"/>
  <c r="I51" i="6"/>
  <c r="W231" i="9"/>
  <c r="H195" i="8" s="1"/>
  <c r="AE231" i="9"/>
  <c r="M195" i="8" s="1"/>
  <c r="AM231" i="9"/>
  <c r="R195" i="8" s="1"/>
  <c r="AU231" i="9"/>
  <c r="W195" i="8" s="1"/>
  <c r="BC231" i="9"/>
  <c r="AB195" i="8" s="1"/>
  <c r="W125" i="9"/>
  <c r="H170" i="8" s="1"/>
  <c r="L125" i="9"/>
  <c r="U125" i="9" s="1"/>
  <c r="F170" i="8" s="1"/>
  <c r="AU169" i="9"/>
  <c r="W91" i="8" s="1"/>
  <c r="W169" i="9"/>
  <c r="H91" i="8" s="1"/>
  <c r="AE169" i="9"/>
  <c r="M91" i="8" s="1"/>
  <c r="BC169" i="9"/>
  <c r="AB91" i="8" s="1"/>
  <c r="AM169" i="9"/>
  <c r="R91" i="8" s="1"/>
  <c r="AU171" i="9"/>
  <c r="W97" i="8" s="1"/>
  <c r="W171" i="9"/>
  <c r="H97" i="8" s="1"/>
  <c r="AE171" i="9"/>
  <c r="M97" i="8" s="1"/>
  <c r="AM171" i="9"/>
  <c r="R97" i="8" s="1"/>
  <c r="BC171" i="9"/>
  <c r="AB97" i="8" s="1"/>
  <c r="AE175" i="9"/>
  <c r="M109" i="8" s="1"/>
  <c r="W175" i="9"/>
  <c r="H109" i="8" s="1"/>
  <c r="AU175" i="9"/>
  <c r="W109" i="8" s="1"/>
  <c r="BC175" i="9"/>
  <c r="AB109" i="8" s="1"/>
  <c r="AM175" i="9"/>
  <c r="R109" i="8" s="1"/>
  <c r="W174" i="9"/>
  <c r="H108" i="8" s="1"/>
  <c r="AU174" i="9"/>
  <c r="W108" i="8" s="1"/>
  <c r="AE174" i="9"/>
  <c r="M108" i="8" s="1"/>
  <c r="AM174" i="9"/>
  <c r="R108" i="8" s="1"/>
  <c r="BC174" i="9"/>
  <c r="AB108" i="8" s="1"/>
  <c r="W179" i="9"/>
  <c r="H134" i="8" s="1"/>
  <c r="BC179" i="9"/>
  <c r="AB134" i="8" s="1"/>
  <c r="AE179" i="9"/>
  <c r="M134" i="8" s="1"/>
  <c r="AM179" i="9"/>
  <c r="R134" i="8" s="1"/>
  <c r="AU179" i="9"/>
  <c r="W134" i="8" s="1"/>
  <c r="M27" i="3"/>
  <c r="M27" i="2"/>
  <c r="W207" i="9"/>
  <c r="H46" i="8" s="1"/>
  <c r="V100" i="9"/>
  <c r="G71" i="8" s="1"/>
  <c r="L100" i="9"/>
  <c r="W136" i="9"/>
  <c r="H138" i="8" s="1"/>
  <c r="L136" i="9"/>
  <c r="U136" i="9" s="1"/>
  <c r="F138" i="8" s="1"/>
  <c r="AU228" i="9"/>
  <c r="W143" i="8" s="1"/>
  <c r="AE228" i="9"/>
  <c r="M143" i="8" s="1"/>
  <c r="BC228" i="9"/>
  <c r="AB143" i="8" s="1"/>
  <c r="M31" i="2"/>
  <c r="M31" i="3"/>
  <c r="W228" i="9"/>
  <c r="H143" i="8" s="1"/>
  <c r="AM228" i="9"/>
  <c r="R143" i="8" s="1"/>
  <c r="M29" i="3"/>
  <c r="M29" i="2"/>
  <c r="W218" i="9"/>
  <c r="H68" i="8" s="1"/>
  <c r="I57" i="5"/>
  <c r="I12" i="6"/>
  <c r="I171" i="5"/>
  <c r="M24" i="2"/>
  <c r="M24" i="3"/>
  <c r="W130" i="9"/>
  <c r="H93" i="8" s="1"/>
  <c r="AE130" i="9"/>
  <c r="M93" i="8" s="1"/>
  <c r="BC130" i="9"/>
  <c r="AB93" i="8" s="1"/>
  <c r="AM130" i="9"/>
  <c r="R93" i="8" s="1"/>
  <c r="AU130" i="9"/>
  <c r="W93" i="8" s="1"/>
  <c r="M20" i="2"/>
  <c r="M20" i="3"/>
  <c r="W50" i="9"/>
  <c r="H16" i="8" s="1"/>
  <c r="I68" i="5"/>
  <c r="I97" i="6"/>
  <c r="W242" i="9"/>
  <c r="H183" i="8" s="1"/>
  <c r="L242" i="9"/>
  <c r="U242" i="9" s="1"/>
  <c r="F183" i="8" s="1"/>
  <c r="M33" i="2"/>
  <c r="L240" i="9"/>
  <c r="U240" i="9" s="1"/>
  <c r="F148" i="8" s="1"/>
  <c r="M33" i="3"/>
  <c r="W240" i="9"/>
  <c r="H148" i="8" s="1"/>
  <c r="L241" i="9"/>
  <c r="U241" i="9" s="1"/>
  <c r="F166" i="8" s="1"/>
  <c r="W241" i="9"/>
  <c r="H166" i="8" s="1"/>
  <c r="M26" i="2"/>
  <c r="M26" i="3"/>
  <c r="W199" i="9"/>
  <c r="H98" i="8" s="1"/>
  <c r="I201" i="6"/>
  <c r="I124" i="5"/>
  <c r="M16" i="3"/>
  <c r="M16" i="2"/>
  <c r="W21" i="9"/>
  <c r="H7" i="8" s="1"/>
  <c r="I63" i="5"/>
  <c r="I16" i="6"/>
  <c r="W7" i="9"/>
  <c r="H8" i="8" s="1"/>
  <c r="W4" i="9"/>
  <c r="K4" i="9"/>
  <c r="V4" i="9"/>
  <c r="J4" i="9"/>
  <c r="L7" i="9"/>
  <c r="L108" i="9"/>
  <c r="U108" i="9" s="1"/>
  <c r="F101" i="8" s="1"/>
  <c r="W108" i="9"/>
  <c r="H101" i="8" s="1"/>
  <c r="W86" i="9"/>
  <c r="H96" i="8" s="1"/>
  <c r="AE86" i="9"/>
  <c r="M96" i="8" s="1"/>
  <c r="M22" i="3"/>
  <c r="M22" i="2"/>
  <c r="W75" i="9"/>
  <c r="H15" i="8" s="1"/>
  <c r="M19" i="2"/>
  <c r="M19" i="3"/>
  <c r="W47" i="9"/>
  <c r="H54" i="8" s="1"/>
  <c r="W230" i="9"/>
  <c r="H186" i="8" s="1"/>
  <c r="AM230" i="9"/>
  <c r="R186" i="8" s="1"/>
  <c r="BC230" i="9"/>
  <c r="AB186" i="8" s="1"/>
  <c r="AE230" i="9"/>
  <c r="M186" i="8" s="1"/>
  <c r="AU230" i="9"/>
  <c r="W186" i="8" s="1"/>
  <c r="I189" i="5"/>
  <c r="I11" i="6"/>
  <c r="W164" i="9"/>
  <c r="H51" i="8" s="1"/>
  <c r="M25" i="2"/>
  <c r="M25" i="3"/>
  <c r="M23" i="3"/>
  <c r="W97" i="9"/>
  <c r="H48" i="8" s="1"/>
  <c r="M23" i="2"/>
  <c r="I129" i="6"/>
  <c r="M28" i="3"/>
  <c r="W211" i="9"/>
  <c r="H80" i="8" s="1"/>
  <c r="M28" i="2"/>
  <c r="I161" i="5"/>
  <c r="I82" i="6"/>
  <c r="I193" i="5"/>
  <c r="AE190" i="9"/>
  <c r="M190" i="8" s="1"/>
  <c r="AM190" i="9"/>
  <c r="R190" i="8" s="1"/>
  <c r="AU190" i="9"/>
  <c r="W190" i="8" s="1"/>
  <c r="W190" i="9"/>
  <c r="H190" i="8" s="1"/>
  <c r="BC190" i="9"/>
  <c r="AB190" i="8" s="1"/>
  <c r="I195" i="5"/>
  <c r="I184" i="6"/>
  <c r="AE192" i="9"/>
  <c r="M192" i="8" s="1"/>
  <c r="W192" i="9"/>
  <c r="H192" i="8" s="1"/>
  <c r="AM192" i="9"/>
  <c r="R192" i="8" s="1"/>
  <c r="BC192" i="9"/>
  <c r="AB192" i="8" s="1"/>
  <c r="AU192" i="9"/>
  <c r="W192" i="8" s="1"/>
  <c r="AE188" i="9"/>
  <c r="M188" i="8" s="1"/>
  <c r="AU188" i="9"/>
  <c r="W188" i="8" s="1"/>
  <c r="BC188" i="9"/>
  <c r="AB188" i="8" s="1"/>
  <c r="W188" i="9"/>
  <c r="H188" i="8" s="1"/>
  <c r="AM188" i="9"/>
  <c r="R188" i="8" s="1"/>
  <c r="I138" i="5"/>
  <c r="I200" i="6"/>
  <c r="I119" i="5"/>
  <c r="I187" i="6"/>
  <c r="I100" i="5"/>
  <c r="I164" i="6"/>
  <c r="AE89" i="9"/>
  <c r="M121" i="8" s="1"/>
  <c r="AU89" i="9"/>
  <c r="W121" i="8" s="1"/>
  <c r="W89" i="9"/>
  <c r="H121" i="8" s="1"/>
  <c r="AM89" i="9"/>
  <c r="R121" i="8" s="1"/>
  <c r="BC89" i="9"/>
  <c r="AB121" i="8" s="1"/>
  <c r="G187" i="5"/>
  <c r="G7" i="6"/>
  <c r="G6" i="6"/>
  <c r="G168" i="5"/>
  <c r="I38" i="7"/>
  <c r="G5" i="6"/>
  <c r="G150" i="5"/>
  <c r="C26" i="4"/>
  <c r="AZ237" i="9"/>
  <c r="BA237" i="9" s="1"/>
  <c r="Z184" i="8" s="1"/>
  <c r="BB237" i="9"/>
  <c r="AA184" i="8" s="1"/>
  <c r="AR237" i="9"/>
  <c r="AS237" i="9" s="1"/>
  <c r="U184" i="8" s="1"/>
  <c r="AT237" i="9"/>
  <c r="V184" i="8" s="1"/>
  <c r="AJ237" i="9"/>
  <c r="AK237" i="9" s="1"/>
  <c r="P184" i="8" s="1"/>
  <c r="AL237" i="9"/>
  <c r="Q184" i="8" s="1"/>
  <c r="AB237" i="9"/>
  <c r="AC237" i="9" s="1"/>
  <c r="K184" i="8" s="1"/>
  <c r="AD237" i="9"/>
  <c r="L184" i="8" s="1"/>
  <c r="U237" i="9"/>
  <c r="F184" i="8" s="1"/>
  <c r="G186" i="5"/>
  <c r="G8" i="6"/>
  <c r="AZ236" i="9"/>
  <c r="BA236" i="9" s="1"/>
  <c r="Z146" i="8" s="1"/>
  <c r="BB236" i="9"/>
  <c r="AA146" i="8" s="1"/>
  <c r="AR236" i="9"/>
  <c r="AS236" i="9" s="1"/>
  <c r="U146" i="8" s="1"/>
  <c r="AT236" i="9"/>
  <c r="V146" i="8" s="1"/>
  <c r="AJ236" i="9"/>
  <c r="AK236" i="9" s="1"/>
  <c r="P146" i="8" s="1"/>
  <c r="AL236" i="9"/>
  <c r="Q146" i="8" s="1"/>
  <c r="AB236" i="9"/>
  <c r="AC236" i="9" s="1"/>
  <c r="K146" i="8" s="1"/>
  <c r="AD236" i="9"/>
  <c r="L146" i="8" s="1"/>
  <c r="U236" i="9"/>
  <c r="F146" i="8" s="1"/>
  <c r="G145" i="5"/>
  <c r="G100" i="6"/>
  <c r="AZ235" i="9"/>
  <c r="BA235" i="9" s="1"/>
  <c r="Z67" i="8" s="1"/>
  <c r="BB235" i="9"/>
  <c r="AA67" i="8" s="1"/>
  <c r="AR235" i="9"/>
  <c r="AS235" i="9" s="1"/>
  <c r="U67" i="8" s="1"/>
  <c r="AT235" i="9"/>
  <c r="V67" i="8" s="1"/>
  <c r="AJ235" i="9"/>
  <c r="AK235" i="9" s="1"/>
  <c r="P67" i="8" s="1"/>
  <c r="AL235" i="9"/>
  <c r="Q67" i="8" s="1"/>
  <c r="AB235" i="9"/>
  <c r="AC235" i="9" s="1"/>
  <c r="K67" i="8" s="1"/>
  <c r="AD235" i="9"/>
  <c r="L67" i="8" s="1"/>
  <c r="U235" i="9"/>
  <c r="F67" i="8" s="1"/>
  <c r="G69" i="5"/>
  <c r="G17" i="6"/>
  <c r="AZ234" i="9"/>
  <c r="BB234" i="9"/>
  <c r="AA29" i="8" s="1"/>
  <c r="AR234" i="9"/>
  <c r="AT234" i="9"/>
  <c r="V29" i="8" s="1"/>
  <c r="AJ234" i="9"/>
  <c r="AL234" i="9"/>
  <c r="Q29" i="8" s="1"/>
  <c r="AB234" i="9"/>
  <c r="AD234" i="9"/>
  <c r="L29" i="8" s="1"/>
  <c r="I37" i="7"/>
  <c r="G29" i="5"/>
  <c r="G10" i="6"/>
  <c r="C25" i="4"/>
  <c r="AZ231" i="9"/>
  <c r="BB231" i="9"/>
  <c r="AA195" i="8" s="1"/>
  <c r="AR231" i="9"/>
  <c r="AT231" i="9"/>
  <c r="V195" i="8" s="1"/>
  <c r="AJ231" i="9"/>
  <c r="AL231" i="9"/>
  <c r="Q195" i="8" s="1"/>
  <c r="AB231" i="9"/>
  <c r="AD231" i="9"/>
  <c r="L195" i="8" s="1"/>
  <c r="G198" i="5"/>
  <c r="G153" i="6"/>
  <c r="AZ230" i="9"/>
  <c r="BA230" i="9" s="1"/>
  <c r="Z186" i="8" s="1"/>
  <c r="BB230" i="9"/>
  <c r="AA186" i="8" s="1"/>
  <c r="AR230" i="9"/>
  <c r="AS230" i="9" s="1"/>
  <c r="U186" i="8" s="1"/>
  <c r="AT230" i="9"/>
  <c r="V186" i="8" s="1"/>
  <c r="AJ230" i="9"/>
  <c r="AK230" i="9" s="1"/>
  <c r="P186" i="8" s="1"/>
  <c r="AL230" i="9"/>
  <c r="Q186" i="8" s="1"/>
  <c r="AB230" i="9"/>
  <c r="AC230" i="9" s="1"/>
  <c r="K186" i="8" s="1"/>
  <c r="AD230" i="9"/>
  <c r="L186" i="8" s="1"/>
  <c r="G189" i="5"/>
  <c r="G11" i="6"/>
  <c r="U230" i="9"/>
  <c r="F186" i="8" s="1"/>
  <c r="AZ229" i="9"/>
  <c r="BA229" i="9" s="1"/>
  <c r="Z74" i="8" s="1"/>
  <c r="BB229" i="9"/>
  <c r="AA74" i="8" s="1"/>
  <c r="AR229" i="9"/>
  <c r="AS229" i="9" s="1"/>
  <c r="U74" i="8" s="1"/>
  <c r="AT229" i="9"/>
  <c r="V74" i="8" s="1"/>
  <c r="AJ229" i="9"/>
  <c r="AK229" i="9" s="1"/>
  <c r="P74" i="8" s="1"/>
  <c r="AL229" i="9"/>
  <c r="Q74" i="8" s="1"/>
  <c r="AB229" i="9"/>
  <c r="AC229" i="9" s="1"/>
  <c r="K74" i="8" s="1"/>
  <c r="AD229" i="9"/>
  <c r="L74" i="8" s="1"/>
  <c r="G171" i="5"/>
  <c r="U229" i="9"/>
  <c r="F74" i="8" s="1"/>
  <c r="G12" i="6"/>
  <c r="AZ228" i="9"/>
  <c r="BB228" i="9"/>
  <c r="AA143" i="8" s="1"/>
  <c r="AR228" i="9"/>
  <c r="AT228" i="9"/>
  <c r="V143" i="8" s="1"/>
  <c r="AJ228" i="9"/>
  <c r="AL228" i="9"/>
  <c r="Q143" i="8" s="1"/>
  <c r="AB228" i="9"/>
  <c r="AD228" i="9"/>
  <c r="L143" i="8" s="1"/>
  <c r="I36" i="7"/>
  <c r="G157" i="5"/>
  <c r="C24" i="4"/>
  <c r="G30" i="6"/>
  <c r="AZ225" i="9"/>
  <c r="BB225" i="9"/>
  <c r="AA179" i="8" s="1"/>
  <c r="AR225" i="9"/>
  <c r="AT225" i="9"/>
  <c r="V179" i="8" s="1"/>
  <c r="AJ225" i="9"/>
  <c r="AL225" i="9"/>
  <c r="Q179" i="8" s="1"/>
  <c r="AB225" i="9"/>
  <c r="AD225" i="9"/>
  <c r="L179" i="8" s="1"/>
  <c r="U225" i="9"/>
  <c r="F179" i="8" s="1"/>
  <c r="G181" i="5"/>
  <c r="C23" i="4"/>
  <c r="G18" i="6"/>
  <c r="G102" i="5"/>
  <c r="U224" i="9"/>
  <c r="F201" i="8" s="1"/>
  <c r="G125" i="6"/>
  <c r="I35" i="7"/>
  <c r="U223" i="9"/>
  <c r="F200" i="8" s="1"/>
  <c r="G53" i="5"/>
  <c r="G34" i="6"/>
  <c r="AZ220" i="9"/>
  <c r="BB220" i="9"/>
  <c r="AA89" i="8" s="1"/>
  <c r="AR220" i="9"/>
  <c r="AT220" i="9"/>
  <c r="V89" i="8" s="1"/>
  <c r="AJ220" i="9"/>
  <c r="AL220" i="9"/>
  <c r="Q89" i="8" s="1"/>
  <c r="AB220" i="9"/>
  <c r="AD220" i="9"/>
  <c r="L89" i="8" s="1"/>
  <c r="G77" i="5"/>
  <c r="G19" i="6"/>
  <c r="AZ219" i="9"/>
  <c r="BB219" i="9"/>
  <c r="AA69" i="8" s="1"/>
  <c r="AR219" i="9"/>
  <c r="AT219" i="9"/>
  <c r="V69" i="8" s="1"/>
  <c r="AJ219" i="9"/>
  <c r="AL219" i="9"/>
  <c r="Q69" i="8" s="1"/>
  <c r="AB219" i="9"/>
  <c r="AD219" i="9"/>
  <c r="L69" i="8" s="1"/>
  <c r="G33" i="6"/>
  <c r="G58" i="5"/>
  <c r="AZ218" i="9"/>
  <c r="BB218" i="9"/>
  <c r="AA68" i="8" s="1"/>
  <c r="AR218" i="9"/>
  <c r="AT218" i="9"/>
  <c r="V68" i="8" s="1"/>
  <c r="AJ218" i="9"/>
  <c r="AL218" i="9"/>
  <c r="Q68" i="8" s="1"/>
  <c r="AB218" i="9"/>
  <c r="AD218" i="9"/>
  <c r="L68" i="8" s="1"/>
  <c r="I34" i="7"/>
  <c r="U218" i="9"/>
  <c r="F68" i="8" s="1"/>
  <c r="G57" i="5"/>
  <c r="G26" i="6"/>
  <c r="C22" i="4"/>
  <c r="AZ215" i="9"/>
  <c r="BA215" i="9" s="1"/>
  <c r="Z151" i="8" s="1"/>
  <c r="BB215" i="9"/>
  <c r="AA151" i="8" s="1"/>
  <c r="AR215" i="9"/>
  <c r="AS215" i="9" s="1"/>
  <c r="U151" i="8" s="1"/>
  <c r="AT215" i="9"/>
  <c r="V151" i="8" s="1"/>
  <c r="AJ215" i="9"/>
  <c r="AK215" i="9" s="1"/>
  <c r="P151" i="8" s="1"/>
  <c r="AL215" i="9"/>
  <c r="Q151" i="8" s="1"/>
  <c r="AD215" i="9"/>
  <c r="L151" i="8" s="1"/>
  <c r="AB215" i="9"/>
  <c r="AC215" i="9" s="1"/>
  <c r="K151" i="8" s="1"/>
  <c r="U215" i="9"/>
  <c r="F151" i="8" s="1"/>
  <c r="G161" i="5"/>
  <c r="G82" i="6"/>
  <c r="AZ214" i="9"/>
  <c r="BB214" i="9"/>
  <c r="AA144" i="8" s="1"/>
  <c r="AR214" i="9"/>
  <c r="AT214" i="9"/>
  <c r="V144" i="8" s="1"/>
  <c r="AJ214" i="9"/>
  <c r="AL214" i="9"/>
  <c r="Q144" i="8" s="1"/>
  <c r="AB214" i="9"/>
  <c r="AD214" i="9"/>
  <c r="L144" i="8" s="1"/>
  <c r="G72" i="6"/>
  <c r="G155" i="5"/>
  <c r="AZ213" i="9"/>
  <c r="BB213" i="9"/>
  <c r="AA122" i="8" s="1"/>
  <c r="AR213" i="9"/>
  <c r="AT213" i="9"/>
  <c r="V122" i="8" s="1"/>
  <c r="AL213" i="9"/>
  <c r="Q122" i="8" s="1"/>
  <c r="AJ213" i="9"/>
  <c r="G137" i="6"/>
  <c r="G131" i="5"/>
  <c r="AZ212" i="9"/>
  <c r="BB212" i="9"/>
  <c r="AA103" i="8" s="1"/>
  <c r="AR212" i="9"/>
  <c r="AT212" i="9"/>
  <c r="V103" i="8" s="1"/>
  <c r="AJ212" i="9"/>
  <c r="AL212" i="9"/>
  <c r="Q103" i="8" s="1"/>
  <c r="AB212" i="9"/>
  <c r="AD212" i="9"/>
  <c r="L103" i="8" s="1"/>
  <c r="G114" i="5"/>
  <c r="G121" i="6"/>
  <c r="AZ211" i="9"/>
  <c r="BB211" i="9"/>
  <c r="AA80" i="8" s="1"/>
  <c r="AR211" i="9"/>
  <c r="AT211" i="9"/>
  <c r="V80" i="8" s="1"/>
  <c r="AJ211" i="9"/>
  <c r="AL211" i="9"/>
  <c r="Q80" i="8" s="1"/>
  <c r="AB211" i="9"/>
  <c r="AD211" i="9"/>
  <c r="L80" i="8" s="1"/>
  <c r="I33" i="7"/>
  <c r="G91" i="5"/>
  <c r="U211" i="9"/>
  <c r="F80" i="8" s="1"/>
  <c r="C21" i="4"/>
  <c r="G129" i="6"/>
  <c r="AZ208" i="9"/>
  <c r="BB208" i="9"/>
  <c r="AA82" i="8" s="1"/>
  <c r="AR208" i="9"/>
  <c r="AT208" i="9"/>
  <c r="V82" i="8" s="1"/>
  <c r="AJ208" i="9"/>
  <c r="AL208" i="9"/>
  <c r="Q82" i="8" s="1"/>
  <c r="AB208" i="9"/>
  <c r="AD208" i="9"/>
  <c r="L82" i="8" s="1"/>
  <c r="G83" i="5"/>
  <c r="G134" i="6"/>
  <c r="AZ207" i="9"/>
  <c r="BB207" i="9"/>
  <c r="AA46" i="8" s="1"/>
  <c r="AR207" i="9"/>
  <c r="AT207" i="9"/>
  <c r="V46" i="8" s="1"/>
  <c r="AJ207" i="9"/>
  <c r="AL207" i="9"/>
  <c r="Q46" i="8" s="1"/>
  <c r="AB207" i="9"/>
  <c r="AD207" i="9"/>
  <c r="L46" i="8" s="1"/>
  <c r="I32" i="7"/>
  <c r="C20" i="4"/>
  <c r="G44" i="5"/>
  <c r="G127" i="6"/>
  <c r="AZ204" i="9"/>
  <c r="BB204" i="9"/>
  <c r="AA177" i="8" s="1"/>
  <c r="AR204" i="9"/>
  <c r="AT204" i="9"/>
  <c r="V177" i="8" s="1"/>
  <c r="AJ204" i="9"/>
  <c r="AL204" i="9"/>
  <c r="Q177" i="8" s="1"/>
  <c r="AB204" i="9"/>
  <c r="AD204" i="9"/>
  <c r="L177" i="8" s="1"/>
  <c r="G77" i="6"/>
  <c r="G180" i="5"/>
  <c r="AZ203" i="9"/>
  <c r="BA203" i="9" s="1"/>
  <c r="Z111" i="8" s="1"/>
  <c r="BB203" i="9"/>
  <c r="AA111" i="8" s="1"/>
  <c r="AR203" i="9"/>
  <c r="AS203" i="9" s="1"/>
  <c r="U111" i="8" s="1"/>
  <c r="AT203" i="9"/>
  <c r="V111" i="8" s="1"/>
  <c r="AJ203" i="9"/>
  <c r="AK203" i="9" s="1"/>
  <c r="P111" i="8" s="1"/>
  <c r="AL203" i="9"/>
  <c r="Q111" i="8" s="1"/>
  <c r="AB203" i="9"/>
  <c r="AC203" i="9" s="1"/>
  <c r="K111" i="8" s="1"/>
  <c r="AD203" i="9"/>
  <c r="L111" i="8" s="1"/>
  <c r="U203" i="9"/>
  <c r="F111" i="8" s="1"/>
  <c r="G138" i="5"/>
  <c r="G200" i="6"/>
  <c r="AZ202" i="9"/>
  <c r="BA202" i="9" s="1"/>
  <c r="Z124" i="8" s="1"/>
  <c r="BB202" i="9"/>
  <c r="AA124" i="8" s="1"/>
  <c r="AR202" i="9"/>
  <c r="AS202" i="9" s="1"/>
  <c r="U124" i="8" s="1"/>
  <c r="AT202" i="9"/>
  <c r="V124" i="8" s="1"/>
  <c r="AJ202" i="9"/>
  <c r="AK202" i="9" s="1"/>
  <c r="P124" i="8" s="1"/>
  <c r="AL202" i="9"/>
  <c r="Q124" i="8" s="1"/>
  <c r="AB202" i="9"/>
  <c r="AC202" i="9" s="1"/>
  <c r="K124" i="8" s="1"/>
  <c r="AD202" i="9"/>
  <c r="L124" i="8" s="1"/>
  <c r="U202" i="9"/>
  <c r="F124" i="8" s="1"/>
  <c r="G201" i="6"/>
  <c r="G124" i="5"/>
  <c r="AZ201" i="9"/>
  <c r="BA201" i="9" s="1"/>
  <c r="Z120" i="8" s="1"/>
  <c r="BB201" i="9"/>
  <c r="AA120" i="8" s="1"/>
  <c r="AR201" i="9"/>
  <c r="AS201" i="9" s="1"/>
  <c r="U120" i="8" s="1"/>
  <c r="AT201" i="9"/>
  <c r="V120" i="8" s="1"/>
  <c r="AJ201" i="9"/>
  <c r="AK201" i="9" s="1"/>
  <c r="P120" i="8" s="1"/>
  <c r="AL201" i="9"/>
  <c r="Q120" i="8" s="1"/>
  <c r="AB201" i="9"/>
  <c r="AC201" i="9" s="1"/>
  <c r="K120" i="8" s="1"/>
  <c r="AD201" i="9"/>
  <c r="L120" i="8" s="1"/>
  <c r="U201" i="9"/>
  <c r="F120" i="8" s="1"/>
  <c r="G187" i="6"/>
  <c r="G119" i="5"/>
  <c r="AZ200" i="9"/>
  <c r="BA200" i="9" s="1"/>
  <c r="Z110" i="8" s="1"/>
  <c r="BB200" i="9"/>
  <c r="AA110" i="8" s="1"/>
  <c r="AR200" i="9"/>
  <c r="AS200" i="9" s="1"/>
  <c r="U110" i="8" s="1"/>
  <c r="AT200" i="9"/>
  <c r="V110" i="8" s="1"/>
  <c r="AJ200" i="9"/>
  <c r="AK200" i="9" s="1"/>
  <c r="P110" i="8" s="1"/>
  <c r="AL200" i="9"/>
  <c r="Q110" i="8" s="1"/>
  <c r="AB200" i="9"/>
  <c r="AC200" i="9" s="1"/>
  <c r="K110" i="8" s="1"/>
  <c r="AD200" i="9"/>
  <c r="L110" i="8" s="1"/>
  <c r="U200" i="9"/>
  <c r="F110" i="8" s="1"/>
  <c r="G164" i="6"/>
  <c r="G100" i="5"/>
  <c r="AZ199" i="9"/>
  <c r="BB199" i="9"/>
  <c r="AA98" i="8" s="1"/>
  <c r="AR199" i="9"/>
  <c r="AT199" i="9"/>
  <c r="V98" i="8" s="1"/>
  <c r="AJ199" i="9"/>
  <c r="AL199" i="9"/>
  <c r="Q98" i="8" s="1"/>
  <c r="AB199" i="9"/>
  <c r="AD199" i="9"/>
  <c r="L98" i="8" s="1"/>
  <c r="I31" i="7"/>
  <c r="G195" i="6"/>
  <c r="C19" i="4"/>
  <c r="G99" i="5"/>
  <c r="AZ196" i="9"/>
  <c r="BB196" i="9"/>
  <c r="AA199" i="8" s="1"/>
  <c r="AR196" i="9"/>
  <c r="AT196" i="9"/>
  <c r="V199" i="8" s="1"/>
  <c r="AJ196" i="9"/>
  <c r="AL196" i="9"/>
  <c r="Q199" i="8" s="1"/>
  <c r="AB196" i="9"/>
  <c r="AD196" i="9"/>
  <c r="L199" i="8" s="1"/>
  <c r="G202" i="5"/>
  <c r="G180" i="6"/>
  <c r="AZ195" i="9"/>
  <c r="BA195" i="9" s="1"/>
  <c r="Z198" i="8" s="1"/>
  <c r="BB195" i="9"/>
  <c r="AA198" i="8" s="1"/>
  <c r="AR195" i="9"/>
  <c r="AS195" i="9" s="1"/>
  <c r="U198" i="8" s="1"/>
  <c r="AT195" i="9"/>
  <c r="V198" i="8" s="1"/>
  <c r="AJ195" i="9"/>
  <c r="AK195" i="9" s="1"/>
  <c r="P198" i="8" s="1"/>
  <c r="AL195" i="9"/>
  <c r="Q198" i="8" s="1"/>
  <c r="AB195" i="9"/>
  <c r="AC195" i="9" s="1"/>
  <c r="K198" i="8" s="1"/>
  <c r="AD195" i="9"/>
  <c r="L198" i="8" s="1"/>
  <c r="U195" i="9"/>
  <c r="F198" i="8" s="1"/>
  <c r="G201" i="5"/>
  <c r="G138" i="6"/>
  <c r="AZ194" i="9"/>
  <c r="BA194" i="9" s="1"/>
  <c r="Z197" i="8" s="1"/>
  <c r="BB194" i="9"/>
  <c r="AA197" i="8" s="1"/>
  <c r="AR194" i="9"/>
  <c r="AS194" i="9" s="1"/>
  <c r="U197" i="8" s="1"/>
  <c r="AT194" i="9"/>
  <c r="V197" i="8" s="1"/>
  <c r="AJ194" i="9"/>
  <c r="AK194" i="9" s="1"/>
  <c r="P197" i="8" s="1"/>
  <c r="AL194" i="9"/>
  <c r="Q197" i="8" s="1"/>
  <c r="AB194" i="9"/>
  <c r="AC194" i="9" s="1"/>
  <c r="K197" i="8" s="1"/>
  <c r="AD194" i="9"/>
  <c r="L197" i="8" s="1"/>
  <c r="U194" i="9"/>
  <c r="F197" i="8" s="1"/>
  <c r="G200" i="5"/>
  <c r="G142" i="6"/>
  <c r="AZ193" i="9"/>
  <c r="BA193" i="9" s="1"/>
  <c r="Z194" i="8" s="1"/>
  <c r="BB193" i="9"/>
  <c r="AA194" i="8" s="1"/>
  <c r="AR193" i="9"/>
  <c r="AS193" i="9" s="1"/>
  <c r="U194" i="8" s="1"/>
  <c r="AT193" i="9"/>
  <c r="V194" i="8" s="1"/>
  <c r="AJ193" i="9"/>
  <c r="AK193" i="9" s="1"/>
  <c r="P194" i="8" s="1"/>
  <c r="AL193" i="9"/>
  <c r="Q194" i="8" s="1"/>
  <c r="AB193" i="9"/>
  <c r="AC193" i="9" s="1"/>
  <c r="K194" i="8" s="1"/>
  <c r="AD193" i="9"/>
  <c r="L194" i="8" s="1"/>
  <c r="U193" i="9"/>
  <c r="F194" i="8" s="1"/>
  <c r="G197" i="5"/>
  <c r="G145" i="6"/>
  <c r="AR192" i="9"/>
  <c r="AS192" i="9" s="1"/>
  <c r="U192" i="8" s="1"/>
  <c r="AT192" i="9"/>
  <c r="V192" i="8" s="1"/>
  <c r="AJ192" i="9"/>
  <c r="AK192" i="9" s="1"/>
  <c r="P192" i="8" s="1"/>
  <c r="AL192" i="9"/>
  <c r="Q192" i="8" s="1"/>
  <c r="AB192" i="9"/>
  <c r="AC192" i="9" s="1"/>
  <c r="K192" i="8" s="1"/>
  <c r="AD192" i="9"/>
  <c r="L192" i="8" s="1"/>
  <c r="U192" i="9"/>
  <c r="F192" i="8" s="1"/>
  <c r="G184" i="6"/>
  <c r="G195" i="5"/>
  <c r="AZ191" i="9"/>
  <c r="BA191" i="9" s="1"/>
  <c r="Z191" i="8" s="1"/>
  <c r="BB191" i="9"/>
  <c r="AA191" i="8" s="1"/>
  <c r="AR191" i="9"/>
  <c r="AS191" i="9" s="1"/>
  <c r="U191" i="8" s="1"/>
  <c r="AT191" i="9"/>
  <c r="V191" i="8" s="1"/>
  <c r="AJ191" i="9"/>
  <c r="AK191" i="9" s="1"/>
  <c r="P191" i="8" s="1"/>
  <c r="AL191" i="9"/>
  <c r="Q191" i="8" s="1"/>
  <c r="AB191" i="9"/>
  <c r="AC191" i="9" s="1"/>
  <c r="K191" i="8" s="1"/>
  <c r="AD191" i="9"/>
  <c r="L191" i="8" s="1"/>
  <c r="U191" i="9"/>
  <c r="F191" i="8" s="1"/>
  <c r="G194" i="5"/>
  <c r="G144" i="6"/>
  <c r="AZ190" i="9"/>
  <c r="BA190" i="9" s="1"/>
  <c r="Z190" i="8" s="1"/>
  <c r="BB190" i="9"/>
  <c r="AA190" i="8" s="1"/>
  <c r="AR190" i="9"/>
  <c r="AS190" i="9" s="1"/>
  <c r="U190" i="8" s="1"/>
  <c r="AT190" i="9"/>
  <c r="V190" i="8" s="1"/>
  <c r="AJ190" i="9"/>
  <c r="AK190" i="9" s="1"/>
  <c r="P190" i="8" s="1"/>
  <c r="AL190" i="9"/>
  <c r="Q190" i="8" s="1"/>
  <c r="AB190" i="9"/>
  <c r="AC190" i="9" s="1"/>
  <c r="K190" i="8" s="1"/>
  <c r="AD190" i="9"/>
  <c r="L190" i="8" s="1"/>
  <c r="U190" i="9"/>
  <c r="F190" i="8" s="1"/>
  <c r="G193" i="5"/>
  <c r="G171" i="6"/>
  <c r="AZ189" i="9"/>
  <c r="BB189" i="9"/>
  <c r="AA189" i="8" s="1"/>
  <c r="AR189" i="9"/>
  <c r="AT189" i="9"/>
  <c r="V189" i="8" s="1"/>
  <c r="AJ189" i="9"/>
  <c r="AL189" i="9"/>
  <c r="Q189" i="8" s="1"/>
  <c r="AB189" i="9"/>
  <c r="AD189" i="9"/>
  <c r="L189" i="8" s="1"/>
  <c r="G140" i="6"/>
  <c r="G192" i="5"/>
  <c r="AZ188" i="9"/>
  <c r="BB188" i="9"/>
  <c r="AA188" i="8" s="1"/>
  <c r="AR188" i="9"/>
  <c r="AT188" i="9"/>
  <c r="V188" i="8" s="1"/>
  <c r="AJ188" i="9"/>
  <c r="AL188" i="9"/>
  <c r="Q188" i="8" s="1"/>
  <c r="AB188" i="9"/>
  <c r="AD188" i="9"/>
  <c r="L188" i="8" s="1"/>
  <c r="G191" i="5"/>
  <c r="G202" i="6"/>
  <c r="AZ187" i="9"/>
  <c r="BB187" i="9"/>
  <c r="AA185" i="8" s="1"/>
  <c r="AR187" i="9"/>
  <c r="AT187" i="9"/>
  <c r="V185" i="8" s="1"/>
  <c r="AJ187" i="9"/>
  <c r="AL187" i="9"/>
  <c r="Q185" i="8" s="1"/>
  <c r="AB187" i="9"/>
  <c r="AD187" i="9"/>
  <c r="L185" i="8" s="1"/>
  <c r="G132" i="6"/>
  <c r="G188" i="5"/>
  <c r="AZ186" i="9"/>
  <c r="BB186" i="9"/>
  <c r="AA180" i="8" s="1"/>
  <c r="AR186" i="9"/>
  <c r="AT186" i="9"/>
  <c r="V180" i="8" s="1"/>
  <c r="AJ186" i="9"/>
  <c r="AL186" i="9"/>
  <c r="Q180" i="8" s="1"/>
  <c r="AB186" i="9"/>
  <c r="AD186" i="9"/>
  <c r="L180" i="8" s="1"/>
  <c r="G37" i="6"/>
  <c r="G183" i="5"/>
  <c r="AZ185" i="9"/>
  <c r="BB185" i="9"/>
  <c r="AA167" i="8" s="1"/>
  <c r="AR185" i="9"/>
  <c r="AT185" i="9"/>
  <c r="V167" i="8" s="1"/>
  <c r="AJ185" i="9"/>
  <c r="AL185" i="9"/>
  <c r="Q167" i="8" s="1"/>
  <c r="AB185" i="9"/>
  <c r="AD185" i="9"/>
  <c r="L167" i="8" s="1"/>
  <c r="G151" i="6"/>
  <c r="G169" i="5"/>
  <c r="AZ184" i="9"/>
  <c r="BB184" i="9"/>
  <c r="AA157" i="8" s="1"/>
  <c r="AR184" i="9"/>
  <c r="AT184" i="9"/>
  <c r="V157" i="8" s="1"/>
  <c r="AJ184" i="9"/>
  <c r="AL184" i="9"/>
  <c r="Q157" i="8" s="1"/>
  <c r="AB184" i="9"/>
  <c r="AD184" i="9"/>
  <c r="L157" i="8" s="1"/>
  <c r="G154" i="5"/>
  <c r="G150" i="6"/>
  <c r="AZ183" i="9"/>
  <c r="BB183" i="9"/>
  <c r="AA154" i="8" s="1"/>
  <c r="AR183" i="9"/>
  <c r="AT183" i="9"/>
  <c r="V154" i="8" s="1"/>
  <c r="AJ183" i="9"/>
  <c r="AL183" i="9"/>
  <c r="Q154" i="8" s="1"/>
  <c r="AB183" i="9"/>
  <c r="AD183" i="9"/>
  <c r="L154" i="8" s="1"/>
  <c r="G147" i="6"/>
  <c r="G152" i="5"/>
  <c r="AZ182" i="9"/>
  <c r="BB182" i="9"/>
  <c r="AA139" i="8" s="1"/>
  <c r="AR182" i="9"/>
  <c r="AT182" i="9"/>
  <c r="V139" i="8" s="1"/>
  <c r="AJ182" i="9"/>
  <c r="AL182" i="9"/>
  <c r="Q139" i="8" s="1"/>
  <c r="AB182" i="9"/>
  <c r="AD182" i="9"/>
  <c r="L139" i="8" s="1"/>
  <c r="G137" i="5"/>
  <c r="G122" i="6"/>
  <c r="AZ181" i="9"/>
  <c r="BB181" i="9"/>
  <c r="AA136" i="8" s="1"/>
  <c r="AR181" i="9"/>
  <c r="AT181" i="9"/>
  <c r="V136" i="8" s="1"/>
  <c r="AJ181" i="9"/>
  <c r="AL181" i="9"/>
  <c r="Q136" i="8" s="1"/>
  <c r="AB181" i="9"/>
  <c r="AD181" i="9"/>
  <c r="L136" i="8" s="1"/>
  <c r="G175" i="6"/>
  <c r="G136" i="5"/>
  <c r="AZ180" i="9"/>
  <c r="BB180" i="9"/>
  <c r="AA135" i="8" s="1"/>
  <c r="AR180" i="9"/>
  <c r="AT180" i="9"/>
  <c r="V135" i="8" s="1"/>
  <c r="AJ180" i="9"/>
  <c r="AL180" i="9"/>
  <c r="Q135" i="8" s="1"/>
  <c r="AB180" i="9"/>
  <c r="AD180" i="9"/>
  <c r="L135" i="8" s="1"/>
  <c r="G120" i="6"/>
  <c r="G135" i="5"/>
  <c r="AZ179" i="9"/>
  <c r="BB179" i="9"/>
  <c r="AA134" i="8" s="1"/>
  <c r="AR179" i="9"/>
  <c r="AT179" i="9"/>
  <c r="V134" i="8" s="1"/>
  <c r="AJ179" i="9"/>
  <c r="AL179" i="9"/>
  <c r="Q134" i="8" s="1"/>
  <c r="AB179" i="9"/>
  <c r="AD179" i="9"/>
  <c r="L134" i="8" s="1"/>
  <c r="G134" i="5"/>
  <c r="G111" i="6"/>
  <c r="AZ178" i="9"/>
  <c r="BB178" i="9"/>
  <c r="AA125" i="8" s="1"/>
  <c r="AR178" i="9"/>
  <c r="AT178" i="9"/>
  <c r="V125" i="8" s="1"/>
  <c r="AJ178" i="9"/>
  <c r="AL178" i="9"/>
  <c r="Q125" i="8" s="1"/>
  <c r="AB178" i="9"/>
  <c r="AD178" i="9"/>
  <c r="L125" i="8" s="1"/>
  <c r="G73" i="6"/>
  <c r="G125" i="5"/>
  <c r="AZ177" i="9"/>
  <c r="BB177" i="9"/>
  <c r="AA123" i="8" s="1"/>
  <c r="AR177" i="9"/>
  <c r="AT177" i="9"/>
  <c r="V123" i="8" s="1"/>
  <c r="AJ177" i="9"/>
  <c r="AL177" i="9"/>
  <c r="Q123" i="8" s="1"/>
  <c r="AB177" i="9"/>
  <c r="AD177" i="9"/>
  <c r="L123" i="8" s="1"/>
  <c r="G121" i="5"/>
  <c r="G74" i="6"/>
  <c r="AZ176" i="9"/>
  <c r="BB176" i="9"/>
  <c r="AA116" i="8" s="1"/>
  <c r="AR176" i="9"/>
  <c r="AT176" i="9"/>
  <c r="V116" i="8" s="1"/>
  <c r="AJ176" i="9"/>
  <c r="AL176" i="9"/>
  <c r="Q116" i="8" s="1"/>
  <c r="AB176" i="9"/>
  <c r="AD176" i="9"/>
  <c r="L116" i="8" s="1"/>
  <c r="G112" i="6"/>
  <c r="G113" i="5"/>
  <c r="AZ175" i="9"/>
  <c r="BB175" i="9"/>
  <c r="AA109" i="8" s="1"/>
  <c r="AR175" i="9"/>
  <c r="AT175" i="9"/>
  <c r="V109" i="8" s="1"/>
  <c r="AJ175" i="9"/>
  <c r="AL175" i="9"/>
  <c r="Q109" i="8" s="1"/>
  <c r="AB175" i="9"/>
  <c r="AD175" i="9"/>
  <c r="L109" i="8" s="1"/>
  <c r="G108" i="5"/>
  <c r="G123" i="6"/>
  <c r="AZ174" i="9"/>
  <c r="BB174" i="9"/>
  <c r="AA108" i="8" s="1"/>
  <c r="AR174" i="9"/>
  <c r="AT174" i="9"/>
  <c r="V108" i="8" s="1"/>
  <c r="AJ174" i="9"/>
  <c r="AL174" i="9"/>
  <c r="Q108" i="8" s="1"/>
  <c r="AB174" i="9"/>
  <c r="AD174" i="9"/>
  <c r="L108" i="8" s="1"/>
  <c r="G107" i="5"/>
  <c r="G124" i="6"/>
  <c r="AZ173" i="9"/>
  <c r="BB173" i="9"/>
  <c r="AA105" i="8" s="1"/>
  <c r="AR173" i="9"/>
  <c r="AT173" i="9"/>
  <c r="V105" i="8" s="1"/>
  <c r="AJ173" i="9"/>
  <c r="AL173" i="9"/>
  <c r="Q105" i="8" s="1"/>
  <c r="AB173" i="9"/>
  <c r="AD173" i="9"/>
  <c r="L105" i="8" s="1"/>
  <c r="G105" i="5"/>
  <c r="G110" i="6"/>
  <c r="AZ172" i="9"/>
  <c r="BB172" i="9"/>
  <c r="AA100" i="8" s="1"/>
  <c r="AR172" i="9"/>
  <c r="AT172" i="9"/>
  <c r="V100" i="8" s="1"/>
  <c r="AJ172" i="9"/>
  <c r="AL172" i="9"/>
  <c r="Q100" i="8" s="1"/>
  <c r="AB172" i="9"/>
  <c r="AD172" i="9"/>
  <c r="L100" i="8" s="1"/>
  <c r="G101" i="5"/>
  <c r="G152" i="6"/>
  <c r="AZ171" i="9"/>
  <c r="BB171" i="9"/>
  <c r="AA97" i="8" s="1"/>
  <c r="AR171" i="9"/>
  <c r="AT171" i="9"/>
  <c r="V97" i="8" s="1"/>
  <c r="AJ171" i="9"/>
  <c r="AL171" i="9"/>
  <c r="Q97" i="8" s="1"/>
  <c r="AB171" i="9"/>
  <c r="AD171" i="9"/>
  <c r="L97" i="8" s="1"/>
  <c r="G139" i="6"/>
  <c r="G97" i="5"/>
  <c r="AZ170" i="9"/>
  <c r="BB170" i="9"/>
  <c r="AA95" i="8" s="1"/>
  <c r="AR170" i="9"/>
  <c r="AT170" i="9"/>
  <c r="V95" i="8" s="1"/>
  <c r="AJ170" i="9"/>
  <c r="AL170" i="9"/>
  <c r="Q95" i="8" s="1"/>
  <c r="AB170" i="9"/>
  <c r="AD170" i="9"/>
  <c r="L95" i="8" s="1"/>
  <c r="G93" i="5"/>
  <c r="G136" i="6"/>
  <c r="AZ169" i="9"/>
  <c r="BB169" i="9"/>
  <c r="AA91" i="8" s="1"/>
  <c r="AR169" i="9"/>
  <c r="AT169" i="9"/>
  <c r="V91" i="8" s="1"/>
  <c r="AJ169" i="9"/>
  <c r="AL169" i="9"/>
  <c r="Q91" i="8" s="1"/>
  <c r="AB169" i="9"/>
  <c r="AD169" i="9"/>
  <c r="L91" i="8" s="1"/>
  <c r="G89" i="5"/>
  <c r="G163" i="6"/>
  <c r="AZ168" i="9"/>
  <c r="BB168" i="9"/>
  <c r="AA78" i="8" s="1"/>
  <c r="AR168" i="9"/>
  <c r="AT168" i="9"/>
  <c r="V78" i="8" s="1"/>
  <c r="AJ168" i="9"/>
  <c r="AL168" i="9"/>
  <c r="Q78" i="8" s="1"/>
  <c r="AB168" i="9"/>
  <c r="AD168" i="9"/>
  <c r="L78" i="8" s="1"/>
  <c r="G82" i="5"/>
  <c r="G159" i="6"/>
  <c r="AZ167" i="9"/>
  <c r="BB167" i="9"/>
  <c r="AA77" i="8" s="1"/>
  <c r="AR167" i="9"/>
  <c r="AT167" i="9"/>
  <c r="V77" i="8" s="1"/>
  <c r="AJ167" i="9"/>
  <c r="AL167" i="9"/>
  <c r="Q77" i="8" s="1"/>
  <c r="AB167" i="9"/>
  <c r="AD167" i="9"/>
  <c r="L77" i="8" s="1"/>
  <c r="G126" i="6"/>
  <c r="G78" i="5"/>
  <c r="AZ166" i="9"/>
  <c r="BB166" i="9"/>
  <c r="AA64" i="8" s="1"/>
  <c r="AR166" i="9"/>
  <c r="AT166" i="9"/>
  <c r="V64" i="8" s="1"/>
  <c r="AJ166" i="9"/>
  <c r="AL166" i="9"/>
  <c r="Q64" i="8" s="1"/>
  <c r="AB166" i="9"/>
  <c r="AD166" i="9"/>
  <c r="L64" i="8" s="1"/>
  <c r="G67" i="5"/>
  <c r="G146" i="6"/>
  <c r="AZ165" i="9"/>
  <c r="BB165" i="9"/>
  <c r="AA57" i="8" s="1"/>
  <c r="AR165" i="9"/>
  <c r="AT165" i="9"/>
  <c r="V57" i="8" s="1"/>
  <c r="AJ165" i="9"/>
  <c r="AL165" i="9"/>
  <c r="Q57" i="8" s="1"/>
  <c r="AB165" i="9"/>
  <c r="AD165" i="9"/>
  <c r="L57" i="8" s="1"/>
  <c r="G106" i="6"/>
  <c r="G54" i="5"/>
  <c r="AZ164" i="9"/>
  <c r="BB164" i="9"/>
  <c r="AA51" i="8" s="1"/>
  <c r="AR164" i="9"/>
  <c r="AT164" i="9"/>
  <c r="V51" i="8" s="1"/>
  <c r="AJ164" i="9"/>
  <c r="AL164" i="9"/>
  <c r="Q51" i="8" s="1"/>
  <c r="AB164" i="9"/>
  <c r="AD164" i="9"/>
  <c r="L51" i="8" s="1"/>
  <c r="I30" i="7"/>
  <c r="G50" i="5"/>
  <c r="C18" i="4"/>
  <c r="G90" i="6"/>
  <c r="AZ161" i="9"/>
  <c r="BB161" i="9"/>
  <c r="AA196" i="8" s="1"/>
  <c r="AR161" i="9"/>
  <c r="AT161" i="9"/>
  <c r="V196" i="8" s="1"/>
  <c r="AJ161" i="9"/>
  <c r="AL161" i="9"/>
  <c r="Q196" i="8" s="1"/>
  <c r="AB161" i="9"/>
  <c r="AD161" i="9"/>
  <c r="L196" i="8" s="1"/>
  <c r="G199" i="5"/>
  <c r="G191" i="6"/>
  <c r="AZ160" i="9"/>
  <c r="BB160" i="9"/>
  <c r="AA193" i="8" s="1"/>
  <c r="AR160" i="9"/>
  <c r="AT160" i="9"/>
  <c r="V193" i="8" s="1"/>
  <c r="AJ160" i="9"/>
  <c r="AL160" i="9"/>
  <c r="Q193" i="8" s="1"/>
  <c r="AB160" i="9"/>
  <c r="AD160" i="9"/>
  <c r="L193" i="8" s="1"/>
  <c r="G196" i="5"/>
  <c r="G193" i="6"/>
  <c r="AZ159" i="9"/>
  <c r="BB159" i="9"/>
  <c r="AA187" i="8" s="1"/>
  <c r="AR159" i="9"/>
  <c r="AT159" i="9"/>
  <c r="V187" i="8" s="1"/>
  <c r="AJ159" i="9"/>
  <c r="AL159" i="9"/>
  <c r="Q187" i="8" s="1"/>
  <c r="AB159" i="9"/>
  <c r="AD159" i="9"/>
  <c r="L187" i="8" s="1"/>
  <c r="G190" i="5"/>
  <c r="G190" i="6"/>
  <c r="AZ158" i="9"/>
  <c r="BB158" i="9"/>
  <c r="AA182" i="8" s="1"/>
  <c r="AR158" i="9"/>
  <c r="AT158" i="9"/>
  <c r="V182" i="8" s="1"/>
  <c r="AJ158" i="9"/>
  <c r="AL158" i="9"/>
  <c r="Q182" i="8" s="1"/>
  <c r="AB158" i="9"/>
  <c r="AD158" i="9"/>
  <c r="L182" i="8" s="1"/>
  <c r="G185" i="5"/>
  <c r="G42" i="6"/>
  <c r="AZ157" i="9"/>
  <c r="BB157" i="9"/>
  <c r="AA181" i="8" s="1"/>
  <c r="AR157" i="9"/>
  <c r="AT157" i="9"/>
  <c r="V181" i="8" s="1"/>
  <c r="AJ157" i="9"/>
  <c r="AL157" i="9"/>
  <c r="Q181" i="8" s="1"/>
  <c r="AB157" i="9"/>
  <c r="AD157" i="9"/>
  <c r="L181" i="8" s="1"/>
  <c r="G184" i="5"/>
  <c r="G57" i="6"/>
  <c r="AZ156" i="9"/>
  <c r="BB156" i="9"/>
  <c r="AA178" i="8" s="1"/>
  <c r="AR156" i="9"/>
  <c r="AT156" i="9"/>
  <c r="V178" i="8" s="1"/>
  <c r="AJ156" i="9"/>
  <c r="AL156" i="9"/>
  <c r="Q178" i="8" s="1"/>
  <c r="AB156" i="9"/>
  <c r="AD156" i="9"/>
  <c r="L178" i="8" s="1"/>
  <c r="G64" i="6"/>
  <c r="G182" i="5"/>
  <c r="AZ155" i="9"/>
  <c r="BB155" i="9"/>
  <c r="AA176" i="8" s="1"/>
  <c r="AR155" i="9"/>
  <c r="AT155" i="9"/>
  <c r="V176" i="8" s="1"/>
  <c r="AJ155" i="9"/>
  <c r="AL155" i="9"/>
  <c r="Q176" i="8" s="1"/>
  <c r="AB155" i="9"/>
  <c r="AD155" i="9"/>
  <c r="L176" i="8" s="1"/>
  <c r="G75" i="6"/>
  <c r="G179" i="5"/>
  <c r="AZ154" i="9"/>
  <c r="BB154" i="9"/>
  <c r="AA174" i="8" s="1"/>
  <c r="AR154" i="9"/>
  <c r="AT154" i="9"/>
  <c r="V174" i="8" s="1"/>
  <c r="AJ154" i="9"/>
  <c r="AL154" i="9"/>
  <c r="Q174" i="8" s="1"/>
  <c r="AB154" i="9"/>
  <c r="AD154" i="9"/>
  <c r="L174" i="8" s="1"/>
  <c r="G107" i="6"/>
  <c r="G178" i="5"/>
  <c r="AZ153" i="9"/>
  <c r="BB153" i="9"/>
  <c r="AA175" i="8" s="1"/>
  <c r="AR153" i="9"/>
  <c r="AT153" i="9"/>
  <c r="V175" i="8" s="1"/>
  <c r="AJ153" i="9"/>
  <c r="AL153" i="9"/>
  <c r="Q175" i="8" s="1"/>
  <c r="AB153" i="9"/>
  <c r="AD153" i="9"/>
  <c r="L175" i="8" s="1"/>
  <c r="G28" i="6"/>
  <c r="G177" i="5"/>
  <c r="AZ152" i="9"/>
  <c r="BB152" i="9"/>
  <c r="AA173" i="8" s="1"/>
  <c r="AR152" i="9"/>
  <c r="AT152" i="9"/>
  <c r="V173" i="8" s="1"/>
  <c r="AJ152" i="9"/>
  <c r="AL152" i="9"/>
  <c r="Q173" i="8" s="1"/>
  <c r="AB152" i="9"/>
  <c r="AD152" i="9"/>
  <c r="L173" i="8" s="1"/>
  <c r="G80" i="6"/>
  <c r="G176" i="5"/>
  <c r="AZ151" i="9"/>
  <c r="BB151" i="9"/>
  <c r="AA172" i="8" s="1"/>
  <c r="AR151" i="9"/>
  <c r="AT151" i="9"/>
  <c r="V172" i="8" s="1"/>
  <c r="AJ151" i="9"/>
  <c r="AL151" i="9"/>
  <c r="Q172" i="8" s="1"/>
  <c r="AB151" i="9"/>
  <c r="AD151" i="9"/>
  <c r="L172" i="8" s="1"/>
  <c r="G175" i="5"/>
  <c r="G85" i="6"/>
  <c r="AZ150" i="9"/>
  <c r="BB150" i="9"/>
  <c r="AA171" i="8" s="1"/>
  <c r="AR150" i="9"/>
  <c r="AT150" i="9"/>
  <c r="V171" i="8" s="1"/>
  <c r="AJ150" i="9"/>
  <c r="AL150" i="9"/>
  <c r="Q171" i="8" s="1"/>
  <c r="AB150" i="9"/>
  <c r="AD150" i="9"/>
  <c r="L171" i="8" s="1"/>
  <c r="G47" i="6"/>
  <c r="G174" i="5"/>
  <c r="AZ149" i="9"/>
  <c r="BB149" i="9"/>
  <c r="AA168" i="8" s="1"/>
  <c r="AR149" i="9"/>
  <c r="AT149" i="9"/>
  <c r="V168" i="8" s="1"/>
  <c r="AJ149" i="9"/>
  <c r="AL149" i="9"/>
  <c r="Q168" i="8" s="1"/>
  <c r="AB149" i="9"/>
  <c r="AD149" i="9"/>
  <c r="L168" i="8" s="1"/>
  <c r="G172" i="5"/>
  <c r="G71" i="6"/>
  <c r="AZ148" i="9"/>
  <c r="BA148" i="9" s="1"/>
  <c r="Z169" i="8" s="1"/>
  <c r="BB148" i="9"/>
  <c r="AA169" i="8" s="1"/>
  <c r="AR148" i="9"/>
  <c r="AS148" i="9" s="1"/>
  <c r="U169" i="8" s="1"/>
  <c r="AT148" i="9"/>
  <c r="V169" i="8" s="1"/>
  <c r="AJ148" i="9"/>
  <c r="AK148" i="9" s="1"/>
  <c r="P169" i="8" s="1"/>
  <c r="AL148" i="9"/>
  <c r="Q169" i="8" s="1"/>
  <c r="AB148" i="9"/>
  <c r="AC148" i="9" s="1"/>
  <c r="K169" i="8" s="1"/>
  <c r="AD148" i="9"/>
  <c r="L169" i="8" s="1"/>
  <c r="U148" i="9"/>
  <c r="F169" i="8" s="1"/>
  <c r="G170" i="5"/>
  <c r="G59" i="6"/>
  <c r="AZ147" i="9"/>
  <c r="BB147" i="9"/>
  <c r="AA164" i="8" s="1"/>
  <c r="AR147" i="9"/>
  <c r="AT147" i="9"/>
  <c r="V164" i="8" s="1"/>
  <c r="AJ147" i="9"/>
  <c r="AL147" i="9"/>
  <c r="Q164" i="8" s="1"/>
  <c r="AB147" i="9"/>
  <c r="AD147" i="9"/>
  <c r="L164" i="8" s="1"/>
  <c r="G167" i="5"/>
  <c r="G60" i="6"/>
  <c r="AZ146" i="9"/>
  <c r="BB146" i="9"/>
  <c r="AA165" i="8" s="1"/>
  <c r="AR146" i="9"/>
  <c r="AT146" i="9"/>
  <c r="V165" i="8" s="1"/>
  <c r="AJ146" i="9"/>
  <c r="AL146" i="9"/>
  <c r="Q165" i="8" s="1"/>
  <c r="AB146" i="9"/>
  <c r="AD146" i="9"/>
  <c r="L165" i="8" s="1"/>
  <c r="G32" i="6"/>
  <c r="G164" i="5"/>
  <c r="AZ145" i="9"/>
  <c r="BB145" i="9"/>
  <c r="AA161" i="8" s="1"/>
  <c r="AR145" i="9"/>
  <c r="AT145" i="9"/>
  <c r="V161" i="8" s="1"/>
  <c r="AJ145" i="9"/>
  <c r="AL145" i="9"/>
  <c r="Q161" i="8" s="1"/>
  <c r="AB145" i="9"/>
  <c r="AD145" i="9"/>
  <c r="L161" i="8" s="1"/>
  <c r="G163" i="5"/>
  <c r="G48" i="6"/>
  <c r="AZ144" i="9"/>
  <c r="BB144" i="9"/>
  <c r="AA156" i="8" s="1"/>
  <c r="AR144" i="9"/>
  <c r="AT144" i="9"/>
  <c r="V156" i="8" s="1"/>
  <c r="AJ144" i="9"/>
  <c r="AL144" i="9"/>
  <c r="Q156" i="8" s="1"/>
  <c r="AB144" i="9"/>
  <c r="AD144" i="9"/>
  <c r="L156" i="8" s="1"/>
  <c r="G159" i="5"/>
  <c r="G109" i="6"/>
  <c r="AZ143" i="9"/>
  <c r="BB143" i="9"/>
  <c r="AA155" i="8" s="1"/>
  <c r="AR143" i="9"/>
  <c r="AT143" i="9"/>
  <c r="V155" i="8" s="1"/>
  <c r="AJ143" i="9"/>
  <c r="AL143" i="9"/>
  <c r="Q155" i="8" s="1"/>
  <c r="AB143" i="9"/>
  <c r="AD143" i="9"/>
  <c r="L155" i="8" s="1"/>
  <c r="G153" i="5"/>
  <c r="G36" i="6"/>
  <c r="AZ142" i="9"/>
  <c r="BB142" i="9"/>
  <c r="AA149" i="8" s="1"/>
  <c r="AR142" i="9"/>
  <c r="AT142" i="9"/>
  <c r="V149" i="8" s="1"/>
  <c r="AJ142" i="9"/>
  <c r="AL142" i="9"/>
  <c r="Q149" i="8" s="1"/>
  <c r="AB142" i="9"/>
  <c r="AD142" i="9"/>
  <c r="L149" i="8" s="1"/>
  <c r="G151" i="5"/>
  <c r="G79" i="6"/>
  <c r="AZ141" i="9"/>
  <c r="BB141" i="9"/>
  <c r="AA152" i="8" s="1"/>
  <c r="AR141" i="9"/>
  <c r="AT141" i="9"/>
  <c r="V152" i="8" s="1"/>
  <c r="AJ141" i="9"/>
  <c r="AL141" i="9"/>
  <c r="Q152" i="8" s="1"/>
  <c r="AB141" i="9"/>
  <c r="AD141" i="9"/>
  <c r="L152" i="8" s="1"/>
  <c r="G149" i="5"/>
  <c r="G135" i="6"/>
  <c r="AZ140" i="9"/>
  <c r="BB140" i="9"/>
  <c r="AA150" i="8" s="1"/>
  <c r="AR140" i="9"/>
  <c r="AT140" i="9"/>
  <c r="V150" i="8" s="1"/>
  <c r="AJ140" i="9"/>
  <c r="AL140" i="9"/>
  <c r="Q150" i="8" s="1"/>
  <c r="AB140" i="9"/>
  <c r="AD140" i="9"/>
  <c r="L150" i="8" s="1"/>
  <c r="G148" i="5"/>
  <c r="G131" i="6"/>
  <c r="AZ139" i="9"/>
  <c r="BB139" i="9"/>
  <c r="AA141" i="8" s="1"/>
  <c r="AR139" i="9"/>
  <c r="AT139" i="9"/>
  <c r="V141" i="8" s="1"/>
  <c r="AJ139" i="9"/>
  <c r="AL139" i="9"/>
  <c r="Q141" i="8" s="1"/>
  <c r="AB139" i="9"/>
  <c r="AD139" i="9"/>
  <c r="L141" i="8" s="1"/>
  <c r="G144" i="5"/>
  <c r="G89" i="6"/>
  <c r="AZ138" i="9"/>
  <c r="BB138" i="9"/>
  <c r="AA140" i="8" s="1"/>
  <c r="AR138" i="9"/>
  <c r="AT138" i="9"/>
  <c r="V140" i="8" s="1"/>
  <c r="AJ138" i="9"/>
  <c r="AL138" i="9"/>
  <c r="Q140" i="8" s="1"/>
  <c r="AB138" i="9"/>
  <c r="AD138" i="9"/>
  <c r="L140" i="8" s="1"/>
  <c r="G61" i="6"/>
  <c r="G143" i="5"/>
  <c r="AZ137" i="9"/>
  <c r="BB137" i="9"/>
  <c r="AA145" i="8" s="1"/>
  <c r="AR137" i="9"/>
  <c r="AT137" i="9"/>
  <c r="V145" i="8" s="1"/>
  <c r="AJ137" i="9"/>
  <c r="AL137" i="9"/>
  <c r="Q145" i="8" s="1"/>
  <c r="AB137" i="9"/>
  <c r="AD137" i="9"/>
  <c r="L145" i="8" s="1"/>
  <c r="G142" i="5"/>
  <c r="G29" i="6"/>
  <c r="AZ136" i="9"/>
  <c r="BA136" i="9" s="1"/>
  <c r="Z138" i="8" s="1"/>
  <c r="BB136" i="9"/>
  <c r="AA138" i="8" s="1"/>
  <c r="AR136" i="9"/>
  <c r="AS136" i="9" s="1"/>
  <c r="U138" i="8" s="1"/>
  <c r="AT136" i="9"/>
  <c r="V138" i="8" s="1"/>
  <c r="AJ136" i="9"/>
  <c r="AL136" i="9"/>
  <c r="Q138" i="8" s="1"/>
  <c r="AB136" i="9"/>
  <c r="AC136" i="9" s="1"/>
  <c r="K138" i="8" s="1"/>
  <c r="AD136" i="9"/>
  <c r="L138" i="8" s="1"/>
  <c r="G141" i="5"/>
  <c r="G199" i="6"/>
  <c r="AZ135" i="9"/>
  <c r="BB135" i="9"/>
  <c r="AA137" i="8" s="1"/>
  <c r="AR135" i="9"/>
  <c r="AT135" i="9"/>
  <c r="V137" i="8" s="1"/>
  <c r="AJ135" i="9"/>
  <c r="AL135" i="9"/>
  <c r="Q137" i="8" s="1"/>
  <c r="AB135" i="9"/>
  <c r="AD135" i="9"/>
  <c r="L137" i="8" s="1"/>
  <c r="G140" i="5"/>
  <c r="G31" i="6"/>
  <c r="AZ134" i="9"/>
  <c r="BA134" i="9" s="1"/>
  <c r="Z133" i="8" s="1"/>
  <c r="BB134" i="9"/>
  <c r="AA133" i="8" s="1"/>
  <c r="AR134" i="9"/>
  <c r="AS134" i="9" s="1"/>
  <c r="U133" i="8" s="1"/>
  <c r="AT134" i="9"/>
  <c r="V133" i="8" s="1"/>
  <c r="AJ134" i="9"/>
  <c r="AK134" i="9" s="1"/>
  <c r="P133" i="8" s="1"/>
  <c r="AL134" i="9"/>
  <c r="Q133" i="8" s="1"/>
  <c r="AB134" i="9"/>
  <c r="AC134" i="9" s="1"/>
  <c r="K133" i="8" s="1"/>
  <c r="AD134" i="9"/>
  <c r="L133" i="8" s="1"/>
  <c r="U134" i="9"/>
  <c r="F133" i="8" s="1"/>
  <c r="G49" i="6"/>
  <c r="G132" i="5"/>
  <c r="AZ133" i="9"/>
  <c r="BB133" i="9"/>
  <c r="AA130" i="8" s="1"/>
  <c r="AR133" i="9"/>
  <c r="AT133" i="9"/>
  <c r="V130" i="8" s="1"/>
  <c r="AJ133" i="9"/>
  <c r="AL133" i="9"/>
  <c r="Q130" i="8" s="1"/>
  <c r="AB133" i="9"/>
  <c r="AD133" i="9"/>
  <c r="L130" i="8" s="1"/>
  <c r="G128" i="5"/>
  <c r="G52" i="6"/>
  <c r="AZ132" i="9"/>
  <c r="BB132" i="9"/>
  <c r="AA129" i="8" s="1"/>
  <c r="AR132" i="9"/>
  <c r="AT132" i="9"/>
  <c r="V129" i="8" s="1"/>
  <c r="AJ132" i="9"/>
  <c r="AL132" i="9"/>
  <c r="Q129" i="8" s="1"/>
  <c r="AB132" i="9"/>
  <c r="AD132" i="9"/>
  <c r="L129" i="8" s="1"/>
  <c r="G127" i="5"/>
  <c r="G35" i="6"/>
  <c r="AZ131" i="9"/>
  <c r="BA131" i="9" s="1"/>
  <c r="Z119" i="8" s="1"/>
  <c r="BB131" i="9"/>
  <c r="AA119" i="8" s="1"/>
  <c r="AR131" i="9"/>
  <c r="AS131" i="9" s="1"/>
  <c r="U119" i="8" s="1"/>
  <c r="AT131" i="9"/>
  <c r="V119" i="8" s="1"/>
  <c r="AJ131" i="9"/>
  <c r="AK131" i="9" s="1"/>
  <c r="P119" i="8" s="1"/>
  <c r="AL131" i="9"/>
  <c r="Q119" i="8" s="1"/>
  <c r="AB131" i="9"/>
  <c r="AC131" i="9" s="1"/>
  <c r="K119" i="8" s="1"/>
  <c r="AD131" i="9"/>
  <c r="L119" i="8" s="1"/>
  <c r="U131" i="9"/>
  <c r="F119" i="8" s="1"/>
  <c r="G117" i="5"/>
  <c r="G65" i="6"/>
  <c r="AZ130" i="9"/>
  <c r="BB130" i="9"/>
  <c r="AA93" i="8" s="1"/>
  <c r="AR130" i="9"/>
  <c r="AT130" i="9"/>
  <c r="V93" i="8" s="1"/>
  <c r="AJ130" i="9"/>
  <c r="AL130" i="9"/>
  <c r="Q93" i="8" s="1"/>
  <c r="AB130" i="9"/>
  <c r="AD130" i="9"/>
  <c r="L93" i="8" s="1"/>
  <c r="G92" i="6"/>
  <c r="G95" i="5"/>
  <c r="AZ129" i="9"/>
  <c r="BB129" i="9"/>
  <c r="AA90" i="8" s="1"/>
  <c r="AR129" i="9"/>
  <c r="AT129" i="9"/>
  <c r="V90" i="8" s="1"/>
  <c r="AJ129" i="9"/>
  <c r="AL129" i="9"/>
  <c r="Q90" i="8" s="1"/>
  <c r="AB129" i="9"/>
  <c r="AD129" i="9"/>
  <c r="L90" i="8" s="1"/>
  <c r="G92" i="5"/>
  <c r="G78" i="6"/>
  <c r="AZ128" i="9"/>
  <c r="BB128" i="9"/>
  <c r="AA76" i="8" s="1"/>
  <c r="AR128" i="9"/>
  <c r="AT128" i="9"/>
  <c r="V76" i="8" s="1"/>
  <c r="AJ128" i="9"/>
  <c r="AL128" i="9"/>
  <c r="Q76" i="8" s="1"/>
  <c r="AB128" i="9"/>
  <c r="AD128" i="9"/>
  <c r="L76" i="8" s="1"/>
  <c r="I29" i="7"/>
  <c r="C17" i="4"/>
  <c r="G81" i="5"/>
  <c r="G194" i="6"/>
  <c r="G173" i="5"/>
  <c r="G91" i="6"/>
  <c r="AZ124" i="9"/>
  <c r="BB124" i="9"/>
  <c r="AA163" i="8" s="1"/>
  <c r="AR124" i="9"/>
  <c r="AT124" i="9"/>
  <c r="V163" i="8" s="1"/>
  <c r="AJ124" i="9"/>
  <c r="AL124" i="9"/>
  <c r="Q163" i="8" s="1"/>
  <c r="AB124" i="9"/>
  <c r="AD124" i="9"/>
  <c r="L163" i="8" s="1"/>
  <c r="G67" i="6"/>
  <c r="G166" i="5"/>
  <c r="AZ123" i="9"/>
  <c r="BB123" i="9"/>
  <c r="AA162" i="8" s="1"/>
  <c r="AR123" i="9"/>
  <c r="AT123" i="9"/>
  <c r="V162" i="8" s="1"/>
  <c r="AJ123" i="9"/>
  <c r="AL123" i="9"/>
  <c r="Q162" i="8" s="1"/>
  <c r="AB123" i="9"/>
  <c r="AD123" i="9"/>
  <c r="L162" i="8" s="1"/>
  <c r="G96" i="6"/>
  <c r="G165" i="5"/>
  <c r="AZ122" i="9"/>
  <c r="BB122" i="9"/>
  <c r="AA160" i="8" s="1"/>
  <c r="AR122" i="9"/>
  <c r="AT122" i="9"/>
  <c r="V160" i="8" s="1"/>
  <c r="AJ122" i="9"/>
  <c r="AL122" i="9"/>
  <c r="Q160" i="8" s="1"/>
  <c r="AB122" i="9"/>
  <c r="AD122" i="9"/>
  <c r="L160" i="8" s="1"/>
  <c r="G162" i="5"/>
  <c r="G95" i="6"/>
  <c r="AZ121" i="9"/>
  <c r="BB121" i="9"/>
  <c r="AA158" i="8" s="1"/>
  <c r="AR121" i="9"/>
  <c r="AT121" i="9"/>
  <c r="V158" i="8" s="1"/>
  <c r="AJ121" i="9"/>
  <c r="AL121" i="9"/>
  <c r="Q158" i="8" s="1"/>
  <c r="AB121" i="9"/>
  <c r="AD121" i="9"/>
  <c r="L158" i="8" s="1"/>
  <c r="G98" i="6"/>
  <c r="G160" i="5"/>
  <c r="G158" i="5"/>
  <c r="G24" i="6"/>
  <c r="AZ119" i="9"/>
  <c r="BA119" i="9" s="1"/>
  <c r="Z142" i="8" s="1"/>
  <c r="BB119" i="9"/>
  <c r="AA142" i="8" s="1"/>
  <c r="AR119" i="9"/>
  <c r="AS119" i="9" s="1"/>
  <c r="U142" i="8" s="1"/>
  <c r="AT119" i="9"/>
  <c r="V142" i="8" s="1"/>
  <c r="AJ119" i="9"/>
  <c r="AK119" i="9" s="1"/>
  <c r="P142" i="8" s="1"/>
  <c r="AL119" i="9"/>
  <c r="Q142" i="8" s="1"/>
  <c r="AB119" i="9"/>
  <c r="AC119" i="9" s="1"/>
  <c r="K142" i="8" s="1"/>
  <c r="AD119" i="9"/>
  <c r="L142" i="8" s="1"/>
  <c r="U119" i="9"/>
  <c r="F142" i="8" s="1"/>
  <c r="G147" i="5"/>
  <c r="G93" i="6"/>
  <c r="AZ118" i="9"/>
  <c r="BA118" i="9" s="1"/>
  <c r="Z131" i="8" s="1"/>
  <c r="BB118" i="9"/>
  <c r="AA131" i="8" s="1"/>
  <c r="AR118" i="9"/>
  <c r="AS118" i="9" s="1"/>
  <c r="U131" i="8" s="1"/>
  <c r="AT118" i="9"/>
  <c r="V131" i="8" s="1"/>
  <c r="AJ118" i="9"/>
  <c r="AK118" i="9" s="1"/>
  <c r="P131" i="8" s="1"/>
  <c r="AL118" i="9"/>
  <c r="Q131" i="8" s="1"/>
  <c r="AB118" i="9"/>
  <c r="AC118" i="9" s="1"/>
  <c r="K131" i="8" s="1"/>
  <c r="AD118" i="9"/>
  <c r="L131" i="8" s="1"/>
  <c r="G81" i="6"/>
  <c r="G139" i="5"/>
  <c r="U118" i="9"/>
  <c r="F131" i="8" s="1"/>
  <c r="G133" i="5"/>
  <c r="G94" i="6"/>
  <c r="AZ116" i="9"/>
  <c r="BB116" i="9"/>
  <c r="AA128" i="8" s="1"/>
  <c r="AR116" i="9"/>
  <c r="AT116" i="9"/>
  <c r="V128" i="8" s="1"/>
  <c r="AJ116" i="9"/>
  <c r="AL116" i="9"/>
  <c r="Q128" i="8" s="1"/>
  <c r="AB116" i="9"/>
  <c r="AD116" i="9"/>
  <c r="L128" i="8" s="1"/>
  <c r="G87" i="6"/>
  <c r="G130" i="5"/>
  <c r="AZ115" i="9"/>
  <c r="BB115" i="9"/>
  <c r="AA126" i="8" s="1"/>
  <c r="AR115" i="9"/>
  <c r="AT115" i="9"/>
  <c r="V126" i="8" s="1"/>
  <c r="AJ115" i="9"/>
  <c r="AL115" i="9"/>
  <c r="Q126" i="8" s="1"/>
  <c r="AB115" i="9"/>
  <c r="AD115" i="9"/>
  <c r="L126" i="8" s="1"/>
  <c r="G179" i="6"/>
  <c r="G129" i="5"/>
  <c r="AZ114" i="9"/>
  <c r="BB114" i="9"/>
  <c r="AA102" i="8" s="1"/>
  <c r="AR114" i="9"/>
  <c r="AT114" i="9"/>
  <c r="V102" i="8" s="1"/>
  <c r="AJ114" i="9"/>
  <c r="AL114" i="9"/>
  <c r="Q102" i="8" s="1"/>
  <c r="AB114" i="9"/>
  <c r="AD114" i="9"/>
  <c r="L102" i="8" s="1"/>
  <c r="G123" i="5"/>
  <c r="G198" i="6"/>
  <c r="AZ113" i="9"/>
  <c r="BB113" i="9"/>
  <c r="AA115" i="8" s="1"/>
  <c r="AR113" i="9"/>
  <c r="AT113" i="9"/>
  <c r="V115" i="8" s="1"/>
  <c r="AJ113" i="9"/>
  <c r="AL113" i="9"/>
  <c r="Q115" i="8" s="1"/>
  <c r="AB113" i="9"/>
  <c r="AD113" i="9"/>
  <c r="L115" i="8" s="1"/>
  <c r="G122" i="5"/>
  <c r="G69" i="6"/>
  <c r="AZ112" i="9"/>
  <c r="BB112" i="9"/>
  <c r="AA117" i="8" s="1"/>
  <c r="AR112" i="9"/>
  <c r="AT112" i="9"/>
  <c r="V117" i="8" s="1"/>
  <c r="AJ112" i="9"/>
  <c r="AL112" i="9"/>
  <c r="Q117" i="8" s="1"/>
  <c r="AB112" i="9"/>
  <c r="AD112" i="9"/>
  <c r="L117" i="8" s="1"/>
  <c r="G118" i="5"/>
  <c r="G154" i="6"/>
  <c r="AZ111" i="9"/>
  <c r="BB111" i="9"/>
  <c r="AA114" i="8" s="1"/>
  <c r="AR111" i="9"/>
  <c r="AT111" i="9"/>
  <c r="V114" i="8" s="1"/>
  <c r="AJ111" i="9"/>
  <c r="AL111" i="9"/>
  <c r="Q114" i="8" s="1"/>
  <c r="AB111" i="9"/>
  <c r="AD111" i="9"/>
  <c r="L114" i="8" s="1"/>
  <c r="G116" i="5"/>
  <c r="G54" i="6"/>
  <c r="AZ110" i="9"/>
  <c r="BB110" i="9"/>
  <c r="AA107" i="8" s="1"/>
  <c r="AR110" i="9"/>
  <c r="AT110" i="9"/>
  <c r="V107" i="8" s="1"/>
  <c r="AJ110" i="9"/>
  <c r="AL110" i="9"/>
  <c r="Q107" i="8" s="1"/>
  <c r="AD110" i="9"/>
  <c r="L107" i="8" s="1"/>
  <c r="AB110" i="9"/>
  <c r="G110" i="5"/>
  <c r="G176" i="6"/>
  <c r="AZ109" i="9"/>
  <c r="BB109" i="9"/>
  <c r="AA104" i="8" s="1"/>
  <c r="AR109" i="9"/>
  <c r="AT109" i="9"/>
  <c r="V104" i="8" s="1"/>
  <c r="AJ109" i="9"/>
  <c r="AL109" i="9"/>
  <c r="Q104" i="8" s="1"/>
  <c r="AB109" i="9"/>
  <c r="AD109" i="9"/>
  <c r="L104" i="8" s="1"/>
  <c r="G109" i="5"/>
  <c r="G23" i="6"/>
  <c r="G104" i="5"/>
  <c r="G76" i="6"/>
  <c r="AZ107" i="9"/>
  <c r="BB107" i="9"/>
  <c r="AA99" i="8" s="1"/>
  <c r="AR107" i="9"/>
  <c r="AT107" i="9"/>
  <c r="V99" i="8" s="1"/>
  <c r="AJ107" i="9"/>
  <c r="AL107" i="9"/>
  <c r="Q99" i="8" s="1"/>
  <c r="AB107" i="9"/>
  <c r="AD107" i="9"/>
  <c r="L99" i="8" s="1"/>
  <c r="G177" i="6"/>
  <c r="G103" i="5"/>
  <c r="AZ106" i="9"/>
  <c r="BB106" i="9"/>
  <c r="AA94" i="8" s="1"/>
  <c r="AR106" i="9"/>
  <c r="AT106" i="9"/>
  <c r="V94" i="8" s="1"/>
  <c r="AJ106" i="9"/>
  <c r="AL106" i="9"/>
  <c r="Q94" i="8" s="1"/>
  <c r="AB106" i="9"/>
  <c r="AD106" i="9"/>
  <c r="L94" i="8" s="1"/>
  <c r="G173" i="6"/>
  <c r="G98" i="5"/>
  <c r="AZ105" i="9"/>
  <c r="BB105" i="9"/>
  <c r="AA87" i="8" s="1"/>
  <c r="AR105" i="9"/>
  <c r="AT105" i="9"/>
  <c r="V87" i="8" s="1"/>
  <c r="AJ105" i="9"/>
  <c r="AL105" i="9"/>
  <c r="Q87" i="8" s="1"/>
  <c r="AB105" i="9"/>
  <c r="AD105" i="9"/>
  <c r="L87" i="8" s="1"/>
  <c r="G90" i="5"/>
  <c r="G183" i="6"/>
  <c r="AZ104" i="9"/>
  <c r="BB104" i="9"/>
  <c r="AA86" i="8" s="1"/>
  <c r="AR104" i="9"/>
  <c r="AT104" i="9"/>
  <c r="V86" i="8" s="1"/>
  <c r="AJ104" i="9"/>
  <c r="AL104" i="9"/>
  <c r="Q86" i="8" s="1"/>
  <c r="AB104" i="9"/>
  <c r="AD104" i="9"/>
  <c r="L86" i="8" s="1"/>
  <c r="G88" i="5"/>
  <c r="G46" i="6"/>
  <c r="AZ103" i="9"/>
  <c r="BB103" i="9"/>
  <c r="AA85" i="8" s="1"/>
  <c r="AR103" i="9"/>
  <c r="AT103" i="9"/>
  <c r="V85" i="8" s="1"/>
  <c r="AJ103" i="9"/>
  <c r="AL103" i="9"/>
  <c r="Q85" i="8" s="1"/>
  <c r="AB103" i="9"/>
  <c r="AD103" i="9"/>
  <c r="L85" i="8" s="1"/>
  <c r="G174" i="6"/>
  <c r="G87" i="5"/>
  <c r="AZ102" i="9"/>
  <c r="BB102" i="9"/>
  <c r="AA75" i="8" s="1"/>
  <c r="AR102" i="9"/>
  <c r="AT102" i="9"/>
  <c r="V75" i="8" s="1"/>
  <c r="AJ102" i="9"/>
  <c r="AL102" i="9"/>
  <c r="Q75" i="8" s="1"/>
  <c r="AB102" i="9"/>
  <c r="AD102" i="9"/>
  <c r="L75" i="8" s="1"/>
  <c r="G79" i="5"/>
  <c r="G41" i="6"/>
  <c r="AZ101" i="9"/>
  <c r="BB101" i="9"/>
  <c r="AA73" i="8" s="1"/>
  <c r="AR101" i="9"/>
  <c r="AT101" i="9"/>
  <c r="V73" i="8" s="1"/>
  <c r="AJ101" i="9"/>
  <c r="AL101" i="9"/>
  <c r="Q73" i="8" s="1"/>
  <c r="AB101" i="9"/>
  <c r="AD101" i="9"/>
  <c r="L73" i="8" s="1"/>
  <c r="G45" i="6"/>
  <c r="G75" i="5"/>
  <c r="AZ100" i="9"/>
  <c r="BB100" i="9"/>
  <c r="AA71" i="8" s="1"/>
  <c r="AR100" i="9"/>
  <c r="AT100" i="9"/>
  <c r="V71" i="8" s="1"/>
  <c r="AJ100" i="9"/>
  <c r="AL100" i="9"/>
  <c r="Q71" i="8" s="1"/>
  <c r="AB100" i="9"/>
  <c r="AD100" i="9"/>
  <c r="L71" i="8" s="1"/>
  <c r="AZ99" i="9"/>
  <c r="BB99" i="9"/>
  <c r="AA66" i="8" s="1"/>
  <c r="AR99" i="9"/>
  <c r="AT99" i="9"/>
  <c r="V66" i="8" s="1"/>
  <c r="AJ99" i="9"/>
  <c r="AL99" i="9"/>
  <c r="Q66" i="8" s="1"/>
  <c r="AB99" i="9"/>
  <c r="AD99" i="9"/>
  <c r="L66" i="8" s="1"/>
  <c r="G40" i="6"/>
  <c r="G71" i="5"/>
  <c r="BB98" i="9"/>
  <c r="AA65" i="8" s="1"/>
  <c r="AZ98" i="9"/>
  <c r="AR98" i="9"/>
  <c r="AT98" i="9"/>
  <c r="V65" i="8" s="1"/>
  <c r="AJ98" i="9"/>
  <c r="AL98" i="9"/>
  <c r="Q65" i="8" s="1"/>
  <c r="AD98" i="9"/>
  <c r="L65" i="8" s="1"/>
  <c r="AB98" i="9"/>
  <c r="G50" i="6"/>
  <c r="G70" i="5"/>
  <c r="AZ97" i="9"/>
  <c r="BB97" i="9"/>
  <c r="AA48" i="8" s="1"/>
  <c r="AR97" i="9"/>
  <c r="AT97" i="9"/>
  <c r="V48" i="8" s="1"/>
  <c r="AJ97" i="9"/>
  <c r="AL97" i="9"/>
  <c r="Q48" i="8" s="1"/>
  <c r="AB97" i="9"/>
  <c r="AD97" i="9"/>
  <c r="L48" i="8" s="1"/>
  <c r="G51" i="5"/>
  <c r="G169" i="6"/>
  <c r="AZ96" i="9"/>
  <c r="BA96" i="9" s="1"/>
  <c r="Z33" i="8" s="1"/>
  <c r="BB96" i="9"/>
  <c r="AA33" i="8" s="1"/>
  <c r="AR96" i="9"/>
  <c r="AS96" i="9" s="1"/>
  <c r="U33" i="8" s="1"/>
  <c r="AT96" i="9"/>
  <c r="V33" i="8" s="1"/>
  <c r="AJ96" i="9"/>
  <c r="AK96" i="9" s="1"/>
  <c r="P33" i="8" s="1"/>
  <c r="AL96" i="9"/>
  <c r="Q33" i="8" s="1"/>
  <c r="AB96" i="9"/>
  <c r="AC96" i="9" s="1"/>
  <c r="K33" i="8" s="1"/>
  <c r="AD96" i="9"/>
  <c r="L33" i="8" s="1"/>
  <c r="G35" i="5"/>
  <c r="G38" i="6"/>
  <c r="U96" i="9"/>
  <c r="F33" i="8" s="1"/>
  <c r="AZ95" i="9"/>
  <c r="BA95" i="9" s="1"/>
  <c r="Z31" i="8" s="1"/>
  <c r="BB95" i="9"/>
  <c r="AA31" i="8" s="1"/>
  <c r="AR95" i="9"/>
  <c r="AS95" i="9" s="1"/>
  <c r="U31" i="8" s="1"/>
  <c r="AT95" i="9"/>
  <c r="V31" i="8" s="1"/>
  <c r="AJ95" i="9"/>
  <c r="AK95" i="9" s="1"/>
  <c r="P31" i="8" s="1"/>
  <c r="AL95" i="9"/>
  <c r="Q31" i="8" s="1"/>
  <c r="AB95" i="9"/>
  <c r="AC95" i="9" s="1"/>
  <c r="K31" i="8" s="1"/>
  <c r="AD95" i="9"/>
  <c r="L31" i="8" s="1"/>
  <c r="G33" i="5"/>
  <c r="G43" i="6"/>
  <c r="U95" i="9"/>
  <c r="F31" i="8" s="1"/>
  <c r="AZ94" i="9"/>
  <c r="BA94" i="9" s="1"/>
  <c r="Z25" i="8" s="1"/>
  <c r="BB94" i="9"/>
  <c r="AA25" i="8" s="1"/>
  <c r="AR94" i="9"/>
  <c r="AS94" i="9" s="1"/>
  <c r="U25" i="8" s="1"/>
  <c r="AT94" i="9"/>
  <c r="V25" i="8" s="1"/>
  <c r="AJ94" i="9"/>
  <c r="AK94" i="9" s="1"/>
  <c r="P25" i="8" s="1"/>
  <c r="AL94" i="9"/>
  <c r="Q25" i="8" s="1"/>
  <c r="AB94" i="9"/>
  <c r="AC94" i="9" s="1"/>
  <c r="K25" i="8" s="1"/>
  <c r="AD94" i="9"/>
  <c r="L25" i="8" s="1"/>
  <c r="U94" i="9"/>
  <c r="F25" i="8" s="1"/>
  <c r="G39" i="6"/>
  <c r="G24" i="5"/>
  <c r="AZ93" i="9"/>
  <c r="BB93" i="9"/>
  <c r="AA21" i="8" s="1"/>
  <c r="AR93" i="9"/>
  <c r="AT93" i="9"/>
  <c r="V21" i="8" s="1"/>
  <c r="AJ93" i="9"/>
  <c r="AL93" i="9"/>
  <c r="Q21" i="8" s="1"/>
  <c r="AB93" i="9"/>
  <c r="AD93" i="9"/>
  <c r="L21" i="8" s="1"/>
  <c r="I28" i="7"/>
  <c r="C16" i="4"/>
  <c r="U93" i="9"/>
  <c r="F21" i="8" s="1"/>
  <c r="G21" i="5"/>
  <c r="G44" i="6"/>
  <c r="AZ90" i="9"/>
  <c r="BA90" i="9" s="1"/>
  <c r="Z147" i="8" s="1"/>
  <c r="BB90" i="9"/>
  <c r="AA147" i="8" s="1"/>
  <c r="AT90" i="9"/>
  <c r="V147" i="8" s="1"/>
  <c r="AR90" i="9"/>
  <c r="AS90" i="9" s="1"/>
  <c r="U147" i="8" s="1"/>
  <c r="AJ90" i="9"/>
  <c r="AK90" i="9" s="1"/>
  <c r="P147" i="8" s="1"/>
  <c r="AL90" i="9"/>
  <c r="Q147" i="8" s="1"/>
  <c r="AB90" i="9"/>
  <c r="AC90" i="9" s="1"/>
  <c r="K147" i="8" s="1"/>
  <c r="AD90" i="9"/>
  <c r="L147" i="8" s="1"/>
  <c r="G170" i="6"/>
  <c r="U90" i="9"/>
  <c r="F147" i="8" s="1"/>
  <c r="G146" i="5"/>
  <c r="AZ89" i="9"/>
  <c r="BB89" i="9"/>
  <c r="AA121" i="8" s="1"/>
  <c r="AR89" i="9"/>
  <c r="AT89" i="9"/>
  <c r="V121" i="8" s="1"/>
  <c r="AJ89" i="9"/>
  <c r="AL89" i="9"/>
  <c r="Q121" i="8" s="1"/>
  <c r="AD89" i="9"/>
  <c r="L121" i="8" s="1"/>
  <c r="AB89" i="9"/>
  <c r="G192" i="6"/>
  <c r="G120" i="5"/>
  <c r="BB88" i="9"/>
  <c r="AA118" i="8" s="1"/>
  <c r="AZ88" i="9"/>
  <c r="BA88" i="9" s="1"/>
  <c r="Z118" i="8" s="1"/>
  <c r="AR88" i="9"/>
  <c r="AS88" i="9" s="1"/>
  <c r="U118" i="8" s="1"/>
  <c r="AT88" i="9"/>
  <c r="V118" i="8" s="1"/>
  <c r="AJ88" i="9"/>
  <c r="AK88" i="9" s="1"/>
  <c r="P118" i="8" s="1"/>
  <c r="AL88" i="9"/>
  <c r="Q118" i="8" s="1"/>
  <c r="AD88" i="9"/>
  <c r="L118" i="8" s="1"/>
  <c r="AB88" i="9"/>
  <c r="AC88" i="9" s="1"/>
  <c r="K118" i="8" s="1"/>
  <c r="G188" i="6"/>
  <c r="U88" i="9"/>
  <c r="F118" i="8" s="1"/>
  <c r="G115" i="5"/>
  <c r="AZ87" i="9"/>
  <c r="BA87" i="9" s="1"/>
  <c r="Z112" i="8" s="1"/>
  <c r="BB87" i="9"/>
  <c r="AA112" i="8" s="1"/>
  <c r="AT87" i="9"/>
  <c r="V112" i="8" s="1"/>
  <c r="AR87" i="9"/>
  <c r="AS87" i="9" s="1"/>
  <c r="U112" i="8" s="1"/>
  <c r="AJ87" i="9"/>
  <c r="AK87" i="9" s="1"/>
  <c r="P112" i="8" s="1"/>
  <c r="AL87" i="9"/>
  <c r="Q112" i="8" s="1"/>
  <c r="AB87" i="9"/>
  <c r="AC87" i="9" s="1"/>
  <c r="K112" i="8" s="1"/>
  <c r="AD87" i="9"/>
  <c r="L112" i="8" s="1"/>
  <c r="G167" i="6"/>
  <c r="G111" i="5"/>
  <c r="U87" i="9"/>
  <c r="F112" i="8" s="1"/>
  <c r="AZ86" i="9"/>
  <c r="BB86" i="9"/>
  <c r="AA96" i="8" s="1"/>
  <c r="AR86" i="9"/>
  <c r="AT86" i="9"/>
  <c r="V96" i="8" s="1"/>
  <c r="AJ86" i="9"/>
  <c r="AL86" i="9"/>
  <c r="Q96" i="8" s="1"/>
  <c r="AB86" i="9"/>
  <c r="AD86" i="9"/>
  <c r="L96" i="8" s="1"/>
  <c r="G96" i="5"/>
  <c r="G156" i="6"/>
  <c r="AZ85" i="9"/>
  <c r="BA85" i="9" s="1"/>
  <c r="Z83" i="8" s="1"/>
  <c r="BB85" i="9"/>
  <c r="AA83" i="8" s="1"/>
  <c r="AR85" i="9"/>
  <c r="AS85" i="9" s="1"/>
  <c r="U83" i="8" s="1"/>
  <c r="AT85" i="9"/>
  <c r="V83" i="8" s="1"/>
  <c r="AJ85" i="9"/>
  <c r="AK85" i="9" s="1"/>
  <c r="P83" i="8" s="1"/>
  <c r="AL85" i="9"/>
  <c r="Q83" i="8" s="1"/>
  <c r="AB85" i="9"/>
  <c r="AC85" i="9" s="1"/>
  <c r="K83" i="8" s="1"/>
  <c r="AD85" i="9"/>
  <c r="L83" i="8" s="1"/>
  <c r="G128" i="6"/>
  <c r="U85" i="9"/>
  <c r="F83" i="8" s="1"/>
  <c r="G84" i="5"/>
  <c r="AZ84" i="9"/>
  <c r="BA84" i="9" s="1"/>
  <c r="Z84" i="8" s="1"/>
  <c r="BB84" i="9"/>
  <c r="AA84" i="8" s="1"/>
  <c r="AR84" i="9"/>
  <c r="AS84" i="9" s="1"/>
  <c r="U84" i="8" s="1"/>
  <c r="AT84" i="9"/>
  <c r="V84" i="8" s="1"/>
  <c r="AJ84" i="9"/>
  <c r="AK84" i="9" s="1"/>
  <c r="P84" i="8" s="1"/>
  <c r="AL84" i="9"/>
  <c r="Q84" i="8" s="1"/>
  <c r="AB84" i="9"/>
  <c r="AC84" i="9" s="1"/>
  <c r="K84" i="8" s="1"/>
  <c r="AD84" i="9"/>
  <c r="L84" i="8" s="1"/>
  <c r="U84" i="9"/>
  <c r="F84" i="8" s="1"/>
  <c r="G196" i="6"/>
  <c r="G80" i="5"/>
  <c r="AZ83" i="9"/>
  <c r="BB83" i="9"/>
  <c r="AA81" i="8" s="1"/>
  <c r="AR83" i="9"/>
  <c r="AT83" i="9"/>
  <c r="V81" i="8" s="1"/>
  <c r="AL83" i="9"/>
  <c r="Q81" i="8" s="1"/>
  <c r="AJ83" i="9"/>
  <c r="AB83" i="9"/>
  <c r="AD83" i="9"/>
  <c r="L81" i="8" s="1"/>
  <c r="G197" i="6"/>
  <c r="G76" i="5"/>
  <c r="AZ82" i="9"/>
  <c r="BB82" i="9"/>
  <c r="AA58" i="8" s="1"/>
  <c r="AR82" i="9"/>
  <c r="AT82" i="9"/>
  <c r="V58" i="8" s="1"/>
  <c r="AJ82" i="9"/>
  <c r="AL82" i="9"/>
  <c r="Q58" i="8" s="1"/>
  <c r="AB82" i="9"/>
  <c r="AD82" i="9"/>
  <c r="L58" i="8" s="1"/>
  <c r="G105" i="6"/>
  <c r="G60" i="5"/>
  <c r="BB81" i="9"/>
  <c r="AA49" i="8" s="1"/>
  <c r="AZ81" i="9"/>
  <c r="AR81" i="9"/>
  <c r="AT81" i="9"/>
  <c r="V49" i="8" s="1"/>
  <c r="AJ81" i="9"/>
  <c r="AL81" i="9"/>
  <c r="Q49" i="8" s="1"/>
  <c r="AB81" i="9"/>
  <c r="AD81" i="9"/>
  <c r="L49" i="8" s="1"/>
  <c r="G47" i="5"/>
  <c r="G165" i="6"/>
  <c r="AZ80" i="9"/>
  <c r="BB80" i="9"/>
  <c r="AA41" i="8" s="1"/>
  <c r="AR80" i="9"/>
  <c r="AT80" i="9"/>
  <c r="V41" i="8" s="1"/>
  <c r="AJ80" i="9"/>
  <c r="AL80" i="9"/>
  <c r="Q41" i="8" s="1"/>
  <c r="AB80" i="9"/>
  <c r="AD80" i="9"/>
  <c r="L41" i="8" s="1"/>
  <c r="G40" i="5"/>
  <c r="G168" i="6"/>
  <c r="AZ79" i="9"/>
  <c r="BA79" i="9" s="1"/>
  <c r="Z39" i="8" s="1"/>
  <c r="BB79" i="9"/>
  <c r="AA39" i="8" s="1"/>
  <c r="AR79" i="9"/>
  <c r="AS79" i="9" s="1"/>
  <c r="U39" i="8" s="1"/>
  <c r="AT79" i="9"/>
  <c r="V39" i="8" s="1"/>
  <c r="AJ79" i="9"/>
  <c r="AK79" i="9" s="1"/>
  <c r="P39" i="8" s="1"/>
  <c r="AL79" i="9"/>
  <c r="Q39" i="8" s="1"/>
  <c r="AB79" i="9"/>
  <c r="AC79" i="9" s="1"/>
  <c r="K39" i="8" s="1"/>
  <c r="AD79" i="9"/>
  <c r="L39" i="8" s="1"/>
  <c r="G38" i="5"/>
  <c r="U79" i="9"/>
  <c r="F39" i="8" s="1"/>
  <c r="G189" i="6"/>
  <c r="AZ78" i="9"/>
  <c r="BA78" i="9" s="1"/>
  <c r="Z36" i="8" s="1"/>
  <c r="BB78" i="9"/>
  <c r="AA36" i="8" s="1"/>
  <c r="AJ78" i="9"/>
  <c r="AK78" i="9" s="1"/>
  <c r="P36" i="8" s="1"/>
  <c r="AL78" i="9"/>
  <c r="Q36" i="8" s="1"/>
  <c r="AD78" i="9"/>
  <c r="L36" i="8" s="1"/>
  <c r="AB78" i="9"/>
  <c r="AC78" i="9" s="1"/>
  <c r="K36" i="8" s="1"/>
  <c r="U78" i="9"/>
  <c r="F36" i="8" s="1"/>
  <c r="G34" i="5"/>
  <c r="G148" i="6"/>
  <c r="BB77" i="9"/>
  <c r="AA32" i="8" s="1"/>
  <c r="AZ77" i="9"/>
  <c r="BA77" i="9" s="1"/>
  <c r="Z32" i="8" s="1"/>
  <c r="AT77" i="9"/>
  <c r="V32" i="8" s="1"/>
  <c r="AR77" i="9"/>
  <c r="AS77" i="9" s="1"/>
  <c r="U32" i="8" s="1"/>
  <c r="AJ77" i="9"/>
  <c r="AK77" i="9" s="1"/>
  <c r="P32" i="8" s="1"/>
  <c r="AL77" i="9"/>
  <c r="Q32" i="8" s="1"/>
  <c r="AB77" i="9"/>
  <c r="AC77" i="9" s="1"/>
  <c r="K32" i="8" s="1"/>
  <c r="AD77" i="9"/>
  <c r="L32" i="8" s="1"/>
  <c r="G149" i="6"/>
  <c r="U77" i="9"/>
  <c r="F32" i="8" s="1"/>
  <c r="G31" i="5"/>
  <c r="AZ76" i="9"/>
  <c r="BB76" i="9"/>
  <c r="AA17" i="8" s="1"/>
  <c r="AR76" i="9"/>
  <c r="AT76" i="9"/>
  <c r="V17" i="8" s="1"/>
  <c r="AL76" i="9"/>
  <c r="Q17" i="8" s="1"/>
  <c r="AJ76" i="9"/>
  <c r="AB76" i="9"/>
  <c r="AD76" i="9"/>
  <c r="L17" i="8" s="1"/>
  <c r="G15" i="5"/>
  <c r="G186" i="6"/>
  <c r="AZ75" i="9"/>
  <c r="BB75" i="9"/>
  <c r="AA15" i="8" s="1"/>
  <c r="AR75" i="9"/>
  <c r="AT75" i="9"/>
  <c r="V15" i="8" s="1"/>
  <c r="AJ75" i="9"/>
  <c r="AL75" i="9"/>
  <c r="Q15" i="8" s="1"/>
  <c r="AB75" i="9"/>
  <c r="AD75" i="9"/>
  <c r="L15" i="8" s="1"/>
  <c r="I27" i="7"/>
  <c r="G14" i="5"/>
  <c r="C15" i="4"/>
  <c r="G130" i="6"/>
  <c r="G181" i="6"/>
  <c r="G22" i="5"/>
  <c r="U71" i="9"/>
  <c r="F203" i="8" s="1"/>
  <c r="G16" i="5"/>
  <c r="G182" i="6"/>
  <c r="BB70" i="9"/>
  <c r="AA9" i="8" s="1"/>
  <c r="AZ70" i="9"/>
  <c r="AR70" i="9"/>
  <c r="AT70" i="9"/>
  <c r="V9" i="8" s="1"/>
  <c r="AJ70" i="9"/>
  <c r="AL70" i="9"/>
  <c r="Q9" i="8" s="1"/>
  <c r="AB70" i="9"/>
  <c r="AD70" i="9"/>
  <c r="L9" i="8" s="1"/>
  <c r="G185" i="6"/>
  <c r="G7" i="5"/>
  <c r="AZ69" i="9"/>
  <c r="BB69" i="9"/>
  <c r="AA6" i="8" s="1"/>
  <c r="AT69" i="9"/>
  <c r="V6" i="8" s="1"/>
  <c r="AR69" i="9"/>
  <c r="AL69" i="9"/>
  <c r="Q6" i="8" s="1"/>
  <c r="AJ69" i="9"/>
  <c r="AD69" i="9"/>
  <c r="L6" i="8" s="1"/>
  <c r="AB69" i="9"/>
  <c r="I26" i="7"/>
  <c r="G5" i="5"/>
  <c r="G162" i="6"/>
  <c r="C14" i="4"/>
  <c r="AZ66" i="9"/>
  <c r="BA66" i="9" s="1"/>
  <c r="Z106" i="8" s="1"/>
  <c r="BB66" i="9"/>
  <c r="AA106" i="8" s="1"/>
  <c r="AR66" i="9"/>
  <c r="AS66" i="9" s="1"/>
  <c r="U106" i="8" s="1"/>
  <c r="AT66" i="9"/>
  <c r="V106" i="8" s="1"/>
  <c r="AJ66" i="9"/>
  <c r="AK66" i="9" s="1"/>
  <c r="P106" i="8" s="1"/>
  <c r="AL66" i="9"/>
  <c r="Q106" i="8" s="1"/>
  <c r="AB66" i="9"/>
  <c r="AC66" i="9" s="1"/>
  <c r="K106" i="8" s="1"/>
  <c r="AD66" i="9"/>
  <c r="L106" i="8" s="1"/>
  <c r="G106" i="5"/>
  <c r="U66" i="9"/>
  <c r="F106" i="8" s="1"/>
  <c r="G51" i="6"/>
  <c r="BB65" i="9"/>
  <c r="AA92" i="8" s="1"/>
  <c r="AZ65" i="9"/>
  <c r="AR65" i="9"/>
  <c r="AT65" i="9"/>
  <c r="V92" i="8" s="1"/>
  <c r="AJ65" i="9"/>
  <c r="AL65" i="9"/>
  <c r="Q92" i="8" s="1"/>
  <c r="AB65" i="9"/>
  <c r="AD65" i="9"/>
  <c r="L92" i="8" s="1"/>
  <c r="G94" i="5"/>
  <c r="G155" i="6"/>
  <c r="AZ64" i="9"/>
  <c r="BB64" i="9"/>
  <c r="AA88" i="8" s="1"/>
  <c r="AR64" i="9"/>
  <c r="AT64" i="9"/>
  <c r="V88" i="8" s="1"/>
  <c r="AJ64" i="9"/>
  <c r="AL64" i="9"/>
  <c r="Q88" i="8" s="1"/>
  <c r="AB64" i="9"/>
  <c r="AD64" i="9"/>
  <c r="L88" i="8" s="1"/>
  <c r="G86" i="5"/>
  <c r="G62" i="6"/>
  <c r="AZ63" i="9"/>
  <c r="BB63" i="9"/>
  <c r="AA79" i="8" s="1"/>
  <c r="AR63" i="9"/>
  <c r="AT63" i="9"/>
  <c r="V79" i="8" s="1"/>
  <c r="AJ63" i="9"/>
  <c r="AL63" i="9"/>
  <c r="Q79" i="8" s="1"/>
  <c r="AB63" i="9"/>
  <c r="AD63" i="9"/>
  <c r="L79" i="8" s="1"/>
  <c r="G85" i="5"/>
  <c r="G141" i="6"/>
  <c r="AZ62" i="9"/>
  <c r="BB62" i="9"/>
  <c r="AA70" i="8" s="1"/>
  <c r="AR62" i="9"/>
  <c r="AT62" i="9"/>
  <c r="V70" i="8" s="1"/>
  <c r="AJ62" i="9"/>
  <c r="AL62" i="9"/>
  <c r="Q70" i="8" s="1"/>
  <c r="AB62" i="9"/>
  <c r="AD62" i="9"/>
  <c r="L70" i="8" s="1"/>
  <c r="G99" i="6"/>
  <c r="G74" i="5"/>
  <c r="AZ61" i="9"/>
  <c r="BB61" i="9"/>
  <c r="AA61" i="8" s="1"/>
  <c r="AR61" i="9"/>
  <c r="AT61" i="9"/>
  <c r="V61" i="8" s="1"/>
  <c r="AJ61" i="9"/>
  <c r="AL61" i="9"/>
  <c r="Q61" i="8" s="1"/>
  <c r="AB61" i="9"/>
  <c r="AD61" i="9"/>
  <c r="L61" i="8" s="1"/>
  <c r="G83" i="6"/>
  <c r="G66" i="5"/>
  <c r="AZ60" i="9"/>
  <c r="BB60" i="9"/>
  <c r="AA62" i="8" s="1"/>
  <c r="AR60" i="9"/>
  <c r="AT60" i="9"/>
  <c r="V62" i="8" s="1"/>
  <c r="AJ60" i="9"/>
  <c r="AL60" i="9"/>
  <c r="Q62" i="8" s="1"/>
  <c r="AB60" i="9"/>
  <c r="AD60" i="9"/>
  <c r="L62" i="8" s="1"/>
  <c r="G65" i="5"/>
  <c r="G133" i="6"/>
  <c r="AZ59" i="9"/>
  <c r="BB59" i="9"/>
  <c r="AA60" i="8" s="1"/>
  <c r="AR59" i="9"/>
  <c r="AT59" i="9"/>
  <c r="V60" i="8" s="1"/>
  <c r="AJ59" i="9"/>
  <c r="AL59" i="9"/>
  <c r="Q60" i="8" s="1"/>
  <c r="AB59" i="9"/>
  <c r="AD59" i="9"/>
  <c r="L60" i="8" s="1"/>
  <c r="G161" i="6"/>
  <c r="G64" i="5"/>
  <c r="AZ58" i="9"/>
  <c r="BB58" i="9"/>
  <c r="AA55" i="8" s="1"/>
  <c r="AR58" i="9"/>
  <c r="AT58" i="9"/>
  <c r="V55" i="8" s="1"/>
  <c r="AJ58" i="9"/>
  <c r="AL58" i="9"/>
  <c r="Q55" i="8" s="1"/>
  <c r="AB58" i="9"/>
  <c r="AD58" i="9"/>
  <c r="L55" i="8" s="1"/>
  <c r="G86" i="6"/>
  <c r="G62" i="5"/>
  <c r="AZ57" i="9"/>
  <c r="BB57" i="9"/>
  <c r="AA52" i="8" s="1"/>
  <c r="AR57" i="9"/>
  <c r="AT57" i="9"/>
  <c r="V52" i="8" s="1"/>
  <c r="AJ57" i="9"/>
  <c r="AL57" i="9"/>
  <c r="Q52" i="8" s="1"/>
  <c r="AB57" i="9"/>
  <c r="AD57" i="9"/>
  <c r="L52" i="8" s="1"/>
  <c r="G56" i="5"/>
  <c r="G118" i="6"/>
  <c r="AZ56" i="9"/>
  <c r="BB56" i="9"/>
  <c r="AA47" i="8" s="1"/>
  <c r="AR56" i="9"/>
  <c r="AT56" i="9"/>
  <c r="V47" i="8" s="1"/>
  <c r="AL56" i="9"/>
  <c r="Q47" i="8" s="1"/>
  <c r="AJ56" i="9"/>
  <c r="AB56" i="9"/>
  <c r="AD56" i="9"/>
  <c r="L47" i="8" s="1"/>
  <c r="G52" i="5"/>
  <c r="G66" i="6"/>
  <c r="AZ55" i="9"/>
  <c r="BB55" i="9"/>
  <c r="AA44" i="8" s="1"/>
  <c r="AR55" i="9"/>
  <c r="AT55" i="9"/>
  <c r="V44" i="8" s="1"/>
  <c r="AJ55" i="9"/>
  <c r="AL55" i="9"/>
  <c r="Q44" i="8" s="1"/>
  <c r="AB55" i="9"/>
  <c r="AD55" i="9"/>
  <c r="L44" i="8" s="1"/>
  <c r="G178" i="6"/>
  <c r="G48" i="5"/>
  <c r="BB54" i="9"/>
  <c r="AA42" i="8" s="1"/>
  <c r="AZ54" i="9"/>
  <c r="AR54" i="9"/>
  <c r="AT54" i="9"/>
  <c r="V42" i="8" s="1"/>
  <c r="AJ54" i="9"/>
  <c r="AL54" i="9"/>
  <c r="Q42" i="8" s="1"/>
  <c r="AB54" i="9"/>
  <c r="AD54" i="9"/>
  <c r="L42" i="8" s="1"/>
  <c r="G45" i="5"/>
  <c r="G166" i="6"/>
  <c r="AZ53" i="9"/>
  <c r="BB53" i="9"/>
  <c r="AA38" i="8" s="1"/>
  <c r="AR53" i="9"/>
  <c r="AT53" i="9"/>
  <c r="V38" i="8" s="1"/>
  <c r="AJ53" i="9"/>
  <c r="AL53" i="9"/>
  <c r="Q38" i="8" s="1"/>
  <c r="AB53" i="9"/>
  <c r="AD53" i="9"/>
  <c r="L38" i="8" s="1"/>
  <c r="G36" i="5"/>
  <c r="G27" i="6"/>
  <c r="AZ52" i="9"/>
  <c r="BB52" i="9"/>
  <c r="AA28" i="8" s="1"/>
  <c r="AR52" i="9"/>
  <c r="AT52" i="9"/>
  <c r="V28" i="8" s="1"/>
  <c r="AJ52" i="9"/>
  <c r="AL52" i="9"/>
  <c r="Q28" i="8" s="1"/>
  <c r="AB52" i="9"/>
  <c r="AD52" i="9"/>
  <c r="L28" i="8" s="1"/>
  <c r="G30" i="5"/>
  <c r="G56" i="6"/>
  <c r="BB51" i="9"/>
  <c r="AA26" i="8" s="1"/>
  <c r="AZ51" i="9"/>
  <c r="AR51" i="9"/>
  <c r="AT51" i="9"/>
  <c r="V26" i="8" s="1"/>
  <c r="AJ51" i="9"/>
  <c r="AL51" i="9"/>
  <c r="Q26" i="8" s="1"/>
  <c r="G27" i="5"/>
  <c r="G55" i="6"/>
  <c r="AZ50" i="9"/>
  <c r="BB50" i="9"/>
  <c r="AA16" i="8" s="1"/>
  <c r="AR50" i="9"/>
  <c r="AT50" i="9"/>
  <c r="V16" i="8" s="1"/>
  <c r="AJ50" i="9"/>
  <c r="AL50" i="9"/>
  <c r="Q16" i="8" s="1"/>
  <c r="AB50" i="9"/>
  <c r="AD50" i="9"/>
  <c r="L16" i="8" s="1"/>
  <c r="I25" i="7"/>
  <c r="G19" i="5"/>
  <c r="C13" i="4"/>
  <c r="G58" i="6"/>
  <c r="AZ47" i="9"/>
  <c r="BB47" i="9"/>
  <c r="AA54" i="8" s="1"/>
  <c r="AR47" i="9"/>
  <c r="AT47" i="9"/>
  <c r="V54" i="8" s="1"/>
  <c r="AJ47" i="9"/>
  <c r="AL47" i="9"/>
  <c r="Q54" i="8" s="1"/>
  <c r="AD47" i="9"/>
  <c r="L54" i="8" s="1"/>
  <c r="AB47" i="9"/>
  <c r="I24" i="7"/>
  <c r="C12" i="4"/>
  <c r="G143" i="6"/>
  <c r="G59" i="5"/>
  <c r="AZ44" i="9"/>
  <c r="BB44" i="9"/>
  <c r="AA56" i="8" s="1"/>
  <c r="AR44" i="9"/>
  <c r="AT44" i="9"/>
  <c r="V56" i="8" s="1"/>
  <c r="AJ44" i="9"/>
  <c r="AL44" i="9"/>
  <c r="Q56" i="8" s="1"/>
  <c r="AD44" i="9"/>
  <c r="L56" i="8" s="1"/>
  <c r="AB44" i="9"/>
  <c r="I23" i="7"/>
  <c r="C11" i="4"/>
  <c r="G61" i="5"/>
  <c r="G88" i="6"/>
  <c r="AZ41" i="9"/>
  <c r="BB41" i="9"/>
  <c r="AA127" i="8" s="1"/>
  <c r="AR41" i="9"/>
  <c r="AT41" i="9"/>
  <c r="V127" i="8" s="1"/>
  <c r="AJ41" i="9"/>
  <c r="AL41" i="9"/>
  <c r="Q127" i="8" s="1"/>
  <c r="AB41" i="9"/>
  <c r="AD41" i="9"/>
  <c r="L127" i="8" s="1"/>
  <c r="G84" i="6"/>
  <c r="G126" i="5"/>
  <c r="AZ40" i="9"/>
  <c r="BB40" i="9"/>
  <c r="AA113" i="8" s="1"/>
  <c r="AR40" i="9"/>
  <c r="AT40" i="9"/>
  <c r="V113" i="8" s="1"/>
  <c r="AJ40" i="9"/>
  <c r="AL40" i="9"/>
  <c r="Q113" i="8" s="1"/>
  <c r="AB40" i="9"/>
  <c r="AD40" i="9"/>
  <c r="L113" i="8" s="1"/>
  <c r="G172" i="6"/>
  <c r="G112" i="5"/>
  <c r="AZ39" i="9"/>
  <c r="BA39" i="9" s="1"/>
  <c r="Z72" i="8" s="1"/>
  <c r="BB39" i="9"/>
  <c r="AA72" i="8" s="1"/>
  <c r="AR39" i="9"/>
  <c r="AS39" i="9" s="1"/>
  <c r="U72" i="8" s="1"/>
  <c r="AT39" i="9"/>
  <c r="V72" i="8" s="1"/>
  <c r="AJ39" i="9"/>
  <c r="AK39" i="9" s="1"/>
  <c r="P72" i="8" s="1"/>
  <c r="AL39" i="9"/>
  <c r="Q72" i="8" s="1"/>
  <c r="AB39" i="9"/>
  <c r="AC39" i="9" s="1"/>
  <c r="K72" i="8" s="1"/>
  <c r="AD39" i="9"/>
  <c r="L72" i="8" s="1"/>
  <c r="U39" i="9"/>
  <c r="F72" i="8" s="1"/>
  <c r="G101" i="6"/>
  <c r="G72" i="5"/>
  <c r="AZ38" i="9"/>
  <c r="BA38" i="9" s="1"/>
  <c r="Z63" i="8" s="1"/>
  <c r="BB38" i="9"/>
  <c r="AA63" i="8" s="1"/>
  <c r="AR38" i="9"/>
  <c r="AS38" i="9" s="1"/>
  <c r="U63" i="8" s="1"/>
  <c r="AT38" i="9"/>
  <c r="V63" i="8" s="1"/>
  <c r="AL38" i="9"/>
  <c r="Q63" i="8" s="1"/>
  <c r="AJ38" i="9"/>
  <c r="AK38" i="9" s="1"/>
  <c r="P63" i="8" s="1"/>
  <c r="AB38" i="9"/>
  <c r="AC38" i="9" s="1"/>
  <c r="K63" i="8" s="1"/>
  <c r="AD38" i="9"/>
  <c r="L63" i="8" s="1"/>
  <c r="U38" i="9"/>
  <c r="F63" i="8" s="1"/>
  <c r="G68" i="5"/>
  <c r="G97" i="6"/>
  <c r="AZ37" i="9"/>
  <c r="BB37" i="9"/>
  <c r="AA53" i="8" s="1"/>
  <c r="AR37" i="9"/>
  <c r="AT37" i="9"/>
  <c r="V53" i="8" s="1"/>
  <c r="AJ37" i="9"/>
  <c r="AL37" i="9"/>
  <c r="Q53" i="8" s="1"/>
  <c r="AD37" i="9"/>
  <c r="L53" i="8" s="1"/>
  <c r="AB37" i="9"/>
  <c r="G102" i="6"/>
  <c r="G55" i="5"/>
  <c r="BB36" i="9"/>
  <c r="AA50" i="8" s="1"/>
  <c r="AZ36" i="9"/>
  <c r="AR36" i="9"/>
  <c r="AT36" i="9"/>
  <c r="V50" i="8" s="1"/>
  <c r="AJ36" i="9"/>
  <c r="AL36" i="9"/>
  <c r="Q50" i="8" s="1"/>
  <c r="AB36" i="9"/>
  <c r="AD36" i="9"/>
  <c r="L50" i="8" s="1"/>
  <c r="G49" i="5"/>
  <c r="G114" i="6"/>
  <c r="BB35" i="9"/>
  <c r="AA45" i="8" s="1"/>
  <c r="AZ35" i="9"/>
  <c r="AR35" i="9"/>
  <c r="AT35" i="9"/>
  <c r="V45" i="8" s="1"/>
  <c r="AJ35" i="9"/>
  <c r="AL35" i="9"/>
  <c r="Q45" i="8" s="1"/>
  <c r="AD35" i="9"/>
  <c r="L45" i="8" s="1"/>
  <c r="AB35" i="9"/>
  <c r="G46" i="5"/>
  <c r="G157" i="6"/>
  <c r="AZ34" i="9"/>
  <c r="BB34" i="9"/>
  <c r="AA35" i="8" s="1"/>
  <c r="AR34" i="9"/>
  <c r="AT34" i="9"/>
  <c r="V35" i="8" s="1"/>
  <c r="AJ34" i="9"/>
  <c r="AL34" i="9"/>
  <c r="Q35" i="8" s="1"/>
  <c r="AB34" i="9"/>
  <c r="AD34" i="9"/>
  <c r="L35" i="8" s="1"/>
  <c r="G41" i="5"/>
  <c r="G115" i="6"/>
  <c r="AZ33" i="9"/>
  <c r="BB33" i="9"/>
  <c r="AA37" i="8" s="1"/>
  <c r="AR33" i="9"/>
  <c r="AT33" i="9"/>
  <c r="V37" i="8" s="1"/>
  <c r="AJ33" i="9"/>
  <c r="AL33" i="9"/>
  <c r="Q37" i="8" s="1"/>
  <c r="AB33" i="9"/>
  <c r="AD33" i="9"/>
  <c r="L37" i="8" s="1"/>
  <c r="G39" i="5"/>
  <c r="G104" i="6"/>
  <c r="AZ32" i="9"/>
  <c r="BB32" i="9"/>
  <c r="AA34" i="8" s="1"/>
  <c r="AR32" i="9"/>
  <c r="AT32" i="9"/>
  <c r="V34" i="8" s="1"/>
  <c r="AJ32" i="9"/>
  <c r="AL32" i="9"/>
  <c r="Q34" i="8" s="1"/>
  <c r="AB32" i="9"/>
  <c r="AD32" i="9"/>
  <c r="L34" i="8" s="1"/>
  <c r="G158" i="6"/>
  <c r="G37" i="5"/>
  <c r="AZ31" i="9"/>
  <c r="BB31" i="9"/>
  <c r="AA24" i="8" s="1"/>
  <c r="AR31" i="9"/>
  <c r="AT31" i="9"/>
  <c r="V24" i="8" s="1"/>
  <c r="AJ31" i="9"/>
  <c r="AL31" i="9"/>
  <c r="Q24" i="8" s="1"/>
  <c r="AB31" i="9"/>
  <c r="AD31" i="9"/>
  <c r="L24" i="8" s="1"/>
  <c r="G26" i="5"/>
  <c r="G113" i="6"/>
  <c r="AZ30" i="9"/>
  <c r="BB30" i="9"/>
  <c r="AA23" i="8" s="1"/>
  <c r="AR30" i="9"/>
  <c r="AT30" i="9"/>
  <c r="V23" i="8" s="1"/>
  <c r="AJ30" i="9"/>
  <c r="AL30" i="9"/>
  <c r="Q23" i="8" s="1"/>
  <c r="AB30" i="9"/>
  <c r="AD30" i="9"/>
  <c r="L23" i="8" s="1"/>
  <c r="I22" i="7"/>
  <c r="G160" i="6"/>
  <c r="G25" i="5"/>
  <c r="C10" i="4"/>
  <c r="AZ27" i="9"/>
  <c r="BB27" i="9"/>
  <c r="AA43" i="8" s="1"/>
  <c r="AR27" i="9"/>
  <c r="AT27" i="9"/>
  <c r="V43" i="8" s="1"/>
  <c r="AJ27" i="9"/>
  <c r="AL27" i="9"/>
  <c r="Q43" i="8" s="1"/>
  <c r="AB27" i="9"/>
  <c r="AD27" i="9"/>
  <c r="L43" i="8" s="1"/>
  <c r="G116" i="6"/>
  <c r="G42" i="5"/>
  <c r="AZ26" i="9"/>
  <c r="BB26" i="9"/>
  <c r="AA30" i="8" s="1"/>
  <c r="AR26" i="9"/>
  <c r="AT26" i="9"/>
  <c r="V30" i="8" s="1"/>
  <c r="AJ26" i="9"/>
  <c r="AL26" i="9"/>
  <c r="Q30" i="8" s="1"/>
  <c r="AB26" i="9"/>
  <c r="AD26" i="9"/>
  <c r="L30" i="8" s="1"/>
  <c r="G32" i="5"/>
  <c r="G68" i="6"/>
  <c r="AZ25" i="9"/>
  <c r="BB25" i="9"/>
  <c r="AA19" i="8" s="1"/>
  <c r="AR25" i="9"/>
  <c r="AT25" i="9"/>
  <c r="V19" i="8" s="1"/>
  <c r="AJ25" i="9"/>
  <c r="AL25" i="9"/>
  <c r="Q19" i="8" s="1"/>
  <c r="AB25" i="9"/>
  <c r="AD25" i="9"/>
  <c r="L19" i="8" s="1"/>
  <c r="G17" i="5"/>
  <c r="G22" i="6"/>
  <c r="AZ24" i="9"/>
  <c r="BA24" i="9" s="1"/>
  <c r="Z13" i="8" s="1"/>
  <c r="BB24" i="9"/>
  <c r="AA13" i="8" s="1"/>
  <c r="AR24" i="9"/>
  <c r="AS24" i="9" s="1"/>
  <c r="U13" i="8" s="1"/>
  <c r="AT24" i="9"/>
  <c r="V13" i="8" s="1"/>
  <c r="AJ24" i="9"/>
  <c r="AK24" i="9" s="1"/>
  <c r="P13" i="8" s="1"/>
  <c r="AL24" i="9"/>
  <c r="Q13" i="8" s="1"/>
  <c r="AB24" i="9"/>
  <c r="AC24" i="9" s="1"/>
  <c r="K13" i="8" s="1"/>
  <c r="AD24" i="9"/>
  <c r="L13" i="8" s="1"/>
  <c r="G12" i="5"/>
  <c r="G119" i="6"/>
  <c r="U24" i="9"/>
  <c r="F13" i="8" s="1"/>
  <c r="AZ23" i="9"/>
  <c r="BB23" i="9"/>
  <c r="AA12" i="8" s="1"/>
  <c r="AR23" i="9"/>
  <c r="AT23" i="9"/>
  <c r="V12" i="8" s="1"/>
  <c r="AJ23" i="9"/>
  <c r="AL23" i="9"/>
  <c r="Q12" i="8" s="1"/>
  <c r="AB23" i="9"/>
  <c r="AD23" i="9"/>
  <c r="L12" i="8" s="1"/>
  <c r="G11" i="5"/>
  <c r="G117" i="6"/>
  <c r="AZ22" i="9"/>
  <c r="BB22" i="9"/>
  <c r="AA10" i="8" s="1"/>
  <c r="AR22" i="9"/>
  <c r="AT22" i="9"/>
  <c r="V10" i="8" s="1"/>
  <c r="AJ22" i="9"/>
  <c r="AL22" i="9"/>
  <c r="Q10" i="8" s="1"/>
  <c r="AB22" i="9"/>
  <c r="AD22" i="9"/>
  <c r="L10" i="8" s="1"/>
  <c r="G8" i="5"/>
  <c r="G63" i="6"/>
  <c r="AZ21" i="9"/>
  <c r="BB21" i="9"/>
  <c r="AA7" i="8" s="1"/>
  <c r="AR21" i="9"/>
  <c r="AT21" i="9"/>
  <c r="V7" i="8" s="1"/>
  <c r="AJ21" i="9"/>
  <c r="AL21" i="9"/>
  <c r="Q7" i="8" s="1"/>
  <c r="AD21" i="9"/>
  <c r="L7" i="8" s="1"/>
  <c r="AB21" i="9"/>
  <c r="I21" i="7"/>
  <c r="G70" i="6"/>
  <c r="C9" i="4"/>
  <c r="G6" i="5"/>
  <c r="BB18" i="9"/>
  <c r="AA159" i="8" s="1"/>
  <c r="AZ18" i="9"/>
  <c r="BA18" i="9" s="1"/>
  <c r="Z159" i="8" s="1"/>
  <c r="AT18" i="9"/>
  <c r="V159" i="8" s="1"/>
  <c r="AR18" i="9"/>
  <c r="AS18" i="9" s="1"/>
  <c r="U159" i="8" s="1"/>
  <c r="AD18" i="9"/>
  <c r="L159" i="8" s="1"/>
  <c r="AB18" i="9"/>
  <c r="AC18" i="9" s="1"/>
  <c r="K159" i="8" s="1"/>
  <c r="G108" i="6"/>
  <c r="G156" i="5"/>
  <c r="U18" i="9"/>
  <c r="F159" i="8" s="1"/>
  <c r="AZ17" i="9"/>
  <c r="BB17" i="9"/>
  <c r="AA40" i="8" s="1"/>
  <c r="AT17" i="9"/>
  <c r="V40" i="8" s="1"/>
  <c r="AR17" i="9"/>
  <c r="AL17" i="9"/>
  <c r="Q40" i="8" s="1"/>
  <c r="AJ17" i="9"/>
  <c r="AD17" i="9"/>
  <c r="L40" i="8" s="1"/>
  <c r="AB17" i="9"/>
  <c r="G103" i="6"/>
  <c r="G43" i="5"/>
  <c r="AZ16" i="9"/>
  <c r="BB16" i="9"/>
  <c r="AA22" i="8" s="1"/>
  <c r="AR16" i="9"/>
  <c r="AT16" i="9"/>
  <c r="V22" i="8" s="1"/>
  <c r="AJ16" i="9"/>
  <c r="AL16" i="9"/>
  <c r="Q22" i="8" s="1"/>
  <c r="AB16" i="9"/>
  <c r="AD16" i="9"/>
  <c r="L22" i="8" s="1"/>
  <c r="I20" i="7"/>
  <c r="C8" i="4"/>
  <c r="U16" i="9"/>
  <c r="F22" i="8" s="1"/>
  <c r="G23" i="5"/>
  <c r="G25" i="6"/>
  <c r="AZ13" i="9"/>
  <c r="BA13" i="9" s="1"/>
  <c r="Z59" i="8" s="1"/>
  <c r="BB13" i="9"/>
  <c r="AA59" i="8" s="1"/>
  <c r="AR13" i="9"/>
  <c r="AS13" i="9" s="1"/>
  <c r="U59" i="8" s="1"/>
  <c r="AT13" i="9"/>
  <c r="V59" i="8" s="1"/>
  <c r="AL13" i="9"/>
  <c r="Q59" i="8" s="1"/>
  <c r="AJ13" i="9"/>
  <c r="AK13" i="9" s="1"/>
  <c r="P59" i="8" s="1"/>
  <c r="AB13" i="9"/>
  <c r="AC13" i="9" s="1"/>
  <c r="K59" i="8" s="1"/>
  <c r="AD13" i="9"/>
  <c r="L59" i="8" s="1"/>
  <c r="G16" i="6"/>
  <c r="U13" i="9"/>
  <c r="F59" i="8" s="1"/>
  <c r="G63" i="5"/>
  <c r="AZ12" i="9"/>
  <c r="BA12" i="9" s="1"/>
  <c r="Z27" i="8" s="1"/>
  <c r="BB12" i="9"/>
  <c r="AA27" i="8" s="1"/>
  <c r="AR12" i="9"/>
  <c r="AS12" i="9" s="1"/>
  <c r="U27" i="8" s="1"/>
  <c r="AT12" i="9"/>
  <c r="V27" i="8" s="1"/>
  <c r="AJ12" i="9"/>
  <c r="AK12" i="9" s="1"/>
  <c r="P27" i="8" s="1"/>
  <c r="AL12" i="9"/>
  <c r="Q27" i="8" s="1"/>
  <c r="AB12" i="9"/>
  <c r="AC12" i="9" s="1"/>
  <c r="K27" i="8" s="1"/>
  <c r="AD12" i="9"/>
  <c r="L27" i="8" s="1"/>
  <c r="U12" i="9"/>
  <c r="F27" i="8" s="1"/>
  <c r="G28" i="5"/>
  <c r="G9" i="6"/>
  <c r="AZ11" i="9"/>
  <c r="BB11" i="9"/>
  <c r="AA18" i="8" s="1"/>
  <c r="AR11" i="9"/>
  <c r="AT11" i="9"/>
  <c r="V18" i="8" s="1"/>
  <c r="AJ11" i="9"/>
  <c r="AL11" i="9"/>
  <c r="Q18" i="8" s="1"/>
  <c r="AB11" i="9"/>
  <c r="AD11" i="9"/>
  <c r="L18" i="8" s="1"/>
  <c r="G20" i="5"/>
  <c r="G21" i="6"/>
  <c r="AZ10" i="9"/>
  <c r="BB10" i="9"/>
  <c r="AA20" i="8" s="1"/>
  <c r="AR10" i="9"/>
  <c r="AT10" i="9"/>
  <c r="V20" i="8" s="1"/>
  <c r="AJ10" i="9"/>
  <c r="AL10" i="9"/>
  <c r="Q20" i="8" s="1"/>
  <c r="AD10" i="9"/>
  <c r="L20" i="8" s="1"/>
  <c r="AB10" i="9"/>
  <c r="G18" i="5"/>
  <c r="G15" i="6"/>
  <c r="AZ9" i="9"/>
  <c r="BB9" i="9"/>
  <c r="AA14" i="8" s="1"/>
  <c r="AR9" i="9"/>
  <c r="AT9" i="9"/>
  <c r="V14" i="8" s="1"/>
  <c r="AJ9" i="9"/>
  <c r="AL9" i="9"/>
  <c r="Q14" i="8" s="1"/>
  <c r="AB9" i="9"/>
  <c r="AD9" i="9"/>
  <c r="L14" i="8" s="1"/>
  <c r="G13" i="6"/>
  <c r="G13" i="5"/>
  <c r="AZ8" i="9"/>
  <c r="BB8" i="9"/>
  <c r="AA11" i="8" s="1"/>
  <c r="AR8" i="9"/>
  <c r="AT8" i="9"/>
  <c r="V11" i="8" s="1"/>
  <c r="AL8" i="9"/>
  <c r="Q11" i="8" s="1"/>
  <c r="AJ8" i="9"/>
  <c r="AB8" i="9"/>
  <c r="AD8" i="9"/>
  <c r="L11" i="8" s="1"/>
  <c r="G14" i="6"/>
  <c r="G10" i="5"/>
  <c r="AY4" i="9"/>
  <c r="BC4" i="9" s="1"/>
  <c r="BC7" i="9"/>
  <c r="AB8" i="8" s="1"/>
  <c r="AZ7" i="9"/>
  <c r="AX4" i="9"/>
  <c r="BB4" i="9" s="1"/>
  <c r="BB7" i="9"/>
  <c r="AA8" i="8" s="1"/>
  <c r="AU7" i="9"/>
  <c r="W8" i="8" s="1"/>
  <c r="AQ4" i="9"/>
  <c r="AU4" i="9" s="1"/>
  <c r="AT7" i="9"/>
  <c r="V8" i="8" s="1"/>
  <c r="AP4" i="9"/>
  <c r="AT4" i="9" s="1"/>
  <c r="AR7" i="9"/>
  <c r="AM7" i="9"/>
  <c r="R8" i="8" s="1"/>
  <c r="AI4" i="9"/>
  <c r="AM4" i="9" s="1"/>
  <c r="AJ7" i="9"/>
  <c r="AL7" i="9"/>
  <c r="Q8" i="8" s="1"/>
  <c r="AH4" i="9"/>
  <c r="AL4" i="9" s="1"/>
  <c r="AA4" i="9"/>
  <c r="AE4" i="9" s="1"/>
  <c r="AE7" i="9"/>
  <c r="M8" i="8" s="1"/>
  <c r="Z4" i="9"/>
  <c r="AD4" i="9" s="1"/>
  <c r="AB7" i="9"/>
  <c r="AD7" i="9"/>
  <c r="L8" i="8" s="1"/>
  <c r="I19" i="7"/>
  <c r="C7" i="4"/>
  <c r="T4" i="9"/>
  <c r="U7" i="9"/>
  <c r="F8" i="8" s="1"/>
  <c r="G9" i="5"/>
  <c r="G20" i="6"/>
  <c r="N30" i="3"/>
  <c r="M34" i="3"/>
  <c r="E5" i="3"/>
  <c r="H34" i="3"/>
  <c r="D5" i="3"/>
  <c r="L34" i="3"/>
  <c r="D34" i="3"/>
  <c r="E14" i="3" s="1"/>
  <c r="N30" i="2"/>
  <c r="E5" i="2"/>
  <c r="M34" i="2"/>
  <c r="H34" i="2"/>
  <c r="L34" i="2"/>
  <c r="D5" i="2"/>
  <c r="D34" i="2"/>
  <c r="E14" i="2" s="1"/>
  <c r="L155" i="9"/>
  <c r="U155" i="9" s="1"/>
  <c r="F176" i="8" s="1"/>
  <c r="L156" i="9"/>
  <c r="U156" i="9" s="1"/>
  <c r="F178" i="8" s="1"/>
  <c r="L41" i="9"/>
  <c r="U41" i="9" s="1"/>
  <c r="F127" i="8" s="1"/>
  <c r="L132" i="9"/>
  <c r="U132" i="9" s="1"/>
  <c r="F129" i="8" s="1"/>
  <c r="L186" i="9"/>
  <c r="U186" i="9" s="1"/>
  <c r="F180" i="8" s="1"/>
  <c r="L196" i="9"/>
  <c r="U196" i="9" s="1"/>
  <c r="F199" i="8" s="1"/>
  <c r="L82" i="9"/>
  <c r="U82" i="9" s="1"/>
  <c r="F58" i="8" s="1"/>
  <c r="L44" i="9"/>
  <c r="U44" i="9" s="1"/>
  <c r="F56" i="8" s="1"/>
  <c r="L72" i="9"/>
  <c r="U72" i="9" s="1"/>
  <c r="F202" i="8" s="1"/>
  <c r="L234" i="9"/>
  <c r="U234" i="9" s="1"/>
  <c r="F29" i="8" s="1"/>
  <c r="L113" i="9"/>
  <c r="U113" i="9" s="1"/>
  <c r="F115" i="8" s="1"/>
  <c r="L137" i="9"/>
  <c r="U137" i="9" s="1"/>
  <c r="F145" i="8" s="1"/>
  <c r="L189" i="9"/>
  <c r="U189" i="9" s="1"/>
  <c r="F189" i="8" s="1"/>
  <c r="L176" i="9"/>
  <c r="U176" i="9" s="1"/>
  <c r="F116" i="8" s="1"/>
  <c r="L207" i="9"/>
  <c r="U207" i="9" s="1"/>
  <c r="F46" i="8" s="1"/>
  <c r="L219" i="9"/>
  <c r="L52" i="9"/>
  <c r="U52" i="9" s="1"/>
  <c r="F28" i="8" s="1"/>
  <c r="L31" i="9"/>
  <c r="U31" i="9" s="1"/>
  <c r="F24" i="8" s="1"/>
  <c r="L36" i="9"/>
  <c r="U36" i="9" s="1"/>
  <c r="F50" i="8" s="1"/>
  <c r="L199" i="9"/>
  <c r="U199" i="9" s="1"/>
  <c r="F98" i="8" s="1"/>
  <c r="L204" i="9"/>
  <c r="U204" i="9" s="1"/>
  <c r="F177" i="8" s="1"/>
  <c r="L139" i="9"/>
  <c r="U139" i="9" s="1"/>
  <c r="F141" i="8" s="1"/>
  <c r="L22" i="9"/>
  <c r="U22" i="9" s="1"/>
  <c r="F10" i="8" s="1"/>
  <c r="L81" i="9"/>
  <c r="U81" i="9" s="1"/>
  <c r="F49" i="8" s="1"/>
  <c r="L157" i="9"/>
  <c r="U157" i="9" s="1"/>
  <c r="F181" i="8" s="1"/>
  <c r="L151" i="9"/>
  <c r="U151" i="9" s="1"/>
  <c r="F172" i="8" s="1"/>
  <c r="L168" i="9"/>
  <c r="U168" i="9" s="1"/>
  <c r="F78" i="8" s="1"/>
  <c r="L124" i="9"/>
  <c r="U124" i="9" s="1"/>
  <c r="F163" i="8" s="1"/>
  <c r="L10" i="9"/>
  <c r="U10" i="9" s="1"/>
  <c r="F20" i="8" s="1"/>
  <c r="L188" i="9"/>
  <c r="U188" i="9" s="1"/>
  <c r="F188" i="8" s="1"/>
  <c r="L55" i="9"/>
  <c r="U55" i="9" s="1"/>
  <c r="F44" i="8" s="1"/>
  <c r="L65" i="9"/>
  <c r="U65" i="9" s="1"/>
  <c r="F92" i="8" s="1"/>
  <c r="BC183" i="9"/>
  <c r="AB154" i="8" s="1"/>
  <c r="AU183" i="9"/>
  <c r="W154" i="8" s="1"/>
  <c r="AM183" i="9"/>
  <c r="R154" i="8" s="1"/>
  <c r="AE183" i="9"/>
  <c r="M154" i="8" s="1"/>
  <c r="BC176" i="9"/>
  <c r="AB116" i="8" s="1"/>
  <c r="AU176" i="9"/>
  <c r="W116" i="8" s="1"/>
  <c r="AM176" i="9"/>
  <c r="R116" i="8" s="1"/>
  <c r="AE176" i="9"/>
  <c r="M116" i="8" s="1"/>
  <c r="BC173" i="9"/>
  <c r="AB105" i="8" s="1"/>
  <c r="AU173" i="9"/>
  <c r="W105" i="8" s="1"/>
  <c r="AM173" i="9"/>
  <c r="R105" i="8" s="1"/>
  <c r="AE173" i="9"/>
  <c r="M105" i="8" s="1"/>
  <c r="BC172" i="9"/>
  <c r="AB100" i="8" s="1"/>
  <c r="AU172" i="9"/>
  <c r="W100" i="8" s="1"/>
  <c r="AM172" i="9"/>
  <c r="R100" i="8" s="1"/>
  <c r="AE172" i="9"/>
  <c r="M100" i="8" s="1"/>
  <c r="BC170" i="9"/>
  <c r="AB95" i="8" s="1"/>
  <c r="AU170" i="9"/>
  <c r="W95" i="8" s="1"/>
  <c r="AM170" i="9"/>
  <c r="R95" i="8" s="1"/>
  <c r="AE170" i="9"/>
  <c r="M95" i="8" s="1"/>
  <c r="BC168" i="9"/>
  <c r="AB78" i="8" s="1"/>
  <c r="AU168" i="9"/>
  <c r="W78" i="8" s="1"/>
  <c r="AM168" i="9"/>
  <c r="R78" i="8" s="1"/>
  <c r="AE168" i="9"/>
  <c r="M78" i="8" s="1"/>
  <c r="BC167" i="9"/>
  <c r="AB77" i="8" s="1"/>
  <c r="AU167" i="9"/>
  <c r="W77" i="8" s="1"/>
  <c r="AM167" i="9"/>
  <c r="R77" i="8" s="1"/>
  <c r="AE167" i="9"/>
  <c r="M77" i="8" s="1"/>
  <c r="BC166" i="9"/>
  <c r="AB64" i="8" s="1"/>
  <c r="AU166" i="9"/>
  <c r="W64" i="8" s="1"/>
  <c r="AM166" i="9"/>
  <c r="R64" i="8" s="1"/>
  <c r="AE166" i="9"/>
  <c r="M64" i="8" s="1"/>
  <c r="BC165" i="9"/>
  <c r="AB57" i="8" s="1"/>
  <c r="AU165" i="9"/>
  <c r="W57" i="8" s="1"/>
  <c r="AM165" i="9"/>
  <c r="R57" i="8" s="1"/>
  <c r="AE165" i="9"/>
  <c r="M57" i="8" s="1"/>
  <c r="BC164" i="9"/>
  <c r="AB51" i="8" s="1"/>
  <c r="AU164" i="9"/>
  <c r="W51" i="8" s="1"/>
  <c r="AM164" i="9"/>
  <c r="R51" i="8" s="1"/>
  <c r="AE164" i="9"/>
  <c r="M51" i="8" s="1"/>
  <c r="BC158" i="9"/>
  <c r="AB182" i="8" s="1"/>
  <c r="AU158" i="9"/>
  <c r="W182" i="8" s="1"/>
  <c r="AM158" i="9"/>
  <c r="R182" i="8" s="1"/>
  <c r="AE158" i="9"/>
  <c r="M182" i="8" s="1"/>
  <c r="BC157" i="9"/>
  <c r="AB181" i="8" s="1"/>
  <c r="AU157" i="9"/>
  <c r="W181" i="8" s="1"/>
  <c r="AM157" i="9"/>
  <c r="R181" i="8" s="1"/>
  <c r="AE157" i="9"/>
  <c r="M181" i="8" s="1"/>
  <c r="BC154" i="9"/>
  <c r="AB174" i="8" s="1"/>
  <c r="AU154" i="9"/>
  <c r="W174" i="8" s="1"/>
  <c r="AM154" i="9"/>
  <c r="R174" i="8" s="1"/>
  <c r="AE154" i="9"/>
  <c r="M174" i="8" s="1"/>
  <c r="BC153" i="9"/>
  <c r="AB175" i="8" s="1"/>
  <c r="AU153" i="9"/>
  <c r="W175" i="8" s="1"/>
  <c r="AM153" i="9"/>
  <c r="R175" i="8" s="1"/>
  <c r="AE153" i="9"/>
  <c r="M175" i="8" s="1"/>
  <c r="BC152" i="9"/>
  <c r="AB173" i="8" s="1"/>
  <c r="AU152" i="9"/>
  <c r="W173" i="8" s="1"/>
  <c r="AM152" i="9"/>
  <c r="R173" i="8" s="1"/>
  <c r="AE152" i="9"/>
  <c r="M173" i="8" s="1"/>
  <c r="BC151" i="9"/>
  <c r="AB172" i="8" s="1"/>
  <c r="AU151" i="9"/>
  <c r="W172" i="8" s="1"/>
  <c r="AM151" i="9"/>
  <c r="R172" i="8" s="1"/>
  <c r="AE151" i="9"/>
  <c r="M172" i="8" s="1"/>
  <c r="BC150" i="9"/>
  <c r="AB171" i="8" s="1"/>
  <c r="AU150" i="9"/>
  <c r="W171" i="8" s="1"/>
  <c r="AM150" i="9"/>
  <c r="R171" i="8" s="1"/>
  <c r="AE150" i="9"/>
  <c r="M171" i="8" s="1"/>
  <c r="BC149" i="9"/>
  <c r="AB168" i="8" s="1"/>
  <c r="AU149" i="9"/>
  <c r="W168" i="8" s="1"/>
  <c r="AM149" i="9"/>
  <c r="R168" i="8" s="1"/>
  <c r="AE149" i="9"/>
  <c r="M168" i="8" s="1"/>
  <c r="BC147" i="9"/>
  <c r="AB164" i="8" s="1"/>
  <c r="AU147" i="9"/>
  <c r="W164" i="8" s="1"/>
  <c r="AM147" i="9"/>
  <c r="R164" i="8" s="1"/>
  <c r="AE147" i="9"/>
  <c r="M164" i="8" s="1"/>
  <c r="BC145" i="9"/>
  <c r="AB161" i="8" s="1"/>
  <c r="AU145" i="9"/>
  <c r="W161" i="8" s="1"/>
  <c r="AM145" i="9"/>
  <c r="R161" i="8" s="1"/>
  <c r="AE145" i="9"/>
  <c r="M161" i="8" s="1"/>
  <c r="BC144" i="9"/>
  <c r="AB156" i="8" s="1"/>
  <c r="AU144" i="9"/>
  <c r="W156" i="8" s="1"/>
  <c r="AM144" i="9"/>
  <c r="R156" i="8" s="1"/>
  <c r="AE144" i="9"/>
  <c r="M156" i="8" s="1"/>
  <c r="BC143" i="9"/>
  <c r="AB155" i="8" s="1"/>
  <c r="AU143" i="9"/>
  <c r="W155" i="8" s="1"/>
  <c r="AM143" i="9"/>
  <c r="R155" i="8" s="1"/>
  <c r="AE143" i="9"/>
  <c r="M155" i="8" s="1"/>
  <c r="BC141" i="9"/>
  <c r="AB152" i="8" s="1"/>
  <c r="AU141" i="9"/>
  <c r="W152" i="8" s="1"/>
  <c r="AM141" i="9"/>
  <c r="R152" i="8" s="1"/>
  <c r="AE141" i="9"/>
  <c r="M152" i="8" s="1"/>
  <c r="BC140" i="9"/>
  <c r="AB150" i="8" s="1"/>
  <c r="AU140" i="9"/>
  <c r="W150" i="8" s="1"/>
  <c r="AM140" i="9"/>
  <c r="R150" i="8" s="1"/>
  <c r="AE140" i="9"/>
  <c r="M150" i="8" s="1"/>
  <c r="BC139" i="9"/>
  <c r="AB141" i="8" s="1"/>
  <c r="AU139" i="9"/>
  <c r="W141" i="8" s="1"/>
  <c r="AM139" i="9"/>
  <c r="R141" i="8" s="1"/>
  <c r="AE139" i="9"/>
  <c r="M141" i="8" s="1"/>
  <c r="BC138" i="9"/>
  <c r="AB140" i="8" s="1"/>
  <c r="AU138" i="9"/>
  <c r="W140" i="8" s="1"/>
  <c r="AM138" i="9"/>
  <c r="R140" i="8" s="1"/>
  <c r="AE138" i="9"/>
  <c r="M140" i="8" s="1"/>
  <c r="BC137" i="9"/>
  <c r="AB145" i="8" s="1"/>
  <c r="AU137" i="9"/>
  <c r="W145" i="8" s="1"/>
  <c r="AM137" i="9"/>
  <c r="R145" i="8" s="1"/>
  <c r="AE137" i="9"/>
  <c r="M145" i="8" s="1"/>
  <c r="BC136" i="9"/>
  <c r="AB138" i="8" s="1"/>
  <c r="AU136" i="9"/>
  <c r="W138" i="8" s="1"/>
  <c r="AM136" i="9"/>
  <c r="R138" i="8" s="1"/>
  <c r="AE136" i="9"/>
  <c r="M138" i="8" s="1"/>
  <c r="BC135" i="9"/>
  <c r="AB137" i="8" s="1"/>
  <c r="AU135" i="9"/>
  <c r="W137" i="8" s="1"/>
  <c r="AM135" i="9"/>
  <c r="R137" i="8" s="1"/>
  <c r="AE135" i="9"/>
  <c r="M137" i="8" s="1"/>
  <c r="BC133" i="9"/>
  <c r="AB130" i="8" s="1"/>
  <c r="AU133" i="9"/>
  <c r="W130" i="8" s="1"/>
  <c r="AM133" i="9"/>
  <c r="R130" i="8" s="1"/>
  <c r="AE133" i="9"/>
  <c r="M130" i="8" s="1"/>
  <c r="BC125" i="9"/>
  <c r="AB170" i="8" s="1"/>
  <c r="AU125" i="9"/>
  <c r="W170" i="8" s="1"/>
  <c r="AM125" i="9"/>
  <c r="R170" i="8" s="1"/>
  <c r="AE125" i="9"/>
  <c r="M170" i="8" s="1"/>
  <c r="BC124" i="9"/>
  <c r="AB163" i="8" s="1"/>
  <c r="AU124" i="9"/>
  <c r="W163" i="8" s="1"/>
  <c r="AM124" i="9"/>
  <c r="R163" i="8" s="1"/>
  <c r="AE124" i="9"/>
  <c r="M163" i="8" s="1"/>
  <c r="BC123" i="9"/>
  <c r="AB162" i="8" s="1"/>
  <c r="AU123" i="9"/>
  <c r="W162" i="8" s="1"/>
  <c r="AM123" i="9"/>
  <c r="R162" i="8" s="1"/>
  <c r="AE123" i="9"/>
  <c r="M162" i="8" s="1"/>
  <c r="BC122" i="9"/>
  <c r="AB160" i="8" s="1"/>
  <c r="AU122" i="9"/>
  <c r="W160" i="8" s="1"/>
  <c r="AM122" i="9"/>
  <c r="R160" i="8" s="1"/>
  <c r="AE122" i="9"/>
  <c r="M160" i="8" s="1"/>
  <c r="BC120" i="9"/>
  <c r="AB153" i="8" s="1"/>
  <c r="AU120" i="9"/>
  <c r="W153" i="8" s="1"/>
  <c r="AM120" i="9"/>
  <c r="R153" i="8" s="1"/>
  <c r="AE120" i="9"/>
  <c r="M153" i="8" s="1"/>
  <c r="BC117" i="9"/>
  <c r="AB132" i="8" s="1"/>
  <c r="AU117" i="9"/>
  <c r="W132" i="8" s="1"/>
  <c r="AM117" i="9"/>
  <c r="R132" i="8" s="1"/>
  <c r="AE117" i="9"/>
  <c r="M132" i="8" s="1"/>
  <c r="BC116" i="9"/>
  <c r="AB128" i="8" s="1"/>
  <c r="AU116" i="9"/>
  <c r="W128" i="8" s="1"/>
  <c r="AM116" i="9"/>
  <c r="R128" i="8" s="1"/>
  <c r="AE116" i="9"/>
  <c r="M128" i="8" s="1"/>
  <c r="BC114" i="9"/>
  <c r="AB102" i="8" s="1"/>
  <c r="AU114" i="9"/>
  <c r="W102" i="8" s="1"/>
  <c r="AM114" i="9"/>
  <c r="R102" i="8" s="1"/>
  <c r="AE114" i="9"/>
  <c r="M102" i="8" s="1"/>
  <c r="BC112" i="9"/>
  <c r="AB117" i="8" s="1"/>
  <c r="AU112" i="9"/>
  <c r="W117" i="8" s="1"/>
  <c r="AM112" i="9"/>
  <c r="R117" i="8" s="1"/>
  <c r="AE112" i="9"/>
  <c r="M117" i="8" s="1"/>
  <c r="BC111" i="9"/>
  <c r="AB114" i="8" s="1"/>
  <c r="AU111" i="9"/>
  <c r="W114" i="8" s="1"/>
  <c r="AM111" i="9"/>
  <c r="R114" i="8" s="1"/>
  <c r="AE111" i="9"/>
  <c r="M114" i="8" s="1"/>
  <c r="BC108" i="9"/>
  <c r="AB101" i="8" s="1"/>
  <c r="AU108" i="9"/>
  <c r="W101" i="8" s="1"/>
  <c r="AM108" i="9"/>
  <c r="R101" i="8" s="1"/>
  <c r="AE108" i="9"/>
  <c r="M101" i="8" s="1"/>
  <c r="BC106" i="9"/>
  <c r="AB94" i="8" s="1"/>
  <c r="AU106" i="9"/>
  <c r="W94" i="8" s="1"/>
  <c r="AM106" i="9"/>
  <c r="R94" i="8" s="1"/>
  <c r="AE106" i="9"/>
  <c r="M94" i="8" s="1"/>
  <c r="BC97" i="9"/>
  <c r="AB48" i="8" s="1"/>
  <c r="AU97" i="9"/>
  <c r="W48" i="8" s="1"/>
  <c r="AM97" i="9"/>
  <c r="R48" i="8" s="1"/>
  <c r="AE97" i="9"/>
  <c r="M48" i="8" s="1"/>
  <c r="BC86" i="9"/>
  <c r="AB96" i="8" s="1"/>
  <c r="AU86" i="9"/>
  <c r="W96" i="8" s="1"/>
  <c r="AM86" i="9"/>
  <c r="R96" i="8" s="1"/>
  <c r="BC81" i="9"/>
  <c r="AB49" i="8" s="1"/>
  <c r="AU81" i="9"/>
  <c r="W49" i="8" s="1"/>
  <c r="AM81" i="9"/>
  <c r="R49" i="8" s="1"/>
  <c r="AE81" i="9"/>
  <c r="M49" i="8" s="1"/>
  <c r="BC80" i="9"/>
  <c r="AB41" i="8" s="1"/>
  <c r="AU80" i="9"/>
  <c r="W41" i="8" s="1"/>
  <c r="AM80" i="9"/>
  <c r="R41" i="8" s="1"/>
  <c r="AE80" i="9"/>
  <c r="M41" i="8" s="1"/>
  <c r="BC76" i="9"/>
  <c r="AB17" i="8" s="1"/>
  <c r="AU76" i="9"/>
  <c r="W17" i="8" s="1"/>
  <c r="AM76" i="9"/>
  <c r="R17" i="8" s="1"/>
  <c r="AE76" i="9"/>
  <c r="M17" i="8" s="1"/>
  <c r="BC75" i="9"/>
  <c r="AB15" i="8" s="1"/>
  <c r="AU75" i="9"/>
  <c r="W15" i="8" s="1"/>
  <c r="AM75" i="9"/>
  <c r="R15" i="8" s="1"/>
  <c r="AE75" i="9"/>
  <c r="M15" i="8" s="1"/>
  <c r="BC70" i="9"/>
  <c r="AB9" i="8" s="1"/>
  <c r="AU70" i="9"/>
  <c r="W9" i="8" s="1"/>
  <c r="AM70" i="9"/>
  <c r="R9" i="8" s="1"/>
  <c r="AE70" i="9"/>
  <c r="M9" i="8" s="1"/>
  <c r="BC65" i="9"/>
  <c r="AB92" i="8" s="1"/>
  <c r="AU65" i="9"/>
  <c r="W92" i="8" s="1"/>
  <c r="AM65" i="9"/>
  <c r="R92" i="8" s="1"/>
  <c r="AE65" i="9"/>
  <c r="M92" i="8" s="1"/>
  <c r="BC63" i="9"/>
  <c r="AB79" i="8" s="1"/>
  <c r="AU63" i="9"/>
  <c r="W79" i="8" s="1"/>
  <c r="AM63" i="9"/>
  <c r="R79" i="8" s="1"/>
  <c r="AE63" i="9"/>
  <c r="M79" i="8" s="1"/>
  <c r="BC62" i="9"/>
  <c r="AB70" i="8" s="1"/>
  <c r="AU62" i="9"/>
  <c r="W70" i="8" s="1"/>
  <c r="AM62" i="9"/>
  <c r="R70" i="8" s="1"/>
  <c r="AE62" i="9"/>
  <c r="M70" i="8" s="1"/>
  <c r="BC61" i="9"/>
  <c r="AB61" i="8" s="1"/>
  <c r="AU61" i="9"/>
  <c r="W61" i="8" s="1"/>
  <c r="AM61" i="9"/>
  <c r="R61" i="8" s="1"/>
  <c r="AE61" i="9"/>
  <c r="M61" i="8" s="1"/>
  <c r="BC60" i="9"/>
  <c r="AB62" i="8" s="1"/>
  <c r="AU60" i="9"/>
  <c r="W62" i="8" s="1"/>
  <c r="AM60" i="9"/>
  <c r="R62" i="8" s="1"/>
  <c r="AE60" i="9"/>
  <c r="M62" i="8" s="1"/>
  <c r="BC59" i="9"/>
  <c r="AB60" i="8" s="1"/>
  <c r="AU59" i="9"/>
  <c r="W60" i="8" s="1"/>
  <c r="AM59" i="9"/>
  <c r="R60" i="8" s="1"/>
  <c r="AE59" i="9"/>
  <c r="M60" i="8" s="1"/>
  <c r="BC58" i="9"/>
  <c r="AB55" i="8" s="1"/>
  <c r="AU58" i="9"/>
  <c r="W55" i="8" s="1"/>
  <c r="AM58" i="9"/>
  <c r="R55" i="8" s="1"/>
  <c r="AE58" i="9"/>
  <c r="M55" i="8" s="1"/>
  <c r="BC57" i="9"/>
  <c r="AB52" i="8" s="1"/>
  <c r="AU57" i="9"/>
  <c r="W52" i="8" s="1"/>
  <c r="AM57" i="9"/>
  <c r="R52" i="8" s="1"/>
  <c r="AE57" i="9"/>
  <c r="M52" i="8" s="1"/>
  <c r="BC56" i="9"/>
  <c r="AB47" i="8" s="1"/>
  <c r="AU56" i="9"/>
  <c r="W47" i="8" s="1"/>
  <c r="AM56" i="9"/>
  <c r="R47" i="8" s="1"/>
  <c r="AE56" i="9"/>
  <c r="M47" i="8" s="1"/>
  <c r="BC55" i="9"/>
  <c r="AB44" i="8" s="1"/>
  <c r="AU55" i="9"/>
  <c r="W44" i="8" s="1"/>
  <c r="AM55" i="9"/>
  <c r="R44" i="8" s="1"/>
  <c r="AE55" i="9"/>
  <c r="M44" i="8" s="1"/>
  <c r="BC54" i="9"/>
  <c r="AB42" i="8" s="1"/>
  <c r="AU54" i="9"/>
  <c r="W42" i="8" s="1"/>
  <c r="AM54" i="9"/>
  <c r="R42" i="8" s="1"/>
  <c r="AE54" i="9"/>
  <c r="M42" i="8" s="1"/>
  <c r="BC52" i="9"/>
  <c r="AB28" i="8" s="1"/>
  <c r="AU52" i="9"/>
  <c r="W28" i="8" s="1"/>
  <c r="AM52" i="9"/>
  <c r="R28" i="8" s="1"/>
  <c r="AE52" i="9"/>
  <c r="M28" i="8" s="1"/>
  <c r="BC51" i="9"/>
  <c r="AB26" i="8" s="1"/>
  <c r="AU51" i="9"/>
  <c r="W26" i="8" s="1"/>
  <c r="AM51" i="9"/>
  <c r="R26" i="8" s="1"/>
  <c r="AE51" i="9"/>
  <c r="M26" i="8" s="1"/>
  <c r="BC50" i="9"/>
  <c r="AB16" i="8" s="1"/>
  <c r="AU50" i="9"/>
  <c r="W16" i="8" s="1"/>
  <c r="BC47" i="9"/>
  <c r="AB54" i="8" s="1"/>
  <c r="AU47" i="9"/>
  <c r="W54" i="8" s="1"/>
  <c r="AM47" i="9"/>
  <c r="R54" i="8" s="1"/>
  <c r="AE47" i="9"/>
  <c r="M54" i="8" s="1"/>
  <c r="BC39" i="9"/>
  <c r="AB72" i="8" s="1"/>
  <c r="AU39" i="9"/>
  <c r="W72" i="8" s="1"/>
  <c r="BC37" i="9"/>
  <c r="AB53" i="8" s="1"/>
  <c r="AU37" i="9"/>
  <c r="W53" i="8" s="1"/>
  <c r="AM37" i="9"/>
  <c r="R53" i="8" s="1"/>
  <c r="AE37" i="9"/>
  <c r="M53" i="8" s="1"/>
  <c r="BC35" i="9"/>
  <c r="AB45" i="8" s="1"/>
  <c r="AU35" i="9"/>
  <c r="W45" i="8" s="1"/>
  <c r="AM35" i="9"/>
  <c r="R45" i="8" s="1"/>
  <c r="AE35" i="9"/>
  <c r="M45" i="8" s="1"/>
  <c r="BC34" i="9"/>
  <c r="AB35" i="8" s="1"/>
  <c r="AU34" i="9"/>
  <c r="W35" i="8" s="1"/>
  <c r="AM34" i="9"/>
  <c r="R35" i="8" s="1"/>
  <c r="AE34" i="9"/>
  <c r="M35" i="8" s="1"/>
  <c r="BC33" i="9"/>
  <c r="AB37" i="8" s="1"/>
  <c r="AU33" i="9"/>
  <c r="W37" i="8" s="1"/>
  <c r="AM33" i="9"/>
  <c r="R37" i="8" s="1"/>
  <c r="AE33" i="9"/>
  <c r="M37" i="8" s="1"/>
  <c r="BC32" i="9"/>
  <c r="AB34" i="8" s="1"/>
  <c r="AU32" i="9"/>
  <c r="W34" i="8" s="1"/>
  <c r="AM32" i="9"/>
  <c r="R34" i="8" s="1"/>
  <c r="AE32" i="9"/>
  <c r="M34" i="8" s="1"/>
  <c r="BC26" i="9"/>
  <c r="AB30" i="8" s="1"/>
  <c r="AU26" i="9"/>
  <c r="W30" i="8" s="1"/>
  <c r="AM26" i="9"/>
  <c r="R30" i="8" s="1"/>
  <c r="AE26" i="9"/>
  <c r="M30" i="8" s="1"/>
  <c r="BC25" i="9"/>
  <c r="AB19" i="8" s="1"/>
  <c r="AU25" i="9"/>
  <c r="W19" i="8" s="1"/>
  <c r="AM25" i="9"/>
  <c r="R19" i="8" s="1"/>
  <c r="AE25" i="9"/>
  <c r="M19" i="8" s="1"/>
  <c r="BC23" i="9"/>
  <c r="AB12" i="8" s="1"/>
  <c r="AU23" i="9"/>
  <c r="W12" i="8" s="1"/>
  <c r="AM23" i="9"/>
  <c r="R12" i="8" s="1"/>
  <c r="AE23" i="9"/>
  <c r="M12" i="8" s="1"/>
  <c r="BC22" i="9"/>
  <c r="AB10" i="8" s="1"/>
  <c r="AU22" i="9"/>
  <c r="W10" i="8" s="1"/>
  <c r="AM22" i="9"/>
  <c r="R10" i="8" s="1"/>
  <c r="AE22" i="9"/>
  <c r="M10" i="8" s="1"/>
  <c r="BC21" i="9"/>
  <c r="AB7" i="8" s="1"/>
  <c r="AU21" i="9"/>
  <c r="W7" i="8" s="1"/>
  <c r="AM21" i="9"/>
  <c r="R7" i="8" s="1"/>
  <c r="AE21" i="9"/>
  <c r="M7" i="8" s="1"/>
  <c r="BC17" i="9"/>
  <c r="AB40" i="8" s="1"/>
  <c r="AU17" i="9"/>
  <c r="W40" i="8" s="1"/>
  <c r="AM17" i="9"/>
  <c r="R40" i="8" s="1"/>
  <c r="AE17" i="9"/>
  <c r="M40" i="8" s="1"/>
  <c r="BC11" i="9"/>
  <c r="AB18" i="8" s="1"/>
  <c r="AU11" i="9"/>
  <c r="W18" i="8" s="1"/>
  <c r="AM11" i="9"/>
  <c r="R18" i="8" s="1"/>
  <c r="AE11" i="9"/>
  <c r="M18" i="8" s="1"/>
  <c r="BC10" i="9"/>
  <c r="AB20" i="8" s="1"/>
  <c r="AU10" i="9"/>
  <c r="W20" i="8" s="1"/>
  <c r="AM10" i="9"/>
  <c r="R20" i="8" s="1"/>
  <c r="AE10" i="9"/>
  <c r="M20" i="8" s="1"/>
  <c r="BC9" i="9"/>
  <c r="AB14" i="8" s="1"/>
  <c r="AU9" i="9"/>
  <c r="W14" i="8" s="1"/>
  <c r="AM9" i="9"/>
  <c r="R14" i="8" s="1"/>
  <c r="AE9" i="9"/>
  <c r="M14" i="8" s="1"/>
  <c r="BC8" i="9"/>
  <c r="AB11" i="8" s="1"/>
  <c r="AU8" i="9"/>
  <c r="W11" i="8" s="1"/>
  <c r="AM8" i="9"/>
  <c r="R11" i="8" s="1"/>
  <c r="AE8" i="9"/>
  <c r="M11" i="8" s="1"/>
  <c r="L83" i="9"/>
  <c r="U83" i="9" s="1"/>
  <c r="F81" i="8" s="1"/>
  <c r="L30" i="9"/>
  <c r="U30" i="9" s="1"/>
  <c r="F23" i="8" s="1"/>
  <c r="L27" i="9"/>
  <c r="U27" i="9" s="1"/>
  <c r="F43" i="8" s="1"/>
  <c r="L140" i="9"/>
  <c r="U140" i="9" s="1"/>
  <c r="F150" i="8" s="1"/>
  <c r="L153" i="9"/>
  <c r="U153" i="9" s="1"/>
  <c r="F175" i="8" s="1"/>
  <c r="L123" i="9"/>
  <c r="U123" i="9" s="1"/>
  <c r="F162" i="8" s="1"/>
  <c r="L64" i="9"/>
  <c r="U64" i="9" s="1"/>
  <c r="F88" i="8" s="1"/>
  <c r="L165" i="9"/>
  <c r="U165" i="9" s="1"/>
  <c r="F57" i="8" s="1"/>
  <c r="L169" i="9"/>
  <c r="U169" i="9" s="1"/>
  <c r="F91" i="8" s="1"/>
  <c r="L171" i="9"/>
  <c r="U171" i="9" s="1"/>
  <c r="F97" i="8" s="1"/>
  <c r="L175" i="9"/>
  <c r="U175" i="9" s="1"/>
  <c r="F109" i="8" s="1"/>
  <c r="L174" i="9"/>
  <c r="U174" i="9" s="1"/>
  <c r="F108" i="8" s="1"/>
  <c r="L179" i="9"/>
  <c r="U179" i="9" s="1"/>
  <c r="F134" i="8" s="1"/>
  <c r="L228" i="9"/>
  <c r="U228" i="9" s="1"/>
  <c r="F143" i="8" s="1"/>
  <c r="L220" i="9"/>
  <c r="U220" i="9" s="1"/>
  <c r="F89" i="8" s="1"/>
  <c r="L50" i="9"/>
  <c r="U50" i="9" s="1"/>
  <c r="F16" i="8" s="1"/>
  <c r="L51" i="9"/>
  <c r="U51" i="9" s="1"/>
  <c r="F26" i="8" s="1"/>
  <c r="L21" i="9"/>
  <c r="U21" i="9" s="1"/>
  <c r="F7" i="8" s="1"/>
  <c r="L17" i="9"/>
  <c r="L112" i="9"/>
  <c r="U112" i="9" s="1"/>
  <c r="F117" i="8" s="1"/>
  <c r="L114" i="9"/>
  <c r="U114" i="9" s="1"/>
  <c r="F102" i="8" s="1"/>
  <c r="L86" i="9"/>
  <c r="U86" i="9" s="1"/>
  <c r="F96" i="8" s="1"/>
  <c r="L75" i="9"/>
  <c r="U75" i="9" s="1"/>
  <c r="F15" i="8" s="1"/>
  <c r="L133" i="9"/>
  <c r="U133" i="9" s="1"/>
  <c r="F130" i="8" s="1"/>
  <c r="U70" i="9"/>
  <c r="F9" i="8" s="1"/>
  <c r="L145" i="9"/>
  <c r="U145" i="9" s="1"/>
  <c r="F161" i="8" s="1"/>
  <c r="L135" i="9"/>
  <c r="U135" i="9" s="1"/>
  <c r="F137" i="8" s="1"/>
  <c r="L147" i="9"/>
  <c r="U147" i="9" s="1"/>
  <c r="F164" i="8" s="1"/>
  <c r="L8" i="9"/>
  <c r="U8" i="9" s="1"/>
  <c r="F11" i="8" s="1"/>
  <c r="L212" i="9"/>
  <c r="L214" i="9"/>
  <c r="U214" i="9" s="1"/>
  <c r="F144" i="8" s="1"/>
  <c r="L61" i="9"/>
  <c r="U61" i="9" s="1"/>
  <c r="F61" i="8" s="1"/>
  <c r="L63" i="9"/>
  <c r="U63" i="9" s="1"/>
  <c r="F79" i="8" s="1"/>
  <c r="K30" i="2"/>
  <c r="L166" i="9"/>
  <c r="U166" i="9" s="1"/>
  <c r="F64" i="8" s="1"/>
  <c r="L183" i="9"/>
  <c r="U183" i="9" s="1"/>
  <c r="F154" i="8" s="1"/>
  <c r="L164" i="9"/>
  <c r="U164" i="9" s="1"/>
  <c r="F51" i="8" s="1"/>
  <c r="K30" i="3"/>
  <c r="L208" i="9"/>
  <c r="U208" i="9" s="1"/>
  <c r="F82" i="8" s="1"/>
  <c r="L231" i="9"/>
  <c r="U231" i="9" s="1"/>
  <c r="F195" i="8" s="1"/>
  <c r="L213" i="9"/>
  <c r="U213" i="9" s="1"/>
  <c r="F122" i="8" s="1"/>
  <c r="L69" i="9"/>
  <c r="U69" i="9" s="1"/>
  <c r="F6" i="8" s="1"/>
  <c r="L53" i="9"/>
  <c r="U53" i="9" s="1"/>
  <c r="F38" i="8" s="1"/>
  <c r="L143" i="9"/>
  <c r="U143" i="9" s="1"/>
  <c r="F155" i="8" s="1"/>
  <c r="L144" i="9"/>
  <c r="U144" i="9" s="1"/>
  <c r="F156" i="8" s="1"/>
  <c r="L154" i="9"/>
  <c r="U154" i="9" s="1"/>
  <c r="F174" i="8" s="1"/>
  <c r="L187" i="9"/>
  <c r="U187" i="9" s="1"/>
  <c r="F185" i="8" s="1"/>
  <c r="V187" i="9"/>
  <c r="G185" i="8" s="1"/>
  <c r="L141" i="9"/>
  <c r="U141" i="9" s="1"/>
  <c r="F152" i="8" s="1"/>
  <c r="V141" i="9"/>
  <c r="G152" i="8" s="1"/>
  <c r="L122" i="9"/>
  <c r="U122" i="9" s="1"/>
  <c r="F160" i="8" s="1"/>
  <c r="V122" i="9"/>
  <c r="G160" i="8" s="1"/>
  <c r="L167" i="9"/>
  <c r="U167" i="9" s="1"/>
  <c r="F77" i="8" s="1"/>
  <c r="V167" i="9"/>
  <c r="G77" i="8" s="1"/>
  <c r="L104" i="9"/>
  <c r="U104" i="9" s="1"/>
  <c r="F86" i="8" s="1"/>
  <c r="V104" i="9"/>
  <c r="G86" i="8" s="1"/>
  <c r="L102" i="9"/>
  <c r="U102" i="9" s="1"/>
  <c r="F75" i="8" s="1"/>
  <c r="V102" i="9"/>
  <c r="G75" i="8" s="1"/>
  <c r="L172" i="9"/>
  <c r="U172" i="9" s="1"/>
  <c r="F100" i="8" s="1"/>
  <c r="V172" i="9"/>
  <c r="G100" i="8" s="1"/>
  <c r="L178" i="9"/>
  <c r="U178" i="9" s="1"/>
  <c r="F125" i="8" s="1"/>
  <c r="V178" i="9"/>
  <c r="G125" i="8" s="1"/>
  <c r="L184" i="9"/>
  <c r="U184" i="9" s="1"/>
  <c r="F157" i="8" s="1"/>
  <c r="V184" i="9"/>
  <c r="G157" i="8" s="1"/>
  <c r="L180" i="9"/>
  <c r="U180" i="9" s="1"/>
  <c r="F135" i="8" s="1"/>
  <c r="V180" i="9"/>
  <c r="G135" i="8" s="1"/>
  <c r="L177" i="9"/>
  <c r="U177" i="9" s="1"/>
  <c r="F123" i="8" s="1"/>
  <c r="V177" i="9"/>
  <c r="G123" i="8" s="1"/>
  <c r="L185" i="9"/>
  <c r="U185" i="9" s="1"/>
  <c r="F167" i="8" s="1"/>
  <c r="V185" i="9"/>
  <c r="G167" i="8" s="1"/>
  <c r="L182" i="9"/>
  <c r="U182" i="9" s="1"/>
  <c r="F139" i="8" s="1"/>
  <c r="V182" i="9"/>
  <c r="G139" i="8" s="1"/>
  <c r="L170" i="9"/>
  <c r="U170" i="9" s="1"/>
  <c r="F95" i="8" s="1"/>
  <c r="V170" i="9"/>
  <c r="G95" i="8" s="1"/>
  <c r="L173" i="9"/>
  <c r="U173" i="9" s="1"/>
  <c r="F105" i="8" s="1"/>
  <c r="V173" i="9"/>
  <c r="G105" i="8" s="1"/>
  <c r="L146" i="9"/>
  <c r="U146" i="9" s="1"/>
  <c r="F165" i="8" s="1"/>
  <c r="V146" i="9"/>
  <c r="G165" i="8" s="1"/>
  <c r="L120" i="9"/>
  <c r="BB120" i="9"/>
  <c r="AA153" i="8" s="1"/>
  <c r="AD120" i="9"/>
  <c r="L153" i="8" s="1"/>
  <c r="AT120" i="9"/>
  <c r="V153" i="8" s="1"/>
  <c r="AL120" i="9"/>
  <c r="Q153" i="8" s="1"/>
  <c r="V120" i="9"/>
  <c r="G153" i="8" s="1"/>
  <c r="L98" i="9"/>
  <c r="U98" i="9" s="1"/>
  <c r="F65" i="8" s="1"/>
  <c r="V98" i="9"/>
  <c r="G65" i="8" s="1"/>
  <c r="L128" i="9"/>
  <c r="U128" i="9" s="1"/>
  <c r="F76" i="8" s="1"/>
  <c r="V128" i="9"/>
  <c r="G76" i="8" s="1"/>
  <c r="L149" i="9"/>
  <c r="U149" i="9" s="1"/>
  <c r="F168" i="8" s="1"/>
  <c r="V149" i="9"/>
  <c r="G168" i="8" s="1"/>
  <c r="L129" i="9"/>
  <c r="U129" i="9" s="1"/>
  <c r="F90" i="8" s="1"/>
  <c r="V129" i="9"/>
  <c r="G90" i="8" s="1"/>
  <c r="L142" i="9"/>
  <c r="U142" i="9" s="1"/>
  <c r="F149" i="8" s="1"/>
  <c r="V142" i="9"/>
  <c r="G149" i="8" s="1"/>
  <c r="L130" i="9"/>
  <c r="U130" i="9" s="1"/>
  <c r="F93" i="8" s="1"/>
  <c r="V130" i="9"/>
  <c r="G93" i="8" s="1"/>
  <c r="V51" i="9"/>
  <c r="G26" i="8" s="1"/>
  <c r="AD51" i="9"/>
  <c r="L26" i="8" s="1"/>
  <c r="L37" i="9"/>
  <c r="U37" i="9" s="1"/>
  <c r="F53" i="8" s="1"/>
  <c r="V37" i="9"/>
  <c r="G53" i="8" s="1"/>
  <c r="L107" i="9"/>
  <c r="U107" i="9" s="1"/>
  <c r="F99" i="8" s="1"/>
  <c r="V107" i="9"/>
  <c r="G99" i="8" s="1"/>
  <c r="L103" i="9"/>
  <c r="U103" i="9" s="1"/>
  <c r="F85" i="8" s="1"/>
  <c r="V103" i="9"/>
  <c r="G85" i="8" s="1"/>
  <c r="L105" i="9"/>
  <c r="U105" i="9" s="1"/>
  <c r="F87" i="8" s="1"/>
  <c r="V105" i="9"/>
  <c r="G87" i="8" s="1"/>
  <c r="L115" i="9"/>
  <c r="U115" i="9" s="1"/>
  <c r="F126" i="8" s="1"/>
  <c r="V115" i="9"/>
  <c r="G126" i="8" s="1"/>
  <c r="L110" i="9"/>
  <c r="U110" i="9" s="1"/>
  <c r="F107" i="8" s="1"/>
  <c r="V110" i="9"/>
  <c r="G107" i="8" s="1"/>
  <c r="L109" i="9"/>
  <c r="U109" i="9" s="1"/>
  <c r="F104" i="8" s="1"/>
  <c r="V109" i="9"/>
  <c r="G104" i="8" s="1"/>
  <c r="L26" i="9"/>
  <c r="U26" i="9" s="1"/>
  <c r="F30" i="8" s="1"/>
  <c r="V26" i="9"/>
  <c r="G30" i="8" s="1"/>
  <c r="L34" i="9"/>
  <c r="U34" i="9" s="1"/>
  <c r="F35" i="8" s="1"/>
  <c r="V34" i="9"/>
  <c r="G35" i="8" s="1"/>
  <c r="L80" i="9"/>
  <c r="U80" i="9" s="1"/>
  <c r="F41" i="8" s="1"/>
  <c r="V80" i="9"/>
  <c r="G41" i="8" s="1"/>
  <c r="L76" i="9"/>
  <c r="U76" i="9" s="1"/>
  <c r="F17" i="8" s="1"/>
  <c r="V76" i="9"/>
  <c r="G17" i="8" s="1"/>
  <c r="L111" i="9"/>
  <c r="U111" i="9" s="1"/>
  <c r="F114" i="8" s="1"/>
  <c r="V111" i="9"/>
  <c r="G114" i="8" s="1"/>
  <c r="L158" i="9"/>
  <c r="U158" i="9" s="1"/>
  <c r="F182" i="8" s="1"/>
  <c r="V158" i="9"/>
  <c r="G182" i="8" s="1"/>
  <c r="L33" i="9"/>
  <c r="U33" i="9" s="1"/>
  <c r="F37" i="8" s="1"/>
  <c r="V33" i="9"/>
  <c r="G37" i="8" s="1"/>
  <c r="L35" i="9"/>
  <c r="U35" i="9" s="1"/>
  <c r="F45" i="8" s="1"/>
  <c r="V35" i="9"/>
  <c r="G45" i="8" s="1"/>
  <c r="L32" i="9"/>
  <c r="U32" i="9" s="1"/>
  <c r="F34" i="8" s="1"/>
  <c r="V32" i="9"/>
  <c r="G34" i="8" s="1"/>
  <c r="L40" i="9"/>
  <c r="U40" i="9" s="1"/>
  <c r="F113" i="8" s="1"/>
  <c r="V40" i="9"/>
  <c r="G113" i="8" s="1"/>
  <c r="L11" i="9"/>
  <c r="U11" i="9" s="1"/>
  <c r="F18" i="8" s="1"/>
  <c r="V11" i="9"/>
  <c r="G18" i="8" s="1"/>
  <c r="L150" i="9"/>
  <c r="U150" i="9" s="1"/>
  <c r="F171" i="8" s="1"/>
  <c r="V150" i="9"/>
  <c r="G171" i="8" s="1"/>
  <c r="L152" i="9"/>
  <c r="U152" i="9" s="1"/>
  <c r="F173" i="8" s="1"/>
  <c r="V152" i="9"/>
  <c r="G173" i="8" s="1"/>
  <c r="L138" i="9"/>
  <c r="U138" i="9" s="1"/>
  <c r="F140" i="8" s="1"/>
  <c r="V138" i="9"/>
  <c r="G140" i="8" s="1"/>
  <c r="L47" i="9"/>
  <c r="U47" i="9" s="1"/>
  <c r="F54" i="8" s="1"/>
  <c r="V47" i="9"/>
  <c r="G54" i="8" s="1"/>
  <c r="L116" i="9"/>
  <c r="U116" i="9" s="1"/>
  <c r="F128" i="8" s="1"/>
  <c r="V116" i="9"/>
  <c r="G128" i="8" s="1"/>
  <c r="L23" i="9"/>
  <c r="U23" i="9" s="1"/>
  <c r="F12" i="8" s="1"/>
  <c r="V23" i="9"/>
  <c r="G12" i="8" s="1"/>
  <c r="L121" i="9"/>
  <c r="U121" i="9" s="1"/>
  <c r="F158" i="8" s="1"/>
  <c r="V121" i="9"/>
  <c r="G158" i="8" s="1"/>
  <c r="L101" i="9"/>
  <c r="U101" i="9" s="1"/>
  <c r="F73" i="8" s="1"/>
  <c r="V101" i="9"/>
  <c r="G73" i="8" s="1"/>
  <c r="L99" i="9"/>
  <c r="U99" i="9" s="1"/>
  <c r="F66" i="8" s="1"/>
  <c r="V99" i="9"/>
  <c r="G66" i="8" s="1"/>
  <c r="L181" i="9"/>
  <c r="U181" i="9" s="1"/>
  <c r="F136" i="8" s="1"/>
  <c r="V181" i="9"/>
  <c r="G136" i="8" s="1"/>
  <c r="L97" i="9"/>
  <c r="U97" i="9" s="1"/>
  <c r="F48" i="8" s="1"/>
  <c r="V97" i="9"/>
  <c r="G48" i="8" s="1"/>
  <c r="L106" i="9"/>
  <c r="U106" i="9" s="1"/>
  <c r="F94" i="8" s="1"/>
  <c r="V106" i="9"/>
  <c r="G94" i="8" s="1"/>
  <c r="L25" i="9"/>
  <c r="U25" i="9" s="1"/>
  <c r="F19" i="8" s="1"/>
  <c r="V25" i="9"/>
  <c r="G19" i="8" s="1"/>
  <c r="L9" i="9"/>
  <c r="U9" i="9" s="1"/>
  <c r="F14" i="8" s="1"/>
  <c r="V9" i="9"/>
  <c r="G14" i="8" s="1"/>
  <c r="L160" i="9"/>
  <c r="U160" i="9" s="1"/>
  <c r="F193" i="8" s="1"/>
  <c r="V160" i="9"/>
  <c r="G193" i="8" s="1"/>
  <c r="L161" i="9"/>
  <c r="U161" i="9" s="1"/>
  <c r="F196" i="8" s="1"/>
  <c r="V161" i="9"/>
  <c r="G196" i="8" s="1"/>
  <c r="L159" i="9"/>
  <c r="U159" i="9" s="1"/>
  <c r="F187" i="8" s="1"/>
  <c r="V159" i="9"/>
  <c r="G187" i="8" s="1"/>
  <c r="L54" i="9"/>
  <c r="U54" i="9" s="1"/>
  <c r="F42" i="8" s="1"/>
  <c r="V54" i="9"/>
  <c r="G42" i="8" s="1"/>
  <c r="L56" i="9"/>
  <c r="U56" i="9" s="1"/>
  <c r="F47" i="8" s="1"/>
  <c r="V56" i="9"/>
  <c r="G47" i="8" s="1"/>
  <c r="L58" i="9"/>
  <c r="U58" i="9" s="1"/>
  <c r="F55" i="8" s="1"/>
  <c r="V58" i="9"/>
  <c r="G55" i="8" s="1"/>
  <c r="L62" i="9"/>
  <c r="U62" i="9" s="1"/>
  <c r="F70" i="8" s="1"/>
  <c r="V62" i="9"/>
  <c r="G70" i="8" s="1"/>
  <c r="L57" i="9"/>
  <c r="U57" i="9" s="1"/>
  <c r="F52" i="8" s="1"/>
  <c r="V57" i="9"/>
  <c r="G52" i="8" s="1"/>
  <c r="L60" i="9"/>
  <c r="U60" i="9" s="1"/>
  <c r="F62" i="8" s="1"/>
  <c r="V60" i="9"/>
  <c r="G62" i="8" s="1"/>
  <c r="L59" i="9"/>
  <c r="U59" i="9" s="1"/>
  <c r="F60" i="8" s="1"/>
  <c r="V59" i="9"/>
  <c r="G60" i="8" s="1"/>
  <c r="L89" i="9"/>
  <c r="U89" i="9" s="1"/>
  <c r="F121" i="8" s="1"/>
  <c r="V89" i="9"/>
  <c r="G121" i="8" s="1"/>
  <c r="BC242" i="9"/>
  <c r="AB183" i="8" s="1"/>
  <c r="AZ242" i="9"/>
  <c r="AU242" i="9"/>
  <c r="W183" i="8" s="1"/>
  <c r="AR242" i="9"/>
  <c r="AM242" i="9"/>
  <c r="R183" i="8" s="1"/>
  <c r="AJ242" i="9"/>
  <c r="AE242" i="9"/>
  <c r="M183" i="8" s="1"/>
  <c r="AB242" i="9"/>
  <c r="BC241" i="9"/>
  <c r="AB166" i="8" s="1"/>
  <c r="AZ241" i="9"/>
  <c r="AU241" i="9"/>
  <c r="W166" i="8" s="1"/>
  <c r="AR241" i="9"/>
  <c r="AM241" i="9"/>
  <c r="R166" i="8" s="1"/>
  <c r="AJ241" i="9"/>
  <c r="AE241" i="9"/>
  <c r="M166" i="8" s="1"/>
  <c r="AB241" i="9"/>
  <c r="BC240" i="9"/>
  <c r="AB148" i="8" s="1"/>
  <c r="AZ240" i="9"/>
  <c r="AU240" i="9"/>
  <c r="W148" i="8" s="1"/>
  <c r="AR240" i="9"/>
  <c r="AM240" i="9"/>
  <c r="R148" i="8" s="1"/>
  <c r="AJ240" i="9"/>
  <c r="AE240" i="9"/>
  <c r="M148" i="8" s="1"/>
  <c r="AB240" i="9"/>
  <c r="AE213" i="9"/>
  <c r="M122" i="8" s="1"/>
  <c r="AB213" i="9"/>
  <c r="BC72" i="9"/>
  <c r="AB202" i="8" s="1"/>
  <c r="AZ72" i="9"/>
  <c r="AU72" i="9"/>
  <c r="W202" i="8" s="1"/>
  <c r="AR72" i="9"/>
  <c r="AM72" i="9"/>
  <c r="R202" i="8" s="1"/>
  <c r="AJ72" i="9"/>
  <c r="AE72" i="9"/>
  <c r="M202" i="8" s="1"/>
  <c r="AB72" i="9"/>
  <c r="I72" i="5" l="1"/>
  <c r="I84" i="5"/>
  <c r="I65" i="6"/>
  <c r="I132" i="5"/>
  <c r="I28" i="5"/>
  <c r="I167" i="6"/>
  <c r="AK136" i="9"/>
  <c r="P138" i="8" s="1"/>
  <c r="I34" i="5"/>
  <c r="I38" i="5"/>
  <c r="AC213" i="9"/>
  <c r="K122" i="8" s="1"/>
  <c r="I182" i="6"/>
  <c r="AS78" i="9"/>
  <c r="U36" i="8" s="1"/>
  <c r="I44" i="6"/>
  <c r="I81" i="6"/>
  <c r="I80" i="5"/>
  <c r="I31" i="5"/>
  <c r="J147" i="5"/>
  <c r="J93" i="6"/>
  <c r="BA187" i="9"/>
  <c r="Z185" i="8" s="1"/>
  <c r="AK187" i="9"/>
  <c r="P185" i="8" s="1"/>
  <c r="AS184" i="9"/>
  <c r="U157" i="8" s="1"/>
  <c r="BA182" i="9"/>
  <c r="Z139" i="8" s="1"/>
  <c r="AK182" i="9"/>
  <c r="P139" i="8" s="1"/>
  <c r="AS181" i="9"/>
  <c r="U136" i="8" s="1"/>
  <c r="AK180" i="9"/>
  <c r="P135" i="8" s="1"/>
  <c r="BA178" i="9"/>
  <c r="Z125" i="8" s="1"/>
  <c r="AK178" i="9"/>
  <c r="P125" i="8" s="1"/>
  <c r="AS177" i="9"/>
  <c r="U123" i="8" s="1"/>
  <c r="AC177" i="9"/>
  <c r="K123" i="8" s="1"/>
  <c r="AS173" i="9"/>
  <c r="U105" i="8" s="1"/>
  <c r="AK172" i="9"/>
  <c r="P100" i="8" s="1"/>
  <c r="BA170" i="9"/>
  <c r="Z95" i="8" s="1"/>
  <c r="AS149" i="9"/>
  <c r="U168" i="8" s="1"/>
  <c r="AS142" i="9"/>
  <c r="U149" i="8" s="1"/>
  <c r="AC142" i="9"/>
  <c r="K149" i="8" s="1"/>
  <c r="AS141" i="9"/>
  <c r="U152" i="8" s="1"/>
  <c r="AS76" i="9"/>
  <c r="U17" i="8" s="1"/>
  <c r="AK58" i="9"/>
  <c r="P55" i="8" s="1"/>
  <c r="BA57" i="9"/>
  <c r="Z52" i="8" s="1"/>
  <c r="AS57" i="9"/>
  <c r="U52" i="8" s="1"/>
  <c r="AK57" i="9"/>
  <c r="P52" i="8" s="1"/>
  <c r="AC57" i="9"/>
  <c r="K52" i="8" s="1"/>
  <c r="BA56" i="9"/>
  <c r="Z47" i="8" s="1"/>
  <c r="AS56" i="9"/>
  <c r="U47" i="8" s="1"/>
  <c r="BA11" i="9"/>
  <c r="Z18" i="8" s="1"/>
  <c r="AS11" i="9"/>
  <c r="U18" i="8" s="1"/>
  <c r="AK11" i="9"/>
  <c r="P18" i="8" s="1"/>
  <c r="AC11" i="9"/>
  <c r="K18" i="8" s="1"/>
  <c r="BA9" i="9"/>
  <c r="Z14" i="8" s="1"/>
  <c r="AS9" i="9"/>
  <c r="U14" i="8" s="1"/>
  <c r="AK9" i="9"/>
  <c r="P14" i="8" s="1"/>
  <c r="AC9" i="9"/>
  <c r="K14" i="8" s="1"/>
  <c r="AS185" i="9"/>
  <c r="U167" i="8" s="1"/>
  <c r="BA184" i="9"/>
  <c r="Z157" i="8" s="1"/>
  <c r="AC184" i="9"/>
  <c r="K157" i="8" s="1"/>
  <c r="AC182" i="9"/>
  <c r="K139" i="8" s="1"/>
  <c r="AS180" i="9"/>
  <c r="U135" i="8" s="1"/>
  <c r="AC180" i="9"/>
  <c r="K135" i="8" s="1"/>
  <c r="BA177" i="9"/>
  <c r="Z123" i="8" s="1"/>
  <c r="AS170" i="9"/>
  <c r="U95" i="8" s="1"/>
  <c r="BA167" i="9"/>
  <c r="Z77" i="8" s="1"/>
  <c r="AK167" i="9"/>
  <c r="P77" i="8" s="1"/>
  <c r="BA150" i="9"/>
  <c r="Z171" i="8" s="1"/>
  <c r="AC150" i="9"/>
  <c r="K171" i="8" s="1"/>
  <c r="AC149" i="9"/>
  <c r="K168" i="8" s="1"/>
  <c r="BA140" i="9"/>
  <c r="Z150" i="8" s="1"/>
  <c r="AS138" i="9"/>
  <c r="U140" i="8" s="1"/>
  <c r="AK138" i="9"/>
  <c r="P140" i="8" s="1"/>
  <c r="AC130" i="9"/>
  <c r="K93" i="8" s="1"/>
  <c r="BA80" i="9"/>
  <c r="Z41" i="8" s="1"/>
  <c r="AS80" i="9"/>
  <c r="U41" i="8" s="1"/>
  <c r="BA60" i="9"/>
  <c r="Z62" i="8" s="1"/>
  <c r="AS60" i="9"/>
  <c r="U62" i="8" s="1"/>
  <c r="AK60" i="9"/>
  <c r="P62" i="8" s="1"/>
  <c r="AC60" i="9"/>
  <c r="K62" i="8" s="1"/>
  <c r="BA59" i="9"/>
  <c r="Z60" i="8" s="1"/>
  <c r="AC58" i="9"/>
  <c r="K55" i="8" s="1"/>
  <c r="J139" i="5"/>
  <c r="J35" i="5"/>
  <c r="AC181" i="9"/>
  <c r="K136" i="8" s="1"/>
  <c r="AC178" i="9"/>
  <c r="K125" i="8" s="1"/>
  <c r="AK177" i="9"/>
  <c r="P123" i="8" s="1"/>
  <c r="BA173" i="9"/>
  <c r="Z105" i="8" s="1"/>
  <c r="AC173" i="9"/>
  <c r="K105" i="8" s="1"/>
  <c r="AS172" i="9"/>
  <c r="U100" i="8" s="1"/>
  <c r="AC172" i="9"/>
  <c r="K100" i="8" s="1"/>
  <c r="AC170" i="9"/>
  <c r="K95" i="8" s="1"/>
  <c r="AC161" i="9"/>
  <c r="K196" i="8" s="1"/>
  <c r="AK160" i="9"/>
  <c r="P193" i="8" s="1"/>
  <c r="AC159" i="9"/>
  <c r="K187" i="8" s="1"/>
  <c r="AK158" i="9"/>
  <c r="P182" i="8" s="1"/>
  <c r="AK152" i="9"/>
  <c r="P173" i="8" s="1"/>
  <c r="AC152" i="9"/>
  <c r="K173" i="8" s="1"/>
  <c r="BA142" i="9"/>
  <c r="Z149" i="8" s="1"/>
  <c r="BA141" i="9"/>
  <c r="Z152" i="8" s="1"/>
  <c r="AC141" i="9"/>
  <c r="K152" i="8" s="1"/>
  <c r="AK140" i="9"/>
  <c r="P150" i="8" s="1"/>
  <c r="BA130" i="9"/>
  <c r="Z93" i="8" s="1"/>
  <c r="AK80" i="9"/>
  <c r="P41" i="8" s="1"/>
  <c r="BA76" i="9"/>
  <c r="Z17" i="8" s="1"/>
  <c r="J81" i="6"/>
  <c r="J38" i="6"/>
  <c r="AS187" i="9"/>
  <c r="U185" i="8" s="1"/>
  <c r="AC187" i="9"/>
  <c r="K185" i="8" s="1"/>
  <c r="BA185" i="9"/>
  <c r="Z167" i="8" s="1"/>
  <c r="AK185" i="9"/>
  <c r="P167" i="8" s="1"/>
  <c r="AK181" i="9"/>
  <c r="P136" i="8" s="1"/>
  <c r="BA180" i="9"/>
  <c r="Z135" i="8" s="1"/>
  <c r="AS152" i="9"/>
  <c r="U173" i="8" s="1"/>
  <c r="AS150" i="9"/>
  <c r="U171" i="8" s="1"/>
  <c r="AK150" i="9"/>
  <c r="P171" i="8" s="1"/>
  <c r="BA146" i="9"/>
  <c r="Z165" i="8" s="1"/>
  <c r="AK146" i="9"/>
  <c r="P165" i="8" s="1"/>
  <c r="AK142" i="9"/>
  <c r="P149" i="8" s="1"/>
  <c r="AS140" i="9"/>
  <c r="U150" i="8" s="1"/>
  <c r="AC140" i="9"/>
  <c r="K150" i="8" s="1"/>
  <c r="BA138" i="9"/>
  <c r="Z140" i="8" s="1"/>
  <c r="AS130" i="9"/>
  <c r="U93" i="8" s="1"/>
  <c r="BA129" i="9"/>
  <c r="Z90" i="8" s="1"/>
  <c r="AK129" i="9"/>
  <c r="P90" i="8" s="1"/>
  <c r="AC76" i="9"/>
  <c r="K17" i="8" s="1"/>
  <c r="BA62" i="9"/>
  <c r="Z70" i="8" s="1"/>
  <c r="AK62" i="9"/>
  <c r="P70" i="8" s="1"/>
  <c r="AS59" i="9"/>
  <c r="U60" i="8" s="1"/>
  <c r="AK59" i="9"/>
  <c r="P60" i="8" s="1"/>
  <c r="AS58" i="9"/>
  <c r="U55" i="8" s="1"/>
  <c r="AC185" i="9"/>
  <c r="K167" i="8" s="1"/>
  <c r="AK184" i="9"/>
  <c r="P157" i="8" s="1"/>
  <c r="AS182" i="9"/>
  <c r="U139" i="8" s="1"/>
  <c r="BA181" i="9"/>
  <c r="Z136" i="8" s="1"/>
  <c r="AS178" i="9"/>
  <c r="U125" i="8" s="1"/>
  <c r="AK173" i="9"/>
  <c r="P105" i="8" s="1"/>
  <c r="BA172" i="9"/>
  <c r="Z100" i="8" s="1"/>
  <c r="AK170" i="9"/>
  <c r="P95" i="8" s="1"/>
  <c r="AS167" i="9"/>
  <c r="U77" i="8" s="1"/>
  <c r="AC167" i="9"/>
  <c r="K77" i="8" s="1"/>
  <c r="BA161" i="9"/>
  <c r="Z196" i="8" s="1"/>
  <c r="AS161" i="9"/>
  <c r="U196" i="8" s="1"/>
  <c r="AK161" i="9"/>
  <c r="P196" i="8" s="1"/>
  <c r="BA160" i="9"/>
  <c r="Z193" i="8" s="1"/>
  <c r="AS160" i="9"/>
  <c r="U193" i="8" s="1"/>
  <c r="AC160" i="9"/>
  <c r="K193" i="8" s="1"/>
  <c r="BA159" i="9"/>
  <c r="Z187" i="8" s="1"/>
  <c r="AS159" i="9"/>
  <c r="U187" i="8" s="1"/>
  <c r="AK159" i="9"/>
  <c r="P187" i="8" s="1"/>
  <c r="BA158" i="9"/>
  <c r="Z182" i="8" s="1"/>
  <c r="AS158" i="9"/>
  <c r="U182" i="8" s="1"/>
  <c r="AC158" i="9"/>
  <c r="K182" i="8" s="1"/>
  <c r="BA152" i="9"/>
  <c r="Z173" i="8" s="1"/>
  <c r="BA149" i="9"/>
  <c r="Z168" i="8" s="1"/>
  <c r="AK149" i="9"/>
  <c r="P168" i="8" s="1"/>
  <c r="AS146" i="9"/>
  <c r="U165" i="8" s="1"/>
  <c r="AC146" i="9"/>
  <c r="K165" i="8" s="1"/>
  <c r="AK141" i="9"/>
  <c r="P152" i="8" s="1"/>
  <c r="AC138" i="9"/>
  <c r="K140" i="8" s="1"/>
  <c r="AK130" i="9"/>
  <c r="P93" i="8" s="1"/>
  <c r="AS129" i="9"/>
  <c r="U90" i="8" s="1"/>
  <c r="AC129" i="9"/>
  <c r="K90" i="8" s="1"/>
  <c r="AC80" i="9"/>
  <c r="K41" i="8" s="1"/>
  <c r="AK76" i="9"/>
  <c r="P17" i="8" s="1"/>
  <c r="AS62" i="9"/>
  <c r="U70" i="8" s="1"/>
  <c r="AC62" i="9"/>
  <c r="K70" i="8" s="1"/>
  <c r="AC59" i="9"/>
  <c r="K60" i="8" s="1"/>
  <c r="BA58" i="9"/>
  <c r="Z55" i="8" s="1"/>
  <c r="AS71" i="9"/>
  <c r="U203" i="8" s="1"/>
  <c r="AC71" i="9"/>
  <c r="K203" i="8" s="1"/>
  <c r="AK71" i="9"/>
  <c r="P203" i="8" s="1"/>
  <c r="BA71" i="9"/>
  <c r="Z203" i="8" s="1"/>
  <c r="J132" i="5"/>
  <c r="J65" i="6"/>
  <c r="BA204" i="9"/>
  <c r="Z177" i="8" s="1"/>
  <c r="AS204" i="9"/>
  <c r="U177" i="8" s="1"/>
  <c r="AK204" i="9"/>
  <c r="P177" i="8" s="1"/>
  <c r="AC204" i="9"/>
  <c r="K177" i="8" s="1"/>
  <c r="AS189" i="9"/>
  <c r="U189" i="8" s="1"/>
  <c r="AC189" i="9"/>
  <c r="K189" i="8" s="1"/>
  <c r="BA188" i="9"/>
  <c r="Z188" i="8" s="1"/>
  <c r="AK188" i="9"/>
  <c r="P188" i="8" s="1"/>
  <c r="AC188" i="9"/>
  <c r="K188" i="8" s="1"/>
  <c r="BA186" i="9"/>
  <c r="Z180" i="8" s="1"/>
  <c r="AK186" i="9"/>
  <c r="P180" i="8" s="1"/>
  <c r="BA176" i="9"/>
  <c r="Z116" i="8" s="1"/>
  <c r="AK176" i="9"/>
  <c r="P116" i="8" s="1"/>
  <c r="BA168" i="9"/>
  <c r="Z78" i="8" s="1"/>
  <c r="AS168" i="9"/>
  <c r="U78" i="8" s="1"/>
  <c r="AK168" i="9"/>
  <c r="P78" i="8" s="1"/>
  <c r="AS157" i="9"/>
  <c r="U181" i="8" s="1"/>
  <c r="AK157" i="9"/>
  <c r="P181" i="8" s="1"/>
  <c r="BA151" i="9"/>
  <c r="Z172" i="8" s="1"/>
  <c r="BA139" i="9"/>
  <c r="Z141" i="8" s="1"/>
  <c r="BA137" i="9"/>
  <c r="Z145" i="8" s="1"/>
  <c r="AS137" i="9"/>
  <c r="U145" i="8" s="1"/>
  <c r="BA122" i="9"/>
  <c r="Z160" i="8" s="1"/>
  <c r="AS122" i="9"/>
  <c r="U160" i="8" s="1"/>
  <c r="AK122" i="9"/>
  <c r="P160" i="8" s="1"/>
  <c r="AC122" i="9"/>
  <c r="K160" i="8" s="1"/>
  <c r="BA121" i="9"/>
  <c r="Z158" i="8" s="1"/>
  <c r="AS121" i="9"/>
  <c r="U158" i="8" s="1"/>
  <c r="AK121" i="9"/>
  <c r="P158" i="8" s="1"/>
  <c r="AC121" i="9"/>
  <c r="K158" i="8" s="1"/>
  <c r="BA116" i="9"/>
  <c r="Z128" i="8" s="1"/>
  <c r="AS116" i="9"/>
  <c r="U128" i="8" s="1"/>
  <c r="AK116" i="9"/>
  <c r="P128" i="8" s="1"/>
  <c r="AC116" i="9"/>
  <c r="K128" i="8" s="1"/>
  <c r="BA115" i="9"/>
  <c r="Z126" i="8" s="1"/>
  <c r="AS115" i="9"/>
  <c r="U126" i="8" s="1"/>
  <c r="AK115" i="9"/>
  <c r="P126" i="8" s="1"/>
  <c r="AC115" i="9"/>
  <c r="K126" i="8" s="1"/>
  <c r="BA111" i="9"/>
  <c r="Z114" i="8" s="1"/>
  <c r="AS111" i="9"/>
  <c r="U114" i="8" s="1"/>
  <c r="AK111" i="9"/>
  <c r="P114" i="8" s="1"/>
  <c r="AC111" i="9"/>
  <c r="K114" i="8" s="1"/>
  <c r="BA110" i="9"/>
  <c r="Z107" i="8" s="1"/>
  <c r="AS110" i="9"/>
  <c r="U107" i="8" s="1"/>
  <c r="AK110" i="9"/>
  <c r="P107" i="8" s="1"/>
  <c r="AC110" i="9"/>
  <c r="K107" i="8" s="1"/>
  <c r="BA109" i="9"/>
  <c r="Z104" i="8" s="1"/>
  <c r="AS109" i="9"/>
  <c r="U104" i="8" s="1"/>
  <c r="AK109" i="9"/>
  <c r="P104" i="8" s="1"/>
  <c r="AC109" i="9"/>
  <c r="K104" i="8" s="1"/>
  <c r="BA107" i="9"/>
  <c r="Z99" i="8" s="1"/>
  <c r="AS107" i="9"/>
  <c r="U99" i="8" s="1"/>
  <c r="AK107" i="9"/>
  <c r="P99" i="8" s="1"/>
  <c r="AC107" i="9"/>
  <c r="K99" i="8" s="1"/>
  <c r="BA106" i="9"/>
  <c r="Z94" i="8" s="1"/>
  <c r="AS106" i="9"/>
  <c r="U94" i="8" s="1"/>
  <c r="AK106" i="9"/>
  <c r="P94" i="8" s="1"/>
  <c r="AC106" i="9"/>
  <c r="K94" i="8" s="1"/>
  <c r="BA105" i="9"/>
  <c r="Z87" i="8" s="1"/>
  <c r="AS105" i="9"/>
  <c r="U87" i="8" s="1"/>
  <c r="AK105" i="9"/>
  <c r="P87" i="8" s="1"/>
  <c r="AC105" i="9"/>
  <c r="K87" i="8" s="1"/>
  <c r="BA104" i="9"/>
  <c r="Z86" i="8" s="1"/>
  <c r="AS104" i="9"/>
  <c r="U86" i="8" s="1"/>
  <c r="AK104" i="9"/>
  <c r="P86" i="8" s="1"/>
  <c r="AC104" i="9"/>
  <c r="K86" i="8" s="1"/>
  <c r="BA103" i="9"/>
  <c r="Z85" i="8" s="1"/>
  <c r="AS103" i="9"/>
  <c r="U85" i="8" s="1"/>
  <c r="AK103" i="9"/>
  <c r="P85" i="8" s="1"/>
  <c r="AC103" i="9"/>
  <c r="K85" i="8" s="1"/>
  <c r="BA102" i="9"/>
  <c r="Z75" i="8" s="1"/>
  <c r="AS102" i="9"/>
  <c r="U75" i="8" s="1"/>
  <c r="AK102" i="9"/>
  <c r="P75" i="8" s="1"/>
  <c r="AC102" i="9"/>
  <c r="K75" i="8" s="1"/>
  <c r="BA101" i="9"/>
  <c r="Z73" i="8" s="1"/>
  <c r="AS101" i="9"/>
  <c r="U73" i="8" s="1"/>
  <c r="AK101" i="9"/>
  <c r="P73" i="8" s="1"/>
  <c r="AC101" i="9"/>
  <c r="K73" i="8" s="1"/>
  <c r="BA99" i="9"/>
  <c r="Z66" i="8" s="1"/>
  <c r="AS99" i="9"/>
  <c r="U66" i="8" s="1"/>
  <c r="AK99" i="9"/>
  <c r="P66" i="8" s="1"/>
  <c r="AC99" i="9"/>
  <c r="K66" i="8" s="1"/>
  <c r="BA98" i="9"/>
  <c r="Z65" i="8" s="1"/>
  <c r="AS98" i="9"/>
  <c r="U65" i="8" s="1"/>
  <c r="AK98" i="9"/>
  <c r="P65" i="8" s="1"/>
  <c r="AC98" i="9"/>
  <c r="K65" i="8" s="1"/>
  <c r="BA97" i="9"/>
  <c r="Z48" i="8" s="1"/>
  <c r="AS97" i="9"/>
  <c r="U48" i="8" s="1"/>
  <c r="AK97" i="9"/>
  <c r="P48" i="8" s="1"/>
  <c r="AC97" i="9"/>
  <c r="K48" i="8" s="1"/>
  <c r="BA89" i="9"/>
  <c r="Z121" i="8" s="1"/>
  <c r="AS89" i="9"/>
  <c r="U121" i="8" s="1"/>
  <c r="AK89" i="9"/>
  <c r="P121" i="8" s="1"/>
  <c r="AC89" i="9"/>
  <c r="K121" i="8" s="1"/>
  <c r="AK56" i="9"/>
  <c r="P47" i="8" s="1"/>
  <c r="AC56" i="9"/>
  <c r="K47" i="8" s="1"/>
  <c r="BA54" i="9"/>
  <c r="Z42" i="8" s="1"/>
  <c r="AS54" i="9"/>
  <c r="U42" i="8" s="1"/>
  <c r="AK54" i="9"/>
  <c r="P42" i="8" s="1"/>
  <c r="AC54" i="9"/>
  <c r="K42" i="8" s="1"/>
  <c r="BA40" i="9"/>
  <c r="Z113" i="8" s="1"/>
  <c r="AS40" i="9"/>
  <c r="U113" i="8" s="1"/>
  <c r="AK40" i="9"/>
  <c r="P113" i="8" s="1"/>
  <c r="AC40" i="9"/>
  <c r="K113" i="8" s="1"/>
  <c r="BA37" i="9"/>
  <c r="Z53" i="8" s="1"/>
  <c r="AS37" i="9"/>
  <c r="U53" i="8" s="1"/>
  <c r="AK37" i="9"/>
  <c r="P53" i="8" s="1"/>
  <c r="AC37" i="9"/>
  <c r="K53" i="8" s="1"/>
  <c r="BA35" i="9"/>
  <c r="Z45" i="8" s="1"/>
  <c r="AS35" i="9"/>
  <c r="U45" i="8" s="1"/>
  <c r="AK35" i="9"/>
  <c r="P45" i="8" s="1"/>
  <c r="AC35" i="9"/>
  <c r="K45" i="8" s="1"/>
  <c r="BA34" i="9"/>
  <c r="Z35" i="8" s="1"/>
  <c r="AS34" i="9"/>
  <c r="U35" i="8" s="1"/>
  <c r="AK34" i="9"/>
  <c r="P35" i="8" s="1"/>
  <c r="AC34" i="9"/>
  <c r="K35" i="8" s="1"/>
  <c r="BA33" i="9"/>
  <c r="Z37" i="8" s="1"/>
  <c r="AS33" i="9"/>
  <c r="U37" i="8" s="1"/>
  <c r="AK33" i="9"/>
  <c r="P37" i="8" s="1"/>
  <c r="AC33" i="9"/>
  <c r="K37" i="8" s="1"/>
  <c r="BA32" i="9"/>
  <c r="Z34" i="8" s="1"/>
  <c r="AS32" i="9"/>
  <c r="U34" i="8" s="1"/>
  <c r="AK32" i="9"/>
  <c r="P34" i="8" s="1"/>
  <c r="AC32" i="9"/>
  <c r="K34" i="8" s="1"/>
  <c r="BA26" i="9"/>
  <c r="Z30" i="8" s="1"/>
  <c r="AS26" i="9"/>
  <c r="U30" i="8" s="1"/>
  <c r="AK26" i="9"/>
  <c r="P30" i="8" s="1"/>
  <c r="AC26" i="9"/>
  <c r="K30" i="8" s="1"/>
  <c r="BA25" i="9"/>
  <c r="Z19" i="8" s="1"/>
  <c r="AS25" i="9"/>
  <c r="U19" i="8" s="1"/>
  <c r="AK25" i="9"/>
  <c r="P19" i="8" s="1"/>
  <c r="AC25" i="9"/>
  <c r="K19" i="8" s="1"/>
  <c r="BA23" i="9"/>
  <c r="Z12" i="8" s="1"/>
  <c r="AS23" i="9"/>
  <c r="U12" i="8" s="1"/>
  <c r="AK23" i="9"/>
  <c r="P12" i="8" s="1"/>
  <c r="AC23" i="9"/>
  <c r="K12" i="8" s="1"/>
  <c r="BA242" i="9"/>
  <c r="Z183" i="8" s="1"/>
  <c r="AS242" i="9"/>
  <c r="U183" i="8" s="1"/>
  <c r="AK242" i="9"/>
  <c r="P183" i="8" s="1"/>
  <c r="AC242" i="9"/>
  <c r="K183" i="8" s="1"/>
  <c r="BA241" i="9"/>
  <c r="Z166" i="8" s="1"/>
  <c r="AS241" i="9"/>
  <c r="U166" i="8" s="1"/>
  <c r="AK241" i="9"/>
  <c r="P166" i="8" s="1"/>
  <c r="AC241" i="9"/>
  <c r="K166" i="8" s="1"/>
  <c r="BA72" i="9"/>
  <c r="Z202" i="8" s="1"/>
  <c r="AS72" i="9"/>
  <c r="U202" i="8" s="1"/>
  <c r="AK72" i="9"/>
  <c r="P202" i="8" s="1"/>
  <c r="AC72" i="9"/>
  <c r="K202" i="8" s="1"/>
  <c r="BA196" i="9"/>
  <c r="Z199" i="8" s="1"/>
  <c r="AS196" i="9"/>
  <c r="U199" i="8" s="1"/>
  <c r="AK196" i="9"/>
  <c r="P199" i="8" s="1"/>
  <c r="AC196" i="9"/>
  <c r="K199" i="8" s="1"/>
  <c r="BA189" i="9"/>
  <c r="Z189" i="8" s="1"/>
  <c r="AK189" i="9"/>
  <c r="P189" i="8" s="1"/>
  <c r="AS186" i="9"/>
  <c r="U180" i="8" s="1"/>
  <c r="AC176" i="9"/>
  <c r="K116" i="8" s="1"/>
  <c r="BA157" i="9"/>
  <c r="Z181" i="8" s="1"/>
  <c r="AC157" i="9"/>
  <c r="K181" i="8" s="1"/>
  <c r="BA156" i="9"/>
  <c r="Z178" i="8" s="1"/>
  <c r="AS156" i="9"/>
  <c r="U178" i="8" s="1"/>
  <c r="AK156" i="9"/>
  <c r="P178" i="8" s="1"/>
  <c r="AC156" i="9"/>
  <c r="K178" i="8" s="1"/>
  <c r="BA155" i="9"/>
  <c r="Z176" i="8" s="1"/>
  <c r="AS155" i="9"/>
  <c r="U176" i="8" s="1"/>
  <c r="AK155" i="9"/>
  <c r="P176" i="8" s="1"/>
  <c r="AC155" i="9"/>
  <c r="K176" i="8" s="1"/>
  <c r="AC151" i="9"/>
  <c r="K172" i="8" s="1"/>
  <c r="AS139" i="9"/>
  <c r="U141" i="8" s="1"/>
  <c r="AK139" i="9"/>
  <c r="P141" i="8" s="1"/>
  <c r="AC137" i="9"/>
  <c r="K145" i="8" s="1"/>
  <c r="J49" i="6"/>
  <c r="J117" i="5"/>
  <c r="AS188" i="9"/>
  <c r="U188" i="8" s="1"/>
  <c r="AC186" i="9"/>
  <c r="K180" i="8" s="1"/>
  <c r="AS176" i="9"/>
  <c r="U116" i="8" s="1"/>
  <c r="AC168" i="9"/>
  <c r="K78" i="8" s="1"/>
  <c r="AS151" i="9"/>
  <c r="U172" i="8" s="1"/>
  <c r="AK151" i="9"/>
  <c r="P172" i="8" s="1"/>
  <c r="AC139" i="9"/>
  <c r="K141" i="8" s="1"/>
  <c r="AK137" i="9"/>
  <c r="P145" i="8" s="1"/>
  <c r="I27" i="3"/>
  <c r="I28" i="3"/>
  <c r="I24" i="3"/>
  <c r="I29" i="3"/>
  <c r="I30" i="3"/>
  <c r="I33" i="3"/>
  <c r="I32" i="3"/>
  <c r="I21" i="3"/>
  <c r="I22" i="3"/>
  <c r="I23" i="3"/>
  <c r="I25" i="3"/>
  <c r="I26" i="3"/>
  <c r="I31" i="3"/>
  <c r="AC120" i="9"/>
  <c r="K153" i="8" s="1"/>
  <c r="U120" i="9"/>
  <c r="F153" i="8" s="1"/>
  <c r="BA120" i="9"/>
  <c r="Z153" i="8" s="1"/>
  <c r="AK120" i="9"/>
  <c r="P153" i="8" s="1"/>
  <c r="AS120" i="9"/>
  <c r="U153" i="8" s="1"/>
  <c r="AC117" i="9"/>
  <c r="K132" i="8" s="1"/>
  <c r="AK117" i="9"/>
  <c r="P132" i="8" s="1"/>
  <c r="BA117" i="9"/>
  <c r="Z132" i="8" s="1"/>
  <c r="AS117" i="9"/>
  <c r="U132" i="8" s="1"/>
  <c r="I133" i="5"/>
  <c r="J133" i="5" s="1"/>
  <c r="I94" i="6"/>
  <c r="J94" i="6" s="1"/>
  <c r="AC125" i="9"/>
  <c r="K170" i="8" s="1"/>
  <c r="AK125" i="9"/>
  <c r="P170" i="8" s="1"/>
  <c r="AS125" i="9"/>
  <c r="U170" i="8" s="1"/>
  <c r="BA125" i="9"/>
  <c r="Z170" i="8" s="1"/>
  <c r="I91" i="6"/>
  <c r="J91" i="6" s="1"/>
  <c r="I173" i="5"/>
  <c r="J173" i="5" s="1"/>
  <c r="U100" i="9"/>
  <c r="F71" i="8" s="1"/>
  <c r="I53" i="6"/>
  <c r="I73" i="5"/>
  <c r="I199" i="6"/>
  <c r="J199" i="6" s="1"/>
  <c r="I141" i="5"/>
  <c r="J141" i="5" s="1"/>
  <c r="I187" i="5"/>
  <c r="I7" i="6"/>
  <c r="I5" i="6"/>
  <c r="J5" i="6" s="1"/>
  <c r="J33" i="2"/>
  <c r="I150" i="5"/>
  <c r="J150" i="5" s="1"/>
  <c r="J33" i="3"/>
  <c r="L243" i="9"/>
  <c r="I168" i="5"/>
  <c r="J168" i="5" s="1"/>
  <c r="I6" i="6"/>
  <c r="L14" i="9"/>
  <c r="J14" i="3"/>
  <c r="I9" i="5"/>
  <c r="J9" i="5" s="1"/>
  <c r="I20" i="6"/>
  <c r="J20" i="6" s="1"/>
  <c r="J14" i="2"/>
  <c r="AC108" i="9"/>
  <c r="K101" i="8" s="1"/>
  <c r="AK108" i="9"/>
  <c r="P101" i="8" s="1"/>
  <c r="AS108" i="9"/>
  <c r="U101" i="8" s="1"/>
  <c r="BA108" i="9"/>
  <c r="Z101" i="8" s="1"/>
  <c r="I76" i="6"/>
  <c r="J76" i="6" s="1"/>
  <c r="I104" i="5"/>
  <c r="J104" i="5" s="1"/>
  <c r="H187" i="5"/>
  <c r="H7" i="6"/>
  <c r="H6" i="6"/>
  <c r="H168" i="5"/>
  <c r="H5" i="6"/>
  <c r="H150" i="5"/>
  <c r="K150" i="5"/>
  <c r="D26" i="4"/>
  <c r="K186" i="5"/>
  <c r="H186" i="5"/>
  <c r="H8" i="6"/>
  <c r="K8" i="6"/>
  <c r="H145" i="5"/>
  <c r="K145" i="5"/>
  <c r="H100" i="6"/>
  <c r="K100" i="6"/>
  <c r="H69" i="5"/>
  <c r="K69" i="5"/>
  <c r="K17" i="6"/>
  <c r="H17" i="6"/>
  <c r="BA234" i="9"/>
  <c r="Z29" i="8" s="1"/>
  <c r="K25" i="4"/>
  <c r="AS234" i="9"/>
  <c r="U29" i="8" s="1"/>
  <c r="I25" i="4"/>
  <c r="J25" i="4" s="1"/>
  <c r="AK234" i="9"/>
  <c r="P29" i="8" s="1"/>
  <c r="G25" i="4"/>
  <c r="H25" i="4" s="1"/>
  <c r="AC234" i="9"/>
  <c r="K29" i="8" s="1"/>
  <c r="E25" i="4"/>
  <c r="H29" i="5"/>
  <c r="H10" i="6"/>
  <c r="D25" i="4"/>
  <c r="H198" i="5"/>
  <c r="H153" i="6"/>
  <c r="H189" i="5"/>
  <c r="K189" i="5"/>
  <c r="H11" i="6"/>
  <c r="K11" i="6"/>
  <c r="H171" i="5"/>
  <c r="K171" i="5"/>
  <c r="K12" i="6"/>
  <c r="H12" i="6"/>
  <c r="BA228" i="9"/>
  <c r="Z143" i="8" s="1"/>
  <c r="K24" i="4"/>
  <c r="AS228" i="9"/>
  <c r="U143" i="8" s="1"/>
  <c r="I24" i="4"/>
  <c r="J24" i="4" s="1"/>
  <c r="AK228" i="9"/>
  <c r="P143" i="8" s="1"/>
  <c r="G24" i="4"/>
  <c r="H24" i="4" s="1"/>
  <c r="E24" i="4"/>
  <c r="AC228" i="9"/>
  <c r="K143" i="8" s="1"/>
  <c r="H157" i="5"/>
  <c r="D24" i="4"/>
  <c r="H30" i="6"/>
  <c r="BA225" i="9"/>
  <c r="Z179" i="8" s="1"/>
  <c r="K23" i="4"/>
  <c r="AS225" i="9"/>
  <c r="U179" i="8" s="1"/>
  <c r="I23" i="4"/>
  <c r="J23" i="4" s="1"/>
  <c r="AK225" i="9"/>
  <c r="P179" i="8" s="1"/>
  <c r="G23" i="4"/>
  <c r="H23" i="4" s="1"/>
  <c r="AC225" i="9"/>
  <c r="K179" i="8" s="1"/>
  <c r="E23" i="4"/>
  <c r="J181" i="5"/>
  <c r="K181" i="5"/>
  <c r="H181" i="5"/>
  <c r="D23" i="4"/>
  <c r="J18" i="6"/>
  <c r="H18" i="6"/>
  <c r="K18" i="6"/>
  <c r="J102" i="5"/>
  <c r="K102" i="5"/>
  <c r="H102" i="5"/>
  <c r="J125" i="6"/>
  <c r="H125" i="6"/>
  <c r="K125" i="6"/>
  <c r="J53" i="5"/>
  <c r="H53" i="5"/>
  <c r="K53" i="5"/>
  <c r="J34" i="6"/>
  <c r="K34" i="6"/>
  <c r="H34" i="6"/>
  <c r="H77" i="5"/>
  <c r="H19" i="6"/>
  <c r="H33" i="6"/>
  <c r="H58" i="5"/>
  <c r="BA218" i="9"/>
  <c r="Z68" i="8" s="1"/>
  <c r="K22" i="4"/>
  <c r="AS218" i="9"/>
  <c r="U68" i="8" s="1"/>
  <c r="I22" i="4"/>
  <c r="J22" i="4" s="1"/>
  <c r="AK218" i="9"/>
  <c r="P68" i="8" s="1"/>
  <c r="G22" i="4"/>
  <c r="H22" i="4" s="1"/>
  <c r="E22" i="4"/>
  <c r="AC218" i="9"/>
  <c r="K68" i="8" s="1"/>
  <c r="H57" i="5"/>
  <c r="K57" i="5"/>
  <c r="H26" i="6"/>
  <c r="K26" i="6"/>
  <c r="D22" i="4"/>
  <c r="K161" i="5"/>
  <c r="H161" i="5"/>
  <c r="H82" i="6"/>
  <c r="K82" i="6"/>
  <c r="H72" i="6"/>
  <c r="H155" i="5"/>
  <c r="H137" i="6"/>
  <c r="H131" i="5"/>
  <c r="H114" i="5"/>
  <c r="H121" i="6"/>
  <c r="BA211" i="9"/>
  <c r="Z80" i="8" s="1"/>
  <c r="K21" i="4"/>
  <c r="AS211" i="9"/>
  <c r="U80" i="8" s="1"/>
  <c r="I21" i="4"/>
  <c r="J21" i="4" s="1"/>
  <c r="AK211" i="9"/>
  <c r="P80" i="8" s="1"/>
  <c r="G21" i="4"/>
  <c r="H21" i="4" s="1"/>
  <c r="AC211" i="9"/>
  <c r="K80" i="8" s="1"/>
  <c r="E21" i="4"/>
  <c r="H91" i="5"/>
  <c r="K91" i="5"/>
  <c r="D21" i="4"/>
  <c r="H129" i="6"/>
  <c r="K129" i="6"/>
  <c r="H83" i="5"/>
  <c r="H134" i="6"/>
  <c r="BA207" i="9"/>
  <c r="Z46" i="8" s="1"/>
  <c r="K20" i="4"/>
  <c r="AS207" i="9"/>
  <c r="U46" i="8" s="1"/>
  <c r="I20" i="4"/>
  <c r="J20" i="4" s="1"/>
  <c r="AK207" i="9"/>
  <c r="P46" i="8" s="1"/>
  <c r="G20" i="4"/>
  <c r="H20" i="4" s="1"/>
  <c r="AC207" i="9"/>
  <c r="K46" i="8" s="1"/>
  <c r="E20" i="4"/>
  <c r="D20" i="4"/>
  <c r="H44" i="5"/>
  <c r="H127" i="6"/>
  <c r="H77" i="6"/>
  <c r="H180" i="5"/>
  <c r="H138" i="5"/>
  <c r="K138" i="5"/>
  <c r="K200" i="6"/>
  <c r="H200" i="6"/>
  <c r="K201" i="6"/>
  <c r="H201" i="6"/>
  <c r="H124" i="5"/>
  <c r="K124" i="5"/>
  <c r="H187" i="6"/>
  <c r="K187" i="6"/>
  <c r="K119" i="5"/>
  <c r="H119" i="5"/>
  <c r="H164" i="6"/>
  <c r="K164" i="6"/>
  <c r="K100" i="5"/>
  <c r="H100" i="5"/>
  <c r="BA199" i="9"/>
  <c r="Z98" i="8" s="1"/>
  <c r="K19" i="4"/>
  <c r="AS199" i="9"/>
  <c r="U98" i="8" s="1"/>
  <c r="I19" i="4"/>
  <c r="J19" i="4" s="1"/>
  <c r="AK199" i="9"/>
  <c r="P98" i="8" s="1"/>
  <c r="G19" i="4"/>
  <c r="H19" i="4" s="1"/>
  <c r="AC199" i="9"/>
  <c r="K98" i="8" s="1"/>
  <c r="E19" i="4"/>
  <c r="H195" i="6"/>
  <c r="D19" i="4"/>
  <c r="H99" i="5"/>
  <c r="H202" i="5"/>
  <c r="H180" i="6"/>
  <c r="H201" i="5"/>
  <c r="K201" i="5"/>
  <c r="K138" i="6"/>
  <c r="H138" i="6"/>
  <c r="H200" i="5"/>
  <c r="K200" i="5"/>
  <c r="K142" i="6"/>
  <c r="H142" i="6"/>
  <c r="H197" i="5"/>
  <c r="K197" i="5"/>
  <c r="K145" i="6"/>
  <c r="H145" i="6"/>
  <c r="K184" i="6"/>
  <c r="H184" i="6"/>
  <c r="H195" i="5"/>
  <c r="K195" i="5"/>
  <c r="K194" i="5"/>
  <c r="H194" i="5"/>
  <c r="H144" i="6"/>
  <c r="K144" i="6"/>
  <c r="K193" i="5"/>
  <c r="H193" i="5"/>
  <c r="H171" i="6"/>
  <c r="K171" i="6"/>
  <c r="H140" i="6"/>
  <c r="H192" i="5"/>
  <c r="H191" i="5"/>
  <c r="H202" i="6"/>
  <c r="H132" i="6"/>
  <c r="H188" i="5"/>
  <c r="H37" i="6"/>
  <c r="H183" i="5"/>
  <c r="H151" i="6"/>
  <c r="H169" i="5"/>
  <c r="H154" i="5"/>
  <c r="H150" i="6"/>
  <c r="H147" i="6"/>
  <c r="H152" i="5"/>
  <c r="H137" i="5"/>
  <c r="H122" i="6"/>
  <c r="H175" i="6"/>
  <c r="H136" i="5"/>
  <c r="H120" i="6"/>
  <c r="H135" i="5"/>
  <c r="H134" i="5"/>
  <c r="H111" i="6"/>
  <c r="H73" i="6"/>
  <c r="H125" i="5"/>
  <c r="H121" i="5"/>
  <c r="H74" i="6"/>
  <c r="H112" i="6"/>
  <c r="H113" i="5"/>
  <c r="H108" i="5"/>
  <c r="H123" i="6"/>
  <c r="H107" i="5"/>
  <c r="H124" i="6"/>
  <c r="H105" i="5"/>
  <c r="H110" i="6"/>
  <c r="H101" i="5"/>
  <c r="H152" i="6"/>
  <c r="H139" i="6"/>
  <c r="H97" i="5"/>
  <c r="H93" i="5"/>
  <c r="H136" i="6"/>
  <c r="H89" i="5"/>
  <c r="H163" i="6"/>
  <c r="H82" i="5"/>
  <c r="H159" i="6"/>
  <c r="H126" i="6"/>
  <c r="H78" i="5"/>
  <c r="H67" i="5"/>
  <c r="H146" i="6"/>
  <c r="H106" i="6"/>
  <c r="H54" i="5"/>
  <c r="BA164" i="9"/>
  <c r="Z51" i="8" s="1"/>
  <c r="K18" i="4"/>
  <c r="AS164" i="9"/>
  <c r="U51" i="8" s="1"/>
  <c r="I18" i="4"/>
  <c r="J18" i="4" s="1"/>
  <c r="AK164" i="9"/>
  <c r="P51" i="8" s="1"/>
  <c r="G18" i="4"/>
  <c r="H18" i="4" s="1"/>
  <c r="AC164" i="9"/>
  <c r="K51" i="8" s="1"/>
  <c r="E18" i="4"/>
  <c r="H50" i="5"/>
  <c r="D18" i="4"/>
  <c r="H90" i="6"/>
  <c r="H199" i="5"/>
  <c r="H191" i="6"/>
  <c r="H196" i="5"/>
  <c r="H193" i="6"/>
  <c r="H190" i="5"/>
  <c r="H190" i="6"/>
  <c r="H185" i="5"/>
  <c r="H42" i="6"/>
  <c r="H184" i="5"/>
  <c r="H57" i="6"/>
  <c r="H64" i="6"/>
  <c r="H182" i="5"/>
  <c r="H75" i="6"/>
  <c r="H179" i="5"/>
  <c r="H107" i="6"/>
  <c r="H178" i="5"/>
  <c r="H28" i="6"/>
  <c r="H177" i="5"/>
  <c r="H80" i="6"/>
  <c r="H176" i="5"/>
  <c r="H175" i="5"/>
  <c r="H85" i="6"/>
  <c r="H47" i="6"/>
  <c r="H174" i="5"/>
  <c r="H172" i="5"/>
  <c r="H71" i="6"/>
  <c r="H170" i="5"/>
  <c r="K170" i="5"/>
  <c r="H59" i="6"/>
  <c r="K59" i="6"/>
  <c r="H167" i="5"/>
  <c r="H60" i="6"/>
  <c r="H32" i="6"/>
  <c r="H164" i="5"/>
  <c r="H163" i="5"/>
  <c r="H48" i="6"/>
  <c r="H159" i="5"/>
  <c r="H109" i="6"/>
  <c r="H153" i="5"/>
  <c r="H36" i="6"/>
  <c r="H151" i="5"/>
  <c r="H79" i="6"/>
  <c r="H149" i="5"/>
  <c r="H135" i="6"/>
  <c r="H148" i="5"/>
  <c r="H131" i="6"/>
  <c r="H144" i="5"/>
  <c r="H89" i="6"/>
  <c r="H61" i="6"/>
  <c r="H143" i="5"/>
  <c r="H142" i="5"/>
  <c r="H29" i="6"/>
  <c r="H141" i="5"/>
  <c r="H199" i="6"/>
  <c r="H140" i="5"/>
  <c r="H31" i="6"/>
  <c r="K49" i="6"/>
  <c r="H49" i="6"/>
  <c r="H132" i="5"/>
  <c r="K132" i="5"/>
  <c r="H128" i="5"/>
  <c r="H52" i="6"/>
  <c r="H127" i="5"/>
  <c r="H35" i="6"/>
  <c r="K117" i="5"/>
  <c r="H117" i="5"/>
  <c r="K65" i="6"/>
  <c r="H65" i="6"/>
  <c r="H92" i="6"/>
  <c r="H95" i="5"/>
  <c r="H92" i="5"/>
  <c r="H78" i="6"/>
  <c r="BA128" i="9"/>
  <c r="Z76" i="8" s="1"/>
  <c r="K17" i="4"/>
  <c r="AS128" i="9"/>
  <c r="U76" i="8" s="1"/>
  <c r="I17" i="4"/>
  <c r="J17" i="4" s="1"/>
  <c r="AK128" i="9"/>
  <c r="P76" i="8" s="1"/>
  <c r="G17" i="4"/>
  <c r="H17" i="4" s="1"/>
  <c r="AC128" i="9"/>
  <c r="K76" i="8" s="1"/>
  <c r="E17" i="4"/>
  <c r="D17" i="4"/>
  <c r="H81" i="5"/>
  <c r="H194" i="6"/>
  <c r="H173" i="5"/>
  <c r="H91" i="6"/>
  <c r="K91" i="6"/>
  <c r="H67" i="6"/>
  <c r="H166" i="5"/>
  <c r="H96" i="6"/>
  <c r="H165" i="5"/>
  <c r="H162" i="5"/>
  <c r="H95" i="6"/>
  <c r="H98" i="6"/>
  <c r="H160" i="5"/>
  <c r="H158" i="5"/>
  <c r="H24" i="6"/>
  <c r="K147" i="5"/>
  <c r="H147" i="5"/>
  <c r="K93" i="6"/>
  <c r="H93" i="6"/>
  <c r="H81" i="6"/>
  <c r="K81" i="6"/>
  <c r="K139" i="5"/>
  <c r="H139" i="5"/>
  <c r="H133" i="5"/>
  <c r="H94" i="6"/>
  <c r="H87" i="6"/>
  <c r="H130" i="5"/>
  <c r="H179" i="6"/>
  <c r="H129" i="5"/>
  <c r="H123" i="5"/>
  <c r="H198" i="6"/>
  <c r="H122" i="5"/>
  <c r="H69" i="6"/>
  <c r="H118" i="5"/>
  <c r="H154" i="6"/>
  <c r="H116" i="5"/>
  <c r="H54" i="6"/>
  <c r="H110" i="5"/>
  <c r="H176" i="6"/>
  <c r="H109" i="5"/>
  <c r="H23" i="6"/>
  <c r="K104" i="5"/>
  <c r="H104" i="5"/>
  <c r="H76" i="6"/>
  <c r="H177" i="6"/>
  <c r="H103" i="5"/>
  <c r="H173" i="6"/>
  <c r="H98" i="5"/>
  <c r="H90" i="5"/>
  <c r="H183" i="6"/>
  <c r="H88" i="5"/>
  <c r="H46" i="6"/>
  <c r="H174" i="6"/>
  <c r="H87" i="5"/>
  <c r="H79" i="5"/>
  <c r="H41" i="6"/>
  <c r="H45" i="6"/>
  <c r="H75" i="5"/>
  <c r="H40" i="6"/>
  <c r="H71" i="5"/>
  <c r="H50" i="6"/>
  <c r="H70" i="5"/>
  <c r="H51" i="5"/>
  <c r="H169" i="6"/>
  <c r="H35" i="5"/>
  <c r="K35" i="5"/>
  <c r="K38" i="6"/>
  <c r="H38" i="6"/>
  <c r="H33" i="5"/>
  <c r="K33" i="5"/>
  <c r="H43" i="6"/>
  <c r="K43" i="6"/>
  <c r="H39" i="6"/>
  <c r="K39" i="6"/>
  <c r="K24" i="5"/>
  <c r="H24" i="5"/>
  <c r="BA93" i="9"/>
  <c r="Z21" i="8" s="1"/>
  <c r="K16" i="4"/>
  <c r="I16" i="4"/>
  <c r="J16" i="4" s="1"/>
  <c r="AS93" i="9"/>
  <c r="U21" i="8" s="1"/>
  <c r="AK93" i="9"/>
  <c r="P21" i="8" s="1"/>
  <c r="G16" i="4"/>
  <c r="H16" i="4" s="1"/>
  <c r="AC93" i="9"/>
  <c r="K21" i="8" s="1"/>
  <c r="E16" i="4"/>
  <c r="D16" i="4"/>
  <c r="H21" i="5"/>
  <c r="K21" i="5"/>
  <c r="K44" i="6"/>
  <c r="H44" i="6"/>
  <c r="K170" i="6"/>
  <c r="H170" i="6"/>
  <c r="H146" i="5"/>
  <c r="K146" i="5"/>
  <c r="H192" i="6"/>
  <c r="H120" i="5"/>
  <c r="H188" i="6"/>
  <c r="K188" i="6"/>
  <c r="K115" i="5"/>
  <c r="H115" i="5"/>
  <c r="K167" i="6"/>
  <c r="H167" i="6"/>
  <c r="H111" i="5"/>
  <c r="K111" i="5"/>
  <c r="H96" i="5"/>
  <c r="H156" i="6"/>
  <c r="H128" i="6"/>
  <c r="K128" i="6"/>
  <c r="H84" i="5"/>
  <c r="K84" i="5"/>
  <c r="H196" i="6"/>
  <c r="K196" i="6"/>
  <c r="K80" i="5"/>
  <c r="H80" i="5"/>
  <c r="H197" i="6"/>
  <c r="H76" i="5"/>
  <c r="H105" i="6"/>
  <c r="H60" i="5"/>
  <c r="H47" i="5"/>
  <c r="H165" i="6"/>
  <c r="H40" i="5"/>
  <c r="H168" i="6"/>
  <c r="H38" i="5"/>
  <c r="K38" i="5"/>
  <c r="H189" i="6"/>
  <c r="K189" i="6"/>
  <c r="H34" i="5"/>
  <c r="K34" i="5"/>
  <c r="K148" i="6"/>
  <c r="H148" i="6"/>
  <c r="H149" i="6"/>
  <c r="K149" i="6"/>
  <c r="K31" i="5"/>
  <c r="H31" i="5"/>
  <c r="H15" i="5"/>
  <c r="H186" i="6"/>
  <c r="BA75" i="9"/>
  <c r="Z15" i="8" s="1"/>
  <c r="K15" i="4"/>
  <c r="AS75" i="9"/>
  <c r="U15" i="8" s="1"/>
  <c r="I15" i="4"/>
  <c r="J15" i="4" s="1"/>
  <c r="AK75" i="9"/>
  <c r="P15" i="8" s="1"/>
  <c r="G15" i="4"/>
  <c r="H15" i="4" s="1"/>
  <c r="E15" i="4"/>
  <c r="AC75" i="9"/>
  <c r="K15" i="8" s="1"/>
  <c r="H14" i="5"/>
  <c r="D15" i="4"/>
  <c r="H130" i="6"/>
  <c r="H181" i="6"/>
  <c r="H22" i="5"/>
  <c r="H16" i="5"/>
  <c r="K16" i="5"/>
  <c r="K182" i="6"/>
  <c r="H182" i="6"/>
  <c r="H185" i="6"/>
  <c r="H7" i="5"/>
  <c r="K14" i="4"/>
  <c r="BA69" i="9"/>
  <c r="Z6" i="8" s="1"/>
  <c r="AS69" i="9"/>
  <c r="U6" i="8" s="1"/>
  <c r="I14" i="4"/>
  <c r="J14" i="4" s="1"/>
  <c r="G14" i="4"/>
  <c r="H14" i="4" s="1"/>
  <c r="AK69" i="9"/>
  <c r="P6" i="8" s="1"/>
  <c r="E14" i="4"/>
  <c r="AC69" i="9"/>
  <c r="K6" i="8" s="1"/>
  <c r="H5" i="5"/>
  <c r="H162" i="6"/>
  <c r="D14" i="4"/>
  <c r="K106" i="5"/>
  <c r="H106" i="5"/>
  <c r="H51" i="6"/>
  <c r="K51" i="6"/>
  <c r="H94" i="5"/>
  <c r="H155" i="6"/>
  <c r="H86" i="5"/>
  <c r="H62" i="6"/>
  <c r="H85" i="5"/>
  <c r="H141" i="6"/>
  <c r="H99" i="6"/>
  <c r="H74" i="5"/>
  <c r="H83" i="6"/>
  <c r="H66" i="5"/>
  <c r="H65" i="5"/>
  <c r="H133" i="6"/>
  <c r="H161" i="6"/>
  <c r="H64" i="5"/>
  <c r="H86" i="6"/>
  <c r="H62" i="5"/>
  <c r="H56" i="5"/>
  <c r="H118" i="6"/>
  <c r="H52" i="5"/>
  <c r="H66" i="6"/>
  <c r="H178" i="6"/>
  <c r="H48" i="5"/>
  <c r="H45" i="5"/>
  <c r="H166" i="6"/>
  <c r="H36" i="5"/>
  <c r="H27" i="6"/>
  <c r="H30" i="5"/>
  <c r="H56" i="6"/>
  <c r="H27" i="5"/>
  <c r="H55" i="6"/>
  <c r="BA50" i="9"/>
  <c r="Z16" i="8" s="1"/>
  <c r="K13" i="4"/>
  <c r="AS50" i="9"/>
  <c r="U16" i="8" s="1"/>
  <c r="I13" i="4"/>
  <c r="J13" i="4" s="1"/>
  <c r="AK50" i="9"/>
  <c r="P16" i="8" s="1"/>
  <c r="G13" i="4"/>
  <c r="H13" i="4" s="1"/>
  <c r="AC50" i="9"/>
  <c r="K16" i="8" s="1"/>
  <c r="E13" i="4"/>
  <c r="H19" i="5"/>
  <c r="D13" i="4"/>
  <c r="H58" i="6"/>
  <c r="K12" i="4"/>
  <c r="BA47" i="9"/>
  <c r="Z54" i="8" s="1"/>
  <c r="AS47" i="9"/>
  <c r="U54" i="8" s="1"/>
  <c r="I12" i="4"/>
  <c r="J12" i="4" s="1"/>
  <c r="AK47" i="9"/>
  <c r="P54" i="8" s="1"/>
  <c r="G12" i="4"/>
  <c r="H12" i="4" s="1"/>
  <c r="E12" i="4"/>
  <c r="AC47" i="9"/>
  <c r="K54" i="8" s="1"/>
  <c r="D12" i="4"/>
  <c r="H143" i="6"/>
  <c r="H59" i="5"/>
  <c r="BA44" i="9"/>
  <c r="Z56" i="8" s="1"/>
  <c r="K11" i="4"/>
  <c r="AS44" i="9"/>
  <c r="U56" i="8" s="1"/>
  <c r="I11" i="4"/>
  <c r="J11" i="4" s="1"/>
  <c r="AK44" i="9"/>
  <c r="P56" i="8" s="1"/>
  <c r="G11" i="4"/>
  <c r="H11" i="4" s="1"/>
  <c r="AC44" i="9"/>
  <c r="K56" i="8" s="1"/>
  <c r="E11" i="4"/>
  <c r="D11" i="4"/>
  <c r="H61" i="5"/>
  <c r="H88" i="6"/>
  <c r="H84" i="6"/>
  <c r="H126" i="5"/>
  <c r="H172" i="6"/>
  <c r="H112" i="5"/>
  <c r="K101" i="6"/>
  <c r="H101" i="6"/>
  <c r="K72" i="5"/>
  <c r="H72" i="5"/>
  <c r="H68" i="5"/>
  <c r="K68" i="5"/>
  <c r="K97" i="6"/>
  <c r="H97" i="6"/>
  <c r="H102" i="6"/>
  <c r="H55" i="5"/>
  <c r="H49" i="5"/>
  <c r="H114" i="6"/>
  <c r="H46" i="5"/>
  <c r="H157" i="6"/>
  <c r="H41" i="5"/>
  <c r="H115" i="6"/>
  <c r="H39" i="5"/>
  <c r="H104" i="6"/>
  <c r="H158" i="6"/>
  <c r="H37" i="5"/>
  <c r="H26" i="5"/>
  <c r="H113" i="6"/>
  <c r="K10" i="4"/>
  <c r="BA30" i="9"/>
  <c r="Z23" i="8" s="1"/>
  <c r="AS30" i="9"/>
  <c r="U23" i="8" s="1"/>
  <c r="I10" i="4"/>
  <c r="J10" i="4" s="1"/>
  <c r="AK30" i="9"/>
  <c r="P23" i="8" s="1"/>
  <c r="G10" i="4"/>
  <c r="H10" i="4" s="1"/>
  <c r="E10" i="4"/>
  <c r="AC30" i="9"/>
  <c r="K23" i="8" s="1"/>
  <c r="H160" i="6"/>
  <c r="H25" i="5"/>
  <c r="D10" i="4"/>
  <c r="H116" i="6"/>
  <c r="H42" i="5"/>
  <c r="H32" i="5"/>
  <c r="H68" i="6"/>
  <c r="H17" i="5"/>
  <c r="H22" i="6"/>
  <c r="H12" i="5"/>
  <c r="K12" i="5"/>
  <c r="H119" i="6"/>
  <c r="K119" i="6"/>
  <c r="H11" i="5"/>
  <c r="H117" i="6"/>
  <c r="H8" i="5"/>
  <c r="H63" i="6"/>
  <c r="BA21" i="9"/>
  <c r="Z7" i="8" s="1"/>
  <c r="K9" i="4"/>
  <c r="AS21" i="9"/>
  <c r="U7" i="8" s="1"/>
  <c r="I9" i="4"/>
  <c r="J9" i="4" s="1"/>
  <c r="AK21" i="9"/>
  <c r="P7" i="8" s="1"/>
  <c r="G9" i="4"/>
  <c r="H9" i="4" s="1"/>
  <c r="AC21" i="9"/>
  <c r="K7" i="8" s="1"/>
  <c r="E9" i="4"/>
  <c r="H70" i="6"/>
  <c r="D9" i="4"/>
  <c r="H6" i="5"/>
  <c r="K108" i="6"/>
  <c r="H108" i="6"/>
  <c r="H156" i="5"/>
  <c r="K156" i="5"/>
  <c r="H103" i="6"/>
  <c r="H43" i="5"/>
  <c r="BA16" i="9"/>
  <c r="Z22" i="8" s="1"/>
  <c r="K8" i="4"/>
  <c r="AS16" i="9"/>
  <c r="U22" i="8" s="1"/>
  <c r="I8" i="4"/>
  <c r="J8" i="4" s="1"/>
  <c r="AK16" i="9"/>
  <c r="P22" i="8" s="1"/>
  <c r="G8" i="4"/>
  <c r="H8" i="4" s="1"/>
  <c r="AC16" i="9"/>
  <c r="K22" i="8" s="1"/>
  <c r="E8" i="4"/>
  <c r="D8" i="4"/>
  <c r="H23" i="5"/>
  <c r="K23" i="5"/>
  <c r="H25" i="6"/>
  <c r="K25" i="6"/>
  <c r="H16" i="6"/>
  <c r="K16" i="6"/>
  <c r="K63" i="5"/>
  <c r="H63" i="5"/>
  <c r="H28" i="5"/>
  <c r="K28" i="5"/>
  <c r="H9" i="6"/>
  <c r="K9" i="6"/>
  <c r="H20" i="5"/>
  <c r="H21" i="6"/>
  <c r="H18" i="5"/>
  <c r="H15" i="6"/>
  <c r="H13" i="6"/>
  <c r="H13" i="5"/>
  <c r="H14" i="6"/>
  <c r="H10" i="5"/>
  <c r="F42" i="7"/>
  <c r="AZ4" i="9"/>
  <c r="K7" i="4"/>
  <c r="BA7" i="9"/>
  <c r="Z8" i="8" s="1"/>
  <c r="E42" i="7"/>
  <c r="AS7" i="9"/>
  <c r="U8" i="8" s="1"/>
  <c r="AR4" i="9"/>
  <c r="I7" i="4"/>
  <c r="D42" i="7"/>
  <c r="AJ4" i="9"/>
  <c r="AK7" i="9"/>
  <c r="P8" i="8" s="1"/>
  <c r="G7" i="4"/>
  <c r="C42" i="7"/>
  <c r="AB4" i="9"/>
  <c r="AC7" i="9"/>
  <c r="K8" i="8" s="1"/>
  <c r="E7" i="4"/>
  <c r="D7" i="4"/>
  <c r="C27" i="4"/>
  <c r="H73" i="5"/>
  <c r="H53" i="6"/>
  <c r="H9" i="5"/>
  <c r="K20" i="6"/>
  <c r="H20" i="6"/>
  <c r="E4" i="3"/>
  <c r="E6" i="3" s="1"/>
  <c r="E7" i="3" s="1"/>
  <c r="J4" i="3"/>
  <c r="I34" i="3"/>
  <c r="C5" i="3"/>
  <c r="E9" i="3" s="1"/>
  <c r="D9" i="3"/>
  <c r="D4" i="3"/>
  <c r="D6" i="3" s="1"/>
  <c r="D7" i="3" s="1"/>
  <c r="H4" i="3"/>
  <c r="E16" i="3"/>
  <c r="E23" i="3"/>
  <c r="E29" i="3"/>
  <c r="E21" i="3"/>
  <c r="E24" i="3"/>
  <c r="E25" i="3"/>
  <c r="E26" i="3"/>
  <c r="E30" i="3"/>
  <c r="E32" i="3"/>
  <c r="E31" i="3"/>
  <c r="E33" i="3"/>
  <c r="E15" i="3"/>
  <c r="E17" i="3"/>
  <c r="E18" i="3"/>
  <c r="E19" i="3"/>
  <c r="E20" i="3"/>
  <c r="E22" i="3"/>
  <c r="E28" i="3"/>
  <c r="E27" i="3"/>
  <c r="E34" i="3"/>
  <c r="C8" i="3"/>
  <c r="E4" i="2"/>
  <c r="E6" i="2" s="1"/>
  <c r="E7" i="2" s="1"/>
  <c r="J4" i="2"/>
  <c r="I34" i="2"/>
  <c r="C5" i="2"/>
  <c r="E9" i="2" s="1"/>
  <c r="D4" i="2"/>
  <c r="D6" i="2" s="1"/>
  <c r="D7" i="2" s="1"/>
  <c r="H4" i="2"/>
  <c r="D9" i="2"/>
  <c r="E21" i="2"/>
  <c r="E22" i="2"/>
  <c r="E31" i="2"/>
  <c r="E27" i="2"/>
  <c r="E23" i="2"/>
  <c r="E30" i="2"/>
  <c r="E16" i="2"/>
  <c r="E18" i="2"/>
  <c r="E25" i="2"/>
  <c r="E26" i="2"/>
  <c r="E33" i="2"/>
  <c r="E17" i="2"/>
  <c r="E32" i="2"/>
  <c r="E15" i="2"/>
  <c r="E19" i="2"/>
  <c r="E20" i="2"/>
  <c r="E24" i="2"/>
  <c r="E28" i="2"/>
  <c r="E29" i="2"/>
  <c r="E34" i="2"/>
  <c r="C8" i="2"/>
  <c r="I75" i="6"/>
  <c r="I179" i="5"/>
  <c r="I64" i="6"/>
  <c r="I182" i="5"/>
  <c r="I84" i="6"/>
  <c r="I126" i="5"/>
  <c r="I35" i="6"/>
  <c r="I127" i="5"/>
  <c r="I37" i="6"/>
  <c r="I183" i="5"/>
  <c r="I180" i="6"/>
  <c r="I202" i="5"/>
  <c r="I60" i="5"/>
  <c r="I105" i="6"/>
  <c r="J18" i="3"/>
  <c r="I88" i="6"/>
  <c r="I61" i="5"/>
  <c r="J18" i="2"/>
  <c r="L45" i="9"/>
  <c r="I181" i="6"/>
  <c r="I22" i="5"/>
  <c r="L238" i="9"/>
  <c r="I10" i="6"/>
  <c r="I29" i="5"/>
  <c r="J32" i="2"/>
  <c r="J32" i="3"/>
  <c r="I69" i="6"/>
  <c r="I122" i="5"/>
  <c r="I29" i="6"/>
  <c r="I142" i="5"/>
  <c r="I140" i="6"/>
  <c r="I192" i="5"/>
  <c r="I112" i="6"/>
  <c r="I113" i="5"/>
  <c r="J27" i="2"/>
  <c r="I127" i="6"/>
  <c r="I44" i="5"/>
  <c r="L209" i="9"/>
  <c r="J27" i="3"/>
  <c r="I33" i="6"/>
  <c r="I58" i="5"/>
  <c r="I56" i="6"/>
  <c r="I30" i="5"/>
  <c r="I113" i="6"/>
  <c r="I26" i="5"/>
  <c r="I114" i="6"/>
  <c r="I49" i="5"/>
  <c r="I195" i="6"/>
  <c r="J26" i="2"/>
  <c r="I99" i="5"/>
  <c r="L205" i="9"/>
  <c r="J26" i="3"/>
  <c r="I77" i="6"/>
  <c r="I180" i="5"/>
  <c r="I89" i="6"/>
  <c r="I144" i="5"/>
  <c r="I8" i="5"/>
  <c r="I63" i="6"/>
  <c r="I165" i="6"/>
  <c r="I47" i="5"/>
  <c r="I184" i="5"/>
  <c r="I57" i="6"/>
  <c r="I175" i="5"/>
  <c r="I85" i="6"/>
  <c r="I82" i="5"/>
  <c r="I159" i="6"/>
  <c r="I67" i="6"/>
  <c r="I166" i="5"/>
  <c r="I15" i="6"/>
  <c r="I18" i="5"/>
  <c r="I202" i="6"/>
  <c r="I191" i="5"/>
  <c r="I178" i="6"/>
  <c r="I48" i="5"/>
  <c r="I155" i="6"/>
  <c r="I94" i="5"/>
  <c r="I197" i="6"/>
  <c r="I76" i="5"/>
  <c r="I160" i="6"/>
  <c r="I25" i="5"/>
  <c r="J17" i="3"/>
  <c r="J17" i="2"/>
  <c r="L42" i="9"/>
  <c r="I116" i="6"/>
  <c r="I42" i="5"/>
  <c r="I148" i="5"/>
  <c r="I131" i="6"/>
  <c r="I28" i="6"/>
  <c r="I177" i="5"/>
  <c r="I96" i="6"/>
  <c r="I165" i="5"/>
  <c r="I86" i="5"/>
  <c r="I62" i="6"/>
  <c r="I54" i="5"/>
  <c r="I106" i="6"/>
  <c r="I163" i="6"/>
  <c r="I89" i="5"/>
  <c r="I97" i="5"/>
  <c r="I139" i="6"/>
  <c r="I123" i="6"/>
  <c r="I108" i="5"/>
  <c r="I107" i="5"/>
  <c r="I124" i="6"/>
  <c r="I111" i="6"/>
  <c r="I134" i="5"/>
  <c r="I30" i="6"/>
  <c r="J31" i="3"/>
  <c r="J31" i="2"/>
  <c r="I157" i="5"/>
  <c r="L232" i="9"/>
  <c r="I19" i="6"/>
  <c r="I77" i="5"/>
  <c r="L67" i="9"/>
  <c r="J20" i="3"/>
  <c r="I58" i="6"/>
  <c r="I19" i="5"/>
  <c r="J20" i="2"/>
  <c r="I55" i="6"/>
  <c r="I27" i="5"/>
  <c r="AC51" i="9"/>
  <c r="K26" i="8" s="1"/>
  <c r="I6" i="5"/>
  <c r="J16" i="3"/>
  <c r="L28" i="9"/>
  <c r="I70" i="6"/>
  <c r="J16" i="2"/>
  <c r="I103" i="6"/>
  <c r="I43" i="5"/>
  <c r="I154" i="6"/>
  <c r="I118" i="5"/>
  <c r="I198" i="6"/>
  <c r="I123" i="5"/>
  <c r="I156" i="6"/>
  <c r="I96" i="5"/>
  <c r="I130" i="6"/>
  <c r="I14" i="5"/>
  <c r="J22" i="3"/>
  <c r="J22" i="2"/>
  <c r="L91" i="9"/>
  <c r="I128" i="5"/>
  <c r="I52" i="6"/>
  <c r="I7" i="5"/>
  <c r="I185" i="6"/>
  <c r="I163" i="5"/>
  <c r="I48" i="6"/>
  <c r="I31" i="6"/>
  <c r="I140" i="5"/>
  <c r="I60" i="6"/>
  <c r="I167" i="5"/>
  <c r="I14" i="6"/>
  <c r="I10" i="5"/>
  <c r="I121" i="6"/>
  <c r="I114" i="5"/>
  <c r="I72" i="6"/>
  <c r="I155" i="5"/>
  <c r="I66" i="5"/>
  <c r="I83" i="6"/>
  <c r="I141" i="6"/>
  <c r="I85" i="5"/>
  <c r="I146" i="6"/>
  <c r="I67" i="5"/>
  <c r="I147" i="6"/>
  <c r="I152" i="5"/>
  <c r="I50" i="5"/>
  <c r="L197" i="9"/>
  <c r="J25" i="2"/>
  <c r="I90" i="6"/>
  <c r="J25" i="3"/>
  <c r="I134" i="6"/>
  <c r="I83" i="5"/>
  <c r="I153" i="6"/>
  <c r="I198" i="5"/>
  <c r="I137" i="6"/>
  <c r="I131" i="5"/>
  <c r="J21" i="3"/>
  <c r="I162" i="6"/>
  <c r="L73" i="9"/>
  <c r="I5" i="5"/>
  <c r="J21" i="2"/>
  <c r="I36" i="5"/>
  <c r="I27" i="6"/>
  <c r="I36" i="6"/>
  <c r="I153" i="5"/>
  <c r="I109" i="6"/>
  <c r="I159" i="5"/>
  <c r="I107" i="6"/>
  <c r="I178" i="5"/>
  <c r="I132" i="6"/>
  <c r="I188" i="5"/>
  <c r="I149" i="5"/>
  <c r="I135" i="6"/>
  <c r="I95" i="6"/>
  <c r="I162" i="5"/>
  <c r="I78" i="5"/>
  <c r="I126" i="6"/>
  <c r="I46" i="6"/>
  <c r="I88" i="5"/>
  <c r="I79" i="5"/>
  <c r="I41" i="6"/>
  <c r="I152" i="6"/>
  <c r="I101" i="5"/>
  <c r="I125" i="5"/>
  <c r="I73" i="6"/>
  <c r="I150" i="6"/>
  <c r="I154" i="5"/>
  <c r="I120" i="6"/>
  <c r="I135" i="5"/>
  <c r="I74" i="6"/>
  <c r="I121" i="5"/>
  <c r="I169" i="5"/>
  <c r="I151" i="6"/>
  <c r="I122" i="6"/>
  <c r="I137" i="5"/>
  <c r="I136" i="6"/>
  <c r="I93" i="5"/>
  <c r="I105" i="5"/>
  <c r="I110" i="6"/>
  <c r="I164" i="5"/>
  <c r="I32" i="6"/>
  <c r="I24" i="6"/>
  <c r="I158" i="5"/>
  <c r="I50" i="6"/>
  <c r="I70" i="5"/>
  <c r="L162" i="9"/>
  <c r="J24" i="3"/>
  <c r="I194" i="6"/>
  <c r="I81" i="5"/>
  <c r="J24" i="2"/>
  <c r="I71" i="6"/>
  <c r="I172" i="5"/>
  <c r="I78" i="6"/>
  <c r="I92" i="5"/>
  <c r="I79" i="6"/>
  <c r="I151" i="5"/>
  <c r="I95" i="5"/>
  <c r="I92" i="6"/>
  <c r="I55" i="5"/>
  <c r="I102" i="6"/>
  <c r="I103" i="5"/>
  <c r="I177" i="6"/>
  <c r="I87" i="5"/>
  <c r="I174" i="6"/>
  <c r="I183" i="6"/>
  <c r="I90" i="5"/>
  <c r="I179" i="6"/>
  <c r="I129" i="5"/>
  <c r="I110" i="5"/>
  <c r="I176" i="6"/>
  <c r="I109" i="5"/>
  <c r="I23" i="6"/>
  <c r="I32" i="5"/>
  <c r="I68" i="6"/>
  <c r="I115" i="6"/>
  <c r="I41" i="5"/>
  <c r="I168" i="6"/>
  <c r="I40" i="5"/>
  <c r="I186" i="6"/>
  <c r="I15" i="5"/>
  <c r="I116" i="5"/>
  <c r="I54" i="6"/>
  <c r="I42" i="6"/>
  <c r="I185" i="5"/>
  <c r="I39" i="5"/>
  <c r="I104" i="6"/>
  <c r="I157" i="6"/>
  <c r="I46" i="5"/>
  <c r="I158" i="6"/>
  <c r="I37" i="5"/>
  <c r="I112" i="5"/>
  <c r="I172" i="6"/>
  <c r="I21" i="6"/>
  <c r="I20" i="5"/>
  <c r="I174" i="5"/>
  <c r="I47" i="6"/>
  <c r="I176" i="5"/>
  <c r="I80" i="6"/>
  <c r="I143" i="5"/>
  <c r="I61" i="6"/>
  <c r="I59" i="5"/>
  <c r="L48" i="9"/>
  <c r="J19" i="2"/>
  <c r="J19" i="3"/>
  <c r="I143" i="6"/>
  <c r="I87" i="6"/>
  <c r="I130" i="5"/>
  <c r="I117" i="6"/>
  <c r="I11" i="5"/>
  <c r="I98" i="6"/>
  <c r="I160" i="5"/>
  <c r="I75" i="5"/>
  <c r="I45" i="6"/>
  <c r="I40" i="6"/>
  <c r="I71" i="5"/>
  <c r="I175" i="6"/>
  <c r="I136" i="5"/>
  <c r="I51" i="5"/>
  <c r="I169" i="6"/>
  <c r="I98" i="5"/>
  <c r="I173" i="6"/>
  <c r="I22" i="6"/>
  <c r="I17" i="5"/>
  <c r="I13" i="6"/>
  <c r="I13" i="5"/>
  <c r="I193" i="6"/>
  <c r="I196" i="5"/>
  <c r="I191" i="6"/>
  <c r="I199" i="5"/>
  <c r="I190" i="5"/>
  <c r="I190" i="6"/>
  <c r="I45" i="5"/>
  <c r="I166" i="6"/>
  <c r="I66" i="6"/>
  <c r="I52" i="5"/>
  <c r="I86" i="6"/>
  <c r="I62" i="5"/>
  <c r="I74" i="5"/>
  <c r="I99" i="6"/>
  <c r="I56" i="5"/>
  <c r="I118" i="6"/>
  <c r="I65" i="5"/>
  <c r="I133" i="6"/>
  <c r="I161" i="6"/>
  <c r="I64" i="5"/>
  <c r="I192" i="6"/>
  <c r="I120" i="5"/>
  <c r="K26" i="4"/>
  <c r="BA240" i="9"/>
  <c r="Z148" i="8" s="1"/>
  <c r="I26" i="4"/>
  <c r="J26" i="4" s="1"/>
  <c r="AS240" i="9"/>
  <c r="U148" i="8" s="1"/>
  <c r="AK240" i="9"/>
  <c r="P148" i="8" s="1"/>
  <c r="G26" i="4"/>
  <c r="H26" i="4" s="1"/>
  <c r="E26" i="4"/>
  <c r="AC240" i="9"/>
  <c r="K148" i="8" s="1"/>
  <c r="BA135" i="9"/>
  <c r="Z137" i="8" s="1"/>
  <c r="AS135" i="9"/>
  <c r="U137" i="8" s="1"/>
  <c r="AK135" i="9"/>
  <c r="P137" i="8" s="1"/>
  <c r="AC135" i="9"/>
  <c r="K137" i="8" s="1"/>
  <c r="BA133" i="9"/>
  <c r="Z130" i="8" s="1"/>
  <c r="AS133" i="9"/>
  <c r="U130" i="8" s="1"/>
  <c r="AK133" i="9"/>
  <c r="P130" i="8" s="1"/>
  <c r="AC133" i="9"/>
  <c r="K130" i="8" s="1"/>
  <c r="BA132" i="9"/>
  <c r="Z129" i="8" s="1"/>
  <c r="AS132" i="9"/>
  <c r="U129" i="8" s="1"/>
  <c r="AK132" i="9"/>
  <c r="P129" i="8" s="1"/>
  <c r="AC132" i="9"/>
  <c r="K129" i="8" s="1"/>
  <c r="BA124" i="9"/>
  <c r="Z163" i="8" s="1"/>
  <c r="AS124" i="9"/>
  <c r="U163" i="8" s="1"/>
  <c r="AK124" i="9"/>
  <c r="P163" i="8" s="1"/>
  <c r="AC124" i="9"/>
  <c r="K163" i="8" s="1"/>
  <c r="BA123" i="9"/>
  <c r="Z162" i="8" s="1"/>
  <c r="AS123" i="9"/>
  <c r="U162" i="8" s="1"/>
  <c r="AK123" i="9"/>
  <c r="P162" i="8" s="1"/>
  <c r="AC123" i="9"/>
  <c r="K162" i="8" s="1"/>
  <c r="BA114" i="9"/>
  <c r="Z102" i="8" s="1"/>
  <c r="AS114" i="9"/>
  <c r="U102" i="8" s="1"/>
  <c r="AK114" i="9"/>
  <c r="P102" i="8" s="1"/>
  <c r="AC114" i="9"/>
  <c r="K102" i="8" s="1"/>
  <c r="BA113" i="9"/>
  <c r="Z115" i="8" s="1"/>
  <c r="AS113" i="9"/>
  <c r="U115" i="8" s="1"/>
  <c r="AK113" i="9"/>
  <c r="P115" i="8" s="1"/>
  <c r="AC113" i="9"/>
  <c r="K115" i="8" s="1"/>
  <c r="BA112" i="9"/>
  <c r="Z117" i="8" s="1"/>
  <c r="AS112" i="9"/>
  <c r="U117" i="8" s="1"/>
  <c r="AK112" i="9"/>
  <c r="P117" i="8" s="1"/>
  <c r="AC112" i="9"/>
  <c r="K117" i="8" s="1"/>
  <c r="BA100" i="9"/>
  <c r="Z71" i="8" s="1"/>
  <c r="AS100" i="9"/>
  <c r="U71" i="8" s="1"/>
  <c r="AK100" i="9"/>
  <c r="P71" i="8" s="1"/>
  <c r="AC100" i="9"/>
  <c r="K71" i="8" s="1"/>
  <c r="BA86" i="9"/>
  <c r="Z96" i="8" s="1"/>
  <c r="AS86" i="9"/>
  <c r="U96" i="8" s="1"/>
  <c r="AK86" i="9"/>
  <c r="P96" i="8" s="1"/>
  <c r="AC86" i="9"/>
  <c r="K96" i="8" s="1"/>
  <c r="BA83" i="9"/>
  <c r="Z81" i="8" s="1"/>
  <c r="AS83" i="9"/>
  <c r="U81" i="8" s="1"/>
  <c r="AK83" i="9"/>
  <c r="P81" i="8" s="1"/>
  <c r="AC83" i="9"/>
  <c r="K81" i="8" s="1"/>
  <c r="BA82" i="9"/>
  <c r="Z58" i="8" s="1"/>
  <c r="AS82" i="9"/>
  <c r="U58" i="8" s="1"/>
  <c r="AK82" i="9"/>
  <c r="P58" i="8" s="1"/>
  <c r="AC82" i="9"/>
  <c r="K58" i="8" s="1"/>
  <c r="BA81" i="9"/>
  <c r="Z49" i="8" s="1"/>
  <c r="AS81" i="9"/>
  <c r="U49" i="8" s="1"/>
  <c r="AK81" i="9"/>
  <c r="P49" i="8" s="1"/>
  <c r="AC81" i="9"/>
  <c r="K49" i="8" s="1"/>
  <c r="BA55" i="9"/>
  <c r="Z44" i="8" s="1"/>
  <c r="AS55" i="9"/>
  <c r="U44" i="8" s="1"/>
  <c r="AK55" i="9"/>
  <c r="P44" i="8" s="1"/>
  <c r="AC55" i="9"/>
  <c r="K44" i="8" s="1"/>
  <c r="BA53" i="9"/>
  <c r="Z38" i="8" s="1"/>
  <c r="AS53" i="9"/>
  <c r="U38" i="8" s="1"/>
  <c r="AK53" i="9"/>
  <c r="P38" i="8" s="1"/>
  <c r="AC53" i="9"/>
  <c r="K38" i="8" s="1"/>
  <c r="BA52" i="9"/>
  <c r="Z28" i="8" s="1"/>
  <c r="AS52" i="9"/>
  <c r="U28" i="8" s="1"/>
  <c r="AK52" i="9"/>
  <c r="P28" i="8" s="1"/>
  <c r="AC52" i="9"/>
  <c r="K28" i="8" s="1"/>
  <c r="AS51" i="9"/>
  <c r="U26" i="8" s="1"/>
  <c r="AK51" i="9"/>
  <c r="P26" i="8" s="1"/>
  <c r="BA41" i="9"/>
  <c r="Z127" i="8" s="1"/>
  <c r="AS41" i="9"/>
  <c r="U127" i="8" s="1"/>
  <c r="AK41" i="9"/>
  <c r="P127" i="8" s="1"/>
  <c r="AC41" i="9"/>
  <c r="K127" i="8" s="1"/>
  <c r="BA36" i="9"/>
  <c r="Z50" i="8" s="1"/>
  <c r="AS36" i="9"/>
  <c r="U50" i="8" s="1"/>
  <c r="AK36" i="9"/>
  <c r="P50" i="8" s="1"/>
  <c r="AC36" i="9"/>
  <c r="K50" i="8" s="1"/>
  <c r="BA31" i="9"/>
  <c r="Z24" i="8" s="1"/>
  <c r="BA27" i="9"/>
  <c r="Z43" i="8" s="1"/>
  <c r="AS27" i="9"/>
  <c r="U43" i="8" s="1"/>
  <c r="AK27" i="9"/>
  <c r="P43" i="8" s="1"/>
  <c r="AC27" i="9"/>
  <c r="K43" i="8" s="1"/>
  <c r="BA22" i="9"/>
  <c r="Z10" i="8" s="1"/>
  <c r="AS22" i="9"/>
  <c r="U10" i="8" s="1"/>
  <c r="AK22" i="9"/>
  <c r="P10" i="8" s="1"/>
  <c r="AC22" i="9"/>
  <c r="K10" i="8" s="1"/>
  <c r="BA17" i="9"/>
  <c r="Z40" i="8" s="1"/>
  <c r="AS17" i="9"/>
  <c r="U40" i="8" s="1"/>
  <c r="AK17" i="9"/>
  <c r="P40" i="8" s="1"/>
  <c r="AC10" i="9"/>
  <c r="K20" i="8" s="1"/>
  <c r="AK8" i="9"/>
  <c r="P11" i="8" s="1"/>
  <c r="BA70" i="9"/>
  <c r="Z9" i="8" s="1"/>
  <c r="AS70" i="9"/>
  <c r="U9" i="8" s="1"/>
  <c r="AK70" i="9"/>
  <c r="P9" i="8" s="1"/>
  <c r="AC70" i="9"/>
  <c r="K9" i="8" s="1"/>
  <c r="BA65" i="9"/>
  <c r="Z92" i="8" s="1"/>
  <c r="AS65" i="9"/>
  <c r="U92" i="8" s="1"/>
  <c r="AK65" i="9"/>
  <c r="P92" i="8" s="1"/>
  <c r="AC65" i="9"/>
  <c r="K92" i="8" s="1"/>
  <c r="BA64" i="9"/>
  <c r="Z88" i="8" s="1"/>
  <c r="AS64" i="9"/>
  <c r="U88" i="8" s="1"/>
  <c r="AK64" i="9"/>
  <c r="P88" i="8" s="1"/>
  <c r="AC64" i="9"/>
  <c r="K88" i="8" s="1"/>
  <c r="BA63" i="9"/>
  <c r="Z79" i="8" s="1"/>
  <c r="AS63" i="9"/>
  <c r="U79" i="8" s="1"/>
  <c r="AK63" i="9"/>
  <c r="P79" i="8" s="1"/>
  <c r="AC63" i="9"/>
  <c r="K79" i="8" s="1"/>
  <c r="BA61" i="9"/>
  <c r="Z61" i="8" s="1"/>
  <c r="AS61" i="9"/>
  <c r="U61" i="8" s="1"/>
  <c r="AK61" i="9"/>
  <c r="P61" i="8" s="1"/>
  <c r="AC61" i="9"/>
  <c r="K61" i="8" s="1"/>
  <c r="BA51" i="9"/>
  <c r="Z26" i="8" s="1"/>
  <c r="AS31" i="9"/>
  <c r="U24" i="8" s="1"/>
  <c r="AK31" i="9"/>
  <c r="P24" i="8" s="1"/>
  <c r="AC31" i="9"/>
  <c r="K24" i="8" s="1"/>
  <c r="AC17" i="9"/>
  <c r="K40" i="8" s="1"/>
  <c r="BA10" i="9"/>
  <c r="Z20" i="8" s="1"/>
  <c r="AS10" i="9"/>
  <c r="U20" i="8" s="1"/>
  <c r="AK10" i="9"/>
  <c r="P20" i="8" s="1"/>
  <c r="BA8" i="9"/>
  <c r="Z11" i="8" s="1"/>
  <c r="AS8" i="9"/>
  <c r="U11" i="8" s="1"/>
  <c r="AC8" i="9"/>
  <c r="K11" i="8" s="1"/>
  <c r="J108" i="6"/>
  <c r="J156" i="5"/>
  <c r="J170" i="5"/>
  <c r="J59" i="6"/>
  <c r="J138" i="6"/>
  <c r="J201" i="5"/>
  <c r="J142" i="6"/>
  <c r="J200" i="5"/>
  <c r="J144" i="6"/>
  <c r="J194" i="5"/>
  <c r="J197" i="5"/>
  <c r="J145" i="6"/>
  <c r="J34" i="5"/>
  <c r="J148" i="6"/>
  <c r="J111" i="5"/>
  <c r="J167" i="6"/>
  <c r="J84" i="5"/>
  <c r="J128" i="6"/>
  <c r="J196" i="6"/>
  <c r="J80" i="5"/>
  <c r="J146" i="5"/>
  <c r="J170" i="6"/>
  <c r="J115" i="5"/>
  <c r="J188" i="6"/>
  <c r="J119" i="6"/>
  <c r="J12" i="5"/>
  <c r="J38" i="5"/>
  <c r="J189" i="6"/>
  <c r="J149" i="6"/>
  <c r="J31" i="5"/>
  <c r="J145" i="5"/>
  <c r="J100" i="6"/>
  <c r="J16" i="5"/>
  <c r="J182" i="6"/>
  <c r="J17" i="6"/>
  <c r="J69" i="5"/>
  <c r="J23" i="5"/>
  <c r="J25" i="6"/>
  <c r="J8" i="6"/>
  <c r="J21" i="5"/>
  <c r="J33" i="5"/>
  <c r="J43" i="6"/>
  <c r="J39" i="6"/>
  <c r="J24" i="5"/>
  <c r="J106" i="5"/>
  <c r="J51" i="6"/>
  <c r="J57" i="5"/>
  <c r="J26" i="6"/>
  <c r="J12" i="6"/>
  <c r="J171" i="5"/>
  <c r="J68" i="5"/>
  <c r="J97" i="6"/>
  <c r="J72" i="5"/>
  <c r="J101" i="6"/>
  <c r="J9" i="6"/>
  <c r="J28" i="5"/>
  <c r="J201" i="6"/>
  <c r="J124" i="5"/>
  <c r="J189" i="5"/>
  <c r="J11" i="6"/>
  <c r="J129" i="6"/>
  <c r="J184" i="6"/>
  <c r="J138" i="5"/>
  <c r="J119" i="5"/>
  <c r="J187" i="6"/>
  <c r="J100" i="5"/>
  <c r="BA220" i="9"/>
  <c r="Z89" i="8" s="1"/>
  <c r="AS220" i="9"/>
  <c r="U89" i="8" s="1"/>
  <c r="AK220" i="9"/>
  <c r="P89" i="8" s="1"/>
  <c r="AC220" i="9"/>
  <c r="K89" i="8" s="1"/>
  <c r="BA219" i="9"/>
  <c r="Z69" i="8" s="1"/>
  <c r="AS219" i="9"/>
  <c r="U69" i="8" s="1"/>
  <c r="AK219" i="9"/>
  <c r="P69" i="8" s="1"/>
  <c r="AC219" i="9"/>
  <c r="K69" i="8" s="1"/>
  <c r="BA214" i="9"/>
  <c r="Z144" i="8" s="1"/>
  <c r="AS214" i="9"/>
  <c r="U144" i="8" s="1"/>
  <c r="AC214" i="9"/>
  <c r="K144" i="8" s="1"/>
  <c r="BA213" i="9"/>
  <c r="Z122" i="8" s="1"/>
  <c r="AS213" i="9"/>
  <c r="U122" i="8" s="1"/>
  <c r="AK213" i="9"/>
  <c r="P122" i="8" s="1"/>
  <c r="BA212" i="9"/>
  <c r="Z103" i="8" s="1"/>
  <c r="AS212" i="9"/>
  <c r="U103" i="8" s="1"/>
  <c r="AC212" i="9"/>
  <c r="K103" i="8" s="1"/>
  <c r="BA208" i="9"/>
  <c r="Z82" i="8" s="1"/>
  <c r="AS208" i="9"/>
  <c r="U82" i="8" s="1"/>
  <c r="AK208" i="9"/>
  <c r="P82" i="8" s="1"/>
  <c r="AC208" i="9"/>
  <c r="K82" i="8" s="1"/>
  <c r="BA183" i="9"/>
  <c r="Z154" i="8" s="1"/>
  <c r="AC183" i="9"/>
  <c r="K154" i="8" s="1"/>
  <c r="BA179" i="9"/>
  <c r="Z134" i="8" s="1"/>
  <c r="AC179" i="9"/>
  <c r="K134" i="8" s="1"/>
  <c r="AS175" i="9"/>
  <c r="U109" i="8" s="1"/>
  <c r="AK175" i="9"/>
  <c r="P109" i="8" s="1"/>
  <c r="BA174" i="9"/>
  <c r="Z108" i="8" s="1"/>
  <c r="BA171" i="9"/>
  <c r="Z97" i="8" s="1"/>
  <c r="BA169" i="9"/>
  <c r="Z91" i="8" s="1"/>
  <c r="AS169" i="9"/>
  <c r="U91" i="8" s="1"/>
  <c r="AK169" i="9"/>
  <c r="P91" i="8" s="1"/>
  <c r="BA166" i="9"/>
  <c r="Z64" i="8" s="1"/>
  <c r="BA165" i="9"/>
  <c r="Z57" i="8" s="1"/>
  <c r="BA154" i="9"/>
  <c r="Z174" i="8" s="1"/>
  <c r="AC154" i="9"/>
  <c r="K174" i="8" s="1"/>
  <c r="AS153" i="9"/>
  <c r="U175" i="8" s="1"/>
  <c r="AK153" i="9"/>
  <c r="P175" i="8" s="1"/>
  <c r="AC153" i="9"/>
  <c r="K175" i="8" s="1"/>
  <c r="BA147" i="9"/>
  <c r="Z164" i="8" s="1"/>
  <c r="AK145" i="9"/>
  <c r="P161" i="8" s="1"/>
  <c r="AC145" i="9"/>
  <c r="K161" i="8" s="1"/>
  <c r="AK144" i="9"/>
  <c r="P156" i="8" s="1"/>
  <c r="AC144" i="9"/>
  <c r="K156" i="8" s="1"/>
  <c r="AS143" i="9"/>
  <c r="U155" i="8" s="1"/>
  <c r="AK143" i="9"/>
  <c r="P155" i="8" s="1"/>
  <c r="J91" i="5"/>
  <c r="AC231" i="9"/>
  <c r="K195" i="8" s="1"/>
  <c r="AS179" i="9"/>
  <c r="U134" i="8" s="1"/>
  <c r="AK179" i="9"/>
  <c r="P134" i="8" s="1"/>
  <c r="BA175" i="9"/>
  <c r="Z109" i="8" s="1"/>
  <c r="AS174" i="9"/>
  <c r="U108" i="8" s="1"/>
  <c r="AK174" i="9"/>
  <c r="P108" i="8" s="1"/>
  <c r="AS171" i="9"/>
  <c r="U97" i="8" s="1"/>
  <c r="AK171" i="9"/>
  <c r="P97" i="8" s="1"/>
  <c r="AC169" i="9"/>
  <c r="K91" i="8" s="1"/>
  <c r="AS166" i="9"/>
  <c r="U64" i="8" s="1"/>
  <c r="AK166" i="9"/>
  <c r="P64" i="8" s="1"/>
  <c r="AS165" i="9"/>
  <c r="U57" i="8" s="1"/>
  <c r="AK165" i="9"/>
  <c r="P57" i="8" s="1"/>
  <c r="AS154" i="9"/>
  <c r="U174" i="8" s="1"/>
  <c r="AK154" i="9"/>
  <c r="P174" i="8" s="1"/>
  <c r="BA153" i="9"/>
  <c r="Z175" i="8" s="1"/>
  <c r="AS147" i="9"/>
  <c r="U164" i="8" s="1"/>
  <c r="AK147" i="9"/>
  <c r="P164" i="8" s="1"/>
  <c r="AS145" i="9"/>
  <c r="U161" i="8" s="1"/>
  <c r="BA144" i="9"/>
  <c r="Z156" i="8" s="1"/>
  <c r="BA143" i="9"/>
  <c r="Z155" i="8" s="1"/>
  <c r="J186" i="5"/>
  <c r="J44" i="6"/>
  <c r="J63" i="5"/>
  <c r="J16" i="6"/>
  <c r="J161" i="5"/>
  <c r="J82" i="6"/>
  <c r="J193" i="5"/>
  <c r="J171" i="6"/>
  <c r="J195" i="5"/>
  <c r="J200" i="6"/>
  <c r="J164" i="6"/>
  <c r="BA231" i="9"/>
  <c r="Z195" i="8" s="1"/>
  <c r="AS231" i="9"/>
  <c r="U195" i="8" s="1"/>
  <c r="AK231" i="9"/>
  <c r="P195" i="8" s="1"/>
  <c r="AK214" i="9"/>
  <c r="P144" i="8" s="1"/>
  <c r="AK212" i="9"/>
  <c r="P103" i="8" s="1"/>
  <c r="AS183" i="9"/>
  <c r="U154" i="8" s="1"/>
  <c r="AK183" i="9"/>
  <c r="P154" i="8" s="1"/>
  <c r="AC175" i="9"/>
  <c r="K109" i="8" s="1"/>
  <c r="AC174" i="9"/>
  <c r="K108" i="8" s="1"/>
  <c r="AC171" i="9"/>
  <c r="K97" i="8" s="1"/>
  <c r="AC166" i="9"/>
  <c r="K64" i="8" s="1"/>
  <c r="AC165" i="9"/>
  <c r="K57" i="8" s="1"/>
  <c r="AC147" i="9"/>
  <c r="K164" i="8" s="1"/>
  <c r="BA145" i="9"/>
  <c r="Z161" i="8" s="1"/>
  <c r="AS144" i="9"/>
  <c r="U156" i="8" s="1"/>
  <c r="AC143" i="9"/>
  <c r="K155" i="8" s="1"/>
  <c r="L126" i="9"/>
  <c r="J23" i="3"/>
  <c r="J23" i="2"/>
  <c r="I20" i="3"/>
  <c r="I19" i="3"/>
  <c r="I17" i="3"/>
  <c r="I16" i="3"/>
  <c r="I18" i="3"/>
  <c r="I14" i="3"/>
  <c r="I15" i="3"/>
  <c r="I21" i="2"/>
  <c r="I16" i="2"/>
  <c r="I15" i="2"/>
  <c r="I30" i="2"/>
  <c r="I31" i="2"/>
  <c r="I14" i="2"/>
  <c r="I26" i="2"/>
  <c r="I32" i="2"/>
  <c r="I18" i="2"/>
  <c r="I22" i="2"/>
  <c r="I33" i="2"/>
  <c r="I23" i="2"/>
  <c r="I24" i="2"/>
  <c r="I29" i="2"/>
  <c r="I27" i="2"/>
  <c r="I25" i="2"/>
  <c r="I28" i="2"/>
  <c r="I20" i="2"/>
  <c r="I19" i="2"/>
  <c r="I17" i="2"/>
  <c r="J29" i="3"/>
  <c r="J29" i="2"/>
  <c r="U219" i="9"/>
  <c r="F69" i="8" s="1"/>
  <c r="L221" i="9"/>
  <c r="U17" i="9"/>
  <c r="F40" i="8" s="1"/>
  <c r="L19" i="9"/>
  <c r="J15" i="2"/>
  <c r="J15" i="3"/>
  <c r="U212" i="9"/>
  <c r="F103" i="8" s="1"/>
  <c r="L216" i="9"/>
  <c r="J28" i="2"/>
  <c r="J28" i="3"/>
  <c r="K141" i="5" l="1"/>
  <c r="K94" i="6"/>
  <c r="K133" i="5"/>
  <c r="K173" i="5"/>
  <c r="K9" i="5"/>
  <c r="K199" i="6"/>
  <c r="K5" i="6"/>
  <c r="K76" i="6"/>
  <c r="K168" i="5"/>
  <c r="J187" i="5"/>
  <c r="K187" i="5"/>
  <c r="J7" i="6"/>
  <c r="K7" i="6"/>
  <c r="J6" i="6"/>
  <c r="K6" i="6"/>
  <c r="K53" i="6"/>
  <c r="J53" i="6"/>
  <c r="K73" i="5"/>
  <c r="J73" i="5"/>
  <c r="N33" i="2"/>
  <c r="K33" i="2"/>
  <c r="N33" i="3"/>
  <c r="K33" i="3"/>
  <c r="N14" i="3"/>
  <c r="K14" i="3"/>
  <c r="J34" i="3"/>
  <c r="N14" i="2"/>
  <c r="K14" i="2"/>
  <c r="J34" i="2"/>
  <c r="L25" i="4"/>
  <c r="M25" i="4" s="1"/>
  <c r="O25" i="4"/>
  <c r="Q25" i="4"/>
  <c r="F25" i="4"/>
  <c r="P25" i="4"/>
  <c r="L24" i="4"/>
  <c r="M24" i="4" s="1"/>
  <c r="O24" i="4"/>
  <c r="Q24" i="4"/>
  <c r="F24" i="4"/>
  <c r="P24" i="4"/>
  <c r="L23" i="4"/>
  <c r="M23" i="4" s="1"/>
  <c r="O23" i="4"/>
  <c r="Q23" i="4"/>
  <c r="F23" i="4"/>
  <c r="P23" i="4"/>
  <c r="L22" i="4"/>
  <c r="M22" i="4" s="1"/>
  <c r="O22" i="4"/>
  <c r="Q22" i="4"/>
  <c r="F22" i="4"/>
  <c r="P22" i="4"/>
  <c r="L21" i="4"/>
  <c r="M21" i="4" s="1"/>
  <c r="O21" i="4"/>
  <c r="Q21" i="4"/>
  <c r="F21" i="4"/>
  <c r="P21" i="4"/>
  <c r="L20" i="4"/>
  <c r="M20" i="4" s="1"/>
  <c r="O20" i="4"/>
  <c r="Q20" i="4"/>
  <c r="F20" i="4"/>
  <c r="P20" i="4"/>
  <c r="L19" i="4"/>
  <c r="M19" i="4" s="1"/>
  <c r="O19" i="4"/>
  <c r="Q19" i="4"/>
  <c r="F19" i="4"/>
  <c r="P19" i="4"/>
  <c r="L18" i="4"/>
  <c r="M18" i="4" s="1"/>
  <c r="O18" i="4"/>
  <c r="Q18" i="4"/>
  <c r="F18" i="4"/>
  <c r="P18" i="4"/>
  <c r="L17" i="4"/>
  <c r="M17" i="4" s="1"/>
  <c r="O17" i="4"/>
  <c r="Q17" i="4"/>
  <c r="F17" i="4"/>
  <c r="P17" i="4"/>
  <c r="O16" i="4"/>
  <c r="Q16" i="4"/>
  <c r="L16" i="4"/>
  <c r="M16" i="4" s="1"/>
  <c r="F16" i="4"/>
  <c r="P16" i="4"/>
  <c r="L15" i="4"/>
  <c r="M15" i="4" s="1"/>
  <c r="O15" i="4"/>
  <c r="Q15" i="4"/>
  <c r="F15" i="4"/>
  <c r="P15" i="4"/>
  <c r="L14" i="4"/>
  <c r="M14" i="4" s="1"/>
  <c r="O14" i="4"/>
  <c r="Q14" i="4"/>
  <c r="F14" i="4"/>
  <c r="P14" i="4"/>
  <c r="L13" i="4"/>
  <c r="M13" i="4" s="1"/>
  <c r="O13" i="4"/>
  <c r="Q13" i="4"/>
  <c r="P13" i="4"/>
  <c r="F13" i="4"/>
  <c r="L12" i="4"/>
  <c r="M12" i="4" s="1"/>
  <c r="O12" i="4"/>
  <c r="Q12" i="4"/>
  <c r="F12" i="4"/>
  <c r="P12" i="4"/>
  <c r="L11" i="4"/>
  <c r="M11" i="4" s="1"/>
  <c r="O11" i="4"/>
  <c r="Q11" i="4"/>
  <c r="F11" i="4"/>
  <c r="P11" i="4"/>
  <c r="L10" i="4"/>
  <c r="M10" i="4" s="1"/>
  <c r="O10" i="4"/>
  <c r="Q10" i="4"/>
  <c r="F10" i="4"/>
  <c r="P10" i="4"/>
  <c r="O9" i="4"/>
  <c r="Q9" i="4"/>
  <c r="L9" i="4"/>
  <c r="M9" i="4" s="1"/>
  <c r="F9" i="4"/>
  <c r="P9" i="4"/>
  <c r="L8" i="4"/>
  <c r="M8" i="4" s="1"/>
  <c r="O8" i="4"/>
  <c r="Q8" i="4"/>
  <c r="F8" i="4"/>
  <c r="P8" i="4"/>
  <c r="L7" i="4"/>
  <c r="M7" i="4" s="1"/>
  <c r="O7" i="4"/>
  <c r="Q7" i="4"/>
  <c r="K27" i="4"/>
  <c r="J7" i="4"/>
  <c r="I27" i="4"/>
  <c r="J27" i="4" s="1"/>
  <c r="G27" i="4"/>
  <c r="H27" i="4" s="1"/>
  <c r="H7" i="4"/>
  <c r="F7" i="4"/>
  <c r="P7" i="4"/>
  <c r="E27" i="4"/>
  <c r="D10" i="3"/>
  <c r="E10" i="3"/>
  <c r="D10" i="2"/>
  <c r="E10" i="2"/>
  <c r="N18" i="3"/>
  <c r="K18" i="3"/>
  <c r="N18" i="2"/>
  <c r="K18" i="2"/>
  <c r="N32" i="2"/>
  <c r="K32" i="2"/>
  <c r="N32" i="3"/>
  <c r="K32" i="3"/>
  <c r="N27" i="2"/>
  <c r="K27" i="2"/>
  <c r="N27" i="3"/>
  <c r="K27" i="3"/>
  <c r="N26" i="2"/>
  <c r="K26" i="2"/>
  <c r="N26" i="3"/>
  <c r="K26" i="3"/>
  <c r="N17" i="3"/>
  <c r="K17" i="3"/>
  <c r="N17" i="2"/>
  <c r="K17" i="2"/>
  <c r="N31" i="3"/>
  <c r="K31" i="3"/>
  <c r="N31" i="2"/>
  <c r="K31" i="2"/>
  <c r="N20" i="3"/>
  <c r="K20" i="3"/>
  <c r="N20" i="2"/>
  <c r="K20" i="2"/>
  <c r="N16" i="3"/>
  <c r="K16" i="3"/>
  <c r="N16" i="2"/>
  <c r="K16" i="2"/>
  <c r="N22" i="3"/>
  <c r="K22" i="3"/>
  <c r="N22" i="2"/>
  <c r="K22" i="2"/>
  <c r="N25" i="2"/>
  <c r="K25" i="2"/>
  <c r="N25" i="3"/>
  <c r="K25" i="3"/>
  <c r="N21" i="3"/>
  <c r="K21" i="3"/>
  <c r="N21" i="2"/>
  <c r="K21" i="2"/>
  <c r="N24" i="3"/>
  <c r="K24" i="3"/>
  <c r="N24" i="2"/>
  <c r="K24" i="2"/>
  <c r="N19" i="2"/>
  <c r="K19" i="2"/>
  <c r="N19" i="3"/>
  <c r="K19" i="3"/>
  <c r="L26" i="4"/>
  <c r="M26" i="4" s="1"/>
  <c r="O26" i="4"/>
  <c r="Q26" i="4"/>
  <c r="P26" i="4"/>
  <c r="F26" i="4"/>
  <c r="N23" i="3"/>
  <c r="K23" i="3"/>
  <c r="N23" i="2"/>
  <c r="K23" i="2"/>
  <c r="N29" i="3"/>
  <c r="K29" i="3"/>
  <c r="N29" i="2"/>
  <c r="K29" i="2"/>
  <c r="N15" i="2"/>
  <c r="K15" i="2"/>
  <c r="N15" i="3"/>
  <c r="K15" i="3"/>
  <c r="N28" i="2"/>
  <c r="K28" i="2"/>
  <c r="N28" i="3"/>
  <c r="K28" i="3"/>
  <c r="BA4" i="9"/>
  <c r="AK4" i="9"/>
  <c r="D27" i="4"/>
  <c r="D4" i="4" s="1"/>
  <c r="AC4" i="9"/>
  <c r="AS4" i="9"/>
  <c r="F43" i="7"/>
  <c r="F45" i="7" s="1"/>
  <c r="B43" i="7"/>
  <c r="D43" i="7"/>
  <c r="N25" i="4"/>
  <c r="N11" i="4"/>
  <c r="N12" i="4"/>
  <c r="N10" i="4"/>
  <c r="N18" i="4"/>
  <c r="N15" i="4"/>
  <c r="N21" i="4"/>
  <c r="N14" i="4"/>
  <c r="N8" i="4"/>
  <c r="N20" i="4"/>
  <c r="N13" i="4"/>
  <c r="N24" i="4"/>
  <c r="N19" i="4"/>
  <c r="N9" i="4"/>
  <c r="N26" i="4"/>
  <c r="N23" i="4"/>
  <c r="N22" i="4"/>
  <c r="N16" i="4"/>
  <c r="N7" i="4"/>
  <c r="N17" i="4"/>
  <c r="J75" i="6"/>
  <c r="K75" i="6"/>
  <c r="J179" i="5"/>
  <c r="K179" i="5"/>
  <c r="J64" i="6"/>
  <c r="K64" i="6"/>
  <c r="J182" i="5"/>
  <c r="K182" i="5"/>
  <c r="J84" i="6"/>
  <c r="K84" i="6"/>
  <c r="J126" i="5"/>
  <c r="K126" i="5"/>
  <c r="J35" i="6"/>
  <c r="K35" i="6"/>
  <c r="J127" i="5"/>
  <c r="K127" i="5"/>
  <c r="J37" i="6"/>
  <c r="K37" i="6"/>
  <c r="J183" i="5"/>
  <c r="K183" i="5"/>
  <c r="J180" i="6"/>
  <c r="K180" i="6"/>
  <c r="J202" i="5"/>
  <c r="K202" i="5"/>
  <c r="J60" i="5"/>
  <c r="K60" i="5"/>
  <c r="J105" i="6"/>
  <c r="K105" i="6"/>
  <c r="J88" i="6"/>
  <c r="K88" i="6"/>
  <c r="J61" i="5"/>
  <c r="K61" i="5"/>
  <c r="J181" i="6"/>
  <c r="K181" i="6"/>
  <c r="J22" i="5"/>
  <c r="K22" i="5"/>
  <c r="J10" i="6"/>
  <c r="K10" i="6"/>
  <c r="J29" i="5"/>
  <c r="K29" i="5"/>
  <c r="J69" i="6"/>
  <c r="K69" i="6"/>
  <c r="J122" i="5"/>
  <c r="K122" i="5"/>
  <c r="J29" i="6"/>
  <c r="K29" i="6"/>
  <c r="J142" i="5"/>
  <c r="K142" i="5"/>
  <c r="J140" i="6"/>
  <c r="K140" i="6"/>
  <c r="J192" i="5"/>
  <c r="K192" i="5"/>
  <c r="J112" i="6"/>
  <c r="K112" i="6"/>
  <c r="J113" i="5"/>
  <c r="K113" i="5"/>
  <c r="J127" i="6"/>
  <c r="K127" i="6"/>
  <c r="J44" i="5"/>
  <c r="K44" i="5"/>
  <c r="J33" i="6"/>
  <c r="K33" i="6"/>
  <c r="J58" i="5"/>
  <c r="K58" i="5"/>
  <c r="J56" i="6"/>
  <c r="K56" i="6"/>
  <c r="J30" i="5"/>
  <c r="K30" i="5"/>
  <c r="J113" i="6"/>
  <c r="K113" i="6"/>
  <c r="J26" i="5"/>
  <c r="K26" i="5"/>
  <c r="J114" i="6"/>
  <c r="K114" i="6"/>
  <c r="J49" i="5"/>
  <c r="K49" i="5"/>
  <c r="J195" i="6"/>
  <c r="K195" i="6"/>
  <c r="J99" i="5"/>
  <c r="K99" i="5"/>
  <c r="J77" i="6"/>
  <c r="K77" i="6"/>
  <c r="J180" i="5"/>
  <c r="K180" i="5"/>
  <c r="J89" i="6"/>
  <c r="K89" i="6"/>
  <c r="J144" i="5"/>
  <c r="K144" i="5"/>
  <c r="J8" i="5"/>
  <c r="K8" i="5"/>
  <c r="J63" i="6"/>
  <c r="K63" i="6"/>
  <c r="J165" i="6"/>
  <c r="K165" i="6"/>
  <c r="J47" i="5"/>
  <c r="K47" i="5"/>
  <c r="J184" i="5"/>
  <c r="K184" i="5"/>
  <c r="J57" i="6"/>
  <c r="K57" i="6"/>
  <c r="J175" i="5"/>
  <c r="K175" i="5"/>
  <c r="J85" i="6"/>
  <c r="K85" i="6"/>
  <c r="J82" i="5"/>
  <c r="K82" i="5"/>
  <c r="J159" i="6"/>
  <c r="K159" i="6"/>
  <c r="J67" i="6"/>
  <c r="K67" i="6"/>
  <c r="J166" i="5"/>
  <c r="K166" i="5"/>
  <c r="J15" i="6"/>
  <c r="K15" i="6"/>
  <c r="J18" i="5"/>
  <c r="K18" i="5"/>
  <c r="J202" i="6"/>
  <c r="K202" i="6"/>
  <c r="J191" i="5"/>
  <c r="K191" i="5"/>
  <c r="J178" i="6"/>
  <c r="K178" i="6"/>
  <c r="J48" i="5"/>
  <c r="K48" i="5"/>
  <c r="J155" i="6"/>
  <c r="K155" i="6"/>
  <c r="J94" i="5"/>
  <c r="K94" i="5"/>
  <c r="J197" i="6"/>
  <c r="K197" i="6"/>
  <c r="J76" i="5"/>
  <c r="K76" i="5"/>
  <c r="J160" i="6"/>
  <c r="K160" i="6"/>
  <c r="J25" i="5"/>
  <c r="K25" i="5"/>
  <c r="J116" i="6"/>
  <c r="K116" i="6"/>
  <c r="J42" i="5"/>
  <c r="K42" i="5"/>
  <c r="J148" i="5"/>
  <c r="K148" i="5"/>
  <c r="J131" i="6"/>
  <c r="K131" i="6"/>
  <c r="J28" i="6"/>
  <c r="K28" i="6"/>
  <c r="J177" i="5"/>
  <c r="K177" i="5"/>
  <c r="J96" i="6"/>
  <c r="K96" i="6"/>
  <c r="J165" i="5"/>
  <c r="K165" i="5"/>
  <c r="J86" i="5"/>
  <c r="K86" i="5"/>
  <c r="J62" i="6"/>
  <c r="K62" i="6"/>
  <c r="J54" i="5"/>
  <c r="K54" i="5"/>
  <c r="J106" i="6"/>
  <c r="K106" i="6"/>
  <c r="J163" i="6"/>
  <c r="K163" i="6"/>
  <c r="J89" i="5"/>
  <c r="K89" i="5"/>
  <c r="J97" i="5"/>
  <c r="K97" i="5"/>
  <c r="J139" i="6"/>
  <c r="K139" i="6"/>
  <c r="J123" i="6"/>
  <c r="K123" i="6"/>
  <c r="J108" i="5"/>
  <c r="K108" i="5"/>
  <c r="J107" i="5"/>
  <c r="K107" i="5"/>
  <c r="J124" i="6"/>
  <c r="K124" i="6"/>
  <c r="J111" i="6"/>
  <c r="K111" i="6"/>
  <c r="J134" i="5"/>
  <c r="K134" i="5"/>
  <c r="J30" i="6"/>
  <c r="K30" i="6"/>
  <c r="J157" i="5"/>
  <c r="K157" i="5"/>
  <c r="J19" i="6"/>
  <c r="K19" i="6"/>
  <c r="J77" i="5"/>
  <c r="K77" i="5"/>
  <c r="J58" i="6"/>
  <c r="K58" i="6"/>
  <c r="J19" i="5"/>
  <c r="K19" i="5"/>
  <c r="J55" i="6"/>
  <c r="K55" i="6"/>
  <c r="J27" i="5"/>
  <c r="K27" i="5"/>
  <c r="J6" i="5"/>
  <c r="K6" i="5"/>
  <c r="C43" i="7"/>
  <c r="E43" i="7"/>
  <c r="U4" i="9"/>
  <c r="L4" i="9"/>
  <c r="J70" i="6"/>
  <c r="K70" i="6"/>
  <c r="J103" i="6"/>
  <c r="K103" i="6"/>
  <c r="J43" i="5"/>
  <c r="K43" i="5"/>
  <c r="J154" i="6"/>
  <c r="K154" i="6"/>
  <c r="J118" i="5"/>
  <c r="K118" i="5"/>
  <c r="J198" i="6"/>
  <c r="K198" i="6"/>
  <c r="J123" i="5"/>
  <c r="K123" i="5"/>
  <c r="J156" i="6"/>
  <c r="K156" i="6"/>
  <c r="J96" i="5"/>
  <c r="K96" i="5"/>
  <c r="J130" i="6"/>
  <c r="K130" i="6"/>
  <c r="J14" i="5"/>
  <c r="K14" i="5"/>
  <c r="J128" i="5"/>
  <c r="K128" i="5"/>
  <c r="J52" i="6"/>
  <c r="K52" i="6"/>
  <c r="J7" i="5"/>
  <c r="K7" i="5"/>
  <c r="J185" i="6"/>
  <c r="K185" i="6"/>
  <c r="J163" i="5"/>
  <c r="K163" i="5"/>
  <c r="J48" i="6"/>
  <c r="K48" i="6"/>
  <c r="J31" i="6"/>
  <c r="K31" i="6"/>
  <c r="J140" i="5"/>
  <c r="K140" i="5"/>
  <c r="J60" i="6"/>
  <c r="K60" i="6"/>
  <c r="J167" i="5"/>
  <c r="K167" i="5"/>
  <c r="J14" i="6"/>
  <c r="K14" i="6"/>
  <c r="J10" i="5"/>
  <c r="K10" i="5"/>
  <c r="J121" i="6"/>
  <c r="K121" i="6"/>
  <c r="J114" i="5"/>
  <c r="K114" i="5"/>
  <c r="J72" i="6"/>
  <c r="K72" i="6"/>
  <c r="J155" i="5"/>
  <c r="K155" i="5"/>
  <c r="J66" i="5"/>
  <c r="K66" i="5"/>
  <c r="J83" i="6"/>
  <c r="K83" i="6"/>
  <c r="J141" i="6"/>
  <c r="K141" i="6"/>
  <c r="J85" i="5"/>
  <c r="K85" i="5"/>
  <c r="J146" i="6"/>
  <c r="K146" i="6"/>
  <c r="J67" i="5"/>
  <c r="K67" i="5"/>
  <c r="J147" i="6"/>
  <c r="K147" i="6"/>
  <c r="J152" i="5"/>
  <c r="K152" i="5"/>
  <c r="J50" i="5"/>
  <c r="K50" i="5"/>
  <c r="J90" i="6"/>
  <c r="K90" i="6"/>
  <c r="J134" i="6"/>
  <c r="K134" i="6"/>
  <c r="J83" i="5"/>
  <c r="K83" i="5"/>
  <c r="J153" i="6"/>
  <c r="K153" i="6"/>
  <c r="J198" i="5"/>
  <c r="K198" i="5"/>
  <c r="J137" i="6"/>
  <c r="K137" i="6"/>
  <c r="J131" i="5"/>
  <c r="K131" i="5"/>
  <c r="J162" i="6"/>
  <c r="K162" i="6"/>
  <c r="J5" i="5"/>
  <c r="K5" i="5"/>
  <c r="J36" i="5"/>
  <c r="K36" i="5"/>
  <c r="J27" i="6"/>
  <c r="K27" i="6"/>
  <c r="J36" i="6"/>
  <c r="K36" i="6"/>
  <c r="J153" i="5"/>
  <c r="K153" i="5"/>
  <c r="J109" i="6"/>
  <c r="K109" i="6"/>
  <c r="J159" i="5"/>
  <c r="K159" i="5"/>
  <c r="J107" i="6"/>
  <c r="K107" i="6"/>
  <c r="J178" i="5"/>
  <c r="K178" i="5"/>
  <c r="J132" i="6"/>
  <c r="K132" i="6"/>
  <c r="J188" i="5"/>
  <c r="K188" i="5"/>
  <c r="J149" i="5"/>
  <c r="K149" i="5"/>
  <c r="J135" i="6"/>
  <c r="K135" i="6"/>
  <c r="J95" i="6"/>
  <c r="K95" i="6"/>
  <c r="J162" i="5"/>
  <c r="K162" i="5"/>
  <c r="J78" i="5"/>
  <c r="K78" i="5"/>
  <c r="J126" i="6"/>
  <c r="K126" i="6"/>
  <c r="J46" i="6"/>
  <c r="K46" i="6"/>
  <c r="J88" i="5"/>
  <c r="K88" i="5"/>
  <c r="J79" i="5"/>
  <c r="K79" i="5"/>
  <c r="J41" i="6"/>
  <c r="K41" i="6"/>
  <c r="J152" i="6"/>
  <c r="K152" i="6"/>
  <c r="J101" i="5"/>
  <c r="K101" i="5"/>
  <c r="J125" i="5"/>
  <c r="K125" i="5"/>
  <c r="J73" i="6"/>
  <c r="K73" i="6"/>
  <c r="J150" i="6"/>
  <c r="K150" i="6"/>
  <c r="J154" i="5"/>
  <c r="K154" i="5"/>
  <c r="J120" i="6"/>
  <c r="K120" i="6"/>
  <c r="J135" i="5"/>
  <c r="K135" i="5"/>
  <c r="J74" i="6"/>
  <c r="K74" i="6"/>
  <c r="J121" i="5"/>
  <c r="K121" i="5"/>
  <c r="J169" i="5"/>
  <c r="K169" i="5"/>
  <c r="J151" i="6"/>
  <c r="K151" i="6"/>
  <c r="J122" i="6"/>
  <c r="K122" i="6"/>
  <c r="J137" i="5"/>
  <c r="K137" i="5"/>
  <c r="J136" i="6"/>
  <c r="K136" i="6"/>
  <c r="J93" i="5"/>
  <c r="K93" i="5"/>
  <c r="J105" i="5"/>
  <c r="K105" i="5"/>
  <c r="J110" i="6"/>
  <c r="K110" i="6"/>
  <c r="J164" i="5"/>
  <c r="K164" i="5"/>
  <c r="J32" i="6"/>
  <c r="K32" i="6"/>
  <c r="J24" i="6"/>
  <c r="K24" i="6"/>
  <c r="J158" i="5"/>
  <c r="K158" i="5"/>
  <c r="J50" i="6"/>
  <c r="K50" i="6"/>
  <c r="J70" i="5"/>
  <c r="K70" i="5"/>
  <c r="J194" i="6"/>
  <c r="K194" i="6"/>
  <c r="J81" i="5"/>
  <c r="K81" i="5"/>
  <c r="J71" i="6"/>
  <c r="K71" i="6"/>
  <c r="J172" i="5"/>
  <c r="K172" i="5"/>
  <c r="J78" i="6"/>
  <c r="K78" i="6"/>
  <c r="J92" i="5"/>
  <c r="K92" i="5"/>
  <c r="J79" i="6"/>
  <c r="K79" i="6"/>
  <c r="J151" i="5"/>
  <c r="K151" i="5"/>
  <c r="J95" i="5"/>
  <c r="K95" i="5"/>
  <c r="J92" i="6"/>
  <c r="K92" i="6"/>
  <c r="J55" i="5"/>
  <c r="K55" i="5"/>
  <c r="J102" i="6"/>
  <c r="K102" i="6"/>
  <c r="J103" i="5"/>
  <c r="K103" i="5"/>
  <c r="J177" i="6"/>
  <c r="K177" i="6"/>
  <c r="J87" i="5"/>
  <c r="K87" i="5"/>
  <c r="J174" i="6"/>
  <c r="K174" i="6"/>
  <c r="J183" i="6"/>
  <c r="K183" i="6"/>
  <c r="J90" i="5"/>
  <c r="K90" i="5"/>
  <c r="J179" i="6"/>
  <c r="K179" i="6"/>
  <c r="J129" i="5"/>
  <c r="K129" i="5"/>
  <c r="J110" i="5"/>
  <c r="K110" i="5"/>
  <c r="J176" i="6"/>
  <c r="K176" i="6"/>
  <c r="J109" i="5"/>
  <c r="K109" i="5"/>
  <c r="J23" i="6"/>
  <c r="K23" i="6"/>
  <c r="J32" i="5"/>
  <c r="K32" i="5"/>
  <c r="J68" i="6"/>
  <c r="K68" i="6"/>
  <c r="J115" i="6"/>
  <c r="K115" i="6"/>
  <c r="J41" i="5"/>
  <c r="K41" i="5"/>
  <c r="J168" i="6"/>
  <c r="K168" i="6"/>
  <c r="J40" i="5"/>
  <c r="K40" i="5"/>
  <c r="J186" i="6"/>
  <c r="K186" i="6"/>
  <c r="J15" i="5"/>
  <c r="K15" i="5"/>
  <c r="J116" i="5"/>
  <c r="K116" i="5"/>
  <c r="J54" i="6"/>
  <c r="K54" i="6"/>
  <c r="J42" i="6"/>
  <c r="K42" i="6"/>
  <c r="J185" i="5"/>
  <c r="K185" i="5"/>
  <c r="J39" i="5"/>
  <c r="K39" i="5"/>
  <c r="J104" i="6"/>
  <c r="K104" i="6"/>
  <c r="J157" i="6"/>
  <c r="K157" i="6"/>
  <c r="J46" i="5"/>
  <c r="K46" i="5"/>
  <c r="J158" i="6"/>
  <c r="K158" i="6"/>
  <c r="J37" i="5"/>
  <c r="K37" i="5"/>
  <c r="J112" i="5"/>
  <c r="K112" i="5"/>
  <c r="J172" i="6"/>
  <c r="K172" i="6"/>
  <c r="J21" i="6"/>
  <c r="K21" i="6"/>
  <c r="J20" i="5"/>
  <c r="K20" i="5"/>
  <c r="J174" i="5"/>
  <c r="K174" i="5"/>
  <c r="J47" i="6"/>
  <c r="K47" i="6"/>
  <c r="J176" i="5"/>
  <c r="K176" i="5"/>
  <c r="J80" i="6"/>
  <c r="K80" i="6"/>
  <c r="J143" i="5"/>
  <c r="K143" i="5"/>
  <c r="J61" i="6"/>
  <c r="K61" i="6"/>
  <c r="J59" i="5"/>
  <c r="K59" i="5"/>
  <c r="J143" i="6"/>
  <c r="K143" i="6"/>
  <c r="J87" i="6"/>
  <c r="K87" i="6"/>
  <c r="J130" i="5"/>
  <c r="K130" i="5"/>
  <c r="J117" i="6"/>
  <c r="K117" i="6"/>
  <c r="J11" i="5"/>
  <c r="K11" i="5"/>
  <c r="J98" i="6"/>
  <c r="K98" i="6"/>
  <c r="J160" i="5"/>
  <c r="K160" i="5"/>
  <c r="J75" i="5"/>
  <c r="K75" i="5"/>
  <c r="J45" i="6"/>
  <c r="K45" i="6"/>
  <c r="J40" i="6"/>
  <c r="K40" i="6"/>
  <c r="J71" i="5"/>
  <c r="K71" i="5"/>
  <c r="J175" i="6"/>
  <c r="K175" i="6"/>
  <c r="J136" i="5"/>
  <c r="K136" i="5"/>
  <c r="J51" i="5"/>
  <c r="K51" i="5"/>
  <c r="J169" i="6"/>
  <c r="K169" i="6"/>
  <c r="J98" i="5"/>
  <c r="K98" i="5"/>
  <c r="J173" i="6"/>
  <c r="K173" i="6"/>
  <c r="J22" i="6"/>
  <c r="K22" i="6"/>
  <c r="J17" i="5"/>
  <c r="K17" i="5"/>
  <c r="J13" i="6"/>
  <c r="K13" i="6"/>
  <c r="J13" i="5"/>
  <c r="K13" i="5"/>
  <c r="J193" i="6"/>
  <c r="K193" i="6"/>
  <c r="J196" i="5"/>
  <c r="K196" i="5"/>
  <c r="J191" i="6"/>
  <c r="K191" i="6"/>
  <c r="J199" i="5"/>
  <c r="K199" i="5"/>
  <c r="J190" i="5"/>
  <c r="K190" i="5"/>
  <c r="J190" i="6"/>
  <c r="K190" i="6"/>
  <c r="J45" i="5"/>
  <c r="K45" i="5"/>
  <c r="J166" i="6"/>
  <c r="K166" i="6"/>
  <c r="J66" i="6"/>
  <c r="K66" i="6"/>
  <c r="J52" i="5"/>
  <c r="K52" i="5"/>
  <c r="J86" i="6"/>
  <c r="K86" i="6"/>
  <c r="J62" i="5"/>
  <c r="K62" i="5"/>
  <c r="J74" i="5"/>
  <c r="K74" i="5"/>
  <c r="J99" i="6"/>
  <c r="K99" i="6"/>
  <c r="J56" i="5"/>
  <c r="K56" i="5"/>
  <c r="J118" i="6"/>
  <c r="K118" i="6"/>
  <c r="J65" i="5"/>
  <c r="K65" i="5"/>
  <c r="J133" i="6"/>
  <c r="K133" i="6"/>
  <c r="J161" i="6"/>
  <c r="K161" i="6"/>
  <c r="J64" i="5"/>
  <c r="K64" i="5"/>
  <c r="J192" i="6"/>
  <c r="K192" i="6"/>
  <c r="J120" i="5"/>
  <c r="K120" i="5"/>
  <c r="K34" i="3" l="1"/>
  <c r="C4" i="3"/>
  <c r="H5" i="3"/>
  <c r="C6" i="3"/>
  <c r="K34" i="2"/>
  <c r="C4" i="2"/>
  <c r="C6" i="2"/>
  <c r="H5" i="2"/>
  <c r="L27" i="4"/>
  <c r="Q27" i="4"/>
  <c r="O27" i="4"/>
  <c r="P27" i="4"/>
  <c r="F27" i="4"/>
  <c r="F46" i="7"/>
  <c r="F48" i="7"/>
  <c r="B48" i="7"/>
  <c r="B45" i="7"/>
  <c r="B46" i="7"/>
  <c r="D45" i="7"/>
  <c r="P3" i="8" s="1"/>
  <c r="D46" i="7"/>
  <c r="D48" i="7"/>
  <c r="C46" i="7"/>
  <c r="C45" i="7"/>
  <c r="K3" i="8" s="1"/>
  <c r="C48" i="7"/>
  <c r="E48" i="7"/>
  <c r="E45" i="7"/>
  <c r="U3" i="8" s="1"/>
  <c r="E46" i="7"/>
  <c r="N34" i="3"/>
  <c r="N34" i="2"/>
  <c r="N27" i="4"/>
  <c r="D47" i="7" l="1"/>
  <c r="B47" i="7"/>
  <c r="F3" i="8"/>
  <c r="C50" i="7"/>
  <c r="F47" i="7"/>
  <c r="H50" i="7"/>
  <c r="E47" i="7"/>
  <c r="M27" i="4"/>
  <c r="M4" i="4"/>
  <c r="I4" i="4"/>
  <c r="Z3" i="8"/>
  <c r="J5" i="3"/>
  <c r="C7" i="3"/>
  <c r="C7" i="2"/>
  <c r="J5" i="2"/>
  <c r="C47" i="7"/>
</calcChain>
</file>

<file path=xl/sharedStrings.xml><?xml version="1.0" encoding="utf-8"?>
<sst xmlns="http://schemas.openxmlformats.org/spreadsheetml/2006/main" count="8426" uniqueCount="966">
  <si>
    <t>FRYDAY · DASHBOARD FOOD COST — ghid de utilizare</t>
  </si>
  <si>
    <t>Fișierul pornește de la vânzările reale din săptămâna 03–09.08.2026 (PMIX, 30 magazine) și proiectează food cost-ul până în decembrie. Toate cifrele se recalculează automat — nu trebuie să modifici nimic manual în afara celulelor colorate.</t>
  </si>
  <si>
    <t>CUM CIRCULĂ DATELE PRIN FIȘIER</t>
  </si>
  <si>
    <t>Lanțul de calcul</t>
  </si>
  <si>
    <t>NOMENCLATOR (prețul materiei prime)  →  REȚETAR (cantități per produs)  →  SIMULARE PE PRODUS (cost și preț per produs, pe fiecare lună)  →  cele trei taburi MASTER FC + TOP SALES + TOP FC.</t>
  </si>
  <si>
    <t>Unde intervii</t>
  </si>
  <si>
    <t>Doar în celulele colorate. GALBEN = input direct (preț materie primă, cantitate din rețetă, ajustări de preț). ALBASTRU = parametri de calendar și volum. Restul sunt formule — dacă le suprascrii, se rupe lanțul.</t>
  </si>
  <si>
    <t>Regula de aur</t>
  </si>
  <si>
    <t>AUGUST este realizat și nu se modifică. Vine din PMIX-ul real. Tot ce se poate ajusta sunt lunile septembrie–decembrie.</t>
  </si>
  <si>
    <t>TABURILE, IN ORDINEA IN CARE LE FOLOSESTI</t>
  </si>
  <si>
    <t>CE S-A INTAMPLAT — taburile 2, 3, 4</t>
  </si>
  <si>
    <t>Rezultatele realizate si proiectia. Nu se editeaza nimic aici.</t>
  </si>
  <si>
    <t>2. MASTER FC SAPTAMANA</t>
  </si>
  <si>
    <t>Fotografia saptamanii 03–09.08, exact cum a fost. Sus, blocul de indicatori pe trei coloane — TOTAL / InStore / Delivery: food cost, vanzari nete, cost material, profit brut, bucati si ponderea fiecarui canal. Dedesubt, aceleasi cifre pe fiecare categorie. Include si promotiile care au rulat doar in acea saptamana.</t>
  </si>
  <si>
    <t>3. MASTER FC LUNA</t>
  </si>
  <si>
    <t>Aceeasi structura, pe luna august intreaga. Produsele care continua se inmultesc cu saptamanile lunii si cu corectia de volum; promotiile de o saptamana raman la cantitatea reala. Procentul de food cost este identic cu cel saptamanal — proratarea multiplica proportional si costul, si vanzarile.</t>
  </si>
  <si>
    <t>4. MASTER FC PERIOADA</t>
  </si>
  <si>
    <t>Toate cele cinci luni, august → decembrie, pe categorii: vanzari nete si food cost pentru fiecare. La final, trei coloane verzi arata castigul din cresterile de pret — decembrie fata de august, cumulatul pe septembrie–decembrie si procentul. Aici NU sunt incluse economiile la furnizor: vezi efectul pur al preturilor.</t>
  </si>
  <si>
    <t>UNDE SUNT SI UNDE SE PIERD BANII — taburile 5, 6</t>
  </si>
  <si>
    <t>Doua liste care se citesc impreuna.</t>
  </si>
  <si>
    <t>5. TOP SALES</t>
  </si>
  <si>
    <t>Produsele ordonate dupa vanzari nete, descrescator. Vezi imediat ce aduce cei mai multi bani, ce pondere are din total si cu ce food cost.</t>
  </si>
  <si>
    <t>6. TOP FC</t>
  </si>
  <si>
    <t>Aceleasi produse, ordonate dupa food cost de la mare la mic. In capul listei sunt cele mai putin rentabile. Rosu peste 55%, galben 45–55%, verde sub 45%. Incruciseaza-l cu TOP SALES: un produs sus in ambele liste este cea mai mare pierdere.</t>
  </si>
  <si>
    <t>CE POTI SCHIMBA — taburile 7, 8, 9</t>
  </si>
  <si>
    <t>Aici intervii ca sa testezi scenarii.</t>
  </si>
  <si>
    <t>7. SCENARIU  ← panoul de control</t>
  </si>
  <si>
    <t>Inima fisierului. Patru zone: corectia de volum a saptamanii; zilele calendaristice si indexul de volum pe luna; grila de ajustari de pret pe categorie; blocul de rezultat cu vanzari, cost, economii, food cost cu si fara economii, marja bruta. Orice modifici aici se propaga instantaneu in toate celelalte taburi.</t>
  </si>
  <si>
    <t>8. SIMULARE PE PRODUS</t>
  </si>
  <si>
    <t>Detaliul complet: bucati pe canal, cost unitar, cost material, pretul din iulie ca referinta, apoi pretul pe fiecare luna cu vanzarile si food cost-ul aferent. La capatul din dreapta, coloanele verzi arata cresterea fata de luna anterioara. Coloana Continua? spune daca produsul ramane in meniu dupa august — pune 0 pentru promotii limitate.</t>
  </si>
  <si>
    <t>9. ECONOMII</t>
  </si>
  <si>
    <t>Renegocierile cu furnizorii: spend lunar, procent de economie si luna din care se aplica. Rezultatul intra automat in SCENARIU si scade food cost-ul. Diferenta dintre FC cu economii si FC fara economii iti arata exact cat valoreaza.</t>
  </si>
  <si>
    <t>DE UNDE VINE COSTUL — taburile 10, 11</t>
  </si>
  <si>
    <t>Sursele primare. Orice modificare aici se propaga in tot fisierul.</t>
  </si>
  <si>
    <t>10. RETETAR</t>
  </si>
  <si>
    <t>Toate liniile de reteta: ce materie prima intra in ce produs, in ce cantitate, pe ce canal. Cantitatea este editabila. Pretul unitar vine automat din NOMENCLATOR.</t>
  </si>
  <si>
    <t>11. NOMENCLATOR</t>
  </si>
  <si>
    <t>Cele ~200 de materii prime cu pretul pe unitatea de baza. Este singurul input primar din tot fisierul — schimbi un pret aici si se recalculeaza costul fiecarui produs care contine acea materie prima.</t>
  </si>
  <si>
    <t>CUM FACI O SIMULARE — pas cu pas</t>
  </si>
  <si>
    <t>Pasul 1 — vreau să văd unde pierd bani</t>
  </si>
  <si>
    <t>Deschide TOP FC. Produsele din capul listei au food cost-ul cel mai prost. Compară-le cu TOP SALES: dacă un produs e sus în ambele, acolo pierzi cel mai mult.</t>
  </si>
  <si>
    <t>Pasul 2 — vreau să testez o creștere de preț</t>
  </si>
  <si>
    <t>Mergi în SCENARIU, în grila de ajustări. Găsește categoria, pune suma în lei (cu TVA) pe luna dorită. Sumele se cumulează: dacă pui 0,50 în septembrie, produsele rămân cu +0,50 și în octombrie, noiembrie, decembrie. Dacă vrei încă 0,50 în decembrie, mai adaugi 0,50 acolo.</t>
  </si>
  <si>
    <t>Pasul 3 — vreau să văd efectul</t>
  </si>
  <si>
    <t>Rezultatul apare imediat în SCENARIU (blocul de jos), în MASTER FC PERIOADĂ pe categoria respectivă, și în SIMULARE PE PRODUS la fiecare produs din acea categorie.</t>
  </si>
  <si>
    <t>Pasul 4 — vreau să testez o renegociere</t>
  </si>
  <si>
    <t>În tabul ECONOMII schimbi procentul de economie sau luna din care se aplică. Diferența dintre rândul "FC cu economii" și "FC fără economii" din SCENARIU îți arată exact cât valorează renegocierea, în puncte de food cost.</t>
  </si>
  <si>
    <t>Pasul 5 — vreau să schimb o rețetă</t>
  </si>
  <si>
    <t>În REȚETAR modifici cantitatea. Costul produsului se recalculează automat, la fel food cost-ul lui, al categoriei și cel general. Dacă schimbi prețul unei materii prime, o faci în NOMENCLATOR.</t>
  </si>
  <si>
    <t>LUCRURI DE ȘTIUT CÂND CITEȘTI CIFRELE</t>
  </si>
  <si>
    <t>Food cost-ul nu depinde de volum</t>
  </si>
  <si>
    <t>Dacă modifici indexul de volum sau zilele din lună, procentul de food cost rămâne același — se schimbă doar sumele absolute. Volumul multiplică proporțional și costul, și vânzările. Food cost-ul se mișcă doar din preț, din rețetă sau din economii.</t>
  </si>
  <si>
    <t>De ce diferă FC-ul între taburi</t>
  </si>
  <si>
    <t>MASTER FC PERIOADĂ arată food cost-ul FĂRĂ economiile la furnizor. SCENARIU le include. Diferența dintre cele două rânduri din SCENARIU îți spune exact cât aduc renegocierile.</t>
  </si>
  <si>
    <t>Prețul din iulie</t>
  </si>
  <si>
    <t>Este referința de plecare, luată din PMIX-ul real din iulie. Nu are vânzări sau food cost propriu în fișier — servește doar ca să vezi cât a crescut prețul de atunci.</t>
  </si>
  <si>
    <t>Coloana "Continuă?"</t>
  </si>
  <si>
    <t>Pune 0 la un produs care iese din meniu sau care a fost promoție limitată. Rămâne în luna în care s-a vândut, dar nu se mai extrapolează în lunile următoare. Pune 1 pentru produsele care rămân în meniu.</t>
  </si>
  <si>
    <t>Garanțiile SGR</t>
  </si>
  <si>
    <t>Apar cu food cost 121% — este normal. Sunt sume recuperabile, nu vânzare, și costul lor este egal cu prețul. Le păstrăm ca să se potrivească cu raportul din NBO.</t>
  </si>
  <si>
    <t>CODUL CULORILOR</t>
  </si>
  <si>
    <t>GALBEN</t>
  </si>
  <si>
    <t>Celulă editabilă — input direct: preț materie primă, cantitate din rețetă, ajustare de preț, procent de economie.</t>
  </si>
  <si>
    <t>ALBASTRU</t>
  </si>
  <si>
    <t>Parametru de calendar sau volum: zile în lună, corecție de volum, index de volum.</t>
  </si>
  <si>
    <t>VERDE</t>
  </si>
  <si>
    <t>Rezultat calculat pe care îl citești: creșteri de preț, câștiguri, food cost sub 45%.</t>
  </si>
  <si>
    <t>PORTOCALIU</t>
  </si>
  <si>
    <t>Atenție: food cost peste 55%, sau produs care nu continuă după august.</t>
  </si>
  <si>
    <t>GRI</t>
  </si>
  <si>
    <t>Referință istorică — prețul din iulie, august realizat. Nu se modifică.</t>
  </si>
  <si>
    <t>Sursa datelor: PMIX 4.7 Sales Mix (03–09.08.2026, 30 magazine România) · rețetar și nomenclator NBO · plan de prețuri august–decembrie 2026.</t>
  </si>
  <si>
    <t>MASTER FC SĂPTĂMÂNĂ — food cost pe categorie</t>
  </si>
  <si>
    <t>August, săptămâna 03–09.08.2026 — exact volumele din PMIX, fără scalare. Include și promoțiile care au rulat doar în această săptămână.</t>
  </si>
  <si>
    <t>TOTAL</t>
  </si>
  <si>
    <t>InStore</t>
  </si>
  <si>
    <t>Delivery</t>
  </si>
  <si>
    <t>FOOD COST</t>
  </si>
  <si>
    <t>Vânzări nete</t>
  </si>
  <si>
    <t>Cost material</t>
  </si>
  <si>
    <t>Profit brut</t>
  </si>
  <si>
    <t>Bucăți</t>
  </si>
  <si>
    <t>% din vânzări</t>
  </si>
  <si>
    <t>% din bucăți</t>
  </si>
  <si>
    <t>Categorie</t>
  </si>
  <si>
    <t>Buc InStore</t>
  </si>
  <si>
    <t>Buc Delivery</t>
  </si>
  <si>
    <t>Buc TOTAL</t>
  </si>
  <si>
    <t>% din buc</t>
  </si>
  <si>
    <t>Net InStore</t>
  </si>
  <si>
    <t>Net Delivery</t>
  </si>
  <si>
    <t>Net TOTAL</t>
  </si>
  <si>
    <t>FC InStore</t>
  </si>
  <si>
    <t>FC Delivery</t>
  </si>
  <si>
    <t>BURGERI CORE VITĂ</t>
  </si>
  <si>
    <t>BURGERI CORE PUI</t>
  </si>
  <si>
    <t>BURGERI NON-CORE VITĂ</t>
  </si>
  <si>
    <t>BURGERI NON-CORE PUI</t>
  </si>
  <si>
    <t>CREVEȚI</t>
  </si>
  <si>
    <t>VEGETARIAN</t>
  </si>
  <si>
    <t>FRIED CHICKEN</t>
  </si>
  <si>
    <t>CARTOFI</t>
  </si>
  <si>
    <t>SOSURI</t>
  </si>
  <si>
    <t>DRINKS</t>
  </si>
  <si>
    <t>FRYCAFE</t>
  </si>
  <si>
    <t>MILKSHAKE &amp; DESERT</t>
  </si>
  <si>
    <t>ADD ON</t>
  </si>
  <si>
    <t>SNACK</t>
  </si>
  <si>
    <t>BREAKFAST</t>
  </si>
  <si>
    <t>JUNIOR</t>
  </si>
  <si>
    <t>COMBO</t>
  </si>
  <si>
    <t>MERCH</t>
  </si>
  <si>
    <t>AMBALAJE VÂNDUTE</t>
  </si>
  <si>
    <t>GARANTII SGR</t>
  </si>
  <si>
    <t>MASTER FC LUNĂ — food cost pe categorie</t>
  </si>
  <si>
    <t>August pe lună întreagă. Produsele care continuă sunt proratate (× săptămâni/lună × corecție); promoțiile de o săptămână intră la cantitatea reală, neproratate.</t>
  </si>
  <si>
    <t>MASTER FC PERIOADĂ — august → decembrie 2026, pe lună</t>
  </si>
  <si>
    <t>Valorile sunt pe lună întreagă, cu indexul de volum din SCENARIU aplicat pe fiecare lună. Economiile la furnizor NU sunt incluse aici (sunt în SCENARIU, la nivel de total).</t>
  </si>
  <si>
    <t>FC AUGUST</t>
  </si>
  <si>
    <t>FC DECEMBRIE</t>
  </si>
  <si>
    <t>CÂȘTIG</t>
  </si>
  <si>
    <t>CÂȘTIG DIN CREȘTERI DE PREȚ</t>
  </si>
  <si>
    <t>Buc/lună</t>
  </si>
  <si>
    <t>AUGUST
Net</t>
  </si>
  <si>
    <t>AUGUST
FC</t>
  </si>
  <si>
    <t>SEPT
Net</t>
  </si>
  <si>
    <t>SEPT
FC</t>
  </si>
  <si>
    <t>OCT
Net</t>
  </si>
  <si>
    <t>OCT
FC</t>
  </si>
  <si>
    <t>NOV
Net</t>
  </si>
  <si>
    <t>NOV
FC</t>
  </si>
  <si>
    <t>DEC
Net</t>
  </si>
  <si>
    <t>DEC
FC</t>
  </si>
  <si>
    <t>Δ FC aug→dec</t>
  </si>
  <si>
    <t>Câștig SALES
dec vs aug</t>
  </si>
  <si>
    <t>Câștig CUMULAT
sep→dec</t>
  </si>
  <si>
    <t>Creștere
sales %</t>
  </si>
  <si>
    <t>TOP SALES — produsele după vânzări nete, descrescător</t>
  </si>
  <si>
    <t>August, săptămâna 03–09.08. Se actualizează automat la orice modificare de preț sau rețetă.</t>
  </si>
  <si>
    <t>#</t>
  </si>
  <si>
    <t>Produs</t>
  </si>
  <si>
    <t>% din total</t>
  </si>
  <si>
    <t>REALLY CRUNCHY FRIES 170G</t>
  </si>
  <si>
    <t>DUBLU SMASHED BURGER</t>
  </si>
  <si>
    <t>CARTOFI CRISS CUT 140G</t>
  </si>
  <si>
    <t>DUBLU BLACK TRUFFLE SMASHED</t>
  </si>
  <si>
    <t>DUBLU CHEESEBURGER</t>
  </si>
  <si>
    <t>AMERICAN TRIPLU CHEESEBURGER</t>
  </si>
  <si>
    <t>BLACK TRUFFLE SMASHED</t>
  </si>
  <si>
    <t>SMASHED BURGER</t>
  </si>
  <si>
    <t>AMERICAN DUBLU CHEESEBURGER</t>
  </si>
  <si>
    <t>DIP N Cheddar 100 ML</t>
  </si>
  <si>
    <t>DIP N FRYRANCH 100G</t>
  </si>
  <si>
    <t>REALLY CRUNCHY FRIES 170G — transfer 03–09.08</t>
  </si>
  <si>
    <t>AMERICAN TRIPLU CHEESEBURGER LETTUCE WRAP</t>
  </si>
  <si>
    <t>AMERICAN CHEESEBURGER</t>
  </si>
  <si>
    <t>HOMESTYLE CRISPY 5 (300G)</t>
  </si>
  <si>
    <t>CHEESEBURGER</t>
  </si>
  <si>
    <t>Pepsi-Cola 500ml</t>
  </si>
  <si>
    <t>REALLY CRUNCHY FRIES 170G — transfer forecast</t>
  </si>
  <si>
    <t>PUI BURGER</t>
  </si>
  <si>
    <t>Pepsi -Cola 350ML new2026</t>
  </si>
  <si>
    <t>SAMURAI CHICKEN</t>
  </si>
  <si>
    <t>HOMESTYLE CHICKEN RANCH</t>
  </si>
  <si>
    <t>HOMESTYLE CRISPY 3 (180G)</t>
  </si>
  <si>
    <t>HAMBURGER</t>
  </si>
  <si>
    <t>Punga Mica</t>
  </si>
  <si>
    <t>HOMESTYLE CRISPY 4 (240G)</t>
  </si>
  <si>
    <t>Side Cheddar 40ml</t>
  </si>
  <si>
    <t>DUBLU RED PEPPER SMASHED</t>
  </si>
  <si>
    <t>Pepsi Zero 500ml</t>
  </si>
  <si>
    <t>Sos Usturoi</t>
  </si>
  <si>
    <t>Pepsi Zero 350ML new2026</t>
  </si>
  <si>
    <t>PACK HOMESTYLE CRISPY 20 (1200G)</t>
  </si>
  <si>
    <t>CHICKEN LEMON</t>
  </si>
  <si>
    <t>SIDE FRYRANCH 40G</t>
  </si>
  <si>
    <t>CHICKEN TRUFFLE</t>
  </si>
  <si>
    <t>DIP N FRYRANCH 250G</t>
  </si>
  <si>
    <t>DUBLU CHICKEN TRUFFLE</t>
  </si>
  <si>
    <t>RED PEPPER SMASHED</t>
  </si>
  <si>
    <t>DUBLU PUI BURGER</t>
  </si>
  <si>
    <t>MAC &amp; CHEESY BITES</t>
  </si>
  <si>
    <t>9 NUGGETS</t>
  </si>
  <si>
    <t>CHICKEN PESTO</t>
  </si>
  <si>
    <t>DIP N TRUFFLE 100G</t>
  </si>
  <si>
    <t>6 NUGGETS</t>
  </si>
  <si>
    <t>HOMESTYLE CHICKEN FRYRANCH LETTUCE WRAP</t>
  </si>
  <si>
    <t>APPLE PIE TOFFIE 2X</t>
  </si>
  <si>
    <t>Apa Plata AQUA CARPATICA</t>
  </si>
  <si>
    <t>9 HOT COUNTRY WINGS</t>
  </si>
  <si>
    <t>M Festival Combo Db Chee*</t>
  </si>
  <si>
    <t>Nutella Burger Capsuni</t>
  </si>
  <si>
    <t>HOMESTYLE CHICKEN LEMON</t>
  </si>
  <si>
    <t>5 HOT COUNTRY WINGS</t>
  </si>
  <si>
    <t>Junior Meal Pui Burger</t>
  </si>
  <si>
    <t>Junior Meal 4 Nuggets</t>
  </si>
  <si>
    <t>BURGER VEGETARIAN</t>
  </si>
  <si>
    <t>Sos Truffle Mayo</t>
  </si>
  <si>
    <t>SHRIMP BURGER</t>
  </si>
  <si>
    <t>9 COUNTRY WINGS</t>
  </si>
  <si>
    <t>DUBLU HAMBURGER</t>
  </si>
  <si>
    <t>4 NUGGETS</t>
  </si>
  <si>
    <t>5 COUNTRY WINGS</t>
  </si>
  <si>
    <t>7 HOT COUNTRY WINGS</t>
  </si>
  <si>
    <t>Nutella Burger Banane</t>
  </si>
  <si>
    <t>HOMESTYLE CHICKEN PESTO</t>
  </si>
  <si>
    <t>Punga</t>
  </si>
  <si>
    <t>LIPTON 350ML NEW2026</t>
  </si>
  <si>
    <t>Bautura 7 UP zero 350ml new2026</t>
  </si>
  <si>
    <t>HOMESTYLE CHICKEN LEMON LETTUCE WRAP</t>
  </si>
  <si>
    <t>Lipton 500 ml</t>
  </si>
  <si>
    <t>7 COUNTRY WINGS</t>
  </si>
  <si>
    <t>Bautura 7 UP zero 500 ml</t>
  </si>
  <si>
    <t>Sos Mayoneza 10ml</t>
  </si>
  <si>
    <t>Junior Meal Hamburger</t>
  </si>
  <si>
    <t>Nutella Burger</t>
  </si>
  <si>
    <t>Mirinda Zero Zahar 350ML new2026</t>
  </si>
  <si>
    <t>Sos Ketchup 10ml</t>
  </si>
  <si>
    <t>LIMONADA</t>
  </si>
  <si>
    <t>APPLE PIE TOFFIE</t>
  </si>
  <si>
    <t>SALATA COLESLAW</t>
  </si>
  <si>
    <t>Sos Samurai</t>
  </si>
  <si>
    <t>3 HOT COUNTRY WINGS</t>
  </si>
  <si>
    <t>PACK COUNTRY WINGS 30 (1050G)</t>
  </si>
  <si>
    <t>FRYZZZ PEPENE ROSU</t>
  </si>
  <si>
    <t>Mirinda Zero Zahar 500ml</t>
  </si>
  <si>
    <t>Milkshake Vanilie MARE</t>
  </si>
  <si>
    <t>FRYZZZ ORANGE SPRITZ</t>
  </si>
  <si>
    <t>ALMETTE FRESH PUI</t>
  </si>
  <si>
    <t>Iced Latte Tiramisu</t>
  </si>
  <si>
    <t>Milkshake Ciocolata MIC</t>
  </si>
  <si>
    <t>3 COUNTRY WINGS</t>
  </si>
  <si>
    <t>ICED COFFEE LATTE</t>
  </si>
  <si>
    <t>DIP N FRYRANCH 400G</t>
  </si>
  <si>
    <t>Milkshake Ciocolata MARE</t>
  </si>
  <si>
    <t>Apa Minerala AQUA CARPATICA</t>
  </si>
  <si>
    <t>Fry Shaker Parmezan &amp; Usturoi</t>
  </si>
  <si>
    <t>ADD Bacon</t>
  </si>
  <si>
    <t>Milkshake Vanilie MIC</t>
  </si>
  <si>
    <t>M Festival Combo Db PUI*</t>
  </si>
  <si>
    <t>FRYZZZ PINACOLADA</t>
  </si>
  <si>
    <t>DOZE PEPSI 330 ML/TWIST ZERO 330 ML/7UP 330 ML/MIRINDA PORTOCALE 330 ML</t>
  </si>
  <si>
    <t>Milkshake Capsuni MIC</t>
  </si>
  <si>
    <t>PACK COUNTRY HOT WINGS 30 (1050G)</t>
  </si>
  <si>
    <t>Milkshake Banane MARE</t>
  </si>
  <si>
    <t>Milkshake Capsuni MARE</t>
  </si>
  <si>
    <t>FRYZZ APEROL SPRITZ</t>
  </si>
  <si>
    <t>FRYZZZ CAPSUNI</t>
  </si>
  <si>
    <t>Sos SWEET CHILLI 25G</t>
  </si>
  <si>
    <t>Chicken FryRanch XRemus</t>
  </si>
  <si>
    <t>Milkshake Banane MIC</t>
  </si>
  <si>
    <t>ALMETTE BASIL PUI</t>
  </si>
  <si>
    <t>Sos Barbeque 25G</t>
  </si>
  <si>
    <t>Corona</t>
  </si>
  <si>
    <t>TIRAMISU</t>
  </si>
  <si>
    <t>Dr Pepper</t>
  </si>
  <si>
    <t>ADD Felie Cheddar</t>
  </si>
  <si>
    <t>2X Sos Ketchup 10ml/Mayoneza 10ml</t>
  </si>
  <si>
    <t>Milkshake Cirese CAN (livrare)</t>
  </si>
  <si>
    <t>Prigat Capsuni &amp;Banane</t>
  </si>
  <si>
    <t>DOZA PEPSI ZERO</t>
  </si>
  <si>
    <t>Fry Shaker Cajun</t>
  </si>
  <si>
    <t>Milkshake Fructul Pasiunii CAN (livrare)</t>
  </si>
  <si>
    <t>TRIPLU CHICKEN TRUFFLE</t>
  </si>
  <si>
    <t>Tort ciocolata zmeura</t>
  </si>
  <si>
    <t>CHEESECAKE NEWYORK</t>
  </si>
  <si>
    <t>FRYZZZ GRAPEFRUIT</t>
  </si>
  <si>
    <t>Budweiser</t>
  </si>
  <si>
    <t>ROSTI SAUSAGE BURGER</t>
  </si>
  <si>
    <t>TIRAMISU CU FISTIC</t>
  </si>
  <si>
    <t>Pepsi Twist Zero 330ml</t>
  </si>
  <si>
    <t>Milkshake Apple Cinnamon MARE</t>
  </si>
  <si>
    <t>Milkshake Fructul Pasiunii MARE</t>
  </si>
  <si>
    <t>ApfelStorm X Toffee</t>
  </si>
  <si>
    <t>Milkshake Cirese MARE</t>
  </si>
  <si>
    <t>ADD Jalapeno</t>
  </si>
  <si>
    <t>Prigat Portocale/Capsuni &amp;Banane</t>
  </si>
  <si>
    <t>Caffe Latte</t>
  </si>
  <si>
    <t>LIMONADA 350ML</t>
  </si>
  <si>
    <t>Prajitura mascarpone capsuni</t>
  </si>
  <si>
    <t>Cappucino</t>
  </si>
  <si>
    <t>Espresso</t>
  </si>
  <si>
    <t>Sacosa</t>
  </si>
  <si>
    <t>Sos HONEY MUSTARD 25G</t>
  </si>
  <si>
    <t>Red Bull</t>
  </si>
  <si>
    <t>Prajitura vanilie bezea</t>
  </si>
  <si>
    <t>Profiterol ciocolata</t>
  </si>
  <si>
    <t>Garantie SGR Pet</t>
  </si>
  <si>
    <t>Iced Latte Popcorn</t>
  </si>
  <si>
    <t>Milkshake Apple Cinnamon MIC</t>
  </si>
  <si>
    <t>Millefoglie</t>
  </si>
  <si>
    <t>Milkshake Fructul Pasiunii MIC</t>
  </si>
  <si>
    <t>ALMETTE BASIL PORC</t>
  </si>
  <si>
    <t>TRIPLU PUI BURGER</t>
  </si>
  <si>
    <t>Kendama Fry XRemus</t>
  </si>
  <si>
    <t>Lipton Lamaie 0.5L</t>
  </si>
  <si>
    <t>Espresso Grande</t>
  </si>
  <si>
    <t>Bautura 7UP 330 ML</t>
  </si>
  <si>
    <t>ALMETTE FRESH PORC</t>
  </si>
  <si>
    <t>Pepsi cu gust de Căpșuni și Frișcă</t>
  </si>
  <si>
    <t>Caramel Machiato</t>
  </si>
  <si>
    <t>MANDARINA CU SORBET</t>
  </si>
  <si>
    <t>Pepsi cu gust de Înghețată de Vanilie</t>
  </si>
  <si>
    <t>Apa Evian</t>
  </si>
  <si>
    <t>Americano</t>
  </si>
  <si>
    <t>Garantie SGR Aluminiu</t>
  </si>
  <si>
    <t>Milkshake Cirese MIC</t>
  </si>
  <si>
    <t>Tort pufos capsuni</t>
  </si>
  <si>
    <t>Jucarie</t>
  </si>
  <si>
    <t>Latte Machiato</t>
  </si>
  <si>
    <t>MIRINDA PORTOCALE 330 ML</t>
  </si>
  <si>
    <t>CARROT CAKE</t>
  </si>
  <si>
    <t>Caffe Latte Grande</t>
  </si>
  <si>
    <t>Cappucino Grande</t>
  </si>
  <si>
    <t>Prajitura Maritozzo</t>
  </si>
  <si>
    <t>Americano Grande</t>
  </si>
  <si>
    <t>Vanilla Latte Grande</t>
  </si>
  <si>
    <t>Extra Homestyle Crispy</t>
  </si>
  <si>
    <t>M Chicken FryRanch + Kendama</t>
  </si>
  <si>
    <t>Vanilla Latte</t>
  </si>
  <si>
    <t>Topping Oreo</t>
  </si>
  <si>
    <t>Cioco Cappucino Grande</t>
  </si>
  <si>
    <t>Cioco Cappucino</t>
  </si>
  <si>
    <t>Prosop Umed FRYDAY</t>
  </si>
  <si>
    <t>Garantie SGR Sticla</t>
  </si>
  <si>
    <t>Topping KitKat</t>
  </si>
  <si>
    <t>Baterie Magsafe Fry</t>
  </si>
  <si>
    <t>Add Sirop Caramel</t>
  </si>
  <si>
    <t>ADD-ON Banane</t>
  </si>
  <si>
    <t>Milkshake Biscoff MIC</t>
  </si>
  <si>
    <t>ADD-ON Nutella</t>
  </si>
  <si>
    <t>Topping Capsuni</t>
  </si>
  <si>
    <t>ADD-ON Capsuni</t>
  </si>
  <si>
    <t>Add Sirop Vanilie</t>
  </si>
  <si>
    <t>Topping Banane</t>
  </si>
  <si>
    <t>Ochelari de soare Fry</t>
  </si>
  <si>
    <t>Add Sirop Ciocolata</t>
  </si>
  <si>
    <t>Topping Cirese</t>
  </si>
  <si>
    <t>Topping Fructul Pasiunii</t>
  </si>
  <si>
    <t>Topping Apple Cinnamon</t>
  </si>
  <si>
    <t>TOP FOOD COST — produsele după food cost, de la mare la mic</t>
  </si>
  <si>
    <t>Produsele din capul listei sunt cele mai puțin rentabile. Roșu = peste 55%, galben = 45–55%, verde = sub 45%.</t>
  </si>
  <si>
    <t>SCENARIU — panoul de control</t>
  </si>
  <si>
    <t>Tot ce modifici aici se propagă în întregul fișier: prețuri, food cost pe produs, pe categorie, în cele trei taburi MASTER FC, în TOP SALES și TOP FC. GALBEN = ajustare de preț pe categorie (lei cu TVA, cumulat de la o lună la alta, peste planul deja inclus). ALBASTRU = index de volum și factorul lunar.</t>
  </si>
  <si>
    <t>PARAMETRI</t>
  </si>
  <si>
    <t>Corecție volum săptămână (03–09.08)</t>
  </si>
  <si>
    <t>← săptămâna 03–09.08 a fost peste media lunii; aceasta o normalizează</t>
  </si>
  <si>
    <t>ZILE ȘI SĂPTĂMÂNI PE LUNĂ</t>
  </si>
  <si>
    <t>August</t>
  </si>
  <si>
    <t>Septembrie</t>
  </si>
  <si>
    <t>Octombrie</t>
  </si>
  <si>
    <t>Noiembrie</t>
  </si>
  <si>
    <t>Decembrie</t>
  </si>
  <si>
    <t>Zile calendaristice</t>
  </si>
  <si>
    <t>Săptămâni (zile ÷ 7)</t>
  </si>
  <si>
    <t>INDEX VOLUM PE LUNĂ</t>
  </si>
  <si>
    <t>Index volum (1,00 = ca august)</t>
  </si>
  <si>
    <t>Bucăți vândute / lună</t>
  </si>
  <si>
    <t>AJUSTĂRI DE PREȚ PE CATEGORIE (lei cu TVA, cumulate)</t>
  </si>
  <si>
    <t>Σ extra</t>
  </si>
  <si>
    <t>Buc/săpt</t>
  </si>
  <si>
    <t>Preț mediu</t>
  </si>
  <si>
    <t>REZULTAT (pe lună)</t>
  </si>
  <si>
    <t>Economii MC (din tabul ECONOMII)</t>
  </si>
  <si>
    <t>FOOD COST %</t>
  </si>
  <si>
    <t>FOOD COST % — fără economii</t>
  </si>
  <si>
    <t xml:space="preserve">   câștig din economii (pp)</t>
  </si>
  <si>
    <t>Marjă brută</t>
  </si>
  <si>
    <t>FC august (săptămână, fără economii)</t>
  </si>
  <si>
    <t>FC decembrie (cu economii)</t>
  </si>
  <si>
    <t>AJUSTĂRI DE PREȚ PE PRODUS</t>
  </si>
  <si>
    <t>Scrii suma în lei (cu TVA) în celulele GALBENE — se adaugă peste plan și peste SCENARIU, cumulat de la o lună la alta. Lângă fiecare pereche de ajustări vezi FC-ul produsului în acea lună: total, InStore și Delivery.</t>
  </si>
  <si>
    <t>FC GENERAL:</t>
  </si>
  <si>
    <t>Aug:</t>
  </si>
  <si>
    <t>Sep:</t>
  </si>
  <si>
    <t>Oct:</t>
  </si>
  <si>
    <t>Nov:</t>
  </si>
  <si>
    <t>Dec:</t>
  </si>
  <si>
    <t>AUGUST (realizat)</t>
  </si>
  <si>
    <t>SEPTEMBRIE</t>
  </si>
  <si>
    <t>OCTOMBRIE</t>
  </si>
  <si>
    <t>NOIEMBRIE</t>
  </si>
  <si>
    <t>DECEMBRIE</t>
  </si>
  <si>
    <t>Preț aug
I</t>
  </si>
  <si>
    <t>Preț aug
D</t>
  </si>
  <si>
    <t>FC
aug</t>
  </si>
  <si>
    <t>FC I
aug</t>
  </si>
  <si>
    <t>FC D
aug</t>
  </si>
  <si>
    <t>Ajust I</t>
  </si>
  <si>
    <t>Ajust D</t>
  </si>
  <si>
    <t>FC</t>
  </si>
  <si>
    <t>FC I</t>
  </si>
  <si>
    <t>FC D</t>
  </si>
  <si>
    <t>SIMULARE PE PRODUS · august → decembrie 2026</t>
  </si>
  <si>
    <t>August = realizat (PMIX 03–09.08). Lunile următoare urmează planul. Coloanele VERZI arată creșterea față de luna anterioară. Ajustările se fac în SCENARIU.</t>
  </si>
  <si>
    <t>TOTAL GENERAL</t>
  </si>
  <si>
    <t>Continuă?</t>
  </si>
  <si>
    <t>TVA %</t>
  </si>
  <si>
    <t>Cost unitar I</t>
  </si>
  <si>
    <t>Cost unitar D</t>
  </si>
  <si>
    <t>Cost mat. I</t>
  </si>
  <si>
    <t>Cost mat. D</t>
  </si>
  <si>
    <t>COST MATERIAL</t>
  </si>
  <si>
    <t>cheie</t>
  </si>
  <si>
    <t>Preț I IULIE</t>
  </si>
  <si>
    <t>Preț D IULIE</t>
  </si>
  <si>
    <t>August
Preț I</t>
  </si>
  <si>
    <t>Preț D</t>
  </si>
  <si>
    <t>Net I</t>
  </si>
  <si>
    <t>Net D</t>
  </si>
  <si>
    <t>Septembrie
Preț I</t>
  </si>
  <si>
    <t>Octombrie
Preț I</t>
  </si>
  <si>
    <t>Noiembrie
Preț I</t>
  </si>
  <si>
    <t>Decembrie
Preț I</t>
  </si>
  <si>
    <t>Cr. Aug I</t>
  </si>
  <si>
    <t>Cr. Sep I</t>
  </si>
  <si>
    <t>Cr. Oct I</t>
  </si>
  <si>
    <t>Cr. Nov I</t>
  </si>
  <si>
    <t>Cr. Dec I</t>
  </si>
  <si>
    <t>TOTAL Cr. I</t>
  </si>
  <si>
    <t>Cr. Aug D</t>
  </si>
  <si>
    <t>Cr. Sep D</t>
  </si>
  <si>
    <t>Cr. Oct D</t>
  </si>
  <si>
    <t>Cr. Nov D</t>
  </si>
  <si>
    <t>Cr. Dec D</t>
  </si>
  <si>
    <t>TOTAL Cr. D</t>
  </si>
  <si>
    <t>BAZĂ aug</t>
  </si>
  <si>
    <t>BAZĂ sep</t>
  </si>
  <si>
    <t>BAZĂ oct</t>
  </si>
  <si>
    <t>BAZĂ nov</t>
  </si>
  <si>
    <t>BAZĂ dec</t>
  </si>
  <si>
    <t>Subtotal BURGERI CORE VITĂ</t>
  </si>
  <si>
    <t>Subtotal BURGERI CORE PUI</t>
  </si>
  <si>
    <t>Subtotal BURGERI NON-CORE VITĂ</t>
  </si>
  <si>
    <t>Subtotal BURGERI NON-CORE PUI</t>
  </si>
  <si>
    <t>Subtotal CREVEȚI</t>
  </si>
  <si>
    <t>Subtotal VEGETARIAN</t>
  </si>
  <si>
    <t>Subtotal FRIED CHICKEN</t>
  </si>
  <si>
    <t>Subtotal CARTOFI</t>
  </si>
  <si>
    <t>Subtotal SOSURI</t>
  </si>
  <si>
    <t>Subtotal DRINKS</t>
  </si>
  <si>
    <t>Subtotal FRYCAFE</t>
  </si>
  <si>
    <t>Milkshake Vanilie 300G</t>
  </si>
  <si>
    <t>Milkshake Ciocolata 200G</t>
  </si>
  <si>
    <t>Milkshake Ciocolata 300G</t>
  </si>
  <si>
    <t>Milkshake Vanilie 200G</t>
  </si>
  <si>
    <t>Milkshake Capsuni 200G</t>
  </si>
  <si>
    <t>Milkshake Banane 300G</t>
  </si>
  <si>
    <t>Milkshake Capsuni 300G</t>
  </si>
  <si>
    <t>Milkshake Banane 200G</t>
  </si>
  <si>
    <t>Milkshake Cirese CAN</t>
  </si>
  <si>
    <t>Milkshake Fructul Pasiunii CAN</t>
  </si>
  <si>
    <t>Milkshake Apple Cinnamon 300G</t>
  </si>
  <si>
    <t>Milkshake Fructul Pasiunii (MARE)</t>
  </si>
  <si>
    <t>Milkshake Cirese –(MARE)</t>
  </si>
  <si>
    <t>Milkshake Apple Cinnamon 220G</t>
  </si>
  <si>
    <t>Milkshake Fructul Pasiunii 200G (MIC)</t>
  </si>
  <si>
    <t>Milkshake Cirese 200G (MIC)</t>
  </si>
  <si>
    <t>Milkshake Biscoff 210G</t>
  </si>
  <si>
    <t>Subtotal MILKSHAKE &amp; DESERT</t>
  </si>
  <si>
    <t>Subtotal ADD ON</t>
  </si>
  <si>
    <t>Subtotal SNACK</t>
  </si>
  <si>
    <t>Subtotal BREAKFAST</t>
  </si>
  <si>
    <t>Subtotal JUNIOR</t>
  </si>
  <si>
    <t>Subtotal COMBO</t>
  </si>
  <si>
    <t>Subtotal MERCH</t>
  </si>
  <si>
    <t>Subtotal AMBALAJE VÂNDUTE</t>
  </si>
  <si>
    <t>Subtotal GARANTII SGR</t>
  </si>
  <si>
    <t>ECONOMII LA COST MATERIAL — renegocieri asumate cu furnizorii</t>
  </si>
  <si>
    <t>Coloanele GALBENE sunt input: spend-ul lunar pe materia primă, procentul de economie negociat și luna din care se aplică. Rezultatul intră automat în SCENARIU și scade food cost-ul.</t>
  </si>
  <si>
    <t>Materie primă</t>
  </si>
  <si>
    <t>Spend lunar (RON)</t>
  </si>
  <si>
    <t>% economie</t>
  </si>
  <si>
    <t>Din luna</t>
  </si>
  <si>
    <t>Aug</t>
  </si>
  <si>
    <t>Sep</t>
  </si>
  <si>
    <t>Oct</t>
  </si>
  <si>
    <t>Nov</t>
  </si>
  <si>
    <t>Dec</t>
  </si>
  <si>
    <t>PAPER (ambalaje)</t>
  </si>
  <si>
    <t>Cartofi congelati</t>
  </si>
  <si>
    <t>Branza cheddar felii</t>
  </si>
  <si>
    <t>Homestyle Chick'n Tender</t>
  </si>
  <si>
    <t>Punga Fryday Pepsi</t>
  </si>
  <si>
    <t>LW Crisscuts skin-on</t>
  </si>
  <si>
    <t>Nuggets cornflakes</t>
  </si>
  <si>
    <t>Homestyle CKN Patty</t>
  </si>
  <si>
    <t>Aripioare picante</t>
  </si>
  <si>
    <t>Aripioare nepicante</t>
  </si>
  <si>
    <t>PREP - smashed koliber 80G</t>
  </si>
  <si>
    <t>CHIFLA CARTOF 3.5inch</t>
  </si>
  <si>
    <t>Sos Brender Mayo BIB</t>
  </si>
  <si>
    <t>Ulei de alune</t>
  </si>
  <si>
    <t>Siropuri BIB (Pepsi/7UP/etc)</t>
  </si>
  <si>
    <t>REȚETAR — 746 linii</t>
  </si>
  <si>
    <t>Cantitatea (galben) e editabilă. Prețul unitar vine automat din NOMENCLATOR.</t>
  </si>
  <si>
    <t>Canal</t>
  </si>
  <si>
    <t>Cod MP</t>
  </si>
  <si>
    <t>Denumire MP</t>
  </si>
  <si>
    <t>Cantitate</t>
  </si>
  <si>
    <t>UM</t>
  </si>
  <si>
    <t>Preț unitar</t>
  </si>
  <si>
    <t>Cost linie</t>
  </si>
  <si>
    <t>TOTAL InStore</t>
  </si>
  <si>
    <t>TOTAL Delivery</t>
  </si>
  <si>
    <t>SAUCES</t>
  </si>
  <si>
    <t>AMBELE</t>
  </si>
  <si>
    <t>7000126</t>
  </si>
  <si>
    <t>HEINZ KETCHUP SASCHET 200X10ML</t>
  </si>
  <si>
    <t>buc</t>
  </si>
  <si>
    <t>TOTAL REȚETĂ</t>
  </si>
  <si>
    <t>702587</t>
  </si>
  <si>
    <t>Aripioare de pui nepicante</t>
  </si>
  <si>
    <t>4078</t>
  </si>
  <si>
    <t>ml</t>
  </si>
  <si>
    <t>700970</t>
  </si>
  <si>
    <t>Punga Pui Nepicant</t>
  </si>
  <si>
    <t>5054</t>
  </si>
  <si>
    <t>Servetele umede</t>
  </si>
  <si>
    <t>702586</t>
  </si>
  <si>
    <t>1.000 EA Aripioare de pui picante</t>
  </si>
  <si>
    <t>700971</t>
  </si>
  <si>
    <t>Punga Pui Picant</t>
  </si>
  <si>
    <t>4083</t>
  </si>
  <si>
    <t>1.000 EA Nuggets cornflakes (raw)</t>
  </si>
  <si>
    <t>5046</t>
  </si>
  <si>
    <t>Punga Alba Pui 15x15</t>
  </si>
  <si>
    <t>4003</t>
  </si>
  <si>
    <t>Bacon (raw)</t>
  </si>
  <si>
    <t>g</t>
  </si>
  <si>
    <t>7000123</t>
  </si>
  <si>
    <t>Branza cheddar felii 2026</t>
  </si>
  <si>
    <t>4028</t>
  </si>
  <si>
    <t>Jalapenos (raw)</t>
  </si>
  <si>
    <t>Add Nutella Milkshake</t>
  </si>
  <si>
    <t>MILKSHAKE &amp; DESSERT</t>
  </si>
  <si>
    <t>4041</t>
  </si>
  <si>
    <t>Nutella (raw)</t>
  </si>
  <si>
    <t>HOT DRINKS</t>
  </si>
  <si>
    <t>INSTORE</t>
  </si>
  <si>
    <t>702193</t>
  </si>
  <si>
    <t>Monin Syrup caramel 70 cl</t>
  </si>
  <si>
    <t>702192</t>
  </si>
  <si>
    <t>Monin Syrup chocolata 70 cl</t>
  </si>
  <si>
    <t>702194</t>
  </si>
  <si>
    <t>Monin Syrup vanilla 70 cl</t>
  </si>
  <si>
    <t>697191</t>
  </si>
  <si>
    <t>Y-Banane Feliate</t>
  </si>
  <si>
    <t>697190</t>
  </si>
  <si>
    <t>Y-Capsuni Feliate</t>
  </si>
  <si>
    <t>7000133</t>
  </si>
  <si>
    <t>CHIFLA CARTOF 3.5inch 53G x 72</t>
  </si>
  <si>
    <t>702631</t>
  </si>
  <si>
    <t>Almette cu rosii si busuioc 150 gr</t>
  </si>
  <si>
    <t>702458</t>
  </si>
  <si>
    <t>Sausage Patty</t>
  </si>
  <si>
    <t>60602</t>
  </si>
  <si>
    <t>Ardei Rosii Capia 2.5kg</t>
  </si>
  <si>
    <t>7000143</t>
  </si>
  <si>
    <t>SALATA LOLLO BIONDA S 500g</t>
  </si>
  <si>
    <t>5028</t>
  </si>
  <si>
    <t>Hartie Burger Fryday</t>
  </si>
  <si>
    <t>702045</t>
  </si>
  <si>
    <t>Patties pui 50gr Transavia</t>
  </si>
  <si>
    <t>702633</t>
  </si>
  <si>
    <t>Creme castraveti 200 gr</t>
  </si>
  <si>
    <t>BURGER VITA</t>
  </si>
  <si>
    <t>7000280</t>
  </si>
  <si>
    <t>7000141</t>
  </si>
  <si>
    <t>HARTIE AMERICAN CHEESBURGER 12X12 AA14</t>
  </si>
  <si>
    <t>7000144</t>
  </si>
  <si>
    <t>Iceberg Cal.1  400/500gr</t>
  </si>
  <si>
    <t>702140</t>
  </si>
  <si>
    <t>Illy Expresso Clasico 1.5 kg</t>
  </si>
  <si>
    <t>5033</t>
  </si>
  <si>
    <t>Pahar Carton DW Fryday 250ml</t>
  </si>
  <si>
    <t>702114</t>
  </si>
  <si>
    <t>Capac din plastic SR 80 (8OZ)</t>
  </si>
  <si>
    <t>5044</t>
  </si>
  <si>
    <t>Paletine Lemn 14 cm</t>
  </si>
  <si>
    <t>5034</t>
  </si>
  <si>
    <t>Pahar Carton DW Fryday 350ml</t>
  </si>
  <si>
    <t>702115</t>
  </si>
  <si>
    <t>Capac dn plastic SR 90 (12OZ)</t>
  </si>
  <si>
    <t>3002</t>
  </si>
  <si>
    <t>Apa Evian (raw)</t>
  </si>
  <si>
    <t>701010</t>
  </si>
  <si>
    <t>Aqua Carpatica Minerala (raw)</t>
  </si>
  <si>
    <t>Apa Minerala Morshinska</t>
  </si>
  <si>
    <t>COLD DRINKS</t>
  </si>
  <si>
    <t>EST-MORSH-MIN</t>
  </si>
  <si>
    <t>Apa Minerala Morshinska (ESTIMAT — fără card NBO)</t>
  </si>
  <si>
    <t>700977</t>
  </si>
  <si>
    <t>1.000 EA Aqua Carpatica Plata (raw)</t>
  </si>
  <si>
    <t>Apa Plata Morshinska</t>
  </si>
  <si>
    <t>EST-MORSH-PLATA</t>
  </si>
  <si>
    <t>Apa Plata Morshinska (ESTIMAT — fără card NBO)</t>
  </si>
  <si>
    <t>7000181</t>
  </si>
  <si>
    <t>Pahar Storm</t>
  </si>
  <si>
    <t>4033</t>
  </si>
  <si>
    <t>Lapte UHT 7.5%</t>
  </si>
  <si>
    <t>7000166</t>
  </si>
  <si>
    <t>PLACINTA MAR CARAMEL. 70G</t>
  </si>
  <si>
    <t>5042</t>
  </si>
  <si>
    <t>Pai 12 mm</t>
  </si>
  <si>
    <t>7000182</t>
  </si>
  <si>
    <t>CUTIE CARTON FRYPIE APPLE TOFFEFE FRYDAY</t>
  </si>
  <si>
    <t>702567</t>
  </si>
  <si>
    <t>Baterie Magsafe Personalizata</t>
  </si>
  <si>
    <t>7000275</t>
  </si>
  <si>
    <t>BASE-PEPSI SOFT DRINKS 350 ML NEW</t>
  </si>
  <si>
    <t>702315</t>
  </si>
  <si>
    <t>7UP ZERO BIB</t>
  </si>
  <si>
    <t>7000276</t>
  </si>
  <si>
    <t>BASE-PEPSI SOFT DRINKS 500 ML NEW</t>
  </si>
  <si>
    <t>700973</t>
  </si>
  <si>
    <t>7UP 0.33L</t>
  </si>
  <si>
    <t>702607</t>
  </si>
  <si>
    <t>CUTIE MICA BLACK TRUFFLE BRG 2025 - PATRATA FRY</t>
  </si>
  <si>
    <t>702507</t>
  </si>
  <si>
    <t>PUNGA 11x5x12.5 BURGER MIC</t>
  </si>
  <si>
    <t>702511</t>
  </si>
  <si>
    <t>Truffle Mayonaise 10L</t>
  </si>
  <si>
    <t>701035</t>
  </si>
  <si>
    <t>Ceapa prajita</t>
  </si>
  <si>
    <t>701054</t>
  </si>
  <si>
    <t>Bere Budweiser 0.33</t>
  </si>
  <si>
    <t>4080</t>
  </si>
  <si>
    <t>Veggie Plant Based 95g</t>
  </si>
  <si>
    <t>702052</t>
  </si>
  <si>
    <t>Ketchup Jerrycan Heinz 10.2L</t>
  </si>
  <si>
    <t>4063</t>
  </si>
  <si>
    <t>4056</t>
  </si>
  <si>
    <t>Salata Eisberg</t>
  </si>
  <si>
    <t>702399</t>
  </si>
  <si>
    <t>Y-Castraveti felii in saramura</t>
  </si>
  <si>
    <t>Butura 7UP Zero</t>
  </si>
  <si>
    <t>697008</t>
  </si>
  <si>
    <t>BASE - Soft Drinks 250ml</t>
  </si>
  <si>
    <t>4032</t>
  </si>
  <si>
    <t>Lapte cafea</t>
  </si>
  <si>
    <t>702234</t>
  </si>
  <si>
    <t>Topping Caramel 0.5L</t>
  </si>
  <si>
    <t>702176</t>
  </si>
  <si>
    <t>1.000 EA CARROT CAKE</t>
  </si>
  <si>
    <t>702092</t>
  </si>
  <si>
    <t>Furculita Rosie</t>
  </si>
  <si>
    <t>FRIES</t>
  </si>
  <si>
    <t>7000163</t>
  </si>
  <si>
    <t>LW CRISSCUTS SKIN-ON</t>
  </si>
  <si>
    <t>7000151</t>
  </si>
  <si>
    <t>PAHAR CARTOFI FRY 12OZ - 85MM 2026</t>
  </si>
  <si>
    <t>Cartofi Prajiti 112G</t>
  </si>
  <si>
    <t>702037</t>
  </si>
  <si>
    <t>702316</t>
  </si>
  <si>
    <t>CUTIE CARTOFI FRYDAY 112G 2024</t>
  </si>
  <si>
    <t>Cartofi prajiti in ulei de alune 112g</t>
  </si>
  <si>
    <t>DELIVERY</t>
  </si>
  <si>
    <t>Cartofi prajiti in ulei de alune 150g</t>
  </si>
  <si>
    <t>702317</t>
  </si>
  <si>
    <t>CUTIE CARTOFI FRYDAY 150G 2024</t>
  </si>
  <si>
    <t>Cartofi prajiti in ulei de alune SuperSize 250g</t>
  </si>
  <si>
    <t>702318</t>
  </si>
  <si>
    <t>CUTIE CARTOFI FRYDAY 250G 2024</t>
  </si>
  <si>
    <t>700655</t>
  </si>
  <si>
    <t>Hartie Little Hamburgers</t>
  </si>
  <si>
    <t>702048</t>
  </si>
  <si>
    <t>Mustar Heinz 875ml</t>
  </si>
  <si>
    <t>7000142</t>
  </si>
  <si>
    <t>Y - Ceapa Cuburi</t>
  </si>
  <si>
    <t>7000130</t>
  </si>
  <si>
    <t>CHEESECAKE NY 2.130 KG</t>
  </si>
  <si>
    <t>BURGER PUI</t>
  </si>
  <si>
    <t>7000024</t>
  </si>
  <si>
    <t>Prep Salata Coleslaw</t>
  </si>
  <si>
    <t>7000001</t>
  </si>
  <si>
    <t>Sos FryRanch</t>
  </si>
  <si>
    <t>BURGER</t>
  </si>
  <si>
    <t>702122</t>
  </si>
  <si>
    <t>Lemon Pepper  Mayo</t>
  </si>
  <si>
    <t>700963</t>
  </si>
  <si>
    <t>Green Pesto Mayo</t>
  </si>
  <si>
    <t>CHICKEN PESTO BURGER</t>
  </si>
  <si>
    <t>702321</t>
  </si>
  <si>
    <t>5 Inch Potato Roll</t>
  </si>
  <si>
    <t>700996</t>
  </si>
  <si>
    <t>Schnitzel Cornflakes Gierlinger 100gr</t>
  </si>
  <si>
    <t>702496</t>
  </si>
  <si>
    <t>Cutie mare burger Chicken Pesto</t>
  </si>
  <si>
    <t>700653</t>
  </si>
  <si>
    <t>Hartie Kraft Pui</t>
  </si>
  <si>
    <t>1003</t>
  </si>
  <si>
    <t>Corona (raw)</t>
  </si>
  <si>
    <t>Dark Franui</t>
  </si>
  <si>
    <t>DESERT</t>
  </si>
  <si>
    <t>702469</t>
  </si>
  <si>
    <t>FRANUI DARK 12x150g</t>
  </si>
  <si>
    <t>5032</t>
  </si>
  <si>
    <t>Pahar Carton Chedar Dip 130ml</t>
  </si>
  <si>
    <t>701043</t>
  </si>
  <si>
    <t>Capac sosiera 50ml</t>
  </si>
  <si>
    <t>4064</t>
  </si>
  <si>
    <t>Sos Cheddar BIB</t>
  </si>
  <si>
    <t>7000003</t>
  </si>
  <si>
    <t>Pahar Carton Dip'n FRY RANCH 130ml</t>
  </si>
  <si>
    <t>7000004</t>
  </si>
  <si>
    <t>PAHAR DIN CARTON [300ML/12OZ] FRY RANCH CGRBA7991 DP12N</t>
  </si>
  <si>
    <t>7000006</t>
  </si>
  <si>
    <t>CAPAC PENTRU PAHAR CARTON CL90 - 0.35-0.4-0.5 ML</t>
  </si>
  <si>
    <t>7000005</t>
  </si>
  <si>
    <t>PAHAR DIN CARTON [400ML/16OZ] FRY RANCH CGRBA7992 DP16T</t>
  </si>
  <si>
    <t>7000002</t>
  </si>
  <si>
    <t>Pahar Carton Dip'n Truffle 130ml</t>
  </si>
  <si>
    <t>702044</t>
  </si>
  <si>
    <t>1.000 EA Pepsi Max 0.33L PROMO FREE</t>
  </si>
  <si>
    <t>700657</t>
  </si>
  <si>
    <t>Pepsi-Cola 0.33L</t>
  </si>
  <si>
    <t>702261</t>
  </si>
  <si>
    <t>DR PEPPER DOZA 0.33L</t>
  </si>
  <si>
    <t>7000140</t>
  </si>
  <si>
    <t>HARTIE BURGER Doubles 12x12 AA13</t>
  </si>
  <si>
    <t>702514</t>
  </si>
  <si>
    <t>Redpeppajam Sauce</t>
  </si>
  <si>
    <t>702556</t>
  </si>
  <si>
    <t>CUTIE MICA RED PEPPER SMASHED BURGER Fry</t>
  </si>
  <si>
    <t>702624</t>
  </si>
  <si>
    <t>2025 - PATRATA FRY IMPERFECT</t>
  </si>
  <si>
    <t>7000224</t>
  </si>
  <si>
    <t>Sos Real Burger NEW</t>
  </si>
  <si>
    <t>702035</t>
  </si>
  <si>
    <t>Pahar cafea 4OZ</t>
  </si>
  <si>
    <t>702116</t>
  </si>
  <si>
    <t>Capac din plastic negru 4oz</t>
  </si>
  <si>
    <t>7000018</t>
  </si>
  <si>
    <t>Frydays Homestyle Chick'n Tender 65g</t>
  </si>
  <si>
    <t>7000167</t>
  </si>
  <si>
    <t>Punga Fry Shaker</t>
  </si>
  <si>
    <t>7000169</t>
  </si>
  <si>
    <t>PLIC CONDIMENTE CAJUN [3G] FRY</t>
  </si>
  <si>
    <t>7000168</t>
  </si>
  <si>
    <t>PLIC CONDIMENTE PARMESAN [3G] FRY</t>
  </si>
  <si>
    <t>7000247</t>
  </si>
  <si>
    <t>APEROL SPRITZ 9% 0.2L</t>
  </si>
  <si>
    <t>7000012</t>
  </si>
  <si>
    <t>PAHAR PET FRYZZZ 300-400ML</t>
  </si>
  <si>
    <t>7000013</t>
  </si>
  <si>
    <t>CAPAC PLAT CU ORIFICIU FRYZZZ</t>
  </si>
  <si>
    <t>702138</t>
  </si>
  <si>
    <t>Pai hartie 8mm</t>
  </si>
  <si>
    <t>702191</t>
  </si>
  <si>
    <t>Monin Syrup strawberry 70 cl</t>
  </si>
  <si>
    <t>697054</t>
  </si>
  <si>
    <t>Biogon C E290 10kg</t>
  </si>
  <si>
    <t>702190</t>
  </si>
  <si>
    <t>Monin Syrup pink grapefruit 70 cl</t>
  </si>
  <si>
    <t>7000244</t>
  </si>
  <si>
    <t>SIROP MONIN ORANGE SPRITZ 0.7L</t>
  </si>
  <si>
    <t>702188</t>
  </si>
  <si>
    <t>Monin Syrup WATERMELON 70 cl</t>
  </si>
  <si>
    <t>702189</t>
  </si>
  <si>
    <t>Monin Syrup passion fruit 70 cl</t>
  </si>
  <si>
    <t>702187</t>
  </si>
  <si>
    <t>Monin Syrup pineapple 70 cl</t>
  </si>
  <si>
    <t>702232</t>
  </si>
  <si>
    <t>Garantie sgr aluminiu</t>
  </si>
  <si>
    <t>702231</t>
  </si>
  <si>
    <t>Garantie sgr pet</t>
  </si>
  <si>
    <t>702233</t>
  </si>
  <si>
    <t>Garantie sgr sticla</t>
  </si>
  <si>
    <t>7000103</t>
  </si>
  <si>
    <t>702367</t>
  </si>
  <si>
    <t>CUTIE MICA HOMESTYLE BRG.2024</t>
  </si>
  <si>
    <t>HOMESTYLE WEDGES 210G</t>
  </si>
  <si>
    <t>702630</t>
  </si>
  <si>
    <t>Original SeasnCrinkleWedges</t>
  </si>
  <si>
    <t>7000242</t>
  </si>
  <si>
    <t>SIROP MONIN POPCORN 0.7L</t>
  </si>
  <si>
    <t>7000243</t>
  </si>
  <si>
    <t>SIROP MONIN TIRAMISU 0.7L</t>
  </si>
  <si>
    <t>KIDS</t>
  </si>
  <si>
    <t>8001</t>
  </si>
  <si>
    <t>Cutie Jucarie</t>
  </si>
  <si>
    <t>JR-BAUT-D</t>
  </si>
  <si>
    <t>BAUTURA JUNIOR DELIVERY (medie ponderata: Prigat 75%, Apa 22%, Lipton 3%)</t>
  </si>
  <si>
    <t>7000210</t>
  </si>
  <si>
    <t>PREP - smashed koliber 60G</t>
  </si>
  <si>
    <t>7000161</t>
  </si>
  <si>
    <t>Kendama (raw)</t>
  </si>
  <si>
    <t>702548</t>
  </si>
  <si>
    <t>1.000 EA Prep Limonada</t>
  </si>
  <si>
    <t>LIMONADA 400ML</t>
  </si>
  <si>
    <t>Lipton 250ml</t>
  </si>
  <si>
    <t>3006</t>
  </si>
  <si>
    <t>Lipton BIB</t>
  </si>
  <si>
    <t>700658</t>
  </si>
  <si>
    <t>COMBOS</t>
  </si>
  <si>
    <t>702088-MAC</t>
  </si>
  <si>
    <t>Mac&amp;Cheese Bites RAW</t>
  </si>
  <si>
    <t>7000132</t>
  </si>
  <si>
    <t>Mandarina cu sorbet, 12 buc</t>
  </si>
  <si>
    <t>7000230</t>
  </si>
  <si>
    <t>1.000 EA BASE - Milkshake 2026</t>
  </si>
  <si>
    <t>7000011</t>
  </si>
  <si>
    <t>APPLE CINNAMON TOPPING WITH DICES</t>
  </si>
  <si>
    <t>7000235</t>
  </si>
  <si>
    <t>1.000 EA BASE - Milkshake CAN</t>
  </si>
  <si>
    <t>700158</t>
  </si>
  <si>
    <t>1.000 EA BASE - Milkshake 2021</t>
  </si>
  <si>
    <t>702015</t>
  </si>
  <si>
    <t>Piure Banane Monin</t>
  </si>
  <si>
    <t>702512</t>
  </si>
  <si>
    <t>LOTUS-BISCOFF CREMA TARTINABILA 3KG</t>
  </si>
  <si>
    <t>Milkshake Biscoff 300G</t>
  </si>
  <si>
    <t>702016</t>
  </si>
  <si>
    <t>Piure Capsuni Monin</t>
  </si>
  <si>
    <t>7000245</t>
  </si>
  <si>
    <t>MONIN FDM PUREE CHERRY 1L</t>
  </si>
  <si>
    <t>Milkshake Dark Franui</t>
  </si>
  <si>
    <t>7000246</t>
  </si>
  <si>
    <t>MONIN FDM PUREE PASSION FRUIT 1L</t>
  </si>
  <si>
    <t>7000014</t>
  </si>
  <si>
    <t>1.000 EA MILLEFOGLIE RAW</t>
  </si>
  <si>
    <t>700656</t>
  </si>
  <si>
    <t>Mirinda Portocale 0.33L</t>
  </si>
  <si>
    <t>Mirinda Zero</t>
  </si>
  <si>
    <t>702295</t>
  </si>
  <si>
    <t>Mirinda Orange ZERO BIB</t>
  </si>
  <si>
    <t>700682</t>
  </si>
  <si>
    <t>BULINA BANANE 2025</t>
  </si>
  <si>
    <t>700681</t>
  </si>
  <si>
    <t>BULINA CAPSUNI 2025</t>
  </si>
  <si>
    <t>702144</t>
  </si>
  <si>
    <t>PREP- Capsuni Liofilizate</t>
  </si>
  <si>
    <t>702568</t>
  </si>
  <si>
    <t>Ochelari de soare Personalizati</t>
  </si>
  <si>
    <t>7000015</t>
  </si>
  <si>
    <t>Ambalaj Crispy FRY 300x148x70 (T+M+S)</t>
  </si>
  <si>
    <t>3009</t>
  </si>
  <si>
    <t>Pepsi-Cola BIB</t>
  </si>
  <si>
    <t>Pepsi /PEPSI ZERO/7UP ZERO/MIRINDA ZERO/LIPTON 250ML</t>
  </si>
  <si>
    <t>Pepsi /PEPSI ZERO/7UP ZERO/MIRINDA ZERO/LIPTON 500ML</t>
  </si>
  <si>
    <t>702342</t>
  </si>
  <si>
    <t>BASE - Pepsi Soft Drinks 500 ml</t>
  </si>
  <si>
    <t>7000122</t>
  </si>
  <si>
    <t>PEPSI ZERO STRAWBERRY CREAM 330ML</t>
  </si>
  <si>
    <t>7000121</t>
  </si>
  <si>
    <t>PEPSI ZERO CREAM SODA 330ML</t>
  </si>
  <si>
    <t>702508</t>
  </si>
  <si>
    <t>Pepsi Twist Zero</t>
  </si>
  <si>
    <t>Pepsi zero 250 ml</t>
  </si>
  <si>
    <t>3008</t>
  </si>
  <si>
    <t>Pepsi Max BIB</t>
  </si>
  <si>
    <t>Pepsi-Cola 250ml</t>
  </si>
  <si>
    <t>Pin Metalic Fry</t>
  </si>
  <si>
    <t>702565</t>
  </si>
  <si>
    <t>Pin Metalic Fry (raw)</t>
  </si>
  <si>
    <t>702479</t>
  </si>
  <si>
    <t>1.000 EA MARITOZZO 90 g x 12</t>
  </si>
  <si>
    <t>702181</t>
  </si>
  <si>
    <t>Prajitura cu mascarpone si capasuni in pahar sticla</t>
  </si>
  <si>
    <t>702179</t>
  </si>
  <si>
    <t>Prajitura de vanilie cu bezea crocanta</t>
  </si>
  <si>
    <t>3013</t>
  </si>
  <si>
    <t>Prigat Capsuni&amp;Banane (raw)</t>
  </si>
  <si>
    <t>3016</t>
  </si>
  <si>
    <t>Prigat Portocale (raw)</t>
  </si>
  <si>
    <t>702175</t>
  </si>
  <si>
    <t>Profiterol cu ciocolata</t>
  </si>
  <si>
    <t>MISC</t>
  </si>
  <si>
    <t>7000023</t>
  </si>
  <si>
    <t>PROSOAPE UMEDE FRY</t>
  </si>
  <si>
    <t>702147</t>
  </si>
  <si>
    <t>PUNGA TO GO FRD+PEPSI 26X17X33</t>
  </si>
  <si>
    <t>702146</t>
  </si>
  <si>
    <t>PUNGA FRYDAY PEPSI 23X10X30</t>
  </si>
  <si>
    <t>3017</t>
  </si>
  <si>
    <t>Redbull (raw)</t>
  </si>
  <si>
    <t>702414</t>
  </si>
  <si>
    <t>Rosti Rounds</t>
  </si>
  <si>
    <t>700968</t>
  </si>
  <si>
    <t>Bulina porc</t>
  </si>
  <si>
    <t>702237</t>
  </si>
  <si>
    <t>Sacosa mare to go FRD 32X16.5X34</t>
  </si>
  <si>
    <t>7000016</t>
  </si>
  <si>
    <t>BOL SALATA COLESLAW CIRIY226AE1311 Y226 FRYDAY</t>
  </si>
  <si>
    <t>7000017</t>
  </si>
  <si>
    <t>CAPAC BOL SALATA COLESLAW LIRISL95S LID Y226 FRYDAY</t>
  </si>
  <si>
    <t>4067</t>
  </si>
  <si>
    <t>Sos Samurai BIB</t>
  </si>
  <si>
    <t>CREVETI</t>
  </si>
  <si>
    <t>702263</t>
  </si>
  <si>
    <t>Breaded Shrimp Patty 100g</t>
  </si>
  <si>
    <t>702314</t>
  </si>
  <si>
    <t>N Sos Cocktail</t>
  </si>
  <si>
    <t>702471</t>
  </si>
  <si>
    <t>CUTIE MICA Shrimp Burger 2024- PATRAT</t>
  </si>
  <si>
    <t>SOSURI SPECIALE</t>
  </si>
  <si>
    <t>701042</t>
  </si>
  <si>
    <t>Sosiera neagra 50ml</t>
  </si>
  <si>
    <t>702230</t>
  </si>
  <si>
    <t>1.000 EA Barbecue Sauce 100 x 25g</t>
  </si>
  <si>
    <t>7000125</t>
  </si>
  <si>
    <t>HEINZ HONEY MUSTARD DIPPOT 100X25G</t>
  </si>
  <si>
    <t>7000128</t>
  </si>
  <si>
    <t>HEINZ MAYONNAISE SASCHET 200X100ML</t>
  </si>
  <si>
    <t>702102</t>
  </si>
  <si>
    <t>RTS - Sos Samurai 25ml</t>
  </si>
  <si>
    <t>7000124</t>
  </si>
  <si>
    <t>HEINZ SWEET CHILLY DIPPOT 100X25G</t>
  </si>
  <si>
    <t>702103</t>
  </si>
  <si>
    <t>RTS - Sos Truffle Mayo 25ml</t>
  </si>
  <si>
    <t>702104</t>
  </si>
  <si>
    <t>RTS - Sos Usturoi 25ml</t>
  </si>
  <si>
    <t>702180</t>
  </si>
  <si>
    <t>TIRAMISÙ pufos in pahar sticla</t>
  </si>
  <si>
    <t>7000131</t>
  </si>
  <si>
    <t>TIRAMISU FISTIC 1.2 KG</t>
  </si>
  <si>
    <t>Topping Biscoff</t>
  </si>
  <si>
    <t>697025</t>
  </si>
  <si>
    <t>PREP - Sirop Capsuni</t>
  </si>
  <si>
    <t>4073</t>
  </si>
  <si>
    <t>1.000 EA Topping KitKat Crunch (raw)</t>
  </si>
  <si>
    <t>4077</t>
  </si>
  <si>
    <t>Topping Oreo Crunch (raw)</t>
  </si>
  <si>
    <t>702171</t>
  </si>
  <si>
    <t>1.000 EA Tort de ciocolata cu zmeura</t>
  </si>
  <si>
    <t>702178</t>
  </si>
  <si>
    <t>Tort pufos cu capsuni</t>
  </si>
  <si>
    <t>TRIPLU HAMBURGER</t>
  </si>
  <si>
    <t>702258</t>
  </si>
  <si>
    <t>4 Inch Potato Roll</t>
  </si>
  <si>
    <t>702463</t>
  </si>
  <si>
    <t>PREP- Smashed Burger 65 g</t>
  </si>
  <si>
    <t>White Franui</t>
  </si>
  <si>
    <t>702468</t>
  </si>
  <si>
    <t>FRANUI MILK 12x150g</t>
  </si>
  <si>
    <t>NOMENCLATOR — 201 materii prime</t>
  </si>
  <si>
    <t>Prețul (galben) e singurul input. Din el se calculează tot: rețetar → cost produs → food cost.</t>
  </si>
  <si>
    <t>Cod NBO</t>
  </si>
  <si>
    <t>Denumire NBO</t>
  </si>
  <si>
    <t>Tip</t>
  </si>
  <si>
    <t>UM (NBO)</t>
  </si>
  <si>
    <t>UM bază</t>
  </si>
  <si>
    <t>PREȚ / UM bază</t>
  </si>
  <si>
    <t>Valabil de la</t>
  </si>
  <si>
    <t>Aliment</t>
  </si>
  <si>
    <t>EA</t>
  </si>
  <si>
    <t>2026-08-09</t>
  </si>
  <si>
    <t>2026-08-01</t>
  </si>
  <si>
    <t>2026-08-03</t>
  </si>
  <si>
    <t>ML</t>
  </si>
  <si>
    <t>l</t>
  </si>
  <si>
    <t>GM</t>
  </si>
  <si>
    <t>kg</t>
  </si>
  <si>
    <t>Ambalaj</t>
  </si>
  <si>
    <t>EST-APACARBO</t>
  </si>
  <si>
    <t>Apa Carbo (ESTIMAT — fără card NBO)</t>
  </si>
  <si>
    <t>2026-08-10</t>
  </si>
  <si>
    <t>NOU-PIU-GRAP</t>
  </si>
  <si>
    <t>Piure Grapefruit Monin</t>
  </si>
  <si>
    <t>NOU-PIU-PEPE</t>
  </si>
  <si>
    <t>Piure Pepene Rosu Monin</t>
  </si>
  <si>
    <t>NOU-PIU-PINA</t>
  </si>
  <si>
    <t>Piure Pina Colada Monin</t>
  </si>
  <si>
    <t>NOU-SOSREAL</t>
  </si>
  <si>
    <t>Sos Real Burger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</si>
</sst>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00%"/>
    <numFmt numFmtId="166" formatCode="\+0.0%;\-0.0%"/>
    <numFmt numFmtId="167" formatCode="0.00000"/>
    <numFmt numFmtId="168" formatCode="0.0000"/>
    <numFmt numFmtId="169" formatCode="\+#,##0.00;\-#,##0.00"/>
    <numFmt numFmtId="170" formatCode="\+#,##0.00;\-#,##0.00;0"/>
    <numFmt numFmtId="171" formatCode="#,##0.000"/>
    <numFmt numFmtId="172" formatCode="#,##0.###"/>
    <numFmt numFmtId="173" formatCode="#,##0.0000"/>
  </numFmts>
  <fonts count="28" x14ac:knownFonts="1">
    <font>
      <sz val="11"/>
      <color theme="1"/>
      <name val="Calibri"/>
      <family val="2"/>
      <charset val="1"/>
    </font>
    <font>
      <b/>
      <sz val="20"/>
      <color rgb="FF7A1F1F"/>
      <name val="Arial"/>
      <family val="2"/>
    </font>
    <font>
      <i/>
      <sz val="10"/>
      <color rgb="FF555555"/>
      <name val="Arial"/>
      <family val="2"/>
    </font>
    <font>
      <b/>
      <sz val="13"/>
      <color rgb="FFFFFFFF"/>
      <name val="Arial"/>
      <family val="2"/>
    </font>
    <font>
      <b/>
      <sz val="10"/>
      <name val="Arial"/>
      <family val="2"/>
    </font>
    <font>
      <sz val="10"/>
      <name val="Arial"/>
      <family val="2"/>
    </font>
    <font>
      <b/>
      <sz val="15"/>
      <name val="Arial"/>
      <family val="2"/>
    </font>
    <font>
      <i/>
      <sz val="9"/>
      <color rgb="FF555555"/>
      <name val="Arial"/>
      <family val="2"/>
    </font>
    <font>
      <b/>
      <sz val="9"/>
      <color rgb="FFFFFFFF"/>
      <name val="Arial"/>
      <family val="2"/>
    </font>
    <font>
      <b/>
      <sz val="11"/>
      <color rgb="FF7A1F1F"/>
      <name val="Arial"/>
      <family val="2"/>
    </font>
    <font>
      <b/>
      <sz val="24"/>
      <color rgb="FF7A1F1F"/>
      <name val="Arial"/>
      <family val="2"/>
    </font>
    <font>
      <b/>
      <sz val="12"/>
      <name val="Arial"/>
      <family val="2"/>
    </font>
    <font>
      <b/>
      <sz val="11"/>
      <color rgb="FF2E7D32"/>
      <name val="Arial"/>
      <family val="2"/>
    </font>
    <font>
      <b/>
      <sz val="12"/>
      <color rgb="FF2E7D32"/>
      <name val="Arial"/>
      <family val="2"/>
    </font>
    <font>
      <b/>
      <sz val="20"/>
      <color rgb="FF2E7D32"/>
      <name val="Arial"/>
      <family val="2"/>
    </font>
    <font>
      <b/>
      <sz val="10"/>
      <color rgb="FF2E7D32"/>
      <name val="Arial"/>
      <family val="2"/>
    </font>
    <font>
      <b/>
      <sz val="16"/>
      <name val="Arial"/>
      <family val="2"/>
    </font>
    <font>
      <sz val="10"/>
      <color rgb="FF1F4E78"/>
      <name val="Arial"/>
      <family val="2"/>
    </font>
    <font>
      <b/>
      <sz val="10"/>
      <color rgb="FFFFFFFF"/>
      <name val="Arial"/>
      <family val="2"/>
    </font>
    <font>
      <b/>
      <sz val="12"/>
      <color rgb="FF7A1F1F"/>
      <name val="Arial"/>
      <family val="2"/>
    </font>
    <font>
      <sz val="11"/>
      <color rgb="FF555555"/>
      <name val="Arial"/>
      <family val="2"/>
    </font>
    <font>
      <i/>
      <sz val="9"/>
      <color rgb="FF2E7D32"/>
      <name val="Arial"/>
      <family val="2"/>
    </font>
    <font>
      <sz val="9"/>
      <color rgb="FF2E7D32"/>
      <name val="Arial"/>
      <family val="2"/>
    </font>
    <font>
      <b/>
      <sz val="22"/>
      <color rgb="FF7A1F1F"/>
      <name val="Arial"/>
      <family val="2"/>
    </font>
    <font>
      <sz val="10"/>
      <color rgb="FF999999"/>
      <name val="Arial"/>
      <family val="2"/>
    </font>
    <font>
      <b/>
      <sz val="9"/>
      <color rgb="FF1F4E78"/>
      <name val="Arial"/>
      <family val="2"/>
    </font>
    <font>
      <b/>
      <sz val="11"/>
      <color rgb="FFFFFFFF"/>
      <name val="Arial"/>
      <family val="2"/>
    </font>
    <font>
      <b/>
      <sz val="10"/>
      <color rgb="FF7A1F1F"/>
      <name val="Arial"/>
      <family val="2"/>
    </font>
  </fonts>
  <fills count="21">
    <fill>
      <patternFill patternType="none"/>
    </fill>
    <fill>
      <patternFill patternType="gray125"/>
    </fill>
    <fill>
      <patternFill patternType="solid">
        <fgColor rgb="FF7A1F1F"/>
        <bgColor rgb="FF800000"/>
      </patternFill>
    </fill>
    <fill>
      <patternFill patternType="solid">
        <fgColor rgb="FFF2F2F2"/>
        <bgColor rgb="FFEDEDED"/>
      </patternFill>
    </fill>
    <fill>
      <patternFill patternType="solid">
        <fgColor rgb="FFDDEBF7"/>
        <bgColor rgb="FFDCE6F1"/>
      </patternFill>
    </fill>
    <fill>
      <patternFill patternType="solid">
        <fgColor rgb="FFE2EFDA"/>
        <bgColor rgb="FFEAF3EA"/>
      </patternFill>
    </fill>
    <fill>
      <patternFill patternType="solid">
        <fgColor rgb="FFFFF7CC"/>
        <bgColor rgb="FFFFF9E6"/>
      </patternFill>
    </fill>
    <fill>
      <patternFill patternType="solid">
        <fgColor rgb="FFFCE4D6"/>
        <bgColor rgb="FFF5DEDE"/>
      </patternFill>
    </fill>
    <fill>
      <patternFill patternType="solid">
        <fgColor rgb="FFF5DEDE"/>
        <bgColor rgb="FFEDE3E3"/>
      </patternFill>
    </fill>
    <fill>
      <patternFill patternType="solid">
        <fgColor rgb="FF2E7D32"/>
        <bgColor rgb="FF008000"/>
      </patternFill>
    </fill>
    <fill>
      <patternFill patternType="solid">
        <fgColor rgb="FFD9E1F2"/>
        <bgColor rgb="FFDCE6F1"/>
      </patternFill>
    </fill>
    <fill>
      <patternFill patternType="solid">
        <fgColor rgb="FFEAF3EA"/>
        <bgColor rgb="FFEDEDED"/>
      </patternFill>
    </fill>
    <fill>
      <patternFill patternType="solid">
        <fgColor rgb="FFE8F1F8"/>
        <bgColor rgb="FFEAF3EA"/>
      </patternFill>
    </fill>
    <fill>
      <patternFill patternType="solid">
        <fgColor rgb="FFF3EAF3"/>
        <bgColor rgb="FFEDEDED"/>
      </patternFill>
    </fill>
    <fill>
      <patternFill patternType="solid">
        <fgColor rgb="FFFFF9E6"/>
        <bgColor rgb="FFFDF2E9"/>
      </patternFill>
    </fill>
    <fill>
      <patternFill patternType="solid">
        <fgColor rgb="FFDCE6F1"/>
        <bgColor rgb="FFD9E1F2"/>
      </patternFill>
    </fill>
    <fill>
      <patternFill patternType="solid">
        <fgColor rgb="FFE2E2E2"/>
        <bgColor rgb="FFEDE3E3"/>
      </patternFill>
    </fill>
    <fill>
      <patternFill patternType="solid">
        <fgColor rgb="FFFDF2E9"/>
        <bgColor rgb="FFFFF9E6"/>
      </patternFill>
    </fill>
    <fill>
      <patternFill patternType="solid">
        <fgColor rgb="FFEDE3E3"/>
        <bgColor rgb="FFF5DEDE"/>
      </patternFill>
    </fill>
    <fill>
      <patternFill patternType="solid">
        <fgColor rgb="FFF8CBAD"/>
        <bgColor rgb="FFF5DEDE"/>
      </patternFill>
    </fill>
    <fill>
      <patternFill patternType="solid">
        <fgColor rgb="FFEDEDED"/>
        <bgColor rgb="FFF3EAF3"/>
      </patternFill>
    </fill>
  </fills>
  <borders count="3">
    <border>
      <left/>
      <right/>
      <top/>
      <bottom/>
      <diagonal/>
    </border>
    <border>
      <left/>
      <right/>
      <top/>
      <bottom style="thin">
        <color rgb="FFCCCCCC"/>
      </bottom>
      <diagonal/>
    </border>
    <border>
      <left/>
      <right/>
      <top/>
      <bottom style="thin">
        <color rgb="FFBBBBBB"/>
      </bottom>
      <diagonal/>
    </border>
  </borders>
  <cellStyleXfs count="1">
    <xf numFmtId="0" fontId="0" fillId="0" borderId="0"/>
  </cellStyleXfs>
  <cellXfs count="117">
    <xf numFmtId="0" fontId="0" fillId="0" borderId="0" xfId="0"/>
    <xf numFmtId="0" fontId="8" fillId="2" borderId="0" xfId="0" applyFont="1" applyFill="1" applyAlignment="1">
      <alignment horizontal="center"/>
    </xf>
    <xf numFmtId="0" fontId="7" fillId="0" borderId="0" xfId="0" applyFont="1"/>
    <xf numFmtId="0" fontId="4"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6" borderId="1" xfId="0" applyFont="1" applyFill="1" applyBorder="1"/>
    <xf numFmtId="0" fontId="4" fillId="4" borderId="1" xfId="0" applyFont="1" applyFill="1" applyBorder="1"/>
    <xf numFmtId="0" fontId="4" fillId="5" borderId="1" xfId="0" applyFont="1" applyFill="1" applyBorder="1"/>
    <xf numFmtId="0" fontId="4" fillId="7" borderId="1" xfId="0" applyFont="1" applyFill="1" applyBorder="1"/>
    <xf numFmtId="0" fontId="4" fillId="3" borderId="1" xfId="0" applyFont="1" applyFill="1" applyBorder="1"/>
    <xf numFmtId="0" fontId="9" fillId="8" borderId="0" xfId="0" applyFont="1" applyFill="1"/>
    <xf numFmtId="0" fontId="0" fillId="8" borderId="0" xfId="0" applyFill="1"/>
    <xf numFmtId="10" fontId="10" fillId="8" borderId="0" xfId="0" applyNumberFormat="1" applyFont="1" applyFill="1" applyAlignment="1">
      <alignment horizontal="right"/>
    </xf>
    <xf numFmtId="10" fontId="11" fillId="8" borderId="0" xfId="0" applyNumberFormat="1" applyFont="1" applyFill="1" applyAlignment="1">
      <alignment horizontal="right"/>
    </xf>
    <xf numFmtId="10" fontId="11" fillId="0" borderId="0" xfId="0" applyNumberFormat="1" applyFont="1"/>
    <xf numFmtId="3" fontId="11" fillId="8" borderId="0" xfId="0" applyNumberFormat="1" applyFont="1" applyFill="1" applyAlignment="1">
      <alignment horizontal="right"/>
    </xf>
    <xf numFmtId="4" fontId="11" fillId="0" borderId="0" xfId="0" applyNumberFormat="1" applyFont="1"/>
    <xf numFmtId="4" fontId="12" fillId="0" borderId="0" xfId="0" applyNumberFormat="1" applyFont="1"/>
    <xf numFmtId="3" fontId="13" fillId="8" borderId="0" xfId="0" applyNumberFormat="1" applyFont="1" applyFill="1" applyAlignment="1">
      <alignment horizontal="right"/>
    </xf>
    <xf numFmtId="3" fontId="5" fillId="8" borderId="0" xfId="0" applyNumberFormat="1" applyFont="1" applyFill="1" applyAlignment="1">
      <alignment horizontal="right"/>
    </xf>
    <xf numFmtId="164" fontId="5" fillId="8" borderId="0" xfId="0" applyNumberFormat="1" applyFont="1" applyFill="1" applyAlignment="1">
      <alignment horizontal="right"/>
    </xf>
    <xf numFmtId="0" fontId="8" fillId="2" borderId="2" xfId="0" applyFont="1" applyFill="1" applyBorder="1" applyAlignment="1">
      <alignment horizontal="center" vertical="center" wrapText="1"/>
    </xf>
    <xf numFmtId="0" fontId="5" fillId="0" borderId="0" xfId="0" applyFont="1"/>
    <xf numFmtId="3" fontId="0" fillId="0" borderId="0" xfId="0" applyNumberFormat="1"/>
    <xf numFmtId="164" fontId="0" fillId="0" borderId="0" xfId="0" applyNumberFormat="1"/>
    <xf numFmtId="3" fontId="9" fillId="8" borderId="0" xfId="0" applyNumberFormat="1" applyFont="1" applyFill="1"/>
    <xf numFmtId="164" fontId="9" fillId="8" borderId="0" xfId="0" applyNumberFormat="1" applyFont="1" applyFill="1"/>
    <xf numFmtId="10" fontId="9" fillId="8" borderId="0" xfId="0" applyNumberFormat="1" applyFont="1" applyFill="1"/>
    <xf numFmtId="10" fontId="10" fillId="8" borderId="0" xfId="0" applyNumberFormat="1" applyFont="1" applyFill="1"/>
    <xf numFmtId="165" fontId="14" fillId="8" borderId="0" xfId="0" applyNumberFormat="1" applyFont="1" applyFill="1"/>
    <xf numFmtId="0" fontId="8" fillId="9" borderId="2" xfId="0" applyFont="1" applyFill="1" applyBorder="1" applyAlignment="1">
      <alignment horizontal="center" vertical="center" wrapText="1"/>
    </xf>
    <xf numFmtId="166" fontId="0" fillId="0" borderId="0" xfId="0" applyNumberFormat="1"/>
    <xf numFmtId="3" fontId="15" fillId="5" borderId="0" xfId="0" applyNumberFormat="1" applyFont="1" applyFill="1"/>
    <xf numFmtId="166" fontId="15" fillId="5" borderId="0" xfId="0" applyNumberFormat="1" applyFont="1" applyFill="1"/>
    <xf numFmtId="165" fontId="9" fillId="8" borderId="0" xfId="0" applyNumberFormat="1" applyFont="1" applyFill="1"/>
    <xf numFmtId="166" fontId="9" fillId="8" borderId="0" xfId="0" applyNumberFormat="1" applyFont="1" applyFill="1"/>
    <xf numFmtId="0" fontId="8" fillId="2" borderId="2" xfId="0" applyFont="1" applyFill="1" applyBorder="1" applyAlignment="1">
      <alignment horizontal="center" wrapText="1"/>
    </xf>
    <xf numFmtId="4" fontId="0" fillId="0" borderId="0" xfId="0" applyNumberFormat="1"/>
    <xf numFmtId="10" fontId="0" fillId="0" borderId="0" xfId="0" applyNumberFormat="1"/>
    <xf numFmtId="167" fontId="17" fillId="10" borderId="0" xfId="0" applyNumberFormat="1" applyFont="1" applyFill="1"/>
    <xf numFmtId="0" fontId="18" fillId="2" borderId="0" xfId="0" applyFont="1" applyFill="1" applyAlignment="1">
      <alignment horizontal="center"/>
    </xf>
    <xf numFmtId="1" fontId="17" fillId="10" borderId="0" xfId="0" applyNumberFormat="1" applyFont="1" applyFill="1"/>
    <xf numFmtId="168" fontId="0" fillId="0" borderId="0" xfId="0" applyNumberFormat="1"/>
    <xf numFmtId="168" fontId="17" fillId="10" borderId="0" xfId="0" applyNumberFormat="1" applyFont="1" applyFill="1"/>
    <xf numFmtId="169" fontId="17" fillId="6" borderId="0" xfId="0" applyNumberFormat="1" applyFont="1" applyFill="1"/>
    <xf numFmtId="169" fontId="0" fillId="0" borderId="0" xfId="0" applyNumberFormat="1"/>
    <xf numFmtId="0" fontId="9" fillId="0" borderId="0" xfId="0" applyFont="1"/>
    <xf numFmtId="10" fontId="19" fillId="0" borderId="0" xfId="0" applyNumberFormat="1" applyFont="1"/>
    <xf numFmtId="10" fontId="20" fillId="0" borderId="0" xfId="0" applyNumberFormat="1" applyFont="1"/>
    <xf numFmtId="0" fontId="21" fillId="0" borderId="0" xfId="0" applyFont="1"/>
    <xf numFmtId="165" fontId="22" fillId="0" borderId="0" xfId="0" applyNumberFormat="1" applyFont="1"/>
    <xf numFmtId="3" fontId="13" fillId="0" borderId="0" xfId="0" applyNumberFormat="1" applyFont="1"/>
    <xf numFmtId="10" fontId="23" fillId="0" borderId="0" xfId="0" applyNumberFormat="1" applyFont="1"/>
    <xf numFmtId="0" fontId="5" fillId="8" borderId="0" xfId="0" applyFont="1" applyFill="1"/>
    <xf numFmtId="0" fontId="8" fillId="2" borderId="1" xfId="0" applyFont="1" applyFill="1" applyBorder="1" applyAlignment="1">
      <alignment horizontal="center" vertical="center" wrapText="1"/>
    </xf>
    <xf numFmtId="170" fontId="17" fillId="6" borderId="0" xfId="0" applyNumberFormat="1" applyFont="1" applyFill="1"/>
    <xf numFmtId="164" fontId="0" fillId="11" borderId="0" xfId="0" applyNumberFormat="1" applyFill="1"/>
    <xf numFmtId="164" fontId="0" fillId="12" borderId="0" xfId="0" applyNumberFormat="1" applyFill="1"/>
    <xf numFmtId="164" fontId="0" fillId="13" borderId="0" xfId="0" applyNumberFormat="1" applyFill="1"/>
    <xf numFmtId="164" fontId="0" fillId="14" borderId="0" xfId="0" applyNumberFormat="1" applyFill="1"/>
    <xf numFmtId="170" fontId="24" fillId="3" borderId="0" xfId="0" applyNumberFormat="1" applyFont="1" applyFill="1"/>
    <xf numFmtId="0" fontId="0" fillId="15" borderId="0" xfId="0" applyFill="1"/>
    <xf numFmtId="0" fontId="9" fillId="15" borderId="0" xfId="0" applyFont="1" applyFill="1"/>
    <xf numFmtId="3" fontId="9" fillId="15" borderId="0" xfId="0" applyNumberFormat="1" applyFont="1" applyFill="1"/>
    <xf numFmtId="4" fontId="9" fillId="15" borderId="0" xfId="0" applyNumberFormat="1" applyFont="1" applyFill="1"/>
    <xf numFmtId="10" fontId="9" fillId="15" borderId="0" xfId="0" applyNumberFormat="1" applyFont="1" applyFill="1"/>
    <xf numFmtId="0" fontId="25" fillId="5" borderId="2" xfId="0" applyFont="1" applyFill="1" applyBorder="1" applyAlignment="1">
      <alignment horizontal="center" vertical="center" wrapText="1"/>
    </xf>
    <xf numFmtId="0" fontId="8" fillId="2" borderId="0" xfId="0" applyFont="1" applyFill="1"/>
    <xf numFmtId="0" fontId="26" fillId="2" borderId="0" xfId="0" applyFont="1" applyFill="1"/>
    <xf numFmtId="0" fontId="0" fillId="2" borderId="0" xfId="0" applyFill="1"/>
    <xf numFmtId="1" fontId="5" fillId="5" borderId="0" xfId="0" applyNumberFormat="1" applyFont="1" applyFill="1"/>
    <xf numFmtId="1" fontId="5" fillId="0" borderId="0" xfId="0" applyNumberFormat="1" applyFont="1"/>
    <xf numFmtId="3" fontId="5" fillId="0" borderId="0" xfId="0" applyNumberFormat="1" applyFont="1"/>
    <xf numFmtId="171" fontId="5" fillId="0" borderId="0" xfId="0" applyNumberFormat="1" applyFont="1"/>
    <xf numFmtId="4" fontId="5" fillId="0" borderId="0" xfId="0" applyNumberFormat="1" applyFont="1"/>
    <xf numFmtId="4" fontId="17" fillId="16" borderId="0" xfId="0" applyNumberFormat="1" applyFont="1" applyFill="1"/>
    <xf numFmtId="4" fontId="17" fillId="4" borderId="0" xfId="0" applyNumberFormat="1" applyFont="1" applyFill="1"/>
    <xf numFmtId="4" fontId="5" fillId="17" borderId="0" xfId="0" applyNumberFormat="1" applyFont="1" applyFill="1"/>
    <xf numFmtId="164" fontId="5" fillId="17" borderId="0" xfId="0" applyNumberFormat="1" applyFont="1" applyFill="1"/>
    <xf numFmtId="4" fontId="17" fillId="6" borderId="0" xfId="0" applyNumberFormat="1" applyFont="1" applyFill="1"/>
    <xf numFmtId="4" fontId="5" fillId="11" borderId="0" xfId="0" applyNumberFormat="1" applyFont="1" applyFill="1"/>
    <xf numFmtId="164" fontId="5" fillId="11" borderId="0" xfId="0" applyNumberFormat="1" applyFont="1" applyFill="1"/>
    <xf numFmtId="4" fontId="5" fillId="12" borderId="0" xfId="0" applyNumberFormat="1" applyFont="1" applyFill="1"/>
    <xf numFmtId="164" fontId="5" fillId="12" borderId="0" xfId="0" applyNumberFormat="1" applyFont="1" applyFill="1"/>
    <xf numFmtId="4" fontId="5" fillId="13" borderId="0" xfId="0" applyNumberFormat="1" applyFont="1" applyFill="1"/>
    <xf numFmtId="164" fontId="5" fillId="13" borderId="0" xfId="0" applyNumberFormat="1" applyFont="1" applyFill="1"/>
    <xf numFmtId="4" fontId="5" fillId="14" borderId="0" xfId="0" applyNumberFormat="1" applyFont="1" applyFill="1"/>
    <xf numFmtId="164" fontId="5" fillId="14" borderId="0" xfId="0" applyNumberFormat="1" applyFont="1" applyFill="1"/>
    <xf numFmtId="169" fontId="5" fillId="5" borderId="0" xfId="0" applyNumberFormat="1" applyFont="1" applyFill="1"/>
    <xf numFmtId="169" fontId="4" fillId="5" borderId="0" xfId="0" applyNumberFormat="1" applyFont="1" applyFill="1"/>
    <xf numFmtId="0" fontId="27" fillId="18" borderId="0" xfId="0" applyFont="1" applyFill="1"/>
    <xf numFmtId="0" fontId="0" fillId="18" borderId="0" xfId="0" applyFill="1"/>
    <xf numFmtId="4" fontId="27" fillId="18" borderId="0" xfId="0" applyNumberFormat="1" applyFont="1" applyFill="1"/>
    <xf numFmtId="1" fontId="5" fillId="19" borderId="0" xfId="0" applyNumberFormat="1" applyFont="1" applyFill="1"/>
    <xf numFmtId="3" fontId="17" fillId="6" borderId="0" xfId="0" applyNumberFormat="1" applyFont="1" applyFill="1"/>
    <xf numFmtId="9" fontId="17" fillId="6" borderId="0" xfId="0" applyNumberFormat="1" applyFont="1" applyFill="1"/>
    <xf numFmtId="0" fontId="17" fillId="6" borderId="0" xfId="0" applyFont="1" applyFill="1" applyAlignment="1">
      <alignment horizontal="center"/>
    </xf>
    <xf numFmtId="172" fontId="17" fillId="6" borderId="0" xfId="0" applyNumberFormat="1" applyFont="1" applyFill="1"/>
    <xf numFmtId="173" fontId="5" fillId="0" borderId="0" xfId="0" applyNumberFormat="1" applyFont="1"/>
    <xf numFmtId="0" fontId="27" fillId="20" borderId="0" xfId="0" applyFont="1" applyFill="1"/>
    <xf numFmtId="0" fontId="0" fillId="20" borderId="0" xfId="0" applyFill="1"/>
    <xf numFmtId="171" fontId="27" fillId="20" borderId="0" xfId="0" applyNumberFormat="1" applyFont="1" applyFill="1"/>
    <xf numFmtId="173" fontId="17" fillId="6" borderId="0" xfId="0" applyNumberFormat="1" applyFont="1" applyFill="1"/>
    <xf numFmtId="0" fontId="6" fillId="0" borderId="0" xfId="0" applyFont="1"/>
    <xf numFmtId="0" fontId="7" fillId="0" borderId="0" xfId="0" applyFont="1" applyAlignment="1">
      <alignment vertical="top" wrapText="1"/>
    </xf>
    <xf numFmtId="0" fontId="3" fillId="2" borderId="0" xfId="0" applyFont="1" applyFill="1" applyAlignment="1">
      <alignment vertical="center"/>
    </xf>
    <xf numFmtId="0" fontId="2" fillId="0" borderId="0" xfId="0" applyFont="1" applyAlignment="1">
      <alignment wrapText="1"/>
    </xf>
    <xf numFmtId="0" fontId="1" fillId="0" borderId="0" xfId="0" applyFont="1"/>
    <xf numFmtId="0" fontId="2" fillId="0" borderId="0" xfId="0" applyFont="1" applyAlignment="1">
      <alignment vertical="top" wrapText="1"/>
    </xf>
    <xf numFmtId="0" fontId="12" fillId="0" borderId="0" xfId="0" applyFont="1" applyAlignment="1">
      <alignment horizontal="center"/>
    </xf>
    <xf numFmtId="0" fontId="7" fillId="0" borderId="0" xfId="0" applyFont="1"/>
    <xf numFmtId="0" fontId="16" fillId="0" borderId="0" xfId="0" applyFont="1"/>
    <xf numFmtId="0" fontId="8" fillId="2" borderId="0" xfId="0" applyFont="1" applyFill="1" applyAlignment="1">
      <alignment horizontal="center"/>
    </xf>
  </cellXfs>
  <cellStyles count="1">
    <cellStyle name="Normal" xfId="0" builtinId="0"/>
  </cellStyles>
  <dxfs count="60">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
      <fill>
        <patternFill>
          <bgColor rgb="FFC6EFCE"/>
        </patternFill>
      </fill>
    </dxf>
    <dxf>
      <fill>
        <patternFill>
          <bgColor rgb="FFFFE699"/>
        </patternFill>
      </fill>
    </dxf>
    <dxf>
      <font>
        <b/>
        <color rgb="FF9C0006"/>
        <name val="Arial"/>
        <charset val="1"/>
      </font>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E2EFDA"/>
      <rgbColor rgb="FFFF00FF"/>
      <rgbColor rgb="FF00FFFF"/>
      <rgbColor rgb="FF9C0006"/>
      <rgbColor rgb="FF008000"/>
      <rgbColor rgb="FF000080"/>
      <rgbColor rgb="FF808000"/>
      <rgbColor rgb="FF800080"/>
      <rgbColor rgb="FF008080"/>
      <rgbColor rgb="FFBBBBBB"/>
      <rgbColor rgb="FFF2F2F2"/>
      <rgbColor rgb="FFDCE6F1"/>
      <rgbColor rgb="FF993366"/>
      <rgbColor rgb="FFFFF7CC"/>
      <rgbColor rgb="FFDDEBF7"/>
      <rgbColor rgb="FF660066"/>
      <rgbColor rgb="FFEDE3E3"/>
      <rgbColor rgb="FF0066CC"/>
      <rgbColor rgb="FFCCCCCC"/>
      <rgbColor rgb="FF000080"/>
      <rgbColor rgb="FFFF00FF"/>
      <rgbColor rgb="FFFFF9E6"/>
      <rgbColor rgb="FF00FFFF"/>
      <rgbColor rgb="FF800080"/>
      <rgbColor rgb="FF800000"/>
      <rgbColor rgb="FF008080"/>
      <rgbColor rgb="FF0000FF"/>
      <rgbColor rgb="FF00CCFF"/>
      <rgbColor rgb="FFE8F1F8"/>
      <rgbColor rgb="FFC6EFCE"/>
      <rgbColor rgb="FFFFE699"/>
      <rgbColor rgb="FFD9E1F2"/>
      <rgbColor rgb="FFF5DEDE"/>
      <rgbColor rgb="FFE2E2E2"/>
      <rgbColor rgb="FFF8CBAD"/>
      <rgbColor rgb="FF3366FF"/>
      <rgbColor rgb="FFEDEDED"/>
      <rgbColor rgb="FFEAF3EA"/>
      <rgbColor rgb="FFFCE4D6"/>
      <rgbColor rgb="FFF3EAF3"/>
      <rgbColor rgb="FFFDF2E9"/>
      <rgbColor rgb="FF555555"/>
      <rgbColor rgb="FF999999"/>
      <rgbColor rgb="FF003366"/>
      <rgbColor rgb="FF2E7D32"/>
      <rgbColor rgb="FF003300"/>
      <rgbColor rgb="FF333300"/>
      <rgbColor rgb="FF7A1F1F"/>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7"/>
  <sheetViews>
    <sheetView showGridLines="0" zoomScale="125" zoomScaleNormal="100" workbookViewId="0"/>
  </sheetViews>
  <sheetFormatPr baseColWidth="10" defaultColWidth="8.6640625" defaultRowHeight="15" x14ac:dyDescent="0.2"/>
  <cols>
    <col min="1" max="1" width="3" customWidth="1"/>
    <col min="2" max="2" width="34" customWidth="1"/>
    <col min="3" max="3" width="86" customWidth="1"/>
    <col min="4" max="4" width="22" customWidth="1"/>
  </cols>
  <sheetData>
    <row r="2" spans="2:4" ht="30" customHeight="1" x14ac:dyDescent="0.25">
      <c r="B2" s="111" t="s">
        <v>0</v>
      </c>
      <c r="C2" s="111"/>
      <c r="D2" s="111"/>
    </row>
    <row r="3" spans="2:4" ht="30" customHeight="1" x14ac:dyDescent="0.2">
      <c r="B3" s="112" t="s">
        <v>1</v>
      </c>
      <c r="C3" s="112"/>
      <c r="D3" s="112"/>
    </row>
    <row r="5" spans="2:4" ht="21.75" customHeight="1" x14ac:dyDescent="0.2">
      <c r="B5" s="109" t="s">
        <v>2</v>
      </c>
      <c r="C5" s="109"/>
      <c r="D5" s="109"/>
    </row>
    <row r="6" spans="2:4" ht="25.5" customHeight="1" x14ac:dyDescent="0.2">
      <c r="B6" s="3" t="s">
        <v>3</v>
      </c>
      <c r="C6" s="4" t="s">
        <v>4</v>
      </c>
    </row>
    <row r="7" spans="2:4" ht="39" customHeight="1" x14ac:dyDescent="0.2">
      <c r="B7" s="4" t="s">
        <v>5</v>
      </c>
      <c r="C7" s="4" t="s">
        <v>6</v>
      </c>
    </row>
    <row r="8" spans="2:4" ht="25.5" customHeight="1" x14ac:dyDescent="0.2">
      <c r="B8" s="4" t="s">
        <v>7</v>
      </c>
      <c r="C8" s="4" t="s">
        <v>8</v>
      </c>
    </row>
    <row r="10" spans="2:4" ht="21.75" customHeight="1" x14ac:dyDescent="0.2">
      <c r="B10" s="109" t="s">
        <v>9</v>
      </c>
      <c r="C10" s="109"/>
      <c r="D10" s="109"/>
    </row>
    <row r="11" spans="2:4" ht="15" customHeight="1" x14ac:dyDescent="0.2">
      <c r="B11" s="5" t="s">
        <v>10</v>
      </c>
      <c r="C11" s="4" t="s">
        <v>11</v>
      </c>
    </row>
    <row r="12" spans="2:4" ht="51.75" customHeight="1" x14ac:dyDescent="0.2">
      <c r="B12" s="6" t="s">
        <v>12</v>
      </c>
      <c r="C12" s="4" t="s">
        <v>13</v>
      </c>
    </row>
    <row r="13" spans="2:4" ht="51.75" customHeight="1" x14ac:dyDescent="0.2">
      <c r="B13" s="6" t="s">
        <v>14</v>
      </c>
      <c r="C13" s="4" t="s">
        <v>15</v>
      </c>
    </row>
    <row r="14" spans="2:4" ht="51.75" customHeight="1" x14ac:dyDescent="0.2">
      <c r="B14" s="6" t="s">
        <v>16</v>
      </c>
      <c r="C14" s="4" t="s">
        <v>17</v>
      </c>
    </row>
    <row r="15" spans="2:4" ht="15" customHeight="1" x14ac:dyDescent="0.2">
      <c r="B15" s="5" t="s">
        <v>18</v>
      </c>
      <c r="C15" s="4" t="s">
        <v>19</v>
      </c>
    </row>
    <row r="16" spans="2:4" ht="25.5" customHeight="1" x14ac:dyDescent="0.2">
      <c r="B16" s="7" t="s">
        <v>20</v>
      </c>
      <c r="C16" s="4" t="s">
        <v>21</v>
      </c>
    </row>
    <row r="17" spans="2:4" ht="39" customHeight="1" x14ac:dyDescent="0.2">
      <c r="B17" s="7" t="s">
        <v>22</v>
      </c>
      <c r="C17" s="4" t="s">
        <v>23</v>
      </c>
    </row>
    <row r="18" spans="2:4" ht="15" customHeight="1" x14ac:dyDescent="0.2">
      <c r="B18" s="5" t="s">
        <v>24</v>
      </c>
      <c r="C18" s="4" t="s">
        <v>25</v>
      </c>
    </row>
    <row r="19" spans="2:4" ht="51.75" customHeight="1" x14ac:dyDescent="0.2">
      <c r="B19" s="8" t="s">
        <v>26</v>
      </c>
      <c r="C19" s="4" t="s">
        <v>27</v>
      </c>
    </row>
    <row r="20" spans="2:4" ht="51.75" customHeight="1" x14ac:dyDescent="0.2">
      <c r="B20" s="8" t="s">
        <v>28</v>
      </c>
      <c r="C20" s="4" t="s">
        <v>29</v>
      </c>
    </row>
    <row r="21" spans="2:4" ht="39" customHeight="1" x14ac:dyDescent="0.2">
      <c r="B21" s="8" t="s">
        <v>30</v>
      </c>
      <c r="C21" s="4" t="s">
        <v>31</v>
      </c>
    </row>
    <row r="22" spans="2:4" ht="15" customHeight="1" x14ac:dyDescent="0.2">
      <c r="B22" s="5" t="s">
        <v>32</v>
      </c>
      <c r="C22" s="4" t="s">
        <v>33</v>
      </c>
    </row>
    <row r="23" spans="2:4" ht="25.5" customHeight="1" x14ac:dyDescent="0.2">
      <c r="B23" s="8" t="s">
        <v>34</v>
      </c>
      <c r="C23" s="4" t="s">
        <v>35</v>
      </c>
    </row>
    <row r="24" spans="2:4" ht="39" customHeight="1" x14ac:dyDescent="0.2">
      <c r="B24" s="8" t="s">
        <v>36</v>
      </c>
      <c r="C24" s="4" t="s">
        <v>37</v>
      </c>
    </row>
    <row r="26" spans="2:4" ht="21.75" customHeight="1" x14ac:dyDescent="0.2">
      <c r="B26" s="109" t="s">
        <v>38</v>
      </c>
      <c r="C26" s="109"/>
      <c r="D26" s="109"/>
    </row>
    <row r="27" spans="2:4" ht="25.5" customHeight="1" x14ac:dyDescent="0.2">
      <c r="B27" s="4" t="s">
        <v>39</v>
      </c>
      <c r="C27" s="4" t="s">
        <v>40</v>
      </c>
    </row>
    <row r="28" spans="2:4" ht="39" customHeight="1" x14ac:dyDescent="0.2">
      <c r="B28" s="4" t="s">
        <v>41</v>
      </c>
      <c r="C28" s="4" t="s">
        <v>42</v>
      </c>
    </row>
    <row r="29" spans="2:4" ht="25.5" customHeight="1" x14ac:dyDescent="0.2">
      <c r="B29" s="4" t="s">
        <v>43</v>
      </c>
      <c r="C29" s="4" t="s">
        <v>44</v>
      </c>
    </row>
    <row r="30" spans="2:4" ht="39" customHeight="1" x14ac:dyDescent="0.2">
      <c r="B30" s="4" t="s">
        <v>45</v>
      </c>
      <c r="C30" s="4" t="s">
        <v>46</v>
      </c>
    </row>
    <row r="31" spans="2:4" ht="39" customHeight="1" x14ac:dyDescent="0.2">
      <c r="B31" s="4" t="s">
        <v>47</v>
      </c>
      <c r="C31" s="4" t="s">
        <v>48</v>
      </c>
    </row>
    <row r="33" spans="2:4" ht="21.75" customHeight="1" x14ac:dyDescent="0.2">
      <c r="B33" s="109" t="s">
        <v>49</v>
      </c>
      <c r="C33" s="109"/>
      <c r="D33" s="109"/>
    </row>
    <row r="34" spans="2:4" ht="39" customHeight="1" x14ac:dyDescent="0.2">
      <c r="B34" s="4" t="s">
        <v>50</v>
      </c>
      <c r="C34" s="4" t="s">
        <v>51</v>
      </c>
    </row>
    <row r="35" spans="2:4" ht="25.5" customHeight="1" x14ac:dyDescent="0.2">
      <c r="B35" s="4" t="s">
        <v>52</v>
      </c>
      <c r="C35" s="4" t="s">
        <v>53</v>
      </c>
    </row>
    <row r="36" spans="2:4" ht="25.5" customHeight="1" x14ac:dyDescent="0.2">
      <c r="B36" s="4" t="s">
        <v>54</v>
      </c>
      <c r="C36" s="4" t="s">
        <v>55</v>
      </c>
    </row>
    <row r="37" spans="2:4" ht="39" customHeight="1" x14ac:dyDescent="0.2">
      <c r="B37" s="4" t="s">
        <v>56</v>
      </c>
      <c r="C37" s="4" t="s">
        <v>57</v>
      </c>
    </row>
    <row r="38" spans="2:4" ht="25.5" customHeight="1" x14ac:dyDescent="0.2">
      <c r="B38" s="4" t="s">
        <v>58</v>
      </c>
      <c r="C38" s="4" t="s">
        <v>59</v>
      </c>
    </row>
    <row r="40" spans="2:4" ht="21.75" customHeight="1" x14ac:dyDescent="0.2">
      <c r="B40" s="109" t="s">
        <v>60</v>
      </c>
      <c r="C40" s="109"/>
      <c r="D40" s="109"/>
    </row>
    <row r="41" spans="2:4" ht="28" x14ac:dyDescent="0.2">
      <c r="B41" s="9" t="s">
        <v>61</v>
      </c>
      <c r="C41" s="4" t="s">
        <v>62</v>
      </c>
    </row>
    <row r="42" spans="2:4" x14ac:dyDescent="0.2">
      <c r="B42" s="10" t="s">
        <v>63</v>
      </c>
      <c r="C42" s="4" t="s">
        <v>64</v>
      </c>
    </row>
    <row r="43" spans="2:4" x14ac:dyDescent="0.2">
      <c r="B43" s="11" t="s">
        <v>65</v>
      </c>
      <c r="C43" s="4" t="s">
        <v>66</v>
      </c>
    </row>
    <row r="44" spans="2:4" x14ac:dyDescent="0.2">
      <c r="B44" s="12" t="s">
        <v>67</v>
      </c>
      <c r="C44" s="4" t="s">
        <v>68</v>
      </c>
    </row>
    <row r="45" spans="2:4" x14ac:dyDescent="0.2">
      <c r="B45" s="13" t="s">
        <v>69</v>
      </c>
      <c r="C45" s="4" t="s">
        <v>70</v>
      </c>
    </row>
    <row r="47" spans="2:4" ht="15" customHeight="1" x14ac:dyDescent="0.2">
      <c r="B47" s="110" t="s">
        <v>71</v>
      </c>
      <c r="C47" s="110"/>
      <c r="D47" s="110"/>
    </row>
  </sheetData>
  <mergeCells count="8">
    <mergeCell ref="B33:D33"/>
    <mergeCell ref="B40:D40"/>
    <mergeCell ref="B47:D47"/>
    <mergeCell ref="B2:D2"/>
    <mergeCell ref="B3:D3"/>
    <mergeCell ref="B5:D5"/>
    <mergeCell ref="B10:D10"/>
    <mergeCell ref="B26:D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zoomScale="125" zoomScaleNormal="100" workbookViewId="0">
      <pane xSplit="1" ySplit="13" topLeftCell="B14" activePane="bottomRight" state="frozen"/>
      <selection pane="topRight" activeCell="B1" sqref="B1"/>
      <selection pane="bottomLeft" activeCell="A14" sqref="A14"/>
      <selection pane="bottomRight" activeCell="I14" sqref="I14"/>
    </sheetView>
  </sheetViews>
  <sheetFormatPr baseColWidth="10" defaultColWidth="8.6640625" defaultRowHeight="15" x14ac:dyDescent="0.2"/>
  <cols>
    <col min="1" max="1" width="26" customWidth="1"/>
    <col min="2" max="2" width="12" customWidth="1"/>
    <col min="3" max="3" width="19" customWidth="1"/>
    <col min="4" max="4" width="12" customWidth="1"/>
    <col min="5" max="5" width="10" customWidth="1"/>
    <col min="6" max="8" width="14" customWidth="1"/>
    <col min="9" max="9" width="12" customWidth="1"/>
    <col min="10" max="10" width="14" customWidth="1"/>
    <col min="11" max="13" width="10" customWidth="1"/>
    <col min="14" max="14" width="14" customWidth="1"/>
  </cols>
  <sheetData>
    <row r="1" spans="1:14" ht="19" x14ac:dyDescent="0.2">
      <c r="A1" s="107" t="s">
        <v>72</v>
      </c>
      <c r="B1" s="107"/>
      <c r="C1" s="107"/>
      <c r="D1" s="107"/>
      <c r="E1" s="107"/>
      <c r="F1" s="107"/>
      <c r="G1" s="107"/>
      <c r="H1" s="107"/>
      <c r="I1" s="107"/>
      <c r="J1" s="107"/>
      <c r="K1" s="107"/>
      <c r="L1" s="107"/>
      <c r="M1" s="107"/>
      <c r="N1" s="107"/>
    </row>
    <row r="2" spans="1:14" ht="25.5" customHeight="1" x14ac:dyDescent="0.2">
      <c r="A2" s="108" t="s">
        <v>73</v>
      </c>
      <c r="B2" s="108"/>
      <c r="C2" s="108"/>
      <c r="D2" s="108"/>
      <c r="E2" s="108"/>
      <c r="F2" s="108"/>
      <c r="G2" s="108"/>
      <c r="H2" s="108"/>
      <c r="I2" s="108"/>
      <c r="J2" s="108"/>
      <c r="K2" s="108"/>
      <c r="L2" s="108"/>
      <c r="M2" s="108"/>
      <c r="N2" s="108"/>
    </row>
    <row r="3" spans="1:14" x14ac:dyDescent="0.2">
      <c r="C3" s="1" t="s">
        <v>74</v>
      </c>
      <c r="D3" s="1" t="s">
        <v>75</v>
      </c>
      <c r="E3" s="1" t="s">
        <v>76</v>
      </c>
    </row>
    <row r="4" spans="1:14" ht="24" customHeight="1" x14ac:dyDescent="0.3">
      <c r="A4" s="14" t="s">
        <v>77</v>
      </c>
      <c r="B4" s="15"/>
      <c r="C4" s="16">
        <f>IFERROR($J$34/$H$34,"")</f>
        <v>0.45829146335220017</v>
      </c>
      <c r="D4" s="17">
        <f>$L$34</f>
        <v>0.4683075445490027</v>
      </c>
      <c r="E4" s="17">
        <f>$M$34</f>
        <v>0.45193279220842536</v>
      </c>
      <c r="H4" s="18">
        <f>$L$34</f>
        <v>0.4683075445490027</v>
      </c>
      <c r="J4" s="18">
        <f>$M$34</f>
        <v>0.45193279220842536</v>
      </c>
    </row>
    <row r="5" spans="1:14" ht="18" customHeight="1" x14ac:dyDescent="0.2">
      <c r="A5" s="14" t="s">
        <v>78</v>
      </c>
      <c r="B5" s="15"/>
      <c r="C5" s="19">
        <f>$H$34</f>
        <v>4747683.5965304123</v>
      </c>
      <c r="D5" s="19">
        <f>$F$34</f>
        <v>3209348.6736654006</v>
      </c>
      <c r="E5" s="19">
        <f>$G$34</f>
        <v>1538334.9228650136</v>
      </c>
      <c r="H5" s="20">
        <f>$J$34</f>
        <v>2175822.8629871593</v>
      </c>
      <c r="J5" s="21">
        <f>$N$34</f>
        <v>2571860.7335432554</v>
      </c>
    </row>
    <row r="6" spans="1:14" ht="18" customHeight="1" x14ac:dyDescent="0.2">
      <c r="A6" s="14" t="s">
        <v>79</v>
      </c>
      <c r="B6" s="15"/>
      <c r="C6" s="19">
        <f>$J$34</f>
        <v>2175822.8629871593</v>
      </c>
      <c r="D6" s="19">
        <f>IFERROR($D$4*$D$5,"")</f>
        <v>1502962.1969658423</v>
      </c>
      <c r="E6" s="19">
        <f>IFERROR($E$4*$E$5,"")</f>
        <v>695223.99704211822</v>
      </c>
    </row>
    <row r="7" spans="1:14" ht="18" customHeight="1" x14ac:dyDescent="0.2">
      <c r="A7" s="14" t="s">
        <v>80</v>
      </c>
      <c r="B7" s="15"/>
      <c r="C7" s="22">
        <f>$N$34</f>
        <v>2571860.7335432554</v>
      </c>
      <c r="D7" s="22">
        <f>$D$5-$D$6</f>
        <v>1706386.4766995583</v>
      </c>
      <c r="E7" s="22">
        <f>$E$5-$E$6</f>
        <v>843110.92582289537</v>
      </c>
    </row>
    <row r="8" spans="1:14" ht="18" customHeight="1" x14ac:dyDescent="0.2">
      <c r="A8" s="14" t="s">
        <v>81</v>
      </c>
      <c r="B8" s="15"/>
      <c r="C8" s="23">
        <f>$D$34</f>
        <v>437155</v>
      </c>
      <c r="D8" s="23">
        <f>$B$34</f>
        <v>269792</v>
      </c>
      <c r="E8" s="23">
        <f>$C$34</f>
        <v>167363</v>
      </c>
    </row>
    <row r="9" spans="1:14" ht="18" customHeight="1" x14ac:dyDescent="0.2">
      <c r="A9" s="14" t="s">
        <v>82</v>
      </c>
      <c r="B9" s="15"/>
      <c r="C9" s="24">
        <f>1</f>
        <v>1</v>
      </c>
      <c r="D9" s="24">
        <f>IFERROR($D$5/$C$5,"")</f>
        <v>0.67598200436330247</v>
      </c>
      <c r="E9" s="24">
        <f>IFERROR($E$5/$C$5,"")</f>
        <v>0.32401799563669798</v>
      </c>
    </row>
    <row r="10" spans="1:14" ht="18" customHeight="1" x14ac:dyDescent="0.2">
      <c r="A10" s="14" t="s">
        <v>83</v>
      </c>
      <c r="B10" s="15"/>
      <c r="C10" s="24">
        <f>1</f>
        <v>1</v>
      </c>
      <c r="D10" s="24">
        <f>IFERROR($D$8/$C$8,"")</f>
        <v>0.61715409866065807</v>
      </c>
      <c r="E10" s="24">
        <f>IFERROR($E$8/$C$8,"")</f>
        <v>0.38284590133934188</v>
      </c>
    </row>
    <row r="13" spans="1:14" ht="33.75" customHeight="1" x14ac:dyDescent="0.2">
      <c r="A13" s="25" t="s">
        <v>84</v>
      </c>
      <c r="B13" s="25" t="s">
        <v>85</v>
      </c>
      <c r="C13" s="25" t="s">
        <v>86</v>
      </c>
      <c r="D13" s="25" t="s">
        <v>87</v>
      </c>
      <c r="E13" s="25" t="s">
        <v>88</v>
      </c>
      <c r="F13" s="25" t="s">
        <v>89</v>
      </c>
      <c r="G13" s="25" t="s">
        <v>90</v>
      </c>
      <c r="H13" s="25" t="s">
        <v>91</v>
      </c>
      <c r="I13" s="25" t="s">
        <v>82</v>
      </c>
      <c r="J13" s="25" t="s">
        <v>79</v>
      </c>
      <c r="K13" s="25" t="s">
        <v>77</v>
      </c>
      <c r="L13" s="25" t="s">
        <v>92</v>
      </c>
      <c r="M13" s="25" t="s">
        <v>93</v>
      </c>
      <c r="N13" s="25" t="s">
        <v>80</v>
      </c>
    </row>
    <row r="14" spans="1:14" x14ac:dyDescent="0.2">
      <c r="A14" s="26" t="s">
        <v>94</v>
      </c>
      <c r="B14" s="27">
        <f>SUMIFS('SIMULARE PE PRODUS'!$F$6:$F$243,'SIMULARE PE PRODUS'!$C$6:$C$243,$A14,'SIMULARE PE PRODUS'!$D$6:$D$243,"&lt;2")*1</f>
        <v>38959</v>
      </c>
      <c r="C14" s="27">
        <f>SUMIFS('SIMULARE PE PRODUS'!$G$6:$G$243,'SIMULARE PE PRODUS'!$C$6:$C$243,$A14,'SIMULARE PE PRODUS'!$D$6:$D$243,"&lt;2")*1</f>
        <v>17803</v>
      </c>
      <c r="D14" s="27">
        <f t="shared" ref="D14:D33" si="0">$B14+$C14</f>
        <v>56762</v>
      </c>
      <c r="E14" s="28">
        <f t="shared" ref="E14:E33" si="1">IFERROR($D14/$D$34,"")</f>
        <v>0.1298441056375885</v>
      </c>
      <c r="F14" s="27">
        <f>SUMIFS('SIMULARE PE PRODUS'!R$6:R$243,'SIMULARE PE PRODUS'!$C$6:$C$243,$A14,'SIMULARE PE PRODUS'!$D$6:$D$243,"&lt;2")*1</f>
        <v>479827.49549549544</v>
      </c>
      <c r="G14" s="27">
        <f>SUMIFS('SIMULARE PE PRODUS'!S$6:S$243,'SIMULARE PE PRODUS'!$C$6:$C$243,$A14,'SIMULARE PE PRODUS'!$D$6:$D$243,"&lt;2")*1</f>
        <v>307625.55855855858</v>
      </c>
      <c r="H14" s="27">
        <f t="shared" ref="H14:H33" si="2">$F14+$G14</f>
        <v>787453.05405405397</v>
      </c>
      <c r="I14" s="28">
        <f t="shared" ref="I14:I33" si="3">IFERROR($H14/$H$34,"")</f>
        <v>0.16586047449108055</v>
      </c>
      <c r="J14" s="27">
        <f>SUMIFS('SIMULARE PE PRODUS'!$L$6:$L$243,'SIMULARE PE PRODUS'!$C$6:$C$243,$A14,'SIMULARE PE PRODUS'!$D$6:$D$243,"&lt;2")*1</f>
        <v>551793.04725739988</v>
      </c>
      <c r="K14" s="28">
        <f t="shared" ref="K14:K34" si="4">IFERROR($J14/$H14,"")</f>
        <v>0.70073135714770185</v>
      </c>
      <c r="L14" s="28">
        <f>IFERROR(SUMIFS('SIMULARE PE PRODUS'!$J$6:$J$243,'SIMULARE PE PRODUS'!$C$6:$C$243,$A14)/$F14,"")</f>
        <v>0.74113309634907842</v>
      </c>
      <c r="M14" s="28">
        <f>IFERROR(SUMIFS('SIMULARE PE PRODUS'!$K$6:$K$243,'SIMULARE PE PRODUS'!$C$6:$C$243,$A14)/$G14,"")</f>
        <v>0.63771362407800847</v>
      </c>
      <c r="N14" s="27">
        <f t="shared" ref="N14:N33" si="5">$H14-$J14</f>
        <v>235660.00679665408</v>
      </c>
    </row>
    <row r="15" spans="1:14" x14ac:dyDescent="0.2">
      <c r="A15" s="26" t="s">
        <v>95</v>
      </c>
      <c r="B15" s="27">
        <f>SUMIFS('SIMULARE PE PRODUS'!$F$6:$F$243,'SIMULARE PE PRODUS'!$C$6:$C$243,$A15,'SIMULARE PE PRODUS'!$D$6:$D$243,"&lt;2")*1</f>
        <v>9584</v>
      </c>
      <c r="C15" s="27">
        <f>SUMIFS('SIMULARE PE PRODUS'!$G$6:$G$243,'SIMULARE PE PRODUS'!$C$6:$C$243,$A15,'SIMULARE PE PRODUS'!$D$6:$D$243,"&lt;2")*1</f>
        <v>2792</v>
      </c>
      <c r="D15" s="27">
        <f t="shared" si="0"/>
        <v>12376</v>
      </c>
      <c r="E15" s="28">
        <f t="shared" si="1"/>
        <v>2.8310324713202412E-2</v>
      </c>
      <c r="F15" s="27">
        <f>SUMIFS('SIMULARE PE PRODUS'!R$6:R$243,'SIMULARE PE PRODUS'!$C$6:$C$243,$A15,'SIMULARE PE PRODUS'!$D$6:$D$243,"&lt;2")*1</f>
        <v>69200</v>
      </c>
      <c r="G15" s="27">
        <f>SUMIFS('SIMULARE PE PRODUS'!S$6:S$243,'SIMULARE PE PRODUS'!$C$6:$C$243,$A15,'SIMULARE PE PRODUS'!$D$6:$D$243,"&lt;2")*1</f>
        <v>31425.045045045037</v>
      </c>
      <c r="H15" s="27">
        <f t="shared" si="2"/>
        <v>100625.04504504503</v>
      </c>
      <c r="I15" s="28">
        <f t="shared" si="3"/>
        <v>2.1194555828990248E-2</v>
      </c>
      <c r="J15" s="27">
        <f>SUMIFS('SIMULARE PE PRODUS'!$L$6:$L$243,'SIMULARE PE PRODUS'!$C$6:$C$243,$A15,'SIMULARE PE PRODUS'!$D$6:$D$243,"&lt;2")*1</f>
        <v>56934.194634399988</v>
      </c>
      <c r="K15" s="28">
        <f t="shared" si="4"/>
        <v>0.56580540767870724</v>
      </c>
      <c r="L15" s="28">
        <f>IFERROR(SUMIFS('SIMULARE PE PRODUS'!$J$6:$J$243,'SIMULARE PE PRODUS'!$C$6:$C$243,$A15)/$F15,"")</f>
        <v>0.6260910884335259</v>
      </c>
      <c r="M15" s="28">
        <f>IFERROR(SUMIFS('SIMULARE PE PRODUS'!$K$6:$K$243,'SIMULARE PE PRODUS'!$C$6:$C$243,$A15)/$G15,"")</f>
        <v>0.43305240438933779</v>
      </c>
      <c r="N15" s="27">
        <f t="shared" si="5"/>
        <v>43690.850410645042</v>
      </c>
    </row>
    <row r="16" spans="1:14" x14ac:dyDescent="0.2">
      <c r="A16" s="26" t="s">
        <v>96</v>
      </c>
      <c r="B16" s="27">
        <f>SUMIFS('SIMULARE PE PRODUS'!$F$6:$F$243,'SIMULARE PE PRODUS'!$C$6:$C$243,$A16,'SIMULARE PE PRODUS'!$D$6:$D$243,"&lt;2")*1</f>
        <v>24688</v>
      </c>
      <c r="C16" s="27">
        <f>SUMIFS('SIMULARE PE PRODUS'!$G$6:$G$243,'SIMULARE PE PRODUS'!$C$6:$C$243,$A16,'SIMULARE PE PRODUS'!$D$6:$D$243,"&lt;2")*1</f>
        <v>12372</v>
      </c>
      <c r="D16" s="27">
        <f t="shared" si="0"/>
        <v>37060</v>
      </c>
      <c r="E16" s="28">
        <f t="shared" si="1"/>
        <v>8.4775422904919309E-2</v>
      </c>
      <c r="F16" s="27">
        <f>SUMIFS('SIMULARE PE PRODUS'!R$6:R$243,'SIMULARE PE PRODUS'!$C$6:$C$243,$A16,'SIMULARE PE PRODUS'!$D$6:$D$243,"&lt;2")*1</f>
        <v>590440.64864864864</v>
      </c>
      <c r="G16" s="27">
        <f>SUMIFS('SIMULARE PE PRODUS'!S$6:S$243,'SIMULARE PE PRODUS'!$C$6:$C$243,$A16,'SIMULARE PE PRODUS'!$D$6:$D$243,"&lt;2")*1</f>
        <v>334103.40540540538</v>
      </c>
      <c r="H16" s="27">
        <f t="shared" si="2"/>
        <v>924544.05405405397</v>
      </c>
      <c r="I16" s="28">
        <f t="shared" si="3"/>
        <v>0.19473581911181001</v>
      </c>
      <c r="J16" s="27">
        <f>SUMIFS('SIMULARE PE PRODUS'!$L$6:$L$243,'SIMULARE PE PRODUS'!$C$6:$C$243,$A16,'SIMULARE PE PRODUS'!$D$6:$D$243,"&lt;2")*1</f>
        <v>433567.01062571001</v>
      </c>
      <c r="K16" s="28">
        <f t="shared" si="4"/>
        <v>0.46895224594712637</v>
      </c>
      <c r="L16" s="28">
        <f>IFERROR(SUMIFS('SIMULARE PE PRODUS'!$J$6:$J$243,'SIMULARE PE PRODUS'!$C$6:$C$243,$A16)/$F16,"")</f>
        <v>0.48424039259717117</v>
      </c>
      <c r="M16" s="28">
        <f>IFERROR(SUMIFS('SIMULARE PE PRODUS'!$K$6:$K$243,'SIMULARE PE PRODUS'!$C$6:$C$243,$A16)/$G16,"")</f>
        <v>0.44193443326205373</v>
      </c>
      <c r="N16" s="27">
        <f t="shared" si="5"/>
        <v>490977.04342834395</v>
      </c>
    </row>
    <row r="17" spans="1:14" x14ac:dyDescent="0.2">
      <c r="A17" s="26" t="s">
        <v>97</v>
      </c>
      <c r="B17" s="27">
        <f>SUMIFS('SIMULARE PE PRODUS'!$F$6:$F$243,'SIMULARE PE PRODUS'!$C$6:$C$243,$A17,'SIMULARE PE PRODUS'!$D$6:$D$243,"&lt;2")*1</f>
        <v>12344</v>
      </c>
      <c r="C17" s="27">
        <f>SUMIFS('SIMULARE PE PRODUS'!$G$6:$G$243,'SIMULARE PE PRODUS'!$C$6:$C$243,$A17,'SIMULARE PE PRODUS'!$D$6:$D$243,"&lt;2")*1</f>
        <v>6038</v>
      </c>
      <c r="D17" s="27">
        <f t="shared" si="0"/>
        <v>18382</v>
      </c>
      <c r="E17" s="28">
        <f t="shared" si="1"/>
        <v>4.20491587651977E-2</v>
      </c>
      <c r="F17" s="27">
        <f>SUMIFS('SIMULARE PE PRODUS'!R$6:R$243,'SIMULARE PE PRODUS'!$C$6:$C$243,$A17,'SIMULARE PE PRODUS'!$D$6:$D$243,"&lt;2")*1</f>
        <v>215697.54054054056</v>
      </c>
      <c r="G17" s="27">
        <f>SUMIFS('SIMULARE PE PRODUS'!S$6:S$243,'SIMULARE PE PRODUS'!$C$6:$C$243,$A17,'SIMULARE PE PRODUS'!$D$6:$D$243,"&lt;2")*1</f>
        <v>117302.36036036036</v>
      </c>
      <c r="H17" s="27">
        <f t="shared" si="2"/>
        <v>332999.90090090095</v>
      </c>
      <c r="I17" s="28">
        <f t="shared" si="3"/>
        <v>7.0139446770264111E-2</v>
      </c>
      <c r="J17" s="27">
        <f>SUMIFS('SIMULARE PE PRODUS'!$L$6:$L$243,'SIMULARE PE PRODUS'!$C$6:$C$243,$A17,'SIMULARE PE PRODUS'!$D$6:$D$243,"&lt;2")*1</f>
        <v>126780.89408134999</v>
      </c>
      <c r="K17" s="28">
        <f t="shared" si="4"/>
        <v>0.3807235189510742</v>
      </c>
      <c r="L17" s="28">
        <f>IFERROR(SUMIFS('SIMULARE PE PRODUS'!$J$6:$J$243,'SIMULARE PE PRODUS'!$C$6:$C$243,$A17)/$F17,"")</f>
        <v>0.3929588727715197</v>
      </c>
      <c r="M17" s="28">
        <f>IFERROR(SUMIFS('SIMULARE PE PRODUS'!$K$6:$K$243,'SIMULARE PE PRODUS'!$C$6:$C$243,$A17)/$G17,"")</f>
        <v>0.35822494587372261</v>
      </c>
      <c r="N17" s="27">
        <f t="shared" si="5"/>
        <v>206219.00681955094</v>
      </c>
    </row>
    <row r="18" spans="1:14" x14ac:dyDescent="0.2">
      <c r="A18" s="26" t="s">
        <v>98</v>
      </c>
      <c r="B18" s="27">
        <f>SUMIFS('SIMULARE PE PRODUS'!$F$6:$F$243,'SIMULARE PE PRODUS'!$C$6:$C$243,$A18,'SIMULARE PE PRODUS'!$D$6:$D$243,"&lt;2")*1</f>
        <v>470</v>
      </c>
      <c r="C18" s="27">
        <f>SUMIFS('SIMULARE PE PRODUS'!$G$6:$G$243,'SIMULARE PE PRODUS'!$C$6:$C$243,$A18,'SIMULARE PE PRODUS'!$D$6:$D$243,"&lt;2")*1</f>
        <v>268</v>
      </c>
      <c r="D18" s="27">
        <f t="shared" si="0"/>
        <v>738</v>
      </c>
      <c r="E18" s="28">
        <f t="shared" si="1"/>
        <v>1.688188399995425E-3</v>
      </c>
      <c r="F18" s="27">
        <f>SUMIFS('SIMULARE PE PRODUS'!R$6:R$243,'SIMULARE PE PRODUS'!$C$6:$C$243,$A18,'SIMULARE PE PRODUS'!$D$6:$D$243,"&lt;2")*1</f>
        <v>11004.774774774773</v>
      </c>
      <c r="G18" s="27">
        <f>SUMIFS('SIMULARE PE PRODUS'!S$6:S$243,'SIMULARE PE PRODUS'!$C$6:$C$243,$A18,'SIMULARE PE PRODUS'!$D$6:$D$243,"&lt;2")*1</f>
        <v>6999.3873873873863</v>
      </c>
      <c r="H18" s="27">
        <f t="shared" si="2"/>
        <v>18004.16216216216</v>
      </c>
      <c r="I18" s="28">
        <f t="shared" si="3"/>
        <v>3.7921992475066215E-3</v>
      </c>
      <c r="J18" s="27">
        <f>SUMIFS('SIMULARE PE PRODUS'!$L$6:$L$243,'SIMULARE PE PRODUS'!$C$6:$C$243,$A18,'SIMULARE PE PRODUS'!$D$6:$D$243,"&lt;2")*1</f>
        <v>7952.2224695999994</v>
      </c>
      <c r="K18" s="28">
        <f t="shared" si="4"/>
        <v>0.44168800513875173</v>
      </c>
      <c r="L18" s="28">
        <f>IFERROR(SUMIFS('SIMULARE PE PRODUS'!$J$6:$J$243,'SIMULARE PE PRODUS'!$C$6:$C$243,$A18)/$F18,"")</f>
        <v>0.46020237829934596</v>
      </c>
      <c r="M18" s="28">
        <f>IFERROR(SUMIFS('SIMULARE PE PRODUS'!$K$6:$K$243,'SIMULARE PE PRODUS'!$C$6:$C$243,$A18)/$G18,"")</f>
        <v>0.41257881379786138</v>
      </c>
      <c r="N18" s="27">
        <f t="shared" si="5"/>
        <v>10051.93969256216</v>
      </c>
    </row>
    <row r="19" spans="1:14" x14ac:dyDescent="0.2">
      <c r="A19" s="26" t="s">
        <v>99</v>
      </c>
      <c r="B19" s="27">
        <f>SUMIFS('SIMULARE PE PRODUS'!$F$6:$F$243,'SIMULARE PE PRODUS'!$C$6:$C$243,$A19,'SIMULARE PE PRODUS'!$D$6:$D$243,"&lt;2")*1</f>
        <v>739</v>
      </c>
      <c r="C19" s="27">
        <f>SUMIFS('SIMULARE PE PRODUS'!$G$6:$G$243,'SIMULARE PE PRODUS'!$C$6:$C$243,$A19,'SIMULARE PE PRODUS'!$D$6:$D$243,"&lt;2")*1</f>
        <v>253</v>
      </c>
      <c r="D19" s="27">
        <f t="shared" si="0"/>
        <v>992</v>
      </c>
      <c r="E19" s="28">
        <f t="shared" si="1"/>
        <v>2.2692180119179696E-3</v>
      </c>
      <c r="F19" s="27">
        <f>SUMIFS('SIMULARE PE PRODUS'!R$6:R$243,'SIMULARE PE PRODUS'!$C$6:$C$243,$A19,'SIMULARE PE PRODUS'!$D$6:$D$243,"&lt;2")*1</f>
        <v>13974.423423423421</v>
      </c>
      <c r="G19" s="27">
        <f>SUMIFS('SIMULARE PE PRODUS'!S$6:S$243,'SIMULARE PE PRODUS'!$C$6:$C$243,$A19,'SIMULARE PE PRODUS'!$D$6:$D$243,"&lt;2")*1</f>
        <v>5467.9909909909902</v>
      </c>
      <c r="H19" s="27">
        <f t="shared" si="2"/>
        <v>19442.414414414412</v>
      </c>
      <c r="I19" s="28">
        <f t="shared" si="3"/>
        <v>4.0951369271159622E-3</v>
      </c>
      <c r="J19" s="27">
        <f>SUMIFS('SIMULARE PE PRODUS'!$L$6:$L$243,'SIMULARE PE PRODUS'!$C$6:$C$243,$A19,'SIMULARE PE PRODUS'!$D$6:$D$243,"&lt;2")*1</f>
        <v>7133.8174144000004</v>
      </c>
      <c r="K19" s="28">
        <f t="shared" si="4"/>
        <v>0.36692034550560032</v>
      </c>
      <c r="L19" s="28">
        <f>IFERROR(SUMIFS('SIMULARE PE PRODUS'!$J$6:$J$243,'SIMULARE PE PRODUS'!$C$6:$C$243,$A19)/$F19,"")</f>
        <v>0.38029521210100059</v>
      </c>
      <c r="M19" s="28">
        <f>IFERROR(SUMIFS('SIMULARE PE PRODUS'!$K$6:$K$243,'SIMULARE PE PRODUS'!$C$6:$C$243,$A19)/$G19,"")</f>
        <v>0.33273849528970412</v>
      </c>
      <c r="N19" s="27">
        <f t="shared" si="5"/>
        <v>12308.597000014412</v>
      </c>
    </row>
    <row r="20" spans="1:14" x14ac:dyDescent="0.2">
      <c r="A20" s="26" t="s">
        <v>100</v>
      </c>
      <c r="B20" s="27">
        <f>SUMIFS('SIMULARE PE PRODUS'!$F$6:$F$243,'SIMULARE PE PRODUS'!$C$6:$C$243,$A20,'SIMULARE PE PRODUS'!$D$6:$D$243,"&lt;2")*1</f>
        <v>12271</v>
      </c>
      <c r="C20" s="27">
        <f>SUMIFS('SIMULARE PE PRODUS'!$G$6:$G$243,'SIMULARE PE PRODUS'!$C$6:$C$243,$A20,'SIMULARE PE PRODUS'!$D$6:$D$243,"&lt;2")*1</f>
        <v>5947</v>
      </c>
      <c r="D20" s="27">
        <f t="shared" si="0"/>
        <v>18218</v>
      </c>
      <c r="E20" s="28">
        <f t="shared" si="1"/>
        <v>4.1674005787420941E-2</v>
      </c>
      <c r="F20" s="27">
        <f>SUMIFS('SIMULARE PE PRODUS'!R$6:R$243,'SIMULARE PE PRODUS'!$C$6:$C$243,$A20,'SIMULARE PE PRODUS'!$D$6:$D$243,"&lt;2")*1</f>
        <v>270446.61261261255</v>
      </c>
      <c r="G20" s="27">
        <f>SUMIFS('SIMULARE PE PRODUS'!S$6:S$243,'SIMULARE PE PRODUS'!$C$6:$C$243,$A20,'SIMULARE PE PRODUS'!$D$6:$D$243,"&lt;2")*1</f>
        <v>154496.63063063062</v>
      </c>
      <c r="H20" s="27">
        <f t="shared" si="2"/>
        <v>424943.2432432432</v>
      </c>
      <c r="I20" s="28">
        <f t="shared" si="3"/>
        <v>8.9505383963200486E-2</v>
      </c>
      <c r="J20" s="27">
        <f>SUMIFS('SIMULARE PE PRODUS'!$L$6:$L$243,'SIMULARE PE PRODUS'!$C$6:$C$243,$A20,'SIMULARE PE PRODUS'!$D$6:$D$243,"&lt;2")*1</f>
        <v>194883.48317852002</v>
      </c>
      <c r="K20" s="28">
        <f t="shared" si="4"/>
        <v>0.45861061748184123</v>
      </c>
      <c r="L20" s="28">
        <f>IFERROR(SUMIFS('SIMULARE PE PRODUS'!$J$6:$J$243,'SIMULARE PE PRODUS'!$C$6:$C$243,$A20)/$F20,"")</f>
        <v>0.48871620405052923</v>
      </c>
      <c r="M20" s="28">
        <f>IFERROR(SUMIFS('SIMULARE PE PRODUS'!$K$6:$K$243,'SIMULARE PE PRODUS'!$C$6:$C$243,$A20)/$G20,"")</f>
        <v>0.40591073739394995</v>
      </c>
      <c r="N20" s="27">
        <f t="shared" si="5"/>
        <v>230059.76006472317</v>
      </c>
    </row>
    <row r="21" spans="1:14" x14ac:dyDescent="0.2">
      <c r="A21" s="26" t="s">
        <v>101</v>
      </c>
      <c r="B21" s="27">
        <f>SUMIFS('SIMULARE PE PRODUS'!$F$6:$F$243,'SIMULARE PE PRODUS'!$C$6:$C$243,$A21,'SIMULARE PE PRODUS'!$D$6:$D$243,"&lt;2")*1</f>
        <v>52640</v>
      </c>
      <c r="C21" s="27">
        <f>SUMIFS('SIMULARE PE PRODUS'!$G$6:$G$243,'SIMULARE PE PRODUS'!$C$6:$C$243,$A21,'SIMULARE PE PRODUS'!$D$6:$D$243,"&lt;2")*1</f>
        <v>19959</v>
      </c>
      <c r="D21" s="27">
        <f t="shared" si="0"/>
        <v>72599</v>
      </c>
      <c r="E21" s="28">
        <f t="shared" si="1"/>
        <v>0.16607153069277486</v>
      </c>
      <c r="F21" s="27">
        <f>SUMIFS('SIMULARE PE PRODUS'!R$6:R$243,'SIMULARE PE PRODUS'!$C$6:$C$243,$A21,'SIMULARE PE PRODUS'!$D$6:$D$243,"&lt;2")*1</f>
        <v>615916.93693693692</v>
      </c>
      <c r="G21" s="27">
        <f>SUMIFS('SIMULARE PE PRODUS'!S$6:S$243,'SIMULARE PE PRODUS'!$C$6:$C$243,$A21,'SIMULARE PE PRODUS'!$D$6:$D$243,"&lt;2")*1</f>
        <v>264921.70270270266</v>
      </c>
      <c r="H21" s="27">
        <f t="shared" si="2"/>
        <v>880838.63963963953</v>
      </c>
      <c r="I21" s="28">
        <f t="shared" si="3"/>
        <v>0.18553018998219528</v>
      </c>
      <c r="J21" s="27">
        <f>SUMIFS('SIMULARE PE PRODUS'!$L$6:$L$243,'SIMULARE PE PRODUS'!$C$6:$C$243,$A21,'SIMULARE PE PRODUS'!$D$6:$D$243,"&lt;2")*1</f>
        <v>265056.19765784644</v>
      </c>
      <c r="K21" s="28">
        <f t="shared" si="4"/>
        <v>0.30091345421254878</v>
      </c>
      <c r="L21" s="28">
        <f>IFERROR(SUMIFS('SIMULARE PE PRODUS'!$J$6:$J$243,'SIMULARE PE PRODUS'!$C$6:$C$243,$A21)/$F21,"")</f>
        <v>0.31297183612844631</v>
      </c>
      <c r="M21" s="28">
        <f>IFERROR(SUMIFS('SIMULARE PE PRODUS'!$K$6:$K$243,'SIMULARE PE PRODUS'!$C$6:$C$243,$A21)/$G21,"")</f>
        <v>0.3572937704130163</v>
      </c>
      <c r="N21" s="27">
        <f t="shared" si="5"/>
        <v>615782.44198179315</v>
      </c>
    </row>
    <row r="22" spans="1:14" x14ac:dyDescent="0.2">
      <c r="A22" s="26" t="s">
        <v>102</v>
      </c>
      <c r="B22" s="27">
        <f>SUMIFS('SIMULARE PE PRODUS'!$F$6:$F$243,'SIMULARE PE PRODUS'!$C$6:$C$243,$A22,'SIMULARE PE PRODUS'!$D$6:$D$243,"&lt;2")*1</f>
        <v>40547</v>
      </c>
      <c r="C22" s="27">
        <f>SUMIFS('SIMULARE PE PRODUS'!$G$6:$G$243,'SIMULARE PE PRODUS'!$C$6:$C$243,$A22,'SIMULARE PE PRODUS'!$D$6:$D$243,"&lt;2")*1</f>
        <v>16944</v>
      </c>
      <c r="D22" s="27">
        <f t="shared" si="0"/>
        <v>57491</v>
      </c>
      <c r="E22" s="28">
        <f t="shared" si="1"/>
        <v>0.13151170637416934</v>
      </c>
      <c r="F22" s="27">
        <f>SUMIFS('SIMULARE PE PRODUS'!R$6:R$243,'SIMULARE PE PRODUS'!$C$6:$C$243,$A22,'SIMULARE PE PRODUS'!$D$6:$D$243,"&lt;2")*1</f>
        <v>317648.50450450438</v>
      </c>
      <c r="G22" s="27">
        <f>SUMIFS('SIMULARE PE PRODUS'!S$6:S$243,'SIMULARE PE PRODUS'!$C$6:$C$243,$A22,'SIMULARE PE PRODUS'!$D$6:$D$243,"&lt;2")*1</f>
        <v>154358.19819819817</v>
      </c>
      <c r="H22" s="27">
        <f t="shared" si="2"/>
        <v>472006.70270270255</v>
      </c>
      <c r="I22" s="28">
        <f t="shared" si="3"/>
        <v>9.941831486993849E-2</v>
      </c>
      <c r="J22" s="27">
        <f>SUMIFS('SIMULARE PE PRODUS'!$L$6:$L$243,'SIMULARE PE PRODUS'!$C$6:$C$243,$A22,'SIMULARE PE PRODUS'!$D$6:$D$243,"&lt;2")*1</f>
        <v>147187.95431799997</v>
      </c>
      <c r="K22" s="28">
        <f t="shared" si="4"/>
        <v>0.31183445801765991</v>
      </c>
      <c r="L22" s="28">
        <f>IFERROR(SUMIFS('SIMULARE PE PRODUS'!$J$6:$J$243,'SIMULARE PE PRODUS'!$C$6:$C$243,$A22)/$F22,"")</f>
        <v>0.31123007251746121</v>
      </c>
      <c r="M22" s="28">
        <f>IFERROR(SUMIFS('SIMULARE PE PRODUS'!$K$6:$K$243,'SIMULARE PE PRODUS'!$C$6:$C$243,$A22)/$G22,"")</f>
        <v>0.31307820245445256</v>
      </c>
      <c r="N22" s="27">
        <f t="shared" si="5"/>
        <v>324818.7483847026</v>
      </c>
    </row>
    <row r="23" spans="1:14" x14ac:dyDescent="0.2">
      <c r="A23" s="26" t="s">
        <v>103</v>
      </c>
      <c r="B23" s="27">
        <f>SUMIFS('SIMULARE PE PRODUS'!$F$6:$F$243,'SIMULARE PE PRODUS'!$C$6:$C$243,$A23,'SIMULARE PE PRODUS'!$D$6:$D$243,"&lt;2")*1</f>
        <v>44484</v>
      </c>
      <c r="C23" s="27">
        <f>SUMIFS('SIMULARE PE PRODUS'!$G$6:$G$243,'SIMULARE PE PRODUS'!$C$6:$C$243,$A23,'SIMULARE PE PRODUS'!$D$6:$D$243,"&lt;2")*1</f>
        <v>2445</v>
      </c>
      <c r="D23" s="27">
        <f t="shared" si="0"/>
        <v>46929</v>
      </c>
      <c r="E23" s="28">
        <f t="shared" si="1"/>
        <v>0.10735093959808306</v>
      </c>
      <c r="F23" s="27">
        <f>SUMIFS('SIMULARE PE PRODUS'!R$6:R$243,'SIMULARE PE PRODUS'!$C$6:$C$243,$A23,'SIMULARE PE PRODUS'!$D$6:$D$243,"&lt;2")*1</f>
        <v>361462.66115702497</v>
      </c>
      <c r="G23" s="27">
        <f>SUMIFS('SIMULARE PE PRODUS'!S$6:S$243,'SIMULARE PE PRODUS'!$C$6:$C$243,$A23,'SIMULARE PE PRODUS'!$D$6:$D$243,"&lt;2")*1</f>
        <v>20702.933884297523</v>
      </c>
      <c r="H23" s="27">
        <f t="shared" si="2"/>
        <v>382165.59504132246</v>
      </c>
      <c r="I23" s="28">
        <f t="shared" si="3"/>
        <v>8.0495169332810534E-2</v>
      </c>
      <c r="J23" s="27">
        <f>SUMIFS('SIMULARE PE PRODUS'!$L$6:$L$243,'SIMULARE PE PRODUS'!$C$6:$C$243,$A23,'SIMULARE PE PRODUS'!$D$6:$D$243,"&lt;2")*1</f>
        <v>186619.55780157918</v>
      </c>
      <c r="K23" s="28">
        <f t="shared" si="4"/>
        <v>0.48832118909448285</v>
      </c>
      <c r="L23" s="28">
        <f>IFERROR(SUMIFS('SIMULARE PE PRODUS'!$J$6:$J$243,'SIMULARE PE PRODUS'!$C$6:$C$243,$A23)/$F23,"")</f>
        <v>0.49394444087273948</v>
      </c>
      <c r="M23" s="28">
        <f>IFERROR(SUMIFS('SIMULARE PE PRODUS'!$K$6:$K$243,'SIMULARE PE PRODUS'!$C$6:$C$243,$A23)/$G23,"")</f>
        <v>0.39014208252513416</v>
      </c>
      <c r="N23" s="27">
        <f t="shared" si="5"/>
        <v>195546.03723974328</v>
      </c>
    </row>
    <row r="24" spans="1:14" x14ac:dyDescent="0.2">
      <c r="A24" s="26" t="s">
        <v>104</v>
      </c>
      <c r="B24" s="27">
        <f>SUMIFS('SIMULARE PE PRODUS'!$F$6:$F$243,'SIMULARE PE PRODUS'!$C$6:$C$243,$A24,'SIMULARE PE PRODUS'!$D$6:$D$243,"&lt;2")*1</f>
        <v>3873</v>
      </c>
      <c r="C24" s="27">
        <f>SUMIFS('SIMULARE PE PRODUS'!$G$6:$G$243,'SIMULARE PE PRODUS'!$C$6:$C$243,$A24,'SIMULARE PE PRODUS'!$D$6:$D$243,"&lt;2")*1</f>
        <v>755</v>
      </c>
      <c r="D24" s="27">
        <f t="shared" si="0"/>
        <v>4628</v>
      </c>
      <c r="E24" s="28">
        <f t="shared" si="1"/>
        <v>1.0586634031407624E-2</v>
      </c>
      <c r="F24" s="27">
        <f>SUMIFS('SIMULARE PE PRODUS'!R$6:R$243,'SIMULARE PE PRODUS'!$C$6:$C$243,$A24,'SIMULARE PE PRODUS'!$D$6:$D$243,"&lt;2")*1</f>
        <v>44957.051597051621</v>
      </c>
      <c r="G24" s="27">
        <f>SUMIFS('SIMULARE PE PRODUS'!S$6:S$243,'SIMULARE PE PRODUS'!$C$6:$C$243,$A24,'SIMULARE PE PRODUS'!$D$6:$D$243,"&lt;2")*1</f>
        <v>11044.374432283519</v>
      </c>
      <c r="H24" s="27">
        <f t="shared" si="2"/>
        <v>56001.42602933514</v>
      </c>
      <c r="I24" s="28">
        <f t="shared" si="3"/>
        <v>1.1795526153061411E-2</v>
      </c>
      <c r="J24" s="27">
        <f>SUMIFS('SIMULARE PE PRODUS'!$L$6:$L$243,'SIMULARE PE PRODUS'!$C$6:$C$243,$A24,'SIMULARE PE PRODUS'!$D$6:$D$243,"&lt;2")*1</f>
        <v>23561.386222653997</v>
      </c>
      <c r="K24" s="28">
        <f t="shared" si="4"/>
        <v>0.42072832592355547</v>
      </c>
      <c r="L24" s="28">
        <f>IFERROR(SUMIFS('SIMULARE PE PRODUS'!$J$6:$J$243,'SIMULARE PE PRODUS'!$C$6:$C$243,$A24)/$F24,"")</f>
        <v>0.41733901750221708</v>
      </c>
      <c r="M24" s="28">
        <f>IFERROR(SUMIFS('SIMULARE PE PRODUS'!$K$6:$K$243,'SIMULARE PE PRODUS'!$C$6:$C$243,$A24)/$G24,"")</f>
        <v>0.43452478986188769</v>
      </c>
      <c r="N24" s="27">
        <f t="shared" si="5"/>
        <v>32440.039806681143</v>
      </c>
    </row>
    <row r="25" spans="1:14" x14ac:dyDescent="0.2">
      <c r="A25" s="26" t="s">
        <v>105</v>
      </c>
      <c r="B25" s="27">
        <f>SUMIFS('SIMULARE PE PRODUS'!$F$6:$F$243,'SIMULARE PE PRODUS'!$C$6:$C$243,$A25,'SIMULARE PE PRODUS'!$D$6:$D$243,"&lt;2")*1</f>
        <v>8146</v>
      </c>
      <c r="C25" s="27">
        <f>SUMIFS('SIMULARE PE PRODUS'!$G$6:$G$243,'SIMULARE PE PRODUS'!$C$6:$C$243,$A25,'SIMULARE PE PRODUS'!$D$6:$D$243,"&lt;2")*1</f>
        <v>2818</v>
      </c>
      <c r="D25" s="27">
        <f t="shared" si="0"/>
        <v>10964</v>
      </c>
      <c r="E25" s="28">
        <f t="shared" si="1"/>
        <v>2.5080349075270784E-2</v>
      </c>
      <c r="F25" s="27">
        <f>SUMIFS('SIMULARE PE PRODUS'!R$6:R$243,'SIMULARE PE PRODUS'!$C$6:$C$243,$A25,'SIMULARE PE PRODUS'!$D$6:$D$243,"&lt;2")*1</f>
        <v>99635.585585585592</v>
      </c>
      <c r="G25" s="27">
        <f>SUMIFS('SIMULARE PE PRODUS'!S$6:S$243,'SIMULARE PE PRODUS'!$C$6:$C$243,$A25,'SIMULARE PE PRODUS'!$D$6:$D$243,"&lt;2")*1</f>
        <v>35581.08108108108</v>
      </c>
      <c r="H25" s="27">
        <f t="shared" si="2"/>
        <v>135216.66666666669</v>
      </c>
      <c r="I25" s="28">
        <f t="shared" si="3"/>
        <v>2.8480555605155E-2</v>
      </c>
      <c r="J25" s="27">
        <f>SUMIFS('SIMULARE PE PRODUS'!$L$6:$L$243,'SIMULARE PE PRODUS'!$C$6:$C$243,$A25,'SIMULARE PE PRODUS'!$D$6:$D$243,"&lt;2")*1</f>
        <v>52972.115083700002</v>
      </c>
      <c r="K25" s="28">
        <f t="shared" si="4"/>
        <v>0.39175729138690984</v>
      </c>
      <c r="L25" s="28">
        <f>IFERROR(SUMIFS('SIMULARE PE PRODUS'!$J$6:$J$243,'SIMULARE PE PRODUS'!$C$6:$C$243,$A25)/$F25,"")</f>
        <v>0.38264721878059238</v>
      </c>
      <c r="M25" s="28">
        <f>IFERROR(SUMIFS('SIMULARE PE PRODUS'!$K$6:$K$243,'SIMULARE PE PRODUS'!$C$6:$C$243,$A25)/$G25,"")</f>
        <v>0.41726768599210029</v>
      </c>
      <c r="N25" s="27">
        <f t="shared" si="5"/>
        <v>82244.551582966684</v>
      </c>
    </row>
    <row r="26" spans="1:14" x14ac:dyDescent="0.2">
      <c r="A26" s="26" t="s">
        <v>106</v>
      </c>
      <c r="B26" s="27">
        <f>SUMIFS('SIMULARE PE PRODUS'!$F$6:$F$243,'SIMULARE PE PRODUS'!$C$6:$C$243,$A26,'SIMULARE PE PRODUS'!$D$6:$D$243,"&lt;2")*1</f>
        <v>2768</v>
      </c>
      <c r="C26" s="27">
        <f>SUMIFS('SIMULARE PE PRODUS'!$G$6:$G$243,'SIMULARE PE PRODUS'!$C$6:$C$243,$A26,'SIMULARE PE PRODUS'!$D$6:$D$243,"&lt;2")*1</f>
        <v>2424</v>
      </c>
      <c r="D26" s="27">
        <f t="shared" si="0"/>
        <v>5192</v>
      </c>
      <c r="E26" s="28">
        <f t="shared" si="1"/>
        <v>1.1876794272054535E-2</v>
      </c>
      <c r="F26" s="27">
        <f>SUMIFS('SIMULARE PE PRODUS'!R$6:R$243,'SIMULARE PE PRODUS'!$C$6:$C$243,$A26,'SIMULARE PE PRODUS'!$D$6:$D$243,"&lt;2")*1</f>
        <v>10643.24324324324</v>
      </c>
      <c r="G26" s="27">
        <f>SUMIFS('SIMULARE PE PRODUS'!S$6:S$243,'SIMULARE PE PRODUS'!$C$6:$C$243,$A26,'SIMULARE PE PRODUS'!$D$6:$D$243,"&lt;2")*1</f>
        <v>8096.3963963963952</v>
      </c>
      <c r="H26" s="27">
        <f t="shared" si="2"/>
        <v>18739.639639639634</v>
      </c>
      <c r="I26" s="28">
        <f t="shared" si="3"/>
        <v>3.9471121566176997E-3</v>
      </c>
      <c r="J26" s="27">
        <f>SUMIFS('SIMULARE PE PRODUS'!$L$6:$L$243,'SIMULARE PE PRODUS'!$C$6:$C$243,$A26,'SIMULARE PE PRODUS'!$D$6:$D$243,"&lt;2")*1</f>
        <v>4041.2264166400005</v>
      </c>
      <c r="K26" s="28">
        <f t="shared" si="4"/>
        <v>0.21565123419404844</v>
      </c>
      <c r="L26" s="28">
        <f>IFERROR(SUMIFS('SIMULARE PE PRODUS'!$J$6:$J$243,'SIMULARE PE PRODUS'!$C$6:$C$243,$A26)/$F26,"")</f>
        <v>0.21907210730716106</v>
      </c>
      <c r="M26" s="28">
        <f>IFERROR(SUMIFS('SIMULARE PE PRODUS'!$K$6:$K$243,'SIMULARE PE PRODUS'!$C$6:$C$243,$A26)/$G26,"")</f>
        <v>0.21115427247619903</v>
      </c>
      <c r="N26" s="27">
        <f t="shared" si="5"/>
        <v>14698.413222999634</v>
      </c>
    </row>
    <row r="27" spans="1:14" x14ac:dyDescent="0.2">
      <c r="A27" s="26" t="s">
        <v>107</v>
      </c>
      <c r="B27" s="27">
        <f>SUMIFS('SIMULARE PE PRODUS'!$F$6:$F$243,'SIMULARE PE PRODUS'!$C$6:$C$243,$A27,'SIMULARE PE PRODUS'!$D$6:$D$243,"&lt;2")*1</f>
        <v>1326</v>
      </c>
      <c r="C27" s="27">
        <f>SUMIFS('SIMULARE PE PRODUS'!$G$6:$G$243,'SIMULARE PE PRODUS'!$C$6:$C$243,$A27,'SIMULARE PE PRODUS'!$D$6:$D$243,"&lt;2")*1</f>
        <v>1427</v>
      </c>
      <c r="D27" s="27">
        <f t="shared" si="0"/>
        <v>2753</v>
      </c>
      <c r="E27" s="28">
        <f t="shared" si="1"/>
        <v>6.2975374867038003E-3</v>
      </c>
      <c r="F27" s="27">
        <f>SUMIFS('SIMULARE PE PRODUS'!R$6:R$243,'SIMULARE PE PRODUS'!$C$6:$C$243,$A27,'SIMULARE PE PRODUS'!$D$6:$D$243,"&lt;2")*1</f>
        <v>17711.936936936934</v>
      </c>
      <c r="G27" s="27">
        <f>SUMIFS('SIMULARE PE PRODUS'!S$6:S$243,'SIMULARE PE PRODUS'!$C$6:$C$243,$A27,'SIMULARE PE PRODUS'!$D$6:$D$243,"&lt;2")*1</f>
        <v>18047.747747747744</v>
      </c>
      <c r="H27" s="27">
        <f t="shared" si="2"/>
        <v>35759.684684684675</v>
      </c>
      <c r="I27" s="28">
        <f t="shared" si="3"/>
        <v>7.5320277684085149E-3</v>
      </c>
      <c r="J27" s="27">
        <f>SUMIFS('SIMULARE PE PRODUS'!$L$6:$L$243,'SIMULARE PE PRODUS'!$C$6:$C$243,$A27,'SIMULARE PE PRODUS'!$D$6:$D$243,"&lt;2")*1</f>
        <v>13886.052265360002</v>
      </c>
      <c r="K27" s="28">
        <f t="shared" si="4"/>
        <v>0.38831584751940457</v>
      </c>
      <c r="L27" s="28">
        <f>IFERROR(SUMIFS('SIMULARE PE PRODUS'!$J$6:$J$243,'SIMULARE PE PRODUS'!$C$6:$C$243,$A27)/$F27,"")</f>
        <v>0.38904451246604704</v>
      </c>
      <c r="M27" s="28">
        <f>IFERROR(SUMIFS('SIMULARE PE PRODUS'!$K$6:$K$243,'SIMULARE PE PRODUS'!$C$6:$C$243,$A27)/$G27,"")</f>
        <v>0.38760074069480371</v>
      </c>
      <c r="N27" s="27">
        <f t="shared" si="5"/>
        <v>21873.632419324673</v>
      </c>
    </row>
    <row r="28" spans="1:14" x14ac:dyDescent="0.2">
      <c r="A28" s="26" t="s">
        <v>108</v>
      </c>
      <c r="B28" s="27">
        <f>SUMIFS('SIMULARE PE PRODUS'!$F$6:$F$243,'SIMULARE PE PRODUS'!$C$6:$C$243,$A28,'SIMULARE PE PRODUS'!$D$6:$D$243,"&lt;2")*1</f>
        <v>336</v>
      </c>
      <c r="C28" s="27">
        <f>SUMIFS('SIMULARE PE PRODUS'!$G$6:$G$243,'SIMULARE PE PRODUS'!$C$6:$C$243,$A28,'SIMULARE PE PRODUS'!$D$6:$D$243,"&lt;2")*1</f>
        <v>539</v>
      </c>
      <c r="D28" s="27">
        <f t="shared" si="0"/>
        <v>875</v>
      </c>
      <c r="E28" s="28">
        <f t="shared" si="1"/>
        <v>2.0015783875284511E-3</v>
      </c>
      <c r="F28" s="27">
        <f>SUMIFS('SIMULARE PE PRODUS'!R$6:R$243,'SIMULARE PE PRODUS'!$C$6:$C$243,$A28,'SIMULARE PE PRODUS'!$D$6:$D$243,"&lt;2")*1</f>
        <v>5229.7297297297282</v>
      </c>
      <c r="G28" s="27">
        <f>SUMIFS('SIMULARE PE PRODUS'!S$6:S$243,'SIMULARE PE PRODUS'!$C$6:$C$243,$A28,'SIMULARE PE PRODUS'!$D$6:$D$243,"&lt;2")*1</f>
        <v>9922.5225225225204</v>
      </c>
      <c r="H28" s="27">
        <f t="shared" si="2"/>
        <v>15152.252252252249</v>
      </c>
      <c r="I28" s="28">
        <f t="shared" si="3"/>
        <v>3.1915042239389021E-3</v>
      </c>
      <c r="J28" s="27">
        <f>SUMIFS('SIMULARE PE PRODUS'!$L$6:$L$243,'SIMULARE PE PRODUS'!$C$6:$C$243,$A28,'SIMULARE PE PRODUS'!$D$6:$D$243,"&lt;2")*1</f>
        <v>6050.3951910000005</v>
      </c>
      <c r="K28" s="28">
        <f t="shared" si="4"/>
        <v>0.39930665687674666</v>
      </c>
      <c r="L28" s="28">
        <f>IFERROR(SUMIFS('SIMULARE PE PRODUS'!$J$6:$J$243,'SIMULARE PE PRODUS'!$C$6:$C$243,$A28)/$F28,"")</f>
        <v>0.44278507198108535</v>
      </c>
      <c r="M28" s="28">
        <f>IFERROR(SUMIFS('SIMULARE PE PRODUS'!$K$6:$K$243,'SIMULARE PE PRODUS'!$C$6:$C$243,$A28)/$G28,"")</f>
        <v>0.37639107673504635</v>
      </c>
      <c r="N28" s="27">
        <f t="shared" si="5"/>
        <v>9101.857061252249</v>
      </c>
    </row>
    <row r="29" spans="1:14" x14ac:dyDescent="0.2">
      <c r="A29" s="26" t="s">
        <v>109</v>
      </c>
      <c r="B29" s="27">
        <f>SUMIFS('SIMULARE PE PRODUS'!$F$6:$F$243,'SIMULARE PE PRODUS'!$C$6:$C$243,$A29,'SIMULARE PE PRODUS'!$D$6:$D$243,"&lt;2")*1</f>
        <v>1150</v>
      </c>
      <c r="C29" s="27">
        <f>SUMIFS('SIMULARE PE PRODUS'!$G$6:$G$243,'SIMULARE PE PRODUS'!$C$6:$C$243,$A29,'SIMULARE PE PRODUS'!$D$6:$D$243,"&lt;2")*1</f>
        <v>261</v>
      </c>
      <c r="D29" s="27">
        <f t="shared" si="0"/>
        <v>1411</v>
      </c>
      <c r="E29" s="28">
        <f t="shared" si="1"/>
        <v>3.2276881197744506E-3</v>
      </c>
      <c r="F29" s="27">
        <f>SUMIFS('SIMULARE PE PRODUS'!R$6:R$243,'SIMULARE PE PRODUS'!$C$6:$C$243,$A29,'SIMULARE PE PRODUS'!$D$6:$D$243,"&lt;2")*1</f>
        <v>40405.4054054054</v>
      </c>
      <c r="G29" s="27">
        <f>SUMIFS('SIMULARE PE PRODUS'!S$6:S$243,'SIMULARE PE PRODUS'!$C$6:$C$243,$A29,'SIMULARE PE PRODUS'!$D$6:$D$243,"&lt;2")*1</f>
        <v>9170.2702702702682</v>
      </c>
      <c r="H29" s="27">
        <f t="shared" si="2"/>
        <v>49575.675675675666</v>
      </c>
      <c r="I29" s="28">
        <f t="shared" si="3"/>
        <v>1.0442076576439375E-2</v>
      </c>
      <c r="J29" s="27">
        <f>SUMIFS('SIMULARE PE PRODUS'!$L$6:$L$243,'SIMULARE PE PRODUS'!$C$6:$C$243,$A29,'SIMULARE PE PRODUS'!$D$6:$D$243,"&lt;2")*1</f>
        <v>30656.595269000005</v>
      </c>
      <c r="K29" s="28">
        <f t="shared" si="4"/>
        <v>0.61837977700103608</v>
      </c>
      <c r="L29" s="28">
        <f>IFERROR(SUMIFS('SIMULARE PE PRODUS'!$J$6:$J$243,'SIMULARE PE PRODUS'!$C$6:$C$243,$A29)/$F29,"")</f>
        <v>0.61092846547006041</v>
      </c>
      <c r="M29" s="28">
        <f>IFERROR(SUMIFS('SIMULARE PE PRODUS'!$K$6:$K$243,'SIMULARE PE PRODUS'!$C$6:$C$243,$A29)/$G29,"")</f>
        <v>0.65121122627544958</v>
      </c>
      <c r="N29" s="27">
        <f t="shared" si="5"/>
        <v>18919.080406675661</v>
      </c>
    </row>
    <row r="30" spans="1:14" x14ac:dyDescent="0.2">
      <c r="A30" s="26" t="s">
        <v>110</v>
      </c>
      <c r="B30" s="27">
        <f>SUMIFS('SIMULARE PE PRODUS'!$F$6:$F$243,'SIMULARE PE PRODUS'!$C$6:$C$243,$A30,'SIMULARE PE PRODUS'!$D$6:$D$243,"&lt;2")*1</f>
        <v>918</v>
      </c>
      <c r="C30" s="27">
        <f>SUMIFS('SIMULARE PE PRODUS'!$G$6:$G$243,'SIMULARE PE PRODUS'!$C$6:$C$243,$A30,'SIMULARE PE PRODUS'!$D$6:$D$243,"&lt;2")*1</f>
        <v>0</v>
      </c>
      <c r="D30" s="27">
        <f t="shared" si="0"/>
        <v>918</v>
      </c>
      <c r="E30" s="28">
        <f t="shared" si="1"/>
        <v>2.0999416682869919E-3</v>
      </c>
      <c r="F30" s="27">
        <f>SUMIFS('SIMULARE PE PRODUS'!R$6:R$243,'SIMULARE PE PRODUS'!$C$6:$C$243,$A30,'SIMULARE PE PRODUS'!$D$6:$D$243,"&lt;2")*1</f>
        <v>25051.207207207208</v>
      </c>
      <c r="G30" s="27">
        <f>SUMIFS('SIMULARE PE PRODUS'!S$6:S$243,'SIMULARE PE PRODUS'!$C$6:$C$243,$A30,'SIMULARE PE PRODUS'!$D$6:$D$243,"&lt;2")*1</f>
        <v>0</v>
      </c>
      <c r="H30" s="27">
        <f t="shared" si="2"/>
        <v>25051.207207207208</v>
      </c>
      <c r="I30" s="28">
        <f t="shared" si="3"/>
        <v>5.2765115235384533E-3</v>
      </c>
      <c r="J30" s="27">
        <f>SUMIFS('SIMULARE PE PRODUS'!$L$6:$L$243,'SIMULARE PE PRODUS'!$C$6:$C$243,$A30,'SIMULARE PE PRODUS'!$D$6:$D$243,"&lt;2")*1</f>
        <v>13661.920099999999</v>
      </c>
      <c r="K30" s="28">
        <f t="shared" si="4"/>
        <v>0.54535975001114834</v>
      </c>
      <c r="L30" s="28">
        <f>IFERROR(SUMIFS('SIMULARE PE PRODUS'!$J$6:$J$243,'SIMULARE PE PRODUS'!$C$6:$C$243,$A30)/$F30,"")</f>
        <v>0.54535975001114834</v>
      </c>
      <c r="M30" s="28" t="str">
        <f>IFERROR(SUMIFS('SIMULARE PE PRODUS'!$K$6:$K$243,'SIMULARE PE PRODUS'!$C$6:$C$243,$A30)/$G30,"")</f>
        <v/>
      </c>
      <c r="N30" s="27">
        <f t="shared" si="5"/>
        <v>11389.287107207208</v>
      </c>
    </row>
    <row r="31" spans="1:14" x14ac:dyDescent="0.2">
      <c r="A31" s="26" t="s">
        <v>111</v>
      </c>
      <c r="B31" s="27">
        <f>SUMIFS('SIMULARE PE PRODUS'!$F$6:$F$243,'SIMULARE PE PRODUS'!$C$6:$C$243,$A31,'SIMULARE PE PRODUS'!$D$6:$D$243,"&lt;2")*1</f>
        <v>63</v>
      </c>
      <c r="C31" s="27">
        <f>SUMIFS('SIMULARE PE PRODUS'!$G$6:$G$243,'SIMULARE PE PRODUS'!$C$6:$C$243,$A31,'SIMULARE PE PRODUS'!$D$6:$D$243,"&lt;2")*1</f>
        <v>0</v>
      </c>
      <c r="D31" s="27">
        <f t="shared" si="0"/>
        <v>63</v>
      </c>
      <c r="E31" s="28">
        <f t="shared" si="1"/>
        <v>1.4411364390204848E-4</v>
      </c>
      <c r="F31" s="27">
        <f>SUMIFS('SIMULARE PE PRODUS'!R$6:R$243,'SIMULARE PE PRODUS'!$C$6:$C$243,$A31,'SIMULARE PE PRODUS'!$D$6:$D$243,"&lt;2")*1</f>
        <v>2337.9338842975208</v>
      </c>
      <c r="G31" s="27">
        <f>SUMIFS('SIMULARE PE PRODUS'!S$6:S$243,'SIMULARE PE PRODUS'!$C$6:$C$243,$A31,'SIMULARE PE PRODUS'!$D$6:$D$243,"&lt;2")*1</f>
        <v>0</v>
      </c>
      <c r="H31" s="27">
        <f t="shared" si="2"/>
        <v>2337.9338842975208</v>
      </c>
      <c r="I31" s="28">
        <f t="shared" si="3"/>
        <v>4.924367508412046E-4</v>
      </c>
      <c r="J31" s="27">
        <f>SUMIFS('SIMULARE PE PRODUS'!$L$6:$L$243,'SIMULARE PE PRODUS'!$C$6:$C$243,$A31,'SIMULARE PE PRODUS'!$D$6:$D$243,"&lt;2")*1</f>
        <v>1541.6009999999999</v>
      </c>
      <c r="K31" s="28">
        <f t="shared" si="4"/>
        <v>0.65938605465021727</v>
      </c>
      <c r="L31" s="28">
        <f>IFERROR(SUMIFS('SIMULARE PE PRODUS'!$J$6:$J$243,'SIMULARE PE PRODUS'!$C$6:$C$243,$A31)/$F31,"")</f>
        <v>0.65938605465021727</v>
      </c>
      <c r="M31" s="28" t="str">
        <f>IFERROR(SUMIFS('SIMULARE PE PRODUS'!$K$6:$K$243,'SIMULARE PE PRODUS'!$C$6:$C$243,$A31)/$G31,"")</f>
        <v/>
      </c>
      <c r="N31" s="27">
        <f t="shared" si="5"/>
        <v>796.33288429752088</v>
      </c>
    </row>
    <row r="32" spans="1:14" x14ac:dyDescent="0.2">
      <c r="A32" s="26" t="s">
        <v>112</v>
      </c>
      <c r="B32" s="27">
        <f>SUMIFS('SIMULARE PE PRODUS'!$F$6:$F$243,'SIMULARE PE PRODUS'!$C$6:$C$243,$A32,'SIMULARE PE PRODUS'!$D$6:$D$243,"&lt;2")*1</f>
        <v>14486</v>
      </c>
      <c r="C32" s="27">
        <f>SUMIFS('SIMULARE PE PRODUS'!$G$6:$G$243,'SIMULARE PE PRODUS'!$C$6:$C$243,$A32,'SIMULARE PE PRODUS'!$D$6:$D$243,"&lt;2")*1</f>
        <v>68194</v>
      </c>
      <c r="D32" s="27">
        <f t="shared" si="0"/>
        <v>82680</v>
      </c>
      <c r="E32" s="28">
        <f t="shared" si="1"/>
        <v>0.18913200123525981</v>
      </c>
      <c r="F32" s="27">
        <f>SUMIFS('SIMULARE PE PRODUS'!R$6:R$243,'SIMULARE PE PRODUS'!$C$6:$C$243,$A32,'SIMULARE PE PRODUS'!$D$6:$D$243,"&lt;2")*1</f>
        <v>17756.981981981982</v>
      </c>
      <c r="G32" s="27">
        <f>SUMIFS('SIMULARE PE PRODUS'!S$6:S$243,'SIMULARE PE PRODUS'!$C$6:$C$243,$A32,'SIMULARE PE PRODUS'!$D$6:$D$243,"&lt;2")*1</f>
        <v>46538.738738738735</v>
      </c>
      <c r="H32" s="27">
        <f t="shared" si="2"/>
        <v>64295.720720720718</v>
      </c>
      <c r="I32" s="28">
        <f t="shared" si="3"/>
        <v>1.354254541471714E-2</v>
      </c>
      <c r="J32" s="27">
        <f>SUMIFS('SIMULARE PE PRODUS'!$L$6:$L$243,'SIMULARE PE PRODUS'!$C$6:$C$243,$A32,'SIMULARE PE PRODUS'!$D$6:$D$243,"&lt;2")*1</f>
        <v>48481.19200000001</v>
      </c>
      <c r="K32" s="28">
        <f t="shared" si="4"/>
        <v>0.75403450582016529</v>
      </c>
      <c r="L32" s="28">
        <f>IFERROR(SUMIFS('SIMULARE PE PRODUS'!$J$6:$J$243,'SIMULARE PE PRODUS'!$C$6:$C$243,$A32)/$F32,"")</f>
        <v>0.69335295899341709</v>
      </c>
      <c r="M32" s="28">
        <f>IFERROR(SUMIFS('SIMULARE PE PRODUS'!$K$6:$K$243,'SIMULARE PE PRODUS'!$C$6:$C$243,$A32)/$G32,"")</f>
        <v>0.77718771458438207</v>
      </c>
      <c r="N32" s="27">
        <f t="shared" si="5"/>
        <v>15814.528720720707</v>
      </c>
    </row>
    <row r="33" spans="1:14" x14ac:dyDescent="0.2">
      <c r="A33" s="26" t="s">
        <v>113</v>
      </c>
      <c r="B33" s="27">
        <f>SUMIFS('SIMULARE PE PRODUS'!$F$6:$F$243,'SIMULARE PE PRODUS'!$C$6:$C$243,$A33,'SIMULARE PE PRODUS'!$D$6:$D$243,"&lt;2")*1</f>
        <v>0</v>
      </c>
      <c r="C33" s="27">
        <f>SUMIFS('SIMULARE PE PRODUS'!$G$6:$G$243,'SIMULARE PE PRODUS'!$C$6:$C$243,$A33,'SIMULARE PE PRODUS'!$D$6:$D$243,"&lt;2")*1</f>
        <v>6124</v>
      </c>
      <c r="D33" s="27">
        <f t="shared" si="0"/>
        <v>6124</v>
      </c>
      <c r="E33" s="28">
        <f t="shared" si="1"/>
        <v>1.4008761194541981E-2</v>
      </c>
      <c r="F33" s="27">
        <f>SUMIFS('SIMULARE PE PRODUS'!R$6:R$243,'SIMULARE PE PRODUS'!$C$6:$C$243,$A33,'SIMULARE PE PRODUS'!$D$6:$D$243,"&lt;2")*1</f>
        <v>0</v>
      </c>
      <c r="G33" s="27">
        <f>SUMIFS('SIMULARE PE PRODUS'!S$6:S$243,'SIMULARE PE PRODUS'!$C$6:$C$243,$A33,'SIMULARE PE PRODUS'!$D$6:$D$243,"&lt;2")*1</f>
        <v>2530.5785123966944</v>
      </c>
      <c r="H33" s="27">
        <f t="shared" si="2"/>
        <v>2530.5785123966944</v>
      </c>
      <c r="I33" s="28">
        <f t="shared" si="3"/>
        <v>5.3301330237045088E-4</v>
      </c>
      <c r="J33" s="27">
        <f>SUMIFS('SIMULARE PE PRODUS'!$L$6:$L$243,'SIMULARE PE PRODUS'!$C$6:$C$243,$A33,'SIMULARE PE PRODUS'!$D$6:$D$243,"&lt;2")*1</f>
        <v>3062</v>
      </c>
      <c r="K33" s="28">
        <f t="shared" si="4"/>
        <v>1.21</v>
      </c>
      <c r="L33" s="28" t="str">
        <f>IFERROR(SUMIFS('SIMULARE PE PRODUS'!$J$6:$J$243,'SIMULARE PE PRODUS'!$C$6:$C$243,$A33)/$F33,"")</f>
        <v/>
      </c>
      <c r="M33" s="28">
        <f>IFERROR(SUMIFS('SIMULARE PE PRODUS'!$K$6:$K$243,'SIMULARE PE PRODUS'!$C$6:$C$243,$A33)/$G33,"")</f>
        <v>1.21</v>
      </c>
      <c r="N33" s="27">
        <f t="shared" si="5"/>
        <v>-531.42148760330565</v>
      </c>
    </row>
    <row r="34" spans="1:14" x14ac:dyDescent="0.2">
      <c r="A34" s="14" t="s">
        <v>74</v>
      </c>
      <c r="B34" s="29">
        <f>SUM(B14:B33)</f>
        <v>269792</v>
      </c>
      <c r="C34" s="29">
        <f>SUM(C14:C33)</f>
        <v>167363</v>
      </c>
      <c r="D34" s="29">
        <f>SUM(D14:D33)</f>
        <v>437155</v>
      </c>
      <c r="E34" s="30">
        <f>D34/D34</f>
        <v>1</v>
      </c>
      <c r="F34" s="29">
        <f>SUM(F14:F33)</f>
        <v>3209348.6736654006</v>
      </c>
      <c r="G34" s="29">
        <f>SUM(G14:G33)</f>
        <v>1538334.9228650136</v>
      </c>
      <c r="H34" s="29">
        <f>SUM(H14:H33)</f>
        <v>4747683.5965304123</v>
      </c>
      <c r="I34" s="30">
        <f>H34/H34</f>
        <v>1</v>
      </c>
      <c r="J34" s="29">
        <f>SUM(J14:J33)</f>
        <v>2175822.8629871593</v>
      </c>
      <c r="K34" s="31">
        <f t="shared" si="4"/>
        <v>0.45829146335220017</v>
      </c>
      <c r="L34" s="31">
        <f>IFERROR(SUMPRODUCT(ISNUMBER('SIMULARE PE PRODUS'!$A$6:$A$243)*'SIMULARE PE PRODUS'!$J$6:$J$243)/$F34,"")</f>
        <v>0.4683075445490027</v>
      </c>
      <c r="M34" s="31">
        <f>IFERROR(SUMPRODUCT(ISNUMBER('SIMULARE PE PRODUS'!$A$6:$A$243)*'SIMULARE PE PRODUS'!$K$6:$K$243)/$G34,"")</f>
        <v>0.45193279220842536</v>
      </c>
      <c r="N34" s="29">
        <f>SUM(N14:N33)</f>
        <v>2571860.7335432554</v>
      </c>
    </row>
  </sheetData>
  <mergeCells count="2">
    <mergeCell ref="A1:N1"/>
    <mergeCell ref="A2:N2"/>
  </mergeCells>
  <conditionalFormatting sqref="K14:M34">
    <cfRule type="cellIs" dxfId="59" priority="2" operator="greaterThan">
      <formula>0.55</formula>
    </cfRule>
    <cfRule type="cellIs" dxfId="58" priority="3" operator="between">
      <formula>0.45</formula>
      <formula>0.55</formula>
    </cfRule>
    <cfRule type="cellIs" dxfId="57" priority="4" operator="lessThan">
      <formula>0.45</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
  <sheetViews>
    <sheetView zoomScaleNormal="100" workbookViewId="0">
      <pane xSplit="1" ySplit="13" topLeftCell="B14" activePane="bottomRight" state="frozen"/>
      <selection pane="topRight" activeCell="B1" sqref="B1"/>
      <selection pane="bottomLeft" activeCell="A14" sqref="A14"/>
      <selection pane="bottomRight" sqref="A1:N1"/>
    </sheetView>
  </sheetViews>
  <sheetFormatPr baseColWidth="10" defaultColWidth="8.6640625" defaultRowHeight="15" x14ac:dyDescent="0.2"/>
  <cols>
    <col min="1" max="1" width="26" customWidth="1"/>
    <col min="2" max="2" width="12" customWidth="1"/>
    <col min="3" max="3" width="16.83203125" customWidth="1"/>
    <col min="4" max="4" width="12" customWidth="1"/>
    <col min="5" max="5" width="10" customWidth="1"/>
    <col min="6" max="8" width="14" customWidth="1"/>
    <col min="9" max="9" width="12" customWidth="1"/>
    <col min="10" max="10" width="14" customWidth="1"/>
    <col min="11" max="13" width="10" customWidth="1"/>
    <col min="14" max="14" width="14" customWidth="1"/>
  </cols>
  <sheetData>
    <row r="1" spans="1:14" ht="19" x14ac:dyDescent="0.2">
      <c r="A1" s="107" t="s">
        <v>114</v>
      </c>
      <c r="B1" s="107"/>
      <c r="C1" s="107"/>
      <c r="D1" s="107"/>
      <c r="E1" s="107"/>
      <c r="F1" s="107"/>
      <c r="G1" s="107"/>
      <c r="H1" s="107"/>
      <c r="I1" s="107"/>
      <c r="J1" s="107"/>
      <c r="K1" s="107"/>
      <c r="L1" s="107"/>
      <c r="M1" s="107"/>
      <c r="N1" s="107"/>
    </row>
    <row r="2" spans="1:14" ht="25.5" customHeight="1" x14ac:dyDescent="0.2">
      <c r="A2" s="108" t="s">
        <v>115</v>
      </c>
      <c r="B2" s="108"/>
      <c r="C2" s="108"/>
      <c r="D2" s="108"/>
      <c r="E2" s="108"/>
      <c r="F2" s="108"/>
      <c r="G2" s="108"/>
      <c r="H2" s="108"/>
      <c r="I2" s="108"/>
      <c r="J2" s="108"/>
      <c r="K2" s="108"/>
      <c r="L2" s="108"/>
      <c r="M2" s="108"/>
      <c r="N2" s="108"/>
    </row>
    <row r="3" spans="1:14" x14ac:dyDescent="0.2">
      <c r="C3" s="1" t="s">
        <v>74</v>
      </c>
      <c r="D3" s="1" t="s">
        <v>75</v>
      </c>
      <c r="E3" s="1" t="s">
        <v>76</v>
      </c>
    </row>
    <row r="4" spans="1:14" ht="24" customHeight="1" x14ac:dyDescent="0.3">
      <c r="A4" s="14" t="s">
        <v>77</v>
      </c>
      <c r="B4" s="15"/>
      <c r="C4" s="16">
        <f>IFERROR($J$34/$H$34,"")</f>
        <v>0.45791944927749156</v>
      </c>
      <c r="D4" s="17">
        <f>$L$34</f>
        <v>0.46786243992907323</v>
      </c>
      <c r="E4" s="17">
        <f>$M$34</f>
        <v>0.43730876677266012</v>
      </c>
      <c r="H4" s="18">
        <f>$L$34</f>
        <v>0.46786243992907323</v>
      </c>
      <c r="J4" s="18">
        <f>$M$34</f>
        <v>0.43730876677266012</v>
      </c>
    </row>
    <row r="5" spans="1:14" ht="18" customHeight="1" x14ac:dyDescent="0.2">
      <c r="A5" s="14" t="s">
        <v>78</v>
      </c>
      <c r="B5" s="15"/>
      <c r="C5" s="19">
        <f>$H$34</f>
        <v>19821304.398218766</v>
      </c>
      <c r="D5" s="19">
        <f>$F$34</f>
        <v>13370916.475146009</v>
      </c>
      <c r="E5" s="19">
        <f>$G$34</f>
        <v>6450387.9230727646</v>
      </c>
      <c r="H5" s="20">
        <f>$J$34</f>
        <v>9076560.7939938586</v>
      </c>
      <c r="J5" s="21">
        <f>$N$34</f>
        <v>10744743.604224913</v>
      </c>
    </row>
    <row r="6" spans="1:14" ht="18" customHeight="1" x14ac:dyDescent="0.2">
      <c r="A6" s="14" t="s">
        <v>79</v>
      </c>
      <c r="B6" s="15"/>
      <c r="C6" s="19">
        <f>$J$34</f>
        <v>9076560.7939938586</v>
      </c>
      <c r="D6" s="19">
        <f>IFERROR($D$4*$D$5,"")</f>
        <v>6255749.6061496548</v>
      </c>
      <c r="E6" s="19">
        <f>IFERROR($E$4*$E$5,"")</f>
        <v>2820811.1878442112</v>
      </c>
    </row>
    <row r="7" spans="1:14" ht="18" customHeight="1" x14ac:dyDescent="0.2">
      <c r="A7" s="14" t="s">
        <v>80</v>
      </c>
      <c r="B7" s="15"/>
      <c r="C7" s="22">
        <f>$N$34</f>
        <v>10744743.604224913</v>
      </c>
      <c r="D7" s="22">
        <f>$D$5-$D$6</f>
        <v>7115166.8689963538</v>
      </c>
      <c r="E7" s="22">
        <f>$E$5-$E$6</f>
        <v>3629576.7352285534</v>
      </c>
    </row>
    <row r="8" spans="1:14" ht="18" customHeight="1" x14ac:dyDescent="0.2">
      <c r="A8" s="14" t="s">
        <v>81</v>
      </c>
      <c r="B8" s="15"/>
      <c r="C8" s="23">
        <f>$D$34</f>
        <v>1829382.8212685715</v>
      </c>
      <c r="D8" s="23">
        <f>$B$34</f>
        <v>1127733.8322742858</v>
      </c>
      <c r="E8" s="23">
        <f>$C$34</f>
        <v>701648.9889942857</v>
      </c>
    </row>
    <row r="9" spans="1:14" ht="18" customHeight="1" x14ac:dyDescent="0.2">
      <c r="A9" s="14" t="s">
        <v>82</v>
      </c>
      <c r="B9" s="15"/>
      <c r="C9" s="24">
        <f>1</f>
        <v>1</v>
      </c>
      <c r="D9" s="24">
        <f>IFERROR($D$5/$C$5,"")</f>
        <v>0.67457298503258856</v>
      </c>
      <c r="E9" s="24">
        <f>IFERROR($E$5/$C$5,"")</f>
        <v>0.32542701496741183</v>
      </c>
    </row>
    <row r="10" spans="1:14" ht="18" customHeight="1" x14ac:dyDescent="0.2">
      <c r="A10" s="14" t="s">
        <v>83</v>
      </c>
      <c r="B10" s="15"/>
      <c r="C10" s="24">
        <f>1</f>
        <v>1</v>
      </c>
      <c r="D10" s="24">
        <f>IFERROR($D$8/$C$8,"")</f>
        <v>0.61645589931377376</v>
      </c>
      <c r="E10" s="24">
        <f>IFERROR($E$8/$C$8,"")</f>
        <v>0.3835441006862263</v>
      </c>
    </row>
    <row r="13" spans="1:14" ht="33.75" customHeight="1" x14ac:dyDescent="0.2">
      <c r="A13" s="25" t="s">
        <v>84</v>
      </c>
      <c r="B13" s="25" t="s">
        <v>85</v>
      </c>
      <c r="C13" s="25" t="s">
        <v>86</v>
      </c>
      <c r="D13" s="25" t="s">
        <v>87</v>
      </c>
      <c r="E13" s="25" t="s">
        <v>88</v>
      </c>
      <c r="F13" s="25" t="s">
        <v>89</v>
      </c>
      <c r="G13" s="25" t="s">
        <v>90</v>
      </c>
      <c r="H13" s="25" t="s">
        <v>91</v>
      </c>
      <c r="I13" s="25" t="s">
        <v>82</v>
      </c>
      <c r="J13" s="25" t="s">
        <v>79</v>
      </c>
      <c r="K13" s="25" t="s">
        <v>77</v>
      </c>
      <c r="L13" s="25" t="s">
        <v>92</v>
      </c>
      <c r="M13" s="25" t="s">
        <v>93</v>
      </c>
      <c r="N13" s="25" t="s">
        <v>80</v>
      </c>
    </row>
    <row r="14" spans="1:14" x14ac:dyDescent="0.2">
      <c r="A14" s="26" t="s">
        <v>94</v>
      </c>
      <c r="B14" s="27">
        <f>SUMIFS('SIMULARE PE PRODUS'!$F$6:$F$243,'SIMULARE PE PRODUS'!$C$6:$C$243,$A14,'SIMULARE PE PRODUS'!$D$6:$D$243,"&gt;0")*SCENARIU!$B$10*SCENARIU!$B$5+SUMIFS('SIMULARE PE PRODUS'!$F$6:$F$243,'SIMULARE PE PRODUS'!$C$6:$C$243,$A14,'SIMULARE PE PRODUS'!$D$6:$D$243,0)</f>
        <v>163271.15818285715</v>
      </c>
      <c r="C14" s="27">
        <f>SUMIFS('SIMULARE PE PRODUS'!$G$6:$G$243,'SIMULARE PE PRODUS'!$C$6:$C$243,$A14,'SIMULARE PE PRODUS'!$D$6:$D$243,"&gt;0")*SCENARIU!$B$10*SCENARIU!$B$5+SUMIFS('SIMULARE PE PRODUS'!$G$6:$G$243,'SIMULARE PE PRODUS'!$C$6:$C$243,$A14,'SIMULARE PE PRODUS'!$D$6:$D$243,0)</f>
        <v>74609.626251428577</v>
      </c>
      <c r="D14" s="27">
        <f t="shared" ref="D14:D33" si="0">$B14+$C14</f>
        <v>237880.78443428571</v>
      </c>
      <c r="E14" s="28">
        <f t="shared" ref="E14:E33" si="1">IFERROR($D14/$D$34,"")</f>
        <v>0.13003335423764889</v>
      </c>
      <c r="F14" s="27">
        <f>SUMIFS('SIMULARE PE PRODUS'!R$6:R$243,'SIMULARE PE PRODUS'!$C$6:$C$243,$A14,'SIMULARE PE PRODUS'!$D$6:$D$243,"&gt;0")*SCENARIU!$B$10*SCENARIU!$B$5+SUMIFS('SIMULARE PE PRODUS'!R$6:R$243,'SIMULARE PE PRODUS'!$C$6:$C$243,$A14,'SIMULARE PE PRODUS'!$D$6:$D$243,0)</f>
        <v>2010883.0030937451</v>
      </c>
      <c r="G14" s="27">
        <f>SUMIFS('SIMULARE PE PRODUS'!S$6:S$243,'SIMULARE PE PRODUS'!$C$6:$C$243,$A14,'SIMULARE PE PRODUS'!$D$6:$D$243,"&gt;0")*SCENARIU!$B$10*SCENARIU!$B$5+SUMIFS('SIMULARE PE PRODUS'!S$6:S$243,'SIMULARE PE PRODUS'!$C$6:$C$243,$A14,'SIMULARE PE PRODUS'!$D$6:$D$243,0)</f>
        <v>1289211.2536898844</v>
      </c>
      <c r="H14" s="27">
        <f t="shared" ref="H14:H33" si="2">$F14+$G14</f>
        <v>3300094.2567836298</v>
      </c>
      <c r="I14" s="28">
        <f t="shared" ref="I14:I33" si="3">IFERROR($H14/$H$34,"")</f>
        <v>0.16649228479030834</v>
      </c>
      <c r="J14" s="27">
        <f>SUMIFS('SIMULARE PE PRODUS'!$L$6:$L$243,'SIMULARE PE PRODUS'!$C$6:$C$243,$A14,'SIMULARE PE PRODUS'!$D$6:$D$243,"&gt;0")*SCENARIU!$B$10*SCENARIU!$B$5+SUMIFS('SIMULARE PE PRODUS'!$L$6:$L$243,'SIMULARE PE PRODUS'!$C$6:$C$243,$A14,'SIMULARE PE PRODUS'!$D$6:$D$243,0)</f>
        <v>2312479.527271329</v>
      </c>
      <c r="K14" s="28">
        <f t="shared" ref="K14:K34" si="4">IFERROR($J14/$H14,"")</f>
        <v>0.70073135714770174</v>
      </c>
      <c r="L14" s="28">
        <f>IFERROR((SUMIFS('SIMULARE PE PRODUS'!$J$6:$J$243,'SIMULARE PE PRODUS'!$C$6:$C$243,$A14,'SIMULARE PE PRODUS'!$D$6:$D$243,"&gt;0")*SCENARIU!$B$10*SCENARIU!$B$5+SUMIFS('SIMULARE PE PRODUS'!$J$6:$J$243,'SIMULARE PE PRODUS'!$C$6:$C$243,$A14,'SIMULARE PE PRODUS'!$D$6:$D$243,0))/$F14,"")</f>
        <v>0.74113309634907842</v>
      </c>
      <c r="M14" s="28">
        <f>IFERROR((SUMIFS('SIMULARE PE PRODUS'!$K$6:$K$243,'SIMULARE PE PRODUS'!$C$6:$C$243,$A14,'SIMULARE PE PRODUS'!$D$6:$D$243,"&gt;0")*SCENARIU!$B$10*SCENARIU!$B$5+SUMIFS('SIMULARE PE PRODUS'!$K$6:$K$243,'SIMULARE PE PRODUS'!$C$6:$C$243,$A14,'SIMULARE PE PRODUS'!$D$6:$D$243,0))/$G14,"")</f>
        <v>0.63771362407800847</v>
      </c>
      <c r="N14" s="27">
        <f t="shared" ref="N14:N33" si="5">$H14-$J14</f>
        <v>987614.72951230081</v>
      </c>
    </row>
    <row r="15" spans="1:14" x14ac:dyDescent="0.2">
      <c r="A15" s="26" t="s">
        <v>95</v>
      </c>
      <c r="B15" s="27">
        <f>SUMIFS('SIMULARE PE PRODUS'!$F$6:$F$243,'SIMULARE PE PRODUS'!$C$6:$C$243,$A15,'SIMULARE PE PRODUS'!$D$6:$D$243,"&gt;0")*SCENARIU!$B$10*SCENARIU!$B$5+SUMIFS('SIMULARE PE PRODUS'!$F$6:$F$243,'SIMULARE PE PRODUS'!$C$6:$C$243,$A15,'SIMULARE PE PRODUS'!$D$6:$D$243,0)</f>
        <v>40165.065325714291</v>
      </c>
      <c r="C15" s="27">
        <f>SUMIFS('SIMULARE PE PRODUS'!$G$6:$G$243,'SIMULARE PE PRODUS'!$C$6:$C$243,$A15,'SIMULARE PE PRODUS'!$D$6:$D$243,"&gt;0")*SCENARIU!$B$10*SCENARIU!$B$5+SUMIFS('SIMULARE PE PRODUS'!$G$6:$G$243,'SIMULARE PE PRODUS'!$C$6:$C$243,$A15,'SIMULARE PE PRODUS'!$D$6:$D$243,0)</f>
        <v>11700.841234285715</v>
      </c>
      <c r="D15" s="27">
        <f t="shared" si="0"/>
        <v>51865.906560000003</v>
      </c>
      <c r="E15" s="28">
        <f t="shared" si="1"/>
        <v>2.83515871894074E-2</v>
      </c>
      <c r="F15" s="27">
        <f>SUMIFS('SIMULARE PE PRODUS'!R$6:R$243,'SIMULARE PE PRODUS'!$C$6:$C$243,$A15,'SIMULARE PE PRODUS'!$D$6:$D$243,"&gt;0")*SCENARIU!$B$10*SCENARIU!$B$5+SUMIFS('SIMULARE PE PRODUS'!R$6:R$243,'SIMULARE PE PRODUS'!$C$6:$C$243,$A15,'SIMULARE PE PRODUS'!$D$6:$D$243,0)</f>
        <v>290006.52342857147</v>
      </c>
      <c r="G15" s="27">
        <f>SUMIFS('SIMULARE PE PRODUS'!S$6:S$243,'SIMULARE PE PRODUS'!$C$6:$C$243,$A15,'SIMULARE PE PRODUS'!$D$6:$D$243,"&gt;0")*SCENARIU!$B$10*SCENARIU!$B$5+SUMIFS('SIMULARE PE PRODUS'!S$6:S$243,'SIMULARE PE PRODUS'!$C$6:$C$243,$A15,'SIMULARE PE PRODUS'!$D$6:$D$243,0)</f>
        <v>131697.51534826253</v>
      </c>
      <c r="H15" s="27">
        <f t="shared" si="2"/>
        <v>421704.03877683403</v>
      </c>
      <c r="I15" s="28">
        <f t="shared" si="3"/>
        <v>2.1275291994139918E-2</v>
      </c>
      <c r="J15" s="27">
        <f>SUMIFS('SIMULARE PE PRODUS'!$L$6:$L$243,'SIMULARE PE PRODUS'!$C$6:$C$243,$A15,'SIMULARE PE PRODUS'!$D$6:$D$243,"&gt;0")*SCENARIU!$B$10*SCENARIU!$B$5+SUMIFS('SIMULARE PE PRODUS'!$L$6:$L$243,'SIMULARE PE PRODUS'!$C$6:$C$243,$A15,'SIMULARE PE PRODUS'!$D$6:$D$243,0)</f>
        <v>238602.42557988391</v>
      </c>
      <c r="K15" s="28">
        <f t="shared" si="4"/>
        <v>0.56580540767870713</v>
      </c>
      <c r="L15" s="28">
        <f>IFERROR((SUMIFS('SIMULARE PE PRODUS'!$J$6:$J$243,'SIMULARE PE PRODUS'!$C$6:$C$243,$A15,'SIMULARE PE PRODUS'!$D$6:$D$243,"&gt;0")*SCENARIU!$B$10*SCENARIU!$B$5+SUMIFS('SIMULARE PE PRODUS'!$J$6:$J$243,'SIMULARE PE PRODUS'!$C$6:$C$243,$A15,'SIMULARE PE PRODUS'!$D$6:$D$243,0))/$F15,"")</f>
        <v>0.6260910884335259</v>
      </c>
      <c r="M15" s="28">
        <f>IFERROR((SUMIFS('SIMULARE PE PRODUS'!$K$6:$K$243,'SIMULARE PE PRODUS'!$C$6:$C$243,$A15,'SIMULARE PE PRODUS'!$D$6:$D$243,"&gt;0")*SCENARIU!$B$10*SCENARIU!$B$5+SUMIFS('SIMULARE PE PRODUS'!$K$6:$K$243,'SIMULARE PE PRODUS'!$C$6:$C$243,$A15,'SIMULARE PE PRODUS'!$D$6:$D$243,0))/$G15,"")</f>
        <v>0.43305240438933779</v>
      </c>
      <c r="N15" s="27">
        <f t="shared" si="5"/>
        <v>183101.61319695011</v>
      </c>
    </row>
    <row r="16" spans="1:14" x14ac:dyDescent="0.2">
      <c r="A16" s="26" t="s">
        <v>96</v>
      </c>
      <c r="B16" s="27">
        <f>SUMIFS('SIMULARE PE PRODUS'!$F$6:$F$243,'SIMULARE PE PRODUS'!$C$6:$C$243,$A16,'SIMULARE PE PRODUS'!$D$6:$D$243,"&gt;0")*SCENARIU!$B$10*SCENARIU!$B$5+SUMIFS('SIMULARE PE PRODUS'!$F$6:$F$243,'SIMULARE PE PRODUS'!$C$6:$C$243,$A16,'SIMULARE PE PRODUS'!$D$6:$D$243,0)</f>
        <v>103463.59899428573</v>
      </c>
      <c r="C16" s="27">
        <f>SUMIFS('SIMULARE PE PRODUS'!$G$6:$G$243,'SIMULARE PE PRODUS'!$C$6:$C$243,$A16,'SIMULARE PE PRODUS'!$D$6:$D$243,"&gt;0")*SCENARIU!$B$10*SCENARIU!$B$5+SUMIFS('SIMULARE PE PRODUS'!$G$6:$G$243,'SIMULARE PE PRODUS'!$C$6:$C$243,$A16,'SIMULARE PE PRODUS'!$D$6:$D$243,0)</f>
        <v>51849.143177142862</v>
      </c>
      <c r="D16" s="27">
        <f t="shared" si="0"/>
        <v>155312.74217142857</v>
      </c>
      <c r="E16" s="28">
        <f t="shared" si="1"/>
        <v>8.4898983616632048E-2</v>
      </c>
      <c r="F16" s="27">
        <f>SUMIFS('SIMULARE PE PRODUS'!R$6:R$243,'SIMULARE PE PRODUS'!$C$6:$C$243,$A16,'SIMULARE PE PRODUS'!$D$6:$D$243,"&gt;0")*SCENARIU!$B$10*SCENARIU!$B$5+SUMIFS('SIMULARE PE PRODUS'!R$6:R$243,'SIMULARE PE PRODUS'!$C$6:$C$243,$A16,'SIMULARE PE PRODUS'!$D$6:$D$243,0)</f>
        <v>2474445.6619292665</v>
      </c>
      <c r="G16" s="27">
        <f>SUMIFS('SIMULARE PE PRODUS'!S$6:S$243,'SIMULARE PE PRODUS'!$C$6:$C$243,$A16,'SIMULARE PE PRODUS'!$D$6:$D$243,"&gt;0")*SCENARIU!$B$10*SCENARIU!$B$5+SUMIFS('SIMULARE PE PRODUS'!S$6:S$243,'SIMULARE PE PRODUS'!$C$6:$C$243,$A16,'SIMULARE PE PRODUS'!$D$6:$D$243,0)</f>
        <v>1400175.8246715057</v>
      </c>
      <c r="H16" s="27">
        <f t="shared" si="2"/>
        <v>3874621.4866007725</v>
      </c>
      <c r="I16" s="28">
        <f t="shared" si="3"/>
        <v>0.19547762391202489</v>
      </c>
      <c r="J16" s="27">
        <f>SUMIFS('SIMULARE PE PRODUS'!$L$6:$L$243,'SIMULARE PE PRODUS'!$C$6:$C$243,$A16,'SIMULARE PE PRODUS'!$D$6:$D$243,"&gt;0")*SCENARIU!$B$10*SCENARIU!$B$5+SUMIFS('SIMULARE PE PRODUS'!$L$6:$L$243,'SIMULARE PE PRODUS'!$C$6:$C$243,$A16,'SIMULARE PE PRODUS'!$D$6:$D$243,0)</f>
        <v>1817012.4483364257</v>
      </c>
      <c r="K16" s="28">
        <f t="shared" si="4"/>
        <v>0.46895224594712631</v>
      </c>
      <c r="L16" s="28">
        <f>IFERROR((SUMIFS('SIMULARE PE PRODUS'!$J$6:$J$243,'SIMULARE PE PRODUS'!$C$6:$C$243,$A16,'SIMULARE PE PRODUS'!$D$6:$D$243,"&gt;0")*SCENARIU!$B$10*SCENARIU!$B$5+SUMIFS('SIMULARE PE PRODUS'!$J$6:$J$243,'SIMULARE PE PRODUS'!$C$6:$C$243,$A16,'SIMULARE PE PRODUS'!$D$6:$D$243,0))/$F16,"")</f>
        <v>0.48424039259717117</v>
      </c>
      <c r="M16" s="28">
        <f>IFERROR((SUMIFS('SIMULARE PE PRODUS'!$K$6:$K$243,'SIMULARE PE PRODUS'!$C$6:$C$243,$A16,'SIMULARE PE PRODUS'!$D$6:$D$243,"&gt;0")*SCENARIU!$B$10*SCENARIU!$B$5+SUMIFS('SIMULARE PE PRODUS'!$K$6:$K$243,'SIMULARE PE PRODUS'!$C$6:$C$243,$A16,'SIMULARE PE PRODUS'!$D$6:$D$243,0))/$G16,"")</f>
        <v>0.44193443326205389</v>
      </c>
      <c r="N16" s="27">
        <f t="shared" si="5"/>
        <v>2057609.0382643468</v>
      </c>
    </row>
    <row r="17" spans="1:14" x14ac:dyDescent="0.2">
      <c r="A17" s="26" t="s">
        <v>97</v>
      </c>
      <c r="B17" s="27">
        <f>SUMIFS('SIMULARE PE PRODUS'!$F$6:$F$243,'SIMULARE PE PRODUS'!$C$6:$C$243,$A17,'SIMULARE PE PRODUS'!$D$6:$D$243,"&gt;0")*SCENARIU!$B$10*SCENARIU!$B$5+SUMIFS('SIMULARE PE PRODUS'!$F$6:$F$243,'SIMULARE PE PRODUS'!$C$6:$C$243,$A17,'SIMULARE PE PRODUS'!$D$6:$D$243,0)</f>
        <v>51731.799497142863</v>
      </c>
      <c r="C17" s="27">
        <f>SUMIFS('SIMULARE PE PRODUS'!$G$6:$G$243,'SIMULARE PE PRODUS'!$C$6:$C$243,$A17,'SIMULARE PE PRODUS'!$D$6:$D$243,"&gt;0")*SCENARIU!$B$10*SCENARIU!$B$5+SUMIFS('SIMULARE PE PRODUS'!$G$6:$G$243,'SIMULARE PE PRODUS'!$C$6:$C$243,$A17,'SIMULARE PE PRODUS'!$D$6:$D$243,0)</f>
        <v>25304.326422857146</v>
      </c>
      <c r="D17" s="27">
        <f t="shared" si="0"/>
        <v>77036.125920000006</v>
      </c>
      <c r="E17" s="28">
        <f t="shared" si="1"/>
        <v>4.2110445678384525E-2</v>
      </c>
      <c r="F17" s="27">
        <f>SUMIFS('SIMULARE PE PRODUS'!R$6:R$243,'SIMULARE PE PRODUS'!$C$6:$C$243,$A17,'SIMULARE PE PRODUS'!$D$6:$D$243,"&gt;0")*SCENARIU!$B$10*SCENARIU!$B$5+SUMIFS('SIMULARE PE PRODUS'!R$6:R$243,'SIMULARE PE PRODUS'!$C$6:$C$243,$A17,'SIMULARE PE PRODUS'!$D$6:$D$243,0)</f>
        <v>903955.11335629364</v>
      </c>
      <c r="G17" s="27">
        <f>SUMIFS('SIMULARE PE PRODUS'!S$6:S$243,'SIMULARE PE PRODUS'!$C$6:$C$243,$A17,'SIMULARE PE PRODUS'!$D$6:$D$243,"&gt;0")*SCENARIU!$B$10*SCENARIU!$B$5+SUMIFS('SIMULARE PE PRODUS'!S$6:S$243,'SIMULARE PE PRODUS'!$C$6:$C$243,$A17,'SIMULARE PE PRODUS'!$D$6:$D$243,0)</f>
        <v>491596.09419181471</v>
      </c>
      <c r="H17" s="27">
        <f t="shared" si="2"/>
        <v>1395551.2075481084</v>
      </c>
      <c r="I17" s="28">
        <f t="shared" si="3"/>
        <v>7.040662811643815E-2</v>
      </c>
      <c r="J17" s="27">
        <f>SUMIFS('SIMULARE PE PRODUS'!$L$6:$L$243,'SIMULARE PE PRODUS'!$C$6:$C$243,$A17,'SIMULARE PE PRODUS'!$D$6:$D$243,"&gt;0")*SCENARIU!$B$10*SCENARIU!$B$5+SUMIFS('SIMULARE PE PRODUS'!$L$6:$L$243,'SIMULARE PE PRODUS'!$C$6:$C$243,$A17,'SIMULARE PE PRODUS'!$D$6:$D$243,0)</f>
        <v>531319.16661413678</v>
      </c>
      <c r="K17" s="28">
        <f t="shared" si="4"/>
        <v>0.3807235189510742</v>
      </c>
      <c r="L17" s="28">
        <f>IFERROR((SUMIFS('SIMULARE PE PRODUS'!$J$6:$J$243,'SIMULARE PE PRODUS'!$C$6:$C$243,$A17,'SIMULARE PE PRODUS'!$D$6:$D$243,"&gt;0")*SCENARIU!$B$10*SCENARIU!$B$5+SUMIFS('SIMULARE PE PRODUS'!$J$6:$J$243,'SIMULARE PE PRODUS'!$C$6:$C$243,$A17,'SIMULARE PE PRODUS'!$D$6:$D$243,0))/$F17,"")</f>
        <v>0.3929588727715197</v>
      </c>
      <c r="M17" s="28">
        <f>IFERROR((SUMIFS('SIMULARE PE PRODUS'!$K$6:$K$243,'SIMULARE PE PRODUS'!$C$6:$C$243,$A17,'SIMULARE PE PRODUS'!$D$6:$D$243,"&gt;0")*SCENARIU!$B$10*SCENARIU!$B$5+SUMIFS('SIMULARE PE PRODUS'!$K$6:$K$243,'SIMULARE PE PRODUS'!$C$6:$C$243,$A17,'SIMULARE PE PRODUS'!$D$6:$D$243,0))/$G17,"")</f>
        <v>0.35822494587372261</v>
      </c>
      <c r="N17" s="27">
        <f t="shared" si="5"/>
        <v>864232.04093397164</v>
      </c>
    </row>
    <row r="18" spans="1:14" x14ac:dyDescent="0.2">
      <c r="A18" s="26" t="s">
        <v>98</v>
      </c>
      <c r="B18" s="27">
        <f>SUMIFS('SIMULARE PE PRODUS'!$F$6:$F$243,'SIMULARE PE PRODUS'!$C$6:$C$243,$A18,'SIMULARE PE PRODUS'!$D$6:$D$243,"&gt;0")*SCENARIU!$B$10*SCENARIU!$B$5+SUMIFS('SIMULARE PE PRODUS'!$F$6:$F$243,'SIMULARE PE PRODUS'!$C$6:$C$243,$A18,'SIMULARE PE PRODUS'!$D$6:$D$243,0)</f>
        <v>1969.6974857142859</v>
      </c>
      <c r="C18" s="27">
        <f>SUMIFS('SIMULARE PE PRODUS'!$G$6:$G$243,'SIMULARE PE PRODUS'!$C$6:$C$243,$A18,'SIMULARE PE PRODUS'!$D$6:$D$243,"&gt;0")*SCENARIU!$B$10*SCENARIU!$B$5+SUMIFS('SIMULARE PE PRODUS'!$G$6:$G$243,'SIMULARE PE PRODUS'!$C$6:$C$243,$A18,'SIMULARE PE PRODUS'!$D$6:$D$243,0)</f>
        <v>1123.1466514285714</v>
      </c>
      <c r="D18" s="27">
        <f t="shared" si="0"/>
        <v>3092.8441371428571</v>
      </c>
      <c r="E18" s="28">
        <f t="shared" si="1"/>
        <v>1.6906489451989869E-3</v>
      </c>
      <c r="F18" s="27">
        <f>SUMIFS('SIMULARE PE PRODUS'!R$6:R$243,'SIMULARE PE PRODUS'!$C$6:$C$243,$A18,'SIMULARE PE PRODUS'!$D$6:$D$243,"&gt;0")*SCENARIU!$B$10*SCENARIU!$B$5+SUMIFS('SIMULARE PE PRODUS'!R$6:R$243,'SIMULARE PE PRODUS'!$C$6:$C$243,$A18,'SIMULARE PE PRODUS'!$D$6:$D$243,0)</f>
        <v>46119.313201544399</v>
      </c>
      <c r="G18" s="27">
        <f>SUMIFS('SIMULARE PE PRODUS'!S$6:S$243,'SIMULARE PE PRODUS'!$C$6:$C$243,$A18,'SIMULARE PE PRODUS'!$D$6:$D$243,"&gt;0")*SCENARIU!$B$10*SCENARIU!$B$5+SUMIFS('SIMULARE PE PRODUS'!S$6:S$243,'SIMULARE PE PRODUS'!$C$6:$C$243,$A18,'SIMULARE PE PRODUS'!$D$6:$D$243,0)</f>
        <v>29333.352635057912</v>
      </c>
      <c r="H18" s="27">
        <f t="shared" si="2"/>
        <v>75452.665836602304</v>
      </c>
      <c r="I18" s="28">
        <f t="shared" si="3"/>
        <v>3.8066448262296416E-3</v>
      </c>
      <c r="J18" s="27">
        <f>SUMIFS('SIMULARE PE PRODUS'!$L$6:$L$243,'SIMULARE PE PRODUS'!$C$6:$C$243,$A18,'SIMULARE PE PRODUS'!$D$6:$D$243,"&gt;0")*SCENARIU!$B$10*SCENARIU!$B$5+SUMIFS('SIMULARE PE PRODUS'!$L$6:$L$243,'SIMULARE PE PRODUS'!$C$6:$C$243,$A18,'SIMULARE PE PRODUS'!$D$6:$D$243,0)</f>
        <v>33326.537455769714</v>
      </c>
      <c r="K18" s="28">
        <f t="shared" si="4"/>
        <v>0.44168800513875173</v>
      </c>
      <c r="L18" s="28">
        <f>IFERROR((SUMIFS('SIMULARE PE PRODUS'!$J$6:$J$243,'SIMULARE PE PRODUS'!$C$6:$C$243,$A18,'SIMULARE PE PRODUS'!$D$6:$D$243,"&gt;0")*SCENARIU!$B$10*SCENARIU!$B$5+SUMIFS('SIMULARE PE PRODUS'!$J$6:$J$243,'SIMULARE PE PRODUS'!$C$6:$C$243,$A18,'SIMULARE PE PRODUS'!$D$6:$D$243,0))/$F18,"")</f>
        <v>0.46020237829934596</v>
      </c>
      <c r="M18" s="28">
        <f>IFERROR((SUMIFS('SIMULARE PE PRODUS'!$K$6:$K$243,'SIMULARE PE PRODUS'!$C$6:$C$243,$A18,'SIMULARE PE PRODUS'!$D$6:$D$243,"&gt;0")*SCENARIU!$B$10*SCENARIU!$B$5+SUMIFS('SIMULARE PE PRODUS'!$K$6:$K$243,'SIMULARE PE PRODUS'!$C$6:$C$243,$A18,'SIMULARE PE PRODUS'!$D$6:$D$243,0))/$G18,"")</f>
        <v>0.41257881379786143</v>
      </c>
      <c r="N18" s="27">
        <f t="shared" si="5"/>
        <v>42126.12838083259</v>
      </c>
    </row>
    <row r="19" spans="1:14" x14ac:dyDescent="0.2">
      <c r="A19" s="26" t="s">
        <v>99</v>
      </c>
      <c r="B19" s="27">
        <f>SUMIFS('SIMULARE PE PRODUS'!$F$6:$F$243,'SIMULARE PE PRODUS'!$C$6:$C$243,$A19,'SIMULARE PE PRODUS'!$D$6:$D$243,"&gt;0")*SCENARIU!$B$10*SCENARIU!$B$5+SUMIFS('SIMULARE PE PRODUS'!$F$6:$F$243,'SIMULARE PE PRODUS'!$C$6:$C$243,$A19,'SIMULARE PE PRODUS'!$D$6:$D$243,0)</f>
        <v>3097.0349828571429</v>
      </c>
      <c r="C19" s="27">
        <f>SUMIFS('SIMULARE PE PRODUS'!$G$6:$G$243,'SIMULARE PE PRODUS'!$C$6:$C$243,$A19,'SIMULARE PE PRODUS'!$D$6:$D$243,"&gt;0")*SCENARIU!$B$10*SCENARIU!$B$5+SUMIFS('SIMULARE PE PRODUS'!$G$6:$G$243,'SIMULARE PE PRODUS'!$C$6:$C$243,$A19,'SIMULARE PE PRODUS'!$D$6:$D$243,0)</f>
        <v>1060.2839657142858</v>
      </c>
      <c r="D19" s="27">
        <f t="shared" si="0"/>
        <v>4157.3189485714283</v>
      </c>
      <c r="E19" s="28">
        <f t="shared" si="1"/>
        <v>2.2725254114327842E-3</v>
      </c>
      <c r="F19" s="27">
        <f>SUMIFS('SIMULARE PE PRODUS'!R$6:R$243,'SIMULARE PE PRODUS'!$C$6:$C$243,$A19,'SIMULARE PE PRODUS'!$D$6:$D$243,"&gt;0")*SCENARIU!$B$10*SCENARIU!$B$5+SUMIFS('SIMULARE PE PRODUS'!R$6:R$243,'SIMULARE PE PRODUS'!$C$6:$C$243,$A19,'SIMULARE PE PRODUS'!$D$6:$D$243,0)</f>
        <v>58564.652513667948</v>
      </c>
      <c r="G19" s="27">
        <f>SUMIFS('SIMULARE PE PRODUS'!S$6:S$243,'SIMULARE PE PRODUS'!$C$6:$C$243,$A19,'SIMULARE PE PRODUS'!$D$6:$D$243,"&gt;0")*SCENARIU!$B$10*SCENARIU!$B$5+SUMIFS('SIMULARE PE PRODUS'!S$6:S$243,'SIMULARE PE PRODUS'!$C$6:$C$243,$A19,'SIMULARE PE PRODUS'!$D$6:$D$243,0)</f>
        <v>22915.506610347489</v>
      </c>
      <c r="H19" s="27">
        <f t="shared" si="2"/>
        <v>81480.159124015438</v>
      </c>
      <c r="I19" s="28">
        <f t="shared" si="3"/>
        <v>4.1107364826775787E-3</v>
      </c>
      <c r="J19" s="27">
        <f>SUMIFS('SIMULARE PE PRODUS'!$L$6:$L$243,'SIMULARE PE PRODUS'!$C$6:$C$243,$A19,'SIMULARE PE PRODUS'!$D$6:$D$243,"&gt;0")*SCENARIU!$B$10*SCENARIU!$B$5+SUMIFS('SIMULARE PE PRODUS'!$L$6:$L$243,'SIMULARE PE PRODUS'!$C$6:$C$243,$A19,'SIMULARE PE PRODUS'!$D$6:$D$243,0)</f>
        <v>29896.72813763504</v>
      </c>
      <c r="K19" s="28">
        <f t="shared" si="4"/>
        <v>0.36692034550560038</v>
      </c>
      <c r="L19" s="28">
        <f>IFERROR((SUMIFS('SIMULARE PE PRODUS'!$J$6:$J$243,'SIMULARE PE PRODUS'!$C$6:$C$243,$A19,'SIMULARE PE PRODUS'!$D$6:$D$243,"&gt;0")*SCENARIU!$B$10*SCENARIU!$B$5+SUMIFS('SIMULARE PE PRODUS'!$J$6:$J$243,'SIMULARE PE PRODUS'!$C$6:$C$243,$A19,'SIMULARE PE PRODUS'!$D$6:$D$243,0))/$F19,"")</f>
        <v>0.38029521210100053</v>
      </c>
      <c r="M19" s="28">
        <f>IFERROR((SUMIFS('SIMULARE PE PRODUS'!$K$6:$K$243,'SIMULARE PE PRODUS'!$C$6:$C$243,$A19,'SIMULARE PE PRODUS'!$D$6:$D$243,"&gt;0")*SCENARIU!$B$10*SCENARIU!$B$5+SUMIFS('SIMULARE PE PRODUS'!$K$6:$K$243,'SIMULARE PE PRODUS'!$C$6:$C$243,$A19,'SIMULARE PE PRODUS'!$D$6:$D$243,0))/$G19,"")</f>
        <v>0.33273849528970412</v>
      </c>
      <c r="N19" s="27">
        <f t="shared" si="5"/>
        <v>51583.430986380394</v>
      </c>
    </row>
    <row r="20" spans="1:14" x14ac:dyDescent="0.2">
      <c r="A20" s="26" t="s">
        <v>100</v>
      </c>
      <c r="B20" s="27">
        <f>SUMIFS('SIMULARE PE PRODUS'!$F$6:$F$243,'SIMULARE PE PRODUS'!$C$6:$C$243,$A20,'SIMULARE PE PRODUS'!$D$6:$D$243,"&gt;0")*SCENARIU!$B$10*SCENARIU!$B$5+SUMIFS('SIMULARE PE PRODUS'!$F$6:$F$243,'SIMULARE PE PRODUS'!$C$6:$C$243,$A20,'SIMULARE PE PRODUS'!$D$6:$D$243,0)</f>
        <v>51425.867760000001</v>
      </c>
      <c r="C20" s="27">
        <f>SUMIFS('SIMULARE PE PRODUS'!$G$6:$G$243,'SIMULARE PE PRODUS'!$C$6:$C$243,$A20,'SIMULARE PE PRODUS'!$D$6:$D$243,"&gt;0")*SCENARIU!$B$10*SCENARIU!$B$5+SUMIFS('SIMULARE PE PRODUS'!$G$6:$G$243,'SIMULARE PE PRODUS'!$C$6:$C$243,$A20,'SIMULARE PE PRODUS'!$D$6:$D$243,0)</f>
        <v>24922.959462857143</v>
      </c>
      <c r="D20" s="27">
        <f t="shared" si="0"/>
        <v>76348.827222857144</v>
      </c>
      <c r="E20" s="28">
        <f t="shared" si="1"/>
        <v>4.1734745912784747E-2</v>
      </c>
      <c r="F20" s="27">
        <f>SUMIFS('SIMULARE PE PRODUS'!R$6:R$243,'SIMULARE PE PRODUS'!$C$6:$C$243,$A20,'SIMULARE PE PRODUS'!$D$6:$D$243,"&gt;0")*SCENARIU!$B$10*SCENARIU!$B$5+SUMIFS('SIMULARE PE PRODUS'!R$6:R$243,'SIMULARE PE PRODUS'!$C$6:$C$243,$A20,'SIMULARE PE PRODUS'!$D$6:$D$243,0)</f>
        <v>1133400.0274106562</v>
      </c>
      <c r="G20" s="27">
        <f>SUMIFS('SIMULARE PE PRODUS'!S$6:S$243,'SIMULARE PE PRODUS'!$C$6:$C$243,$A20,'SIMULARE PE PRODUS'!$D$6:$D$243,"&gt;0")*SCENARIU!$B$10*SCENARIU!$B$5+SUMIFS('SIMULARE PE PRODUS'!S$6:S$243,'SIMULARE PE PRODUS'!$C$6:$C$243,$A20,'SIMULARE PE PRODUS'!$D$6:$D$243,0)</f>
        <v>647471.54234996147</v>
      </c>
      <c r="H20" s="27">
        <f t="shared" si="2"/>
        <v>1780871.5697606178</v>
      </c>
      <c r="I20" s="28">
        <f t="shared" si="3"/>
        <v>8.9846335739672878E-2</v>
      </c>
      <c r="J20" s="27">
        <f>SUMIFS('SIMULARE PE PRODUS'!$L$6:$L$243,'SIMULARE PE PRODUS'!$C$6:$C$243,$A20,'SIMULARE PE PRODUS'!$D$6:$D$243,"&gt;0")*SCENARIU!$B$10*SCENARIU!$B$5+SUMIFS('SIMULARE PE PRODUS'!$L$6:$L$243,'SIMULARE PE PRODUS'!$C$6:$C$243,$A20,'SIMULARE PE PRODUS'!$D$6:$D$243,0)</f>
        <v>816726.61026377277</v>
      </c>
      <c r="K20" s="28">
        <f t="shared" si="4"/>
        <v>0.45861061748184123</v>
      </c>
      <c r="L20" s="28">
        <f>IFERROR((SUMIFS('SIMULARE PE PRODUS'!$J$6:$J$243,'SIMULARE PE PRODUS'!$C$6:$C$243,$A20,'SIMULARE PE PRODUS'!$D$6:$D$243,"&gt;0")*SCENARIU!$B$10*SCENARIU!$B$5+SUMIFS('SIMULARE PE PRODUS'!$J$6:$J$243,'SIMULARE PE PRODUS'!$C$6:$C$243,$A20,'SIMULARE PE PRODUS'!$D$6:$D$243,0))/$F20,"")</f>
        <v>0.48871620405052923</v>
      </c>
      <c r="M20" s="28">
        <f>IFERROR((SUMIFS('SIMULARE PE PRODUS'!$K$6:$K$243,'SIMULARE PE PRODUS'!$C$6:$C$243,$A20,'SIMULARE PE PRODUS'!$D$6:$D$243,"&gt;0")*SCENARIU!$B$10*SCENARIU!$B$5+SUMIFS('SIMULARE PE PRODUS'!$K$6:$K$243,'SIMULARE PE PRODUS'!$C$6:$C$243,$A20,'SIMULARE PE PRODUS'!$D$6:$D$243,0))/$G20,"")</f>
        <v>0.40591073739394995</v>
      </c>
      <c r="N20" s="27">
        <f t="shared" si="5"/>
        <v>964144.95949684503</v>
      </c>
    </row>
    <row r="21" spans="1:14" x14ac:dyDescent="0.2">
      <c r="A21" s="26" t="s">
        <v>101</v>
      </c>
      <c r="B21" s="27">
        <f>SUMIFS('SIMULARE PE PRODUS'!$F$6:$F$243,'SIMULARE PE PRODUS'!$C$6:$C$243,$A21,'SIMULARE PE PRODUS'!$D$6:$D$243,"&gt;0")*SCENARIU!$B$10*SCENARIU!$B$5+SUMIFS('SIMULARE PE PRODUS'!$F$6:$F$243,'SIMULARE PE PRODUS'!$C$6:$C$243,$A21,'SIMULARE PE PRODUS'!$D$6:$D$243,0)</f>
        <v>220606.11840000001</v>
      </c>
      <c r="C21" s="27">
        <f>SUMIFS('SIMULARE PE PRODUS'!$G$6:$G$243,'SIMULARE PE PRODUS'!$C$6:$C$243,$A21,'SIMULARE PE PRODUS'!$D$6:$D$243,"&gt;0")*SCENARIU!$B$10*SCENARIU!$B$5+SUMIFS('SIMULARE PE PRODUS'!$G$6:$G$243,'SIMULARE PE PRODUS'!$C$6:$C$243,$A21,'SIMULARE PE PRODUS'!$D$6:$D$243,0)</f>
        <v>83901.567325714292</v>
      </c>
      <c r="D21" s="27">
        <f t="shared" si="0"/>
        <v>304507.68572571431</v>
      </c>
      <c r="E21" s="28">
        <f t="shared" si="1"/>
        <v>0.16645378003197592</v>
      </c>
      <c r="F21" s="27">
        <f>SUMIFS('SIMULARE PE PRODUS'!R$6:R$243,'SIMULARE PE PRODUS'!$C$6:$C$243,$A21,'SIMULARE PE PRODUS'!$D$6:$D$243,"&gt;0")*SCENARIU!$B$10*SCENARIU!$B$5+SUMIFS('SIMULARE PE PRODUS'!R$6:R$243,'SIMULARE PE PRODUS'!$C$6:$C$243,$A21,'SIMULARE PE PRODUS'!$D$6:$D$243,0)</f>
        <v>2581212.8555181473</v>
      </c>
      <c r="G21" s="27">
        <f>SUMIFS('SIMULARE PE PRODUS'!S$6:S$243,'SIMULARE PE PRODUS'!$C$6:$C$243,$A21,'SIMULARE PE PRODUS'!$D$6:$D$243,"&gt;0")*SCENARIU!$B$10*SCENARIU!$B$5+SUMIFS('SIMULARE PE PRODUS'!S$6:S$243,'SIMULARE PE PRODUS'!$C$6:$C$243,$A21,'SIMULARE PE PRODUS'!$D$6:$D$243,0)</f>
        <v>1113709.5868407721</v>
      </c>
      <c r="H21" s="27">
        <f t="shared" si="2"/>
        <v>3694922.4423589194</v>
      </c>
      <c r="I21" s="28">
        <f t="shared" si="3"/>
        <v>0.18641166938998033</v>
      </c>
      <c r="J21" s="27">
        <f>SUMIFS('SIMULARE PE PRODUS'!$L$6:$L$243,'SIMULARE PE PRODUS'!$C$6:$C$243,$A21,'SIMULARE PE PRODUS'!$D$6:$D$243,"&gt;0")*SCENARIU!$B$10*SCENARIU!$B$5+SUMIFS('SIMULARE PE PRODUS'!$L$6:$L$243,'SIMULARE PE PRODUS'!$C$6:$C$243,$A21,'SIMULARE PE PRODUS'!$D$6:$D$243,0)</f>
        <v>1111765.5793365913</v>
      </c>
      <c r="K21" s="28">
        <f t="shared" si="4"/>
        <v>0.30089009896154029</v>
      </c>
      <c r="L21" s="28">
        <f>IFERROR((SUMIFS('SIMULARE PE PRODUS'!$J$6:$J$243,'SIMULARE PE PRODUS'!$C$6:$C$243,$A21,'SIMULARE PE PRODUS'!$D$6:$D$243,"&gt;0")*SCENARIU!$B$10*SCENARIU!$B$5+SUMIFS('SIMULARE PE PRODUS'!$J$6:$J$243,'SIMULARE PE PRODUS'!$C$6:$C$243,$A21,'SIMULARE PE PRODUS'!$D$6:$D$243,0))/$F21,"")</f>
        <v>0.31297183612844626</v>
      </c>
      <c r="M21" s="28">
        <f>IFERROR((SUMIFS('SIMULARE PE PRODUS'!$K$6:$K$243,'SIMULARE PE PRODUS'!$C$6:$C$243,$A21,'SIMULARE PE PRODUS'!$D$6:$D$243,"&gt;0")*SCENARIU!$B$10*SCENARIU!$B$5+SUMIFS('SIMULARE PE PRODUS'!$K$6:$K$243,'SIMULARE PE PRODUS'!$C$6:$C$243,$A21,'SIMULARE PE PRODUS'!$D$6:$D$243,0))/$G21,"")</f>
        <v>0.27288860228710438</v>
      </c>
      <c r="N21" s="27">
        <f t="shared" si="5"/>
        <v>2583156.8630223284</v>
      </c>
    </row>
    <row r="22" spans="1:14" x14ac:dyDescent="0.2">
      <c r="A22" s="26" t="s">
        <v>102</v>
      </c>
      <c r="B22" s="27">
        <f>SUMIFS('SIMULARE PE PRODUS'!$F$6:$F$243,'SIMULARE PE PRODUS'!$C$6:$C$243,$A22,'SIMULARE PE PRODUS'!$D$6:$D$243,"&gt;0")*SCENARIU!$B$10*SCENARIU!$B$5+SUMIFS('SIMULARE PE PRODUS'!$F$6:$F$243,'SIMULARE PE PRODUS'!$C$6:$C$243,$A22,'SIMULARE PE PRODUS'!$D$6:$D$243,0)</f>
        <v>169926.22117714287</v>
      </c>
      <c r="C22" s="27">
        <f>SUMIFS('SIMULARE PE PRODUS'!$G$6:$G$243,'SIMULARE PE PRODUS'!$C$6:$C$243,$A22,'SIMULARE PE PRODUS'!$D$6:$D$243,"&gt;0")*SCENARIU!$B$10*SCENARIU!$B$5+SUMIFS('SIMULARE PE PRODUS'!$G$6:$G$243,'SIMULARE PE PRODUS'!$C$6:$C$243,$A22,'SIMULARE PE PRODUS'!$D$6:$D$243,0)</f>
        <v>71009.689782857153</v>
      </c>
      <c r="D22" s="27">
        <f t="shared" si="0"/>
        <v>240935.91096000001</v>
      </c>
      <c r="E22" s="28">
        <f t="shared" si="1"/>
        <v>0.13170338551278449</v>
      </c>
      <c r="F22" s="27">
        <f>SUMIFS('SIMULARE PE PRODUS'!R$6:R$243,'SIMULARE PE PRODUS'!$C$6:$C$243,$A22,'SIMULARE PE PRODUS'!$D$6:$D$243,"&gt;0")*SCENARIU!$B$10*SCENARIU!$B$5+SUMIFS('SIMULARE PE PRODUS'!R$6:R$243,'SIMULARE PE PRODUS'!$C$6:$C$243,$A22,'SIMULARE PE PRODUS'!$D$6:$D$243,0)</f>
        <v>1331215.8737519686</v>
      </c>
      <c r="G22" s="27">
        <f>SUMIFS('SIMULARE PE PRODUS'!S$6:S$243,'SIMULARE PE PRODUS'!$C$6:$C$243,$A22,'SIMULARE PE PRODUS'!$D$6:$D$243,"&gt;0")*SCENARIU!$B$10*SCENARIU!$B$5+SUMIFS('SIMULARE PE PRODUS'!S$6:S$243,'SIMULARE PE PRODUS'!$C$6:$C$243,$A22,'SIMULARE PE PRODUS'!$D$6:$D$243,0)</f>
        <v>646891.39338378364</v>
      </c>
      <c r="H22" s="27">
        <f t="shared" si="2"/>
        <v>1978107.2671357524</v>
      </c>
      <c r="I22" s="28">
        <f t="shared" si="3"/>
        <v>9.9797027854206924E-2</v>
      </c>
      <c r="J22" s="27">
        <f>SUMIFS('SIMULARE PE PRODUS'!$L$6:$L$243,'SIMULARE PE PRODUS'!$C$6:$C$243,$A22,'SIMULARE PE PRODUS'!$D$6:$D$243,"&gt;0")*SCENARIU!$B$10*SCENARIU!$B$5+SUMIFS('SIMULARE PE PRODUS'!$L$6:$L$243,'SIMULARE PE PRODUS'!$C$6:$C$243,$A22,'SIMULARE PE PRODUS'!$D$6:$D$243,0)</f>
        <v>616842.00754807168</v>
      </c>
      <c r="K22" s="28">
        <f t="shared" si="4"/>
        <v>0.31183445801765985</v>
      </c>
      <c r="L22" s="28">
        <f>IFERROR((SUMIFS('SIMULARE PE PRODUS'!$J$6:$J$243,'SIMULARE PE PRODUS'!$C$6:$C$243,$A22,'SIMULARE PE PRODUS'!$D$6:$D$243,"&gt;0")*SCENARIU!$B$10*SCENARIU!$B$5+SUMIFS('SIMULARE PE PRODUS'!$J$6:$J$243,'SIMULARE PE PRODUS'!$C$6:$C$243,$A22,'SIMULARE PE PRODUS'!$D$6:$D$243,0))/$F22,"")</f>
        <v>0.31123007251746126</v>
      </c>
      <c r="M22" s="28">
        <f>IFERROR((SUMIFS('SIMULARE PE PRODUS'!$K$6:$K$243,'SIMULARE PE PRODUS'!$C$6:$C$243,$A22,'SIMULARE PE PRODUS'!$D$6:$D$243,"&gt;0")*SCENARIU!$B$10*SCENARIU!$B$5+SUMIFS('SIMULARE PE PRODUS'!$K$6:$K$243,'SIMULARE PE PRODUS'!$C$6:$C$243,$A22,'SIMULARE PE PRODUS'!$D$6:$D$243,0))/$G22,"")</f>
        <v>0.31307820245445267</v>
      </c>
      <c r="N22" s="27">
        <f t="shared" si="5"/>
        <v>1361265.2595876807</v>
      </c>
    </row>
    <row r="23" spans="1:14" x14ac:dyDescent="0.2">
      <c r="A23" s="26" t="s">
        <v>103</v>
      </c>
      <c r="B23" s="27">
        <f>SUMIFS('SIMULARE PE PRODUS'!$F$6:$F$243,'SIMULARE PE PRODUS'!$C$6:$C$243,$A23,'SIMULARE PE PRODUS'!$D$6:$D$243,"&gt;0")*SCENARIU!$B$10*SCENARIU!$B$5+SUMIFS('SIMULARE PE PRODUS'!$F$6:$F$243,'SIMULARE PE PRODUS'!$C$6:$C$243,$A23,'SIMULARE PE PRODUS'!$D$6:$D$243,0)</f>
        <v>186425.58075428574</v>
      </c>
      <c r="C23" s="27">
        <f>SUMIFS('SIMULARE PE PRODUS'!$G$6:$G$243,'SIMULARE PE PRODUS'!$C$6:$C$243,$A23,'SIMULARE PE PRODUS'!$D$6:$D$243,"&gt;0")*SCENARIU!$B$10*SCENARIU!$B$5+SUMIFS('SIMULARE PE PRODUS'!$G$6:$G$243,'SIMULARE PE PRODUS'!$C$6:$C$243,$A23,'SIMULARE PE PRODUS'!$D$6:$D$243,0)</f>
        <v>10246.617771428571</v>
      </c>
      <c r="D23" s="27">
        <f t="shared" si="0"/>
        <v>196672.19852571431</v>
      </c>
      <c r="E23" s="28">
        <f t="shared" si="1"/>
        <v>0.10750740426726729</v>
      </c>
      <c r="F23" s="27">
        <f>SUMIFS('SIMULARE PE PRODUS'!R$6:R$243,'SIMULARE PE PRODUS'!$C$6:$C$243,$A23,'SIMULARE PE PRODUS'!$D$6:$D$243,"&gt;0")*SCENARIU!$B$10*SCENARIU!$B$5+SUMIFS('SIMULARE PE PRODUS'!R$6:R$243,'SIMULARE PE PRODUS'!$C$6:$C$243,$A23,'SIMULARE PE PRODUS'!$D$6:$D$243,0)</f>
        <v>1514834.2443842276</v>
      </c>
      <c r="G23" s="27">
        <f>SUMIFS('SIMULARE PE PRODUS'!S$6:S$243,'SIMULARE PE PRODUS'!$C$6:$C$243,$A23,'SIMULARE PE PRODUS'!$D$6:$D$243,"&gt;0")*SCENARIU!$B$10*SCENARIU!$B$5+SUMIFS('SIMULARE PE PRODUS'!S$6:S$243,'SIMULARE PE PRODUS'!$C$6:$C$243,$A23,'SIMULARE PE PRODUS'!$D$6:$D$243,0)</f>
        <v>86762.801742148775</v>
      </c>
      <c r="H23" s="27">
        <f t="shared" si="2"/>
        <v>1601597.0461263764</v>
      </c>
      <c r="I23" s="28">
        <f t="shared" si="3"/>
        <v>8.0801798607679082E-2</v>
      </c>
      <c r="J23" s="27">
        <f>SUMIFS('SIMULARE PE PRODUS'!$L$6:$L$243,'SIMULARE PE PRODUS'!$C$6:$C$243,$A23,'SIMULARE PE PRODUS'!$D$6:$D$243,"&gt;0")*SCENARIU!$B$10*SCENARIU!$B$5+SUMIFS('SIMULARE PE PRODUS'!$L$6:$L$243,'SIMULARE PE PRODUS'!$C$6:$C$243,$A23,'SIMULARE PE PRODUS'!$D$6:$D$243,0)</f>
        <v>782093.77401464328</v>
      </c>
      <c r="K23" s="28">
        <f t="shared" si="4"/>
        <v>0.48832118909448274</v>
      </c>
      <c r="L23" s="28">
        <f>IFERROR((SUMIFS('SIMULARE PE PRODUS'!$J$6:$J$243,'SIMULARE PE PRODUS'!$C$6:$C$243,$A23,'SIMULARE PE PRODUS'!$D$6:$D$243,"&gt;0")*SCENARIU!$B$10*SCENARIU!$B$5+SUMIFS('SIMULARE PE PRODUS'!$J$6:$J$243,'SIMULARE PE PRODUS'!$C$6:$C$243,$A23,'SIMULARE PE PRODUS'!$D$6:$D$243,0))/$F23,"")</f>
        <v>0.49394444087273948</v>
      </c>
      <c r="M23" s="28">
        <f>IFERROR((SUMIFS('SIMULARE PE PRODUS'!$K$6:$K$243,'SIMULARE PE PRODUS'!$C$6:$C$243,$A23,'SIMULARE PE PRODUS'!$D$6:$D$243,"&gt;0")*SCENARIU!$B$10*SCENARIU!$B$5+SUMIFS('SIMULARE PE PRODUS'!$K$6:$K$243,'SIMULARE PE PRODUS'!$C$6:$C$243,$A23,'SIMULARE PE PRODUS'!$D$6:$D$243,0))/$G23,"")</f>
        <v>0.39014208252513416</v>
      </c>
      <c r="N23" s="27">
        <f t="shared" si="5"/>
        <v>819503.27211173309</v>
      </c>
    </row>
    <row r="24" spans="1:14" x14ac:dyDescent="0.2">
      <c r="A24" s="26" t="s">
        <v>104</v>
      </c>
      <c r="B24" s="27">
        <f>SUMIFS('SIMULARE PE PRODUS'!$F$6:$F$243,'SIMULARE PE PRODUS'!$C$6:$C$243,$A24,'SIMULARE PE PRODUS'!$D$6:$D$243,"&gt;0")*SCENARIU!$B$10*SCENARIU!$B$5+SUMIFS('SIMULARE PE PRODUS'!$F$6:$F$243,'SIMULARE PE PRODUS'!$C$6:$C$243,$A24,'SIMULARE PE PRODUS'!$D$6:$D$243,0)</f>
        <v>16231.145451428574</v>
      </c>
      <c r="C24" s="27">
        <f>SUMIFS('SIMULARE PE PRODUS'!$G$6:$G$243,'SIMULARE PE PRODUS'!$C$6:$C$243,$A24,'SIMULARE PE PRODUS'!$D$6:$D$243,"&gt;0")*SCENARIU!$B$10*SCENARIU!$B$5+SUMIFS('SIMULARE PE PRODUS'!$G$6:$G$243,'SIMULARE PE PRODUS'!$C$6:$C$243,$A24,'SIMULARE PE PRODUS'!$D$6:$D$243,0)</f>
        <v>3164.0885142857146</v>
      </c>
      <c r="D24" s="27">
        <f t="shared" si="0"/>
        <v>19395.233965714287</v>
      </c>
      <c r="E24" s="28">
        <f t="shared" si="1"/>
        <v>1.0602064117047305E-2</v>
      </c>
      <c r="F24" s="27">
        <f>SUMIFS('SIMULARE PE PRODUS'!R$6:R$243,'SIMULARE PE PRODUS'!$C$6:$C$243,$A24,'SIMULARE PE PRODUS'!$D$6:$D$243,"&gt;0")*SCENARIU!$B$10*SCENARIU!$B$5+SUMIFS('SIMULARE PE PRODUS'!R$6:R$243,'SIMULARE PE PRODUS'!$C$6:$C$243,$A24,'SIMULARE PE PRODUS'!$D$6:$D$243,0)</f>
        <v>188408.06701242554</v>
      </c>
      <c r="G24" s="27">
        <f>SUMIFS('SIMULARE PE PRODUS'!S$6:S$243,'SIMULARE PE PRODUS'!$C$6:$C$243,$A24,'SIMULARE PE PRODUS'!$D$6:$D$243,"&gt;0")*SCENARIU!$B$10*SCENARIU!$B$5+SUMIFS('SIMULARE PE PRODUS'!S$6:S$243,'SIMULARE PE PRODUS'!$C$6:$C$243,$A24,'SIMULARE PE PRODUS'!$D$6:$D$243,0)</f>
        <v>46285.269256502106</v>
      </c>
      <c r="H24" s="27">
        <f t="shared" si="2"/>
        <v>234693.33626892764</v>
      </c>
      <c r="I24" s="28">
        <f t="shared" si="3"/>
        <v>1.1840458708157383E-2</v>
      </c>
      <c r="J24" s="27">
        <f>SUMIFS('SIMULARE PE PRODUS'!$L$6:$L$243,'SIMULARE PE PRODUS'!$C$6:$C$243,$A24,'SIMULARE PE PRODUS'!$D$6:$D$243,"&gt;0")*SCENARIU!$B$10*SCENARIU!$B$5+SUMIFS('SIMULARE PE PRODUS'!$L$6:$L$243,'SIMULARE PE PRODUS'!$C$6:$C$243,$A24,'SIMULARE PE PRODUS'!$D$6:$D$243,0)</f>
        <v>98742.134473839993</v>
      </c>
      <c r="K24" s="28">
        <f t="shared" si="4"/>
        <v>0.42072832592355547</v>
      </c>
      <c r="L24" s="28">
        <f>IFERROR((SUMIFS('SIMULARE PE PRODUS'!$J$6:$J$243,'SIMULARE PE PRODUS'!$C$6:$C$243,$A24,'SIMULARE PE PRODUS'!$D$6:$D$243,"&gt;0")*SCENARIU!$B$10*SCENARIU!$B$5+SUMIFS('SIMULARE PE PRODUS'!$J$6:$J$243,'SIMULARE PE PRODUS'!$C$6:$C$243,$A24,'SIMULARE PE PRODUS'!$D$6:$D$243,0))/$F24,"")</f>
        <v>0.41733901750221702</v>
      </c>
      <c r="M24" s="28">
        <f>IFERROR((SUMIFS('SIMULARE PE PRODUS'!$K$6:$K$243,'SIMULARE PE PRODUS'!$C$6:$C$243,$A24,'SIMULARE PE PRODUS'!$D$6:$D$243,"&gt;0")*SCENARIU!$B$10*SCENARIU!$B$5+SUMIFS('SIMULARE PE PRODUS'!$K$6:$K$243,'SIMULARE PE PRODUS'!$C$6:$C$243,$A24,'SIMULARE PE PRODUS'!$D$6:$D$243,0))/$G24,"")</f>
        <v>0.43452478986188775</v>
      </c>
      <c r="N24" s="27">
        <f t="shared" si="5"/>
        <v>135951.20179508766</v>
      </c>
    </row>
    <row r="25" spans="1:14" x14ac:dyDescent="0.2">
      <c r="A25" s="26" t="s">
        <v>105</v>
      </c>
      <c r="B25" s="27">
        <f>SUMIFS('SIMULARE PE PRODUS'!$F$6:$F$243,'SIMULARE PE PRODUS'!$C$6:$C$243,$A25,'SIMULARE PE PRODUS'!$D$6:$D$243,"&gt;0")*SCENARIU!$B$10*SCENARIU!$B$5+SUMIFS('SIMULARE PE PRODUS'!$F$6:$F$243,'SIMULARE PE PRODUS'!$C$6:$C$243,$A25,'SIMULARE PE PRODUS'!$D$6:$D$243,0)</f>
        <v>34138.629188571438</v>
      </c>
      <c r="C25" s="27">
        <f>SUMIFS('SIMULARE PE PRODUS'!$G$6:$G$243,'SIMULARE PE PRODUS'!$C$6:$C$243,$A25,'SIMULARE PE PRODUS'!$D$6:$D$243,"&gt;0")*SCENARIU!$B$10*SCENARIU!$B$5+SUMIFS('SIMULARE PE PRODUS'!$G$6:$G$243,'SIMULARE PE PRODUS'!$C$6:$C$243,$A25,'SIMULARE PE PRODUS'!$D$6:$D$243,0)</f>
        <v>11809.803222857145</v>
      </c>
      <c r="D25" s="27">
        <f t="shared" si="0"/>
        <v>45948.432411428585</v>
      </c>
      <c r="E25" s="28">
        <f t="shared" si="1"/>
        <v>2.5116903841682515E-2</v>
      </c>
      <c r="F25" s="27">
        <f>SUMIFS('SIMULARE PE PRODUS'!R$6:R$243,'SIMULARE PE PRODUS'!$C$6:$C$243,$A25,'SIMULARE PE PRODUS'!$D$6:$D$243,"&gt;0")*SCENARIU!$B$10*SCENARIU!$B$5+SUMIFS('SIMULARE PE PRODUS'!R$6:R$243,'SIMULARE PE PRODUS'!$C$6:$C$243,$A25,'SIMULARE PE PRODUS'!$D$6:$D$243,0)</f>
        <v>417557.36684169888</v>
      </c>
      <c r="G25" s="27">
        <f>SUMIFS('SIMULARE PE PRODUS'!S$6:S$243,'SIMULARE PE PRODUS'!$C$6:$C$243,$A25,'SIMULARE PE PRODUS'!$D$6:$D$243,"&gt;0")*SCENARIU!$B$10*SCENARIU!$B$5+SUMIFS('SIMULARE PE PRODUS'!S$6:S$243,'SIMULARE PE PRODUS'!$C$6:$C$243,$A25,'SIMULARE PE PRODUS'!$D$6:$D$243,0)</f>
        <v>149114.82115830117</v>
      </c>
      <c r="H25" s="27">
        <f t="shared" si="2"/>
        <v>566672.18800000008</v>
      </c>
      <c r="I25" s="28">
        <f t="shared" si="3"/>
        <v>2.8589046241120433E-2</v>
      </c>
      <c r="J25" s="27">
        <f>SUMIFS('SIMULARE PE PRODUS'!$L$6:$L$243,'SIMULARE PE PRODUS'!$C$6:$C$243,$A25,'SIMULARE PE PRODUS'!$D$6:$D$243,"&gt;0")*SCENARIU!$B$10*SCENARIU!$B$5+SUMIFS('SIMULARE PE PRODUS'!$L$6:$L$243,'SIMULARE PE PRODUS'!$C$6:$C$243,$A25,'SIMULARE PE PRODUS'!$D$6:$D$243,0)</f>
        <v>221997.96147517383</v>
      </c>
      <c r="K25" s="28">
        <f t="shared" si="4"/>
        <v>0.3917572913869099</v>
      </c>
      <c r="L25" s="28">
        <f>IFERROR((SUMIFS('SIMULARE PE PRODUS'!$J$6:$J$243,'SIMULARE PE PRODUS'!$C$6:$C$243,$A25,'SIMULARE PE PRODUS'!$D$6:$D$243,"&gt;0")*SCENARIU!$B$10*SCENARIU!$B$5+SUMIFS('SIMULARE PE PRODUS'!$J$6:$J$243,'SIMULARE PE PRODUS'!$C$6:$C$243,$A25,'SIMULARE PE PRODUS'!$D$6:$D$243,0))/$F25,"")</f>
        <v>0.38264721878059238</v>
      </c>
      <c r="M25" s="28">
        <f>IFERROR((SUMIFS('SIMULARE PE PRODUS'!$K$6:$K$243,'SIMULARE PE PRODUS'!$C$6:$C$243,$A25,'SIMULARE PE PRODUS'!$D$6:$D$243,"&gt;0")*SCENARIU!$B$10*SCENARIU!$B$5+SUMIFS('SIMULARE PE PRODUS'!$K$6:$K$243,'SIMULARE PE PRODUS'!$C$6:$C$243,$A25,'SIMULARE PE PRODUS'!$D$6:$D$243,0))/$G25,"")</f>
        <v>0.41726768599210029</v>
      </c>
      <c r="N25" s="27">
        <f t="shared" si="5"/>
        <v>344674.22652482626</v>
      </c>
    </row>
    <row r="26" spans="1:14" x14ac:dyDescent="0.2">
      <c r="A26" s="26" t="s">
        <v>106</v>
      </c>
      <c r="B26" s="27">
        <f>SUMIFS('SIMULARE PE PRODUS'!$F$6:$F$243,'SIMULARE PE PRODUS'!$C$6:$C$243,$A26,'SIMULARE PE PRODUS'!$D$6:$D$243,"&gt;0")*SCENARIU!$B$10*SCENARIU!$B$5+SUMIFS('SIMULARE PE PRODUS'!$F$6:$F$243,'SIMULARE PE PRODUS'!$C$6:$C$243,$A26,'SIMULARE PE PRODUS'!$D$6:$D$243,0)</f>
        <v>11600.260937142859</v>
      </c>
      <c r="C26" s="27">
        <f>SUMIFS('SIMULARE PE PRODUS'!$G$6:$G$243,'SIMULARE PE PRODUS'!$C$6:$C$243,$A26,'SIMULARE PE PRODUS'!$D$6:$D$243,"&gt;0")*SCENARIU!$B$10*SCENARIU!$B$5+SUMIFS('SIMULARE PE PRODUS'!$G$6:$G$243,'SIMULARE PE PRODUS'!$C$6:$C$243,$A26,'SIMULARE PE PRODUS'!$D$6:$D$243,0)</f>
        <v>10158.610011428573</v>
      </c>
      <c r="D26" s="27">
        <f t="shared" si="0"/>
        <v>21758.870948571432</v>
      </c>
      <c r="E26" s="28">
        <f t="shared" si="1"/>
        <v>1.1894104774353849E-2</v>
      </c>
      <c r="F26" s="27">
        <f>SUMIFS('SIMULARE PE PRODUS'!R$6:R$243,'SIMULARE PE PRODUS'!$C$6:$C$243,$A26,'SIMULARE PE PRODUS'!$D$6:$D$243,"&gt;0")*SCENARIU!$B$10*SCENARIU!$B$5+SUMIFS('SIMULARE PE PRODUS'!R$6:R$243,'SIMULARE PE PRODUS'!$C$6:$C$243,$A26,'SIMULARE PE PRODUS'!$D$6:$D$243,0)</f>
        <v>44604.190332046324</v>
      </c>
      <c r="G26" s="27">
        <f>SUMIFS('SIMULARE PE PRODUS'!S$6:S$243,'SIMULARE PE PRODUS'!$C$6:$C$243,$A26,'SIMULARE PE PRODUS'!$D$6:$D$243,"&gt;0")*SCENARIU!$B$10*SCENARIU!$B$5+SUMIFS('SIMULARE PE PRODUS'!S$6:S$243,'SIMULARE PE PRODUS'!$C$6:$C$243,$A26,'SIMULARE PE PRODUS'!$D$6:$D$243,0)</f>
        <v>33930.748138996132</v>
      </c>
      <c r="H26" s="27">
        <f t="shared" si="2"/>
        <v>78534.938471042464</v>
      </c>
      <c r="I26" s="28">
        <f t="shared" si="3"/>
        <v>3.9621478432115683E-3</v>
      </c>
      <c r="J26" s="27">
        <f>SUMIFS('SIMULARE PE PRODUS'!$L$6:$L$243,'SIMULARE PE PRODUS'!$C$6:$C$243,$A26,'SIMULARE PE PRODUS'!$D$6:$D$243,"&gt;0")*SCENARIU!$B$10*SCENARIU!$B$5+SUMIFS('SIMULARE PE PRODUS'!$L$6:$L$243,'SIMULARE PE PRODUS'!$C$6:$C$243,$A26,'SIMULARE PE PRODUS'!$D$6:$D$243,0)</f>
        <v>16936.15640863396</v>
      </c>
      <c r="K26" s="28">
        <f t="shared" si="4"/>
        <v>0.21565123419404841</v>
      </c>
      <c r="L26" s="28">
        <f>IFERROR((SUMIFS('SIMULARE PE PRODUS'!$J$6:$J$243,'SIMULARE PE PRODUS'!$C$6:$C$243,$A26,'SIMULARE PE PRODUS'!$D$6:$D$243,"&gt;0")*SCENARIU!$B$10*SCENARIU!$B$5+SUMIFS('SIMULARE PE PRODUS'!$J$6:$J$243,'SIMULARE PE PRODUS'!$C$6:$C$243,$A26,'SIMULARE PE PRODUS'!$D$6:$D$243,0))/$F26,"")</f>
        <v>0.21907210730716101</v>
      </c>
      <c r="M26" s="28">
        <f>IFERROR((SUMIFS('SIMULARE PE PRODUS'!$K$6:$K$243,'SIMULARE PE PRODUS'!$C$6:$C$243,$A26,'SIMULARE PE PRODUS'!$D$6:$D$243,"&gt;0")*SCENARIU!$B$10*SCENARIU!$B$5+SUMIFS('SIMULARE PE PRODUS'!$K$6:$K$243,'SIMULARE PE PRODUS'!$C$6:$C$243,$A26,'SIMULARE PE PRODUS'!$D$6:$D$243,0))/$G26,"")</f>
        <v>0.21115427247619906</v>
      </c>
      <c r="N26" s="27">
        <f t="shared" si="5"/>
        <v>61598.7820624085</v>
      </c>
    </row>
    <row r="27" spans="1:14" x14ac:dyDescent="0.2">
      <c r="A27" s="26" t="s">
        <v>107</v>
      </c>
      <c r="B27" s="27">
        <f>SUMIFS('SIMULARE PE PRODUS'!$F$6:$F$243,'SIMULARE PE PRODUS'!$C$6:$C$243,$A27,'SIMULARE PE PRODUS'!$D$6:$D$243,"&gt;0")*SCENARIU!$B$10*SCENARIU!$B$5+SUMIFS('SIMULARE PE PRODUS'!$F$6:$F$243,'SIMULARE PE PRODUS'!$C$6:$C$243,$A27,'SIMULARE PE PRODUS'!$D$6:$D$243,0)</f>
        <v>5557.0614171428579</v>
      </c>
      <c r="C27" s="27">
        <f>SUMIFS('SIMULARE PE PRODUS'!$G$6:$G$243,'SIMULARE PE PRODUS'!$C$6:$C$243,$A27,'SIMULARE PE PRODUS'!$D$6:$D$243,"&gt;0")*SCENARIU!$B$10*SCENARIU!$B$5+SUMIFS('SIMULARE PE PRODUS'!$G$6:$G$243,'SIMULARE PE PRODUS'!$C$6:$C$243,$A27,'SIMULARE PE PRODUS'!$D$6:$D$243,0)</f>
        <v>5980.3368342857157</v>
      </c>
      <c r="D27" s="27">
        <f t="shared" si="0"/>
        <v>11537.398251428574</v>
      </c>
      <c r="E27" s="28">
        <f t="shared" si="1"/>
        <v>6.3067161871718323E-3</v>
      </c>
      <c r="F27" s="27">
        <f>SUMIFS('SIMULARE PE PRODUS'!R$6:R$243,'SIMULARE PE PRODUS'!$C$6:$C$243,$A27,'SIMULARE PE PRODUS'!$D$6:$D$243,"&gt;0")*SCENARIU!$B$10*SCENARIU!$B$5+SUMIFS('SIMULARE PE PRODUS'!R$6:R$243,'SIMULARE PE PRODUS'!$C$6:$C$243,$A27,'SIMULARE PE PRODUS'!$D$6:$D$243,0)</f>
        <v>74227.995003860997</v>
      </c>
      <c r="G27" s="27">
        <f>SUMIFS('SIMULARE PE PRODUS'!S$6:S$243,'SIMULARE PE PRODUS'!$C$6:$C$243,$A27,'SIMULARE PE PRODUS'!$D$6:$D$243,"&gt;0")*SCENARIU!$B$10*SCENARIU!$B$5+SUMIFS('SIMULARE PE PRODUS'!S$6:S$243,'SIMULARE PE PRODUS'!$C$6:$C$243,$A27,'SIMULARE PE PRODUS'!$D$6:$D$243,0)</f>
        <v>75635.326301158289</v>
      </c>
      <c r="H27" s="27">
        <f t="shared" si="2"/>
        <v>149863.32130501929</v>
      </c>
      <c r="I27" s="28">
        <f t="shared" si="3"/>
        <v>7.5607194306791786E-3</v>
      </c>
      <c r="J27" s="27">
        <f>SUMIFS('SIMULARE PE PRODUS'!$L$6:$L$243,'SIMULARE PE PRODUS'!$C$6:$C$243,$A27,'SIMULARE PE PRODUS'!$D$6:$D$243,"&gt;0")*SCENARIU!$B$10*SCENARIU!$B$5+SUMIFS('SIMULARE PE PRODUS'!$L$6:$L$243,'SIMULARE PE PRODUS'!$C$6:$C$243,$A27,'SIMULARE PE PRODUS'!$D$6:$D$243,0)</f>
        <v>58194.302624631404</v>
      </c>
      <c r="K27" s="28">
        <f t="shared" si="4"/>
        <v>0.38831584751940457</v>
      </c>
      <c r="L27" s="28">
        <f>IFERROR((SUMIFS('SIMULARE PE PRODUS'!$J$6:$J$243,'SIMULARE PE PRODUS'!$C$6:$C$243,$A27,'SIMULARE PE PRODUS'!$D$6:$D$243,"&gt;0")*SCENARIU!$B$10*SCENARIU!$B$5+SUMIFS('SIMULARE PE PRODUS'!$J$6:$J$243,'SIMULARE PE PRODUS'!$C$6:$C$243,$A27,'SIMULARE PE PRODUS'!$D$6:$D$243,0))/$F27,"")</f>
        <v>0.38904451246604704</v>
      </c>
      <c r="M27" s="28">
        <f>IFERROR((SUMIFS('SIMULARE PE PRODUS'!$K$6:$K$243,'SIMULARE PE PRODUS'!$C$6:$C$243,$A27,'SIMULARE PE PRODUS'!$D$6:$D$243,"&gt;0")*SCENARIU!$B$10*SCENARIU!$B$5+SUMIFS('SIMULARE PE PRODUS'!$K$6:$K$243,'SIMULARE PE PRODUS'!$C$6:$C$243,$A27,'SIMULARE PE PRODUS'!$D$6:$D$243,0))/$G27,"")</f>
        <v>0.38760074069480371</v>
      </c>
      <c r="N27" s="27">
        <f t="shared" si="5"/>
        <v>91669.018680387875</v>
      </c>
    </row>
    <row r="28" spans="1:14" x14ac:dyDescent="0.2">
      <c r="A28" s="26" t="s">
        <v>108</v>
      </c>
      <c r="B28" s="27">
        <f>SUMIFS('SIMULARE PE PRODUS'!$F$6:$F$243,'SIMULARE PE PRODUS'!$C$6:$C$243,$A28,'SIMULARE PE PRODUS'!$D$6:$D$243,"&gt;0")*SCENARIU!$B$10*SCENARIU!$B$5+SUMIFS('SIMULARE PE PRODUS'!$F$6:$F$243,'SIMULARE PE PRODUS'!$C$6:$C$243,$A28,'SIMULARE PE PRODUS'!$D$6:$D$243,0)</f>
        <v>1408.1241600000001</v>
      </c>
      <c r="C28" s="27">
        <f>SUMIFS('SIMULARE PE PRODUS'!$G$6:$G$243,'SIMULARE PE PRODUS'!$C$6:$C$243,$A28,'SIMULARE PE PRODUS'!$D$6:$D$243,"&gt;0")*SCENARIU!$B$10*SCENARIU!$B$5+SUMIFS('SIMULARE PE PRODUS'!$G$6:$G$243,'SIMULARE PE PRODUS'!$C$6:$C$243,$A28,'SIMULARE PE PRODUS'!$D$6:$D$243,0)</f>
        <v>2258.8658399999999</v>
      </c>
      <c r="D28" s="27">
        <f t="shared" si="0"/>
        <v>3666.99</v>
      </c>
      <c r="E28" s="28">
        <f t="shared" si="1"/>
        <v>2.0044957006085549E-3</v>
      </c>
      <c r="F28" s="27">
        <f>SUMIFS('SIMULARE PE PRODUS'!R$6:R$243,'SIMULARE PE PRODUS'!$C$6:$C$243,$A28,'SIMULARE PE PRODUS'!$D$6:$D$243,"&gt;0")*SCENARIU!$B$10*SCENARIU!$B$5+SUMIFS('SIMULARE PE PRODUS'!R$6:R$243,'SIMULARE PE PRODUS'!$C$6:$C$243,$A28,'SIMULARE PE PRODUS'!$D$6:$D$243,0)</f>
        <v>21916.99042471042</v>
      </c>
      <c r="G28" s="27">
        <f>SUMIFS('SIMULARE PE PRODUS'!S$6:S$243,'SIMULARE PE PRODUS'!$C$6:$C$243,$A28,'SIMULARE PE PRODUS'!$D$6:$D$243,"&gt;0")*SCENARIU!$B$10*SCENARIU!$B$5+SUMIFS('SIMULARE PE PRODUS'!S$6:S$243,'SIMULARE PE PRODUS'!$C$6:$C$243,$A28,'SIMULARE PE PRODUS'!$D$6:$D$243,0)</f>
        <v>41583.76098841698</v>
      </c>
      <c r="H28" s="27">
        <f t="shared" si="2"/>
        <v>63500.7514131274</v>
      </c>
      <c r="I28" s="28">
        <f t="shared" si="3"/>
        <v>3.2036615823746633E-3</v>
      </c>
      <c r="J28" s="27">
        <f>SUMIFS('SIMULARE PE PRODUS'!$L$6:$L$243,'SIMULARE PE PRODUS'!$C$6:$C$243,$A28,'SIMULARE PE PRODUS'!$D$6:$D$243,"&gt;0")*SCENARIU!$B$10*SCENARIU!$B$5+SUMIFS('SIMULARE PE PRODUS'!$L$6:$L$243,'SIMULARE PE PRODUS'!$C$6:$C$243,$A28,'SIMULARE PE PRODUS'!$D$6:$D$243,0)</f>
        <v>25356.272755937251</v>
      </c>
      <c r="K28" s="28">
        <f t="shared" si="4"/>
        <v>0.39930665687674671</v>
      </c>
      <c r="L28" s="28">
        <f>IFERROR((SUMIFS('SIMULARE PE PRODUS'!$J$6:$J$243,'SIMULARE PE PRODUS'!$C$6:$C$243,$A28,'SIMULARE PE PRODUS'!$D$6:$D$243,"&gt;0")*SCENARIU!$B$10*SCENARIU!$B$5+SUMIFS('SIMULARE PE PRODUS'!$J$6:$J$243,'SIMULARE PE PRODUS'!$C$6:$C$243,$A28,'SIMULARE PE PRODUS'!$D$6:$D$243,0))/$F28,"")</f>
        <v>0.44278507198108541</v>
      </c>
      <c r="M28" s="28">
        <f>IFERROR((SUMIFS('SIMULARE PE PRODUS'!$K$6:$K$243,'SIMULARE PE PRODUS'!$C$6:$C$243,$A28,'SIMULARE PE PRODUS'!$D$6:$D$243,"&gt;0")*SCENARIU!$B$10*SCENARIU!$B$5+SUMIFS('SIMULARE PE PRODUS'!$K$6:$K$243,'SIMULARE PE PRODUS'!$C$6:$C$243,$A28,'SIMULARE PE PRODUS'!$D$6:$D$243,0))/$G28,"")</f>
        <v>0.37639107673504629</v>
      </c>
      <c r="N28" s="27">
        <f t="shared" si="5"/>
        <v>38144.47865719015</v>
      </c>
    </row>
    <row r="29" spans="1:14" x14ac:dyDescent="0.2">
      <c r="A29" s="26" t="s">
        <v>109</v>
      </c>
      <c r="B29" s="27">
        <f>SUMIFS('SIMULARE PE PRODUS'!$F$6:$F$243,'SIMULARE PE PRODUS'!$C$6:$C$243,$A29,'SIMULARE PE PRODUS'!$D$6:$D$243,"&gt;0")*SCENARIU!$B$10*SCENARIU!$B$5+SUMIFS('SIMULARE PE PRODUS'!$F$6:$F$243,'SIMULARE PE PRODUS'!$C$6:$C$243,$A29,'SIMULARE PE PRODUS'!$D$6:$D$243,0)</f>
        <v>4819.4725714285723</v>
      </c>
      <c r="C29" s="27">
        <f>SUMIFS('SIMULARE PE PRODUS'!$G$6:$G$243,'SIMULARE PE PRODUS'!$C$6:$C$243,$A29,'SIMULARE PE PRODUS'!$D$6:$D$243,"&gt;0")*SCENARIU!$B$10*SCENARIU!$B$5+SUMIFS('SIMULARE PE PRODUS'!$G$6:$G$243,'SIMULARE PE PRODUS'!$C$6:$C$243,$A29,'SIMULARE PE PRODUS'!$D$6:$D$243,0)</f>
        <v>1093.8107314285714</v>
      </c>
      <c r="D29" s="27">
        <f t="shared" si="0"/>
        <v>5913.283302857144</v>
      </c>
      <c r="E29" s="28">
        <f t="shared" si="1"/>
        <v>3.2323924954956247E-3</v>
      </c>
      <c r="F29" s="27">
        <f>SUMIFS('SIMULARE PE PRODUS'!R$6:R$243,'SIMULARE PE PRODUS'!$C$6:$C$243,$A29,'SIMULARE PE PRODUS'!$D$6:$D$243,"&gt;0")*SCENARIU!$B$10*SCENARIU!$B$5+SUMIFS('SIMULARE PE PRODUS'!R$6:R$243,'SIMULARE PE PRODUS'!$C$6:$C$243,$A29,'SIMULARE PE PRODUS'!$D$6:$D$243,0)</f>
        <v>169332.82007722009</v>
      </c>
      <c r="G29" s="27">
        <f>SUMIFS('SIMULARE PE PRODUS'!S$6:S$243,'SIMULARE PE PRODUS'!$C$6:$C$243,$A29,'SIMULARE PE PRODUS'!$D$6:$D$243,"&gt;0")*SCENARIU!$B$10*SCENARIU!$B$5+SUMIFS('SIMULARE PE PRODUS'!S$6:S$243,'SIMULARE PE PRODUS'!$C$6:$C$243,$A29,'SIMULARE PE PRODUS'!$D$6:$D$243,0)</f>
        <v>38431.187861003855</v>
      </c>
      <c r="H29" s="27">
        <f t="shared" si="2"/>
        <v>207764.00793822395</v>
      </c>
      <c r="I29" s="28">
        <f t="shared" si="3"/>
        <v>1.0481853452434471E-2</v>
      </c>
      <c r="J29" s="27">
        <f>SUMIFS('SIMULARE PE PRODUS'!$L$6:$L$243,'SIMULARE PE PRODUS'!$C$6:$C$243,$A29,'SIMULARE PE PRODUS'!$D$6:$D$243,"&gt;0")*SCENARIU!$B$10*SCENARIU!$B$5+SUMIFS('SIMULARE PE PRODUS'!$L$6:$L$243,'SIMULARE PE PRODUS'!$C$6:$C$243,$A29,'SIMULARE PE PRODUS'!$D$6:$D$243,0)</f>
        <v>128477.06089768038</v>
      </c>
      <c r="K29" s="28">
        <f t="shared" si="4"/>
        <v>0.61837977700103586</v>
      </c>
      <c r="L29" s="28">
        <f>IFERROR((SUMIFS('SIMULARE PE PRODUS'!$J$6:$J$243,'SIMULARE PE PRODUS'!$C$6:$C$243,$A29,'SIMULARE PE PRODUS'!$D$6:$D$243,"&gt;0")*SCENARIU!$B$10*SCENARIU!$B$5+SUMIFS('SIMULARE PE PRODUS'!$J$6:$J$243,'SIMULARE PE PRODUS'!$C$6:$C$243,$A29,'SIMULARE PE PRODUS'!$D$6:$D$243,0))/$F29,"")</f>
        <v>0.6109284654700603</v>
      </c>
      <c r="M29" s="28">
        <f>IFERROR((SUMIFS('SIMULARE PE PRODUS'!$K$6:$K$243,'SIMULARE PE PRODUS'!$C$6:$C$243,$A29,'SIMULARE PE PRODUS'!$D$6:$D$243,"&gt;0")*SCENARIU!$B$10*SCENARIU!$B$5+SUMIFS('SIMULARE PE PRODUS'!$K$6:$K$243,'SIMULARE PE PRODUS'!$C$6:$C$243,$A29,'SIMULARE PE PRODUS'!$D$6:$D$243,0))/$G29,"")</f>
        <v>0.65121122627544969</v>
      </c>
      <c r="N29" s="27">
        <f t="shared" si="5"/>
        <v>79286.947040543571</v>
      </c>
    </row>
    <row r="30" spans="1:14" x14ac:dyDescent="0.2">
      <c r="A30" s="26" t="s">
        <v>110</v>
      </c>
      <c r="B30" s="27">
        <f>SUMIFS('SIMULARE PE PRODUS'!$F$6:$F$243,'SIMULARE PE PRODUS'!$C$6:$C$243,$A30,'SIMULARE PE PRODUS'!$D$6:$D$243,"&gt;0")*SCENARIU!$B$10*SCENARIU!$B$5+SUMIFS('SIMULARE PE PRODUS'!$F$6:$F$243,'SIMULARE PE PRODUS'!$C$6:$C$243,$A30,'SIMULARE PE PRODUS'!$D$6:$D$243,0)</f>
        <v>924.38169142857146</v>
      </c>
      <c r="C30" s="27">
        <f>SUMIFS('SIMULARE PE PRODUS'!$G$6:$G$243,'SIMULARE PE PRODUS'!$C$6:$C$243,$A30,'SIMULARE PE PRODUS'!$D$6:$D$243,"&gt;0")*SCENARIU!$B$10*SCENARIU!$B$5+SUMIFS('SIMULARE PE PRODUS'!$G$6:$G$243,'SIMULARE PE PRODUS'!$C$6:$C$243,$A30,'SIMULARE PE PRODUS'!$D$6:$D$243,0)</f>
        <v>0</v>
      </c>
      <c r="D30" s="27">
        <f t="shared" si="0"/>
        <v>924.38169142857146</v>
      </c>
      <c r="E30" s="28">
        <f t="shared" si="1"/>
        <v>5.0529702185984568E-4</v>
      </c>
      <c r="F30" s="27">
        <f>SUMIFS('SIMULARE PE PRODUS'!R$6:R$243,'SIMULARE PE PRODUS'!$C$6:$C$243,$A30,'SIMULARE PE PRODUS'!$D$6:$D$243,"&gt;0")*SCENARIU!$B$10*SCENARIU!$B$5+SUMIFS('SIMULARE PE PRODUS'!R$6:R$243,'SIMULARE PE PRODUS'!$C$6:$C$243,$A30,'SIMULARE PE PRODUS'!$D$6:$D$243,0)</f>
        <v>26017.084828828829</v>
      </c>
      <c r="G30" s="27">
        <f>SUMIFS('SIMULARE PE PRODUS'!S$6:S$243,'SIMULARE PE PRODUS'!$C$6:$C$243,$A30,'SIMULARE PE PRODUS'!$D$6:$D$243,"&gt;0")*SCENARIU!$B$10*SCENARIU!$B$5+SUMIFS('SIMULARE PE PRODUS'!S$6:S$243,'SIMULARE PE PRODUS'!$C$6:$C$243,$A30,'SIMULARE PE PRODUS'!$D$6:$D$243,0)</f>
        <v>0</v>
      </c>
      <c r="H30" s="27">
        <f t="shared" si="2"/>
        <v>26017.084828828829</v>
      </c>
      <c r="I30" s="28">
        <f t="shared" si="3"/>
        <v>1.3125818718149975E-3</v>
      </c>
      <c r="J30" s="27">
        <f>SUMIFS('SIMULARE PE PRODUS'!$L$6:$L$243,'SIMULARE PE PRODUS'!$C$6:$C$243,$A30,'SIMULARE PE PRODUS'!$D$6:$D$243,"&gt;0")*SCENARIU!$B$10*SCENARIU!$B$5+SUMIFS('SIMULARE PE PRODUS'!$L$6:$L$243,'SIMULARE PE PRODUS'!$C$6:$C$243,$A30,'SIMULARE PE PRODUS'!$D$6:$D$243,0)</f>
        <v>14321.923561910857</v>
      </c>
      <c r="K30" s="28">
        <f t="shared" si="4"/>
        <v>0.55048148768924032</v>
      </c>
      <c r="L30" s="28">
        <f>IFERROR((SUMIFS('SIMULARE PE PRODUS'!$J$6:$J$243,'SIMULARE PE PRODUS'!$C$6:$C$243,$A30,'SIMULARE PE PRODUS'!$D$6:$D$243,"&gt;0")*SCENARIU!$B$10*SCENARIU!$B$5+SUMIFS('SIMULARE PE PRODUS'!$J$6:$J$243,'SIMULARE PE PRODUS'!$C$6:$C$243,$A30,'SIMULARE PE PRODUS'!$D$6:$D$243,0))/$F30,"")</f>
        <v>0.55048148768924032</v>
      </c>
      <c r="M30" s="28" t="str">
        <f>IFERROR((SUMIFS('SIMULARE PE PRODUS'!$K$6:$K$243,'SIMULARE PE PRODUS'!$C$6:$C$243,$A30,'SIMULARE PE PRODUS'!$D$6:$D$243,"&gt;0")*SCENARIU!$B$10*SCENARIU!$B$5+SUMIFS('SIMULARE PE PRODUS'!$K$6:$K$243,'SIMULARE PE PRODUS'!$C$6:$C$243,$A30,'SIMULARE PE PRODUS'!$D$6:$D$243,0))/$G30,"")</f>
        <v/>
      </c>
      <c r="N30" s="27">
        <f t="shared" si="5"/>
        <v>11695.161266917972</v>
      </c>
    </row>
    <row r="31" spans="1:14" x14ac:dyDescent="0.2">
      <c r="A31" s="26" t="s">
        <v>111</v>
      </c>
      <c r="B31" s="27">
        <f>SUMIFS('SIMULARE PE PRODUS'!$F$6:$F$243,'SIMULARE PE PRODUS'!$C$6:$C$243,$A31,'SIMULARE PE PRODUS'!$D$6:$D$243,"&gt;0")*SCENARIU!$B$10*SCENARIU!$B$5+SUMIFS('SIMULARE PE PRODUS'!$F$6:$F$243,'SIMULARE PE PRODUS'!$C$6:$C$243,$A31,'SIMULARE PE PRODUS'!$D$6:$D$243,0)</f>
        <v>264.02328</v>
      </c>
      <c r="C31" s="27">
        <f>SUMIFS('SIMULARE PE PRODUS'!$G$6:$G$243,'SIMULARE PE PRODUS'!$C$6:$C$243,$A31,'SIMULARE PE PRODUS'!$D$6:$D$243,"&gt;0")*SCENARIU!$B$10*SCENARIU!$B$5+SUMIFS('SIMULARE PE PRODUS'!$G$6:$G$243,'SIMULARE PE PRODUS'!$C$6:$C$243,$A31,'SIMULARE PE PRODUS'!$D$6:$D$243,0)</f>
        <v>0</v>
      </c>
      <c r="D31" s="27">
        <f t="shared" si="0"/>
        <v>264.02328</v>
      </c>
      <c r="E31" s="28">
        <f t="shared" si="1"/>
        <v>1.4432369044381594E-4</v>
      </c>
      <c r="F31" s="27">
        <f>SUMIFS('SIMULARE PE PRODUS'!R$6:R$243,'SIMULARE PE PRODUS'!$C$6:$C$243,$A31,'SIMULARE PE PRODUS'!$D$6:$D$243,"&gt;0")*SCENARIU!$B$10*SCENARIU!$B$5+SUMIFS('SIMULARE PE PRODUS'!R$6:R$243,'SIMULARE PE PRODUS'!$C$6:$C$243,$A31,'SIMULARE PE PRODUS'!$D$6:$D$243,0)</f>
        <v>9797.9201992916187</v>
      </c>
      <c r="G31" s="27">
        <f>SUMIFS('SIMULARE PE PRODUS'!S$6:S$243,'SIMULARE PE PRODUS'!$C$6:$C$243,$A31,'SIMULARE PE PRODUS'!$D$6:$D$243,"&gt;0")*SCENARIU!$B$10*SCENARIU!$B$5+SUMIFS('SIMULARE PE PRODUS'!S$6:S$243,'SIMULARE PE PRODUS'!$C$6:$C$243,$A31,'SIMULARE PE PRODUS'!$D$6:$D$243,0)</f>
        <v>0</v>
      </c>
      <c r="H31" s="27">
        <f t="shared" si="2"/>
        <v>9797.9201992916187</v>
      </c>
      <c r="I31" s="28">
        <f t="shared" si="3"/>
        <v>4.9431258419966066E-4</v>
      </c>
      <c r="J31" s="27">
        <f>SUMIFS('SIMULARE PE PRODUS'!$L$6:$L$243,'SIMULARE PE PRODUS'!$C$6:$C$243,$A31,'SIMULARE PE PRODUS'!$D$6:$D$243,"&gt;0")*SCENARIU!$B$10*SCENARIU!$B$5+SUMIFS('SIMULARE PE PRODUS'!$L$6:$L$243,'SIMULARE PE PRODUS'!$C$6:$C$243,$A31,'SIMULARE PE PRODUS'!$D$6:$D$243,0)</f>
        <v>6460.6119439885715</v>
      </c>
      <c r="K31" s="28">
        <f t="shared" si="4"/>
        <v>0.65938605465021738</v>
      </c>
      <c r="L31" s="28">
        <f>IFERROR((SUMIFS('SIMULARE PE PRODUS'!$J$6:$J$243,'SIMULARE PE PRODUS'!$C$6:$C$243,$A31,'SIMULARE PE PRODUS'!$D$6:$D$243,"&gt;0")*SCENARIU!$B$10*SCENARIU!$B$5+SUMIFS('SIMULARE PE PRODUS'!$J$6:$J$243,'SIMULARE PE PRODUS'!$C$6:$C$243,$A31,'SIMULARE PE PRODUS'!$D$6:$D$243,0))/$F31,"")</f>
        <v>0.65938605465021738</v>
      </c>
      <c r="M31" s="28" t="str">
        <f>IFERROR((SUMIFS('SIMULARE PE PRODUS'!$K$6:$K$243,'SIMULARE PE PRODUS'!$C$6:$C$243,$A31,'SIMULARE PE PRODUS'!$D$6:$D$243,"&gt;0")*SCENARIU!$B$10*SCENARIU!$B$5+SUMIFS('SIMULARE PE PRODUS'!$K$6:$K$243,'SIMULARE PE PRODUS'!$C$6:$C$243,$A31,'SIMULARE PE PRODUS'!$D$6:$D$243,0))/$G31,"")</f>
        <v/>
      </c>
      <c r="N31" s="27">
        <f t="shared" si="5"/>
        <v>3337.3082553030472</v>
      </c>
    </row>
    <row r="32" spans="1:14" x14ac:dyDescent="0.2">
      <c r="A32" s="26" t="s">
        <v>112</v>
      </c>
      <c r="B32" s="27">
        <f>SUMIFS('SIMULARE PE PRODUS'!$F$6:$F$243,'SIMULARE PE PRODUS'!$C$6:$C$243,$A32,'SIMULARE PE PRODUS'!$D$6:$D$243,"&gt;0")*SCENARIU!$B$10*SCENARIU!$B$5+SUMIFS('SIMULARE PE PRODUS'!$F$6:$F$243,'SIMULARE PE PRODUS'!$C$6:$C$243,$A32,'SIMULARE PE PRODUS'!$D$6:$D$243,0)</f>
        <v>60708.591017142862</v>
      </c>
      <c r="C32" s="27">
        <f>SUMIFS('SIMULARE PE PRODUS'!$G$6:$G$243,'SIMULARE PE PRODUS'!$C$6:$C$243,$A32,'SIMULARE PE PRODUS'!$D$6:$D$243,"&gt;0")*SCENARIU!$B$10*SCENARIU!$B$5+SUMIFS('SIMULARE PE PRODUS'!$G$6:$G$243,'SIMULARE PE PRODUS'!$C$6:$C$243,$A32,'SIMULARE PE PRODUS'!$D$6:$D$243,0)</f>
        <v>285790.53263999999</v>
      </c>
      <c r="D32" s="27">
        <f t="shared" si="0"/>
        <v>346499.12365714286</v>
      </c>
      <c r="E32" s="28">
        <f t="shared" si="1"/>
        <v>0.18940766231578893</v>
      </c>
      <c r="F32" s="27">
        <f>SUMIFS('SIMULARE PE PRODUS'!R$6:R$243,'SIMULARE PE PRODUS'!$C$6:$C$243,$A32,'SIMULARE PE PRODUS'!$D$6:$D$243,"&gt;0")*SCENARIU!$B$10*SCENARIU!$B$5+SUMIFS('SIMULARE PE PRODUS'!R$6:R$243,'SIMULARE PE PRODUS'!$C$6:$C$243,$A32,'SIMULARE PE PRODUS'!$D$6:$D$243,0)</f>
        <v>74416.771837837834</v>
      </c>
      <c r="G32" s="27">
        <f>SUMIFS('SIMULARE PE PRODUS'!S$6:S$243,'SIMULARE PE PRODUS'!$C$6:$C$243,$A32,'SIMULARE PE PRODUS'!$D$6:$D$243,"&gt;0")*SCENARIU!$B$10*SCENARIU!$B$5+SUMIFS('SIMULARE PE PRODUS'!S$6:S$243,'SIMULARE PE PRODUS'!$C$6:$C$243,$A32,'SIMULARE PE PRODUS'!$D$6:$D$243,0)</f>
        <v>195036.6737915058</v>
      </c>
      <c r="H32" s="27">
        <f t="shared" si="2"/>
        <v>269453.44562934362</v>
      </c>
      <c r="I32" s="28">
        <f t="shared" si="3"/>
        <v>1.3594132869154563E-2</v>
      </c>
      <c r="J32" s="27">
        <f>SUMIFS('SIMULARE PE PRODUS'!$L$6:$L$243,'SIMULARE PE PRODUS'!$C$6:$C$243,$A32,'SIMULARE PE PRODUS'!$D$6:$D$243,"&gt;0")*SCENARIU!$B$10*SCENARIU!$B$5+SUMIFS('SIMULARE PE PRODUS'!$L$6:$L$243,'SIMULARE PE PRODUS'!$C$6:$C$243,$A32,'SIMULARE PE PRODUS'!$D$6:$D$243,0)</f>
        <v>203177.19571666291</v>
      </c>
      <c r="K32" s="28">
        <f t="shared" si="4"/>
        <v>0.7540345058201654</v>
      </c>
      <c r="L32" s="28">
        <f>IFERROR((SUMIFS('SIMULARE PE PRODUS'!$J$6:$J$243,'SIMULARE PE PRODUS'!$C$6:$C$243,$A32,'SIMULARE PE PRODUS'!$D$6:$D$243,"&gt;0")*SCENARIU!$B$10*SCENARIU!$B$5+SUMIFS('SIMULARE PE PRODUS'!$J$6:$J$243,'SIMULARE PE PRODUS'!$C$6:$C$243,$A32,'SIMULARE PE PRODUS'!$D$6:$D$243,0))/$F32,"")</f>
        <v>0.6933529589934172</v>
      </c>
      <c r="M32" s="28">
        <f>IFERROR((SUMIFS('SIMULARE PE PRODUS'!$K$6:$K$243,'SIMULARE PE PRODUS'!$C$6:$C$243,$A32,'SIMULARE PE PRODUS'!$D$6:$D$243,"&gt;0")*SCENARIU!$B$10*SCENARIU!$B$5+SUMIFS('SIMULARE PE PRODUS'!$K$6:$K$243,'SIMULARE PE PRODUS'!$C$6:$C$243,$A32,'SIMULARE PE PRODUS'!$D$6:$D$243,0))/$G32,"")</f>
        <v>0.77718771458438185</v>
      </c>
      <c r="N32" s="27">
        <f t="shared" si="5"/>
        <v>66276.249912680709</v>
      </c>
    </row>
    <row r="33" spans="1:14" x14ac:dyDescent="0.2">
      <c r="A33" s="26" t="s">
        <v>113</v>
      </c>
      <c r="B33" s="27">
        <f>SUMIFS('SIMULARE PE PRODUS'!$F$6:$F$243,'SIMULARE PE PRODUS'!$C$6:$C$243,$A33,'SIMULARE PE PRODUS'!$D$6:$D$243,"&gt;0")*SCENARIU!$B$10*SCENARIU!$B$5+SUMIFS('SIMULARE PE PRODUS'!$F$6:$F$243,'SIMULARE PE PRODUS'!$C$6:$C$243,$A33,'SIMULARE PE PRODUS'!$D$6:$D$243,0)</f>
        <v>0</v>
      </c>
      <c r="C33" s="27">
        <f>SUMIFS('SIMULARE PE PRODUS'!$G$6:$G$243,'SIMULARE PE PRODUS'!$C$6:$C$243,$A33,'SIMULARE PE PRODUS'!$D$6:$D$243,"&gt;0")*SCENARIU!$B$10*SCENARIU!$B$5+SUMIFS('SIMULARE PE PRODUS'!$G$6:$G$243,'SIMULARE PE PRODUS'!$C$6:$C$243,$A33,'SIMULARE PE PRODUS'!$D$6:$D$243,0)</f>
        <v>25664.739154285719</v>
      </c>
      <c r="D33" s="27">
        <f t="shared" si="0"/>
        <v>25664.739154285719</v>
      </c>
      <c r="E33" s="28">
        <f t="shared" si="1"/>
        <v>1.4029179052030619E-2</v>
      </c>
      <c r="F33" s="27">
        <f>SUMIFS('SIMULARE PE PRODUS'!R$6:R$243,'SIMULARE PE PRODUS'!$C$6:$C$243,$A33,'SIMULARE PE PRODUS'!$D$6:$D$243,"&gt;0")*SCENARIU!$B$10*SCENARIU!$B$5+SUMIFS('SIMULARE PE PRODUS'!R$6:R$243,'SIMULARE PE PRODUS'!$C$6:$C$243,$A33,'SIMULARE PE PRODUS'!$D$6:$D$243,0)</f>
        <v>0</v>
      </c>
      <c r="G33" s="27">
        <f>SUMIFS('SIMULARE PE PRODUS'!S$6:S$243,'SIMULARE PE PRODUS'!$C$6:$C$243,$A33,'SIMULARE PE PRODUS'!$D$6:$D$243,"&gt;0")*SCENARIU!$B$10*SCENARIU!$B$5+SUMIFS('SIMULARE PE PRODUS'!S$6:S$243,'SIMULARE PE PRODUS'!$C$6:$C$243,$A33,'SIMULARE PE PRODUS'!$D$6:$D$243,0)</f>
        <v>10605.264113341205</v>
      </c>
      <c r="H33" s="27">
        <f t="shared" si="2"/>
        <v>10605.264113341205</v>
      </c>
      <c r="I33" s="28">
        <f t="shared" si="3"/>
        <v>5.3504370349583268E-4</v>
      </c>
      <c r="J33" s="27">
        <f>SUMIFS('SIMULARE PE PRODUS'!$L$6:$L$243,'SIMULARE PE PRODUS'!$C$6:$C$243,$A33,'SIMULARE PE PRODUS'!$D$6:$D$243,"&gt;0")*SCENARIU!$B$10*SCENARIU!$B$5+SUMIFS('SIMULARE PE PRODUS'!$L$6:$L$243,'SIMULARE PE PRODUS'!$C$6:$C$243,$A33,'SIMULARE PE PRODUS'!$D$6:$D$243,0)</f>
        <v>12832.369577142859</v>
      </c>
      <c r="K33" s="28">
        <f t="shared" si="4"/>
        <v>1.2100000000000002</v>
      </c>
      <c r="L33" s="28" t="str">
        <f>IFERROR((SUMIFS('SIMULARE PE PRODUS'!$J$6:$J$243,'SIMULARE PE PRODUS'!$C$6:$C$243,$A33,'SIMULARE PE PRODUS'!$D$6:$D$243,"&gt;0")*SCENARIU!$B$10*SCENARIU!$B$5+SUMIFS('SIMULARE PE PRODUS'!$J$6:$J$243,'SIMULARE PE PRODUS'!$C$6:$C$243,$A33,'SIMULARE PE PRODUS'!$D$6:$D$243,0))/$F33,"")</f>
        <v/>
      </c>
      <c r="M33" s="28">
        <f>IFERROR((SUMIFS('SIMULARE PE PRODUS'!$K$6:$K$243,'SIMULARE PE PRODUS'!$C$6:$C$243,$A33,'SIMULARE PE PRODUS'!$D$6:$D$243,"&gt;0")*SCENARIU!$B$10*SCENARIU!$B$5+SUMIFS('SIMULARE PE PRODUS'!$K$6:$K$243,'SIMULARE PE PRODUS'!$C$6:$C$243,$A33,'SIMULARE PE PRODUS'!$D$6:$D$243,0))/$G33,"")</f>
        <v>1.2100000000000002</v>
      </c>
      <c r="N33" s="27">
        <f t="shared" si="5"/>
        <v>-2227.105463801654</v>
      </c>
    </row>
    <row r="34" spans="1:14" x14ac:dyDescent="0.2">
      <c r="A34" s="14" t="s">
        <v>74</v>
      </c>
      <c r="B34" s="29">
        <f>SUM(B14:B33)</f>
        <v>1127733.8322742858</v>
      </c>
      <c r="C34" s="29">
        <f>SUM(C14:C33)</f>
        <v>701648.9889942857</v>
      </c>
      <c r="D34" s="29">
        <f>SUM(D14:D33)</f>
        <v>1829382.8212685715</v>
      </c>
      <c r="E34" s="30">
        <f>D34/D34</f>
        <v>1</v>
      </c>
      <c r="F34" s="29">
        <f>SUM(F14:F33)</f>
        <v>13370916.475146009</v>
      </c>
      <c r="G34" s="29">
        <f>SUM(G14:G33)</f>
        <v>6450387.9230727646</v>
      </c>
      <c r="H34" s="29">
        <f>SUM(H14:H33)</f>
        <v>19821304.398218766</v>
      </c>
      <c r="I34" s="30">
        <f>H34/H34</f>
        <v>1</v>
      </c>
      <c r="J34" s="29">
        <f>SUM(J14:J33)</f>
        <v>9076560.7939938586</v>
      </c>
      <c r="K34" s="31">
        <f t="shared" si="4"/>
        <v>0.45791944927749156</v>
      </c>
      <c r="L34" s="31">
        <f>IFERROR((SUMPRODUCT(ISNUMBER('SIMULARE PE PRODUS'!$A$6:$A$243)*('SIMULARE PE PRODUS'!$D$6:$D$243&gt;0)*'SIMULARE PE PRODUS'!$J$6:$J$243)*SCENARIU!$B$10*SCENARIU!$B$5+SUMPRODUCT(ISNUMBER('SIMULARE PE PRODUS'!$A$6:$A$243)*('SIMULARE PE PRODUS'!$D$6:$D$243=0)*'SIMULARE PE PRODUS'!$J$6:$J$243))/$F34,"")</f>
        <v>0.46786243992907323</v>
      </c>
      <c r="M34" s="31">
        <f>IFERROR((SUMPRODUCT(ISNUMBER('SIMULARE PE PRODUS'!$A$6:$A$243)*('SIMULARE PE PRODUS'!$D$6:$D$243&gt;0)*'SIMULARE PE PRODUS'!$K$6:$K$243)*SCENARIU!$B$10*SCENARIU!$B$5+SUMPRODUCT(ISNUMBER('SIMULARE PE PRODUS'!$A$6:$A$243)*('SIMULARE PE PRODUS'!$D$6:$D$243=0)*'SIMULARE PE PRODUS'!$K$6:$K$243))/$G34,"")</f>
        <v>0.43730876677266012</v>
      </c>
      <c r="N34" s="29">
        <f>SUM(N14:N33)</f>
        <v>10744743.604224913</v>
      </c>
    </row>
  </sheetData>
  <mergeCells count="2">
    <mergeCell ref="A1:N1"/>
    <mergeCell ref="A2:N2"/>
  </mergeCells>
  <conditionalFormatting sqref="K14:M34">
    <cfRule type="cellIs" dxfId="56" priority="2" operator="greaterThan">
      <formula>0.55</formula>
    </cfRule>
    <cfRule type="cellIs" dxfId="55" priority="3" operator="between">
      <formula>0.45</formula>
      <formula>0.55</formula>
    </cfRule>
    <cfRule type="cellIs" dxfId="54" priority="4" operator="lessThan">
      <formula>0.45</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7"/>
  <sheetViews>
    <sheetView zoomScale="140" zoomScaleNormal="100" workbookViewId="0">
      <pane xSplit="1" ySplit="6" topLeftCell="B7" activePane="bottomRight" state="frozen"/>
      <selection pane="topRight" activeCell="B1" sqref="B1"/>
      <selection pane="bottomLeft" activeCell="A7" sqref="A7"/>
      <selection pane="bottomRight" sqref="A1:N1"/>
    </sheetView>
  </sheetViews>
  <sheetFormatPr baseColWidth="10" defaultColWidth="8.6640625" defaultRowHeight="15" x14ac:dyDescent="0.2"/>
  <cols>
    <col min="1" max="1" width="26" customWidth="1"/>
    <col min="2" max="2" width="12" customWidth="1"/>
    <col min="3" max="3" width="14" customWidth="1"/>
    <col min="4" max="4" width="18.5" customWidth="1"/>
    <col min="5" max="5" width="14" customWidth="1"/>
    <col min="6" max="6" width="9" customWidth="1"/>
    <col min="7" max="7" width="14" customWidth="1"/>
    <col min="8" max="8" width="9" customWidth="1"/>
    <col min="9" max="9" width="20.1640625" customWidth="1"/>
    <col min="10" max="10" width="9" customWidth="1"/>
    <col min="11" max="11" width="14" customWidth="1"/>
    <col min="12" max="12" width="9" customWidth="1"/>
    <col min="13" max="14" width="13" customWidth="1"/>
    <col min="15" max="17" width="16" customWidth="1"/>
  </cols>
  <sheetData>
    <row r="1" spans="1:17" ht="19" x14ac:dyDescent="0.2">
      <c r="A1" s="107" t="s">
        <v>116</v>
      </c>
      <c r="B1" s="107"/>
      <c r="C1" s="107"/>
      <c r="D1" s="107"/>
      <c r="E1" s="107"/>
      <c r="F1" s="107"/>
      <c r="G1" s="107"/>
      <c r="H1" s="107"/>
      <c r="I1" s="107"/>
      <c r="J1" s="107"/>
      <c r="K1" s="107"/>
      <c r="L1" s="107"/>
      <c r="M1" s="107"/>
      <c r="N1" s="107"/>
    </row>
    <row r="2" spans="1:17" ht="25.5" customHeight="1" x14ac:dyDescent="0.2">
      <c r="A2" s="108" t="s">
        <v>117</v>
      </c>
      <c r="B2" s="108"/>
      <c r="C2" s="108"/>
      <c r="D2" s="108"/>
      <c r="E2" s="108"/>
      <c r="F2" s="108"/>
      <c r="G2" s="108"/>
      <c r="H2" s="108"/>
      <c r="I2" s="108"/>
      <c r="J2" s="108"/>
      <c r="K2" s="108"/>
      <c r="L2" s="108"/>
      <c r="M2" s="108"/>
      <c r="N2" s="108"/>
    </row>
    <row r="4" spans="1:17" ht="30" x14ac:dyDescent="0.3">
      <c r="A4" s="14" t="s">
        <v>118</v>
      </c>
      <c r="B4" s="15"/>
      <c r="C4" s="15"/>
      <c r="D4" s="32">
        <f>$D$27</f>
        <v>0.45791944927749206</v>
      </c>
      <c r="E4" s="15"/>
      <c r="F4" s="15"/>
      <c r="G4" s="14" t="s">
        <v>119</v>
      </c>
      <c r="H4" s="15"/>
      <c r="I4" s="32">
        <f>$L$27</f>
        <v>0.42329053676725076</v>
      </c>
      <c r="J4" s="15"/>
      <c r="K4" s="15"/>
      <c r="L4" s="14" t="s">
        <v>120</v>
      </c>
      <c r="M4" s="33">
        <f>$L$27-$D$27</f>
        <v>-3.4628912510241305E-2</v>
      </c>
      <c r="N4" s="15"/>
      <c r="O4" s="113" t="s">
        <v>121</v>
      </c>
      <c r="P4" s="113"/>
      <c r="Q4" s="113"/>
    </row>
    <row r="5" spans="1:17" x14ac:dyDescent="0.2">
      <c r="A5" s="15"/>
      <c r="B5" s="15"/>
      <c r="C5" s="15"/>
      <c r="D5" s="15"/>
      <c r="E5" s="15"/>
      <c r="F5" s="15"/>
      <c r="G5" s="15"/>
      <c r="H5" s="15"/>
      <c r="I5" s="15"/>
      <c r="J5" s="15"/>
      <c r="K5" s="15"/>
      <c r="L5" s="15"/>
      <c r="M5" s="15"/>
      <c r="N5" s="15"/>
    </row>
    <row r="6" spans="1:17" ht="31.5" customHeight="1" x14ac:dyDescent="0.2">
      <c r="A6" s="25" t="s">
        <v>84</v>
      </c>
      <c r="B6" s="25" t="s">
        <v>122</v>
      </c>
      <c r="C6" s="25" t="s">
        <v>123</v>
      </c>
      <c r="D6" s="25" t="s">
        <v>124</v>
      </c>
      <c r="E6" s="25" t="s">
        <v>125</v>
      </c>
      <c r="F6" s="25" t="s">
        <v>126</v>
      </c>
      <c r="G6" s="25" t="s">
        <v>127</v>
      </c>
      <c r="H6" s="25" t="s">
        <v>128</v>
      </c>
      <c r="I6" s="25" t="s">
        <v>129</v>
      </c>
      <c r="J6" s="25" t="s">
        <v>130</v>
      </c>
      <c r="K6" s="25" t="s">
        <v>131</v>
      </c>
      <c r="L6" s="25" t="s">
        <v>132</v>
      </c>
      <c r="M6" s="25" t="s">
        <v>133</v>
      </c>
      <c r="N6" s="25" t="s">
        <v>82</v>
      </c>
      <c r="O6" s="34" t="s">
        <v>134</v>
      </c>
      <c r="P6" s="34" t="s">
        <v>135</v>
      </c>
      <c r="Q6" s="34" t="s">
        <v>136</v>
      </c>
    </row>
    <row r="7" spans="1:17" x14ac:dyDescent="0.2">
      <c r="A7" s="26" t="s">
        <v>94</v>
      </c>
      <c r="B7" s="27">
        <f>SUMIFS('SIMULARE PE PRODUS'!$F$6:$F$243,'SIMULARE PE PRODUS'!$C$6:$C$243,$A7,'SIMULARE PE PRODUS'!$D$6:$D$243,"&gt;0")*SCENARIU!$B$10*SCENARIU!$B$5+SUMIFS('SIMULARE PE PRODUS'!$G$6:$G$243,'SIMULARE PE PRODUS'!$C$6:$C$243,$A7,'SIMULARE PE PRODUS'!$D$6:$D$243,"&gt;0")*SCENARIU!$B$10*SCENARIU!$B$5+SUMIFS('SIMULARE PE PRODUS'!$F$6:$F$243,'SIMULARE PE PRODUS'!$C$6:$C$243,$A7,'SIMULARE PE PRODUS'!$D$6:$D$243,0)+SUMIFS('SIMULARE PE PRODUS'!$G$6:$G$243,'SIMULARE PE PRODUS'!$C$6:$C$243,$A7,'SIMULARE PE PRODUS'!$D$6:$D$243,0)</f>
        <v>237880.78443428571</v>
      </c>
      <c r="C7" s="27">
        <f>SUMIFS('SIMULARE PE PRODUS'!T$6:T$243,'SIMULARE PE PRODUS'!$C$6:$C$243,$A7,'SIMULARE PE PRODUS'!$D$6:$D$243,"&gt;0")*SCENARIU!$B$10*SCENARIU!$B$5*SCENARIU!$B$14+SUMIFS('SIMULARE PE PRODUS'!T$6:T$243,'SIMULARE PE PRODUS'!$C$6:$C$243,$A7,'SIMULARE PE PRODUS'!$D$6:$D$243,0)</f>
        <v>3300094.2567836293</v>
      </c>
      <c r="D7" s="28">
        <f>IFERROR((SUMIFS('SIMULARE PE PRODUS'!$L$6:$L$243,'SIMULARE PE PRODUS'!$C$6:$C$243,$A7,'SIMULARE PE PRODUS'!$D$6:$D$243,"&gt;0")*SCENARIU!$B$10*SCENARIU!$B$5*SCENARIU!$B$14+SUMIFS('SIMULARE PE PRODUS'!$L$6:$L$243,'SIMULARE PE PRODUS'!$C$6:$C$243,$A7,'SIMULARE PE PRODUS'!$D$6:$D$243,0))/C7,"")</f>
        <v>0.70073135714770185</v>
      </c>
      <c r="E7" s="27">
        <f>SUMIFS('SIMULARE PE PRODUS'!AB$6:AB$243,'SIMULARE PE PRODUS'!$C$6:$C$243,$A7,'SIMULARE PE PRODUS'!$D$6:$D$243,"&gt;0")*SCENARIU!$C$10*SCENARIU!$B$5*SCENARIU!$C$14</f>
        <v>3009000.9108504541</v>
      </c>
      <c r="F7" s="28">
        <f>IFERROR((SUMIFS('SIMULARE PE PRODUS'!$L$6:$L$243,'SIMULARE PE PRODUS'!$C$6:$C$243,$A7,'SIMULARE PE PRODUS'!$D$6:$D$243,"&gt;0")*SCENARIU!$C$10*SCENARIU!$B$5*SCENARIU!$C$14)/E7,"")</f>
        <v>0.67700972941499526</v>
      </c>
      <c r="G7" s="27">
        <f>SUMIFS('SIMULARE PE PRODUS'!AJ$6:AJ$243,'SIMULARE PE PRODUS'!$C$6:$C$243,$A7,'SIMULARE PE PRODUS'!$D$6:$D$243,"&gt;0")*SCENARIU!$D$10*SCENARIU!$B$5*SCENARIU!$D$14</f>
        <v>3272504.3148305602</v>
      </c>
      <c r="H7" s="28">
        <f>IFERROR((SUMIFS('SIMULARE PE PRODUS'!$L$6:$L$243,'SIMULARE PE PRODUS'!$C$6:$C$243,$A7,'SIMULARE PE PRODUS'!$D$6:$D$243,"&gt;0")*SCENARIU!$D$10*SCENARIU!$B$5*SCENARIU!$D$14)/G7,"")</f>
        <v>0.67700972941499538</v>
      </c>
      <c r="I7" s="27">
        <f>SUMIFS('SIMULARE PE PRODUS'!AR$6:AR$243,'SIMULARE PE PRODUS'!$C$6:$C$243,$A7,'SIMULARE PE PRODUS'!$D$6:$D$243,"&gt;0")*SCENARIU!$E$10*SCENARIU!$B$5*SCENARIU!$E$14</f>
        <v>3110877.6842659707</v>
      </c>
      <c r="J7" s="28">
        <f>IFERROR((SUMIFS('SIMULARE PE PRODUS'!$L$6:$L$243,'SIMULARE PE PRODUS'!$C$6:$C$243,$A7,'SIMULARE PE PRODUS'!$D$6:$D$243,"&gt;0")*SCENARIU!$E$10*SCENARIU!$B$5*SCENARIU!$E$14)/I7,"")</f>
        <v>0.67700972941499538</v>
      </c>
      <c r="K7" s="27">
        <f>SUMIFS('SIMULARE PE PRODUS'!AZ$6:AZ$243,'SIMULARE PE PRODUS'!$C$6:$C$243,$A7,'SIMULARE PE PRODUS'!$D$6:$D$243,"&gt;0")*SCENARIU!$F$10*SCENARIU!$B$5*SCENARIU!$F$14</f>
        <v>4012841.2387327929</v>
      </c>
      <c r="L7" s="28">
        <f>IFERROR((SUMIFS('SIMULARE PE PRODUS'!$L$6:$L$243,'SIMULARE PE PRODUS'!$C$6:$C$243,$A7,'SIMULARE PE PRODUS'!$D$6:$D$243,"&gt;0")*SCENARIU!$F$10*SCENARIU!$B$5*SCENARIU!$F$14)/K7,"")</f>
        <v>0.65641749155170726</v>
      </c>
      <c r="M7" s="35">
        <f t="shared" ref="M7:M27" si="0">IFERROR(L7-D7,"")</f>
        <v>-4.4313865595994595E-2</v>
      </c>
      <c r="N7" s="28">
        <f t="shared" ref="N7:N26" si="1">IFERROR($C7/$C$27,"")</f>
        <v>0.16649228479030828</v>
      </c>
      <c r="O7" s="36">
        <f t="shared" ref="O7:O27" si="2">K7-C7</f>
        <v>712746.9819491636</v>
      </c>
      <c r="P7" s="36">
        <f t="shared" ref="P7:P27" si="3">(E7-C7)+(G7-C7)+(I7-C7)+(K7-C7)</f>
        <v>204847.12154526077</v>
      </c>
      <c r="Q7" s="37">
        <f t="shared" ref="Q7:Q27" si="4">IFERROR(K7/C7-1,"")</f>
        <v>0.21597776502415056</v>
      </c>
    </row>
    <row r="8" spans="1:17" x14ac:dyDescent="0.2">
      <c r="A8" s="26" t="s">
        <v>95</v>
      </c>
      <c r="B8" s="27">
        <f>SUMIFS('SIMULARE PE PRODUS'!$F$6:$F$243,'SIMULARE PE PRODUS'!$C$6:$C$243,$A8,'SIMULARE PE PRODUS'!$D$6:$D$243,"&gt;0")*SCENARIU!$B$10*SCENARIU!$B$5+SUMIFS('SIMULARE PE PRODUS'!$G$6:$G$243,'SIMULARE PE PRODUS'!$C$6:$C$243,$A8,'SIMULARE PE PRODUS'!$D$6:$D$243,"&gt;0")*SCENARIU!$B$10*SCENARIU!$B$5+SUMIFS('SIMULARE PE PRODUS'!$F$6:$F$243,'SIMULARE PE PRODUS'!$C$6:$C$243,$A8,'SIMULARE PE PRODUS'!$D$6:$D$243,0)+SUMIFS('SIMULARE PE PRODUS'!$G$6:$G$243,'SIMULARE PE PRODUS'!$C$6:$C$243,$A8,'SIMULARE PE PRODUS'!$D$6:$D$243,0)</f>
        <v>51865.906560000003</v>
      </c>
      <c r="C8" s="27">
        <f>SUMIFS('SIMULARE PE PRODUS'!T$6:T$243,'SIMULARE PE PRODUS'!$C$6:$C$243,$A8,'SIMULARE PE PRODUS'!$D$6:$D$243,"&gt;0")*SCENARIU!$B$10*SCENARIU!$B$5*SCENARIU!$B$14+SUMIFS('SIMULARE PE PRODUS'!T$6:T$243,'SIMULARE PE PRODUS'!$C$6:$C$243,$A8,'SIMULARE PE PRODUS'!$D$6:$D$243,0)</f>
        <v>421704.03877683397</v>
      </c>
      <c r="D8" s="28">
        <f>IFERROR((SUMIFS('SIMULARE PE PRODUS'!$L$6:$L$243,'SIMULARE PE PRODUS'!$C$6:$C$243,$A8,'SIMULARE PE PRODUS'!$D$6:$D$243,"&gt;0")*SCENARIU!$B$10*SCENARIU!$B$5*SCENARIU!$B$14+SUMIFS('SIMULARE PE PRODUS'!$L$6:$L$243,'SIMULARE PE PRODUS'!$C$6:$C$243,$A8,'SIMULARE PE PRODUS'!$D$6:$D$243,0))/C8,"")</f>
        <v>0.56580540767870724</v>
      </c>
      <c r="E8" s="27">
        <f>SUMIFS('SIMULARE PE PRODUS'!AB$6:AB$243,'SIMULARE PE PRODUS'!$C$6:$C$243,$A8,'SIMULARE PE PRODUS'!$D$6:$D$243,"&gt;0")*SCENARIU!$C$10*SCENARIU!$B$5*SCENARIU!$C$14</f>
        <v>391723.29535304045</v>
      </c>
      <c r="F8" s="28">
        <f>IFERROR((SUMIFS('SIMULARE PE PRODUS'!$L$6:$L$243,'SIMULARE PE PRODUS'!$C$6:$C$243,$A8,'SIMULARE PE PRODUS'!$D$6:$D$243,"&gt;0")*SCENARIU!$C$10*SCENARIU!$B$5*SCENARIU!$C$14)/E8,"")</f>
        <v>0.53658037872329145</v>
      </c>
      <c r="G8" s="27">
        <f>SUMIFS('SIMULARE PE PRODUS'!AJ$6:AJ$243,'SIMULARE PE PRODUS'!$C$6:$C$243,$A8,'SIMULARE PE PRODUS'!$D$6:$D$243,"&gt;0")*SCENARIU!$D$10*SCENARIU!$B$5*SCENARIU!$D$14</f>
        <v>426027.18053021608</v>
      </c>
      <c r="H8" s="28">
        <f>IFERROR((SUMIFS('SIMULARE PE PRODUS'!$L$6:$L$243,'SIMULARE PE PRODUS'!$C$6:$C$243,$A8,'SIMULARE PE PRODUS'!$D$6:$D$243,"&gt;0")*SCENARIU!$D$10*SCENARIU!$B$5*SCENARIU!$D$14)/G8,"")</f>
        <v>0.53658037872329134</v>
      </c>
      <c r="I8" s="27">
        <f>SUMIFS('SIMULARE PE PRODUS'!AR$6:AR$243,'SIMULARE PE PRODUS'!$C$6:$C$243,$A8,'SIMULARE PE PRODUS'!$D$6:$D$243,"&gt;0")*SCENARIU!$E$10*SCENARIU!$B$5*SCENARIU!$E$14</f>
        <v>404986.00499807741</v>
      </c>
      <c r="J8" s="28">
        <f>IFERROR((SUMIFS('SIMULARE PE PRODUS'!$L$6:$L$243,'SIMULARE PE PRODUS'!$C$6:$C$243,$A8,'SIMULARE PE PRODUS'!$D$6:$D$243,"&gt;0")*SCENARIU!$E$10*SCENARIU!$B$5*SCENARIU!$E$14)/I8,"")</f>
        <v>0.53658037872329145</v>
      </c>
      <c r="K8" s="27">
        <f>SUMIFS('SIMULARE PE PRODUS'!AZ$6:AZ$243,'SIMULARE PE PRODUS'!$C$6:$C$243,$A8,'SIMULARE PE PRODUS'!$D$6:$D$243,"&gt;0")*SCENARIU!$F$10*SCENARIU!$B$5*SCENARIU!$F$14</f>
        <v>533129.66160686815</v>
      </c>
      <c r="L8" s="28">
        <f>IFERROR((SUMIFS('SIMULARE PE PRODUS'!$L$6:$L$243,'SIMULARE PE PRODUS'!$C$6:$C$243,$A8,'SIMULARE PE PRODUS'!$D$6:$D$243,"&gt;0")*SCENARIU!$F$10*SCENARIU!$B$5*SCENARIU!$F$14)/K8,"")</f>
        <v>0.50979577859232139</v>
      </c>
      <c r="M8" s="35">
        <f t="shared" si="0"/>
        <v>-5.6009629086385848E-2</v>
      </c>
      <c r="N8" s="28">
        <f t="shared" si="1"/>
        <v>2.1275291994139911E-2</v>
      </c>
      <c r="O8" s="36">
        <f t="shared" si="2"/>
        <v>111425.62283003418</v>
      </c>
      <c r="P8" s="36">
        <f t="shared" si="3"/>
        <v>69049.987380866194</v>
      </c>
      <c r="Q8" s="37">
        <f t="shared" si="4"/>
        <v>0.26422707060911188</v>
      </c>
    </row>
    <row r="9" spans="1:17" x14ac:dyDescent="0.2">
      <c r="A9" s="26" t="s">
        <v>96</v>
      </c>
      <c r="B9" s="27">
        <f>SUMIFS('SIMULARE PE PRODUS'!$F$6:$F$243,'SIMULARE PE PRODUS'!$C$6:$C$243,$A9,'SIMULARE PE PRODUS'!$D$6:$D$243,"&gt;0")*SCENARIU!$B$10*SCENARIU!$B$5+SUMIFS('SIMULARE PE PRODUS'!$G$6:$G$243,'SIMULARE PE PRODUS'!$C$6:$C$243,$A9,'SIMULARE PE PRODUS'!$D$6:$D$243,"&gt;0")*SCENARIU!$B$10*SCENARIU!$B$5+SUMIFS('SIMULARE PE PRODUS'!$F$6:$F$243,'SIMULARE PE PRODUS'!$C$6:$C$243,$A9,'SIMULARE PE PRODUS'!$D$6:$D$243,0)+SUMIFS('SIMULARE PE PRODUS'!$G$6:$G$243,'SIMULARE PE PRODUS'!$C$6:$C$243,$A9,'SIMULARE PE PRODUS'!$D$6:$D$243,0)</f>
        <v>155312.74217142857</v>
      </c>
      <c r="C9" s="27">
        <f>SUMIFS('SIMULARE PE PRODUS'!T$6:T$243,'SIMULARE PE PRODUS'!$C$6:$C$243,$A9,'SIMULARE PE PRODUS'!$D$6:$D$243,"&gt;0")*SCENARIU!$B$10*SCENARIU!$B$5*SCENARIU!$B$14+SUMIFS('SIMULARE PE PRODUS'!T$6:T$243,'SIMULARE PE PRODUS'!$C$6:$C$243,$A9,'SIMULARE PE PRODUS'!$D$6:$D$243,0)</f>
        <v>3874621.4866007725</v>
      </c>
      <c r="D9" s="28">
        <f>IFERROR((SUMIFS('SIMULARE PE PRODUS'!$L$6:$L$243,'SIMULARE PE PRODUS'!$C$6:$C$243,$A9,'SIMULARE PE PRODUS'!$D$6:$D$243,"&gt;0")*SCENARIU!$B$10*SCENARIU!$B$5*SCENARIU!$B$14+SUMIFS('SIMULARE PE PRODUS'!$L$6:$L$243,'SIMULARE PE PRODUS'!$C$6:$C$243,$A9,'SIMULARE PE PRODUS'!$D$6:$D$243,0))/C9,"")</f>
        <v>0.46895224594712631</v>
      </c>
      <c r="E9" s="27">
        <f>SUMIFS('SIMULARE PE PRODUS'!AB$6:AB$243,'SIMULARE PE PRODUS'!$C$6:$C$243,$A9,'SIMULARE PE PRODUS'!$D$6:$D$243,"&gt;0")*SCENARIU!$C$10*SCENARIU!$B$5*SCENARIU!$C$14</f>
        <v>3474884.239152215</v>
      </c>
      <c r="F9" s="28">
        <f>IFERROR((SUMIFS('SIMULARE PE PRODUS'!$L$6:$L$243,'SIMULARE PE PRODUS'!$C$6:$C$243,$A9,'SIMULARE PE PRODUS'!$D$6:$D$243,"&gt;0")*SCENARIU!$C$10*SCENARIU!$B$5*SCENARIU!$C$14)/E9,"")</f>
        <v>0.4606349582378908</v>
      </c>
      <c r="G9" s="27">
        <f>SUMIFS('SIMULARE PE PRODUS'!AJ$6:AJ$243,'SIMULARE PE PRODUS'!$C$6:$C$243,$A9,'SIMULARE PE PRODUS'!$D$6:$D$243,"&gt;0")*SCENARIU!$D$10*SCENARIU!$B$5*SCENARIU!$D$14</f>
        <v>3779185.8504118263</v>
      </c>
      <c r="H9" s="28">
        <f>IFERROR((SUMIFS('SIMULARE PE PRODUS'!$L$6:$L$243,'SIMULARE PE PRODUS'!$C$6:$C$243,$A9,'SIMULARE PE PRODUS'!$D$6:$D$243,"&gt;0")*SCENARIU!$D$10*SCENARIU!$B$5*SCENARIU!$D$14)/G9,"")</f>
        <v>0.4606349582378908</v>
      </c>
      <c r="I9" s="27">
        <f>SUMIFS('SIMULARE PE PRODUS'!AR$6:AR$243,'SIMULARE PE PRODUS'!$C$6:$C$243,$A9,'SIMULARE PE PRODUS'!$D$6:$D$243,"&gt;0")*SCENARIU!$E$10*SCENARIU!$B$5*SCENARIU!$E$14</f>
        <v>3654234.6744408663</v>
      </c>
      <c r="J9" s="28">
        <f>IFERROR((SUMIFS('SIMULARE PE PRODUS'!$L$6:$L$243,'SIMULARE PE PRODUS'!$C$6:$C$243,$A9,'SIMULARE PE PRODUS'!$D$6:$D$243,"&gt;0")*SCENARIU!$E$10*SCENARIU!$B$5*SCENARIU!$E$14)/I9,"")</f>
        <v>0.45285734645404152</v>
      </c>
      <c r="K9" s="27">
        <f>SUMIFS('SIMULARE PE PRODUS'!AZ$6:AZ$243,'SIMULARE PE PRODUS'!$C$6:$C$243,$A9,'SIMULARE PE PRODUS'!$D$6:$D$243,"&gt;0")*SCENARIU!$F$10*SCENARIU!$B$5*SCENARIU!$F$14</f>
        <v>4572885.4991307491</v>
      </c>
      <c r="L9" s="28">
        <f>IFERROR((SUMIFS('SIMULARE PE PRODUS'!$L$6:$L$243,'SIMULARE PE PRODUS'!$C$6:$C$243,$A9,'SIMULARE PE PRODUS'!$D$6:$D$243,"&gt;0")*SCENARIU!$F$10*SCENARIU!$B$5*SCENARIU!$F$14)/K9,"")</f>
        <v>0.45260755819153697</v>
      </c>
      <c r="M9" s="35">
        <f t="shared" si="0"/>
        <v>-1.6344687755589338E-2</v>
      </c>
      <c r="N9" s="28">
        <f t="shared" si="1"/>
        <v>0.19547762391202483</v>
      </c>
      <c r="O9" s="36">
        <f t="shared" si="2"/>
        <v>698264.01252997667</v>
      </c>
      <c r="P9" s="36">
        <f t="shared" si="3"/>
        <v>-17295.683267433196</v>
      </c>
      <c r="Q9" s="37">
        <f t="shared" si="4"/>
        <v>0.18021476806049708</v>
      </c>
    </row>
    <row r="10" spans="1:17" x14ac:dyDescent="0.2">
      <c r="A10" s="26" t="s">
        <v>97</v>
      </c>
      <c r="B10" s="27">
        <f>SUMIFS('SIMULARE PE PRODUS'!$F$6:$F$243,'SIMULARE PE PRODUS'!$C$6:$C$243,$A10,'SIMULARE PE PRODUS'!$D$6:$D$243,"&gt;0")*SCENARIU!$B$10*SCENARIU!$B$5+SUMIFS('SIMULARE PE PRODUS'!$G$6:$G$243,'SIMULARE PE PRODUS'!$C$6:$C$243,$A10,'SIMULARE PE PRODUS'!$D$6:$D$243,"&gt;0")*SCENARIU!$B$10*SCENARIU!$B$5+SUMIFS('SIMULARE PE PRODUS'!$F$6:$F$243,'SIMULARE PE PRODUS'!$C$6:$C$243,$A10,'SIMULARE PE PRODUS'!$D$6:$D$243,0)+SUMIFS('SIMULARE PE PRODUS'!$G$6:$G$243,'SIMULARE PE PRODUS'!$C$6:$C$243,$A10,'SIMULARE PE PRODUS'!$D$6:$D$243,0)</f>
        <v>77036.125920000006</v>
      </c>
      <c r="C10" s="27">
        <f>SUMIFS('SIMULARE PE PRODUS'!T$6:T$243,'SIMULARE PE PRODUS'!$C$6:$C$243,$A10,'SIMULARE PE PRODUS'!$D$6:$D$243,"&gt;0")*SCENARIU!$B$10*SCENARIU!$B$5*SCENARIU!$B$14+SUMIFS('SIMULARE PE PRODUS'!T$6:T$243,'SIMULARE PE PRODUS'!$C$6:$C$243,$A10,'SIMULARE PE PRODUS'!$D$6:$D$243,0)</f>
        <v>1395551.207548108</v>
      </c>
      <c r="D10" s="28">
        <f>IFERROR((SUMIFS('SIMULARE PE PRODUS'!$L$6:$L$243,'SIMULARE PE PRODUS'!$C$6:$C$243,$A10,'SIMULARE PE PRODUS'!$D$6:$D$243,"&gt;0")*SCENARIU!$B$10*SCENARIU!$B$5*SCENARIU!$B$14+SUMIFS('SIMULARE PE PRODUS'!$L$6:$L$243,'SIMULARE PE PRODUS'!$C$6:$C$243,$A10,'SIMULARE PE PRODUS'!$D$6:$D$243,0))/C10,"")</f>
        <v>0.38072351895107437</v>
      </c>
      <c r="E10" s="27">
        <f>SUMIFS('SIMULARE PE PRODUS'!AB$6:AB$243,'SIMULARE PE PRODUS'!$C$6:$C$243,$A10,'SIMULARE PE PRODUS'!$D$6:$D$243,"&gt;0")*SCENARIU!$C$10*SCENARIU!$B$5*SCENARIU!$C$14</f>
        <v>1259946.0420313093</v>
      </c>
      <c r="F10" s="28">
        <f>IFERROR((SUMIFS('SIMULARE PE PRODUS'!$L$6:$L$243,'SIMULARE PE PRODUS'!$C$6:$C$243,$A10,'SIMULARE PE PRODUS'!$D$6:$D$243,"&gt;0")*SCENARIU!$C$10*SCENARIU!$B$5*SCENARIU!$C$14)/E10,"")</f>
        <v>0.37148635712855888</v>
      </c>
      <c r="G10" s="27">
        <f>SUMIFS('SIMULARE PE PRODUS'!AJ$6:AJ$243,'SIMULARE PE PRODUS'!$C$6:$C$243,$A10,'SIMULARE PE PRODUS'!$D$6:$D$243,"&gt;0")*SCENARIU!$D$10*SCENARIU!$B$5*SCENARIU!$D$14</f>
        <v>1370281.6918841626</v>
      </c>
      <c r="H10" s="28">
        <f>IFERROR((SUMIFS('SIMULARE PE PRODUS'!$L$6:$L$243,'SIMULARE PE PRODUS'!$C$6:$C$243,$A10,'SIMULARE PE PRODUS'!$D$6:$D$243,"&gt;0")*SCENARIU!$D$10*SCENARIU!$B$5*SCENARIU!$D$14)/G10,"")</f>
        <v>0.37148635712855893</v>
      </c>
      <c r="I10" s="27">
        <f>SUMIFS('SIMULARE PE PRODUS'!AR$6:AR$243,'SIMULARE PE PRODUS'!$C$6:$C$243,$A10,'SIMULARE PE PRODUS'!$D$6:$D$243,"&gt;0")*SCENARIU!$E$10*SCENARIU!$B$5*SCENARIU!$E$14</f>
        <v>1334208.4194098404</v>
      </c>
      <c r="J10" s="28">
        <f>IFERROR((SUMIFS('SIMULARE PE PRODUS'!$L$6:$L$243,'SIMULARE PE PRODUS'!$C$6:$C$243,$A10,'SIMULARE PE PRODUS'!$D$6:$D$243,"&gt;0")*SCENARIU!$E$10*SCENARIU!$B$5*SCENARIU!$E$14)/I10,"")</f>
        <v>0.36268680434070855</v>
      </c>
      <c r="K10" s="27">
        <f>SUMIFS('SIMULARE PE PRODUS'!AZ$6:AZ$243,'SIMULARE PE PRODUS'!$C$6:$C$243,$A10,'SIMULARE PE PRODUS'!$D$6:$D$243,"&gt;0")*SCENARIU!$F$10*SCENARIU!$B$5*SCENARIU!$F$14</f>
        <v>1708225.9699168096</v>
      </c>
      <c r="L10" s="28">
        <f>IFERROR((SUMIFS('SIMULARE PE PRODUS'!$L$6:$L$243,'SIMULARE PE PRODUS'!$C$6:$C$243,$A10,'SIMULARE PE PRODUS'!$D$6:$D$243,"&gt;0")*SCENARIU!$F$10*SCENARIU!$B$5*SCENARIU!$F$14)/K10,"")</f>
        <v>0.35429448267684682</v>
      </c>
      <c r="M10" s="35">
        <f t="shared" si="0"/>
        <v>-2.6429036274227546E-2</v>
      </c>
      <c r="N10" s="28">
        <f t="shared" si="1"/>
        <v>7.0406628116438108E-2</v>
      </c>
      <c r="O10" s="36">
        <f t="shared" si="2"/>
        <v>312674.76236870163</v>
      </c>
      <c r="P10" s="36">
        <f t="shared" si="3"/>
        <v>90457.293049690081</v>
      </c>
      <c r="Q10" s="37">
        <f t="shared" si="4"/>
        <v>0.22405108510353466</v>
      </c>
    </row>
    <row r="11" spans="1:17" x14ac:dyDescent="0.2">
      <c r="A11" s="26" t="s">
        <v>98</v>
      </c>
      <c r="B11" s="27">
        <f>SUMIFS('SIMULARE PE PRODUS'!$F$6:$F$243,'SIMULARE PE PRODUS'!$C$6:$C$243,$A11,'SIMULARE PE PRODUS'!$D$6:$D$243,"&gt;0")*SCENARIU!$B$10*SCENARIU!$B$5+SUMIFS('SIMULARE PE PRODUS'!$G$6:$G$243,'SIMULARE PE PRODUS'!$C$6:$C$243,$A11,'SIMULARE PE PRODUS'!$D$6:$D$243,"&gt;0")*SCENARIU!$B$10*SCENARIU!$B$5+SUMIFS('SIMULARE PE PRODUS'!$F$6:$F$243,'SIMULARE PE PRODUS'!$C$6:$C$243,$A11,'SIMULARE PE PRODUS'!$D$6:$D$243,0)+SUMIFS('SIMULARE PE PRODUS'!$G$6:$G$243,'SIMULARE PE PRODUS'!$C$6:$C$243,$A11,'SIMULARE PE PRODUS'!$D$6:$D$243,0)</f>
        <v>3092.8441371428571</v>
      </c>
      <c r="C11" s="27">
        <f>SUMIFS('SIMULARE PE PRODUS'!T$6:T$243,'SIMULARE PE PRODUS'!$C$6:$C$243,$A11,'SIMULARE PE PRODUS'!$D$6:$D$243,"&gt;0")*SCENARIU!$B$10*SCENARIU!$B$5*SCENARIU!$B$14+SUMIFS('SIMULARE PE PRODUS'!T$6:T$243,'SIMULARE PE PRODUS'!$C$6:$C$243,$A11,'SIMULARE PE PRODUS'!$D$6:$D$243,0)</f>
        <v>75452.665836602304</v>
      </c>
      <c r="D11" s="28">
        <f>IFERROR((SUMIFS('SIMULARE PE PRODUS'!$L$6:$L$243,'SIMULARE PE PRODUS'!$C$6:$C$243,$A11,'SIMULARE PE PRODUS'!$D$6:$D$243,"&gt;0")*SCENARIU!$B$10*SCENARIU!$B$5*SCENARIU!$B$14+SUMIFS('SIMULARE PE PRODUS'!$L$6:$L$243,'SIMULARE PE PRODUS'!$C$6:$C$243,$A11,'SIMULARE PE PRODUS'!$D$6:$D$243,0))/C11,"")</f>
        <v>0.44168800513875173</v>
      </c>
      <c r="E11" s="27">
        <f>SUMIFS('SIMULARE PE PRODUS'!AB$6:AB$243,'SIMULARE PE PRODUS'!$C$6:$C$243,$A11,'SIMULARE PE PRODUS'!$D$6:$D$243,"&gt;0")*SCENARIU!$C$10*SCENARIU!$B$5*SCENARIU!$C$14</f>
        <v>66468.200501032945</v>
      </c>
      <c r="F11" s="28">
        <f>IFERROR((SUMIFS('SIMULARE PE PRODUS'!$L$6:$L$243,'SIMULARE PE PRODUS'!$C$6:$C$243,$A11,'SIMULARE PE PRODUS'!$D$6:$D$243,"&gt;0")*SCENARIU!$C$10*SCENARIU!$B$5*SCENARIU!$C$14)/E11,"")</f>
        <v>0.44168800513875178</v>
      </c>
      <c r="G11" s="27">
        <f>SUMIFS('SIMULARE PE PRODUS'!AJ$6:AJ$243,'SIMULARE PE PRODUS'!$C$6:$C$243,$A11,'SIMULARE PE PRODUS'!$D$6:$D$243,"&gt;0")*SCENARIU!$D$10*SCENARIU!$B$5*SCENARIU!$D$14</f>
        <v>73623.692847475599</v>
      </c>
      <c r="H11" s="28">
        <f>IFERROR((SUMIFS('SIMULARE PE PRODUS'!$L$6:$L$243,'SIMULARE PE PRODUS'!$C$6:$C$243,$A11,'SIMULARE PE PRODUS'!$D$6:$D$243,"&gt;0")*SCENARIU!$D$10*SCENARIU!$B$5*SCENARIU!$D$14)/G11,"")</f>
        <v>0.43368044314750881</v>
      </c>
      <c r="I11" s="27">
        <f>SUMIFS('SIMULARE PE PRODUS'!AR$6:AR$243,'SIMULARE PE PRODUS'!$C$6:$C$243,$A11,'SIMULARE PE PRODUS'!$D$6:$D$243,"&gt;0")*SCENARIU!$E$10*SCENARIU!$B$5*SCENARIU!$E$14</f>
        <v>69987.471696984649</v>
      </c>
      <c r="J11" s="28">
        <f>IFERROR((SUMIFS('SIMULARE PE PRODUS'!$L$6:$L$243,'SIMULARE PE PRODUS'!$C$6:$C$243,$A11,'SIMULARE PE PRODUS'!$D$6:$D$243,"&gt;0")*SCENARIU!$E$10*SCENARIU!$B$5*SCENARIU!$E$14)/I11,"")</f>
        <v>0.43368044314750887</v>
      </c>
      <c r="K11" s="27">
        <f>SUMIFS('SIMULARE PE PRODUS'!AZ$6:AZ$243,'SIMULARE PE PRODUS'!$C$6:$C$243,$A11,'SIMULARE PE PRODUS'!$D$6:$D$243,"&gt;0")*SCENARIU!$F$10*SCENARIU!$B$5*SCENARIU!$F$14</f>
        <v>92294.364762844692</v>
      </c>
      <c r="L11" s="28">
        <f>IFERROR((SUMIFS('SIMULARE PE PRODUS'!$L$6:$L$243,'SIMULARE PE PRODUS'!$C$6:$C$243,$A11,'SIMULARE PE PRODUS'!$D$6:$D$243,"&gt;0")*SCENARIU!$F$10*SCENARIU!$B$5*SCENARIU!$F$14)/K11,"")</f>
        <v>0.41130996873603831</v>
      </c>
      <c r="M11" s="35">
        <f t="shared" si="0"/>
        <v>-3.0378036402713415E-2</v>
      </c>
      <c r="N11" s="28">
        <f t="shared" si="1"/>
        <v>3.8066448262296408E-3</v>
      </c>
      <c r="O11" s="36">
        <f t="shared" si="2"/>
        <v>16841.698926242389</v>
      </c>
      <c r="P11" s="36">
        <f t="shared" si="3"/>
        <v>563.06646192866901</v>
      </c>
      <c r="Q11" s="37">
        <f t="shared" si="4"/>
        <v>0.22320879904646707</v>
      </c>
    </row>
    <row r="12" spans="1:17" x14ac:dyDescent="0.2">
      <c r="A12" s="26" t="s">
        <v>99</v>
      </c>
      <c r="B12" s="27">
        <f>SUMIFS('SIMULARE PE PRODUS'!$F$6:$F$243,'SIMULARE PE PRODUS'!$C$6:$C$243,$A12,'SIMULARE PE PRODUS'!$D$6:$D$243,"&gt;0")*SCENARIU!$B$10*SCENARIU!$B$5+SUMIFS('SIMULARE PE PRODUS'!$G$6:$G$243,'SIMULARE PE PRODUS'!$C$6:$C$243,$A12,'SIMULARE PE PRODUS'!$D$6:$D$243,"&gt;0")*SCENARIU!$B$10*SCENARIU!$B$5+SUMIFS('SIMULARE PE PRODUS'!$F$6:$F$243,'SIMULARE PE PRODUS'!$C$6:$C$243,$A12,'SIMULARE PE PRODUS'!$D$6:$D$243,0)+SUMIFS('SIMULARE PE PRODUS'!$G$6:$G$243,'SIMULARE PE PRODUS'!$C$6:$C$243,$A12,'SIMULARE PE PRODUS'!$D$6:$D$243,0)</f>
        <v>4157.3189485714283</v>
      </c>
      <c r="C12" s="27">
        <f>SUMIFS('SIMULARE PE PRODUS'!T$6:T$243,'SIMULARE PE PRODUS'!$C$6:$C$243,$A12,'SIMULARE PE PRODUS'!$D$6:$D$243,"&gt;0")*SCENARIU!$B$10*SCENARIU!$B$5*SCENARIU!$B$14+SUMIFS('SIMULARE PE PRODUS'!T$6:T$243,'SIMULARE PE PRODUS'!$C$6:$C$243,$A12,'SIMULARE PE PRODUS'!$D$6:$D$243,0)</f>
        <v>81480.159124015452</v>
      </c>
      <c r="D12" s="28">
        <f>IFERROR((SUMIFS('SIMULARE PE PRODUS'!$L$6:$L$243,'SIMULARE PE PRODUS'!$C$6:$C$243,$A12,'SIMULARE PE PRODUS'!$D$6:$D$243,"&gt;0")*SCENARIU!$B$10*SCENARIU!$B$5*SCENARIU!$B$14+SUMIFS('SIMULARE PE PRODUS'!$L$6:$L$243,'SIMULARE PE PRODUS'!$C$6:$C$243,$A12,'SIMULARE PE PRODUS'!$D$6:$D$243,0))/C12,"")</f>
        <v>0.36692034550560032</v>
      </c>
      <c r="E12" s="27">
        <f>SUMIFS('SIMULARE PE PRODUS'!AB$6:AB$243,'SIMULARE PE PRODUS'!$C$6:$C$243,$A12,'SIMULARE PE PRODUS'!$D$6:$D$243,"&gt;0")*SCENARIU!$C$10*SCENARIU!$B$5*SCENARIU!$C$14</f>
        <v>71777.974886129043</v>
      </c>
      <c r="F12" s="28">
        <f>IFERROR((SUMIFS('SIMULARE PE PRODUS'!$L$6:$L$243,'SIMULARE PE PRODUS'!$C$6:$C$243,$A12,'SIMULARE PE PRODUS'!$D$6:$D$243,"&gt;0")*SCENARIU!$C$10*SCENARIU!$B$5*SCENARIU!$C$14)/E12,"")</f>
        <v>0.36692034550560038</v>
      </c>
      <c r="G12" s="27">
        <f>SUMIFS('SIMULARE PE PRODUS'!AJ$6:AJ$243,'SIMULARE PE PRODUS'!$C$6:$C$243,$A12,'SIMULARE PE PRODUS'!$D$6:$D$243,"&gt;0")*SCENARIU!$D$10*SCENARIU!$B$5*SCENARIU!$D$14</f>
        <v>79857.841351521056</v>
      </c>
      <c r="H12" s="28">
        <f>IFERROR((SUMIFS('SIMULARE PE PRODUS'!$L$6:$L$243,'SIMULARE PE PRODUS'!$C$6:$C$243,$A12,'SIMULARE PE PRODUS'!$D$6:$D$243,"&gt;0")*SCENARIU!$D$10*SCENARIU!$B$5*SCENARIU!$D$14)/G12,"")</f>
        <v>0.35867684177364051</v>
      </c>
      <c r="I12" s="27">
        <f>SUMIFS('SIMULARE PE PRODUS'!AR$6:AR$243,'SIMULARE PE PRODUS'!$C$6:$C$243,$A12,'SIMULARE PE PRODUS'!$D$6:$D$243,"&gt;0")*SCENARIU!$E$10*SCENARIU!$B$5*SCENARIU!$E$14</f>
        <v>77619.253853308153</v>
      </c>
      <c r="J12" s="28">
        <f>IFERROR((SUMIFS('SIMULARE PE PRODUS'!$L$6:$L$243,'SIMULARE PE PRODUS'!$C$6:$C$243,$A12,'SIMULARE PE PRODUS'!$D$6:$D$243,"&gt;0")*SCENARIU!$E$10*SCENARIU!$B$5*SCENARIU!$E$14)/I12,"")</f>
        <v>0.3507956083079492</v>
      </c>
      <c r="K12" s="27">
        <f>SUMIFS('SIMULARE PE PRODUS'!AZ$6:AZ$243,'SIMULARE PE PRODUS'!$C$6:$C$243,$A12,'SIMULARE PE PRODUS'!$D$6:$D$243,"&gt;0")*SCENARIU!$F$10*SCENARIU!$B$5*SCENARIU!$F$14</f>
        <v>97078.652869342739</v>
      </c>
      <c r="L12" s="28">
        <f>IFERROR((SUMIFS('SIMULARE PE PRODUS'!$L$6:$L$243,'SIMULARE PE PRODUS'!$C$6:$C$243,$A12,'SIMULARE PE PRODUS'!$D$6:$D$243,"&gt;0")*SCENARIU!$F$10*SCENARIU!$B$5*SCENARIU!$F$14)/K12,"")</f>
        <v>0.3507956083079492</v>
      </c>
      <c r="M12" s="35">
        <f t="shared" si="0"/>
        <v>-1.6124737197651118E-2</v>
      </c>
      <c r="N12" s="28">
        <f t="shared" si="1"/>
        <v>4.1107364826775787E-3</v>
      </c>
      <c r="O12" s="36">
        <f t="shared" si="2"/>
        <v>15598.493745327287</v>
      </c>
      <c r="P12" s="36">
        <f t="shared" si="3"/>
        <v>413.08646423918253</v>
      </c>
      <c r="Q12" s="37">
        <f t="shared" si="4"/>
        <v>0.19143916645506143</v>
      </c>
    </row>
    <row r="13" spans="1:17" x14ac:dyDescent="0.2">
      <c r="A13" s="26" t="s">
        <v>100</v>
      </c>
      <c r="B13" s="27">
        <f>SUMIFS('SIMULARE PE PRODUS'!$F$6:$F$243,'SIMULARE PE PRODUS'!$C$6:$C$243,$A13,'SIMULARE PE PRODUS'!$D$6:$D$243,"&gt;0")*SCENARIU!$B$10*SCENARIU!$B$5+SUMIFS('SIMULARE PE PRODUS'!$G$6:$G$243,'SIMULARE PE PRODUS'!$C$6:$C$243,$A13,'SIMULARE PE PRODUS'!$D$6:$D$243,"&gt;0")*SCENARIU!$B$10*SCENARIU!$B$5+SUMIFS('SIMULARE PE PRODUS'!$F$6:$F$243,'SIMULARE PE PRODUS'!$C$6:$C$243,$A13,'SIMULARE PE PRODUS'!$D$6:$D$243,0)+SUMIFS('SIMULARE PE PRODUS'!$G$6:$G$243,'SIMULARE PE PRODUS'!$C$6:$C$243,$A13,'SIMULARE PE PRODUS'!$D$6:$D$243,0)</f>
        <v>76348.827222857144</v>
      </c>
      <c r="C13" s="27">
        <f>SUMIFS('SIMULARE PE PRODUS'!T$6:T$243,'SIMULARE PE PRODUS'!$C$6:$C$243,$A13,'SIMULARE PE PRODUS'!$D$6:$D$243,"&gt;0")*SCENARIU!$B$10*SCENARIU!$B$5*SCENARIU!$B$14+SUMIFS('SIMULARE PE PRODUS'!T$6:T$243,'SIMULARE PE PRODUS'!$C$6:$C$243,$A13,'SIMULARE PE PRODUS'!$D$6:$D$243,0)</f>
        <v>1780871.5697606178</v>
      </c>
      <c r="D13" s="28">
        <f>IFERROR((SUMIFS('SIMULARE PE PRODUS'!$L$6:$L$243,'SIMULARE PE PRODUS'!$C$6:$C$243,$A13,'SIMULARE PE PRODUS'!$D$6:$D$243,"&gt;0")*SCENARIU!$B$10*SCENARIU!$B$5*SCENARIU!$B$14+SUMIFS('SIMULARE PE PRODUS'!$L$6:$L$243,'SIMULARE PE PRODUS'!$C$6:$C$243,$A13,'SIMULARE PE PRODUS'!$D$6:$D$243,0))/C13,"")</f>
        <v>0.45861061748184123</v>
      </c>
      <c r="E13" s="27">
        <f>SUMIFS('SIMULARE PE PRODUS'!AB$6:AB$243,'SIMULARE PE PRODUS'!$C$6:$C$243,$A13,'SIMULARE PE PRODUS'!$D$6:$D$243,"&gt;0")*SCENARIU!$C$10*SCENARIU!$B$5*SCENARIU!$C$14</f>
        <v>1604132.511739075</v>
      </c>
      <c r="F13" s="28">
        <f>IFERROR((SUMIFS('SIMULARE PE PRODUS'!$L$6:$L$243,'SIMULARE PE PRODUS'!$C$6:$C$243,$A13,'SIMULARE PE PRODUS'!$D$6:$D$243,"&gt;0")*SCENARIU!$C$10*SCENARIU!$B$5*SCENARIU!$C$14)/E13,"")</f>
        <v>0.44851378706682216</v>
      </c>
      <c r="G13" s="27">
        <f>SUMIFS('SIMULARE PE PRODUS'!AJ$6:AJ$243,'SIMULARE PE PRODUS'!$C$6:$C$243,$A13,'SIMULARE PE PRODUS'!$D$6:$D$243,"&gt;0")*SCENARIU!$D$10*SCENARIU!$B$5*SCENARIU!$D$14</f>
        <v>1744609.1648880218</v>
      </c>
      <c r="H13" s="28">
        <f>IFERROR((SUMIFS('SIMULARE PE PRODUS'!$L$6:$L$243,'SIMULARE PE PRODUS'!$C$6:$C$243,$A13,'SIMULARE PE PRODUS'!$D$6:$D$243,"&gt;0")*SCENARIU!$D$10*SCENARIU!$B$5*SCENARIU!$D$14)/G13,"")</f>
        <v>0.44851378706682227</v>
      </c>
      <c r="I13" s="27">
        <f>SUMIFS('SIMULARE PE PRODUS'!AR$6:AR$243,'SIMULARE PE PRODUS'!$C$6:$C$243,$A13,'SIMULARE PE PRODUS'!$D$6:$D$243,"&gt;0")*SCENARIU!$E$10*SCENARIU!$B$5*SCENARIU!$E$14</f>
        <v>1689766.1649494225</v>
      </c>
      <c r="J13" s="28">
        <f>IFERROR((SUMIFS('SIMULARE PE PRODUS'!$L$6:$L$243,'SIMULARE PE PRODUS'!$C$6:$C$243,$A13,'SIMULARE PE PRODUS'!$D$6:$D$243,"&gt;0")*SCENARIU!$E$10*SCENARIU!$B$5*SCENARIU!$E$14)/I13,"")</f>
        <v>0.44020000697610107</v>
      </c>
      <c r="K13" s="27">
        <f>SUMIFS('SIMULARE PE PRODUS'!AZ$6:AZ$243,'SIMULARE PE PRODUS'!$C$6:$C$243,$A13,'SIMULARE PE PRODUS'!$D$6:$D$243,"&gt;0")*SCENARIU!$F$10*SCENARIU!$B$5*SCENARIU!$F$14</f>
        <v>2159771.1893778192</v>
      </c>
      <c r="L13" s="28">
        <f>IFERROR((SUMIFS('SIMULARE PE PRODUS'!$L$6:$L$243,'SIMULARE PE PRODUS'!$C$6:$C$243,$A13,'SIMULARE PE PRODUS'!$D$6:$D$243,"&gt;0")*SCENARIU!$F$10*SCENARIU!$B$5*SCENARIU!$F$14)/K13,"")</f>
        <v>0.43074791986981803</v>
      </c>
      <c r="M13" s="35">
        <f t="shared" si="0"/>
        <v>-2.7862697612023202E-2</v>
      </c>
      <c r="N13" s="28">
        <f t="shared" si="1"/>
        <v>8.984633573967285E-2</v>
      </c>
      <c r="O13" s="36">
        <f t="shared" si="2"/>
        <v>378899.61961720139</v>
      </c>
      <c r="P13" s="36">
        <f t="shared" si="3"/>
        <v>74792.751911867177</v>
      </c>
      <c r="Q13" s="37">
        <f t="shared" si="4"/>
        <v>0.21276077739178723</v>
      </c>
    </row>
    <row r="14" spans="1:17" x14ac:dyDescent="0.2">
      <c r="A14" s="26" t="s">
        <v>101</v>
      </c>
      <c r="B14" s="27">
        <f>SUMIFS('SIMULARE PE PRODUS'!$F$6:$F$243,'SIMULARE PE PRODUS'!$C$6:$C$243,$A14,'SIMULARE PE PRODUS'!$D$6:$D$243,"&gt;0")*SCENARIU!$B$10*SCENARIU!$B$5+SUMIFS('SIMULARE PE PRODUS'!$G$6:$G$243,'SIMULARE PE PRODUS'!$C$6:$C$243,$A14,'SIMULARE PE PRODUS'!$D$6:$D$243,"&gt;0")*SCENARIU!$B$10*SCENARIU!$B$5+SUMIFS('SIMULARE PE PRODUS'!$F$6:$F$243,'SIMULARE PE PRODUS'!$C$6:$C$243,$A14,'SIMULARE PE PRODUS'!$D$6:$D$243,0)+SUMIFS('SIMULARE PE PRODUS'!$G$6:$G$243,'SIMULARE PE PRODUS'!$C$6:$C$243,$A14,'SIMULARE PE PRODUS'!$D$6:$D$243,0)</f>
        <v>304507.68572571431</v>
      </c>
      <c r="C14" s="27">
        <f>SUMIFS('SIMULARE PE PRODUS'!T$6:T$243,'SIMULARE PE PRODUS'!$C$6:$C$243,$A14,'SIMULARE PE PRODUS'!$D$6:$D$243,"&gt;0")*SCENARIU!$B$10*SCENARIU!$B$5*SCENARIU!$B$14+SUMIFS('SIMULARE PE PRODUS'!T$6:T$243,'SIMULARE PE PRODUS'!$C$6:$C$243,$A14,'SIMULARE PE PRODUS'!$D$6:$D$243,0)</f>
        <v>3694922.442358919</v>
      </c>
      <c r="D14" s="28">
        <f>IFERROR((SUMIFS('SIMULARE PE PRODUS'!$L$6:$L$243,'SIMULARE PE PRODUS'!$C$6:$C$243,$A14,'SIMULARE PE PRODUS'!$D$6:$D$243,"&gt;0")*SCENARIU!$B$10*SCENARIU!$B$5*SCENARIU!$B$14+SUMIFS('SIMULARE PE PRODUS'!$L$6:$L$243,'SIMULARE PE PRODUS'!$C$6:$C$243,$A14,'SIMULARE PE PRODUS'!$D$6:$D$243,0))/C14,"")</f>
        <v>0.30089009896154029</v>
      </c>
      <c r="E14" s="27">
        <f>SUMIFS('SIMULARE PE PRODUS'!AB$6:AB$243,'SIMULARE PE PRODUS'!$C$6:$C$243,$A14,'SIMULARE PE PRODUS'!$D$6:$D$243,"&gt;0")*SCENARIU!$C$10*SCENARIU!$B$5*SCENARIU!$C$14</f>
        <v>3263243.9679166321</v>
      </c>
      <c r="F14" s="28">
        <f>IFERROR((SUMIFS('SIMULARE PE PRODUS'!$L$6:$L$243,'SIMULARE PE PRODUS'!$C$6:$C$243,$A14,'SIMULARE PE PRODUS'!$D$6:$D$243,"&gt;0")*SCENARIU!$C$10*SCENARIU!$B$5*SCENARIU!$C$14)/E14,"")</f>
        <v>0.29227738805332942</v>
      </c>
      <c r="G14" s="27">
        <f>SUMIFS('SIMULARE PE PRODUS'!AJ$6:AJ$243,'SIMULARE PE PRODUS'!$C$6:$C$243,$A14,'SIMULARE PE PRODUS'!$D$6:$D$243,"&gt;0")*SCENARIU!$D$10*SCENARIU!$B$5*SCENARIU!$D$14</f>
        <v>3549011.8752851109</v>
      </c>
      <c r="H14" s="28">
        <f>IFERROR((SUMIFS('SIMULARE PE PRODUS'!$L$6:$L$243,'SIMULARE PE PRODUS'!$C$6:$C$243,$A14,'SIMULARE PE PRODUS'!$D$6:$D$243,"&gt;0")*SCENARIU!$D$10*SCENARIU!$B$5*SCENARIU!$D$14)/G14,"")</f>
        <v>0.29227738805332942</v>
      </c>
      <c r="I14" s="27">
        <f>SUMIFS('SIMULARE PE PRODUS'!AR$6:AR$243,'SIMULARE PE PRODUS'!$C$6:$C$243,$A14,'SIMULARE PE PRODUS'!$D$6:$D$243,"&gt;0")*SCENARIU!$E$10*SCENARIU!$B$5*SCENARIU!$E$14</f>
        <v>3422335.3472029991</v>
      </c>
      <c r="J14" s="28">
        <f>IFERROR((SUMIFS('SIMULARE PE PRODUS'!$L$6:$L$243,'SIMULARE PE PRODUS'!$C$6:$C$243,$A14,'SIMULARE PE PRODUS'!$D$6:$D$243,"&gt;0")*SCENARIU!$E$10*SCENARIU!$B$5*SCENARIU!$E$14)/I14,"")</f>
        <v>0.2881262421056347</v>
      </c>
      <c r="K14" s="27">
        <f>SUMIFS('SIMULARE PE PRODUS'!AZ$6:AZ$243,'SIMULARE PE PRODUS'!$C$6:$C$243,$A14,'SIMULARE PE PRODUS'!$D$6:$D$243,"&gt;0")*SCENARIU!$F$10*SCENARIU!$B$5*SCENARIU!$F$14</f>
        <v>4583740.7833229834</v>
      </c>
      <c r="L14" s="28">
        <f>IFERROR((SUMIFS('SIMULARE PE PRODUS'!$L$6:$L$243,'SIMULARE PE PRODUS'!$C$6:$C$243,$A14,'SIMULARE PE PRODUS'!$D$6:$D$243,"&gt;0")*SCENARIU!$F$10*SCENARIU!$B$5*SCENARIU!$F$14)/K14,"")</f>
        <v>0.26905409454409362</v>
      </c>
      <c r="M14" s="35">
        <f t="shared" si="0"/>
        <v>-3.1836004417446662E-2</v>
      </c>
      <c r="N14" s="28">
        <f t="shared" si="1"/>
        <v>0.18641166938998027</v>
      </c>
      <c r="O14" s="36">
        <f t="shared" si="2"/>
        <v>888818.34096406447</v>
      </c>
      <c r="P14" s="36">
        <f t="shared" si="3"/>
        <v>38642.204292049631</v>
      </c>
      <c r="Q14" s="37">
        <f t="shared" si="4"/>
        <v>0.24055128485907362</v>
      </c>
    </row>
    <row r="15" spans="1:17" x14ac:dyDescent="0.2">
      <c r="A15" s="26" t="s">
        <v>102</v>
      </c>
      <c r="B15" s="27">
        <f>SUMIFS('SIMULARE PE PRODUS'!$F$6:$F$243,'SIMULARE PE PRODUS'!$C$6:$C$243,$A15,'SIMULARE PE PRODUS'!$D$6:$D$243,"&gt;0")*SCENARIU!$B$10*SCENARIU!$B$5+SUMIFS('SIMULARE PE PRODUS'!$G$6:$G$243,'SIMULARE PE PRODUS'!$C$6:$C$243,$A15,'SIMULARE PE PRODUS'!$D$6:$D$243,"&gt;0")*SCENARIU!$B$10*SCENARIU!$B$5+SUMIFS('SIMULARE PE PRODUS'!$F$6:$F$243,'SIMULARE PE PRODUS'!$C$6:$C$243,$A15,'SIMULARE PE PRODUS'!$D$6:$D$243,0)+SUMIFS('SIMULARE PE PRODUS'!$G$6:$G$243,'SIMULARE PE PRODUS'!$C$6:$C$243,$A15,'SIMULARE PE PRODUS'!$D$6:$D$243,0)</f>
        <v>240935.91096000001</v>
      </c>
      <c r="C15" s="27">
        <f>SUMIFS('SIMULARE PE PRODUS'!T$6:T$243,'SIMULARE PE PRODUS'!$C$6:$C$243,$A15,'SIMULARE PE PRODUS'!$D$6:$D$243,"&gt;0")*SCENARIU!$B$10*SCENARIU!$B$5*SCENARIU!$B$14+SUMIFS('SIMULARE PE PRODUS'!T$6:T$243,'SIMULARE PE PRODUS'!$C$6:$C$243,$A15,'SIMULARE PE PRODUS'!$D$6:$D$243,0)</f>
        <v>1978107.2671357531</v>
      </c>
      <c r="D15" s="28">
        <f>IFERROR((SUMIFS('SIMULARE PE PRODUS'!$L$6:$L$243,'SIMULARE PE PRODUS'!$C$6:$C$243,$A15,'SIMULARE PE PRODUS'!$D$6:$D$243,"&gt;0")*SCENARIU!$B$10*SCENARIU!$B$5*SCENARIU!$B$14+SUMIFS('SIMULARE PE PRODUS'!$L$6:$L$243,'SIMULARE PE PRODUS'!$C$6:$C$243,$A15,'SIMULARE PE PRODUS'!$D$6:$D$243,0))/C15,"")</f>
        <v>0.31183445801765974</v>
      </c>
      <c r="E15" s="27">
        <f>SUMIFS('SIMULARE PE PRODUS'!AB$6:AB$243,'SIMULARE PE PRODUS'!$C$6:$C$243,$A15,'SIMULARE PE PRODUS'!$D$6:$D$243,"&gt;0")*SCENARIU!$C$10*SCENARIU!$B$5*SCENARIU!$C$14</f>
        <v>1780808.381290907</v>
      </c>
      <c r="F15" s="28">
        <f>IFERROR((SUMIFS('SIMULARE PE PRODUS'!$L$6:$L$243,'SIMULARE PE PRODUS'!$C$6:$C$243,$A15,'SIMULARE PE PRODUS'!$D$6:$D$243,"&gt;0")*SCENARIU!$C$10*SCENARIU!$B$5*SCENARIU!$C$14)/E15,"")</f>
        <v>0.30513785124855064</v>
      </c>
      <c r="G15" s="27">
        <f>SUMIFS('SIMULARE PE PRODUS'!AJ$6:AJ$243,'SIMULARE PE PRODUS'!$C$6:$C$243,$A15,'SIMULARE PE PRODUS'!$D$6:$D$243,"&gt;0")*SCENARIU!$D$10*SCENARIU!$B$5*SCENARIU!$D$14</f>
        <v>1936756.8453190653</v>
      </c>
      <c r="H15" s="28">
        <f>IFERROR((SUMIFS('SIMULARE PE PRODUS'!$L$6:$L$243,'SIMULARE PE PRODUS'!$C$6:$C$243,$A15,'SIMULARE PE PRODUS'!$D$6:$D$243,"&gt;0")*SCENARIU!$D$10*SCENARIU!$B$5*SCENARIU!$D$14)/G15,"")</f>
        <v>0.30513785124855058</v>
      </c>
      <c r="I15" s="27">
        <f>SUMIFS('SIMULARE PE PRODUS'!AR$6:AR$243,'SIMULARE PE PRODUS'!$C$6:$C$243,$A15,'SIMULARE PE PRODUS'!$D$6:$D$243,"&gt;0")*SCENARIU!$E$10*SCENARIU!$B$5*SCENARIU!$E$14</f>
        <v>1841101.81998779</v>
      </c>
      <c r="J15" s="28">
        <f>IFERROR((SUMIFS('SIMULARE PE PRODUS'!$L$6:$L$243,'SIMULARE PE PRODUS'!$C$6:$C$243,$A15,'SIMULARE PE PRODUS'!$D$6:$D$243,"&gt;0")*SCENARIU!$E$10*SCENARIU!$B$5*SCENARIU!$E$14)/I15,"")</f>
        <v>0.30513785124855064</v>
      </c>
      <c r="K15" s="27">
        <f>SUMIFS('SIMULARE PE PRODUS'!AZ$6:AZ$243,'SIMULARE PE PRODUS'!$C$6:$C$243,$A15,'SIMULARE PE PRODUS'!$D$6:$D$243,"&gt;0")*SCENARIU!$F$10*SCENARIU!$B$5*SCENARIU!$F$14</f>
        <v>2351415.1160689895</v>
      </c>
      <c r="L15" s="28">
        <f>IFERROR((SUMIFS('SIMULARE PE PRODUS'!$L$6:$L$243,'SIMULARE PE PRODUS'!$C$6:$C$243,$A15,'SIMULARE PE PRODUS'!$D$6:$D$243,"&gt;0")*SCENARIU!$F$10*SCENARIU!$B$5*SCENARIU!$F$14)/K15,"")</f>
        <v>0.29881256999508143</v>
      </c>
      <c r="M15" s="35">
        <f t="shared" si="0"/>
        <v>-1.302188802257831E-2</v>
      </c>
      <c r="N15" s="28">
        <f t="shared" si="1"/>
        <v>9.9797027854206938E-2</v>
      </c>
      <c r="O15" s="36">
        <f t="shared" si="2"/>
        <v>373307.84893323644</v>
      </c>
      <c r="P15" s="36">
        <f t="shared" si="3"/>
        <v>-2346.9058762604836</v>
      </c>
      <c r="Q15" s="37">
        <f t="shared" si="4"/>
        <v>0.18871971967110568</v>
      </c>
    </row>
    <row r="16" spans="1:17" x14ac:dyDescent="0.2">
      <c r="A16" s="26" t="s">
        <v>103</v>
      </c>
      <c r="B16" s="27">
        <f>SUMIFS('SIMULARE PE PRODUS'!$F$6:$F$243,'SIMULARE PE PRODUS'!$C$6:$C$243,$A16,'SIMULARE PE PRODUS'!$D$6:$D$243,"&gt;0")*SCENARIU!$B$10*SCENARIU!$B$5+SUMIFS('SIMULARE PE PRODUS'!$G$6:$G$243,'SIMULARE PE PRODUS'!$C$6:$C$243,$A16,'SIMULARE PE PRODUS'!$D$6:$D$243,"&gt;0")*SCENARIU!$B$10*SCENARIU!$B$5+SUMIFS('SIMULARE PE PRODUS'!$F$6:$F$243,'SIMULARE PE PRODUS'!$C$6:$C$243,$A16,'SIMULARE PE PRODUS'!$D$6:$D$243,0)+SUMIFS('SIMULARE PE PRODUS'!$G$6:$G$243,'SIMULARE PE PRODUS'!$C$6:$C$243,$A16,'SIMULARE PE PRODUS'!$D$6:$D$243,0)</f>
        <v>196672.19852571431</v>
      </c>
      <c r="C16" s="27">
        <f>SUMIFS('SIMULARE PE PRODUS'!T$6:T$243,'SIMULARE PE PRODUS'!$C$6:$C$243,$A16,'SIMULARE PE PRODUS'!$D$6:$D$243,"&gt;0")*SCENARIU!$B$10*SCENARIU!$B$5*SCENARIU!$B$14+SUMIFS('SIMULARE PE PRODUS'!T$6:T$243,'SIMULARE PE PRODUS'!$C$6:$C$243,$A16,'SIMULARE PE PRODUS'!$D$6:$D$243,0)</f>
        <v>1601597.0461263757</v>
      </c>
      <c r="D16" s="28">
        <f>IFERROR((SUMIFS('SIMULARE PE PRODUS'!$L$6:$L$243,'SIMULARE PE PRODUS'!$C$6:$C$243,$A16,'SIMULARE PE PRODUS'!$D$6:$D$243,"&gt;0")*SCENARIU!$B$10*SCENARIU!$B$5*SCENARIU!$B$14+SUMIFS('SIMULARE PE PRODUS'!$L$6:$L$243,'SIMULARE PE PRODUS'!$C$6:$C$243,$A16,'SIMULARE PE PRODUS'!$D$6:$D$243,0))/C16,"")</f>
        <v>0.48832118909448297</v>
      </c>
      <c r="E16" s="27">
        <f>SUMIFS('SIMULARE PE PRODUS'!AB$6:AB$243,'SIMULARE PE PRODUS'!$C$6:$C$243,$A16,'SIMULARE PE PRODUS'!$D$6:$D$243,"&gt;0")*SCENARIU!$C$10*SCENARIU!$B$5*SCENARIU!$C$14</f>
        <v>1469006.9398344194</v>
      </c>
      <c r="F16" s="28">
        <f>IFERROR((SUMIFS('SIMULARE PE PRODUS'!$L$6:$L$243,'SIMULARE PE PRODUS'!$C$6:$C$243,$A16,'SIMULARE PE PRODUS'!$D$6:$D$243,"&gt;0")*SCENARIU!$C$10*SCENARIU!$B$5*SCENARIU!$C$14)/E16,"")</f>
        <v>0.46900158870065833</v>
      </c>
      <c r="G16" s="27">
        <f>SUMIFS('SIMULARE PE PRODUS'!AJ$6:AJ$243,'SIMULARE PE PRODUS'!$C$6:$C$243,$A16,'SIMULARE PE PRODUS'!$D$6:$D$243,"&gt;0")*SCENARIU!$D$10*SCENARIU!$B$5*SCENARIU!$D$14</f>
        <v>1748725.2440911145</v>
      </c>
      <c r="H16" s="28">
        <f>IFERROR((SUMIFS('SIMULARE PE PRODUS'!$L$6:$L$243,'SIMULARE PE PRODUS'!$C$6:$C$243,$A16,'SIMULARE PE PRODUS'!$D$6:$D$243,"&gt;0")*SCENARIU!$D$10*SCENARIU!$B$5*SCENARIU!$D$14)/G16,"")</f>
        <v>0.42848388253218822</v>
      </c>
      <c r="I16" s="27">
        <f>SUMIFS('SIMULARE PE PRODUS'!AR$6:AR$243,'SIMULARE PE PRODUS'!$C$6:$C$243,$A16,'SIMULARE PE PRODUS'!$D$6:$D$243,"&gt;0")*SCENARIU!$E$10*SCENARIU!$B$5*SCENARIU!$E$14</f>
        <v>1734163.6409068799</v>
      </c>
      <c r="J16" s="28">
        <f>IFERROR((SUMIFS('SIMULARE PE PRODUS'!$L$6:$L$243,'SIMULARE PE PRODUS'!$C$6:$C$243,$A16,'SIMULARE PE PRODUS'!$D$6:$D$243,"&gt;0")*SCENARIU!$E$10*SCENARIU!$B$5*SCENARIU!$E$14)/I16,"")</f>
        <v>0.41074161014753718</v>
      </c>
      <c r="K16" s="27">
        <f>SUMIFS('SIMULARE PE PRODUS'!AZ$6:AZ$243,'SIMULARE PE PRODUS'!$C$6:$C$243,$A16,'SIMULARE PE PRODUS'!$D$6:$D$243,"&gt;0")*SCENARIU!$F$10*SCENARIU!$B$5*SCENARIU!$F$14</f>
        <v>2258732.9414232676</v>
      </c>
      <c r="L16" s="28">
        <f>IFERROR((SUMIFS('SIMULARE PE PRODUS'!$L$6:$L$243,'SIMULARE PE PRODUS'!$C$6:$C$243,$A16,'SIMULARE PE PRODUS'!$D$6:$D$243,"&gt;0")*SCENARIU!$F$10*SCENARIU!$B$5*SCENARIU!$F$14)/K16,"")</f>
        <v>0.39441022874676307</v>
      </c>
      <c r="M16" s="35">
        <f t="shared" si="0"/>
        <v>-9.3910960347719896E-2</v>
      </c>
      <c r="N16" s="28">
        <f t="shared" si="1"/>
        <v>8.080179860767904E-2</v>
      </c>
      <c r="O16" s="36">
        <f t="shared" si="2"/>
        <v>657135.89529689192</v>
      </c>
      <c r="P16" s="36">
        <f t="shared" si="3"/>
        <v>804240.58175017871</v>
      </c>
      <c r="Q16" s="37">
        <f t="shared" si="4"/>
        <v>0.41030039165359455</v>
      </c>
    </row>
    <row r="17" spans="1:17" x14ac:dyDescent="0.2">
      <c r="A17" s="26" t="s">
        <v>104</v>
      </c>
      <c r="B17" s="27">
        <f>SUMIFS('SIMULARE PE PRODUS'!$F$6:$F$243,'SIMULARE PE PRODUS'!$C$6:$C$243,$A17,'SIMULARE PE PRODUS'!$D$6:$D$243,"&gt;0")*SCENARIU!$B$10*SCENARIU!$B$5+SUMIFS('SIMULARE PE PRODUS'!$G$6:$G$243,'SIMULARE PE PRODUS'!$C$6:$C$243,$A17,'SIMULARE PE PRODUS'!$D$6:$D$243,"&gt;0")*SCENARIU!$B$10*SCENARIU!$B$5+SUMIFS('SIMULARE PE PRODUS'!$F$6:$F$243,'SIMULARE PE PRODUS'!$C$6:$C$243,$A17,'SIMULARE PE PRODUS'!$D$6:$D$243,0)+SUMIFS('SIMULARE PE PRODUS'!$G$6:$G$243,'SIMULARE PE PRODUS'!$C$6:$C$243,$A17,'SIMULARE PE PRODUS'!$D$6:$D$243,0)</f>
        <v>19395.233965714287</v>
      </c>
      <c r="C17" s="27">
        <f>SUMIFS('SIMULARE PE PRODUS'!T$6:T$243,'SIMULARE PE PRODUS'!$C$6:$C$243,$A17,'SIMULARE PE PRODUS'!$D$6:$D$243,"&gt;0")*SCENARIU!$B$10*SCENARIU!$B$5*SCENARIU!$B$14+SUMIFS('SIMULARE PE PRODUS'!T$6:T$243,'SIMULARE PE PRODUS'!$C$6:$C$243,$A17,'SIMULARE PE PRODUS'!$D$6:$D$243,0)</f>
        <v>234693.33626892755</v>
      </c>
      <c r="D17" s="28">
        <f>IFERROR((SUMIFS('SIMULARE PE PRODUS'!$L$6:$L$243,'SIMULARE PE PRODUS'!$C$6:$C$243,$A17,'SIMULARE PE PRODUS'!$D$6:$D$243,"&gt;0")*SCENARIU!$B$10*SCENARIU!$B$5*SCENARIU!$B$14+SUMIFS('SIMULARE PE PRODUS'!$L$6:$L$243,'SIMULARE PE PRODUS'!$C$6:$C$243,$A17,'SIMULARE PE PRODUS'!$D$6:$D$243,0))/C17,"")</f>
        <v>0.42072832592355563</v>
      </c>
      <c r="E17" s="27">
        <f>SUMIFS('SIMULARE PE PRODUS'!AB$6:AB$243,'SIMULARE PE PRODUS'!$C$6:$C$243,$A17,'SIMULARE PE PRODUS'!$D$6:$D$243,"&gt;0")*SCENARIU!$C$10*SCENARIU!$B$5*SCENARIU!$C$14</f>
        <v>206747.41652152457</v>
      </c>
      <c r="F17" s="28">
        <f>IFERROR((SUMIFS('SIMULARE PE PRODUS'!$L$6:$L$243,'SIMULARE PE PRODUS'!$C$6:$C$243,$A17,'SIMULARE PE PRODUS'!$D$6:$D$243,"&gt;0")*SCENARIU!$C$10*SCENARIU!$B$5*SCENARIU!$C$14)/E17,"")</f>
        <v>0.42072832592355569</v>
      </c>
      <c r="G17" s="27">
        <f>SUMIFS('SIMULARE PE PRODUS'!AJ$6:AJ$243,'SIMULARE PE PRODUS'!$C$6:$C$243,$A17,'SIMULARE PE PRODUS'!$D$6:$D$243,"&gt;0")*SCENARIU!$D$10*SCENARIU!$B$5*SCENARIU!$D$14</f>
        <v>225934.19597871404</v>
      </c>
      <c r="H17" s="28">
        <f>IFERROR((SUMIFS('SIMULARE PE PRODUS'!$L$6:$L$243,'SIMULARE PE PRODUS'!$C$6:$C$243,$A17,'SIMULARE PE PRODUS'!$D$6:$D$243,"&gt;0")*SCENARIU!$D$10*SCENARIU!$B$5*SCENARIU!$D$14)/G17,"")</f>
        <v>0.41871429141370264</v>
      </c>
      <c r="I17" s="27">
        <f>SUMIFS('SIMULARE PE PRODUS'!AR$6:AR$243,'SIMULARE PE PRODUS'!$C$6:$C$243,$A17,'SIMULARE PE PRODUS'!$D$6:$D$243,"&gt;0")*SCENARIU!$E$10*SCENARIU!$B$5*SCENARIU!$E$14</f>
        <v>215803.60306460201</v>
      </c>
      <c r="J17" s="28">
        <f>IFERROR((SUMIFS('SIMULARE PE PRODUS'!$L$6:$L$243,'SIMULARE PE PRODUS'!$C$6:$C$243,$A17,'SIMULARE PE PRODUS'!$D$6:$D$243,"&gt;0")*SCENARIU!$E$10*SCENARIU!$B$5*SCENARIU!$E$14)/I17,"")</f>
        <v>0.41671944748131051</v>
      </c>
      <c r="K17" s="27">
        <f>SUMIFS('SIMULARE PE PRODUS'!AZ$6:AZ$243,'SIMULARE PE PRODUS'!$C$6:$C$243,$A17,'SIMULARE PE PRODUS'!$D$6:$D$243,"&gt;0")*SCENARIU!$F$10*SCENARIU!$B$5*SCENARIU!$F$14</f>
        <v>269906.26719312422</v>
      </c>
      <c r="L17" s="28">
        <f>IFERROR((SUMIFS('SIMULARE PE PRODUS'!$L$6:$L$243,'SIMULARE PE PRODUS'!$C$6:$C$243,$A17,'SIMULARE PE PRODUS'!$D$6:$D$243,"&gt;0")*SCENARIU!$F$10*SCENARIU!$B$5*SCENARIU!$F$14)/K17,"")</f>
        <v>0.4167194474813104</v>
      </c>
      <c r="M17" s="35">
        <f t="shared" si="0"/>
        <v>-4.0088784422452339E-3</v>
      </c>
      <c r="N17" s="28">
        <f t="shared" si="1"/>
        <v>1.1840458708157378E-2</v>
      </c>
      <c r="O17" s="36">
        <f t="shared" si="2"/>
        <v>35212.930924196669</v>
      </c>
      <c r="P17" s="36">
        <f t="shared" si="3"/>
        <v>-20381.86231774537</v>
      </c>
      <c r="Q17" s="37">
        <f t="shared" si="4"/>
        <v>0.15003805171463114</v>
      </c>
    </row>
    <row r="18" spans="1:17" x14ac:dyDescent="0.2">
      <c r="A18" s="26" t="s">
        <v>105</v>
      </c>
      <c r="B18" s="27">
        <f>SUMIFS('SIMULARE PE PRODUS'!$F$6:$F$243,'SIMULARE PE PRODUS'!$C$6:$C$243,$A18,'SIMULARE PE PRODUS'!$D$6:$D$243,"&gt;0")*SCENARIU!$B$10*SCENARIU!$B$5+SUMIFS('SIMULARE PE PRODUS'!$G$6:$G$243,'SIMULARE PE PRODUS'!$C$6:$C$243,$A18,'SIMULARE PE PRODUS'!$D$6:$D$243,"&gt;0")*SCENARIU!$B$10*SCENARIU!$B$5+SUMIFS('SIMULARE PE PRODUS'!$F$6:$F$243,'SIMULARE PE PRODUS'!$C$6:$C$243,$A18,'SIMULARE PE PRODUS'!$D$6:$D$243,0)+SUMIFS('SIMULARE PE PRODUS'!$G$6:$G$243,'SIMULARE PE PRODUS'!$C$6:$C$243,$A18,'SIMULARE PE PRODUS'!$D$6:$D$243,0)</f>
        <v>45948.432411428585</v>
      </c>
      <c r="C18" s="27">
        <f>SUMIFS('SIMULARE PE PRODUS'!T$6:T$243,'SIMULARE PE PRODUS'!$C$6:$C$243,$A18,'SIMULARE PE PRODUS'!$D$6:$D$243,"&gt;0")*SCENARIU!$B$10*SCENARIU!$B$5*SCENARIU!$B$14+SUMIFS('SIMULARE PE PRODUS'!T$6:T$243,'SIMULARE PE PRODUS'!$C$6:$C$243,$A18,'SIMULARE PE PRODUS'!$D$6:$D$243,0)</f>
        <v>566672.18799999997</v>
      </c>
      <c r="D18" s="28">
        <f>IFERROR((SUMIFS('SIMULARE PE PRODUS'!$L$6:$L$243,'SIMULARE PE PRODUS'!$C$6:$C$243,$A18,'SIMULARE PE PRODUS'!$D$6:$D$243,"&gt;0")*SCENARIU!$B$10*SCENARIU!$B$5*SCENARIU!$B$14+SUMIFS('SIMULARE PE PRODUS'!$L$6:$L$243,'SIMULARE PE PRODUS'!$C$6:$C$243,$A18,'SIMULARE PE PRODUS'!$D$6:$D$243,0))/C18,"")</f>
        <v>0.39175729138691001</v>
      </c>
      <c r="E18" s="27">
        <f>SUMIFS('SIMULARE PE PRODUS'!AB$6:AB$243,'SIMULARE PE PRODUS'!$C$6:$C$243,$A18,'SIMULARE PE PRODUS'!$D$6:$D$243,"&gt;0")*SCENARIU!$C$10*SCENARIU!$B$5*SCENARIU!$C$14</f>
        <v>499196.15420759999</v>
      </c>
      <c r="F18" s="28">
        <f>IFERROR((SUMIFS('SIMULARE PE PRODUS'!$L$6:$L$243,'SIMULARE PE PRODUS'!$C$6:$C$243,$A18,'SIMULARE PE PRODUS'!$D$6:$D$243,"&gt;0")*SCENARIU!$C$10*SCENARIU!$B$5*SCENARIU!$C$14)/E18,"")</f>
        <v>0.39175729138690996</v>
      </c>
      <c r="G18" s="27">
        <f>SUMIFS('SIMULARE PE PRODUS'!AJ$6:AJ$243,'SIMULARE PE PRODUS'!$C$6:$C$243,$A18,'SIMULARE PE PRODUS'!$D$6:$D$243,"&gt;0")*SCENARIU!$D$10*SCENARIU!$B$5*SCENARIU!$D$14</f>
        <v>563489.52926390141</v>
      </c>
      <c r="H18" s="28">
        <f>IFERROR((SUMIFS('SIMULARE PE PRODUS'!$L$6:$L$243,'SIMULARE PE PRODUS'!$C$6:$C$243,$A18,'SIMULARE PE PRODUS'!$D$6:$D$243,"&gt;0")*SCENARIU!$D$10*SCENARIU!$B$5*SCENARIU!$D$14)/G18,"")</f>
        <v>0.3774508236707802</v>
      </c>
      <c r="I18" s="27">
        <f>SUMIFS('SIMULARE PE PRODUS'!AR$6:AR$243,'SIMULARE PE PRODUS'!$C$6:$C$243,$A18,'SIMULARE PE PRODUS'!$D$6:$D$243,"&gt;0")*SCENARIU!$E$10*SCENARIU!$B$5*SCENARIU!$E$14</f>
        <v>554480.23375241505</v>
      </c>
      <c r="J18" s="28">
        <f>IFERROR((SUMIFS('SIMULARE PE PRODUS'!$L$6:$L$243,'SIMULARE PE PRODUS'!$C$6:$C$243,$A18,'SIMULARE PE PRODUS'!$D$6:$D$243,"&gt;0")*SCENARIU!$E$10*SCENARIU!$B$5*SCENARIU!$E$14)/I18,"")</f>
        <v>0.36463878992848248</v>
      </c>
      <c r="K18" s="27">
        <f>SUMIFS('SIMULARE PE PRODUS'!AZ$6:AZ$243,'SIMULARE PE PRODUS'!$C$6:$C$243,$A18,'SIMULARE PE PRODUS'!$D$6:$D$243,"&gt;0")*SCENARIU!$F$10*SCENARIU!$B$5*SCENARIU!$F$14</f>
        <v>693490.2290750189</v>
      </c>
      <c r="L18" s="28">
        <f>IFERROR((SUMIFS('SIMULARE PE PRODUS'!$L$6:$L$243,'SIMULARE PE PRODUS'!$C$6:$C$243,$A18,'SIMULARE PE PRODUS'!$D$6:$D$243,"&gt;0")*SCENARIU!$F$10*SCENARIU!$B$5*SCENARIU!$F$14)/K18,"")</f>
        <v>0.36463878992848248</v>
      </c>
      <c r="M18" s="35">
        <f t="shared" si="0"/>
        <v>-2.7118501458427535E-2</v>
      </c>
      <c r="N18" s="28">
        <f t="shared" si="1"/>
        <v>2.8589046241120419E-2</v>
      </c>
      <c r="O18" s="36">
        <f t="shared" si="2"/>
        <v>126818.04107501893</v>
      </c>
      <c r="P18" s="36">
        <f t="shared" si="3"/>
        <v>43967.394298935484</v>
      </c>
      <c r="Q18" s="37">
        <f t="shared" si="4"/>
        <v>0.22379436252660945</v>
      </c>
    </row>
    <row r="19" spans="1:17" x14ac:dyDescent="0.2">
      <c r="A19" s="26" t="s">
        <v>106</v>
      </c>
      <c r="B19" s="27">
        <f>SUMIFS('SIMULARE PE PRODUS'!$F$6:$F$243,'SIMULARE PE PRODUS'!$C$6:$C$243,$A19,'SIMULARE PE PRODUS'!$D$6:$D$243,"&gt;0")*SCENARIU!$B$10*SCENARIU!$B$5+SUMIFS('SIMULARE PE PRODUS'!$G$6:$G$243,'SIMULARE PE PRODUS'!$C$6:$C$243,$A19,'SIMULARE PE PRODUS'!$D$6:$D$243,"&gt;0")*SCENARIU!$B$10*SCENARIU!$B$5+SUMIFS('SIMULARE PE PRODUS'!$F$6:$F$243,'SIMULARE PE PRODUS'!$C$6:$C$243,$A19,'SIMULARE PE PRODUS'!$D$6:$D$243,0)+SUMIFS('SIMULARE PE PRODUS'!$G$6:$G$243,'SIMULARE PE PRODUS'!$C$6:$C$243,$A19,'SIMULARE PE PRODUS'!$D$6:$D$243,0)</f>
        <v>21758.870948571432</v>
      </c>
      <c r="C19" s="27">
        <f>SUMIFS('SIMULARE PE PRODUS'!T$6:T$243,'SIMULARE PE PRODUS'!$C$6:$C$243,$A19,'SIMULARE PE PRODUS'!$D$6:$D$243,"&gt;0")*SCENARIU!$B$10*SCENARIU!$B$5*SCENARIU!$B$14+SUMIFS('SIMULARE PE PRODUS'!T$6:T$243,'SIMULARE PE PRODUS'!$C$6:$C$243,$A19,'SIMULARE PE PRODUS'!$D$6:$D$243,0)</f>
        <v>78534.938471042478</v>
      </c>
      <c r="D19" s="28">
        <f>IFERROR((SUMIFS('SIMULARE PE PRODUS'!$L$6:$L$243,'SIMULARE PE PRODUS'!$C$6:$C$243,$A19,'SIMULARE PE PRODUS'!$D$6:$D$243,"&gt;0")*SCENARIU!$B$10*SCENARIU!$B$5*SCENARIU!$B$14+SUMIFS('SIMULARE PE PRODUS'!$L$6:$L$243,'SIMULARE PE PRODUS'!$C$6:$C$243,$A19,'SIMULARE PE PRODUS'!$D$6:$D$243,0))/C19,"")</f>
        <v>0.21565123419404836</v>
      </c>
      <c r="E19" s="27">
        <f>SUMIFS('SIMULARE PE PRODUS'!AB$6:AB$243,'SIMULARE PE PRODUS'!$C$6:$C$243,$A19,'SIMULARE PE PRODUS'!$D$6:$D$243,"&gt;0")*SCENARIU!$C$10*SCENARIU!$B$5*SCENARIU!$C$14</f>
        <v>69183.454007230888</v>
      </c>
      <c r="F19" s="28">
        <f>IFERROR((SUMIFS('SIMULARE PE PRODUS'!$L$6:$L$243,'SIMULARE PE PRODUS'!$C$6:$C$243,$A19,'SIMULARE PE PRODUS'!$D$6:$D$243,"&gt;0")*SCENARIU!$C$10*SCENARIU!$B$5*SCENARIU!$C$14)/E19,"")</f>
        <v>0.21565123419404839</v>
      </c>
      <c r="G19" s="27">
        <f>SUMIFS('SIMULARE PE PRODUS'!AJ$6:AJ$243,'SIMULARE PE PRODUS'!$C$6:$C$243,$A19,'SIMULARE PE PRODUS'!$D$6:$D$243,"&gt;0")*SCENARIU!$D$10*SCENARIU!$B$5*SCENARIU!$D$14</f>
        <v>75241.968500951669</v>
      </c>
      <c r="H19" s="28">
        <f>IFERROR((SUMIFS('SIMULARE PE PRODUS'!$L$6:$L$243,'SIMULARE PE PRODUS'!$C$6:$C$243,$A19,'SIMULARE PE PRODUS'!$D$6:$D$243,"&gt;0")*SCENARIU!$D$10*SCENARIU!$B$5*SCENARIU!$D$14)/G19,"")</f>
        <v>0.21565123419404836</v>
      </c>
      <c r="I19" s="27">
        <f>SUMIFS('SIMULARE PE PRODUS'!AR$6:AR$243,'SIMULARE PE PRODUS'!$C$6:$C$243,$A19,'SIMULARE PE PRODUS'!$D$6:$D$243,"&gt;0")*SCENARIU!$E$10*SCENARIU!$B$5*SCENARIU!$E$14</f>
        <v>71525.821881757525</v>
      </c>
      <c r="J19" s="28">
        <f>IFERROR((SUMIFS('SIMULARE PE PRODUS'!$L$6:$L$243,'SIMULARE PE PRODUS'!$C$6:$C$243,$A19,'SIMULARE PE PRODUS'!$D$6:$D$243,"&gt;0")*SCENARIU!$E$10*SCENARIU!$B$5*SCENARIU!$E$14)/I19,"")</f>
        <v>0.21565123419404841</v>
      </c>
      <c r="K19" s="27">
        <f>SUMIFS('SIMULARE PE PRODUS'!AZ$6:AZ$243,'SIMULARE PE PRODUS'!$C$6:$C$243,$A19,'SIMULARE PE PRODUS'!$D$6:$D$243,"&gt;0")*SCENARIU!$F$10*SCENARIU!$B$5*SCENARIU!$F$14</f>
        <v>89457.577713595078</v>
      </c>
      <c r="L19" s="28">
        <f>IFERROR((SUMIFS('SIMULARE PE PRODUS'!$L$6:$L$243,'SIMULARE PE PRODUS'!$C$6:$C$243,$A19,'SIMULARE PE PRODUS'!$D$6:$D$243,"&gt;0")*SCENARIU!$F$10*SCENARIU!$B$5*SCENARIU!$F$14)/K19,"")</f>
        <v>0.21565123419404839</v>
      </c>
      <c r="M19" s="35">
        <f t="shared" si="0"/>
        <v>2.7755575615628914E-17</v>
      </c>
      <c r="N19" s="28">
        <f t="shared" si="1"/>
        <v>3.9621478432115683E-3</v>
      </c>
      <c r="O19" s="36">
        <f t="shared" si="2"/>
        <v>10922.639242552599</v>
      </c>
      <c r="P19" s="36">
        <f t="shared" si="3"/>
        <v>-8730.9317806347535</v>
      </c>
      <c r="Q19" s="37">
        <f t="shared" si="4"/>
        <v>0.13908000000000009</v>
      </c>
    </row>
    <row r="20" spans="1:17" x14ac:dyDescent="0.2">
      <c r="A20" s="26" t="s">
        <v>107</v>
      </c>
      <c r="B20" s="27">
        <f>SUMIFS('SIMULARE PE PRODUS'!$F$6:$F$243,'SIMULARE PE PRODUS'!$C$6:$C$243,$A20,'SIMULARE PE PRODUS'!$D$6:$D$243,"&gt;0")*SCENARIU!$B$10*SCENARIU!$B$5+SUMIFS('SIMULARE PE PRODUS'!$G$6:$G$243,'SIMULARE PE PRODUS'!$C$6:$C$243,$A20,'SIMULARE PE PRODUS'!$D$6:$D$243,"&gt;0")*SCENARIU!$B$10*SCENARIU!$B$5+SUMIFS('SIMULARE PE PRODUS'!$F$6:$F$243,'SIMULARE PE PRODUS'!$C$6:$C$243,$A20,'SIMULARE PE PRODUS'!$D$6:$D$243,0)+SUMIFS('SIMULARE PE PRODUS'!$G$6:$G$243,'SIMULARE PE PRODUS'!$C$6:$C$243,$A20,'SIMULARE PE PRODUS'!$D$6:$D$243,0)</f>
        <v>11537.398251428574</v>
      </c>
      <c r="C20" s="27">
        <f>SUMIFS('SIMULARE PE PRODUS'!T$6:T$243,'SIMULARE PE PRODUS'!$C$6:$C$243,$A20,'SIMULARE PE PRODUS'!$D$6:$D$243,"&gt;0")*SCENARIU!$B$10*SCENARIU!$B$5*SCENARIU!$B$14+SUMIFS('SIMULARE PE PRODUS'!T$6:T$243,'SIMULARE PE PRODUS'!$C$6:$C$243,$A20,'SIMULARE PE PRODUS'!$D$6:$D$243,0)</f>
        <v>149863.32130501926</v>
      </c>
      <c r="D20" s="28">
        <f>IFERROR((SUMIFS('SIMULARE PE PRODUS'!$L$6:$L$243,'SIMULARE PE PRODUS'!$C$6:$C$243,$A20,'SIMULARE PE PRODUS'!$D$6:$D$243,"&gt;0")*SCENARIU!$B$10*SCENARIU!$B$5*SCENARIU!$B$14+SUMIFS('SIMULARE PE PRODUS'!$L$6:$L$243,'SIMULARE PE PRODUS'!$C$6:$C$243,$A20,'SIMULARE PE PRODUS'!$D$6:$D$243,0))/C20,"")</f>
        <v>0.38831584751940462</v>
      </c>
      <c r="E20" s="27">
        <f>SUMIFS('SIMULARE PE PRODUS'!AB$6:AB$243,'SIMULARE PE PRODUS'!$C$6:$C$243,$A20,'SIMULARE PE PRODUS'!$D$6:$D$243,"&gt;0")*SCENARIU!$C$10*SCENARIU!$B$5*SCENARIU!$C$14</f>
        <v>132780.94527203863</v>
      </c>
      <c r="F20" s="28">
        <f>IFERROR((SUMIFS('SIMULARE PE PRODUS'!$L$6:$L$243,'SIMULARE PE PRODUS'!$C$6:$C$243,$A20,'SIMULARE PE PRODUS'!$D$6:$D$243,"&gt;0")*SCENARIU!$C$10*SCENARIU!$B$5*SCENARIU!$C$14)/E20,"")</f>
        <v>0.38608599197318805</v>
      </c>
      <c r="G20" s="27">
        <f>SUMIFS('SIMULARE PE PRODUS'!AJ$6:AJ$243,'SIMULARE PE PRODUS'!$C$6:$C$243,$A20,'SIMULARE PE PRODUS'!$D$6:$D$243,"&gt;0")*SCENARIU!$D$10*SCENARIU!$B$5*SCENARIU!$D$14</f>
        <v>144408.80185948955</v>
      </c>
      <c r="H20" s="28">
        <f>IFERROR((SUMIFS('SIMULARE PE PRODUS'!$L$6:$L$243,'SIMULARE PE PRODUS'!$C$6:$C$243,$A20,'SIMULARE PE PRODUS'!$D$6:$D$243,"&gt;0")*SCENARIU!$D$10*SCENARIU!$B$5*SCENARIU!$D$14)/G20,"")</f>
        <v>0.38608599197318821</v>
      </c>
      <c r="I20" s="27">
        <f>SUMIFS('SIMULARE PE PRODUS'!AR$6:AR$243,'SIMULARE PE PRODUS'!$C$6:$C$243,$A20,'SIMULARE PE PRODUS'!$D$6:$D$243,"&gt;0")*SCENARIU!$E$10*SCENARIU!$B$5*SCENARIU!$E$14</f>
        <v>137276.55516919692</v>
      </c>
      <c r="J20" s="28">
        <f>IFERROR((SUMIFS('SIMULARE PE PRODUS'!$L$6:$L$243,'SIMULARE PE PRODUS'!$C$6:$C$243,$A20,'SIMULARE PE PRODUS'!$D$6:$D$243,"&gt;0")*SCENARIU!$E$10*SCENARIU!$B$5*SCENARIU!$E$14)/I20,"")</f>
        <v>0.3860859919731881</v>
      </c>
      <c r="K20" s="27">
        <f>SUMIFS('SIMULARE PE PRODUS'!AZ$6:AZ$243,'SIMULARE PE PRODUS'!$C$6:$C$243,$A20,'SIMULARE PE PRODUS'!$D$6:$D$243,"&gt;0")*SCENARIU!$F$10*SCENARIU!$B$5*SCENARIU!$F$14</f>
        <v>173624.63918393577</v>
      </c>
      <c r="L20" s="28">
        <f>IFERROR((SUMIFS('SIMULARE PE PRODUS'!$L$6:$L$243,'SIMULARE PE PRODUS'!$C$6:$C$243,$A20,'SIMULARE PE PRODUS'!$D$6:$D$243,"&gt;0")*SCENARIU!$F$10*SCENARIU!$B$5*SCENARIU!$F$14)/K20,"")</f>
        <v>0.3817889358631899</v>
      </c>
      <c r="M20" s="35">
        <f t="shared" si="0"/>
        <v>-6.5269116562147178E-3</v>
      </c>
      <c r="N20" s="28">
        <f t="shared" si="1"/>
        <v>7.5607194306791759E-3</v>
      </c>
      <c r="O20" s="36">
        <f t="shared" si="2"/>
        <v>23761.31787891651</v>
      </c>
      <c r="P20" s="36">
        <f t="shared" si="3"/>
        <v>-11362.343735416158</v>
      </c>
      <c r="Q20" s="37">
        <f t="shared" si="4"/>
        <v>0.15855325820888955</v>
      </c>
    </row>
    <row r="21" spans="1:17" x14ac:dyDescent="0.2">
      <c r="A21" s="26" t="s">
        <v>108</v>
      </c>
      <c r="B21" s="27">
        <f>SUMIFS('SIMULARE PE PRODUS'!$F$6:$F$243,'SIMULARE PE PRODUS'!$C$6:$C$243,$A21,'SIMULARE PE PRODUS'!$D$6:$D$243,"&gt;0")*SCENARIU!$B$10*SCENARIU!$B$5+SUMIFS('SIMULARE PE PRODUS'!$G$6:$G$243,'SIMULARE PE PRODUS'!$C$6:$C$243,$A21,'SIMULARE PE PRODUS'!$D$6:$D$243,"&gt;0")*SCENARIU!$B$10*SCENARIU!$B$5+SUMIFS('SIMULARE PE PRODUS'!$F$6:$F$243,'SIMULARE PE PRODUS'!$C$6:$C$243,$A21,'SIMULARE PE PRODUS'!$D$6:$D$243,0)+SUMIFS('SIMULARE PE PRODUS'!$G$6:$G$243,'SIMULARE PE PRODUS'!$C$6:$C$243,$A21,'SIMULARE PE PRODUS'!$D$6:$D$243,0)</f>
        <v>3666.99</v>
      </c>
      <c r="C21" s="27">
        <f>SUMIFS('SIMULARE PE PRODUS'!T$6:T$243,'SIMULARE PE PRODUS'!$C$6:$C$243,$A21,'SIMULARE PE PRODUS'!$D$6:$D$243,"&gt;0")*SCENARIU!$B$10*SCENARIU!$B$5*SCENARIU!$B$14+SUMIFS('SIMULARE PE PRODUS'!T$6:T$243,'SIMULARE PE PRODUS'!$C$6:$C$243,$A21,'SIMULARE PE PRODUS'!$D$6:$D$243,0)</f>
        <v>63500.751413127407</v>
      </c>
      <c r="D21" s="28">
        <f>IFERROR((SUMIFS('SIMULARE PE PRODUS'!$L$6:$L$243,'SIMULARE PE PRODUS'!$C$6:$C$243,$A21,'SIMULARE PE PRODUS'!$D$6:$D$243,"&gt;0")*SCENARIU!$B$10*SCENARIU!$B$5*SCENARIU!$B$14+SUMIFS('SIMULARE PE PRODUS'!$L$6:$L$243,'SIMULARE PE PRODUS'!$C$6:$C$243,$A21,'SIMULARE PE PRODUS'!$D$6:$D$243,0))/C21,"")</f>
        <v>0.39930665687674666</v>
      </c>
      <c r="E21" s="27">
        <f>SUMIFS('SIMULARE PE PRODUS'!AB$6:AB$243,'SIMULARE PE PRODUS'!$C$6:$C$243,$A21,'SIMULARE PE PRODUS'!$D$6:$D$243,"&gt;0")*SCENARIU!$C$10*SCENARIU!$B$5*SCENARIU!$C$14</f>
        <v>55939.450648892656</v>
      </c>
      <c r="F21" s="28">
        <f>IFERROR((SUMIFS('SIMULARE PE PRODUS'!$L$6:$L$243,'SIMULARE PE PRODUS'!$C$6:$C$243,$A21,'SIMULARE PE PRODUS'!$D$6:$D$243,"&gt;0")*SCENARIU!$C$10*SCENARIU!$B$5*SCENARIU!$C$14)/E21,"")</f>
        <v>0.3993066568767466</v>
      </c>
      <c r="G21" s="27">
        <f>SUMIFS('SIMULARE PE PRODUS'!AJ$6:AJ$243,'SIMULARE PE PRODUS'!$C$6:$C$243,$A21,'SIMULARE PE PRODUS'!$D$6:$D$243,"&gt;0")*SCENARIU!$D$10*SCENARIU!$B$5*SCENARIU!$D$14</f>
        <v>60838.164906374972</v>
      </c>
      <c r="H21" s="28">
        <f>IFERROR((SUMIFS('SIMULARE PE PRODUS'!$L$6:$L$243,'SIMULARE PE PRODUS'!$C$6:$C$243,$A21,'SIMULARE PE PRODUS'!$D$6:$D$243,"&gt;0")*SCENARIU!$D$10*SCENARIU!$B$5*SCENARIU!$D$14)/G21,"")</f>
        <v>0.39930665687674666</v>
      </c>
      <c r="I21" s="27">
        <f>SUMIFS('SIMULARE PE PRODUS'!AR$6:AR$243,'SIMULARE PE PRODUS'!$C$6:$C$243,$A21,'SIMULARE PE PRODUS'!$D$6:$D$243,"&gt;0")*SCENARIU!$E$10*SCENARIU!$B$5*SCENARIU!$E$14</f>
        <v>57833.411770072569</v>
      </c>
      <c r="J21" s="28">
        <f>IFERROR((SUMIFS('SIMULARE PE PRODUS'!$L$6:$L$243,'SIMULARE PE PRODUS'!$C$6:$C$243,$A21,'SIMULARE PE PRODUS'!$D$6:$D$243,"&gt;0")*SCENARIU!$E$10*SCENARIU!$B$5*SCENARIU!$E$14)/I21,"")</f>
        <v>0.39930665687674671</v>
      </c>
      <c r="K21" s="27">
        <f>SUMIFS('SIMULARE PE PRODUS'!AZ$6:AZ$243,'SIMULARE PE PRODUS'!$C$6:$C$243,$A21,'SIMULARE PE PRODUS'!$D$6:$D$243,"&gt;0")*SCENARIU!$F$10*SCENARIU!$B$5*SCENARIU!$F$14</f>
        <v>72332.435919665179</v>
      </c>
      <c r="L21" s="28">
        <f>IFERROR((SUMIFS('SIMULARE PE PRODUS'!$L$6:$L$243,'SIMULARE PE PRODUS'!$C$6:$C$243,$A21,'SIMULARE PE PRODUS'!$D$6:$D$243,"&gt;0")*SCENARIU!$F$10*SCENARIU!$B$5*SCENARIU!$F$14)/K21,"")</f>
        <v>0.3993066568767466</v>
      </c>
      <c r="M21" s="35">
        <f t="shared" si="0"/>
        <v>-5.5511151231257827E-17</v>
      </c>
      <c r="N21" s="28">
        <f t="shared" si="1"/>
        <v>3.2036615823746628E-3</v>
      </c>
      <c r="O21" s="36">
        <f t="shared" si="2"/>
        <v>8831.6845065377711</v>
      </c>
      <c r="P21" s="36">
        <f t="shared" si="3"/>
        <v>-7059.5424075042538</v>
      </c>
      <c r="Q21" s="37">
        <f t="shared" si="4"/>
        <v>0.13908000000000009</v>
      </c>
    </row>
    <row r="22" spans="1:17" x14ac:dyDescent="0.2">
      <c r="A22" s="26" t="s">
        <v>109</v>
      </c>
      <c r="B22" s="27">
        <f>SUMIFS('SIMULARE PE PRODUS'!$F$6:$F$243,'SIMULARE PE PRODUS'!$C$6:$C$243,$A22,'SIMULARE PE PRODUS'!$D$6:$D$243,"&gt;0")*SCENARIU!$B$10*SCENARIU!$B$5+SUMIFS('SIMULARE PE PRODUS'!$G$6:$G$243,'SIMULARE PE PRODUS'!$C$6:$C$243,$A22,'SIMULARE PE PRODUS'!$D$6:$D$243,"&gt;0")*SCENARIU!$B$10*SCENARIU!$B$5+SUMIFS('SIMULARE PE PRODUS'!$F$6:$F$243,'SIMULARE PE PRODUS'!$C$6:$C$243,$A22,'SIMULARE PE PRODUS'!$D$6:$D$243,0)+SUMIFS('SIMULARE PE PRODUS'!$G$6:$G$243,'SIMULARE PE PRODUS'!$C$6:$C$243,$A22,'SIMULARE PE PRODUS'!$D$6:$D$243,0)</f>
        <v>5913.283302857144</v>
      </c>
      <c r="C22" s="27">
        <f>SUMIFS('SIMULARE PE PRODUS'!T$6:T$243,'SIMULARE PE PRODUS'!$C$6:$C$243,$A22,'SIMULARE PE PRODUS'!$D$6:$D$243,"&gt;0")*SCENARIU!$B$10*SCENARIU!$B$5*SCENARIU!$B$14+SUMIFS('SIMULARE PE PRODUS'!T$6:T$243,'SIMULARE PE PRODUS'!$C$6:$C$243,$A22,'SIMULARE PE PRODUS'!$D$6:$D$243,0)</f>
        <v>207764.00793822392</v>
      </c>
      <c r="D22" s="28">
        <f>IFERROR((SUMIFS('SIMULARE PE PRODUS'!$L$6:$L$243,'SIMULARE PE PRODUS'!$C$6:$C$243,$A22,'SIMULARE PE PRODUS'!$D$6:$D$243,"&gt;0")*SCENARIU!$B$10*SCENARIU!$B$5*SCENARIU!$B$14+SUMIFS('SIMULARE PE PRODUS'!$L$6:$L$243,'SIMULARE PE PRODUS'!$C$6:$C$243,$A22,'SIMULARE PE PRODUS'!$D$6:$D$243,0))/C22,"")</f>
        <v>0.61837977700103597</v>
      </c>
      <c r="E22" s="27">
        <f>SUMIFS('SIMULARE PE PRODUS'!AB$6:AB$243,'SIMULARE PE PRODUS'!$C$6:$C$243,$A22,'SIMULARE PE PRODUS'!$D$6:$D$243,"&gt;0")*SCENARIU!$C$10*SCENARIU!$B$5*SCENARIU!$C$14</f>
        <v>183024.67624459919</v>
      </c>
      <c r="F22" s="28">
        <f>IFERROR((SUMIFS('SIMULARE PE PRODUS'!$L$6:$L$243,'SIMULARE PE PRODUS'!$C$6:$C$243,$A22,'SIMULARE PE PRODUS'!$D$6:$D$243,"&gt;0")*SCENARIU!$C$10*SCENARIU!$B$5*SCENARIU!$C$14)/E22,"")</f>
        <v>0.61837977700103608</v>
      </c>
      <c r="G22" s="27">
        <f>SUMIFS('SIMULARE PE PRODUS'!AJ$6:AJ$243,'SIMULARE PE PRODUS'!$C$6:$C$243,$A22,'SIMULARE PE PRODUS'!$D$6:$D$243,"&gt;0")*SCENARIU!$D$10*SCENARIU!$B$5*SCENARIU!$D$14</f>
        <v>199052.46308537418</v>
      </c>
      <c r="H22" s="28">
        <f>IFERROR((SUMIFS('SIMULARE PE PRODUS'!$L$6:$L$243,'SIMULARE PE PRODUS'!$C$6:$C$243,$A22,'SIMULARE PE PRODUS'!$D$6:$D$243,"&gt;0")*SCENARIU!$D$10*SCENARIU!$B$5*SCENARIU!$D$14)/G22,"")</f>
        <v>0.61837977700103597</v>
      </c>
      <c r="I22" s="27">
        <f>SUMIFS('SIMULARE PE PRODUS'!AR$6:AR$243,'SIMULARE PE PRODUS'!$C$6:$C$243,$A22,'SIMULARE PE PRODUS'!$D$6:$D$243,"&gt;0")*SCENARIU!$E$10*SCENARIU!$B$5*SCENARIU!$E$14</f>
        <v>189221.40533297602</v>
      </c>
      <c r="J22" s="28">
        <f>IFERROR((SUMIFS('SIMULARE PE PRODUS'!$L$6:$L$243,'SIMULARE PE PRODUS'!$C$6:$C$243,$A22,'SIMULARE PE PRODUS'!$D$6:$D$243,"&gt;0")*SCENARIU!$E$10*SCENARIU!$B$5*SCENARIU!$E$14)/I22,"")</f>
        <v>0.61837977700103608</v>
      </c>
      <c r="K22" s="27">
        <f>SUMIFS('SIMULARE PE PRODUS'!AZ$6:AZ$243,'SIMULARE PE PRODUS'!$C$6:$C$243,$A22,'SIMULARE PE PRODUS'!$D$6:$D$243,"&gt;0")*SCENARIU!$F$10*SCENARIU!$B$5*SCENARIU!$F$14</f>
        <v>236659.82616227213</v>
      </c>
      <c r="L22" s="28">
        <f>IFERROR((SUMIFS('SIMULARE PE PRODUS'!$L$6:$L$243,'SIMULARE PE PRODUS'!$C$6:$C$243,$A22,'SIMULARE PE PRODUS'!$D$6:$D$243,"&gt;0")*SCENARIU!$F$10*SCENARIU!$B$5*SCENARIU!$F$14)/K22,"")</f>
        <v>0.61837977700103586</v>
      </c>
      <c r="M22" s="35">
        <f t="shared" si="0"/>
        <v>-1.1102230246251565E-16</v>
      </c>
      <c r="N22" s="28">
        <f t="shared" si="1"/>
        <v>1.0481853452434468E-2</v>
      </c>
      <c r="O22" s="36">
        <f t="shared" si="2"/>
        <v>28895.818224048213</v>
      </c>
      <c r="P22" s="36">
        <f t="shared" si="3"/>
        <v>-23097.660927674151</v>
      </c>
      <c r="Q22" s="37">
        <f t="shared" si="4"/>
        <v>0.13908000000000009</v>
      </c>
    </row>
    <row r="23" spans="1:17" x14ac:dyDescent="0.2">
      <c r="A23" s="26" t="s">
        <v>110</v>
      </c>
      <c r="B23" s="27">
        <f>SUMIFS('SIMULARE PE PRODUS'!$F$6:$F$243,'SIMULARE PE PRODUS'!$C$6:$C$243,$A23,'SIMULARE PE PRODUS'!$D$6:$D$243,"&gt;0")*SCENARIU!$B$10*SCENARIU!$B$5+SUMIFS('SIMULARE PE PRODUS'!$G$6:$G$243,'SIMULARE PE PRODUS'!$C$6:$C$243,$A23,'SIMULARE PE PRODUS'!$D$6:$D$243,"&gt;0")*SCENARIU!$B$10*SCENARIU!$B$5+SUMIFS('SIMULARE PE PRODUS'!$F$6:$F$243,'SIMULARE PE PRODUS'!$C$6:$C$243,$A23,'SIMULARE PE PRODUS'!$D$6:$D$243,0)+SUMIFS('SIMULARE PE PRODUS'!$G$6:$G$243,'SIMULARE PE PRODUS'!$C$6:$C$243,$A23,'SIMULARE PE PRODUS'!$D$6:$D$243,0)</f>
        <v>924.38169142857146</v>
      </c>
      <c r="C23" s="27">
        <f>SUMIFS('SIMULARE PE PRODUS'!T$6:T$243,'SIMULARE PE PRODUS'!$C$6:$C$243,$A23,'SIMULARE PE PRODUS'!$D$6:$D$243,"&gt;0")*SCENARIU!$B$10*SCENARIU!$B$5*SCENARIU!$B$14+SUMIFS('SIMULARE PE PRODUS'!T$6:T$243,'SIMULARE PE PRODUS'!$C$6:$C$243,$A23,'SIMULARE PE PRODUS'!$D$6:$D$243,0)</f>
        <v>26017.084828828829</v>
      </c>
      <c r="D23" s="28">
        <f>IFERROR((SUMIFS('SIMULARE PE PRODUS'!$L$6:$L$243,'SIMULARE PE PRODUS'!$C$6:$C$243,$A23,'SIMULARE PE PRODUS'!$D$6:$D$243,"&gt;0")*SCENARIU!$B$10*SCENARIU!$B$5*SCENARIU!$B$14+SUMIFS('SIMULARE PE PRODUS'!$L$6:$L$243,'SIMULARE PE PRODUS'!$C$6:$C$243,$A23,'SIMULARE PE PRODUS'!$D$6:$D$243,0))/C23,"")</f>
        <v>0.55048148768924032</v>
      </c>
      <c r="E23" s="27">
        <f>SUMIFS('SIMULARE PE PRODUS'!AB$6:AB$243,'SIMULARE PE PRODUS'!$C$6:$C$243,$A23,'SIMULARE PE PRODUS'!$D$6:$D$243,"&gt;0")*SCENARIU!$C$10*SCENARIU!$B$5*SCENARIU!$C$14</f>
        <v>1117.525145254054</v>
      </c>
      <c r="F23" s="28">
        <f>IFERROR((SUMIFS('SIMULARE PE PRODUS'!$L$6:$L$243,'SIMULARE PE PRODUS'!$C$6:$C$243,$A23,'SIMULARE PE PRODUS'!$D$6:$D$243,"&gt;0")*SCENARIU!$C$10*SCENARIU!$B$5*SCENARIU!$C$14)/E23,"")</f>
        <v>0.6833199642857144</v>
      </c>
      <c r="G23" s="27">
        <f>SUMIFS('SIMULARE PE PRODUS'!AJ$6:AJ$243,'SIMULARE PE PRODUS'!$C$6:$C$243,$A23,'SIMULARE PE PRODUS'!$D$6:$D$243,"&gt;0")*SCENARIU!$D$10*SCENARIU!$B$5*SCENARIU!$D$14</f>
        <v>1215.3887513254053</v>
      </c>
      <c r="H23" s="28">
        <f>IFERROR((SUMIFS('SIMULARE PE PRODUS'!$L$6:$L$243,'SIMULARE PE PRODUS'!$C$6:$C$243,$A23,'SIMULARE PE PRODUS'!$D$6:$D$243,"&gt;0")*SCENARIU!$D$10*SCENARIU!$B$5*SCENARIU!$D$14)/G23,"")</f>
        <v>0.68331996428571451</v>
      </c>
      <c r="I23" s="27">
        <f>SUMIFS('SIMULARE PE PRODUS'!AR$6:AR$243,'SIMULARE PE PRODUS'!$C$6:$C$243,$A23,'SIMULARE PE PRODUS'!$D$6:$D$243,"&gt;0")*SCENARIU!$E$10*SCENARIU!$B$5*SCENARIU!$E$14</f>
        <v>1155.3615764756755</v>
      </c>
      <c r="J23" s="28">
        <f>IFERROR((SUMIFS('SIMULARE PE PRODUS'!$L$6:$L$243,'SIMULARE PE PRODUS'!$C$6:$C$243,$A23,'SIMULARE PE PRODUS'!$D$6:$D$243,"&gt;0")*SCENARIU!$E$10*SCENARIU!$B$5*SCENARIU!$E$14)/I23,"")</f>
        <v>0.6833199642857144</v>
      </c>
      <c r="K23" s="27">
        <f>SUMIFS('SIMULARE PE PRODUS'!AZ$6:AZ$243,'SIMULARE PE PRODUS'!$C$6:$C$243,$A23,'SIMULARE PE PRODUS'!$D$6:$D$243,"&gt;0")*SCENARIU!$F$10*SCENARIU!$B$5*SCENARIU!$F$14</f>
        <v>1445.0144758313513</v>
      </c>
      <c r="L23" s="28">
        <f>IFERROR((SUMIFS('SIMULARE PE PRODUS'!$L$6:$L$243,'SIMULARE PE PRODUS'!$C$6:$C$243,$A23,'SIMULARE PE PRODUS'!$D$6:$D$243,"&gt;0")*SCENARIU!$F$10*SCENARIU!$B$5*SCENARIU!$F$14)/K23,"")</f>
        <v>0.68331996428571462</v>
      </c>
      <c r="M23" s="35">
        <f t="shared" si="0"/>
        <v>0.1328384765964743</v>
      </c>
      <c r="N23" s="28">
        <f t="shared" si="1"/>
        <v>1.3125818718149971E-3</v>
      </c>
      <c r="O23" s="36">
        <f t="shared" si="2"/>
        <v>-24572.070352997478</v>
      </c>
      <c r="P23" s="36">
        <f t="shared" si="3"/>
        <v>-99135.049366428837</v>
      </c>
      <c r="Q23" s="37">
        <f t="shared" si="4"/>
        <v>-0.94445901662932774</v>
      </c>
    </row>
    <row r="24" spans="1:17" x14ac:dyDescent="0.2">
      <c r="A24" s="26" t="s">
        <v>111</v>
      </c>
      <c r="B24" s="27">
        <f>SUMIFS('SIMULARE PE PRODUS'!$F$6:$F$243,'SIMULARE PE PRODUS'!$C$6:$C$243,$A24,'SIMULARE PE PRODUS'!$D$6:$D$243,"&gt;0")*SCENARIU!$B$10*SCENARIU!$B$5+SUMIFS('SIMULARE PE PRODUS'!$G$6:$G$243,'SIMULARE PE PRODUS'!$C$6:$C$243,$A24,'SIMULARE PE PRODUS'!$D$6:$D$243,"&gt;0")*SCENARIU!$B$10*SCENARIU!$B$5+SUMIFS('SIMULARE PE PRODUS'!$F$6:$F$243,'SIMULARE PE PRODUS'!$C$6:$C$243,$A24,'SIMULARE PE PRODUS'!$D$6:$D$243,0)+SUMIFS('SIMULARE PE PRODUS'!$G$6:$G$243,'SIMULARE PE PRODUS'!$C$6:$C$243,$A24,'SIMULARE PE PRODUS'!$D$6:$D$243,0)</f>
        <v>264.02328</v>
      </c>
      <c r="C24" s="27">
        <f>SUMIFS('SIMULARE PE PRODUS'!T$6:T$243,'SIMULARE PE PRODUS'!$C$6:$C$243,$A24,'SIMULARE PE PRODUS'!$D$6:$D$243,"&gt;0")*SCENARIU!$B$10*SCENARIU!$B$5*SCENARIU!$B$14+SUMIFS('SIMULARE PE PRODUS'!T$6:T$243,'SIMULARE PE PRODUS'!$C$6:$C$243,$A24,'SIMULARE PE PRODUS'!$D$6:$D$243,0)</f>
        <v>9797.9201992916187</v>
      </c>
      <c r="D24" s="28">
        <f>IFERROR((SUMIFS('SIMULARE PE PRODUS'!$L$6:$L$243,'SIMULARE PE PRODUS'!$C$6:$C$243,$A24,'SIMULARE PE PRODUS'!$D$6:$D$243,"&gt;0")*SCENARIU!$B$10*SCENARIU!$B$5*SCENARIU!$B$14+SUMIFS('SIMULARE PE PRODUS'!$L$6:$L$243,'SIMULARE PE PRODUS'!$C$6:$C$243,$A24,'SIMULARE PE PRODUS'!$D$6:$D$243,0))/C24,"")</f>
        <v>0.65938605465021738</v>
      </c>
      <c r="E24" s="27">
        <f>SUMIFS('SIMULARE PE PRODUS'!AB$6:AB$243,'SIMULARE PE PRODUS'!$C$6:$C$243,$A24,'SIMULARE PE PRODUS'!$D$6:$D$243,"&gt;0")*SCENARIU!$C$10*SCENARIU!$B$5*SCENARIU!$C$14</f>
        <v>8631.2407531095178</v>
      </c>
      <c r="F24" s="28">
        <f>IFERROR((SUMIFS('SIMULARE PE PRODUS'!$L$6:$L$243,'SIMULARE PE PRODUS'!$C$6:$C$243,$A24,'SIMULARE PE PRODUS'!$D$6:$D$243,"&gt;0")*SCENARIU!$C$10*SCENARIU!$B$5*SCENARIU!$C$14)/E24,"")</f>
        <v>0.65938605465021716</v>
      </c>
      <c r="G24" s="27">
        <f>SUMIFS('SIMULARE PE PRODUS'!AJ$6:AJ$243,'SIMULARE PE PRODUS'!$C$6:$C$243,$A24,'SIMULARE PE PRODUS'!$D$6:$D$243,"&gt;0")*SCENARIU!$D$10*SCENARIU!$B$5*SCENARIU!$D$14</f>
        <v>9387.0934053353212</v>
      </c>
      <c r="H24" s="28">
        <f>IFERROR((SUMIFS('SIMULARE PE PRODUS'!$L$6:$L$243,'SIMULARE PE PRODUS'!$C$6:$C$243,$A24,'SIMULARE PE PRODUS'!$D$6:$D$243,"&gt;0")*SCENARIU!$D$10*SCENARIU!$B$5*SCENARIU!$D$14)/G24,"")</f>
        <v>0.65938605465021738</v>
      </c>
      <c r="I24" s="27">
        <f>SUMIFS('SIMULARE PE PRODUS'!AR$6:AR$243,'SIMULARE PE PRODUS'!$C$6:$C$243,$A24,'SIMULARE PE PRODUS'!$D$6:$D$243,"&gt;0")*SCENARIU!$E$10*SCENARIU!$B$5*SCENARIU!$E$14</f>
        <v>8923.4716246019379</v>
      </c>
      <c r="J24" s="28">
        <f>IFERROR((SUMIFS('SIMULARE PE PRODUS'!$L$6:$L$243,'SIMULARE PE PRODUS'!$C$6:$C$243,$A24,'SIMULARE PE PRODUS'!$D$6:$D$243,"&gt;0")*SCENARIU!$E$10*SCENARIU!$B$5*SCENARIU!$E$14)/I24,"")</f>
        <v>0.65938605465021716</v>
      </c>
      <c r="K24" s="27">
        <f>SUMIFS('SIMULARE PE PRODUS'!AZ$6:AZ$243,'SIMULARE PE PRODUS'!$C$6:$C$243,$A24,'SIMULARE PE PRODUS'!$D$6:$D$243,"&gt;0")*SCENARIU!$F$10*SCENARIU!$B$5*SCENARIU!$F$14</f>
        <v>11160.614940609097</v>
      </c>
      <c r="L24" s="28">
        <f>IFERROR((SUMIFS('SIMULARE PE PRODUS'!$L$6:$L$243,'SIMULARE PE PRODUS'!$C$6:$C$243,$A24,'SIMULARE PE PRODUS'!$D$6:$D$243,"&gt;0")*SCENARIU!$F$10*SCENARIU!$B$5*SCENARIU!$F$14)/K24,"")</f>
        <v>0.65938605465021738</v>
      </c>
      <c r="M24" s="35">
        <f t="shared" si="0"/>
        <v>0</v>
      </c>
      <c r="N24" s="28">
        <f t="shared" si="1"/>
        <v>4.9431258419966066E-4</v>
      </c>
      <c r="O24" s="36">
        <f t="shared" si="2"/>
        <v>1362.6947413174785</v>
      </c>
      <c r="P24" s="36">
        <f t="shared" si="3"/>
        <v>-1089.2600735106007</v>
      </c>
      <c r="Q24" s="37">
        <f t="shared" si="4"/>
        <v>0.13908000000000009</v>
      </c>
    </row>
    <row r="25" spans="1:17" x14ac:dyDescent="0.2">
      <c r="A25" s="26" t="s">
        <v>112</v>
      </c>
      <c r="B25" s="27">
        <f>SUMIFS('SIMULARE PE PRODUS'!$F$6:$F$243,'SIMULARE PE PRODUS'!$C$6:$C$243,$A25,'SIMULARE PE PRODUS'!$D$6:$D$243,"&gt;0")*SCENARIU!$B$10*SCENARIU!$B$5+SUMIFS('SIMULARE PE PRODUS'!$G$6:$G$243,'SIMULARE PE PRODUS'!$C$6:$C$243,$A25,'SIMULARE PE PRODUS'!$D$6:$D$243,"&gt;0")*SCENARIU!$B$10*SCENARIU!$B$5+SUMIFS('SIMULARE PE PRODUS'!$F$6:$F$243,'SIMULARE PE PRODUS'!$C$6:$C$243,$A25,'SIMULARE PE PRODUS'!$D$6:$D$243,0)+SUMIFS('SIMULARE PE PRODUS'!$G$6:$G$243,'SIMULARE PE PRODUS'!$C$6:$C$243,$A25,'SIMULARE PE PRODUS'!$D$6:$D$243,0)</f>
        <v>346499.12365714286</v>
      </c>
      <c r="C25" s="27">
        <f>SUMIFS('SIMULARE PE PRODUS'!T$6:T$243,'SIMULARE PE PRODUS'!$C$6:$C$243,$A25,'SIMULARE PE PRODUS'!$D$6:$D$243,"&gt;0")*SCENARIU!$B$10*SCENARIU!$B$5*SCENARIU!$B$14+SUMIFS('SIMULARE PE PRODUS'!T$6:T$243,'SIMULARE PE PRODUS'!$C$6:$C$243,$A25,'SIMULARE PE PRODUS'!$D$6:$D$243,0)</f>
        <v>269453.44562934368</v>
      </c>
      <c r="D25" s="28">
        <f>IFERROR((SUMIFS('SIMULARE PE PRODUS'!$L$6:$L$243,'SIMULARE PE PRODUS'!$C$6:$C$243,$A25,'SIMULARE PE PRODUS'!$D$6:$D$243,"&gt;0")*SCENARIU!$B$10*SCENARIU!$B$5*SCENARIU!$B$14+SUMIFS('SIMULARE PE PRODUS'!$L$6:$L$243,'SIMULARE PE PRODUS'!$C$6:$C$243,$A25,'SIMULARE PE PRODUS'!$D$6:$D$243,0))/C25,"")</f>
        <v>0.75403450582016518</v>
      </c>
      <c r="E25" s="27">
        <f>SUMIFS('SIMULARE PE PRODUS'!AB$6:AB$243,'SIMULARE PE PRODUS'!$C$6:$C$243,$A25,'SIMULARE PE PRODUS'!$D$6:$D$243,"&gt;0")*SCENARIU!$C$10*SCENARIU!$B$5*SCENARIU!$C$14</f>
        <v>294067.29622535279</v>
      </c>
      <c r="F25" s="28">
        <f>IFERROR((SUMIFS('SIMULARE PE PRODUS'!$L$6:$L$243,'SIMULARE PE PRODUS'!$C$6:$C$243,$A25,'SIMULARE PE PRODUS'!$D$6:$D$243,"&gt;0")*SCENARIU!$C$10*SCENARIU!$B$5*SCENARIU!$C$14)/E25,"")</f>
        <v>0.60864991546736813</v>
      </c>
      <c r="G25" s="27">
        <f>SUMIFS('SIMULARE PE PRODUS'!AJ$6:AJ$243,'SIMULARE PE PRODUS'!$C$6:$C$243,$A25,'SIMULARE PE PRODUS'!$D$6:$D$243,"&gt;0")*SCENARIU!$D$10*SCENARIU!$B$5*SCENARIU!$D$14</f>
        <v>319819.27698254905</v>
      </c>
      <c r="H25" s="28">
        <f>IFERROR((SUMIFS('SIMULARE PE PRODUS'!$L$6:$L$243,'SIMULARE PE PRODUS'!$C$6:$C$243,$A25,'SIMULARE PE PRODUS'!$D$6:$D$243,"&gt;0")*SCENARIU!$D$10*SCENARIU!$B$5*SCENARIU!$D$14)/G25,"")</f>
        <v>0.60864991546736802</v>
      </c>
      <c r="I25" s="27">
        <f>SUMIFS('SIMULARE PE PRODUS'!AR$6:AR$243,'SIMULARE PE PRODUS'!$C$6:$C$243,$A25,'SIMULARE PE PRODUS'!$D$6:$D$243,"&gt;0")*SCENARIU!$E$10*SCENARIU!$B$5*SCENARIU!$E$14</f>
        <v>304023.6332933919</v>
      </c>
      <c r="J25" s="28">
        <f>IFERROR((SUMIFS('SIMULARE PE PRODUS'!$L$6:$L$243,'SIMULARE PE PRODUS'!$C$6:$C$243,$A25,'SIMULARE PE PRODUS'!$D$6:$D$243,"&gt;0")*SCENARIU!$E$10*SCENARIU!$B$5*SCENARIU!$E$14)/I25,"")</f>
        <v>0.60864991546736824</v>
      </c>
      <c r="K25" s="27">
        <f>SUMIFS('SIMULARE PE PRODUS'!AZ$6:AZ$243,'SIMULARE PE PRODUS'!$C$6:$C$243,$A25,'SIMULARE PE PRODUS'!$D$6:$D$243,"&gt;0")*SCENARIU!$F$10*SCENARIU!$B$5*SCENARIU!$F$14</f>
        <v>380421.8219925072</v>
      </c>
      <c r="L25" s="28">
        <f>IFERROR((SUMIFS('SIMULARE PE PRODUS'!$L$6:$L$243,'SIMULARE PE PRODUS'!$C$6:$C$243,$A25,'SIMULARE PE PRODUS'!$D$6:$D$243,"&gt;0")*SCENARIU!$F$10*SCENARIU!$B$5*SCENARIU!$F$14)/K25,"")</f>
        <v>0.60836436481158207</v>
      </c>
      <c r="M25" s="35">
        <f t="shared" si="0"/>
        <v>-0.14567014100858311</v>
      </c>
      <c r="N25" s="28">
        <f t="shared" si="1"/>
        <v>1.3594132869154563E-2</v>
      </c>
      <c r="O25" s="36">
        <f t="shared" si="2"/>
        <v>110968.37636316352</v>
      </c>
      <c r="P25" s="36">
        <f t="shared" si="3"/>
        <v>220518.24597642623</v>
      </c>
      <c r="Q25" s="37">
        <f t="shared" si="4"/>
        <v>0.41182763910842701</v>
      </c>
    </row>
    <row r="26" spans="1:17" x14ac:dyDescent="0.2">
      <c r="A26" s="26" t="s">
        <v>113</v>
      </c>
      <c r="B26" s="27">
        <f>SUMIFS('SIMULARE PE PRODUS'!$F$6:$F$243,'SIMULARE PE PRODUS'!$C$6:$C$243,$A26,'SIMULARE PE PRODUS'!$D$6:$D$243,"&gt;0")*SCENARIU!$B$10*SCENARIU!$B$5+SUMIFS('SIMULARE PE PRODUS'!$G$6:$G$243,'SIMULARE PE PRODUS'!$C$6:$C$243,$A26,'SIMULARE PE PRODUS'!$D$6:$D$243,"&gt;0")*SCENARIU!$B$10*SCENARIU!$B$5+SUMIFS('SIMULARE PE PRODUS'!$F$6:$F$243,'SIMULARE PE PRODUS'!$C$6:$C$243,$A26,'SIMULARE PE PRODUS'!$D$6:$D$243,0)+SUMIFS('SIMULARE PE PRODUS'!$G$6:$G$243,'SIMULARE PE PRODUS'!$C$6:$C$243,$A26,'SIMULARE PE PRODUS'!$D$6:$D$243,0)</f>
        <v>25664.739154285719</v>
      </c>
      <c r="C26" s="27">
        <f>SUMIFS('SIMULARE PE PRODUS'!T$6:T$243,'SIMULARE PE PRODUS'!$C$6:$C$243,$A26,'SIMULARE PE PRODUS'!$D$6:$D$243,"&gt;0")*SCENARIU!$B$10*SCENARIU!$B$5*SCENARIU!$B$14+SUMIFS('SIMULARE PE PRODUS'!T$6:T$243,'SIMULARE PE PRODUS'!$C$6:$C$243,$A26,'SIMULARE PE PRODUS'!$D$6:$D$243,0)</f>
        <v>10605.264113341205</v>
      </c>
      <c r="D26" s="28">
        <f>IFERROR((SUMIFS('SIMULARE PE PRODUS'!$L$6:$L$243,'SIMULARE PE PRODUS'!$C$6:$C$243,$A26,'SIMULARE PE PRODUS'!$D$6:$D$243,"&gt;0")*SCENARIU!$B$10*SCENARIU!$B$5*SCENARIU!$B$14+SUMIFS('SIMULARE PE PRODUS'!$L$6:$L$243,'SIMULARE PE PRODUS'!$C$6:$C$243,$A26,'SIMULARE PE PRODUS'!$D$6:$D$243,0))/C26,"")</f>
        <v>1.2100000000000002</v>
      </c>
      <c r="E26" s="27">
        <f>SUMIFS('SIMULARE PE PRODUS'!AB$6:AB$243,'SIMULARE PE PRODUS'!$C$6:$C$243,$A26,'SIMULARE PE PRODUS'!$D$6:$D$243,"&gt;0")*SCENARIU!$C$10*SCENARIU!$B$5*SCENARIU!$C$14</f>
        <v>9342.4508416774497</v>
      </c>
      <c r="F26" s="28">
        <f>IFERROR((SUMIFS('SIMULARE PE PRODUS'!$L$6:$L$243,'SIMULARE PE PRODUS'!$C$6:$C$243,$A26,'SIMULARE PE PRODUS'!$D$6:$D$243,"&gt;0")*SCENARIU!$C$10*SCENARIU!$B$5*SCENARIU!$C$14)/E26,"")</f>
        <v>1.2100000000000002</v>
      </c>
      <c r="G26" s="27">
        <f>SUMIFS('SIMULARE PE PRODUS'!AJ$6:AJ$243,'SIMULARE PE PRODUS'!$C$6:$C$243,$A26,'SIMULARE PE PRODUS'!$D$6:$D$243,"&gt;0")*SCENARIU!$D$10*SCENARIU!$B$5*SCENARIU!$D$14</f>
        <v>10160.585389068809</v>
      </c>
      <c r="H26" s="28">
        <f>IFERROR((SUMIFS('SIMULARE PE PRODUS'!$L$6:$L$243,'SIMULARE PE PRODUS'!$C$6:$C$243,$A26,'SIMULARE PE PRODUS'!$D$6:$D$243,"&gt;0")*SCENARIU!$D$10*SCENARIU!$B$5*SCENARIU!$D$14)/G26,"")</f>
        <v>1.2100000000000002</v>
      </c>
      <c r="I26" s="27">
        <f>SUMIFS('SIMULARE PE PRODUS'!AR$6:AR$243,'SIMULARE PE PRODUS'!$C$6:$C$243,$A26,'SIMULARE PE PRODUS'!$D$6:$D$243,"&gt;0")*SCENARIU!$E$10*SCENARIU!$B$5*SCENARIU!$E$14</f>
        <v>9658.7613964902012</v>
      </c>
      <c r="J26" s="28">
        <f>IFERROR((SUMIFS('SIMULARE PE PRODUS'!$L$6:$L$243,'SIMULARE PE PRODUS'!$C$6:$C$243,$A26,'SIMULARE PE PRODUS'!$D$6:$D$243,"&gt;0")*SCENARIU!$E$10*SCENARIU!$B$5*SCENARIU!$E$14)/I26,"")</f>
        <v>1.21</v>
      </c>
      <c r="K26" s="27">
        <f>SUMIFS('SIMULARE PE PRODUS'!AZ$6:AZ$243,'SIMULARE PE PRODUS'!$C$6:$C$243,$A26,'SIMULARE PE PRODUS'!$D$6:$D$243,"&gt;0")*SCENARIU!$F$10*SCENARIU!$B$5*SCENARIU!$F$14</f>
        <v>12080.244246224702</v>
      </c>
      <c r="L26" s="28">
        <f>IFERROR((SUMIFS('SIMULARE PE PRODUS'!$L$6:$L$243,'SIMULARE PE PRODUS'!$C$6:$C$243,$A26,'SIMULARE PE PRODUS'!$D$6:$D$243,"&gt;0")*SCENARIU!$F$10*SCENARIU!$B$5*SCENARIU!$F$14)/K26,"")</f>
        <v>1.21</v>
      </c>
      <c r="M26" s="35">
        <f t="shared" si="0"/>
        <v>-2.2204460492503131E-16</v>
      </c>
      <c r="N26" s="28">
        <f t="shared" si="1"/>
        <v>5.3504370349583257E-4</v>
      </c>
      <c r="O26" s="36">
        <f t="shared" si="2"/>
        <v>1474.9801328834965</v>
      </c>
      <c r="P26" s="36">
        <f t="shared" si="3"/>
        <v>-1179.01457990366</v>
      </c>
      <c r="Q26" s="37">
        <f t="shared" si="4"/>
        <v>0.13908000000000009</v>
      </c>
    </row>
    <row r="27" spans="1:17" x14ac:dyDescent="0.2">
      <c r="A27" s="14" t="s">
        <v>74</v>
      </c>
      <c r="B27" s="29">
        <f>SUM(B7:B26)</f>
        <v>1829382.8212685715</v>
      </c>
      <c r="C27" s="29">
        <f>SUM(C7:C26)</f>
        <v>19821304.39821877</v>
      </c>
      <c r="D27" s="31">
        <f>IFERROR((SUMPRODUCT(ISNUMBER('SIMULARE PE PRODUS'!$A$6:$A$243)*('SIMULARE PE PRODUS'!$D$6:$D$243&gt;0)*'SIMULARE PE PRODUS'!$L$6:$L$243)*SCENARIU!$B$10*SCENARIU!$B$5*SCENARIU!$B$14+SUMPRODUCT(ISNUMBER('SIMULARE PE PRODUS'!$A$6:$A$243)*('SIMULARE PE PRODUS'!$D$6:$D$243=0)*'SIMULARE PE PRODUS'!$L$6:$L$243))/C27,"")</f>
        <v>0.45791944927749206</v>
      </c>
      <c r="E27" s="29">
        <f>SUM(E7:E26)</f>
        <v>17851023.073422495</v>
      </c>
      <c r="F27" s="31">
        <f>IFERROR((SUMPRODUCT(ISNUMBER('SIMULARE PE PRODUS'!$A$6:$A$243)*('SIMULARE PE PRODUS'!$D$6:$D$243&gt;0)*'SIMULARE PE PRODUS'!$L$6:$L$243)*SCENARIU!$C$10*SCENARIU!$B$5*SCENARIU!$C$14)/E27,"")</f>
        <v>0.445818321653773</v>
      </c>
      <c r="G27" s="29">
        <f>SUM(G7:G26)</f>
        <v>19590131.169562165</v>
      </c>
      <c r="H27" s="31">
        <f>IFERROR((SUMPRODUCT(ISNUMBER('SIMULARE PE PRODUS'!$A$6:$A$243)*('SIMULARE PE PRODUS'!$D$6:$D$243&gt;0)*'SIMULARE PE PRODUS'!$L$6:$L$243)*SCENARIU!$D$10*SCENARIU!$B$5*SCENARIU!$D$14)/G27,"")</f>
        <v>0.44181615179404188</v>
      </c>
      <c r="I27" s="29">
        <f>SUM(I7:I26)</f>
        <v>18889182.740574114</v>
      </c>
      <c r="J27" s="31">
        <f>IFERROR((SUMPRODUCT(ISNUMBER('SIMULARE PE PRODUS'!$A$6:$A$243)*('SIMULARE PE PRODUS'!$D$6:$D$243&gt;0)*'SIMULARE PE PRODUS'!$L$6:$L$243)*SCENARIU!$E$10*SCENARIU!$B$5*SCENARIU!$E$14)/I27,"")</f>
        <v>0.43558054314239258</v>
      </c>
      <c r="K27" s="29">
        <f>SUM(K7:K26)</f>
        <v>24310694.088115241</v>
      </c>
      <c r="L27" s="31">
        <f>IFERROR((SUMPRODUCT(ISNUMBER('SIMULARE PE PRODUS'!$A$6:$A$243)*('SIMULARE PE PRODUS'!$D$6:$D$243&gt;0)*'SIMULARE PE PRODUS'!$L$6:$L$243)*SCENARIU!$F$10*SCENARIU!$B$5*SCENARIU!$F$14)/K27,"")</f>
        <v>0.42329053676725076</v>
      </c>
      <c r="M27" s="38">
        <f t="shared" si="0"/>
        <v>-3.4628912510241305E-2</v>
      </c>
      <c r="N27" s="30">
        <f>SUM(N7:N26)</f>
        <v>1.0000000000000002</v>
      </c>
      <c r="O27" s="29">
        <f t="shared" si="2"/>
        <v>4489389.6898964718</v>
      </c>
      <c r="P27" s="29">
        <f t="shared" si="3"/>
        <v>1355813.4787989371</v>
      </c>
      <c r="Q27" s="39">
        <f t="shared" si="4"/>
        <v>0.22649315099060319</v>
      </c>
    </row>
  </sheetData>
  <mergeCells count="3">
    <mergeCell ref="A1:N1"/>
    <mergeCell ref="A2:N2"/>
    <mergeCell ref="O4:Q4"/>
  </mergeCells>
  <conditionalFormatting sqref="D7:D27">
    <cfRule type="cellIs" dxfId="53" priority="2" operator="greaterThan">
      <formula>0.55</formula>
    </cfRule>
    <cfRule type="cellIs" dxfId="52" priority="3" operator="between">
      <formula>0.45</formula>
      <formula>0.55</formula>
    </cfRule>
    <cfRule type="cellIs" dxfId="51" priority="4" operator="lessThan">
      <formula>0.45</formula>
    </cfRule>
  </conditionalFormatting>
  <conditionalFormatting sqref="F7:F27">
    <cfRule type="cellIs" dxfId="50" priority="5" operator="greaterThan">
      <formula>0.55</formula>
    </cfRule>
    <cfRule type="cellIs" dxfId="49" priority="6" operator="between">
      <formula>0.45</formula>
      <formula>0.55</formula>
    </cfRule>
    <cfRule type="cellIs" dxfId="48" priority="7" operator="lessThan">
      <formula>0.45</formula>
    </cfRule>
  </conditionalFormatting>
  <conditionalFormatting sqref="H7:H27">
    <cfRule type="cellIs" dxfId="47" priority="8" operator="greaterThan">
      <formula>0.55</formula>
    </cfRule>
    <cfRule type="cellIs" dxfId="46" priority="9" operator="between">
      <formula>0.45</formula>
      <formula>0.55</formula>
    </cfRule>
    <cfRule type="cellIs" dxfId="45" priority="10" operator="lessThan">
      <formula>0.45</formula>
    </cfRule>
  </conditionalFormatting>
  <conditionalFormatting sqref="J7:J27">
    <cfRule type="cellIs" dxfId="44" priority="11" operator="greaterThan">
      <formula>0.55</formula>
    </cfRule>
    <cfRule type="cellIs" dxfId="43" priority="12" operator="between">
      <formula>0.45</formula>
      <formula>0.55</formula>
    </cfRule>
    <cfRule type="cellIs" dxfId="42" priority="13" operator="lessThan">
      <formula>0.45</formula>
    </cfRule>
  </conditionalFormatting>
  <conditionalFormatting sqref="L7:L27">
    <cfRule type="cellIs" dxfId="41" priority="14" operator="greaterThan">
      <formula>0.55</formula>
    </cfRule>
    <cfRule type="cellIs" dxfId="40" priority="15" operator="between">
      <formula>0.45</formula>
      <formula>0.55</formula>
    </cfRule>
    <cfRule type="cellIs" dxfId="39" priority="16" operator="lessThan">
      <formula>0.45</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2"/>
  <sheetViews>
    <sheetView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5" x14ac:dyDescent="0.2"/>
  <cols>
    <col min="1" max="1" width="5" customWidth="1"/>
    <col min="2" max="2" width="40" customWidth="1"/>
    <col min="3" max="3" width="22" customWidth="1"/>
    <col min="4" max="6" width="12" customWidth="1"/>
    <col min="7" max="7" width="15" customWidth="1"/>
    <col min="8" max="8" width="11" customWidth="1"/>
    <col min="9" max="9" width="14" customWidth="1"/>
    <col min="10" max="10" width="10" customWidth="1"/>
    <col min="11" max="11" width="14" customWidth="1"/>
  </cols>
  <sheetData>
    <row r="1" spans="1:11" ht="19" x14ac:dyDescent="0.2">
      <c r="A1" s="107" t="s">
        <v>137</v>
      </c>
      <c r="B1" s="107"/>
      <c r="C1" s="107"/>
      <c r="D1" s="107"/>
      <c r="E1" s="107"/>
      <c r="F1" s="107"/>
      <c r="G1" s="107"/>
      <c r="H1" s="107"/>
      <c r="I1" s="107"/>
      <c r="J1" s="107"/>
      <c r="K1" s="107"/>
    </row>
    <row r="2" spans="1:11" x14ac:dyDescent="0.2">
      <c r="A2" s="114" t="s">
        <v>138</v>
      </c>
      <c r="B2" s="114"/>
      <c r="C2" s="114"/>
      <c r="D2" s="114"/>
      <c r="E2" s="114"/>
      <c r="F2" s="114"/>
      <c r="G2" s="114"/>
      <c r="H2" s="114"/>
      <c r="I2" s="114"/>
      <c r="J2" s="114"/>
      <c r="K2" s="114"/>
    </row>
    <row r="4" spans="1:11" x14ac:dyDescent="0.2">
      <c r="A4" s="40" t="s">
        <v>139</v>
      </c>
      <c r="B4" s="40" t="s">
        <v>140</v>
      </c>
      <c r="C4" s="40" t="s">
        <v>84</v>
      </c>
      <c r="D4" s="40" t="s">
        <v>85</v>
      </c>
      <c r="E4" s="40" t="s">
        <v>86</v>
      </c>
      <c r="F4" s="40" t="s">
        <v>87</v>
      </c>
      <c r="G4" s="40" t="s">
        <v>78</v>
      </c>
      <c r="H4" s="40" t="s">
        <v>141</v>
      </c>
      <c r="I4" s="40" t="s">
        <v>79</v>
      </c>
      <c r="J4" s="40" t="s">
        <v>77</v>
      </c>
      <c r="K4" s="40" t="s">
        <v>80</v>
      </c>
    </row>
    <row r="5" spans="1:11" x14ac:dyDescent="0.2">
      <c r="A5" s="26">
        <v>1</v>
      </c>
      <c r="B5" s="26" t="s">
        <v>142</v>
      </c>
      <c r="C5" s="26" t="s">
        <v>101</v>
      </c>
      <c r="D5" s="27">
        <f>'SIMULARE PE PRODUS'!$F$69</f>
        <v>42662</v>
      </c>
      <c r="E5" s="27">
        <f>'SIMULARE PE PRODUS'!$G$69</f>
        <v>6061</v>
      </c>
      <c r="F5" s="27">
        <f t="shared" ref="F5:F36" si="0">$D5+$E5</f>
        <v>48723</v>
      </c>
      <c r="G5" s="41">
        <f>'SIMULARE PE PRODUS'!T$69</f>
        <v>558435.30630630627</v>
      </c>
      <c r="H5" s="42">
        <f>IFERROR($G5/'SIMULARE PE PRODUS'!T$4,"")</f>
        <v>0.1176226879808099</v>
      </c>
      <c r="I5" s="41">
        <f>'SIMULARE PE PRODUS'!$L$69</f>
        <v>181601.42955440641</v>
      </c>
      <c r="J5" s="28">
        <f t="shared" ref="J5:J36" si="1">IFERROR($I5/$G5,"")</f>
        <v>0.32519689837589988</v>
      </c>
      <c r="K5" s="41">
        <f t="shared" ref="K5:K36" si="2">$G5-$I5</f>
        <v>376833.87675189984</v>
      </c>
    </row>
    <row r="6" spans="1:11" x14ac:dyDescent="0.2">
      <c r="A6" s="26">
        <v>2</v>
      </c>
      <c r="B6" s="26" t="s">
        <v>143</v>
      </c>
      <c r="C6" s="26" t="s">
        <v>96</v>
      </c>
      <c r="D6" s="27">
        <f>'SIMULARE PE PRODUS'!$F$21</f>
        <v>6175</v>
      </c>
      <c r="E6" s="27">
        <f>'SIMULARE PE PRODUS'!$G$21</f>
        <v>3718</v>
      </c>
      <c r="F6" s="27">
        <f t="shared" si="0"/>
        <v>9893</v>
      </c>
      <c r="G6" s="41">
        <f>'SIMULARE PE PRODUS'!T$21</f>
        <v>270100.06306306308</v>
      </c>
      <c r="H6" s="42">
        <f>IFERROR($G6/'SIMULARE PE PRODUS'!T$4,"")</f>
        <v>5.6890914815901167E-2</v>
      </c>
      <c r="I6" s="41">
        <f>'SIMULARE PE PRODUS'!$L$21</f>
        <v>125521.29972720001</v>
      </c>
      <c r="J6" s="28">
        <f t="shared" si="1"/>
        <v>0.46472147508493267</v>
      </c>
      <c r="K6" s="41">
        <f t="shared" si="2"/>
        <v>144578.76333586307</v>
      </c>
    </row>
    <row r="7" spans="1:11" x14ac:dyDescent="0.2">
      <c r="A7" s="26">
        <v>3</v>
      </c>
      <c r="B7" s="26" t="s">
        <v>144</v>
      </c>
      <c r="C7" s="26" t="s">
        <v>101</v>
      </c>
      <c r="D7" s="27">
        <f>'SIMULARE PE PRODUS'!$F$70</f>
        <v>9978</v>
      </c>
      <c r="E7" s="27">
        <f>'SIMULARE PE PRODUS'!$G$70</f>
        <v>6098</v>
      </c>
      <c r="F7" s="27">
        <f t="shared" si="0"/>
        <v>16076</v>
      </c>
      <c r="G7" s="41">
        <f>'SIMULARE PE PRODUS'!T$70</f>
        <v>217068.19819819817</v>
      </c>
      <c r="H7" s="42">
        <f>IFERROR($G7/'SIMULARE PE PRODUS'!T$4,"")</f>
        <v>4.5720864456264658E-2</v>
      </c>
      <c r="I7" s="41">
        <f>'SIMULARE PE PRODUS'!$L$70</f>
        <v>54382.437776400002</v>
      </c>
      <c r="J7" s="28">
        <f t="shared" si="1"/>
        <v>0.25053157591857422</v>
      </c>
      <c r="K7" s="41">
        <f t="shared" si="2"/>
        <v>162685.76042179816</v>
      </c>
    </row>
    <row r="8" spans="1:11" x14ac:dyDescent="0.2">
      <c r="A8" s="26">
        <v>4</v>
      </c>
      <c r="B8" s="26" t="s">
        <v>145</v>
      </c>
      <c r="C8" s="26" t="s">
        <v>96</v>
      </c>
      <c r="D8" s="27">
        <f>'SIMULARE PE PRODUS'!$F$22</f>
        <v>5163</v>
      </c>
      <c r="E8" s="27">
        <f>'SIMULARE PE PRODUS'!$G$22</f>
        <v>2418</v>
      </c>
      <c r="F8" s="27">
        <f t="shared" si="0"/>
        <v>7581</v>
      </c>
      <c r="G8" s="41">
        <f>'SIMULARE PE PRODUS'!T$22</f>
        <v>211358.7297297297</v>
      </c>
      <c r="H8" s="42">
        <f>IFERROR($G8/'SIMULARE PE PRODUS'!T$4,"")</f>
        <v>4.451828463973246E-2</v>
      </c>
      <c r="I8" s="41">
        <f>'SIMULARE PE PRODUS'!$L$22</f>
        <v>101328.1402812</v>
      </c>
      <c r="J8" s="28">
        <f t="shared" si="1"/>
        <v>0.47941308320111081</v>
      </c>
      <c r="K8" s="41">
        <f t="shared" si="2"/>
        <v>110030.5894485297</v>
      </c>
    </row>
    <row r="9" spans="1:11" x14ac:dyDescent="0.2">
      <c r="A9" s="26">
        <v>5</v>
      </c>
      <c r="B9" s="26" t="s">
        <v>146</v>
      </c>
      <c r="C9" s="26" t="s">
        <v>94</v>
      </c>
      <c r="D9" s="27">
        <f>'SIMULARE PE PRODUS'!$F$7</f>
        <v>5150</v>
      </c>
      <c r="E9" s="27">
        <f>'SIMULARE PE PRODUS'!$G$7</f>
        <v>6698</v>
      </c>
      <c r="F9" s="27">
        <f t="shared" si="0"/>
        <v>11848</v>
      </c>
      <c r="G9" s="41">
        <f>'SIMULARE PE PRODUS'!T$7</f>
        <v>204091.45945945941</v>
      </c>
      <c r="H9" s="42">
        <f>IFERROR($G9/'SIMULARE PE PRODUS'!T$4,"")</f>
        <v>4.2987586537697776E-2</v>
      </c>
      <c r="I9" s="41">
        <f>'SIMULARE PE PRODUS'!$L$7</f>
        <v>133784.26420080001</v>
      </c>
      <c r="J9" s="28">
        <f t="shared" si="1"/>
        <v>0.65551133082751478</v>
      </c>
      <c r="K9" s="41">
        <f t="shared" si="2"/>
        <v>70307.195258659398</v>
      </c>
    </row>
    <row r="10" spans="1:11" x14ac:dyDescent="0.2">
      <c r="A10" s="26">
        <v>6</v>
      </c>
      <c r="B10" s="26" t="s">
        <v>147</v>
      </c>
      <c r="C10" s="26" t="s">
        <v>94</v>
      </c>
      <c r="D10" s="27">
        <f>'SIMULARE PE PRODUS'!$F$8</f>
        <v>4896</v>
      </c>
      <c r="E10" s="27">
        <f>'SIMULARE PE PRODUS'!$G$8</f>
        <v>4666</v>
      </c>
      <c r="F10" s="27">
        <f t="shared" si="0"/>
        <v>9562</v>
      </c>
      <c r="G10" s="41">
        <f>'SIMULARE PE PRODUS'!T$8</f>
        <v>202127.92792792793</v>
      </c>
      <c r="H10" s="42">
        <f>IFERROR($G10/'SIMULARE PE PRODUS'!T$4,"")</f>
        <v>4.2574009791984058E-2</v>
      </c>
      <c r="I10" s="41">
        <f>'SIMULARE PE PRODUS'!$L$8</f>
        <v>144070.65399999998</v>
      </c>
      <c r="J10" s="28">
        <f t="shared" si="1"/>
        <v>0.71276965769604472</v>
      </c>
      <c r="K10" s="41">
        <f t="shared" si="2"/>
        <v>58057.273927927949</v>
      </c>
    </row>
    <row r="11" spans="1:11" x14ac:dyDescent="0.2">
      <c r="A11" s="26">
        <v>7</v>
      </c>
      <c r="B11" s="26" t="s">
        <v>148</v>
      </c>
      <c r="C11" s="26" t="s">
        <v>96</v>
      </c>
      <c r="D11" s="27">
        <f>'SIMULARE PE PRODUS'!$F$23</f>
        <v>4157</v>
      </c>
      <c r="E11" s="27">
        <f>'SIMULARE PE PRODUS'!$G$23</f>
        <v>2680</v>
      </c>
      <c r="F11" s="27">
        <f t="shared" si="0"/>
        <v>6837</v>
      </c>
      <c r="G11" s="41">
        <f>'SIMULARE PE PRODUS'!T$23</f>
        <v>148849.21621621618</v>
      </c>
      <c r="H11" s="42">
        <f>IFERROR($G11/'SIMULARE PE PRODUS'!T$4,"")</f>
        <v>3.1351966319953274E-2</v>
      </c>
      <c r="I11" s="41">
        <f>'SIMULARE PE PRODUS'!$L$23</f>
        <v>60267.896561400004</v>
      </c>
      <c r="J11" s="28">
        <f t="shared" si="1"/>
        <v>0.40489226677455759</v>
      </c>
      <c r="K11" s="41">
        <f t="shared" si="2"/>
        <v>88581.31965481618</v>
      </c>
    </row>
    <row r="12" spans="1:11" x14ac:dyDescent="0.2">
      <c r="A12" s="26">
        <v>8</v>
      </c>
      <c r="B12" s="26" t="s">
        <v>149</v>
      </c>
      <c r="C12" s="26" t="s">
        <v>96</v>
      </c>
      <c r="D12" s="27">
        <f>'SIMULARE PE PRODUS'!$F$24</f>
        <v>4656</v>
      </c>
      <c r="E12" s="27">
        <f>'SIMULARE PE PRODUS'!$G$24</f>
        <v>1173</v>
      </c>
      <c r="F12" s="27">
        <f t="shared" si="0"/>
        <v>5829</v>
      </c>
      <c r="G12" s="41">
        <f>'SIMULARE PE PRODUS'!T$24</f>
        <v>119175.86486486484</v>
      </c>
      <c r="H12" s="42">
        <f>IFERROR($G12/'SIMULARE PE PRODUS'!T$4,"")</f>
        <v>2.5101897049744009E-2</v>
      </c>
      <c r="I12" s="41">
        <f>'SIMULARE PE PRODUS'!$L$24</f>
        <v>47900.446358399997</v>
      </c>
      <c r="J12" s="28">
        <f t="shared" si="1"/>
        <v>0.40193076352091067</v>
      </c>
      <c r="K12" s="41">
        <f t="shared" si="2"/>
        <v>71275.418506464834</v>
      </c>
    </row>
    <row r="13" spans="1:11" x14ac:dyDescent="0.2">
      <c r="A13" s="26">
        <v>9</v>
      </c>
      <c r="B13" s="26" t="s">
        <v>150</v>
      </c>
      <c r="C13" s="26" t="s">
        <v>94</v>
      </c>
      <c r="D13" s="27">
        <f>'SIMULARE PE PRODUS'!$F$9</f>
        <v>6649</v>
      </c>
      <c r="E13" s="27">
        <f>'SIMULARE PE PRODUS'!$G$9</f>
        <v>1326</v>
      </c>
      <c r="F13" s="27">
        <f t="shared" si="0"/>
        <v>7975</v>
      </c>
      <c r="G13" s="41">
        <f>'SIMULARE PE PRODUS'!T$9</f>
        <v>118538.73873873873</v>
      </c>
      <c r="H13" s="42">
        <f>IFERROR($G13/'SIMULARE PE PRODUS'!T$4,"")</f>
        <v>2.4967699790560245E-2</v>
      </c>
      <c r="I13" s="41">
        <f>'SIMULARE PE PRODUS'!$L$9</f>
        <v>86664.324999999983</v>
      </c>
      <c r="J13" s="28">
        <f t="shared" si="1"/>
        <v>0.73110550965966947</v>
      </c>
      <c r="K13" s="41">
        <f t="shared" si="2"/>
        <v>31874.413738738745</v>
      </c>
    </row>
    <row r="14" spans="1:11" x14ac:dyDescent="0.2">
      <c r="A14" s="26">
        <v>10</v>
      </c>
      <c r="B14" s="26" t="s">
        <v>151</v>
      </c>
      <c r="C14" s="26" t="s">
        <v>102</v>
      </c>
      <c r="D14" s="27">
        <f>'SIMULARE PE PRODUS'!$F$75</f>
        <v>6426</v>
      </c>
      <c r="E14" s="27">
        <f>'SIMULARE PE PRODUS'!$G$75</f>
        <v>2882</v>
      </c>
      <c r="F14" s="27">
        <f t="shared" si="0"/>
        <v>9308</v>
      </c>
      <c r="G14" s="41">
        <f>'SIMULARE PE PRODUS'!T$75</f>
        <v>118069.04504504503</v>
      </c>
      <c r="H14" s="42">
        <f>IFERROR($G14/'SIMULARE PE PRODUS'!T$4,"")</f>
        <v>2.4868768662538791E-2</v>
      </c>
      <c r="I14" s="41">
        <f>'SIMULARE PE PRODUS'!$L$75</f>
        <v>45536.690679999992</v>
      </c>
      <c r="J14" s="28">
        <f t="shared" si="1"/>
        <v>0.38567848721590908</v>
      </c>
      <c r="K14" s="41">
        <f t="shared" si="2"/>
        <v>72532.35436504503</v>
      </c>
    </row>
    <row r="15" spans="1:11" x14ac:dyDescent="0.2">
      <c r="A15" s="26">
        <v>11</v>
      </c>
      <c r="B15" s="26" t="s">
        <v>152</v>
      </c>
      <c r="C15" s="26" t="s">
        <v>102</v>
      </c>
      <c r="D15" s="27">
        <f>'SIMULARE PE PRODUS'!$F$76</f>
        <v>6337</v>
      </c>
      <c r="E15" s="27">
        <f>'SIMULARE PE PRODUS'!$G$76</f>
        <v>2549</v>
      </c>
      <c r="F15" s="27">
        <f t="shared" si="0"/>
        <v>8886</v>
      </c>
      <c r="G15" s="41">
        <f>'SIMULARE PE PRODUS'!T$76</f>
        <v>112716.10810810809</v>
      </c>
      <c r="H15" s="42">
        <f>IFERROR($G15/'SIMULARE PE PRODUS'!T$4,"")</f>
        <v>2.374128473735708E-2</v>
      </c>
      <c r="I15" s="41">
        <f>'SIMULARE PE PRODUS'!$L$76</f>
        <v>26643.604679999997</v>
      </c>
      <c r="J15" s="28">
        <f t="shared" si="1"/>
        <v>0.23637796875</v>
      </c>
      <c r="K15" s="41">
        <f t="shared" si="2"/>
        <v>86072.503428108088</v>
      </c>
    </row>
    <row r="16" spans="1:11" x14ac:dyDescent="0.2">
      <c r="A16" s="26">
        <v>12</v>
      </c>
      <c r="B16" s="26" t="s">
        <v>153</v>
      </c>
      <c r="C16" s="26" t="s">
        <v>101</v>
      </c>
      <c r="D16" s="27">
        <f>'SIMULARE PE PRODUS'!$F$71</f>
        <v>0</v>
      </c>
      <c r="E16" s="27">
        <f>'SIMULARE PE PRODUS'!$G$71</f>
        <v>7800</v>
      </c>
      <c r="F16" s="27">
        <f t="shared" si="0"/>
        <v>7800</v>
      </c>
      <c r="G16" s="41">
        <f>'SIMULARE PE PRODUS'!T$71</f>
        <v>105335.13513513512</v>
      </c>
      <c r="H16" s="42">
        <f>IFERROR($G16/'SIMULARE PE PRODUS'!T$4,"")</f>
        <v>2.2186637545120649E-2</v>
      </c>
      <c r="I16" s="41">
        <f>'SIMULARE PE PRODUS'!$L$71</f>
        <v>29072.330327039999</v>
      </c>
      <c r="J16" s="28">
        <f t="shared" si="1"/>
        <v>0.27599841486644433</v>
      </c>
      <c r="K16" s="41">
        <f t="shared" si="2"/>
        <v>76262.804808095127</v>
      </c>
    </row>
    <row r="17" spans="1:11" x14ac:dyDescent="0.2">
      <c r="A17" s="26">
        <v>13</v>
      </c>
      <c r="B17" s="26" t="s">
        <v>154</v>
      </c>
      <c r="C17" s="26" t="s">
        <v>96</v>
      </c>
      <c r="D17" s="27">
        <f>'SIMULARE PE PRODUS'!$F$25</f>
        <v>2652</v>
      </c>
      <c r="E17" s="27">
        <f>'SIMULARE PE PRODUS'!$G$25</f>
        <v>1759</v>
      </c>
      <c r="F17" s="27">
        <f t="shared" si="0"/>
        <v>4411</v>
      </c>
      <c r="G17" s="41">
        <f>'SIMULARE PE PRODUS'!T$25</f>
        <v>104061.16216216215</v>
      </c>
      <c r="H17" s="42">
        <f>IFERROR($G17/'SIMULARE PE PRODUS'!T$4,"")</f>
        <v>2.1918301851077349E-2</v>
      </c>
      <c r="I17" s="41">
        <f>'SIMULARE PE PRODUS'!$L$25</f>
        <v>66956.797437200003</v>
      </c>
      <c r="J17" s="28">
        <f t="shared" si="1"/>
        <v>0.64343695617063057</v>
      </c>
      <c r="K17" s="41">
        <f t="shared" si="2"/>
        <v>37104.364724962143</v>
      </c>
    </row>
    <row r="18" spans="1:11" x14ac:dyDescent="0.2">
      <c r="A18" s="26">
        <v>14</v>
      </c>
      <c r="B18" s="26" t="s">
        <v>155</v>
      </c>
      <c r="C18" s="26" t="s">
        <v>94</v>
      </c>
      <c r="D18" s="27">
        <f>'SIMULARE PE PRODUS'!$F$10</f>
        <v>9314</v>
      </c>
      <c r="E18" s="27">
        <f>'SIMULARE PE PRODUS'!$G$10</f>
        <v>1557</v>
      </c>
      <c r="F18" s="27">
        <f t="shared" si="0"/>
        <v>10871</v>
      </c>
      <c r="G18" s="41">
        <f>'SIMULARE PE PRODUS'!T$10</f>
        <v>102145.04504504503</v>
      </c>
      <c r="H18" s="42">
        <f>IFERROR($G18/'SIMULARE PE PRODUS'!T$4,"")</f>
        <v>2.1514711957572777E-2</v>
      </c>
      <c r="I18" s="41">
        <f>'SIMULARE PE PRODUS'!$L$10</f>
        <v>72476.956999999995</v>
      </c>
      <c r="J18" s="28">
        <f t="shared" si="1"/>
        <v>0.70954941542233718</v>
      </c>
      <c r="K18" s="41">
        <f t="shared" si="2"/>
        <v>29668.088045045035</v>
      </c>
    </row>
    <row r="19" spans="1:11" x14ac:dyDescent="0.2">
      <c r="A19" s="26">
        <v>15</v>
      </c>
      <c r="B19" s="26" t="s">
        <v>156</v>
      </c>
      <c r="C19" s="26" t="s">
        <v>100</v>
      </c>
      <c r="D19" s="27">
        <f>'SIMULARE PE PRODUS'!$F$50</f>
        <v>2302</v>
      </c>
      <c r="E19" s="27">
        <f>'SIMULARE PE PRODUS'!$G$50</f>
        <v>1136</v>
      </c>
      <c r="F19" s="27">
        <f t="shared" si="0"/>
        <v>3438</v>
      </c>
      <c r="G19" s="41">
        <f>'SIMULARE PE PRODUS'!T$50</f>
        <v>98561.261261261243</v>
      </c>
      <c r="H19" s="42">
        <f>IFERROR($G19/'SIMULARE PE PRODUS'!T$4,"")</f>
        <v>2.0759863048432581E-2</v>
      </c>
      <c r="I19" s="41">
        <f>'SIMULARE PE PRODUS'!$L$50</f>
        <v>49451.8887684</v>
      </c>
      <c r="J19" s="28">
        <f t="shared" si="1"/>
        <v>0.50173758062323714</v>
      </c>
      <c r="K19" s="41">
        <f t="shared" si="2"/>
        <v>49109.372492861243</v>
      </c>
    </row>
    <row r="20" spans="1:11" x14ac:dyDescent="0.2">
      <c r="A20" s="26">
        <v>16</v>
      </c>
      <c r="B20" s="26" t="s">
        <v>157</v>
      </c>
      <c r="C20" s="26" t="s">
        <v>94</v>
      </c>
      <c r="D20" s="27">
        <f>'SIMULARE PE PRODUS'!$F$11</f>
        <v>6953</v>
      </c>
      <c r="E20" s="27">
        <f>'SIMULARE PE PRODUS'!$G$11</f>
        <v>1987</v>
      </c>
      <c r="F20" s="27">
        <f t="shared" si="0"/>
        <v>8940</v>
      </c>
      <c r="G20" s="41">
        <f>'SIMULARE PE PRODUS'!T$11</f>
        <v>96121.261261261257</v>
      </c>
      <c r="H20" s="42">
        <f>IFERROR($G20/'SIMULARE PE PRODUS'!T$4,"")</f>
        <v>2.0245928210444825E-2</v>
      </c>
      <c r="I20" s="41">
        <f>'SIMULARE PE PRODUS'!$L$11</f>
        <v>62527.299593999996</v>
      </c>
      <c r="J20" s="28">
        <f t="shared" si="1"/>
        <v>0.6505043605706381</v>
      </c>
      <c r="K20" s="41">
        <f t="shared" si="2"/>
        <v>33593.961667261261</v>
      </c>
    </row>
    <row r="21" spans="1:11" x14ac:dyDescent="0.2">
      <c r="A21" s="26">
        <v>17</v>
      </c>
      <c r="B21" s="26" t="s">
        <v>158</v>
      </c>
      <c r="C21" s="26" t="s">
        <v>103</v>
      </c>
      <c r="D21" s="27">
        <f>'SIMULARE PE PRODUS'!$F$93</f>
        <v>8964</v>
      </c>
      <c r="E21" s="27">
        <f>'SIMULARE PE PRODUS'!$G$93</f>
        <v>0</v>
      </c>
      <c r="F21" s="27">
        <f t="shared" si="0"/>
        <v>8964</v>
      </c>
      <c r="G21" s="41">
        <f>'SIMULARE PE PRODUS'!T$93</f>
        <v>81416.826446281004</v>
      </c>
      <c r="H21" s="42">
        <f>IFERROR($G21/'SIMULARE PE PRODUS'!T$4,"")</f>
        <v>1.7148747339814314E-2</v>
      </c>
      <c r="I21" s="41">
        <f>'SIMULARE PE PRODUS'!$L$93</f>
        <v>42945.366611347192</v>
      </c>
      <c r="J21" s="28">
        <f t="shared" si="1"/>
        <v>0.52747532034649669</v>
      </c>
      <c r="K21" s="41">
        <f t="shared" si="2"/>
        <v>38471.459834933812</v>
      </c>
    </row>
    <row r="22" spans="1:11" x14ac:dyDescent="0.2">
      <c r="A22" s="26">
        <v>18</v>
      </c>
      <c r="B22" s="26" t="s">
        <v>159</v>
      </c>
      <c r="C22" s="26" t="s">
        <v>101</v>
      </c>
      <c r="D22" s="27">
        <f>'SIMULARE PE PRODUS'!$F$72</f>
        <v>0</v>
      </c>
      <c r="E22" s="27">
        <f>'SIMULARE PE PRODUS'!$G$72</f>
        <v>6000</v>
      </c>
      <c r="F22" s="27">
        <f t="shared" si="0"/>
        <v>6000</v>
      </c>
      <c r="G22" s="41">
        <f>'SIMULARE PE PRODUS'!T$72</f>
        <v>81027.027027027012</v>
      </c>
      <c r="H22" s="42">
        <f>IFERROR($G22/'SIMULARE PE PRODUS'!T$4,"")</f>
        <v>1.706664426547742E-2</v>
      </c>
      <c r="I22" s="41">
        <f>'SIMULARE PE PRODUS'!$L$72</f>
        <v>22363.3310208</v>
      </c>
      <c r="J22" s="28">
        <f t="shared" si="1"/>
        <v>0.27599841486644433</v>
      </c>
      <c r="K22" s="41">
        <f t="shared" si="2"/>
        <v>58663.696006227008</v>
      </c>
    </row>
    <row r="23" spans="1:11" x14ac:dyDescent="0.2">
      <c r="A23" s="26">
        <v>19</v>
      </c>
      <c r="B23" s="26" t="s">
        <v>160</v>
      </c>
      <c r="C23" s="26" t="s">
        <v>95</v>
      </c>
      <c r="D23" s="27">
        <f>'SIMULARE PE PRODUS'!$F$16</f>
        <v>8484</v>
      </c>
      <c r="E23" s="27">
        <f>'SIMULARE PE PRODUS'!$G$16</f>
        <v>1972</v>
      </c>
      <c r="F23" s="27">
        <f t="shared" si="0"/>
        <v>10456</v>
      </c>
      <c r="G23" s="41">
        <f>'SIMULARE PE PRODUS'!T$16</f>
        <v>71268.468468468462</v>
      </c>
      <c r="H23" s="42">
        <f>IFERROR($G23/'SIMULARE PE PRODUS'!T$4,"")</f>
        <v>1.5011208522941827E-2</v>
      </c>
      <c r="I23" s="41">
        <f>'SIMULARE PE PRODUS'!$L$16</f>
        <v>44709.47331039999</v>
      </c>
      <c r="J23" s="28">
        <f t="shared" si="1"/>
        <v>0.6273387694612933</v>
      </c>
      <c r="K23" s="41">
        <f t="shared" si="2"/>
        <v>26558.995158068472</v>
      </c>
    </row>
    <row r="24" spans="1:11" x14ac:dyDescent="0.2">
      <c r="A24" s="26">
        <v>20</v>
      </c>
      <c r="B24" s="26" t="s">
        <v>161</v>
      </c>
      <c r="C24" s="26" t="s">
        <v>103</v>
      </c>
      <c r="D24" s="27">
        <f>'SIMULARE PE PRODUS'!$F$94</f>
        <v>9763</v>
      </c>
      <c r="E24" s="27">
        <f>'SIMULARE PE PRODUS'!$G$94</f>
        <v>0</v>
      </c>
      <c r="F24" s="27">
        <f t="shared" si="0"/>
        <v>9763</v>
      </c>
      <c r="G24" s="41">
        <f>'SIMULARE PE PRODUS'!T$94</f>
        <v>64468.074380165293</v>
      </c>
      <c r="H24" s="42">
        <f>IFERROR($G24/'SIMULARE PE PRODUS'!T$4,"")</f>
        <v>1.3578848099161088E-2</v>
      </c>
      <c r="I24" s="41">
        <f>'SIMULARE PE PRODUS'!$L$94</f>
        <v>34282.247700235595</v>
      </c>
      <c r="J24" s="28">
        <f t="shared" si="1"/>
        <v>0.53177092739073828</v>
      </c>
      <c r="K24" s="41">
        <f t="shared" si="2"/>
        <v>30185.826679929698</v>
      </c>
    </row>
    <row r="25" spans="1:11" x14ac:dyDescent="0.2">
      <c r="A25" s="26">
        <v>21</v>
      </c>
      <c r="B25" s="26" t="s">
        <v>162</v>
      </c>
      <c r="C25" s="26" t="s">
        <v>97</v>
      </c>
      <c r="D25" s="27">
        <f>'SIMULARE PE PRODUS'!$F$30</f>
        <v>2828</v>
      </c>
      <c r="E25" s="27">
        <f>'SIMULARE PE PRODUS'!$G$30</f>
        <v>1452</v>
      </c>
      <c r="F25" s="27">
        <f t="shared" si="0"/>
        <v>4280</v>
      </c>
      <c r="G25" s="41">
        <f>'SIMULARE PE PRODUS'!T$30</f>
        <v>64271.351351351339</v>
      </c>
      <c r="H25" s="42">
        <f>IFERROR($G25/'SIMULARE PE PRODUS'!T$4,"")</f>
        <v>1.3537412518037334E-2</v>
      </c>
      <c r="I25" s="41">
        <f>'SIMULARE PE PRODUS'!$L$30</f>
        <v>20969.512677999999</v>
      </c>
      <c r="J25" s="28">
        <f t="shared" si="1"/>
        <v>0.32626531474912118</v>
      </c>
      <c r="K25" s="41">
        <f t="shared" si="2"/>
        <v>43301.83867335134</v>
      </c>
    </row>
    <row r="26" spans="1:11" x14ac:dyDescent="0.2">
      <c r="A26" s="26">
        <v>22</v>
      </c>
      <c r="B26" s="26" t="s">
        <v>163</v>
      </c>
      <c r="C26" s="26" t="s">
        <v>97</v>
      </c>
      <c r="D26" s="27">
        <f>'SIMULARE PE PRODUS'!$F$31</f>
        <v>1779</v>
      </c>
      <c r="E26" s="27">
        <f>'SIMULARE PE PRODUS'!$G$31</f>
        <v>751</v>
      </c>
      <c r="F26" s="27">
        <f t="shared" si="0"/>
        <v>2530</v>
      </c>
      <c r="G26" s="41">
        <f>'SIMULARE PE PRODUS'!T$31</f>
        <v>62870.900900900888</v>
      </c>
      <c r="H26" s="42">
        <f>IFERROR($G26/'SIMULARE PE PRODUS'!T$4,"")</f>
        <v>1.3242436995347934E-2</v>
      </c>
      <c r="I26" s="41">
        <f>'SIMULARE PE PRODUS'!$L$31</f>
        <v>25669.388096000002</v>
      </c>
      <c r="J26" s="28">
        <f t="shared" si="1"/>
        <v>0.40828726371299989</v>
      </c>
      <c r="K26" s="41">
        <f t="shared" si="2"/>
        <v>37201.512804900885</v>
      </c>
    </row>
    <row r="27" spans="1:11" x14ac:dyDescent="0.2">
      <c r="A27" s="26">
        <v>23</v>
      </c>
      <c r="B27" s="26" t="s">
        <v>164</v>
      </c>
      <c r="C27" s="26" t="s">
        <v>100</v>
      </c>
      <c r="D27" s="27">
        <f>'SIMULARE PE PRODUS'!$F$51</f>
        <v>2205</v>
      </c>
      <c r="E27" s="27">
        <f>'SIMULARE PE PRODUS'!$G$51</f>
        <v>628</v>
      </c>
      <c r="F27" s="27">
        <f t="shared" si="0"/>
        <v>2833</v>
      </c>
      <c r="G27" s="41">
        <f>'SIMULARE PE PRODUS'!T$51</f>
        <v>48631.081081081073</v>
      </c>
      <c r="H27" s="42">
        <f>IFERROR($G27/'SIMULARE PE PRODUS'!T$4,"")</f>
        <v>1.0243117531383189E-2</v>
      </c>
      <c r="I27" s="41">
        <f>'SIMULARE PE PRODUS'!$L$51</f>
        <v>24593.689677640003</v>
      </c>
      <c r="J27" s="28">
        <f t="shared" si="1"/>
        <v>0.50571957544262114</v>
      </c>
      <c r="K27" s="41">
        <f t="shared" si="2"/>
        <v>24037.39140344107</v>
      </c>
    </row>
    <row r="28" spans="1:11" x14ac:dyDescent="0.2">
      <c r="A28" s="26">
        <v>24</v>
      </c>
      <c r="B28" s="26" t="s">
        <v>165</v>
      </c>
      <c r="C28" s="26" t="s">
        <v>94</v>
      </c>
      <c r="D28" s="27">
        <f>'SIMULARE PE PRODUS'!$F$12</f>
        <v>5302</v>
      </c>
      <c r="E28" s="27">
        <f>'SIMULARE PE PRODUS'!$G$12</f>
        <v>1141</v>
      </c>
      <c r="F28" s="27">
        <f t="shared" si="0"/>
        <v>6443</v>
      </c>
      <c r="G28" s="41">
        <f>'SIMULARE PE PRODUS'!T$12</f>
        <v>48491.891891891886</v>
      </c>
      <c r="H28" s="42">
        <f>IFERROR($G28/'SIMULARE PE PRODUS'!T$4,"")</f>
        <v>1.0213800247204667E-2</v>
      </c>
      <c r="I28" s="41">
        <f>'SIMULARE PE PRODUS'!$L$12</f>
        <v>41003.929159299994</v>
      </c>
      <c r="J28" s="28">
        <f t="shared" si="1"/>
        <v>0.8455832008104448</v>
      </c>
      <c r="K28" s="41">
        <f t="shared" si="2"/>
        <v>7487.9627325918918</v>
      </c>
    </row>
    <row r="29" spans="1:11" x14ac:dyDescent="0.2">
      <c r="A29" s="26">
        <v>25</v>
      </c>
      <c r="B29" s="26" t="s">
        <v>166</v>
      </c>
      <c r="C29" s="26" t="s">
        <v>112</v>
      </c>
      <c r="D29" s="27">
        <f>'SIMULARE PE PRODUS'!$F$234</f>
        <v>3077</v>
      </c>
      <c r="E29" s="27">
        <f>'SIMULARE PE PRODUS'!$G$234</f>
        <v>67784</v>
      </c>
      <c r="F29" s="27">
        <f t="shared" si="0"/>
        <v>70861</v>
      </c>
      <c r="G29" s="41">
        <f>'SIMULARE PE PRODUS'!T$234</f>
        <v>47879.054054054053</v>
      </c>
      <c r="H29" s="42">
        <f>IFERROR($G29/'SIMULARE PE PRODUS'!T$4,"")</f>
        <v>1.0084718806671078E-2</v>
      </c>
      <c r="I29" s="41">
        <f>'SIMULARE PE PRODUS'!$L$234</f>
        <v>37485.469000000005</v>
      </c>
      <c r="J29" s="28">
        <f t="shared" si="1"/>
        <v>0.78292000000000006</v>
      </c>
      <c r="K29" s="41">
        <f t="shared" si="2"/>
        <v>10393.585054054049</v>
      </c>
    </row>
    <row r="30" spans="1:11" x14ac:dyDescent="0.2">
      <c r="A30" s="26">
        <v>26</v>
      </c>
      <c r="B30" s="26" t="s">
        <v>167</v>
      </c>
      <c r="C30" s="26" t="s">
        <v>100</v>
      </c>
      <c r="D30" s="27">
        <f>'SIMULARE PE PRODUS'!$F$52</f>
        <v>1543</v>
      </c>
      <c r="E30" s="27">
        <f>'SIMULARE PE PRODUS'!$G$52</f>
        <v>498</v>
      </c>
      <c r="F30" s="27">
        <f t="shared" si="0"/>
        <v>2041</v>
      </c>
      <c r="G30" s="41">
        <f>'SIMULARE PE PRODUS'!T$52</f>
        <v>46843.693693693691</v>
      </c>
      <c r="H30" s="42">
        <f>IFERROR($G30/'SIMULARE PE PRODUS'!T$4,"")</f>
        <v>9.8666418562363446E-3</v>
      </c>
      <c r="I30" s="41">
        <f>'SIMULARE PE PRODUS'!$L$52</f>
        <v>23537.892587040002</v>
      </c>
      <c r="J30" s="28">
        <f t="shared" si="1"/>
        <v>0.50247729696449572</v>
      </c>
      <c r="K30" s="41">
        <f t="shared" si="2"/>
        <v>23305.801106653689</v>
      </c>
    </row>
    <row r="31" spans="1:11" x14ac:dyDescent="0.2">
      <c r="A31" s="26">
        <v>27</v>
      </c>
      <c r="B31" s="26" t="s">
        <v>168</v>
      </c>
      <c r="C31" s="26" t="s">
        <v>102</v>
      </c>
      <c r="D31" s="27">
        <f>'SIMULARE PE PRODUS'!$F$77</f>
        <v>5108</v>
      </c>
      <c r="E31" s="27">
        <f>'SIMULARE PE PRODUS'!$G$77</f>
        <v>2497</v>
      </c>
      <c r="F31" s="27">
        <f t="shared" si="0"/>
        <v>7605</v>
      </c>
      <c r="G31" s="41">
        <f>'SIMULARE PE PRODUS'!T$77</f>
        <v>42918.01801801801</v>
      </c>
      <c r="H31" s="42">
        <f>IFERROR($G31/'SIMULARE PE PRODUS'!T$4,"")</f>
        <v>9.0397805888712355E-3</v>
      </c>
      <c r="I31" s="41">
        <f>'SIMULARE PE PRODUS'!$L$77</f>
        <v>15429.662819999998</v>
      </c>
      <c r="J31" s="28">
        <f t="shared" si="1"/>
        <v>0.35951480363147842</v>
      </c>
      <c r="K31" s="41">
        <f t="shared" si="2"/>
        <v>27488.355198018013</v>
      </c>
    </row>
    <row r="32" spans="1:11" x14ac:dyDescent="0.2">
      <c r="A32" s="26">
        <v>28</v>
      </c>
      <c r="B32" s="26" t="s">
        <v>169</v>
      </c>
      <c r="C32" s="26" t="s">
        <v>96</v>
      </c>
      <c r="D32" s="27">
        <f>'SIMULARE PE PRODUS'!$F$26</f>
        <v>919</v>
      </c>
      <c r="E32" s="27">
        <f>'SIMULARE PE PRODUS'!$G$26</f>
        <v>398</v>
      </c>
      <c r="F32" s="27">
        <f t="shared" si="0"/>
        <v>1317</v>
      </c>
      <c r="G32" s="41">
        <f>'SIMULARE PE PRODUS'!T$26</f>
        <v>41404.351351351346</v>
      </c>
      <c r="H32" s="42">
        <f>IFERROR($G32/'SIMULARE PE PRODUS'!T$4,"")</f>
        <v>8.7209584441577913E-3</v>
      </c>
      <c r="I32" s="41">
        <f>'SIMULARE PE PRODUS'!$L$26</f>
        <v>19582.96054023</v>
      </c>
      <c r="J32" s="28">
        <f t="shared" si="1"/>
        <v>0.47296865911632874</v>
      </c>
      <c r="K32" s="41">
        <f t="shared" si="2"/>
        <v>21821.390811121346</v>
      </c>
    </row>
    <row r="33" spans="1:11" x14ac:dyDescent="0.2">
      <c r="A33" s="26">
        <v>29</v>
      </c>
      <c r="B33" s="26" t="s">
        <v>170</v>
      </c>
      <c r="C33" s="26" t="s">
        <v>103</v>
      </c>
      <c r="D33" s="27">
        <f>'SIMULARE PE PRODUS'!$F$95</f>
        <v>4497</v>
      </c>
      <c r="E33" s="27">
        <f>'SIMULARE PE PRODUS'!$G$95</f>
        <v>0</v>
      </c>
      <c r="F33" s="27">
        <f t="shared" si="0"/>
        <v>4497</v>
      </c>
      <c r="G33" s="41">
        <f>'SIMULARE PE PRODUS'!T$95</f>
        <v>40844.652892561986</v>
      </c>
      <c r="H33" s="42">
        <f>IFERROR($G33/'SIMULARE PE PRODUS'!T$4,"")</f>
        <v>8.6030696995922553E-3</v>
      </c>
      <c r="I33" s="41">
        <f>'SIMULARE PE PRODUS'!$L$95</f>
        <v>21545.130885407998</v>
      </c>
      <c r="J33" s="28">
        <f t="shared" si="1"/>
        <v>0.52748963106824376</v>
      </c>
      <c r="K33" s="41">
        <f t="shared" si="2"/>
        <v>19299.522007153988</v>
      </c>
    </row>
    <row r="34" spans="1:11" x14ac:dyDescent="0.2">
      <c r="A34" s="26">
        <v>30</v>
      </c>
      <c r="B34" s="26" t="s">
        <v>171</v>
      </c>
      <c r="C34" s="26" t="s">
        <v>102</v>
      </c>
      <c r="D34" s="27">
        <f>'SIMULARE PE PRODUS'!$F$78</f>
        <v>5449</v>
      </c>
      <c r="E34" s="27">
        <f>'SIMULARE PE PRODUS'!$G$78</f>
        <v>1627</v>
      </c>
      <c r="F34" s="27">
        <f t="shared" si="0"/>
        <v>7076</v>
      </c>
      <c r="G34" s="41">
        <f>'SIMULARE PE PRODUS'!T$78</f>
        <v>38886.126126126117</v>
      </c>
      <c r="H34" s="42">
        <f>IFERROR($G34/'SIMULARE PE PRODUS'!T$4,"")</f>
        <v>8.1905471027058172E-3</v>
      </c>
      <c r="I34" s="41">
        <f>'SIMULARE PE PRODUS'!$L$78</f>
        <v>14038.784</v>
      </c>
      <c r="J34" s="28">
        <f t="shared" si="1"/>
        <v>0.36102295081967223</v>
      </c>
      <c r="K34" s="41">
        <f t="shared" si="2"/>
        <v>24847.342126126117</v>
      </c>
    </row>
    <row r="35" spans="1:11" x14ac:dyDescent="0.2">
      <c r="A35" s="26">
        <v>31</v>
      </c>
      <c r="B35" s="26" t="s">
        <v>172</v>
      </c>
      <c r="C35" s="26" t="s">
        <v>103</v>
      </c>
      <c r="D35" s="27">
        <f>'SIMULARE PE PRODUS'!$F$96</f>
        <v>5796</v>
      </c>
      <c r="E35" s="27">
        <f>'SIMULARE PE PRODUS'!$G$96</f>
        <v>0</v>
      </c>
      <c r="F35" s="27">
        <f t="shared" si="0"/>
        <v>5796</v>
      </c>
      <c r="G35" s="41">
        <f>'SIMULARE PE PRODUS'!T$96</f>
        <v>38272.760330578516</v>
      </c>
      <c r="H35" s="42">
        <f>IFERROR($G35/'SIMULARE PE PRODUS'!T$4,"")</f>
        <v>8.0613544589509031E-3</v>
      </c>
      <c r="I35" s="41">
        <f>'SIMULARE PE PRODUS'!$L$96</f>
        <v>20352.873181535997</v>
      </c>
      <c r="J35" s="28">
        <f t="shared" si="1"/>
        <v>0.53178482570212748</v>
      </c>
      <c r="K35" s="41">
        <f t="shared" si="2"/>
        <v>17919.887149042519</v>
      </c>
    </row>
    <row r="36" spans="1:11" x14ac:dyDescent="0.2">
      <c r="A36" s="26">
        <v>32</v>
      </c>
      <c r="B36" s="26" t="s">
        <v>173</v>
      </c>
      <c r="C36" s="26" t="s">
        <v>100</v>
      </c>
      <c r="D36" s="27">
        <f>'SIMULARE PE PRODUS'!$F$53</f>
        <v>259</v>
      </c>
      <c r="E36" s="27">
        <f>'SIMULARE PE PRODUS'!$G$53</f>
        <v>116</v>
      </c>
      <c r="F36" s="27">
        <f t="shared" si="0"/>
        <v>375</v>
      </c>
      <c r="G36" s="41">
        <f>'SIMULARE PE PRODUS'!T$53</f>
        <v>36292.792792792781</v>
      </c>
      <c r="H36" s="42">
        <f>IFERROR($G36/'SIMULARE PE PRODUS'!T$4,"")</f>
        <v>7.6443158131505205E-3</v>
      </c>
      <c r="I36" s="41">
        <f>'SIMULARE PE PRODUS'!$L$53</f>
        <v>22232.117699999999</v>
      </c>
      <c r="J36" s="28">
        <f t="shared" si="1"/>
        <v>0.61257665749038115</v>
      </c>
      <c r="K36" s="41">
        <f t="shared" si="2"/>
        <v>14060.675092792782</v>
      </c>
    </row>
    <row r="37" spans="1:11" x14ac:dyDescent="0.2">
      <c r="A37" s="26">
        <v>33</v>
      </c>
      <c r="B37" s="26" t="s">
        <v>174</v>
      </c>
      <c r="C37" s="26" t="s">
        <v>97</v>
      </c>
      <c r="D37" s="27">
        <f>'SIMULARE PE PRODUS'!$F$32</f>
        <v>1599</v>
      </c>
      <c r="E37" s="27">
        <f>'SIMULARE PE PRODUS'!$G$32</f>
        <v>799</v>
      </c>
      <c r="F37" s="27">
        <f t="shared" ref="F37:F68" si="3">$D37+$E37</f>
        <v>2398</v>
      </c>
      <c r="G37" s="41">
        <f>'SIMULARE PE PRODUS'!T$32</f>
        <v>35983.801801801797</v>
      </c>
      <c r="H37" s="42">
        <f>IFERROR($G37/'SIMULARE PE PRODUS'!T$4,"")</f>
        <v>7.57923333983305E-3</v>
      </c>
      <c r="I37" s="41">
        <f>'SIMULARE PE PRODUS'!$L$32</f>
        <v>12030.899688499998</v>
      </c>
      <c r="J37" s="28">
        <f t="shared" ref="J37:J68" si="4">IFERROR($I37/$G37,"")</f>
        <v>0.33434209522290059</v>
      </c>
      <c r="K37" s="41">
        <f t="shared" ref="K37:K68" si="5">$G37-$I37</f>
        <v>23952.9021133018</v>
      </c>
    </row>
    <row r="38" spans="1:11" x14ac:dyDescent="0.2">
      <c r="A38" s="26">
        <v>34</v>
      </c>
      <c r="B38" s="26" t="s">
        <v>175</v>
      </c>
      <c r="C38" s="26" t="s">
        <v>102</v>
      </c>
      <c r="D38" s="27">
        <f>'SIMULARE PE PRODUS'!$F$79</f>
        <v>4095</v>
      </c>
      <c r="E38" s="27">
        <f>'SIMULARE PE PRODUS'!$G$79</f>
        <v>2349</v>
      </c>
      <c r="F38" s="27">
        <f t="shared" si="3"/>
        <v>6444</v>
      </c>
      <c r="G38" s="41">
        <f>'SIMULARE PE PRODUS'!T$79</f>
        <v>35412.972972972966</v>
      </c>
      <c r="H38" s="42">
        <f>IFERROR($G38/'SIMULARE PE PRODUS'!T$4,"")</f>
        <v>7.4590002162007191E-3</v>
      </c>
      <c r="I38" s="41">
        <f>'SIMULARE PE PRODUS'!$L$79</f>
        <v>8192.5922879999998</v>
      </c>
      <c r="J38" s="28">
        <f t="shared" si="4"/>
        <v>0.23134438032786889</v>
      </c>
      <c r="K38" s="41">
        <f t="shared" si="5"/>
        <v>27220.380684972966</v>
      </c>
    </row>
    <row r="39" spans="1:11" x14ac:dyDescent="0.2">
      <c r="A39" s="26">
        <v>35</v>
      </c>
      <c r="B39" s="26" t="s">
        <v>176</v>
      </c>
      <c r="C39" s="26" t="s">
        <v>97</v>
      </c>
      <c r="D39" s="27">
        <f>'SIMULARE PE PRODUS'!$F$33</f>
        <v>1943</v>
      </c>
      <c r="E39" s="27">
        <f>'SIMULARE PE PRODUS'!$G$33</f>
        <v>626</v>
      </c>
      <c r="F39" s="27">
        <f t="shared" si="3"/>
        <v>2569</v>
      </c>
      <c r="G39" s="41">
        <f>'SIMULARE PE PRODUS'!T$33</f>
        <v>34663.792792792789</v>
      </c>
      <c r="H39" s="42">
        <f>IFERROR($G39/'SIMULARE PE PRODUS'!T$4,"")</f>
        <v>7.3012011200841043E-3</v>
      </c>
      <c r="I39" s="41">
        <f>'SIMULARE PE PRODUS'!$L$33</f>
        <v>14377.402848199998</v>
      </c>
      <c r="J39" s="28">
        <f t="shared" si="4"/>
        <v>0.41476715875099829</v>
      </c>
      <c r="K39" s="41">
        <f t="shared" si="5"/>
        <v>20286.389944592789</v>
      </c>
    </row>
    <row r="40" spans="1:11" x14ac:dyDescent="0.2">
      <c r="A40" s="26">
        <v>36</v>
      </c>
      <c r="B40" s="26" t="s">
        <v>177</v>
      </c>
      <c r="C40" s="26" t="s">
        <v>102</v>
      </c>
      <c r="D40" s="27">
        <f>'SIMULARE PE PRODUS'!$F$80</f>
        <v>674</v>
      </c>
      <c r="E40" s="27">
        <f>'SIMULARE PE PRODUS'!$G$80</f>
        <v>828</v>
      </c>
      <c r="F40" s="27">
        <f t="shared" si="3"/>
        <v>1502</v>
      </c>
      <c r="G40" s="41">
        <f>'SIMULARE PE PRODUS'!T$80</f>
        <v>33964.144144144142</v>
      </c>
      <c r="H40" s="42">
        <f>IFERROR($G40/'SIMULARE PE PRODUS'!T$4,"")</f>
        <v>7.1538348025055806E-3</v>
      </c>
      <c r="I40" s="41">
        <f>'SIMULARE PE PRODUS'!$L$80</f>
        <v>10406.531900000002</v>
      </c>
      <c r="J40" s="28">
        <f t="shared" si="4"/>
        <v>0.30639758964143432</v>
      </c>
      <c r="K40" s="41">
        <f t="shared" si="5"/>
        <v>23557.61224414414</v>
      </c>
    </row>
    <row r="41" spans="1:11" x14ac:dyDescent="0.2">
      <c r="A41" s="26">
        <v>37</v>
      </c>
      <c r="B41" s="26" t="s">
        <v>178</v>
      </c>
      <c r="C41" s="26" t="s">
        <v>97</v>
      </c>
      <c r="D41" s="27">
        <f>'SIMULARE PE PRODUS'!$F$34</f>
        <v>725</v>
      </c>
      <c r="E41" s="27">
        <f>'SIMULARE PE PRODUS'!$G$34</f>
        <v>936</v>
      </c>
      <c r="F41" s="27">
        <f t="shared" si="3"/>
        <v>1661</v>
      </c>
      <c r="G41" s="41">
        <f>'SIMULARE PE PRODUS'!T$34</f>
        <v>31599.450450450444</v>
      </c>
      <c r="H41" s="42">
        <f>IFERROR($G41/'SIMULARE PE PRODUS'!T$4,"")</f>
        <v>6.6557616589157671E-3</v>
      </c>
      <c r="I41" s="41">
        <f>'SIMULARE PE PRODUS'!$L$34</f>
        <v>12826.063608599999</v>
      </c>
      <c r="J41" s="28">
        <f t="shared" si="4"/>
        <v>0.40589514772454427</v>
      </c>
      <c r="K41" s="41">
        <f t="shared" si="5"/>
        <v>18773.386841850443</v>
      </c>
    </row>
    <row r="42" spans="1:11" x14ac:dyDescent="0.2">
      <c r="A42" s="26">
        <v>38</v>
      </c>
      <c r="B42" s="26" t="s">
        <v>179</v>
      </c>
      <c r="C42" s="26" t="s">
        <v>96</v>
      </c>
      <c r="D42" s="27">
        <f>'SIMULARE PE PRODUS'!$F$27</f>
        <v>966</v>
      </c>
      <c r="E42" s="27">
        <f>'SIMULARE PE PRODUS'!$G$27</f>
        <v>226</v>
      </c>
      <c r="F42" s="27">
        <f t="shared" si="3"/>
        <v>1192</v>
      </c>
      <c r="G42" s="41">
        <f>'SIMULARE PE PRODUS'!T$27</f>
        <v>29594.666666666664</v>
      </c>
      <c r="H42" s="42">
        <f>IFERROR($G42/'SIMULARE PE PRODUS'!T$4,"")</f>
        <v>6.2334959912438799E-3</v>
      </c>
      <c r="I42" s="41">
        <f>'SIMULARE PE PRODUS'!$L$27</f>
        <v>12009.469720079998</v>
      </c>
      <c r="J42" s="28">
        <f t="shared" si="4"/>
        <v>0.4057984452180573</v>
      </c>
      <c r="K42" s="41">
        <f t="shared" si="5"/>
        <v>17585.196946586664</v>
      </c>
    </row>
    <row r="43" spans="1:11" x14ac:dyDescent="0.2">
      <c r="A43" s="26">
        <v>39</v>
      </c>
      <c r="B43" s="26" t="s">
        <v>180</v>
      </c>
      <c r="C43" s="26" t="s">
        <v>95</v>
      </c>
      <c r="D43" s="27">
        <f>'SIMULARE PE PRODUS'!$F$17</f>
        <v>1030</v>
      </c>
      <c r="E43" s="27">
        <f>'SIMULARE PE PRODUS'!$G$17</f>
        <v>820</v>
      </c>
      <c r="F43" s="27">
        <f t="shared" si="3"/>
        <v>1850</v>
      </c>
      <c r="G43" s="41">
        <f>'SIMULARE PE PRODUS'!T$17</f>
        <v>28032.882882882877</v>
      </c>
      <c r="H43" s="42">
        <f>IFERROR($G43/'SIMULARE PE PRODUS'!T$4,"")</f>
        <v>5.9045389847312453E-3</v>
      </c>
      <c r="I43" s="41">
        <f>'SIMULARE PE PRODUS'!$L$17</f>
        <v>11678.669824999997</v>
      </c>
      <c r="J43" s="28">
        <f t="shared" si="4"/>
        <v>0.41660609341506916</v>
      </c>
      <c r="K43" s="41">
        <f t="shared" si="5"/>
        <v>16354.21305788288</v>
      </c>
    </row>
    <row r="44" spans="1:11" x14ac:dyDescent="0.2">
      <c r="A44" s="26">
        <v>40</v>
      </c>
      <c r="B44" s="26" t="s">
        <v>181</v>
      </c>
      <c r="C44" s="26" t="s">
        <v>107</v>
      </c>
      <c r="D44" s="27">
        <f>'SIMULARE PE PRODUS'!$F$207</f>
        <v>971</v>
      </c>
      <c r="E44" s="27">
        <f>'SIMULARE PE PRODUS'!$G$207</f>
        <v>865</v>
      </c>
      <c r="F44" s="27">
        <f t="shared" si="3"/>
        <v>1836</v>
      </c>
      <c r="G44" s="41">
        <f>'SIMULARE PE PRODUS'!T$207</f>
        <v>27291.891891891886</v>
      </c>
      <c r="H44" s="42">
        <f>IFERROR($G44/'SIMULARE PE PRODUS'!T$4,"")</f>
        <v>5.7484647696061037E-3</v>
      </c>
      <c r="I44" s="41">
        <f>'SIMULARE PE PRODUS'!$L$207</f>
        <v>10688.931765360001</v>
      </c>
      <c r="J44" s="28">
        <f t="shared" si="4"/>
        <v>0.39165228294545468</v>
      </c>
      <c r="K44" s="41">
        <f t="shared" si="5"/>
        <v>16602.960126531885</v>
      </c>
    </row>
    <row r="45" spans="1:11" x14ac:dyDescent="0.2">
      <c r="A45" s="26">
        <v>41</v>
      </c>
      <c r="B45" s="26" t="s">
        <v>182</v>
      </c>
      <c r="C45" s="26" t="s">
        <v>100</v>
      </c>
      <c r="D45" s="27">
        <f>'SIMULARE PE PRODUS'!$F$54</f>
        <v>549</v>
      </c>
      <c r="E45" s="27">
        <f>'SIMULARE PE PRODUS'!$G$54</f>
        <v>639</v>
      </c>
      <c r="F45" s="27">
        <f t="shared" si="3"/>
        <v>1188</v>
      </c>
      <c r="G45" s="41">
        <f>'SIMULARE PE PRODUS'!T$54</f>
        <v>26383.783783783783</v>
      </c>
      <c r="H45" s="42">
        <f>IFERROR($G45/'SIMULARE PE PRODUS'!T$4,"")</f>
        <v>5.5571908378782729E-3</v>
      </c>
      <c r="I45" s="41">
        <f>'SIMULARE PE PRODUS'!$L$54</f>
        <v>8088.8118220800006</v>
      </c>
      <c r="J45" s="28">
        <f t="shared" si="4"/>
        <v>0.30658270581536573</v>
      </c>
      <c r="K45" s="41">
        <f t="shared" si="5"/>
        <v>18294.971961703784</v>
      </c>
    </row>
    <row r="46" spans="1:11" x14ac:dyDescent="0.2">
      <c r="A46" s="26">
        <v>42</v>
      </c>
      <c r="B46" s="26" t="s">
        <v>183</v>
      </c>
      <c r="C46" s="26" t="s">
        <v>97</v>
      </c>
      <c r="D46" s="27">
        <f>'SIMULARE PE PRODUS'!$F$35</f>
        <v>1219</v>
      </c>
      <c r="E46" s="27">
        <f>'SIMULARE PE PRODUS'!$G$35</f>
        <v>518</v>
      </c>
      <c r="F46" s="27">
        <f t="shared" si="3"/>
        <v>1737</v>
      </c>
      <c r="G46" s="41">
        <f>'SIMULARE PE PRODUS'!T$35</f>
        <v>25955.522522522519</v>
      </c>
      <c r="H46" s="42">
        <f>IFERROR($G46/'SIMULARE PE PRODUS'!T$4,"")</f>
        <v>5.4669865829919031E-3</v>
      </c>
      <c r="I46" s="41">
        <f>'SIMULARE PE PRODUS'!$L$35</f>
        <v>8877.7275322499991</v>
      </c>
      <c r="J46" s="28">
        <f t="shared" si="4"/>
        <v>0.34203617070496206</v>
      </c>
      <c r="K46" s="41">
        <f t="shared" si="5"/>
        <v>17077.794990272519</v>
      </c>
    </row>
    <row r="47" spans="1:11" x14ac:dyDescent="0.2">
      <c r="A47" s="26">
        <v>43</v>
      </c>
      <c r="B47" s="26" t="s">
        <v>184</v>
      </c>
      <c r="C47" s="26" t="s">
        <v>102</v>
      </c>
      <c r="D47" s="27">
        <f>'SIMULARE PE PRODUS'!$F$81</f>
        <v>1080</v>
      </c>
      <c r="E47" s="27">
        <f>'SIMULARE PE PRODUS'!$G$81</f>
        <v>929</v>
      </c>
      <c r="F47" s="27">
        <f t="shared" si="3"/>
        <v>2009</v>
      </c>
      <c r="G47" s="41">
        <f>'SIMULARE PE PRODUS'!T$81</f>
        <v>25483.531531531531</v>
      </c>
      <c r="H47" s="42">
        <f>IFERROR($G47/'SIMULARE PE PRODUS'!T$4,"")</f>
        <v>5.3675715774645933E-3</v>
      </c>
      <c r="I47" s="41">
        <f>'SIMULARE PE PRODUS'!$L$81</f>
        <v>7827.1242700000003</v>
      </c>
      <c r="J47" s="28">
        <f t="shared" si="4"/>
        <v>0.30714441051136365</v>
      </c>
      <c r="K47" s="41">
        <f t="shared" si="5"/>
        <v>17656.407261531531</v>
      </c>
    </row>
    <row r="48" spans="1:11" x14ac:dyDescent="0.2">
      <c r="A48" s="26">
        <v>44</v>
      </c>
      <c r="B48" s="26" t="s">
        <v>185</v>
      </c>
      <c r="C48" s="26" t="s">
        <v>100</v>
      </c>
      <c r="D48" s="27">
        <f>'SIMULARE PE PRODUS'!$F$55</f>
        <v>909</v>
      </c>
      <c r="E48" s="27">
        <f>'SIMULARE PE PRODUS'!$G$55</f>
        <v>662</v>
      </c>
      <c r="F48" s="27">
        <f t="shared" si="3"/>
        <v>1571</v>
      </c>
      <c r="G48" s="41">
        <f>'SIMULARE PE PRODUS'!T$55</f>
        <v>25141.891891891886</v>
      </c>
      <c r="H48" s="42">
        <f>IFERROR($G48/'SIMULARE PE PRODUS'!T$4,"")</f>
        <v>5.2956123508873815E-3</v>
      </c>
      <c r="I48" s="41">
        <f>'SIMULARE PE PRODUS'!$L$55</f>
        <v>7197.5513302399995</v>
      </c>
      <c r="J48" s="28">
        <f t="shared" si="4"/>
        <v>0.28627723646211239</v>
      </c>
      <c r="K48" s="41">
        <f t="shared" si="5"/>
        <v>17944.340561651887</v>
      </c>
    </row>
    <row r="49" spans="1:11" x14ac:dyDescent="0.2">
      <c r="A49" s="26">
        <v>45</v>
      </c>
      <c r="B49" s="26" t="s">
        <v>186</v>
      </c>
      <c r="C49" s="26" t="s">
        <v>97</v>
      </c>
      <c r="D49" s="27">
        <f>'SIMULARE PE PRODUS'!$F$36</f>
        <v>490</v>
      </c>
      <c r="E49" s="27">
        <f>'SIMULARE PE PRODUS'!$G$36</f>
        <v>462</v>
      </c>
      <c r="F49" s="27">
        <f t="shared" si="3"/>
        <v>952</v>
      </c>
      <c r="G49" s="41">
        <f>'SIMULARE PE PRODUS'!T$36</f>
        <v>23980.612612612611</v>
      </c>
      <c r="H49" s="42">
        <f>IFERROR($G49/'SIMULARE PE PRODUS'!T$4,"")</f>
        <v>5.051013220455031E-3</v>
      </c>
      <c r="I49" s="41">
        <f>'SIMULARE PE PRODUS'!$L$36</f>
        <v>9766.0999968000015</v>
      </c>
      <c r="J49" s="28">
        <f t="shared" si="4"/>
        <v>0.40724981277849082</v>
      </c>
      <c r="K49" s="41">
        <f t="shared" si="5"/>
        <v>14214.51261581261</v>
      </c>
    </row>
    <row r="50" spans="1:11" x14ac:dyDescent="0.2">
      <c r="A50" s="26">
        <v>46</v>
      </c>
      <c r="B50" s="26" t="s">
        <v>187</v>
      </c>
      <c r="C50" s="26" t="s">
        <v>105</v>
      </c>
      <c r="D50" s="27">
        <f>'SIMULARE PE PRODUS'!$F$164</f>
        <v>1104</v>
      </c>
      <c r="E50" s="27">
        <f>'SIMULARE PE PRODUS'!$G$164</f>
        <v>643</v>
      </c>
      <c r="F50" s="27">
        <f t="shared" si="3"/>
        <v>1747</v>
      </c>
      <c r="G50" s="41">
        <f>'SIMULARE PE PRODUS'!T$164</f>
        <v>23608.108108108107</v>
      </c>
      <c r="H50" s="42">
        <f>IFERROR($G50/'SIMULARE PE PRODUS'!T$4,"")</f>
        <v>4.9725529572696896E-3</v>
      </c>
      <c r="I50" s="41">
        <f>'SIMULARE PE PRODUS'!$L$164</f>
        <v>10397.630381999999</v>
      </c>
      <c r="J50" s="28">
        <f t="shared" si="4"/>
        <v>0.44042624400000002</v>
      </c>
      <c r="K50" s="41">
        <f t="shared" si="5"/>
        <v>13210.477726108107</v>
      </c>
    </row>
    <row r="51" spans="1:11" x14ac:dyDescent="0.2">
      <c r="A51" s="26">
        <v>47</v>
      </c>
      <c r="B51" s="26" t="s">
        <v>188</v>
      </c>
      <c r="C51" s="26" t="s">
        <v>103</v>
      </c>
      <c r="D51" s="27">
        <f>'SIMULARE PE PRODUS'!$F$97</f>
        <v>2416</v>
      </c>
      <c r="E51" s="27">
        <f>'SIMULARE PE PRODUS'!$G$97</f>
        <v>109</v>
      </c>
      <c r="F51" s="27">
        <f t="shared" si="3"/>
        <v>2525</v>
      </c>
      <c r="G51" s="41">
        <f>'SIMULARE PE PRODUS'!T$97</f>
        <v>23023.760330578512</v>
      </c>
      <c r="H51" s="42">
        <f>IFERROR($G51/'SIMULARE PE PRODUS'!T$4,"")</f>
        <v>4.8494723505593702E-3</v>
      </c>
      <c r="I51" s="41">
        <f>'SIMULARE PE PRODUS'!$L$97</f>
        <v>7049.7999999999993</v>
      </c>
      <c r="J51" s="28">
        <f t="shared" si="4"/>
        <v>0.30619672454794272</v>
      </c>
      <c r="K51" s="41">
        <f t="shared" si="5"/>
        <v>15973.960330578513</v>
      </c>
    </row>
    <row r="52" spans="1:11" x14ac:dyDescent="0.2">
      <c r="A52" s="26">
        <v>48</v>
      </c>
      <c r="B52" s="26" t="s">
        <v>189</v>
      </c>
      <c r="C52" s="26" t="s">
        <v>100</v>
      </c>
      <c r="D52" s="27">
        <f>'SIMULARE PE PRODUS'!$F$56</f>
        <v>345</v>
      </c>
      <c r="E52" s="27">
        <f>'SIMULARE PE PRODUS'!$G$56</f>
        <v>356</v>
      </c>
      <c r="F52" s="27">
        <f t="shared" si="3"/>
        <v>701</v>
      </c>
      <c r="G52" s="41">
        <f>'SIMULARE PE PRODUS'!T$56</f>
        <v>21652.252252252249</v>
      </c>
      <c r="H52" s="42">
        <f>IFERROR($G52/'SIMULARE PE PRODUS'!T$4,"")</f>
        <v>4.5605929316931771E-3</v>
      </c>
      <c r="I52" s="41">
        <f>'SIMULARE PE PRODUS'!$L$56</f>
        <v>10295.001076159999</v>
      </c>
      <c r="J52" s="28">
        <f t="shared" si="4"/>
        <v>0.47547021696503289</v>
      </c>
      <c r="K52" s="41">
        <f t="shared" si="5"/>
        <v>11357.25117609225</v>
      </c>
    </row>
    <row r="53" spans="1:11" x14ac:dyDescent="0.2">
      <c r="A53" s="26">
        <v>49</v>
      </c>
      <c r="B53" s="26" t="s">
        <v>190</v>
      </c>
      <c r="C53" s="26" t="s">
        <v>110</v>
      </c>
      <c r="D53" s="27">
        <f>'SIMULARE PE PRODUS'!$F$223</f>
        <v>737</v>
      </c>
      <c r="E53" s="27">
        <f>'SIMULARE PE PRODUS'!$G$223</f>
        <v>0</v>
      </c>
      <c r="F53" s="27">
        <f t="shared" si="3"/>
        <v>737</v>
      </c>
      <c r="G53" s="41">
        <f>'SIMULARE PE PRODUS'!T$223</f>
        <v>19912.279279279279</v>
      </c>
      <c r="H53" s="42">
        <f>IFERROR($G53/'SIMULARE PE PRODUS'!T$4,"")</f>
        <v>4.1941041087554956E-3</v>
      </c>
      <c r="I53" s="41">
        <f>'SIMULARE PE PRODUS'!$L$223</f>
        <v>11542.820299999999</v>
      </c>
      <c r="J53" s="28">
        <f t="shared" si="4"/>
        <v>0.57968352784261423</v>
      </c>
      <c r="K53" s="41">
        <f t="shared" si="5"/>
        <v>8369.4589792792794</v>
      </c>
    </row>
    <row r="54" spans="1:11" x14ac:dyDescent="0.2">
      <c r="A54" s="26">
        <v>50</v>
      </c>
      <c r="B54" s="26" t="s">
        <v>191</v>
      </c>
      <c r="C54" s="26" t="s">
        <v>105</v>
      </c>
      <c r="D54" s="27">
        <f>'SIMULARE PE PRODUS'!$F$165</f>
        <v>1282</v>
      </c>
      <c r="E54" s="27">
        <f>'SIMULARE PE PRODUS'!$G$165</f>
        <v>478</v>
      </c>
      <c r="F54" s="27">
        <f t="shared" si="3"/>
        <v>1760</v>
      </c>
      <c r="G54" s="41">
        <f>'SIMULARE PE PRODUS'!T$165</f>
        <v>19888.288288288288</v>
      </c>
      <c r="H54" s="42">
        <f>IFERROR($G54/'SIMULARE PE PRODUS'!T$4,"")</f>
        <v>4.1890509095472497E-3</v>
      </c>
      <c r="I54" s="41">
        <f>'SIMULARE PE PRODUS'!$L$165</f>
        <v>8220.2706399999988</v>
      </c>
      <c r="J54" s="28">
        <f t="shared" si="4"/>
        <v>0.41332217840188434</v>
      </c>
      <c r="K54" s="41">
        <f t="shared" si="5"/>
        <v>11668.017648288289</v>
      </c>
    </row>
    <row r="55" spans="1:11" x14ac:dyDescent="0.2">
      <c r="A55" s="26">
        <v>51</v>
      </c>
      <c r="B55" s="26" t="s">
        <v>192</v>
      </c>
      <c r="C55" s="26" t="s">
        <v>97</v>
      </c>
      <c r="D55" s="27">
        <f>'SIMULARE PE PRODUS'!$F$37</f>
        <v>609</v>
      </c>
      <c r="E55" s="27">
        <f>'SIMULARE PE PRODUS'!$G$37</f>
        <v>193</v>
      </c>
      <c r="F55" s="27">
        <f t="shared" si="3"/>
        <v>802</v>
      </c>
      <c r="G55" s="41">
        <f>'SIMULARE PE PRODUS'!T$37</f>
        <v>19848.630630630629</v>
      </c>
      <c r="H55" s="42">
        <f>IFERROR($G55/'SIMULARE PE PRODUS'!T$4,"")</f>
        <v>4.1806978555049288E-3</v>
      </c>
      <c r="I55" s="41">
        <f>'SIMULARE PE PRODUS'!$L$37</f>
        <v>8306.4505805999979</v>
      </c>
      <c r="J55" s="28">
        <f t="shared" si="4"/>
        <v>0.41848985631187025</v>
      </c>
      <c r="K55" s="41">
        <f t="shared" si="5"/>
        <v>11542.180050030631</v>
      </c>
    </row>
    <row r="56" spans="1:11" x14ac:dyDescent="0.2">
      <c r="A56" s="26">
        <v>52</v>
      </c>
      <c r="B56" s="26" t="s">
        <v>193</v>
      </c>
      <c r="C56" s="26" t="s">
        <v>100</v>
      </c>
      <c r="D56" s="27">
        <f>'SIMULARE PE PRODUS'!$F$57</f>
        <v>711</v>
      </c>
      <c r="E56" s="27">
        <f>'SIMULARE PE PRODUS'!$G$57</f>
        <v>239</v>
      </c>
      <c r="F56" s="27">
        <f t="shared" si="3"/>
        <v>950</v>
      </c>
      <c r="G56" s="41">
        <f>'SIMULARE PE PRODUS'!T$57</f>
        <v>19800.450450450448</v>
      </c>
      <c r="H56" s="42">
        <f>IFERROR($G56/'SIMULARE PE PRODUS'!T$4,"")</f>
        <v>4.1705497107938127E-3</v>
      </c>
      <c r="I56" s="41">
        <f>'SIMULARE PE PRODUS'!$L$57</f>
        <v>7978.1866399999999</v>
      </c>
      <c r="J56" s="28">
        <f t="shared" si="4"/>
        <v>0.40292955253543239</v>
      </c>
      <c r="K56" s="41">
        <f t="shared" si="5"/>
        <v>11822.263810450448</v>
      </c>
    </row>
    <row r="57" spans="1:11" x14ac:dyDescent="0.2">
      <c r="A57" s="26">
        <v>53</v>
      </c>
      <c r="B57" s="26" t="s">
        <v>194</v>
      </c>
      <c r="C57" s="26" t="s">
        <v>109</v>
      </c>
      <c r="D57" s="27">
        <f>'SIMULARE PE PRODUS'!$F$218</f>
        <v>448</v>
      </c>
      <c r="E57" s="27">
        <f>'SIMULARE PE PRODUS'!$G$218</f>
        <v>114</v>
      </c>
      <c r="F57" s="27">
        <f t="shared" si="3"/>
        <v>562</v>
      </c>
      <c r="G57" s="41">
        <f>'SIMULARE PE PRODUS'!T$218</f>
        <v>19745.945945945943</v>
      </c>
      <c r="H57" s="42">
        <f>IFERROR($G57/'SIMULARE PE PRODUS'!T$4,"")</f>
        <v>4.1590694797724497E-3</v>
      </c>
      <c r="I57" s="41">
        <f>'SIMULARE PE PRODUS'!$L$218</f>
        <v>12250.019850646402</v>
      </c>
      <c r="J57" s="28">
        <f t="shared" si="4"/>
        <v>0.62038151447292222</v>
      </c>
      <c r="K57" s="41">
        <f t="shared" si="5"/>
        <v>7495.926095299541</v>
      </c>
    </row>
    <row r="58" spans="1:11" x14ac:dyDescent="0.2">
      <c r="A58" s="26">
        <v>54</v>
      </c>
      <c r="B58" s="26" t="s">
        <v>195</v>
      </c>
      <c r="C58" s="26" t="s">
        <v>109</v>
      </c>
      <c r="D58" s="27">
        <f>'SIMULARE PE PRODUS'!$F$219</f>
        <v>455</v>
      </c>
      <c r="E58" s="27">
        <f>'SIMULARE PE PRODUS'!$G$219</f>
        <v>106</v>
      </c>
      <c r="F58" s="27">
        <f t="shared" si="3"/>
        <v>561</v>
      </c>
      <c r="G58" s="41">
        <f>'SIMULARE PE PRODUS'!T$219</f>
        <v>19710.81081081081</v>
      </c>
      <c r="H58" s="42">
        <f>IFERROR($G58/'SIMULARE PE PRODUS'!T$4,"")</f>
        <v>4.1516690002710759E-3</v>
      </c>
      <c r="I58" s="41">
        <f>'SIMULARE PE PRODUS'!$L$219</f>
        <v>11554.569397524003</v>
      </c>
      <c r="J58" s="28">
        <f t="shared" si="4"/>
        <v>0.58620467257423303</v>
      </c>
      <c r="K58" s="41">
        <f t="shared" si="5"/>
        <v>8156.2414132868071</v>
      </c>
    </row>
    <row r="59" spans="1:11" x14ac:dyDescent="0.2">
      <c r="A59" s="26">
        <v>55</v>
      </c>
      <c r="B59" s="26" t="s">
        <v>196</v>
      </c>
      <c r="C59" s="26" t="s">
        <v>99</v>
      </c>
      <c r="D59" s="27">
        <f>'SIMULARE PE PRODUS'!$F$47</f>
        <v>739</v>
      </c>
      <c r="E59" s="27">
        <f>'SIMULARE PE PRODUS'!$G$47</f>
        <v>253</v>
      </c>
      <c r="F59" s="27">
        <f t="shared" si="3"/>
        <v>992</v>
      </c>
      <c r="G59" s="41">
        <f>'SIMULARE PE PRODUS'!T$47</f>
        <v>19442.414414414412</v>
      </c>
      <c r="H59" s="42">
        <f>IFERROR($G59/'SIMULARE PE PRODUS'!T$4,"")</f>
        <v>4.0951369271159605E-3</v>
      </c>
      <c r="I59" s="41">
        <f>'SIMULARE PE PRODUS'!$L$47</f>
        <v>7133.8174144000004</v>
      </c>
      <c r="J59" s="28">
        <f t="shared" si="4"/>
        <v>0.36692034550560032</v>
      </c>
      <c r="K59" s="41">
        <f t="shared" si="5"/>
        <v>12308.597000014412</v>
      </c>
    </row>
    <row r="60" spans="1:11" x14ac:dyDescent="0.2">
      <c r="A60" s="26">
        <v>56</v>
      </c>
      <c r="B60" s="26" t="s">
        <v>197</v>
      </c>
      <c r="C60" s="26" t="s">
        <v>102</v>
      </c>
      <c r="D60" s="27">
        <f>'SIMULARE PE PRODUS'!$F$82</f>
        <v>2385</v>
      </c>
      <c r="E60" s="27">
        <f>'SIMULARE PE PRODUS'!$G$82</f>
        <v>1081</v>
      </c>
      <c r="F60" s="27">
        <f t="shared" si="3"/>
        <v>3466</v>
      </c>
      <c r="G60" s="41">
        <f>'SIMULARE PE PRODUS'!T$82</f>
        <v>19047.387387387385</v>
      </c>
      <c r="H60" s="42">
        <f>IFERROR($G60/'SIMULARE PE PRODUS'!T$4,"")</f>
        <v>4.0119327668143535E-3</v>
      </c>
      <c r="I60" s="41">
        <f>'SIMULARE PE PRODUS'!$L$82</f>
        <v>7874.7519999999986</v>
      </c>
      <c r="J60" s="28">
        <f t="shared" si="4"/>
        <v>0.41342950819672131</v>
      </c>
      <c r="K60" s="41">
        <f t="shared" si="5"/>
        <v>11172.635387387387</v>
      </c>
    </row>
    <row r="61" spans="1:11" x14ac:dyDescent="0.2">
      <c r="A61" s="26">
        <v>57</v>
      </c>
      <c r="B61" s="26" t="s">
        <v>198</v>
      </c>
      <c r="C61" s="26" t="s">
        <v>98</v>
      </c>
      <c r="D61" s="27">
        <f>'SIMULARE PE PRODUS'!$F$44</f>
        <v>470</v>
      </c>
      <c r="E61" s="27">
        <f>'SIMULARE PE PRODUS'!$G$44</f>
        <v>268</v>
      </c>
      <c r="F61" s="27">
        <f t="shared" si="3"/>
        <v>738</v>
      </c>
      <c r="G61" s="41">
        <f>'SIMULARE PE PRODUS'!T$44</f>
        <v>18004.16216216216</v>
      </c>
      <c r="H61" s="42">
        <f>IFERROR($G61/'SIMULARE PE PRODUS'!T$4,"")</f>
        <v>3.7921992475066198E-3</v>
      </c>
      <c r="I61" s="41">
        <f>'SIMULARE PE PRODUS'!$L$44</f>
        <v>7952.2224695999994</v>
      </c>
      <c r="J61" s="28">
        <f t="shared" si="4"/>
        <v>0.44168800513875173</v>
      </c>
      <c r="K61" s="41">
        <f t="shared" si="5"/>
        <v>10051.93969256216</v>
      </c>
    </row>
    <row r="62" spans="1:11" x14ac:dyDescent="0.2">
      <c r="A62" s="26">
        <v>58</v>
      </c>
      <c r="B62" s="26" t="s">
        <v>199</v>
      </c>
      <c r="C62" s="26" t="s">
        <v>100</v>
      </c>
      <c r="D62" s="27">
        <f>'SIMULARE PE PRODUS'!$F$58</f>
        <v>320</v>
      </c>
      <c r="E62" s="27">
        <f>'SIMULARE PE PRODUS'!$G$58</f>
        <v>255</v>
      </c>
      <c r="F62" s="27">
        <f t="shared" si="3"/>
        <v>575</v>
      </c>
      <c r="G62" s="41">
        <f>'SIMULARE PE PRODUS'!T$58</f>
        <v>17610.360360360359</v>
      </c>
      <c r="H62" s="42">
        <f>IFERROR($G62/'SIMULARE PE PRODUS'!T$4,"")</f>
        <v>3.709253155208138E-3</v>
      </c>
      <c r="I62" s="41">
        <f>'SIMULARE PE PRODUS'!$L$58</f>
        <v>7832.2843920000005</v>
      </c>
      <c r="J62" s="28">
        <f t="shared" si="4"/>
        <v>0.44475435094615684</v>
      </c>
      <c r="K62" s="41">
        <f t="shared" si="5"/>
        <v>9778.0759683603574</v>
      </c>
    </row>
    <row r="63" spans="1:11" x14ac:dyDescent="0.2">
      <c r="A63" s="26">
        <v>59</v>
      </c>
      <c r="B63" s="26" t="s">
        <v>200</v>
      </c>
      <c r="C63" s="26" t="s">
        <v>94</v>
      </c>
      <c r="D63" s="27">
        <f>'SIMULARE PE PRODUS'!$F$13</f>
        <v>695</v>
      </c>
      <c r="E63" s="27">
        <f>'SIMULARE PE PRODUS'!$G$13</f>
        <v>428</v>
      </c>
      <c r="F63" s="27">
        <f t="shared" si="3"/>
        <v>1123</v>
      </c>
      <c r="G63" s="41">
        <f>'SIMULARE PE PRODUS'!T$13</f>
        <v>15936.729729729726</v>
      </c>
      <c r="H63" s="42">
        <f>IFERROR($G63/'SIMULARE PE PRODUS'!T$4,"")</f>
        <v>3.3567379556161277E-3</v>
      </c>
      <c r="I63" s="41">
        <f>'SIMULARE PE PRODUS'!$L$13</f>
        <v>11265.6183033</v>
      </c>
      <c r="J63" s="28">
        <f t="shared" si="4"/>
        <v>0.70689648970354069</v>
      </c>
      <c r="K63" s="41">
        <f t="shared" si="5"/>
        <v>4671.1114264297266</v>
      </c>
    </row>
    <row r="64" spans="1:11" x14ac:dyDescent="0.2">
      <c r="A64" s="26">
        <v>60</v>
      </c>
      <c r="B64" s="26" t="s">
        <v>201</v>
      </c>
      <c r="C64" s="26" t="s">
        <v>100</v>
      </c>
      <c r="D64" s="27">
        <f>'SIMULARE PE PRODUS'!$F$59</f>
        <v>1059</v>
      </c>
      <c r="E64" s="27">
        <f>'SIMULARE PE PRODUS'!$G$59</f>
        <v>573</v>
      </c>
      <c r="F64" s="27">
        <f t="shared" si="3"/>
        <v>1632</v>
      </c>
      <c r="G64" s="41">
        <f>'SIMULARE PE PRODUS'!T$59</f>
        <v>15516.216216216213</v>
      </c>
      <c r="H64" s="42">
        <f>IFERROR($G64/'SIMULARE PE PRODUS'!T$4,"")</f>
        <v>3.2681656013377543E-3</v>
      </c>
      <c r="I64" s="41">
        <f>'SIMULARE PE PRODUS'!$L$59</f>
        <v>5053.7702707200006</v>
      </c>
      <c r="J64" s="28">
        <f t="shared" si="4"/>
        <v>0.32570893575446797</v>
      </c>
      <c r="K64" s="41">
        <f t="shared" si="5"/>
        <v>10462.445945496213</v>
      </c>
    </row>
    <row r="65" spans="1:11" x14ac:dyDescent="0.2">
      <c r="A65" s="26">
        <v>61</v>
      </c>
      <c r="B65" s="26" t="s">
        <v>202</v>
      </c>
      <c r="C65" s="26" t="s">
        <v>100</v>
      </c>
      <c r="D65" s="27">
        <f>'SIMULARE PE PRODUS'!$F$60</f>
        <v>597</v>
      </c>
      <c r="E65" s="27">
        <f>'SIMULARE PE PRODUS'!$G$60</f>
        <v>143</v>
      </c>
      <c r="F65" s="27">
        <f t="shared" si="3"/>
        <v>740</v>
      </c>
      <c r="G65" s="41">
        <f>'SIMULARE PE PRODUS'!T$60</f>
        <v>15170.720720720718</v>
      </c>
      <c r="H65" s="42">
        <f>IFERROR($G65/'SIMULARE PE PRODUS'!T$4,"")</f>
        <v>3.1953942195742388E-3</v>
      </c>
      <c r="I65" s="41">
        <f>'SIMULARE PE PRODUS'!$L$60</f>
        <v>5761.7074880000009</v>
      </c>
      <c r="J65" s="28">
        <f t="shared" si="4"/>
        <v>0.3797912830951039</v>
      </c>
      <c r="K65" s="41">
        <f t="shared" si="5"/>
        <v>9409.0132327207175</v>
      </c>
    </row>
    <row r="66" spans="1:11" x14ac:dyDescent="0.2">
      <c r="A66" s="26">
        <v>62</v>
      </c>
      <c r="B66" s="26" t="s">
        <v>203</v>
      </c>
      <c r="C66" s="26" t="s">
        <v>100</v>
      </c>
      <c r="D66" s="27">
        <f>'SIMULARE PE PRODUS'!$F$61</f>
        <v>331</v>
      </c>
      <c r="E66" s="27">
        <f>'SIMULARE PE PRODUS'!$G$61</f>
        <v>251</v>
      </c>
      <c r="F66" s="27">
        <f t="shared" si="3"/>
        <v>582</v>
      </c>
      <c r="G66" s="41">
        <f>'SIMULARE PE PRODUS'!T$61</f>
        <v>15061.261261261261</v>
      </c>
      <c r="H66" s="42">
        <f>IFERROR($G66/'SIMULARE PE PRODUS'!T$4,"")</f>
        <v>3.1723388795891882E-3</v>
      </c>
      <c r="I66" s="41">
        <f>'SIMULARE PE PRODUS'!$L$61</f>
        <v>6717.5183097600002</v>
      </c>
      <c r="J66" s="28">
        <f t="shared" si="4"/>
        <v>0.44601299939188899</v>
      </c>
      <c r="K66" s="41">
        <f t="shared" si="5"/>
        <v>8343.7429515012609</v>
      </c>
    </row>
    <row r="67" spans="1:11" x14ac:dyDescent="0.2">
      <c r="A67" s="26">
        <v>63</v>
      </c>
      <c r="B67" s="26" t="s">
        <v>204</v>
      </c>
      <c r="C67" s="26" t="s">
        <v>105</v>
      </c>
      <c r="D67" s="27">
        <f>'SIMULARE PE PRODUS'!$F$166</f>
        <v>982</v>
      </c>
      <c r="E67" s="27">
        <f>'SIMULARE PE PRODUS'!$G$166</f>
        <v>351</v>
      </c>
      <c r="F67" s="27">
        <f t="shared" si="3"/>
        <v>1333</v>
      </c>
      <c r="G67" s="41">
        <f>'SIMULARE PE PRODUS'!T$166</f>
        <v>15043.243243243243</v>
      </c>
      <c r="H67" s="42">
        <f>IFERROR($G67/'SIMULARE PE PRODUS'!T$4,"")</f>
        <v>3.1685437618961757E-3</v>
      </c>
      <c r="I67" s="41">
        <f>'SIMULARE PE PRODUS'!$L$166</f>
        <v>5450.0891369999999</v>
      </c>
      <c r="J67" s="28">
        <f t="shared" si="4"/>
        <v>0.3622948222583543</v>
      </c>
      <c r="K67" s="41">
        <f t="shared" si="5"/>
        <v>9593.1541062432443</v>
      </c>
    </row>
    <row r="68" spans="1:11" x14ac:dyDescent="0.2">
      <c r="A68" s="26">
        <v>64</v>
      </c>
      <c r="B68" s="26" t="s">
        <v>205</v>
      </c>
      <c r="C68" s="26" t="s">
        <v>97</v>
      </c>
      <c r="D68" s="27">
        <f>'SIMULARE PE PRODUS'!$F$38</f>
        <v>465</v>
      </c>
      <c r="E68" s="27">
        <f>'SIMULARE PE PRODUS'!$G$38</f>
        <v>134</v>
      </c>
      <c r="F68" s="27">
        <f t="shared" si="3"/>
        <v>599</v>
      </c>
      <c r="G68" s="41">
        <f>'SIMULARE PE PRODUS'!T$38</f>
        <v>14806.315315315313</v>
      </c>
      <c r="H68" s="42">
        <f>IFERROR($G68/'SIMULARE PE PRODUS'!T$4,"")</f>
        <v>3.1186398617919064E-3</v>
      </c>
      <c r="I68" s="41">
        <f>'SIMULARE PE PRODUS'!$L$38</f>
        <v>6316.4354126999988</v>
      </c>
      <c r="J68" s="28">
        <f t="shared" si="4"/>
        <v>0.42660414007031333</v>
      </c>
      <c r="K68" s="41">
        <f t="shared" si="5"/>
        <v>8489.8799026153138</v>
      </c>
    </row>
    <row r="69" spans="1:11" x14ac:dyDescent="0.2">
      <c r="A69" s="26">
        <v>65</v>
      </c>
      <c r="B69" s="26" t="s">
        <v>206</v>
      </c>
      <c r="C69" s="26" t="s">
        <v>112</v>
      </c>
      <c r="D69" s="27">
        <f>'SIMULARE PE PRODUS'!$F$235</f>
        <v>10831</v>
      </c>
      <c r="E69" s="27">
        <f>'SIMULARE PE PRODUS'!$G$235</f>
        <v>0</v>
      </c>
      <c r="F69" s="27">
        <f t="shared" ref="F69:F100" si="6">$D69+$E69</f>
        <v>10831</v>
      </c>
      <c r="G69" s="41">
        <f>'SIMULARE PE PRODUS'!T$235</f>
        <v>14636.486486486487</v>
      </c>
      <c r="H69" s="42">
        <f>IFERROR($G69/'SIMULARE PE PRODUS'!T$4,"")</f>
        <v>3.0828689799764172E-3</v>
      </c>
      <c r="I69" s="41">
        <f>'SIMULARE PE PRODUS'!$L$235</f>
        <v>10170.308999999999</v>
      </c>
      <c r="J69" s="28">
        <f t="shared" ref="J69:J100" si="7">IFERROR($I69/$G69,"")</f>
        <v>0.69485999999999992</v>
      </c>
      <c r="K69" s="41">
        <f t="shared" ref="K69:K100" si="8">$G69-$I69</f>
        <v>4466.1774864864874</v>
      </c>
    </row>
    <row r="70" spans="1:11" x14ac:dyDescent="0.2">
      <c r="A70" s="26">
        <v>66</v>
      </c>
      <c r="B70" s="26" t="s">
        <v>207</v>
      </c>
      <c r="C70" s="26" t="s">
        <v>103</v>
      </c>
      <c r="D70" s="27">
        <f>'SIMULARE PE PRODUS'!$F$98</f>
        <v>2083</v>
      </c>
      <c r="E70" s="27">
        <f>'SIMULARE PE PRODUS'!$G$98</f>
        <v>0</v>
      </c>
      <c r="F70" s="27">
        <f t="shared" si="6"/>
        <v>2083</v>
      </c>
      <c r="G70" s="41">
        <f>'SIMULARE PE PRODUS'!T$98</f>
        <v>13754.685950413224</v>
      </c>
      <c r="H70" s="42">
        <f>IFERROR($G70/'SIMULARE PE PRODUS'!T$4,"")</f>
        <v>2.8971361866795605E-3</v>
      </c>
      <c r="I70" s="41">
        <f>'SIMULARE PE PRODUS'!$L$98</f>
        <v>7091.2699985680001</v>
      </c>
      <c r="J70" s="28">
        <f t="shared" si="7"/>
        <v>0.51555302855569463</v>
      </c>
      <c r="K70" s="41">
        <f t="shared" si="8"/>
        <v>6663.4159518452243</v>
      </c>
    </row>
    <row r="71" spans="1:11" x14ac:dyDescent="0.2">
      <c r="A71" s="26">
        <v>67</v>
      </c>
      <c r="B71" s="26" t="s">
        <v>208</v>
      </c>
      <c r="C71" s="26" t="s">
        <v>103</v>
      </c>
      <c r="D71" s="27">
        <f>'SIMULARE PE PRODUS'!$F$99</f>
        <v>2047</v>
      </c>
      <c r="E71" s="27">
        <f>'SIMULARE PE PRODUS'!$G$99</f>
        <v>0</v>
      </c>
      <c r="F71" s="27">
        <f t="shared" si="6"/>
        <v>2047</v>
      </c>
      <c r="G71" s="41">
        <f>'SIMULARE PE PRODUS'!T$99</f>
        <v>13516.966942148762</v>
      </c>
      <c r="H71" s="42">
        <f>IFERROR($G71/'SIMULARE PE PRODUS'!T$4,"")</f>
        <v>2.8470656620898033E-3</v>
      </c>
      <c r="I71" s="41">
        <f>'SIMULARE PE PRODUS'!$L$99</f>
        <v>7187.9107783348009</v>
      </c>
      <c r="J71" s="28">
        <f t="shared" si="7"/>
        <v>0.53176950192290362</v>
      </c>
      <c r="K71" s="41">
        <f t="shared" si="8"/>
        <v>6329.0561638139607</v>
      </c>
    </row>
    <row r="72" spans="1:11" x14ac:dyDescent="0.2">
      <c r="A72" s="26">
        <v>68</v>
      </c>
      <c r="B72" s="26" t="s">
        <v>209</v>
      </c>
      <c r="C72" s="26" t="s">
        <v>97</v>
      </c>
      <c r="D72" s="27">
        <f>'SIMULARE PE PRODUS'!$F$39</f>
        <v>352</v>
      </c>
      <c r="E72" s="27">
        <f>'SIMULARE PE PRODUS'!$G$39</f>
        <v>167</v>
      </c>
      <c r="F72" s="27">
        <f t="shared" si="6"/>
        <v>519</v>
      </c>
      <c r="G72" s="41">
        <f>'SIMULARE PE PRODUS'!T$39</f>
        <v>12920.549549549549</v>
      </c>
      <c r="H72" s="42">
        <f>IFERROR($G72/'SIMULARE PE PRODUS'!T$4,"")</f>
        <v>2.7214428440412138E-3</v>
      </c>
      <c r="I72" s="41">
        <f>'SIMULARE PE PRODUS'!$L$39</f>
        <v>5433.7615845</v>
      </c>
      <c r="J72" s="28">
        <f t="shared" si="7"/>
        <v>0.42055189399350573</v>
      </c>
      <c r="K72" s="41">
        <f t="shared" si="8"/>
        <v>7486.7879650495488</v>
      </c>
    </row>
    <row r="73" spans="1:11" x14ac:dyDescent="0.2">
      <c r="A73" s="26">
        <v>69</v>
      </c>
      <c r="B73" s="26" t="s">
        <v>210</v>
      </c>
      <c r="C73" s="26" t="s">
        <v>103</v>
      </c>
      <c r="D73" s="27">
        <f>'SIMULARE PE PRODUS'!$F$100</f>
        <v>1402</v>
      </c>
      <c r="E73" s="27">
        <f>'SIMULARE PE PRODUS'!$G$100</f>
        <v>0</v>
      </c>
      <c r="F73" s="27">
        <f t="shared" si="6"/>
        <v>1402</v>
      </c>
      <c r="G73" s="41">
        <f>'SIMULARE PE PRODUS'!T$100</f>
        <v>12733.867768595042</v>
      </c>
      <c r="H73" s="42">
        <f>IFERROR($G73/'SIMULARE PE PRODUS'!T$4,"")</f>
        <v>2.6821222412337872E-3</v>
      </c>
      <c r="I73" s="41">
        <f>'SIMULARE PE PRODUS'!$L$100</f>
        <v>6547.5880039859994</v>
      </c>
      <c r="J73" s="28">
        <f t="shared" si="7"/>
        <v>0.51418690086715191</v>
      </c>
      <c r="K73" s="41">
        <f t="shared" si="8"/>
        <v>6186.279764609043</v>
      </c>
    </row>
    <row r="74" spans="1:11" x14ac:dyDescent="0.2">
      <c r="A74" s="26">
        <v>70</v>
      </c>
      <c r="B74" s="26" t="s">
        <v>211</v>
      </c>
      <c r="C74" s="26" t="s">
        <v>100</v>
      </c>
      <c r="D74" s="27">
        <f>'SIMULARE PE PRODUS'!$F$62</f>
        <v>364</v>
      </c>
      <c r="E74" s="27">
        <f>'SIMULARE PE PRODUS'!$G$62</f>
        <v>130</v>
      </c>
      <c r="F74" s="27">
        <f t="shared" si="6"/>
        <v>494</v>
      </c>
      <c r="G74" s="41">
        <f>'SIMULARE PE PRODUS'!T$62</f>
        <v>12484.684684684684</v>
      </c>
      <c r="H74" s="42">
        <f>IFERROR($G74/'SIMULARE PE PRODUS'!T$4,"")</f>
        <v>2.6296370494883936E-3</v>
      </c>
      <c r="I74" s="41">
        <f>'SIMULARE PE PRODUS'!$L$62</f>
        <v>5287.64147392</v>
      </c>
      <c r="J74" s="28">
        <f t="shared" si="7"/>
        <v>0.42353023784465293</v>
      </c>
      <c r="K74" s="41">
        <f t="shared" si="8"/>
        <v>7197.0432107646839</v>
      </c>
    </row>
    <row r="75" spans="1:11" x14ac:dyDescent="0.2">
      <c r="A75" s="26">
        <v>71</v>
      </c>
      <c r="B75" s="26" t="s">
        <v>212</v>
      </c>
      <c r="C75" s="26" t="s">
        <v>103</v>
      </c>
      <c r="D75" s="27">
        <f>'SIMULARE PE PRODUS'!$F$101</f>
        <v>1296</v>
      </c>
      <c r="E75" s="27">
        <f>'SIMULARE PE PRODUS'!$G$101</f>
        <v>0</v>
      </c>
      <c r="F75" s="27">
        <f t="shared" si="6"/>
        <v>1296</v>
      </c>
      <c r="G75" s="41">
        <f>'SIMULARE PE PRODUS'!T$101</f>
        <v>11771.10743801653</v>
      </c>
      <c r="H75" s="42">
        <f>IFERROR($G75/'SIMULARE PE PRODUS'!T$4,"")</f>
        <v>2.4793369647924312E-3</v>
      </c>
      <c r="I75" s="41">
        <f>'SIMULARE PE PRODUS'!$L$101</f>
        <v>6208.9513894656002</v>
      </c>
      <c r="J75" s="28">
        <f t="shared" si="7"/>
        <v>0.52747385258016377</v>
      </c>
      <c r="K75" s="41">
        <f t="shared" si="8"/>
        <v>5562.1560485509299</v>
      </c>
    </row>
    <row r="76" spans="1:11" x14ac:dyDescent="0.2">
      <c r="A76" s="26">
        <v>72</v>
      </c>
      <c r="B76" s="26" t="s">
        <v>213</v>
      </c>
      <c r="C76" s="26" t="s">
        <v>102</v>
      </c>
      <c r="D76" s="27">
        <f>'SIMULARE PE PRODUS'!$F$83</f>
        <v>3109</v>
      </c>
      <c r="E76" s="27">
        <f>'SIMULARE PE PRODUS'!$G$83</f>
        <v>606</v>
      </c>
      <c r="F76" s="27">
        <f t="shared" si="6"/>
        <v>3715</v>
      </c>
      <c r="G76" s="41">
        <f>'SIMULARE PE PRODUS'!T$83</f>
        <v>10648.198198198197</v>
      </c>
      <c r="H76" s="42">
        <f>IFERROR($G76/'SIMULARE PE PRODUS'!T$4,"")</f>
        <v>2.24281967862809E-3</v>
      </c>
      <c r="I76" s="41">
        <f>'SIMULARE PE PRODUS'!$L$83</f>
        <v>1671.75</v>
      </c>
      <c r="J76" s="28">
        <f t="shared" si="7"/>
        <v>0.15699839248699185</v>
      </c>
      <c r="K76" s="41">
        <f t="shared" si="8"/>
        <v>8976.4481981981971</v>
      </c>
    </row>
    <row r="77" spans="1:11" x14ac:dyDescent="0.2">
      <c r="A77" s="26">
        <v>73</v>
      </c>
      <c r="B77" s="26" t="s">
        <v>214</v>
      </c>
      <c r="C77" s="26" t="s">
        <v>109</v>
      </c>
      <c r="D77" s="27">
        <f>'SIMULARE PE PRODUS'!$F$220</f>
        <v>247</v>
      </c>
      <c r="E77" s="27">
        <f>'SIMULARE PE PRODUS'!$G$220</f>
        <v>41</v>
      </c>
      <c r="F77" s="27">
        <f t="shared" si="6"/>
        <v>288</v>
      </c>
      <c r="G77" s="41">
        <f>'SIMULARE PE PRODUS'!T$220</f>
        <v>10118.918918918916</v>
      </c>
      <c r="H77" s="42">
        <f>IFERROR($G77/'SIMULARE PE PRODUS'!T$4,"")</f>
        <v>2.1313380963958461E-3</v>
      </c>
      <c r="I77" s="41">
        <f>'SIMULARE PE PRODUS'!$L$220</f>
        <v>6852.0060208295999</v>
      </c>
      <c r="J77" s="28">
        <f t="shared" si="7"/>
        <v>0.67714803090463482</v>
      </c>
      <c r="K77" s="41">
        <f t="shared" si="8"/>
        <v>3266.9128980893165</v>
      </c>
    </row>
    <row r="78" spans="1:11" x14ac:dyDescent="0.2">
      <c r="A78" s="26">
        <v>74</v>
      </c>
      <c r="B78" s="26" t="s">
        <v>215</v>
      </c>
      <c r="C78" s="26" t="s">
        <v>105</v>
      </c>
      <c r="D78" s="27">
        <f>'SIMULARE PE PRODUS'!$F$167</f>
        <v>748</v>
      </c>
      <c r="E78" s="27">
        <f>'SIMULARE PE PRODUS'!$G$167</f>
        <v>284</v>
      </c>
      <c r="F78" s="27">
        <f t="shared" si="6"/>
        <v>1032</v>
      </c>
      <c r="G78" s="41">
        <f>'SIMULARE PE PRODUS'!T$167</f>
        <v>9809.0090090090089</v>
      </c>
      <c r="H78" s="42">
        <f>IFERROR($G78/'SIMULARE PE PRODUS'!T$4,"")</f>
        <v>2.0660620720760305E-3</v>
      </c>
      <c r="I78" s="41">
        <f>'SIMULARE PE PRODUS'!$L$167</f>
        <v>3868.5438479999998</v>
      </c>
      <c r="J78" s="28">
        <f t="shared" si="7"/>
        <v>0.39438681771491546</v>
      </c>
      <c r="K78" s="41">
        <f t="shared" si="8"/>
        <v>5940.4651610090095</v>
      </c>
    </row>
    <row r="79" spans="1:11" x14ac:dyDescent="0.2">
      <c r="A79" s="26">
        <v>75</v>
      </c>
      <c r="B79" s="26" t="s">
        <v>216</v>
      </c>
      <c r="C79" s="26" t="s">
        <v>103</v>
      </c>
      <c r="D79" s="27">
        <f>'SIMULARE PE PRODUS'!$F$102</f>
        <v>1456</v>
      </c>
      <c r="E79" s="27">
        <f>'SIMULARE PE PRODUS'!$G$102</f>
        <v>0</v>
      </c>
      <c r="F79" s="27">
        <f t="shared" si="6"/>
        <v>1456</v>
      </c>
      <c r="G79" s="41">
        <f>'SIMULARE PE PRODUS'!T$102</f>
        <v>9614.4132231404965</v>
      </c>
      <c r="H79" s="42">
        <f>IFERROR($G79/'SIMULARE PE PRODUS'!T$4,"")</f>
        <v>2.025074550074623E-3</v>
      </c>
      <c r="I79" s="41">
        <f>'SIMULARE PE PRODUS'!$L$102</f>
        <v>5112.5497997391994</v>
      </c>
      <c r="J79" s="28">
        <f t="shared" si="7"/>
        <v>0.53175890000588222</v>
      </c>
      <c r="K79" s="41">
        <f t="shared" si="8"/>
        <v>4501.863423401297</v>
      </c>
    </row>
    <row r="80" spans="1:11" x14ac:dyDescent="0.2">
      <c r="A80" s="26">
        <v>76</v>
      </c>
      <c r="B80" s="26" t="s">
        <v>217</v>
      </c>
      <c r="C80" s="26" t="s">
        <v>102</v>
      </c>
      <c r="D80" s="27">
        <f>'SIMULARE PE PRODUS'!$F$84</f>
        <v>2993</v>
      </c>
      <c r="E80" s="27">
        <f>'SIMULARE PE PRODUS'!$G$84</f>
        <v>373</v>
      </c>
      <c r="F80" s="27">
        <f t="shared" si="6"/>
        <v>3366</v>
      </c>
      <c r="G80" s="41">
        <f>'SIMULARE PE PRODUS'!T$84</f>
        <v>9568.5585585585577</v>
      </c>
      <c r="H80" s="42">
        <f>IFERROR($G80/'SIMULARE PE PRODUS'!T$4,"")</f>
        <v>2.0154162264627781E-3</v>
      </c>
      <c r="I80" s="41">
        <f>'SIMULARE PE PRODUS'!$L$84</f>
        <v>1521.432</v>
      </c>
      <c r="J80" s="28">
        <f t="shared" si="7"/>
        <v>0.15900325954938754</v>
      </c>
      <c r="K80" s="41">
        <f t="shared" si="8"/>
        <v>8047.1265585585579</v>
      </c>
    </row>
    <row r="81" spans="1:11" x14ac:dyDescent="0.2">
      <c r="A81" s="26">
        <v>77</v>
      </c>
      <c r="B81" s="26" t="s">
        <v>218</v>
      </c>
      <c r="C81" s="26" t="s">
        <v>104</v>
      </c>
      <c r="D81" s="27">
        <f>'SIMULARE PE PRODUS'!$F$128</f>
        <v>1005</v>
      </c>
      <c r="E81" s="27">
        <f>'SIMULARE PE PRODUS'!$G$128</f>
        <v>0</v>
      </c>
      <c r="F81" s="27">
        <f t="shared" si="6"/>
        <v>1005</v>
      </c>
      <c r="G81" s="41">
        <f>'SIMULARE PE PRODUS'!T$128</f>
        <v>9128.0578512396696</v>
      </c>
      <c r="H81" s="42">
        <f>IFERROR($G81/'SIMULARE PE PRODUS'!T$4,"")</f>
        <v>1.9226339889015379E-3</v>
      </c>
      <c r="I81" s="41">
        <f>'SIMULARE PE PRODUS'!$L$128</f>
        <v>1589.9096402099999</v>
      </c>
      <c r="J81" s="28">
        <f t="shared" si="7"/>
        <v>0.17417830453321201</v>
      </c>
      <c r="K81" s="41">
        <f t="shared" si="8"/>
        <v>7538.1482110296693</v>
      </c>
    </row>
    <row r="82" spans="1:11" x14ac:dyDescent="0.2">
      <c r="A82" s="26">
        <v>78</v>
      </c>
      <c r="B82" s="26" t="s">
        <v>219</v>
      </c>
      <c r="C82" s="26" t="s">
        <v>105</v>
      </c>
      <c r="D82" s="27">
        <f>'SIMULARE PE PRODUS'!$F$168</f>
        <v>713</v>
      </c>
      <c r="E82" s="27">
        <f>'SIMULARE PE PRODUS'!$G$168</f>
        <v>296</v>
      </c>
      <c r="F82" s="27">
        <f t="shared" si="6"/>
        <v>1009</v>
      </c>
      <c r="G82" s="41">
        <f>'SIMULARE PE PRODUS'!T$168</f>
        <v>9090.0900900900888</v>
      </c>
      <c r="H82" s="42">
        <f>IFERROR($G82/'SIMULARE PE PRODUS'!T$4,"")</f>
        <v>1.9146368761248297E-3</v>
      </c>
      <c r="I82" s="41">
        <f>'SIMULARE PE PRODUS'!$L$168</f>
        <v>3002.6356769999998</v>
      </c>
      <c r="J82" s="28">
        <f t="shared" si="7"/>
        <v>0.33031968300000003</v>
      </c>
      <c r="K82" s="41">
        <f t="shared" si="8"/>
        <v>6087.4544130900886</v>
      </c>
    </row>
    <row r="83" spans="1:11" x14ac:dyDescent="0.2">
      <c r="A83" s="26">
        <v>79</v>
      </c>
      <c r="B83" s="26" t="s">
        <v>220</v>
      </c>
      <c r="C83" s="26" t="s">
        <v>107</v>
      </c>
      <c r="D83" s="27">
        <f>'SIMULARE PE PRODUS'!$F$208</f>
        <v>355</v>
      </c>
      <c r="E83" s="27">
        <f>'SIMULARE PE PRODUS'!$G$208</f>
        <v>562</v>
      </c>
      <c r="F83" s="27">
        <f t="shared" si="6"/>
        <v>917</v>
      </c>
      <c r="G83" s="41">
        <f>'SIMULARE PE PRODUS'!T$208</f>
        <v>8467.7927927927922</v>
      </c>
      <c r="H83" s="42">
        <f>IFERROR($G83/'SIMULARE PE PRODUS'!T$4,"")</f>
        <v>1.7835629988024091E-3</v>
      </c>
      <c r="I83" s="41">
        <f>'SIMULARE PE PRODUS'!$L$208</f>
        <v>3197.1205000000004</v>
      </c>
      <c r="J83" s="28">
        <f t="shared" si="7"/>
        <v>0.37756243902439035</v>
      </c>
      <c r="K83" s="41">
        <f t="shared" si="8"/>
        <v>5270.6722927927913</v>
      </c>
    </row>
    <row r="84" spans="1:11" x14ac:dyDescent="0.2">
      <c r="A84" s="26">
        <v>80</v>
      </c>
      <c r="B84" s="26" t="s">
        <v>221</v>
      </c>
      <c r="C84" s="26" t="s">
        <v>102</v>
      </c>
      <c r="D84" s="27">
        <f>'SIMULARE PE PRODUS'!$F$85</f>
        <v>987</v>
      </c>
      <c r="E84" s="27">
        <f>'SIMULARE PE PRODUS'!$G$85</f>
        <v>455</v>
      </c>
      <c r="F84" s="27">
        <f t="shared" si="6"/>
        <v>1442</v>
      </c>
      <c r="G84" s="41">
        <f>'SIMULARE PE PRODUS'!T$85</f>
        <v>7924.5045045045026</v>
      </c>
      <c r="H84" s="42">
        <f>IFERROR($G84/'SIMULARE PE PRODUS'!T$4,"")</f>
        <v>1.669130712563848E-3</v>
      </c>
      <c r="I84" s="41">
        <f>'SIMULARE PE PRODUS'!$L$85</f>
        <v>3068.576</v>
      </c>
      <c r="J84" s="28">
        <f t="shared" si="7"/>
        <v>0.3872262295081968</v>
      </c>
      <c r="K84" s="41">
        <f t="shared" si="8"/>
        <v>4855.9285045045026</v>
      </c>
    </row>
    <row r="85" spans="1:11" x14ac:dyDescent="0.2">
      <c r="A85" s="26">
        <v>81</v>
      </c>
      <c r="B85" s="26" t="s">
        <v>222</v>
      </c>
      <c r="C85" s="26" t="s">
        <v>100</v>
      </c>
      <c r="D85" s="27">
        <f>'SIMULARE PE PRODUS'!$F$63</f>
        <v>364</v>
      </c>
      <c r="E85" s="27">
        <f>'SIMULARE PE PRODUS'!$G$63</f>
        <v>179</v>
      </c>
      <c r="F85" s="27">
        <f t="shared" si="6"/>
        <v>543</v>
      </c>
      <c r="G85" s="41">
        <f>'SIMULARE PE PRODUS'!T$63</f>
        <v>7740.9909909909902</v>
      </c>
      <c r="H85" s="42">
        <f>IFERROR($G85/'SIMULARE PE PRODUS'!T$4,"")</f>
        <v>1.6304774388605154E-3</v>
      </c>
      <c r="I85" s="41">
        <f>'SIMULARE PE PRODUS'!$L$63</f>
        <v>2852.9517129599999</v>
      </c>
      <c r="J85" s="28">
        <f t="shared" si="7"/>
        <v>0.36855122506669774</v>
      </c>
      <c r="K85" s="41">
        <f t="shared" si="8"/>
        <v>4888.0392780309903</v>
      </c>
    </row>
    <row r="86" spans="1:11" x14ac:dyDescent="0.2">
      <c r="A86" s="26">
        <v>82</v>
      </c>
      <c r="B86" s="26" t="s">
        <v>223</v>
      </c>
      <c r="C86" s="26" t="s">
        <v>100</v>
      </c>
      <c r="D86" s="27">
        <f>'SIMULARE PE PRODUS'!$F$64</f>
        <v>58</v>
      </c>
      <c r="E86" s="27">
        <f>'SIMULARE PE PRODUS'!$G$64</f>
        <v>21</v>
      </c>
      <c r="F86" s="27">
        <f t="shared" si="6"/>
        <v>79</v>
      </c>
      <c r="G86" s="41">
        <f>'SIMULARE PE PRODUS'!T$64</f>
        <v>7583.747747747746</v>
      </c>
      <c r="H86" s="42">
        <f>IFERROR($G86/'SIMULARE PE PRODUS'!T$4,"")</f>
        <v>1.5973574467535946E-3</v>
      </c>
      <c r="I86" s="41">
        <f>'SIMULARE PE PRODUS'!$L$64</f>
        <v>3635.7812288</v>
      </c>
      <c r="J86" s="28">
        <f t="shared" si="7"/>
        <v>0.47941747929046952</v>
      </c>
      <c r="K86" s="41">
        <f t="shared" si="8"/>
        <v>3947.966518947746</v>
      </c>
    </row>
    <row r="87" spans="1:11" x14ac:dyDescent="0.2">
      <c r="A87" s="26">
        <v>83</v>
      </c>
      <c r="B87" s="26" t="s">
        <v>224</v>
      </c>
      <c r="C87" s="26" t="s">
        <v>103</v>
      </c>
      <c r="D87" s="27">
        <f>'SIMULARE PE PRODUS'!$F$103</f>
        <v>625</v>
      </c>
      <c r="E87" s="27">
        <f>'SIMULARE PE PRODUS'!$G$103</f>
        <v>0</v>
      </c>
      <c r="F87" s="27">
        <f t="shared" si="6"/>
        <v>625</v>
      </c>
      <c r="G87" s="41">
        <f>'SIMULARE PE PRODUS'!T$103</f>
        <v>7226.2396694214885</v>
      </c>
      <c r="H87" s="42">
        <f>IFERROR($G87/'SIMULARE PE PRODUS'!T$4,"")</f>
        <v>1.5220558662970699E-3</v>
      </c>
      <c r="I87" s="41">
        <f>'SIMULARE PE PRODUS'!$L$103</f>
        <v>2105.4683155000002</v>
      </c>
      <c r="J87" s="28">
        <f t="shared" si="7"/>
        <v>0.29136430727719798</v>
      </c>
      <c r="K87" s="41">
        <f t="shared" si="8"/>
        <v>5120.7713539214883</v>
      </c>
    </row>
    <row r="88" spans="1:11" x14ac:dyDescent="0.2">
      <c r="A88" s="26">
        <v>84</v>
      </c>
      <c r="B88" s="26" t="s">
        <v>225</v>
      </c>
      <c r="C88" s="26" t="s">
        <v>103</v>
      </c>
      <c r="D88" s="27">
        <f>'SIMULARE PE PRODUS'!$F$104</f>
        <v>793</v>
      </c>
      <c r="E88" s="27">
        <f>'SIMULARE PE PRODUS'!$G$104</f>
        <v>0</v>
      </c>
      <c r="F88" s="27">
        <f t="shared" si="6"/>
        <v>793</v>
      </c>
      <c r="G88" s="41">
        <f>'SIMULARE PE PRODUS'!T$104</f>
        <v>7202.5371900826458</v>
      </c>
      <c r="H88" s="42">
        <f>IFERROR($G88/'SIMULARE PE PRODUS'!T$4,"")</f>
        <v>1.5170634360188256E-3</v>
      </c>
      <c r="I88" s="41">
        <f>'SIMULARE PE PRODUS'!$L$104</f>
        <v>3799.0714134203999</v>
      </c>
      <c r="J88" s="28">
        <f t="shared" si="7"/>
        <v>0.52746293606806183</v>
      </c>
      <c r="K88" s="41">
        <f t="shared" si="8"/>
        <v>3403.4657766622458</v>
      </c>
    </row>
    <row r="89" spans="1:11" x14ac:dyDescent="0.2">
      <c r="A89" s="26">
        <v>85</v>
      </c>
      <c r="B89" s="26" t="s">
        <v>226</v>
      </c>
      <c r="C89" s="26" t="s">
        <v>105</v>
      </c>
      <c r="D89" s="27">
        <f>'SIMULARE PE PRODUS'!$F$169</f>
        <v>435</v>
      </c>
      <c r="E89" s="27">
        <f>'SIMULARE PE PRODUS'!$G$169</f>
        <v>0</v>
      </c>
      <c r="F89" s="27">
        <f t="shared" si="6"/>
        <v>435</v>
      </c>
      <c r="G89" s="41">
        <f>'SIMULARE PE PRODUS'!T$169</f>
        <v>7054.0540540540533</v>
      </c>
      <c r="H89" s="42">
        <f>IFERROR($G89/'SIMULARE PE PRODUS'!T$4,"")</f>
        <v>1.485788576814412E-3</v>
      </c>
      <c r="I89" s="41">
        <f>'SIMULARE PE PRODUS'!$L$169</f>
        <v>2240.6849999999999</v>
      </c>
      <c r="J89" s="28">
        <f t="shared" si="7"/>
        <v>0.31764500000000001</v>
      </c>
      <c r="K89" s="41">
        <f t="shared" si="8"/>
        <v>4813.3690540540538</v>
      </c>
    </row>
    <row r="90" spans="1:11" x14ac:dyDescent="0.2">
      <c r="A90" s="26">
        <v>86</v>
      </c>
      <c r="B90" s="26" t="s">
        <v>227</v>
      </c>
      <c r="C90" s="26" t="s">
        <v>103</v>
      </c>
      <c r="D90" s="27">
        <f>'SIMULARE PE PRODUS'!$F$105</f>
        <v>569</v>
      </c>
      <c r="E90" s="27">
        <f>'SIMULARE PE PRODUS'!$G$105</f>
        <v>0</v>
      </c>
      <c r="F90" s="27">
        <f t="shared" si="6"/>
        <v>569</v>
      </c>
      <c r="G90" s="41">
        <f>'SIMULARE PE PRODUS'!T$105</f>
        <v>7053.7190082644629</v>
      </c>
      <c r="H90" s="42">
        <f>IFERROR($G90/'SIMULARE PE PRODUS'!T$4,"")</f>
        <v>1.4857180064440877E-3</v>
      </c>
      <c r="I90" s="41">
        <f>'SIMULARE PE PRODUS'!$L$105</f>
        <v>1915.5717892312005</v>
      </c>
      <c r="J90" s="28">
        <f t="shared" si="7"/>
        <v>0.27156905272053339</v>
      </c>
      <c r="K90" s="41">
        <f t="shared" si="8"/>
        <v>5138.1472190332624</v>
      </c>
    </row>
    <row r="91" spans="1:11" x14ac:dyDescent="0.2">
      <c r="A91" s="26">
        <v>87</v>
      </c>
      <c r="B91" s="26" t="s">
        <v>228</v>
      </c>
      <c r="C91" s="26" t="s">
        <v>108</v>
      </c>
      <c r="D91" s="27">
        <f>'SIMULARE PE PRODUS'!$F$211</f>
        <v>182</v>
      </c>
      <c r="E91" s="27">
        <f>'SIMULARE PE PRODUS'!$G$211</f>
        <v>233</v>
      </c>
      <c r="F91" s="27">
        <f t="shared" si="6"/>
        <v>415</v>
      </c>
      <c r="G91" s="41">
        <f>'SIMULARE PE PRODUS'!T$211</f>
        <v>6985.5855855855843</v>
      </c>
      <c r="H91" s="42">
        <f>IFERROR($G91/'SIMULARE PE PRODUS'!T$4,"")</f>
        <v>1.4713671295809643E-3</v>
      </c>
      <c r="I91" s="41">
        <f>'SIMULARE PE PRODUS'!$L$211</f>
        <v>2703.0644859999998</v>
      </c>
      <c r="J91" s="28">
        <f t="shared" si="7"/>
        <v>0.38694887534949707</v>
      </c>
      <c r="K91" s="41">
        <f t="shared" si="8"/>
        <v>4282.521099585585</v>
      </c>
    </row>
    <row r="92" spans="1:11" x14ac:dyDescent="0.2">
      <c r="A92" s="26">
        <v>88</v>
      </c>
      <c r="B92" s="26" t="s">
        <v>229</v>
      </c>
      <c r="C92" s="26" t="s">
        <v>104</v>
      </c>
      <c r="D92" s="27">
        <f>'SIMULARE PE PRODUS'!$F$129</f>
        <v>461</v>
      </c>
      <c r="E92" s="27">
        <f>'SIMULARE PE PRODUS'!$G$129</f>
        <v>0</v>
      </c>
      <c r="F92" s="27">
        <f t="shared" si="6"/>
        <v>461</v>
      </c>
      <c r="G92" s="41">
        <f>'SIMULARE PE PRODUS'!T$129</f>
        <v>6476.8595041322315</v>
      </c>
      <c r="H92" s="42">
        <f>IFERROR($G92/'SIMULARE PE PRODUS'!T$4,"")</f>
        <v>1.3642146475105232E-3</v>
      </c>
      <c r="I92" s="41">
        <f>'SIMULARE PE PRODUS'!$L$129</f>
        <v>2917.5764773000001</v>
      </c>
      <c r="J92" s="28">
        <f t="shared" si="7"/>
        <v>0.45046159723529411</v>
      </c>
      <c r="K92" s="41">
        <f t="shared" si="8"/>
        <v>3559.2830268322314</v>
      </c>
    </row>
    <row r="93" spans="1:11" x14ac:dyDescent="0.2">
      <c r="A93" s="26">
        <v>89</v>
      </c>
      <c r="B93" s="26" t="s">
        <v>230</v>
      </c>
      <c r="C93" s="26" t="s">
        <v>105</v>
      </c>
      <c r="D93" s="27">
        <f>'SIMULARE PE PRODUS'!$F$170</f>
        <v>239</v>
      </c>
      <c r="E93" s="27">
        <f>'SIMULARE PE PRODUS'!$G$170</f>
        <v>224</v>
      </c>
      <c r="F93" s="27">
        <f t="shared" si="6"/>
        <v>463</v>
      </c>
      <c r="G93" s="41">
        <f>'SIMULARE PE PRODUS'!T$170</f>
        <v>6243.2432432432433</v>
      </c>
      <c r="H93" s="42">
        <f>IFERROR($G93/'SIMULARE PE PRODUS'!T$4,"")</f>
        <v>1.3150082806288475E-3</v>
      </c>
      <c r="I93" s="41">
        <f>'SIMULARE PE PRODUS'!$L$170</f>
        <v>2352.3185050000002</v>
      </c>
      <c r="J93" s="28">
        <f t="shared" si="7"/>
        <v>0.37677828867965368</v>
      </c>
      <c r="K93" s="41">
        <f t="shared" si="8"/>
        <v>3890.9247382432432</v>
      </c>
    </row>
    <row r="94" spans="1:11" x14ac:dyDescent="0.2">
      <c r="A94" s="26">
        <v>90</v>
      </c>
      <c r="B94" s="26" t="s">
        <v>231</v>
      </c>
      <c r="C94" s="26" t="s">
        <v>100</v>
      </c>
      <c r="D94" s="27">
        <f>'SIMULARE PE PRODUS'!$F$65</f>
        <v>321</v>
      </c>
      <c r="E94" s="27">
        <f>'SIMULARE PE PRODUS'!$G$65</f>
        <v>109</v>
      </c>
      <c r="F94" s="27">
        <f t="shared" si="6"/>
        <v>430</v>
      </c>
      <c r="G94" s="41">
        <f>'SIMULARE PE PRODUS'!T$65</f>
        <v>6056.3063063063055</v>
      </c>
      <c r="H94" s="42">
        <f>IFERROR($G94/'SIMULARE PE PRODUS'!T$4,"")</f>
        <v>1.2756339345638423E-3</v>
      </c>
      <c r="I94" s="41">
        <f>'SIMULARE PE PRODUS'!$L$65</f>
        <v>2093.4355295999999</v>
      </c>
      <c r="J94" s="28">
        <f t="shared" si="7"/>
        <v>0.34566209562751954</v>
      </c>
      <c r="K94" s="41">
        <f t="shared" si="8"/>
        <v>3962.8707767063056</v>
      </c>
    </row>
    <row r="95" spans="1:11" x14ac:dyDescent="0.2">
      <c r="A95" s="26">
        <v>91</v>
      </c>
      <c r="B95" s="26" t="s">
        <v>232</v>
      </c>
      <c r="C95" s="26" t="s">
        <v>104</v>
      </c>
      <c r="D95" s="27">
        <f>'SIMULARE PE PRODUS'!$F$130</f>
        <v>516</v>
      </c>
      <c r="E95" s="27">
        <f>'SIMULARE PE PRODUS'!$G$130</f>
        <v>0</v>
      </c>
      <c r="F95" s="27">
        <f t="shared" si="6"/>
        <v>516</v>
      </c>
      <c r="G95" s="41">
        <f>'SIMULARE PE PRODUS'!T$130</f>
        <v>5965.9834710743808</v>
      </c>
      <c r="H95" s="42">
        <f>IFERROR($G95/'SIMULARE PE PRODUS'!T$4,"")</f>
        <v>1.256609323214861E-3</v>
      </c>
      <c r="I95" s="41">
        <f>'SIMULARE PE PRODUS'!$L$130</f>
        <v>2592.3806459999996</v>
      </c>
      <c r="J95" s="28">
        <f t="shared" si="7"/>
        <v>0.43452695746962106</v>
      </c>
      <c r="K95" s="41">
        <f t="shared" si="8"/>
        <v>3373.6028250743811</v>
      </c>
    </row>
    <row r="96" spans="1:11" x14ac:dyDescent="0.2">
      <c r="A96" s="26">
        <v>92</v>
      </c>
      <c r="B96" s="26" t="s">
        <v>233</v>
      </c>
      <c r="C96" s="26" t="s">
        <v>102</v>
      </c>
      <c r="D96" s="27">
        <f>'SIMULARE PE PRODUS'!$F$86</f>
        <v>73</v>
      </c>
      <c r="E96" s="27">
        <f>'SIMULARE PE PRODUS'!$G$86</f>
        <v>111</v>
      </c>
      <c r="F96" s="27">
        <f t="shared" si="6"/>
        <v>184</v>
      </c>
      <c r="G96" s="41">
        <f>'SIMULARE PE PRODUS'!T$86</f>
        <v>5818.3783783783783</v>
      </c>
      <c r="H96" s="42">
        <f>IFERROR($G96/'SIMULARE PE PRODUS'!T$4,"")</f>
        <v>1.2255194054276116E-3</v>
      </c>
      <c r="I96" s="41">
        <f>'SIMULARE PE PRODUS'!$L$86</f>
        <v>2005.3276800000003</v>
      </c>
      <c r="J96" s="28">
        <f t="shared" si="7"/>
        <v>0.34465405128205134</v>
      </c>
      <c r="K96" s="41">
        <f t="shared" si="8"/>
        <v>3813.050698378378</v>
      </c>
    </row>
    <row r="97" spans="1:11" x14ac:dyDescent="0.2">
      <c r="A97" s="26">
        <v>93</v>
      </c>
      <c r="B97" s="26" t="s">
        <v>234</v>
      </c>
      <c r="C97" s="26" t="s">
        <v>105</v>
      </c>
      <c r="D97" s="27">
        <f>'SIMULARE PE PRODUS'!$F$171</f>
        <v>353</v>
      </c>
      <c r="E97" s="27">
        <f>'SIMULARE PE PRODUS'!$G$171</f>
        <v>0</v>
      </c>
      <c r="F97" s="27">
        <f t="shared" si="6"/>
        <v>353</v>
      </c>
      <c r="G97" s="41">
        <f>'SIMULARE PE PRODUS'!T$171</f>
        <v>5724.3243243243232</v>
      </c>
      <c r="H97" s="42">
        <f>IFERROR($G97/'SIMULARE PE PRODUS'!T$4,"")</f>
        <v>1.205708891070086E-3</v>
      </c>
      <c r="I97" s="41">
        <f>'SIMULARE PE PRODUS'!$L$171</f>
        <v>2141.6986549999997</v>
      </c>
      <c r="J97" s="28">
        <f t="shared" si="7"/>
        <v>0.37413999166666667</v>
      </c>
      <c r="K97" s="41">
        <f t="shared" si="8"/>
        <v>3582.6256693243236</v>
      </c>
    </row>
    <row r="98" spans="1:11" x14ac:dyDescent="0.2">
      <c r="A98" s="26">
        <v>94</v>
      </c>
      <c r="B98" s="26" t="s">
        <v>235</v>
      </c>
      <c r="C98" s="26" t="s">
        <v>103</v>
      </c>
      <c r="D98" s="27">
        <f>'SIMULARE PE PRODUS'!$F$106</f>
        <v>585</v>
      </c>
      <c r="E98" s="27">
        <f>'SIMULARE PE PRODUS'!$G$106</f>
        <v>34</v>
      </c>
      <c r="F98" s="27">
        <f t="shared" si="6"/>
        <v>619</v>
      </c>
      <c r="G98" s="41">
        <f>'SIMULARE PE PRODUS'!T$106</f>
        <v>5650.2561983471078</v>
      </c>
      <c r="H98" s="42">
        <f>IFERROR($G98/'SIMULARE PE PRODUS'!T$4,"")</f>
        <v>1.190107993396251E-3</v>
      </c>
      <c r="I98" s="41">
        <f>'SIMULARE PE PRODUS'!$L$106</f>
        <v>1702.25</v>
      </c>
      <c r="J98" s="28">
        <f t="shared" si="7"/>
        <v>0.30126952482224895</v>
      </c>
      <c r="K98" s="41">
        <f t="shared" si="8"/>
        <v>3948.0061983471078</v>
      </c>
    </row>
    <row r="99" spans="1:11" x14ac:dyDescent="0.2">
      <c r="A99" s="26">
        <v>95</v>
      </c>
      <c r="B99" s="26" t="s">
        <v>236</v>
      </c>
      <c r="C99" s="26" t="s">
        <v>106</v>
      </c>
      <c r="D99" s="27">
        <f>'SIMULARE PE PRODUS'!$F$199</f>
        <v>805</v>
      </c>
      <c r="E99" s="27">
        <f>'SIMULARE PE PRODUS'!$G$199</f>
        <v>397</v>
      </c>
      <c r="F99" s="27">
        <f t="shared" si="6"/>
        <v>1202</v>
      </c>
      <c r="G99" s="41">
        <f>'SIMULARE PE PRODUS'!T$199</f>
        <v>5414.4144144144138</v>
      </c>
      <c r="H99" s="42">
        <f>IFERROR($G99/'SIMULARE PE PRODUS'!T$4,"")</f>
        <v>1.1404328667502703E-3</v>
      </c>
      <c r="I99" s="41">
        <f>'SIMULARE PE PRODUS'!$L$199</f>
        <v>919.53</v>
      </c>
      <c r="J99" s="28">
        <f t="shared" si="7"/>
        <v>0.16983000000000001</v>
      </c>
      <c r="K99" s="41">
        <f t="shared" si="8"/>
        <v>4494.8844144144141</v>
      </c>
    </row>
    <row r="100" spans="1:11" x14ac:dyDescent="0.2">
      <c r="A100" s="26">
        <v>96</v>
      </c>
      <c r="B100" s="26" t="s">
        <v>237</v>
      </c>
      <c r="C100" s="26" t="s">
        <v>106</v>
      </c>
      <c r="D100" s="27">
        <f>'SIMULARE PE PRODUS'!$F$200</f>
        <v>713</v>
      </c>
      <c r="E100" s="27">
        <f>'SIMULARE PE PRODUS'!$G$200</f>
        <v>483</v>
      </c>
      <c r="F100" s="27">
        <f t="shared" si="6"/>
        <v>1196</v>
      </c>
      <c r="G100" s="41">
        <f>'SIMULARE PE PRODUS'!T$200</f>
        <v>5387.3873873873872</v>
      </c>
      <c r="H100" s="42">
        <f>IFERROR($G100/'SIMULARE PE PRODUS'!T$4,"")</f>
        <v>1.1347401902107516E-3</v>
      </c>
      <c r="I100" s="41">
        <f>'SIMULARE PE PRODUS'!$L$200</f>
        <v>1700.3006238399998</v>
      </c>
      <c r="J100" s="28">
        <f t="shared" si="7"/>
        <v>0.31560764087999998</v>
      </c>
      <c r="K100" s="41">
        <f t="shared" si="8"/>
        <v>3687.0867635473874</v>
      </c>
    </row>
    <row r="101" spans="1:11" x14ac:dyDescent="0.2">
      <c r="A101" s="26">
        <v>97</v>
      </c>
      <c r="B101" s="26" t="s">
        <v>238</v>
      </c>
      <c r="C101" s="26" t="s">
        <v>105</v>
      </c>
      <c r="D101" s="27">
        <f>'SIMULARE PE PRODUS'!$F$172</f>
        <v>245</v>
      </c>
      <c r="E101" s="27">
        <f>'SIMULARE PE PRODUS'!$G$172</f>
        <v>190</v>
      </c>
      <c r="F101" s="27">
        <f t="shared" ref="F101:F132" si="9">$D101+$E101</f>
        <v>435</v>
      </c>
      <c r="G101" s="41">
        <f>'SIMULARE PE PRODUS'!T$172</f>
        <v>5045.0450450450444</v>
      </c>
      <c r="H101" s="42">
        <f>IFERROR($G101/'SIMULARE PE PRODUS'!T$4,"")</f>
        <v>1.062632954043513E-3</v>
      </c>
      <c r="I101" s="41">
        <f>'SIMULARE PE PRODUS'!$L$172</f>
        <v>1768.57</v>
      </c>
      <c r="J101" s="28">
        <f t="shared" ref="J101:J132" si="10">IFERROR($I101/$G101,"")</f>
        <v>0.35055583928571432</v>
      </c>
      <c r="K101" s="41">
        <f t="shared" ref="K101:K132" si="11">$G101-$I101</f>
        <v>3276.4750450450447</v>
      </c>
    </row>
    <row r="102" spans="1:11" x14ac:dyDescent="0.2">
      <c r="A102" s="26">
        <v>98</v>
      </c>
      <c r="B102" s="26" t="s">
        <v>239</v>
      </c>
      <c r="C102" s="26" t="s">
        <v>110</v>
      </c>
      <c r="D102" s="27">
        <f>'SIMULARE PE PRODUS'!$F$224</f>
        <v>179</v>
      </c>
      <c r="E102" s="27">
        <f>'SIMULARE PE PRODUS'!$G$224</f>
        <v>0</v>
      </c>
      <c r="F102" s="27">
        <f t="shared" si="9"/>
        <v>179</v>
      </c>
      <c r="G102" s="41">
        <f>'SIMULARE PE PRODUS'!T$224</f>
        <v>4836.2252252252247</v>
      </c>
      <c r="H102" s="42">
        <f>IFERROR($G102/'SIMULARE PE PRODUS'!T$4,"")</f>
        <v>1.0186494375403442E-3</v>
      </c>
      <c r="I102" s="41">
        <f>'SIMULARE PE PRODUS'!$L$224</f>
        <v>1912.2570000000001</v>
      </c>
      <c r="J102" s="28">
        <f t="shared" si="10"/>
        <v>0.3954028009336446</v>
      </c>
      <c r="K102" s="41">
        <f t="shared" si="11"/>
        <v>2923.9682252252246</v>
      </c>
    </row>
    <row r="103" spans="1:11" x14ac:dyDescent="0.2">
      <c r="A103" s="26">
        <v>99</v>
      </c>
      <c r="B103" s="26" t="s">
        <v>240</v>
      </c>
      <c r="C103" s="26" t="s">
        <v>103</v>
      </c>
      <c r="D103" s="27">
        <f>'SIMULARE PE PRODUS'!$F$107</f>
        <v>402</v>
      </c>
      <c r="E103" s="27">
        <f>'SIMULARE PE PRODUS'!$G$107</f>
        <v>0</v>
      </c>
      <c r="F103" s="27">
        <f t="shared" si="9"/>
        <v>402</v>
      </c>
      <c r="G103" s="41">
        <f>'SIMULARE PE PRODUS'!T$107</f>
        <v>4647.9173553719011</v>
      </c>
      <c r="H103" s="42">
        <f>IFERROR($G103/'SIMULARE PE PRODUS'!T$4,"")</f>
        <v>9.7898633320227528E-4</v>
      </c>
      <c r="I103" s="41">
        <f>'SIMULARE PE PRODUS'!$L$107</f>
        <v>1335.1419793296002</v>
      </c>
      <c r="J103" s="28">
        <f t="shared" si="10"/>
        <v>0.2872559637461044</v>
      </c>
      <c r="K103" s="41">
        <f t="shared" si="11"/>
        <v>3312.7753760423011</v>
      </c>
    </row>
    <row r="104" spans="1:11" x14ac:dyDescent="0.2">
      <c r="A104" s="26">
        <v>100</v>
      </c>
      <c r="B104" s="26" t="s">
        <v>241</v>
      </c>
      <c r="C104" s="26" t="s">
        <v>103</v>
      </c>
      <c r="D104" s="27">
        <f>'SIMULARE PE PRODUS'!$F$108</f>
        <v>0</v>
      </c>
      <c r="E104" s="27">
        <f>'SIMULARE PE PRODUS'!$G$108</f>
        <v>524</v>
      </c>
      <c r="F104" s="27">
        <f t="shared" si="9"/>
        <v>524</v>
      </c>
      <c r="G104" s="41">
        <f>'SIMULARE PE PRODUS'!T$108</f>
        <v>4542.7768595041325</v>
      </c>
      <c r="H104" s="42">
        <f>IFERROR($G104/'SIMULARE PE PRODUS'!T$4,"")</f>
        <v>9.5684069233762195E-4</v>
      </c>
      <c r="I104" s="41">
        <f>'SIMULARE PE PRODUS'!$L$108</f>
        <v>2056.6999999999998</v>
      </c>
      <c r="J104" s="28">
        <f t="shared" si="10"/>
        <v>0.45274070543374634</v>
      </c>
      <c r="K104" s="41">
        <f t="shared" si="11"/>
        <v>2486.0768595041327</v>
      </c>
    </row>
    <row r="105" spans="1:11" x14ac:dyDescent="0.2">
      <c r="A105" s="26">
        <v>101</v>
      </c>
      <c r="B105" s="26" t="s">
        <v>242</v>
      </c>
      <c r="C105" s="26" t="s">
        <v>105</v>
      </c>
      <c r="D105" s="27">
        <f>'SIMULARE PE PRODUS'!$F$173</f>
        <v>155</v>
      </c>
      <c r="E105" s="27">
        <f>'SIMULARE PE PRODUS'!$G$173</f>
        <v>171</v>
      </c>
      <c r="F105" s="27">
        <f t="shared" si="9"/>
        <v>326</v>
      </c>
      <c r="G105" s="41">
        <f>'SIMULARE PE PRODUS'!T$173</f>
        <v>4419.8198198198188</v>
      </c>
      <c r="H105" s="42">
        <f>IFERROR($G105/'SIMULARE PE PRODUS'!T$4,"")</f>
        <v>9.3094237009597755E-4</v>
      </c>
      <c r="I105" s="41">
        <f>'SIMULARE PE PRODUS'!$L$173</f>
        <v>1813.2473000000002</v>
      </c>
      <c r="J105" s="28">
        <f t="shared" si="10"/>
        <v>0.41025366958825943</v>
      </c>
      <c r="K105" s="41">
        <f t="shared" si="11"/>
        <v>2606.5725198198188</v>
      </c>
    </row>
    <row r="106" spans="1:11" x14ac:dyDescent="0.2">
      <c r="A106" s="26">
        <v>102</v>
      </c>
      <c r="B106" s="26" t="s">
        <v>243</v>
      </c>
      <c r="C106" s="26" t="s">
        <v>100</v>
      </c>
      <c r="D106" s="27">
        <f>'SIMULARE PE PRODUS'!$F$66</f>
        <v>34</v>
      </c>
      <c r="E106" s="27">
        <f>'SIMULARE PE PRODUS'!$G$66</f>
        <v>12</v>
      </c>
      <c r="F106" s="27">
        <f t="shared" si="9"/>
        <v>46</v>
      </c>
      <c r="G106" s="41">
        <f>'SIMULARE PE PRODUS'!T$66</f>
        <v>4411.7477477477469</v>
      </c>
      <c r="H106" s="42">
        <f>IFERROR($G106/'SIMULARE PE PRODUS'!T$4,"")</f>
        <v>9.2924215736950799E-4</v>
      </c>
      <c r="I106" s="41">
        <f>'SIMULARE PE PRODUS'!$L$66</f>
        <v>2273.2531712</v>
      </c>
      <c r="J106" s="28">
        <f t="shared" si="10"/>
        <v>0.51527269943312703</v>
      </c>
      <c r="K106" s="41">
        <f t="shared" si="11"/>
        <v>2138.4945765477469</v>
      </c>
    </row>
    <row r="107" spans="1:11" x14ac:dyDescent="0.2">
      <c r="A107" s="26">
        <v>103</v>
      </c>
      <c r="B107" s="26" t="s">
        <v>244</v>
      </c>
      <c r="C107" s="26" t="s">
        <v>105</v>
      </c>
      <c r="D107" s="27">
        <f>'SIMULARE PE PRODUS'!$F$174</f>
        <v>259</v>
      </c>
      <c r="E107" s="27">
        <f>'SIMULARE PE PRODUS'!$G$174</f>
        <v>0</v>
      </c>
      <c r="F107" s="27">
        <f t="shared" si="9"/>
        <v>259</v>
      </c>
      <c r="G107" s="41">
        <f>'SIMULARE PE PRODUS'!T$174</f>
        <v>4199.9999999999991</v>
      </c>
      <c r="H107" s="42">
        <f>IFERROR($G107/'SIMULARE PE PRODUS'!T$4,"")</f>
        <v>8.8464193424122456E-4</v>
      </c>
      <c r="I107" s="41">
        <f>'SIMULARE PE PRODUS'!$L$174</f>
        <v>1673.92995</v>
      </c>
      <c r="J107" s="28">
        <f t="shared" si="10"/>
        <v>0.39855475000000007</v>
      </c>
      <c r="K107" s="41">
        <f t="shared" si="11"/>
        <v>2526.0700499999994</v>
      </c>
    </row>
    <row r="108" spans="1:11" x14ac:dyDescent="0.2">
      <c r="A108" s="26">
        <v>104</v>
      </c>
      <c r="B108" s="26" t="s">
        <v>245</v>
      </c>
      <c r="C108" s="26" t="s">
        <v>105</v>
      </c>
      <c r="D108" s="27">
        <f>'SIMULARE PE PRODUS'!$F$175</f>
        <v>257</v>
      </c>
      <c r="E108" s="27">
        <f>'SIMULARE PE PRODUS'!$G$175</f>
        <v>0</v>
      </c>
      <c r="F108" s="27">
        <f t="shared" si="9"/>
        <v>257</v>
      </c>
      <c r="G108" s="41">
        <f>'SIMULARE PE PRODUS'!T$175</f>
        <v>4167.5675675675666</v>
      </c>
      <c r="H108" s="42">
        <f>IFERROR($G108/'SIMULARE PE PRODUS'!T$4,"")</f>
        <v>8.7781072239380192E-4</v>
      </c>
      <c r="I108" s="41">
        <f>'SIMULARE PE PRODUS'!$L$175</f>
        <v>1661.0038500000001</v>
      </c>
      <c r="J108" s="28">
        <f t="shared" si="10"/>
        <v>0.39855475000000012</v>
      </c>
      <c r="K108" s="41">
        <f t="shared" si="11"/>
        <v>2506.5637175675665</v>
      </c>
    </row>
    <row r="109" spans="1:11" x14ac:dyDescent="0.2">
      <c r="A109" s="26">
        <v>105</v>
      </c>
      <c r="B109" s="26" t="s">
        <v>246</v>
      </c>
      <c r="C109" s="26" t="s">
        <v>103</v>
      </c>
      <c r="D109" s="27">
        <f>'SIMULARE PE PRODUS'!$F$109</f>
        <v>167</v>
      </c>
      <c r="E109" s="27">
        <f>'SIMULARE PE PRODUS'!$G$109</f>
        <v>0</v>
      </c>
      <c r="F109" s="27">
        <f t="shared" si="9"/>
        <v>167</v>
      </c>
      <c r="G109" s="41">
        <f>'SIMULARE PE PRODUS'!T$109</f>
        <v>4126.6942148760327</v>
      </c>
      <c r="H109" s="42">
        <f>IFERROR($G109/'SIMULARE PE PRODUS'!T$4,"")</f>
        <v>8.6920160768333475E-4</v>
      </c>
      <c r="I109" s="41">
        <f>'SIMULARE PE PRODUS'!$L$109</f>
        <v>2653.2959999999998</v>
      </c>
      <c r="J109" s="28">
        <f t="shared" si="10"/>
        <v>0.64295919732441476</v>
      </c>
      <c r="K109" s="41">
        <f t="shared" si="11"/>
        <v>1473.3982148760329</v>
      </c>
    </row>
    <row r="110" spans="1:11" x14ac:dyDescent="0.2">
      <c r="A110" s="26">
        <v>106</v>
      </c>
      <c r="B110" s="26" t="s">
        <v>247</v>
      </c>
      <c r="C110" s="26" t="s">
        <v>103</v>
      </c>
      <c r="D110" s="27">
        <f>'SIMULARE PE PRODUS'!$F$110</f>
        <v>335</v>
      </c>
      <c r="E110" s="27">
        <f>'SIMULARE PE PRODUS'!$G$110</f>
        <v>0</v>
      </c>
      <c r="F110" s="27">
        <f t="shared" si="9"/>
        <v>335</v>
      </c>
      <c r="G110" s="41">
        <f>'SIMULARE PE PRODUS'!T$110</f>
        <v>3873.2644628099174</v>
      </c>
      <c r="H110" s="42">
        <f>IFERROR($G110/'SIMULARE PE PRODUS'!T$4,"")</f>
        <v>8.1582194433522947E-4</v>
      </c>
      <c r="I110" s="41">
        <f>'SIMULARE PE PRODUS'!$L$110</f>
        <v>1120.7740251080002</v>
      </c>
      <c r="J110" s="28">
        <f t="shared" si="10"/>
        <v>0.28936160591908511</v>
      </c>
      <c r="K110" s="41">
        <f t="shared" si="11"/>
        <v>2752.4904377019175</v>
      </c>
    </row>
    <row r="111" spans="1:11" x14ac:dyDescent="0.2">
      <c r="A111" s="26">
        <v>107</v>
      </c>
      <c r="B111" s="26" t="s">
        <v>248</v>
      </c>
      <c r="C111" s="26" t="s">
        <v>102</v>
      </c>
      <c r="D111" s="27">
        <f>'SIMULARE PE PRODUS'!$F$87</f>
        <v>487</v>
      </c>
      <c r="E111" s="27">
        <f>'SIMULARE PE PRODUS'!$G$87</f>
        <v>308</v>
      </c>
      <c r="F111" s="27">
        <f t="shared" si="9"/>
        <v>795</v>
      </c>
      <c r="G111" s="41">
        <f>'SIMULARE PE PRODUS'!T$87</f>
        <v>3708.1981981981971</v>
      </c>
      <c r="H111" s="42">
        <f>IFERROR($G111/'SIMULARE PE PRODUS'!T$4,"")</f>
        <v>7.8105419681044706E-4</v>
      </c>
      <c r="I111" s="41">
        <f>'SIMULARE PE PRODUS'!$L$87</f>
        <v>1136.8499999999999</v>
      </c>
      <c r="J111" s="28">
        <f t="shared" si="10"/>
        <v>0.3065774641043707</v>
      </c>
      <c r="K111" s="41">
        <f t="shared" si="11"/>
        <v>2571.3481981981972</v>
      </c>
    </row>
    <row r="112" spans="1:11" x14ac:dyDescent="0.2">
      <c r="A112" s="26">
        <v>108</v>
      </c>
      <c r="B112" s="26" t="s">
        <v>249</v>
      </c>
      <c r="C112" s="26" t="s">
        <v>97</v>
      </c>
      <c r="D112" s="27">
        <f>'SIMULARE PE PRODUS'!$F$40</f>
        <v>221</v>
      </c>
      <c r="E112" s="27">
        <f>'SIMULARE PE PRODUS'!$G$40</f>
        <v>0</v>
      </c>
      <c r="F112" s="27">
        <f t="shared" si="9"/>
        <v>221</v>
      </c>
      <c r="G112" s="41">
        <f>'SIMULARE PE PRODUS'!T$40</f>
        <v>3583.7837837837833</v>
      </c>
      <c r="H112" s="42">
        <f>IFERROR($G112/'SIMULARE PE PRODUS'!T$4,"")</f>
        <v>7.5484890914019555E-4</v>
      </c>
      <c r="I112" s="41">
        <f>'SIMULARE PE PRODUS'!$L$40</f>
        <v>1085.4110020000001</v>
      </c>
      <c r="J112" s="28">
        <f t="shared" si="10"/>
        <v>0.30286732333333338</v>
      </c>
      <c r="K112" s="41">
        <f t="shared" si="11"/>
        <v>2498.3727817837835</v>
      </c>
    </row>
    <row r="113" spans="1:11" x14ac:dyDescent="0.2">
      <c r="A113" s="26">
        <v>109</v>
      </c>
      <c r="B113" s="26" t="s">
        <v>250</v>
      </c>
      <c r="C113" s="26" t="s">
        <v>105</v>
      </c>
      <c r="D113" s="27">
        <f>'SIMULARE PE PRODUS'!$F$176</f>
        <v>127</v>
      </c>
      <c r="E113" s="27">
        <f>'SIMULARE PE PRODUS'!$G$176</f>
        <v>133</v>
      </c>
      <c r="F113" s="27">
        <f t="shared" si="9"/>
        <v>260</v>
      </c>
      <c r="G113" s="41">
        <f>'SIMULARE PE PRODUS'!T$176</f>
        <v>3518.9189189189187</v>
      </c>
      <c r="H113" s="42">
        <f>IFERROR($G113/'SIMULARE PE PRODUS'!T$4,"")</f>
        <v>7.4118648544535038E-4</v>
      </c>
      <c r="I113" s="41">
        <f>'SIMULARE PE PRODUS'!$L$176</f>
        <v>1439.046</v>
      </c>
      <c r="J113" s="28">
        <f t="shared" si="10"/>
        <v>0.4089454838709678</v>
      </c>
      <c r="K113" s="41">
        <f t="shared" si="11"/>
        <v>2079.8729189189189</v>
      </c>
    </row>
    <row r="114" spans="1:11" x14ac:dyDescent="0.2">
      <c r="A114" s="26">
        <v>110</v>
      </c>
      <c r="B114" s="26" t="s">
        <v>251</v>
      </c>
      <c r="C114" s="26" t="s">
        <v>108</v>
      </c>
      <c r="D114" s="27">
        <f>'SIMULARE PE PRODUS'!$F$212</f>
        <v>53</v>
      </c>
      <c r="E114" s="27">
        <f>'SIMULARE PE PRODUS'!$G$212</f>
        <v>147</v>
      </c>
      <c r="F114" s="27">
        <f t="shared" si="9"/>
        <v>200</v>
      </c>
      <c r="G114" s="41">
        <f>'SIMULARE PE PRODUS'!T$212</f>
        <v>3460.3603603603597</v>
      </c>
      <c r="H114" s="42">
        <f>IFERROR($G114/'SIMULARE PE PRODUS'!T$4,"")</f>
        <v>7.2885235294305954E-4</v>
      </c>
      <c r="I114" s="41">
        <f>'SIMULARE PE PRODUS'!$L$212</f>
        <v>1384.172988</v>
      </c>
      <c r="J114" s="28">
        <f t="shared" si="10"/>
        <v>0.40000833550637865</v>
      </c>
      <c r="K114" s="41">
        <f t="shared" si="11"/>
        <v>2076.1873723603594</v>
      </c>
    </row>
    <row r="115" spans="1:11" x14ac:dyDescent="0.2">
      <c r="A115" s="26">
        <v>111</v>
      </c>
      <c r="B115" s="26" t="s">
        <v>252</v>
      </c>
      <c r="C115" s="26" t="s">
        <v>102</v>
      </c>
      <c r="D115" s="27">
        <f>'SIMULARE PE PRODUS'!$F$88</f>
        <v>511</v>
      </c>
      <c r="E115" s="27">
        <f>'SIMULARE PE PRODUS'!$G$88</f>
        <v>194</v>
      </c>
      <c r="F115" s="27">
        <f t="shared" si="9"/>
        <v>705</v>
      </c>
      <c r="G115" s="41">
        <f>'SIMULARE PE PRODUS'!T$88</f>
        <v>3274.1441441441439</v>
      </c>
      <c r="H115" s="42">
        <f>IFERROR($G115/'SIMULARE PE PRODUS'!T$4,"")</f>
        <v>6.8962981158577491E-4</v>
      </c>
      <c r="I115" s="41">
        <f>'SIMULARE PE PRODUS'!$L$88</f>
        <v>762.81000000000006</v>
      </c>
      <c r="J115" s="28">
        <f t="shared" si="10"/>
        <v>0.2329799686321988</v>
      </c>
      <c r="K115" s="41">
        <f t="shared" si="11"/>
        <v>2511.3341441441439</v>
      </c>
    </row>
    <row r="116" spans="1:11" x14ac:dyDescent="0.2">
      <c r="A116" s="26">
        <v>112</v>
      </c>
      <c r="B116" s="26" t="s">
        <v>253</v>
      </c>
      <c r="C116" s="26" t="s">
        <v>103</v>
      </c>
      <c r="D116" s="27">
        <f>'SIMULARE PE PRODUS'!$F$111</f>
        <v>142</v>
      </c>
      <c r="E116" s="27">
        <f>'SIMULARE PE PRODUS'!$G$111</f>
        <v>84</v>
      </c>
      <c r="F116" s="27">
        <f t="shared" si="9"/>
        <v>226</v>
      </c>
      <c r="G116" s="41">
        <f>'SIMULARE PE PRODUS'!T$111</f>
        <v>3264.2479338842977</v>
      </c>
      <c r="H116" s="42">
        <f>IFERROR($G116/'SIMULARE PE PRODUS'!T$4,"")</f>
        <v>6.8754538239864922E-4</v>
      </c>
      <c r="I116" s="41">
        <f>'SIMULARE PE PRODUS'!$L$111</f>
        <v>1677.37652</v>
      </c>
      <c r="J116" s="28">
        <f t="shared" si="10"/>
        <v>0.5138630869880042</v>
      </c>
      <c r="K116" s="41">
        <f t="shared" si="11"/>
        <v>1586.8714138842977</v>
      </c>
    </row>
    <row r="117" spans="1:11" x14ac:dyDescent="0.2">
      <c r="A117" s="26">
        <v>113</v>
      </c>
      <c r="B117" s="26" t="s">
        <v>254</v>
      </c>
      <c r="C117" s="26" t="s">
        <v>104</v>
      </c>
      <c r="D117" s="27">
        <f>'SIMULARE PE PRODUS'!$F$131</f>
        <v>139</v>
      </c>
      <c r="E117" s="27">
        <f>'SIMULARE PE PRODUS'!$G$131</f>
        <v>66</v>
      </c>
      <c r="F117" s="27">
        <f t="shared" si="9"/>
        <v>205</v>
      </c>
      <c r="G117" s="41">
        <f>'SIMULARE PE PRODUS'!T$131</f>
        <v>3199.0990990990986</v>
      </c>
      <c r="H117" s="42">
        <f>IFERROR($G117/'SIMULARE PE PRODUS'!T$4,"")</f>
        <v>6.7382314639437768E-4</v>
      </c>
      <c r="I117" s="41">
        <f>'SIMULARE PE PRODUS'!$L$131</f>
        <v>1527.0470499999999</v>
      </c>
      <c r="J117" s="28">
        <f t="shared" si="10"/>
        <v>0.47733658842579557</v>
      </c>
      <c r="K117" s="41">
        <f t="shared" si="11"/>
        <v>1672.0520490990987</v>
      </c>
    </row>
    <row r="118" spans="1:11" x14ac:dyDescent="0.2">
      <c r="A118" s="26">
        <v>114</v>
      </c>
      <c r="B118" s="26" t="s">
        <v>255</v>
      </c>
      <c r="C118" s="26" t="s">
        <v>103</v>
      </c>
      <c r="D118" s="27">
        <f>'SIMULARE PE PRODUS'!$F$112</f>
        <v>114</v>
      </c>
      <c r="E118" s="27">
        <f>'SIMULARE PE PRODUS'!$G$112</f>
        <v>192</v>
      </c>
      <c r="F118" s="27">
        <f t="shared" si="9"/>
        <v>306</v>
      </c>
      <c r="G118" s="41">
        <f>'SIMULARE PE PRODUS'!T$112</f>
        <v>3190.8595041322315</v>
      </c>
      <c r="H118" s="42">
        <f>IFERROR($G118/'SIMULARE PE PRODUS'!T$4,"")</f>
        <v>6.7208764848274583E-4</v>
      </c>
      <c r="I118" s="41">
        <f>'SIMULARE PE PRODUS'!$L$112</f>
        <v>1113.8400000000001</v>
      </c>
      <c r="J118" s="28">
        <f t="shared" si="10"/>
        <v>0.34907209125238936</v>
      </c>
      <c r="K118" s="41">
        <f t="shared" si="11"/>
        <v>2077.0195041322313</v>
      </c>
    </row>
    <row r="119" spans="1:11" x14ac:dyDescent="0.2">
      <c r="A119" s="26">
        <v>115</v>
      </c>
      <c r="B119" s="26" t="s">
        <v>256</v>
      </c>
      <c r="C119" s="26" t="s">
        <v>106</v>
      </c>
      <c r="D119" s="27">
        <f>'SIMULARE PE PRODUS'!$F$201</f>
        <v>620</v>
      </c>
      <c r="E119" s="27">
        <f>'SIMULARE PE PRODUS'!$G$201</f>
        <v>497</v>
      </c>
      <c r="F119" s="27">
        <f t="shared" si="9"/>
        <v>1117</v>
      </c>
      <c r="G119" s="41">
        <f>'SIMULARE PE PRODUS'!T$201</f>
        <v>3018.9189189189187</v>
      </c>
      <c r="H119" s="42">
        <f>IFERROR($G119/'SIMULARE PE PRODUS'!T$4,"")</f>
        <v>6.3587196946425224E-4</v>
      </c>
      <c r="I119" s="41">
        <f>'SIMULARE PE PRODUS'!$L$201</f>
        <v>703.71</v>
      </c>
      <c r="J119" s="28">
        <f t="shared" si="10"/>
        <v>0.23310000000000003</v>
      </c>
      <c r="K119" s="41">
        <f t="shared" si="11"/>
        <v>2315.2089189189187</v>
      </c>
    </row>
    <row r="120" spans="1:11" x14ac:dyDescent="0.2">
      <c r="A120" s="26">
        <v>116</v>
      </c>
      <c r="B120" s="26" t="s">
        <v>257</v>
      </c>
      <c r="C120" s="26" t="s">
        <v>102</v>
      </c>
      <c r="D120" s="27">
        <f>'SIMULARE PE PRODUS'!$F$89</f>
        <v>649</v>
      </c>
      <c r="E120" s="27">
        <f>'SIMULARE PE PRODUS'!$G$89</f>
        <v>0</v>
      </c>
      <c r="F120" s="27">
        <f t="shared" si="9"/>
        <v>649</v>
      </c>
      <c r="G120" s="41">
        <f>'SIMULARE PE PRODUS'!T$89</f>
        <v>2981.8918918918912</v>
      </c>
      <c r="H120" s="42">
        <f>IFERROR($G120/'SIMULARE PE PRODUS'!T$4,"")</f>
        <v>6.2807300260511137E-4</v>
      </c>
      <c r="I120" s="41">
        <f>'SIMULARE PE PRODUS'!$L$89</f>
        <v>586.69600000000003</v>
      </c>
      <c r="J120" s="28">
        <f t="shared" si="10"/>
        <v>0.19675294117647063</v>
      </c>
      <c r="K120" s="41">
        <f t="shared" si="11"/>
        <v>2395.1958918918913</v>
      </c>
    </row>
    <row r="121" spans="1:11" x14ac:dyDescent="0.2">
      <c r="A121" s="26">
        <v>117</v>
      </c>
      <c r="B121" s="26" t="s">
        <v>258</v>
      </c>
      <c r="C121" s="26" t="s">
        <v>105</v>
      </c>
      <c r="D121" s="27">
        <f>'SIMULARE PE PRODUS'!$F$177</f>
        <v>198</v>
      </c>
      <c r="E121" s="27">
        <f>'SIMULARE PE PRODUS'!$G$177</f>
        <v>0</v>
      </c>
      <c r="F121" s="27">
        <f t="shared" si="9"/>
        <v>198</v>
      </c>
      <c r="G121" s="41">
        <f>'SIMULARE PE PRODUS'!T$177</f>
        <v>2854.0540540540537</v>
      </c>
      <c r="H121" s="42">
        <f>IFERROR($G121/'SIMULARE PE PRODUS'!T$4,"")</f>
        <v>6.0114664257318736E-4</v>
      </c>
      <c r="I121" s="41">
        <f>'SIMULARE PE PRODUS'!$L$177</f>
        <v>1301.8797594</v>
      </c>
      <c r="J121" s="28">
        <f t="shared" si="10"/>
        <v>0.45615105206250006</v>
      </c>
      <c r="K121" s="41">
        <f t="shared" si="11"/>
        <v>1552.1742946540537</v>
      </c>
    </row>
    <row r="122" spans="1:11" x14ac:dyDescent="0.2">
      <c r="A122" s="26">
        <v>118</v>
      </c>
      <c r="B122" s="26" t="s">
        <v>259</v>
      </c>
      <c r="C122" s="26" t="s">
        <v>103</v>
      </c>
      <c r="D122" s="27">
        <f>'SIMULARE PE PRODUS'!$F$113</f>
        <v>225</v>
      </c>
      <c r="E122" s="27">
        <f>'SIMULARE PE PRODUS'!$G$113</f>
        <v>68</v>
      </c>
      <c r="F122" s="27">
        <f t="shared" si="9"/>
        <v>293</v>
      </c>
      <c r="G122" s="41">
        <f>'SIMULARE PE PRODUS'!T$113</f>
        <v>2773.6115702479342</v>
      </c>
      <c r="H122" s="42">
        <f>IFERROR($G122/'SIMULARE PE PRODUS'!T$4,"")</f>
        <v>5.8420312008046981E-4</v>
      </c>
      <c r="I122" s="41">
        <f>'SIMULARE PE PRODUS'!$L$113</f>
        <v>1291.837</v>
      </c>
      <c r="J122" s="28">
        <f t="shared" si="10"/>
        <v>0.46575988283915409</v>
      </c>
      <c r="K122" s="41">
        <f t="shared" si="11"/>
        <v>1481.7745702479342</v>
      </c>
    </row>
    <row r="123" spans="1:11" x14ac:dyDescent="0.2">
      <c r="A123" s="26">
        <v>119</v>
      </c>
      <c r="B123" s="26" t="s">
        <v>260</v>
      </c>
      <c r="C123" s="26" t="s">
        <v>103</v>
      </c>
      <c r="D123" s="27">
        <f>'SIMULARE PE PRODUS'!$F$114</f>
        <v>0</v>
      </c>
      <c r="E123" s="27">
        <f>'SIMULARE PE PRODUS'!$G$114</f>
        <v>665</v>
      </c>
      <c r="F123" s="27">
        <f t="shared" si="9"/>
        <v>665</v>
      </c>
      <c r="G123" s="41">
        <f>'SIMULARE PE PRODUS'!T$114</f>
        <v>2742.4380165289263</v>
      </c>
      <c r="H123" s="42">
        <f>IFERROR($G123/'SIMULARE PE PRODUS'!T$4,"")</f>
        <v>5.7763706463781364E-4</v>
      </c>
      <c r="I123" s="41">
        <f>'SIMULARE PE PRODUS'!$L$114</f>
        <v>427.59500000000003</v>
      </c>
      <c r="J123" s="28">
        <f t="shared" si="10"/>
        <v>0.15591783567134265</v>
      </c>
      <c r="K123" s="41">
        <f t="shared" si="11"/>
        <v>2314.8430165289265</v>
      </c>
    </row>
    <row r="124" spans="1:11" x14ac:dyDescent="0.2">
      <c r="A124" s="26">
        <v>120</v>
      </c>
      <c r="B124" s="26" t="s">
        <v>261</v>
      </c>
      <c r="C124" s="26" t="s">
        <v>106</v>
      </c>
      <c r="D124" s="27">
        <f>'SIMULARE PE PRODUS'!$F$202</f>
        <v>318</v>
      </c>
      <c r="E124" s="27">
        <f>'SIMULARE PE PRODUS'!$G$202</f>
        <v>284</v>
      </c>
      <c r="F124" s="27">
        <f t="shared" si="9"/>
        <v>602</v>
      </c>
      <c r="G124" s="41">
        <f>'SIMULARE PE PRODUS'!T$202</f>
        <v>2711.7117117117114</v>
      </c>
      <c r="H124" s="42">
        <f>IFERROR($G124/'SIMULARE PE PRODUS'!T$4,"")</f>
        <v>5.7116521279838828E-4</v>
      </c>
      <c r="I124" s="41">
        <f>'SIMULARE PE PRODUS'!$L$202</f>
        <v>296.18399999999997</v>
      </c>
      <c r="J124" s="28">
        <f t="shared" si="10"/>
        <v>0.109224</v>
      </c>
      <c r="K124" s="41">
        <f t="shared" si="11"/>
        <v>2415.5277117117112</v>
      </c>
    </row>
    <row r="125" spans="1:11" x14ac:dyDescent="0.2">
      <c r="A125" s="26">
        <v>121</v>
      </c>
      <c r="B125" s="26" t="s">
        <v>262</v>
      </c>
      <c r="C125" s="26" t="s">
        <v>105</v>
      </c>
      <c r="D125" s="27">
        <f>'SIMULARE PE PRODUS'!$F$178</f>
        <v>182</v>
      </c>
      <c r="E125" s="27">
        <f>'SIMULARE PE PRODUS'!$G$178</f>
        <v>0</v>
      </c>
      <c r="F125" s="27">
        <f t="shared" si="9"/>
        <v>182</v>
      </c>
      <c r="G125" s="41">
        <f>'SIMULARE PE PRODUS'!T$178</f>
        <v>2623.4234234234232</v>
      </c>
      <c r="H125" s="42">
        <f>IFERROR($G125/'SIMULARE PE PRODUS'!T$4,"")</f>
        <v>5.5256913610262682E-4</v>
      </c>
      <c r="I125" s="41">
        <f>'SIMULARE PE PRODUS'!$L$178</f>
        <v>1201.0967605000001</v>
      </c>
      <c r="J125" s="28">
        <f t="shared" si="10"/>
        <v>0.45783564703125007</v>
      </c>
      <c r="K125" s="41">
        <f t="shared" si="11"/>
        <v>1422.3266629234231</v>
      </c>
    </row>
    <row r="126" spans="1:11" x14ac:dyDescent="0.2">
      <c r="A126" s="26">
        <v>122</v>
      </c>
      <c r="B126" s="26" t="s">
        <v>263</v>
      </c>
      <c r="C126" s="26" t="s">
        <v>97</v>
      </c>
      <c r="D126" s="27">
        <f>'SIMULARE PE PRODUS'!$F$41</f>
        <v>114</v>
      </c>
      <c r="E126" s="27">
        <f>'SIMULARE PE PRODUS'!$G$41</f>
        <v>0</v>
      </c>
      <c r="F126" s="27">
        <f t="shared" si="9"/>
        <v>114</v>
      </c>
      <c r="G126" s="41">
        <f>'SIMULARE PE PRODUS'!T$41</f>
        <v>2515.1891891891887</v>
      </c>
      <c r="H126" s="42">
        <f>IFERROR($G126/'SIMULARE PE PRODUS'!T$4,"")</f>
        <v>5.297718641207004E-4</v>
      </c>
      <c r="I126" s="41">
        <f>'SIMULARE PE PRODUS'!$L$41</f>
        <v>1121.7410531999999</v>
      </c>
      <c r="J126" s="28">
        <f t="shared" si="10"/>
        <v>0.44598675042874647</v>
      </c>
      <c r="K126" s="41">
        <f t="shared" si="11"/>
        <v>1393.4481359891888</v>
      </c>
    </row>
    <row r="127" spans="1:11" x14ac:dyDescent="0.2">
      <c r="A127" s="26">
        <v>123</v>
      </c>
      <c r="B127" s="26" t="s">
        <v>264</v>
      </c>
      <c r="C127" s="26" t="s">
        <v>104</v>
      </c>
      <c r="D127" s="27">
        <f>'SIMULARE PE PRODUS'!$F$132</f>
        <v>84</v>
      </c>
      <c r="E127" s="27">
        <f>'SIMULARE PE PRODUS'!$G$132</f>
        <v>70</v>
      </c>
      <c r="F127" s="27">
        <f t="shared" si="9"/>
        <v>154</v>
      </c>
      <c r="G127" s="41">
        <f>'SIMULARE PE PRODUS'!T$132</f>
        <v>2421.6216216216212</v>
      </c>
      <c r="H127" s="42">
        <f>IFERROR($G127/'SIMULARE PE PRODUS'!T$4,"")</f>
        <v>5.100638179408863E-4</v>
      </c>
      <c r="I127" s="41">
        <f>'SIMULARE PE PRODUS'!$L$132</f>
        <v>1351.0435399999999</v>
      </c>
      <c r="J127" s="28">
        <f t="shared" si="10"/>
        <v>0.55790860468750003</v>
      </c>
      <c r="K127" s="41">
        <f t="shared" si="11"/>
        <v>1070.5780816216213</v>
      </c>
    </row>
    <row r="128" spans="1:11" x14ac:dyDescent="0.2">
      <c r="A128" s="26">
        <v>124</v>
      </c>
      <c r="B128" s="26" t="s">
        <v>265</v>
      </c>
      <c r="C128" s="26" t="s">
        <v>104</v>
      </c>
      <c r="D128" s="27">
        <f>'SIMULARE PE PRODUS'!$F$133</f>
        <v>79</v>
      </c>
      <c r="E128" s="27">
        <f>'SIMULARE PE PRODUS'!$G$133</f>
        <v>52</v>
      </c>
      <c r="F128" s="27">
        <f t="shared" si="9"/>
        <v>131</v>
      </c>
      <c r="G128" s="41">
        <f>'SIMULARE PE PRODUS'!T$133</f>
        <v>2407.2072072072069</v>
      </c>
      <c r="H128" s="42">
        <f>IFERROR($G128/'SIMULARE PE PRODUS'!T$4,"")</f>
        <v>5.0702772378647624E-4</v>
      </c>
      <c r="I128" s="41">
        <f>'SIMULARE PE PRODUS'!$L$133</f>
        <v>1239.13031</v>
      </c>
      <c r="J128" s="28">
        <f t="shared" si="10"/>
        <v>0.51475847458832347</v>
      </c>
      <c r="K128" s="41">
        <f t="shared" si="11"/>
        <v>1168.0768972072069</v>
      </c>
    </row>
    <row r="129" spans="1:11" x14ac:dyDescent="0.2">
      <c r="A129" s="26">
        <v>125</v>
      </c>
      <c r="B129" s="26" t="s">
        <v>266</v>
      </c>
      <c r="C129" s="26" t="s">
        <v>103</v>
      </c>
      <c r="D129" s="27">
        <f>'SIMULARE PE PRODUS'!$F$115</f>
        <v>202</v>
      </c>
      <c r="E129" s="27">
        <f>'SIMULARE PE PRODUS'!$G$115</f>
        <v>0</v>
      </c>
      <c r="F129" s="27">
        <f t="shared" si="9"/>
        <v>202</v>
      </c>
      <c r="G129" s="41">
        <f>'SIMULARE PE PRODUS'!T$115</f>
        <v>2335.5206611570247</v>
      </c>
      <c r="H129" s="42">
        <f>IFERROR($G129/'SIMULARE PE PRODUS'!T$4,"")</f>
        <v>4.9192845598721292E-4</v>
      </c>
      <c r="I129" s="41">
        <f>'SIMULARE PE PRODUS'!$L$115</f>
        <v>659.51782036960003</v>
      </c>
      <c r="J129" s="28">
        <f t="shared" si="10"/>
        <v>0.28238577861386704</v>
      </c>
      <c r="K129" s="41">
        <f t="shared" si="11"/>
        <v>1676.0028407874247</v>
      </c>
    </row>
    <row r="130" spans="1:11" x14ac:dyDescent="0.2">
      <c r="A130" s="26">
        <v>126</v>
      </c>
      <c r="B130" s="26" t="s">
        <v>267</v>
      </c>
      <c r="C130" s="26" t="s">
        <v>103</v>
      </c>
      <c r="D130" s="27">
        <f>'SIMULARE PE PRODUS'!$F$116</f>
        <v>105</v>
      </c>
      <c r="E130" s="27">
        <f>'SIMULARE PE PRODUS'!$G$116</f>
        <v>55</v>
      </c>
      <c r="F130" s="27">
        <f t="shared" si="9"/>
        <v>160</v>
      </c>
      <c r="G130" s="41">
        <f>'SIMULARE PE PRODUS'!T$116</f>
        <v>2250.7438016528927</v>
      </c>
      <c r="H130" s="42">
        <f>IFERROR($G130/'SIMULARE PE PRODUS'!T$4,"")</f>
        <v>4.7407198813706247E-4</v>
      </c>
      <c r="I130" s="41">
        <f>'SIMULARE PE PRODUS'!$L$116</f>
        <v>996.80000000000018</v>
      </c>
      <c r="J130" s="28">
        <f t="shared" si="10"/>
        <v>0.44287581699346412</v>
      </c>
      <c r="K130" s="41">
        <f t="shared" si="11"/>
        <v>1253.9438016528925</v>
      </c>
    </row>
    <row r="131" spans="1:11" x14ac:dyDescent="0.2">
      <c r="A131" s="26">
        <v>127</v>
      </c>
      <c r="B131" s="26" t="s">
        <v>268</v>
      </c>
      <c r="C131" s="26" t="s">
        <v>108</v>
      </c>
      <c r="D131" s="27">
        <f>'SIMULARE PE PRODUS'!$F$213</f>
        <v>31</v>
      </c>
      <c r="E131" s="27">
        <f>'SIMULARE PE PRODUS'!$G$213</f>
        <v>78</v>
      </c>
      <c r="F131" s="27">
        <f t="shared" si="9"/>
        <v>109</v>
      </c>
      <c r="G131" s="41">
        <f>'SIMULARE PE PRODUS'!T$213</f>
        <v>2174.7747747747749</v>
      </c>
      <c r="H131" s="42">
        <f>IFERROR($G131/'SIMULARE PE PRODUS'!T$4,"")</f>
        <v>4.5807070554661444E-4</v>
      </c>
      <c r="I131" s="41">
        <f>'SIMULARE PE PRODUS'!$L$213</f>
        <v>816.30091279999999</v>
      </c>
      <c r="J131" s="28">
        <f t="shared" si="10"/>
        <v>0.37534963264623028</v>
      </c>
      <c r="K131" s="41">
        <f t="shared" si="11"/>
        <v>1358.473861974775</v>
      </c>
    </row>
    <row r="132" spans="1:11" x14ac:dyDescent="0.2">
      <c r="A132" s="26">
        <v>128</v>
      </c>
      <c r="B132" s="26" t="s">
        <v>269</v>
      </c>
      <c r="C132" s="26" t="s">
        <v>104</v>
      </c>
      <c r="D132" s="27">
        <f>'SIMULARE PE PRODUS'!$F$134</f>
        <v>57</v>
      </c>
      <c r="E132" s="27">
        <f>'SIMULARE PE PRODUS'!$G$134</f>
        <v>54</v>
      </c>
      <c r="F132" s="27">
        <f t="shared" si="9"/>
        <v>111</v>
      </c>
      <c r="G132" s="41">
        <f>'SIMULARE PE PRODUS'!T$134</f>
        <v>2048.6486486486483</v>
      </c>
      <c r="H132" s="42">
        <f>IFERROR($G132/'SIMULARE PE PRODUS'!T$4,"")</f>
        <v>4.3150488169552652E-4</v>
      </c>
      <c r="I132" s="41">
        <f>'SIMULARE PE PRODUS'!$L$134</f>
        <v>1062.0502199999999</v>
      </c>
      <c r="J132" s="28">
        <f t="shared" si="10"/>
        <v>0.51841501503957788</v>
      </c>
      <c r="K132" s="41">
        <f t="shared" si="11"/>
        <v>986.59842864864845</v>
      </c>
    </row>
    <row r="133" spans="1:11" x14ac:dyDescent="0.2">
      <c r="A133" s="26">
        <v>129</v>
      </c>
      <c r="B133" s="26" t="s">
        <v>270</v>
      </c>
      <c r="C133" s="26" t="s">
        <v>103</v>
      </c>
      <c r="D133" s="27">
        <f>'SIMULARE PE PRODUS'!$F$117</f>
        <v>0</v>
      </c>
      <c r="E133" s="27">
        <f>'SIMULARE PE PRODUS'!$G$117</f>
        <v>235</v>
      </c>
      <c r="F133" s="27">
        <f t="shared" ref="F133:F164" si="12">$D133+$E133</f>
        <v>235</v>
      </c>
      <c r="G133" s="41">
        <f>'SIMULARE PE PRODUS'!T$117</f>
        <v>2037.3140495867772</v>
      </c>
      <c r="H133" s="42">
        <f>IFERROR($G133/'SIMULARE PE PRODUS'!T$4,"")</f>
        <v>4.2911748606744499E-4</v>
      </c>
      <c r="I133" s="41">
        <f>'SIMULARE PE PRODUS'!$L$117</f>
        <v>877.96</v>
      </c>
      <c r="J133" s="28">
        <f t="shared" ref="J133:J164" si="13">IFERROR($I133/$G133,"")</f>
        <v>0.43093994280266917</v>
      </c>
      <c r="K133" s="41">
        <f t="shared" ref="K133:K164" si="14">$G133-$I133</f>
        <v>1159.3540495867771</v>
      </c>
    </row>
    <row r="134" spans="1:11" x14ac:dyDescent="0.2">
      <c r="A134" s="26">
        <v>130</v>
      </c>
      <c r="B134" s="26" t="s">
        <v>271</v>
      </c>
      <c r="C134" s="26" t="s">
        <v>105</v>
      </c>
      <c r="D134" s="27">
        <f>'SIMULARE PE PRODUS'!$F$179</f>
        <v>124</v>
      </c>
      <c r="E134" s="27">
        <f>'SIMULARE PE PRODUS'!$G$179</f>
        <v>0</v>
      </c>
      <c r="F134" s="27">
        <f t="shared" si="12"/>
        <v>124</v>
      </c>
      <c r="G134" s="41">
        <f>'SIMULARE PE PRODUS'!T$179</f>
        <v>2010.8108108108106</v>
      </c>
      <c r="H134" s="42">
        <f>IFERROR($G134/'SIMULARE PE PRODUS'!T$4,"")</f>
        <v>4.2353513454020022E-4</v>
      </c>
      <c r="I134" s="41">
        <f>'SIMULARE PE PRODUS'!$L$179</f>
        <v>823.85044479999999</v>
      </c>
      <c r="J134" s="28">
        <f t="shared" si="13"/>
        <v>0.40971057066666672</v>
      </c>
      <c r="K134" s="41">
        <f t="shared" si="14"/>
        <v>1186.9603660108105</v>
      </c>
    </row>
    <row r="135" spans="1:11" x14ac:dyDescent="0.2">
      <c r="A135" s="26">
        <v>131</v>
      </c>
      <c r="B135" s="26" t="s">
        <v>272</v>
      </c>
      <c r="C135" s="26" t="s">
        <v>105</v>
      </c>
      <c r="D135" s="27">
        <f>'SIMULARE PE PRODUS'!$F$180</f>
        <v>119</v>
      </c>
      <c r="E135" s="27">
        <f>'SIMULARE PE PRODUS'!$G$180</f>
        <v>0</v>
      </c>
      <c r="F135" s="27">
        <f t="shared" si="12"/>
        <v>119</v>
      </c>
      <c r="G135" s="41">
        <f>'SIMULARE PE PRODUS'!T$180</f>
        <v>1929.7297297297296</v>
      </c>
      <c r="H135" s="42">
        <f>IFERROR($G135/'SIMULARE PE PRODUS'!T$4,"")</f>
        <v>4.0645710492164374E-4</v>
      </c>
      <c r="I135" s="41">
        <f>'SIMULARE PE PRODUS'!$L$180</f>
        <v>773.67049725000004</v>
      </c>
      <c r="J135" s="28">
        <f t="shared" si="13"/>
        <v>0.40092168625000008</v>
      </c>
      <c r="K135" s="41">
        <f t="shared" si="14"/>
        <v>1156.0592324797294</v>
      </c>
    </row>
    <row r="136" spans="1:11" x14ac:dyDescent="0.2">
      <c r="A136" s="26">
        <v>132</v>
      </c>
      <c r="B136" s="26" t="s">
        <v>273</v>
      </c>
      <c r="C136" s="26" t="s">
        <v>105</v>
      </c>
      <c r="D136" s="27">
        <f>'SIMULARE PE PRODUS'!$F$181</f>
        <v>105</v>
      </c>
      <c r="E136" s="27">
        <f>'SIMULARE PE PRODUS'!$G$181</f>
        <v>0</v>
      </c>
      <c r="F136" s="27">
        <f t="shared" si="12"/>
        <v>105</v>
      </c>
      <c r="G136" s="41">
        <f>'SIMULARE PE PRODUS'!T$181</f>
        <v>1882.4324324324321</v>
      </c>
      <c r="H136" s="42">
        <f>IFERROR($G136/'SIMULARE PE PRODUS'!T$4,"")</f>
        <v>3.9649492097748579E-4</v>
      </c>
      <c r="I136" s="41">
        <f>'SIMULARE PE PRODUS'!$L$181</f>
        <v>546.55229999999995</v>
      </c>
      <c r="J136" s="28">
        <f t="shared" si="13"/>
        <v>0.29034364824120606</v>
      </c>
      <c r="K136" s="41">
        <f t="shared" si="14"/>
        <v>1335.8801324324322</v>
      </c>
    </row>
    <row r="137" spans="1:11" x14ac:dyDescent="0.2">
      <c r="A137" s="26">
        <v>133</v>
      </c>
      <c r="B137" s="26" t="s">
        <v>274</v>
      </c>
      <c r="C137" s="26" t="s">
        <v>105</v>
      </c>
      <c r="D137" s="27">
        <f>'SIMULARE PE PRODUS'!$F$182</f>
        <v>113</v>
      </c>
      <c r="E137" s="27">
        <f>'SIMULARE PE PRODUS'!$G$182</f>
        <v>0</v>
      </c>
      <c r="F137" s="27">
        <f t="shared" si="12"/>
        <v>113</v>
      </c>
      <c r="G137" s="41">
        <f>'SIMULARE PE PRODUS'!T$182</f>
        <v>1832.4324324324323</v>
      </c>
      <c r="H137" s="42">
        <f>IFERROR($G137/'SIMULARE PE PRODUS'!T$4,"")</f>
        <v>3.8596346937937599E-4</v>
      </c>
      <c r="I137" s="41">
        <f>'SIMULARE PE PRODUS'!$L$182</f>
        <v>731.91798389999997</v>
      </c>
      <c r="J137" s="28">
        <f t="shared" si="13"/>
        <v>0.39942426850000001</v>
      </c>
      <c r="K137" s="41">
        <f t="shared" si="14"/>
        <v>1100.5144485324322</v>
      </c>
    </row>
    <row r="138" spans="1:11" x14ac:dyDescent="0.2">
      <c r="A138" s="26">
        <v>134</v>
      </c>
      <c r="B138" s="26" t="s">
        <v>275</v>
      </c>
      <c r="C138" s="26" t="s">
        <v>106</v>
      </c>
      <c r="D138" s="27">
        <f>'SIMULARE PE PRODUS'!$F$203</f>
        <v>282</v>
      </c>
      <c r="E138" s="27">
        <f>'SIMULARE PE PRODUS'!$G$203</f>
        <v>733</v>
      </c>
      <c r="F138" s="27">
        <f t="shared" si="12"/>
        <v>1015</v>
      </c>
      <c r="G138" s="41">
        <f>'SIMULARE PE PRODUS'!T$203</f>
        <v>1828.8288288288286</v>
      </c>
      <c r="H138" s="42">
        <f>IFERROR($G138/'SIMULARE PE PRODUS'!T$4,"")</f>
        <v>3.8520444584077347E-4</v>
      </c>
      <c r="I138" s="41">
        <f>'SIMULARE PE PRODUS'!$L$203</f>
        <v>250.41885120000001</v>
      </c>
      <c r="J138" s="28">
        <f t="shared" si="13"/>
        <v>0.13692853440000002</v>
      </c>
      <c r="K138" s="41">
        <f t="shared" si="14"/>
        <v>1578.4099776288285</v>
      </c>
    </row>
    <row r="139" spans="1:11" x14ac:dyDescent="0.2">
      <c r="A139" s="26">
        <v>135</v>
      </c>
      <c r="B139" s="26" t="s">
        <v>276</v>
      </c>
      <c r="C139" s="26" t="s">
        <v>103</v>
      </c>
      <c r="D139" s="27">
        <f>'SIMULARE PE PRODUS'!$F$118</f>
        <v>158</v>
      </c>
      <c r="E139" s="27">
        <f>'SIMULARE PE PRODUS'!$G$118</f>
        <v>27</v>
      </c>
      <c r="F139" s="27">
        <f t="shared" si="12"/>
        <v>185</v>
      </c>
      <c r="G139" s="41">
        <f>'SIMULARE PE PRODUS'!T$118</f>
        <v>1724.9173553719011</v>
      </c>
      <c r="H139" s="42">
        <f>IFERROR($G139/'SIMULARE PE PRODUS'!T$4,"")</f>
        <v>3.6331767277677536E-4</v>
      </c>
      <c r="I139" s="41">
        <f>'SIMULARE PE PRODUS'!$L$118</f>
        <v>771.45</v>
      </c>
      <c r="J139" s="28">
        <f t="shared" si="13"/>
        <v>0.44723881848453628</v>
      </c>
      <c r="K139" s="41">
        <f t="shared" si="14"/>
        <v>953.46735537190102</v>
      </c>
    </row>
    <row r="140" spans="1:11" x14ac:dyDescent="0.2">
      <c r="A140" s="26">
        <v>136</v>
      </c>
      <c r="B140" s="26" t="s">
        <v>277</v>
      </c>
      <c r="C140" s="26" t="s">
        <v>104</v>
      </c>
      <c r="D140" s="27">
        <f>'SIMULARE PE PRODUS'!$F$135</f>
        <v>154</v>
      </c>
      <c r="E140" s="27">
        <f>'SIMULARE PE PRODUS'!$G$135</f>
        <v>4</v>
      </c>
      <c r="F140" s="27">
        <f t="shared" si="12"/>
        <v>158</v>
      </c>
      <c r="G140" s="41">
        <f>'SIMULARE PE PRODUS'!T$135</f>
        <v>1702.8264462809921</v>
      </c>
      <c r="H140" s="42">
        <f>IFERROR($G140/'SIMULARE PE PRODUS'!T$4,"")</f>
        <v>3.586646859797923E-4</v>
      </c>
      <c r="I140" s="41">
        <f>'SIMULARE PE PRODUS'!$L$135</f>
        <v>1010.80421</v>
      </c>
      <c r="J140" s="28">
        <f t="shared" si="13"/>
        <v>0.59360377694838906</v>
      </c>
      <c r="K140" s="41">
        <f t="shared" si="14"/>
        <v>692.02223628099205</v>
      </c>
    </row>
    <row r="141" spans="1:11" x14ac:dyDescent="0.2">
      <c r="A141" s="26">
        <v>137</v>
      </c>
      <c r="B141" s="26" t="s">
        <v>278</v>
      </c>
      <c r="C141" s="26" t="s">
        <v>104</v>
      </c>
      <c r="D141" s="27">
        <f>'SIMULARE PE PRODUS'!$F$136</f>
        <v>0</v>
      </c>
      <c r="E141" s="27">
        <f>'SIMULARE PE PRODUS'!$G$136</f>
        <v>157</v>
      </c>
      <c r="F141" s="27">
        <f t="shared" si="12"/>
        <v>157</v>
      </c>
      <c r="G141" s="41">
        <f>'SIMULARE PE PRODUS'!T$136</f>
        <v>1686.7768595041323</v>
      </c>
      <c r="H141" s="42">
        <f>IFERROR($G141/'SIMULARE PE PRODUS'!T$4,"")</f>
        <v>3.5528417705358911E-4</v>
      </c>
      <c r="I141" s="41">
        <f>'SIMULARE PE PRODUS'!$L$136</f>
        <v>248.37394379399998</v>
      </c>
      <c r="J141" s="28">
        <f t="shared" si="13"/>
        <v>0.14724765898615383</v>
      </c>
      <c r="K141" s="41">
        <f t="shared" si="14"/>
        <v>1438.4029157101322</v>
      </c>
    </row>
    <row r="142" spans="1:11" x14ac:dyDescent="0.2">
      <c r="A142" s="26">
        <v>138</v>
      </c>
      <c r="B142" s="26" t="s">
        <v>279</v>
      </c>
      <c r="C142" s="26" t="s">
        <v>104</v>
      </c>
      <c r="D142" s="27">
        <f>'SIMULARE PE PRODUS'!$F$137</f>
        <v>66</v>
      </c>
      <c r="E142" s="27">
        <f>'SIMULARE PE PRODUS'!$G$137</f>
        <v>40</v>
      </c>
      <c r="F142" s="27">
        <f t="shared" si="12"/>
        <v>106</v>
      </c>
      <c r="G142" s="41">
        <f>'SIMULARE PE PRODUS'!T$137</f>
        <v>1659.4594594594591</v>
      </c>
      <c r="H142" s="42">
        <f>IFERROR($G142/'SIMULARE PE PRODUS'!T$4,"")</f>
        <v>3.4953033952645553E-4</v>
      </c>
      <c r="I142" s="41">
        <f>'SIMULARE PE PRODUS'!$L$137</f>
        <v>998.52</v>
      </c>
      <c r="J142" s="28">
        <f t="shared" si="13"/>
        <v>0.60171400651465812</v>
      </c>
      <c r="K142" s="41">
        <f t="shared" si="14"/>
        <v>660.93945945945916</v>
      </c>
    </row>
    <row r="143" spans="1:11" x14ac:dyDescent="0.2">
      <c r="A143" s="26">
        <v>139</v>
      </c>
      <c r="B143" s="26" t="s">
        <v>280</v>
      </c>
      <c r="C143" s="26" t="s">
        <v>104</v>
      </c>
      <c r="D143" s="27">
        <f>'SIMULARE PE PRODUS'!$F$138</f>
        <v>143</v>
      </c>
      <c r="E143" s="27">
        <f>'SIMULARE PE PRODUS'!$G$138</f>
        <v>10</v>
      </c>
      <c r="F143" s="27">
        <f t="shared" si="12"/>
        <v>153</v>
      </c>
      <c r="G143" s="41">
        <f>'SIMULARE PE PRODUS'!T$138</f>
        <v>1650.8016528925621</v>
      </c>
      <c r="H143" s="42">
        <f>IFERROR($G143/'SIMULARE PE PRODUS'!T$4,"")</f>
        <v>3.4770675411035406E-4</v>
      </c>
      <c r="I143" s="41">
        <f>'SIMULARE PE PRODUS'!$L$138</f>
        <v>794.52800549999995</v>
      </c>
      <c r="J143" s="28">
        <f t="shared" si="13"/>
        <v>0.4812982856588584</v>
      </c>
      <c r="K143" s="41">
        <f t="shared" si="14"/>
        <v>856.27364739256211</v>
      </c>
    </row>
    <row r="144" spans="1:11" x14ac:dyDescent="0.2">
      <c r="A144" s="26">
        <v>140</v>
      </c>
      <c r="B144" s="26" t="s">
        <v>281</v>
      </c>
      <c r="C144" s="26" t="s">
        <v>104</v>
      </c>
      <c r="D144" s="27">
        <f>'SIMULARE PE PRODUS'!$F$139</f>
        <v>208</v>
      </c>
      <c r="E144" s="27">
        <f>'SIMULARE PE PRODUS'!$G$139</f>
        <v>11</v>
      </c>
      <c r="F144" s="27">
        <f t="shared" si="12"/>
        <v>219</v>
      </c>
      <c r="G144" s="41">
        <f>'SIMULARE PE PRODUS'!T$139</f>
        <v>1636.206611570248</v>
      </c>
      <c r="H144" s="42">
        <f>IFERROR($G144/'SIMULARE PE PRODUS'!T$4,"")</f>
        <v>3.446326146851868E-4</v>
      </c>
      <c r="I144" s="41">
        <f>'SIMULARE PE PRODUS'!$L$139</f>
        <v>721.59536400000002</v>
      </c>
      <c r="J144" s="28">
        <f t="shared" si="13"/>
        <v>0.44101726450517975</v>
      </c>
      <c r="K144" s="41">
        <f t="shared" si="14"/>
        <v>914.611247570248</v>
      </c>
    </row>
    <row r="145" spans="1:11" x14ac:dyDescent="0.2">
      <c r="A145" s="26">
        <v>141</v>
      </c>
      <c r="B145" s="26" t="s">
        <v>282</v>
      </c>
      <c r="C145" s="26" t="s">
        <v>112</v>
      </c>
      <c r="D145" s="27">
        <f>'SIMULARE PE PRODUS'!$F$236</f>
        <v>495</v>
      </c>
      <c r="E145" s="27">
        <f>'SIMULARE PE PRODUS'!$G$236</f>
        <v>410</v>
      </c>
      <c r="F145" s="27">
        <f t="shared" si="12"/>
        <v>905</v>
      </c>
      <c r="G145" s="41">
        <f>'SIMULARE PE PRODUS'!T$236</f>
        <v>1630.6306306306305</v>
      </c>
      <c r="H145" s="42">
        <f>IFERROR($G145/'SIMULARE PE PRODUS'!T$4,"")</f>
        <v>3.4345815121763552E-4</v>
      </c>
      <c r="I145" s="41">
        <f>'SIMULARE PE PRODUS'!$L$236</f>
        <v>687.8</v>
      </c>
      <c r="J145" s="28">
        <f t="shared" si="13"/>
        <v>0.42180000000000001</v>
      </c>
      <c r="K145" s="41">
        <f t="shared" si="14"/>
        <v>942.83063063063059</v>
      </c>
    </row>
    <row r="146" spans="1:11" x14ac:dyDescent="0.2">
      <c r="A146" s="26">
        <v>142</v>
      </c>
      <c r="B146" s="26" t="s">
        <v>283</v>
      </c>
      <c r="C146" s="26" t="s">
        <v>102</v>
      </c>
      <c r="D146" s="27">
        <f>'SIMULARE PE PRODUS'!$F$90</f>
        <v>184</v>
      </c>
      <c r="E146" s="27">
        <f>'SIMULARE PE PRODUS'!$G$90</f>
        <v>155</v>
      </c>
      <c r="F146" s="27">
        <f t="shared" si="12"/>
        <v>339</v>
      </c>
      <c r="G146" s="41">
        <f>'SIMULARE PE PRODUS'!T$90</f>
        <v>1585.4954954954951</v>
      </c>
      <c r="H146" s="42">
        <f>IFERROR($G146/'SIMULARE PE PRODUS'!T$4,"")</f>
        <v>3.3395138139663902E-4</v>
      </c>
      <c r="I146" s="41">
        <f>'SIMULARE PE PRODUS'!$L$90</f>
        <v>484.77</v>
      </c>
      <c r="J146" s="28">
        <f t="shared" si="13"/>
        <v>0.30575299732939376</v>
      </c>
      <c r="K146" s="41">
        <f t="shared" si="14"/>
        <v>1100.7254954954951</v>
      </c>
    </row>
    <row r="147" spans="1:11" x14ac:dyDescent="0.2">
      <c r="A147" s="26">
        <v>143</v>
      </c>
      <c r="B147" s="26" t="s">
        <v>284</v>
      </c>
      <c r="C147" s="26" t="s">
        <v>103</v>
      </c>
      <c r="D147" s="27">
        <f>'SIMULARE PE PRODUS'!$F$119</f>
        <v>57</v>
      </c>
      <c r="E147" s="27">
        <f>'SIMULARE PE PRODUS'!$G$119</f>
        <v>55</v>
      </c>
      <c r="F147" s="27">
        <f t="shared" si="12"/>
        <v>112</v>
      </c>
      <c r="G147" s="41">
        <f>'SIMULARE PE PRODUS'!T$119</f>
        <v>1570.9752066115702</v>
      </c>
      <c r="H147" s="42">
        <f>IFERROR($G147/'SIMULARE PE PRODUS'!T$4,"")</f>
        <v>3.3089298700520646E-4</v>
      </c>
      <c r="I147" s="41">
        <f>'SIMULARE PE PRODUS'!$L$119</f>
        <v>680.96</v>
      </c>
      <c r="J147" s="28">
        <f t="shared" si="13"/>
        <v>0.43346323807920545</v>
      </c>
      <c r="K147" s="41">
        <f t="shared" si="14"/>
        <v>890.01520661157019</v>
      </c>
    </row>
    <row r="148" spans="1:11" x14ac:dyDescent="0.2">
      <c r="A148" s="26">
        <v>144</v>
      </c>
      <c r="B148" s="26" t="s">
        <v>285</v>
      </c>
      <c r="C148" s="26" t="s">
        <v>104</v>
      </c>
      <c r="D148" s="27">
        <f>'SIMULARE PE PRODUS'!$F$140</f>
        <v>64</v>
      </c>
      <c r="E148" s="27">
        <f>'SIMULARE PE PRODUS'!$G$140</f>
        <v>43</v>
      </c>
      <c r="F148" s="27">
        <f t="shared" si="12"/>
        <v>107</v>
      </c>
      <c r="G148" s="41">
        <f>'SIMULARE PE PRODUS'!T$140</f>
        <v>1484.6846846846845</v>
      </c>
      <c r="H148" s="42">
        <f>IFERROR($G148/'SIMULARE PE PRODUS'!T$4,"")</f>
        <v>3.1271769790423387E-4</v>
      </c>
      <c r="I148" s="41">
        <f>'SIMULARE PE PRODUS'!$L$140</f>
        <v>571.59186</v>
      </c>
      <c r="J148" s="28">
        <f t="shared" si="13"/>
        <v>0.38499209016990293</v>
      </c>
      <c r="K148" s="41">
        <f t="shared" si="14"/>
        <v>913.0928246846845</v>
      </c>
    </row>
    <row r="149" spans="1:11" x14ac:dyDescent="0.2">
      <c r="A149" s="26">
        <v>145</v>
      </c>
      <c r="B149" s="26" t="s">
        <v>286</v>
      </c>
      <c r="C149" s="26" t="s">
        <v>104</v>
      </c>
      <c r="D149" s="27">
        <f>'SIMULARE PE PRODUS'!$F$141</f>
        <v>76</v>
      </c>
      <c r="E149" s="27">
        <f>'SIMULARE PE PRODUS'!$G$141</f>
        <v>30</v>
      </c>
      <c r="F149" s="27">
        <f t="shared" si="12"/>
        <v>106</v>
      </c>
      <c r="G149" s="41">
        <f>'SIMULARE PE PRODUS'!T$141</f>
        <v>1459.4594594594591</v>
      </c>
      <c r="H149" s="42">
        <f>IFERROR($G149/'SIMULARE PE PRODUS'!T$4,"")</f>
        <v>3.0740453313401626E-4</v>
      </c>
      <c r="I149" s="41">
        <f>'SIMULARE PE PRODUS'!$L$141</f>
        <v>550.88306000000011</v>
      </c>
      <c r="J149" s="28">
        <f t="shared" si="13"/>
        <v>0.37745691148148164</v>
      </c>
      <c r="K149" s="41">
        <f t="shared" si="14"/>
        <v>908.57639945945903</v>
      </c>
    </row>
    <row r="150" spans="1:11" x14ac:dyDescent="0.2">
      <c r="A150" s="26">
        <v>146</v>
      </c>
      <c r="B150" s="26" t="s">
        <v>287</v>
      </c>
      <c r="C150" s="26" t="s">
        <v>113</v>
      </c>
      <c r="D150" s="27">
        <f>'SIMULARE PE PRODUS'!$F$240</f>
        <v>0</v>
      </c>
      <c r="E150" s="27">
        <f>'SIMULARE PE PRODUS'!$G$240</f>
        <v>3437</v>
      </c>
      <c r="F150" s="27">
        <f t="shared" si="12"/>
        <v>3437</v>
      </c>
      <c r="G150" s="41">
        <f>'SIMULARE PE PRODUS'!T$240</f>
        <v>1420.2479338842975</v>
      </c>
      <c r="H150" s="42">
        <f>IFERROR($G150/'SIMULARE PE PRODUS'!T$4,"")</f>
        <v>2.9914544746035903E-4</v>
      </c>
      <c r="I150" s="41">
        <f>'SIMULARE PE PRODUS'!$L$240</f>
        <v>1718.5</v>
      </c>
      <c r="J150" s="28">
        <f t="shared" si="13"/>
        <v>1.21</v>
      </c>
      <c r="K150" s="41">
        <f t="shared" si="14"/>
        <v>-298.25206611570252</v>
      </c>
    </row>
    <row r="151" spans="1:11" x14ac:dyDescent="0.2">
      <c r="A151" s="26">
        <v>147</v>
      </c>
      <c r="B151" s="26" t="s">
        <v>288</v>
      </c>
      <c r="C151" s="26" t="s">
        <v>104</v>
      </c>
      <c r="D151" s="27">
        <f>'SIMULARE PE PRODUS'!$F$142</f>
        <v>101</v>
      </c>
      <c r="E151" s="27">
        <f>'SIMULARE PE PRODUS'!$G$142</f>
        <v>0</v>
      </c>
      <c r="F151" s="27">
        <f t="shared" si="12"/>
        <v>101</v>
      </c>
      <c r="G151" s="41">
        <f>'SIMULARE PE PRODUS'!T$142</f>
        <v>1419.0082644628098</v>
      </c>
      <c r="H151" s="42">
        <f>IFERROR($G151/'SIMULARE PE PRODUS'!T$4,"")</f>
        <v>2.9888433709015794E-4</v>
      </c>
      <c r="I151" s="41">
        <f>'SIMULARE PE PRODUS'!$L$142</f>
        <v>639.08203489999994</v>
      </c>
      <c r="J151" s="28">
        <f t="shared" si="13"/>
        <v>0.4503723134705882</v>
      </c>
      <c r="K151" s="41">
        <f t="shared" si="14"/>
        <v>779.92622956280991</v>
      </c>
    </row>
    <row r="152" spans="1:11" x14ac:dyDescent="0.2">
      <c r="A152" s="26">
        <v>148</v>
      </c>
      <c r="B152" s="26" t="s">
        <v>289</v>
      </c>
      <c r="C152" s="26" t="s">
        <v>105</v>
      </c>
      <c r="D152" s="27">
        <f>'SIMULARE PE PRODUS'!$F$183</f>
        <v>56</v>
      </c>
      <c r="E152" s="27">
        <f>'SIMULARE PE PRODUS'!$G$183</f>
        <v>48</v>
      </c>
      <c r="F152" s="27">
        <f t="shared" si="12"/>
        <v>104</v>
      </c>
      <c r="G152" s="41">
        <f>'SIMULARE PE PRODUS'!T$183</f>
        <v>1398.198198198198</v>
      </c>
      <c r="H152" s="42">
        <f>IFERROR($G152/'SIMULARE PE PRODUS'!T$4,"")</f>
        <v>2.9450113297777361E-4</v>
      </c>
      <c r="I152" s="41">
        <f>'SIMULARE PE PRODUS'!$L$183</f>
        <v>505.87367039999998</v>
      </c>
      <c r="J152" s="28">
        <f t="shared" si="13"/>
        <v>0.36180397818556703</v>
      </c>
      <c r="K152" s="41">
        <f t="shared" si="14"/>
        <v>892.32452779819801</v>
      </c>
    </row>
    <row r="153" spans="1:11" x14ac:dyDescent="0.2">
      <c r="A153" s="26">
        <v>149</v>
      </c>
      <c r="B153" s="26" t="s">
        <v>290</v>
      </c>
      <c r="C153" s="26" t="s">
        <v>104</v>
      </c>
      <c r="D153" s="27">
        <f>'SIMULARE PE PRODUS'!$F$143</f>
        <v>41</v>
      </c>
      <c r="E153" s="27">
        <f>'SIMULARE PE PRODUS'!$G$143</f>
        <v>45</v>
      </c>
      <c r="F153" s="27">
        <f t="shared" si="12"/>
        <v>86</v>
      </c>
      <c r="G153" s="41">
        <f>'SIMULARE PE PRODUS'!T$143</f>
        <v>1357.6576576576576</v>
      </c>
      <c r="H153" s="42">
        <f>IFERROR($G153/'SIMULARE PE PRODUS'!T$4,"")</f>
        <v>2.859621181684954E-4</v>
      </c>
      <c r="I153" s="41">
        <f>'SIMULARE PE PRODUS'!$L$143</f>
        <v>729.88457999999991</v>
      </c>
      <c r="J153" s="28">
        <f t="shared" si="13"/>
        <v>0.53760576230922352</v>
      </c>
      <c r="K153" s="41">
        <f t="shared" si="14"/>
        <v>627.77307765765772</v>
      </c>
    </row>
    <row r="154" spans="1:11" x14ac:dyDescent="0.2">
      <c r="A154" s="26">
        <v>150</v>
      </c>
      <c r="B154" s="26" t="s">
        <v>291</v>
      </c>
      <c r="C154" s="26" t="s">
        <v>105</v>
      </c>
      <c r="D154" s="27">
        <f>'SIMULARE PE PRODUS'!$F$184</f>
        <v>106</v>
      </c>
      <c r="E154" s="27">
        <f>'SIMULARE PE PRODUS'!$G$184</f>
        <v>0</v>
      </c>
      <c r="F154" s="27">
        <f t="shared" si="12"/>
        <v>106</v>
      </c>
      <c r="G154" s="41">
        <f>'SIMULARE PE PRODUS'!T$184</f>
        <v>1336.9369369369369</v>
      </c>
      <c r="H154" s="42">
        <f>IFERROR($G154/'SIMULARE PE PRODUS'!T$4,"")</f>
        <v>2.8159773282153102E-4</v>
      </c>
      <c r="I154" s="41">
        <f>'SIMULARE PE PRODUS'!$L$184</f>
        <v>476.83387149999999</v>
      </c>
      <c r="J154" s="28">
        <f t="shared" si="13"/>
        <v>0.35666145374999997</v>
      </c>
      <c r="K154" s="41">
        <f t="shared" si="14"/>
        <v>860.10306543693696</v>
      </c>
    </row>
    <row r="155" spans="1:11" x14ac:dyDescent="0.2">
      <c r="A155" s="26">
        <v>151</v>
      </c>
      <c r="B155" s="26" t="s">
        <v>292</v>
      </c>
      <c r="C155" s="26" t="s">
        <v>108</v>
      </c>
      <c r="D155" s="27">
        <f>'SIMULARE PE PRODUS'!$F$214</f>
        <v>35</v>
      </c>
      <c r="E155" s="27">
        <f>'SIMULARE PE PRODUS'!$G$214</f>
        <v>44</v>
      </c>
      <c r="F155" s="27">
        <f t="shared" si="12"/>
        <v>79</v>
      </c>
      <c r="G155" s="41">
        <f>'SIMULARE PE PRODUS'!T$214</f>
        <v>1328.8288288288286</v>
      </c>
      <c r="H155" s="42">
        <f>IFERROR($G155/'SIMULARE PE PRODUS'!T$4,"")</f>
        <v>2.7988992985967528E-4</v>
      </c>
      <c r="I155" s="41">
        <f>'SIMULARE PE PRODUS'!$L$214</f>
        <v>609.63116579999996</v>
      </c>
      <c r="J155" s="28">
        <f t="shared" si="13"/>
        <v>0.45877328409355939</v>
      </c>
      <c r="K155" s="41">
        <f t="shared" si="14"/>
        <v>719.19766302882863</v>
      </c>
    </row>
    <row r="156" spans="1:11" x14ac:dyDescent="0.2">
      <c r="A156" s="26">
        <v>152</v>
      </c>
      <c r="B156" s="26" t="s">
        <v>293</v>
      </c>
      <c r="C156" s="26" t="s">
        <v>95</v>
      </c>
      <c r="D156" s="27">
        <f>'SIMULARE PE PRODUS'!$F$18</f>
        <v>70</v>
      </c>
      <c r="E156" s="27">
        <f>'SIMULARE PE PRODUS'!$G$18</f>
        <v>0</v>
      </c>
      <c r="F156" s="27">
        <f t="shared" si="12"/>
        <v>70</v>
      </c>
      <c r="G156" s="41">
        <f>'SIMULARE PE PRODUS'!T$18</f>
        <v>1323.6936936936934</v>
      </c>
      <c r="H156" s="42">
        <f>IFERROR($G156/'SIMULARE PE PRODUS'!T$4,"")</f>
        <v>2.7880832131716669E-4</v>
      </c>
      <c r="I156" s="41">
        <f>'SIMULARE PE PRODUS'!$L$18</f>
        <v>546.05149899999992</v>
      </c>
      <c r="J156" s="28">
        <f t="shared" si="13"/>
        <v>0.41252103987613153</v>
      </c>
      <c r="K156" s="41">
        <f t="shared" si="14"/>
        <v>777.64219469369345</v>
      </c>
    </row>
    <row r="157" spans="1:11" x14ac:dyDescent="0.2">
      <c r="A157" s="26">
        <v>153</v>
      </c>
      <c r="B157" s="26" t="s">
        <v>294</v>
      </c>
      <c r="C157" s="26" t="s">
        <v>111</v>
      </c>
      <c r="D157" s="27">
        <f>'SIMULARE PE PRODUS'!$F$228</f>
        <v>8</v>
      </c>
      <c r="E157" s="27">
        <f>'SIMULARE PE PRODUS'!$G$228</f>
        <v>0</v>
      </c>
      <c r="F157" s="27">
        <f t="shared" si="12"/>
        <v>8</v>
      </c>
      <c r="G157" s="41">
        <f>'SIMULARE PE PRODUS'!T$228</f>
        <v>1322.3140495867769</v>
      </c>
      <c r="H157" s="42">
        <f>IFERROR($G157/'SIMULARE PE PRODUS'!T$4,"")</f>
        <v>2.7851772821447455E-4</v>
      </c>
      <c r="I157" s="41">
        <f>'SIMULARE PE PRODUS'!$L$228</f>
        <v>788.08</v>
      </c>
      <c r="J157" s="28">
        <f t="shared" si="13"/>
        <v>0.59598549999999995</v>
      </c>
      <c r="K157" s="41">
        <f t="shared" si="14"/>
        <v>534.23404958677691</v>
      </c>
    </row>
    <row r="158" spans="1:11" x14ac:dyDescent="0.2">
      <c r="A158" s="26">
        <v>154</v>
      </c>
      <c r="B158" s="26" t="s">
        <v>295</v>
      </c>
      <c r="C158" s="26" t="s">
        <v>103</v>
      </c>
      <c r="D158" s="27">
        <f>'SIMULARE PE PRODUS'!$F$120</f>
        <v>0</v>
      </c>
      <c r="E158" s="27">
        <f>'SIMULARE PE PRODUS'!$G$120</f>
        <v>123</v>
      </c>
      <c r="F158" s="27">
        <f t="shared" si="12"/>
        <v>123</v>
      </c>
      <c r="G158" s="41">
        <f>'SIMULARE PE PRODUS'!T$120</f>
        <v>1320.4710743801654</v>
      </c>
      <c r="H158" s="42">
        <f>IFERROR($G158/'SIMULARE PE PRODUS'!T$4,"")</f>
        <v>2.7812954413077565E-4</v>
      </c>
      <c r="I158" s="41">
        <f>'SIMULARE PE PRODUS'!$L$120</f>
        <v>829.14422999999999</v>
      </c>
      <c r="J158" s="28">
        <f t="shared" si="13"/>
        <v>0.62791548113933793</v>
      </c>
      <c r="K158" s="41">
        <f t="shared" si="14"/>
        <v>491.32684438016543</v>
      </c>
    </row>
    <row r="159" spans="1:11" x14ac:dyDescent="0.2">
      <c r="A159" s="26">
        <v>155</v>
      </c>
      <c r="B159" s="26" t="s">
        <v>296</v>
      </c>
      <c r="C159" s="26" t="s">
        <v>104</v>
      </c>
      <c r="D159" s="27">
        <f>'SIMULARE PE PRODUS'!$F$144</f>
        <v>125</v>
      </c>
      <c r="E159" s="27">
        <f>'SIMULARE PE PRODUS'!$G$144</f>
        <v>11</v>
      </c>
      <c r="F159" s="27">
        <f t="shared" si="12"/>
        <v>136</v>
      </c>
      <c r="G159" s="41">
        <f>'SIMULARE PE PRODUS'!T$144</f>
        <v>1244.3305785123969</v>
      </c>
      <c r="H159" s="42">
        <f>IFERROR($G159/'SIMULARE PE PRODUS'!T$4,"")</f>
        <v>2.6209214519302591E-4</v>
      </c>
      <c r="I159" s="41">
        <f>'SIMULARE PE PRODUS'!$L$144</f>
        <v>512.89435200000003</v>
      </c>
      <c r="J159" s="28">
        <f t="shared" si="13"/>
        <v>0.41218496182354342</v>
      </c>
      <c r="K159" s="41">
        <f t="shared" si="14"/>
        <v>731.43622651239684</v>
      </c>
    </row>
    <row r="160" spans="1:11" x14ac:dyDescent="0.2">
      <c r="A160" s="26">
        <v>156</v>
      </c>
      <c r="B160" s="26" t="s">
        <v>297</v>
      </c>
      <c r="C160" s="26" t="s">
        <v>103</v>
      </c>
      <c r="D160" s="27">
        <f>'SIMULARE PE PRODUS'!$F$121</f>
        <v>141</v>
      </c>
      <c r="E160" s="27">
        <f>'SIMULARE PE PRODUS'!$G$121</f>
        <v>0</v>
      </c>
      <c r="F160" s="27">
        <f t="shared" si="12"/>
        <v>141</v>
      </c>
      <c r="G160" s="41">
        <f>'SIMULARE PE PRODUS'!T$121</f>
        <v>1222.3884297520663</v>
      </c>
      <c r="H160" s="42">
        <f>IFERROR($G160/'SIMULARE PE PRODUS'!T$4,"")</f>
        <v>2.5747049164046698E-4</v>
      </c>
      <c r="I160" s="41">
        <f>'SIMULARE PE PRODUS'!$L$121</f>
        <v>520.43099999999993</v>
      </c>
      <c r="J160" s="28">
        <f t="shared" si="13"/>
        <v>0.42574928503336501</v>
      </c>
      <c r="K160" s="41">
        <f t="shared" si="14"/>
        <v>701.95742975206633</v>
      </c>
    </row>
    <row r="161" spans="1:11" x14ac:dyDescent="0.2">
      <c r="A161" s="26">
        <v>157</v>
      </c>
      <c r="B161" s="26" t="s">
        <v>298</v>
      </c>
      <c r="C161" s="26" t="s">
        <v>108</v>
      </c>
      <c r="D161" s="27">
        <f>'SIMULARE PE PRODUS'!$F$215</f>
        <v>35</v>
      </c>
      <c r="E161" s="27">
        <f>'SIMULARE PE PRODUS'!$G$215</f>
        <v>37</v>
      </c>
      <c r="F161" s="27">
        <f t="shared" si="12"/>
        <v>72</v>
      </c>
      <c r="G161" s="41">
        <f>'SIMULARE PE PRODUS'!T$215</f>
        <v>1202.7027027027025</v>
      </c>
      <c r="H161" s="42">
        <f>IFERROR($G161/'SIMULARE PE PRODUS'!T$4,"")</f>
        <v>2.5332410600858746E-4</v>
      </c>
      <c r="I161" s="41">
        <f>'SIMULARE PE PRODUS'!$L$215</f>
        <v>537.22563839999998</v>
      </c>
      <c r="J161" s="28">
        <f t="shared" si="13"/>
        <v>0.44668199147865173</v>
      </c>
      <c r="K161" s="41">
        <f t="shared" si="14"/>
        <v>665.4770643027025</v>
      </c>
    </row>
    <row r="162" spans="1:11" x14ac:dyDescent="0.2">
      <c r="A162" s="26">
        <v>158</v>
      </c>
      <c r="B162" s="26" t="s">
        <v>299</v>
      </c>
      <c r="C162" s="26" t="s">
        <v>103</v>
      </c>
      <c r="D162" s="27">
        <f>'SIMULARE PE PRODUS'!$F$122</f>
        <v>53</v>
      </c>
      <c r="E162" s="27">
        <f>'SIMULARE PE PRODUS'!$G$122</f>
        <v>83</v>
      </c>
      <c r="F162" s="27">
        <f t="shared" si="12"/>
        <v>136</v>
      </c>
      <c r="G162" s="41">
        <f>'SIMULARE PE PRODUS'!T$122</f>
        <v>1179.0413223140497</v>
      </c>
      <c r="H162" s="42">
        <f>IFERROR($G162/'SIMULARE PE PRODUS'!T$4,"")</f>
        <v>2.4834033236243624E-4</v>
      </c>
      <c r="I162" s="41">
        <f>'SIMULARE PE PRODUS'!$L$122</f>
        <v>503.88135999999997</v>
      </c>
      <c r="J162" s="28">
        <f t="shared" si="13"/>
        <v>0.42736530981887505</v>
      </c>
      <c r="K162" s="41">
        <f t="shared" si="14"/>
        <v>675.15996231404972</v>
      </c>
    </row>
    <row r="163" spans="1:11" x14ac:dyDescent="0.2">
      <c r="A163" s="26">
        <v>159</v>
      </c>
      <c r="B163" s="26" t="s">
        <v>300</v>
      </c>
      <c r="C163" s="26" t="s">
        <v>104</v>
      </c>
      <c r="D163" s="27">
        <f>'SIMULARE PE PRODUS'!$F$145</f>
        <v>53</v>
      </c>
      <c r="E163" s="27">
        <f>'SIMULARE PE PRODUS'!$G$145</f>
        <v>31</v>
      </c>
      <c r="F163" s="27">
        <f t="shared" si="12"/>
        <v>84</v>
      </c>
      <c r="G163" s="41">
        <f>'SIMULARE PE PRODUS'!T$145</f>
        <v>1135.6694214876034</v>
      </c>
      <c r="H163" s="42">
        <f>IFERROR($G163/'SIMULARE PE PRODUS'!T$4,"")</f>
        <v>2.3920495087700145E-4</v>
      </c>
      <c r="I163" s="41">
        <f>'SIMULARE PE PRODUS'!$L$145</f>
        <v>589.69031519999999</v>
      </c>
      <c r="J163" s="28">
        <f t="shared" si="13"/>
        <v>0.5192446886767188</v>
      </c>
      <c r="K163" s="41">
        <f t="shared" si="14"/>
        <v>545.97910628760337</v>
      </c>
    </row>
    <row r="164" spans="1:11" x14ac:dyDescent="0.2">
      <c r="A164" s="26">
        <v>160</v>
      </c>
      <c r="B164" s="26" t="s">
        <v>301</v>
      </c>
      <c r="C164" s="26" t="s">
        <v>104</v>
      </c>
      <c r="D164" s="27">
        <f>'SIMULARE PE PRODUS'!$F$146</f>
        <v>53</v>
      </c>
      <c r="E164" s="27">
        <f>'SIMULARE PE PRODUS'!$G$146</f>
        <v>0</v>
      </c>
      <c r="F164" s="27">
        <f t="shared" si="12"/>
        <v>53</v>
      </c>
      <c r="G164" s="41">
        <f>'SIMULARE PE PRODUS'!T$146</f>
        <v>1050.4504504504503</v>
      </c>
      <c r="H164" s="42">
        <f>IFERROR($G164/'SIMULARE PE PRODUS'!T$4,"")</f>
        <v>2.2125536150263147E-4</v>
      </c>
      <c r="I164" s="41">
        <f>'SIMULARE PE PRODUS'!$L$146</f>
        <v>617.87347</v>
      </c>
      <c r="J164" s="28">
        <f t="shared" si="13"/>
        <v>0.58819858636363642</v>
      </c>
      <c r="K164" s="41">
        <f t="shared" si="14"/>
        <v>432.57698045045026</v>
      </c>
    </row>
    <row r="165" spans="1:11" x14ac:dyDescent="0.2">
      <c r="A165" s="26">
        <v>161</v>
      </c>
      <c r="B165" s="26" t="s">
        <v>302</v>
      </c>
      <c r="C165" s="26" t="s">
        <v>103</v>
      </c>
      <c r="D165" s="27">
        <f>'SIMULARE PE PRODUS'!$F$123</f>
        <v>36</v>
      </c>
      <c r="E165" s="27">
        <f>'SIMULARE PE PRODUS'!$G$123</f>
        <v>81</v>
      </c>
      <c r="F165" s="27">
        <f t="shared" ref="F165:F196" si="15">$D165+$E165</f>
        <v>117</v>
      </c>
      <c r="G165" s="41">
        <f>'SIMULARE PE PRODUS'!T$123</f>
        <v>1014.3223140495868</v>
      </c>
      <c r="H165" s="42">
        <f>IFERROR($G165/'SIMULARE PE PRODUS'!T$4,"")</f>
        <v>2.1364572710591938E-4</v>
      </c>
      <c r="I165" s="41">
        <f>'SIMULARE PE PRODUS'!$L$123</f>
        <v>433.13400000000001</v>
      </c>
      <c r="J165" s="28">
        <f t="shared" ref="J165:J196" si="16">IFERROR($I165/$G165,"")</f>
        <v>0.42701811248808391</v>
      </c>
      <c r="K165" s="41">
        <f t="shared" ref="K165:K196" si="17">$G165-$I165</f>
        <v>581.18831404958678</v>
      </c>
    </row>
    <row r="166" spans="1:11" x14ac:dyDescent="0.2">
      <c r="A166" s="26">
        <v>162</v>
      </c>
      <c r="B166" s="26" t="s">
        <v>303</v>
      </c>
      <c r="C166" s="26" t="s">
        <v>103</v>
      </c>
      <c r="D166" s="27">
        <f>'SIMULARE PE PRODUS'!$F$124</f>
        <v>55</v>
      </c>
      <c r="E166" s="27">
        <f>'SIMULARE PE PRODUS'!$G$124</f>
        <v>19</v>
      </c>
      <c r="F166" s="27">
        <f t="shared" si="15"/>
        <v>74</v>
      </c>
      <c r="G166" s="41">
        <f>'SIMULARE PE PRODUS'!T$124</f>
        <v>1009.305785123967</v>
      </c>
      <c r="H166" s="42">
        <f>IFERROR($G166/'SIMULARE PE PRODUS'!T$4,"")</f>
        <v>2.1258910047450573E-4</v>
      </c>
      <c r="I166" s="41">
        <f>'SIMULARE PE PRODUS'!$L$124</f>
        <v>477.59599999999995</v>
      </c>
      <c r="J166" s="28">
        <f t="shared" si="16"/>
        <v>0.47319257160637368</v>
      </c>
      <c r="K166" s="41">
        <f t="shared" si="17"/>
        <v>531.70978512396709</v>
      </c>
    </row>
    <row r="167" spans="1:11" x14ac:dyDescent="0.2">
      <c r="A167" s="26">
        <v>163</v>
      </c>
      <c r="B167" s="26" t="s">
        <v>304</v>
      </c>
      <c r="C167" s="26" t="s">
        <v>104</v>
      </c>
      <c r="D167" s="27">
        <f>'SIMULARE PE PRODUS'!$F$147</f>
        <v>106</v>
      </c>
      <c r="E167" s="27">
        <f>'SIMULARE PE PRODUS'!$G$147</f>
        <v>1</v>
      </c>
      <c r="F167" s="27">
        <f t="shared" si="15"/>
        <v>107</v>
      </c>
      <c r="G167" s="41">
        <f>'SIMULARE PE PRODUS'!T$147</f>
        <v>972.66942148760336</v>
      </c>
      <c r="H167" s="42">
        <f>IFERROR($G167/'SIMULARE PE PRODUS'!T$4,"")</f>
        <v>2.0487241866716345E-4</v>
      </c>
      <c r="I167" s="41">
        <f>'SIMULARE PE PRODUS'!$L$147</f>
        <v>474.80661500000008</v>
      </c>
      <c r="J167" s="28">
        <f t="shared" si="16"/>
        <v>0.48814798174063034</v>
      </c>
      <c r="K167" s="41">
        <f t="shared" si="17"/>
        <v>497.86280648760328</v>
      </c>
    </row>
    <row r="168" spans="1:11" x14ac:dyDescent="0.2">
      <c r="A168" s="26">
        <v>164</v>
      </c>
      <c r="B168" s="26" t="s">
        <v>305</v>
      </c>
      <c r="C168" s="26" t="s">
        <v>113</v>
      </c>
      <c r="D168" s="27">
        <f>'SIMULARE PE PRODUS'!$F$241</f>
        <v>0</v>
      </c>
      <c r="E168" s="27">
        <f>'SIMULARE PE PRODUS'!$G$241</f>
        <v>2327</v>
      </c>
      <c r="F168" s="27">
        <f t="shared" si="15"/>
        <v>2327</v>
      </c>
      <c r="G168" s="41">
        <f>'SIMULARE PE PRODUS'!T$241</f>
        <v>961.57024793388427</v>
      </c>
      <c r="H168" s="42">
        <f>IFERROR($G168/'SIMULARE PE PRODUS'!T$4,"")</f>
        <v>2.025346104859632E-4</v>
      </c>
      <c r="I168" s="41">
        <f>'SIMULARE PE PRODUS'!$L$241</f>
        <v>1163.5</v>
      </c>
      <c r="J168" s="28">
        <f t="shared" si="16"/>
        <v>1.21</v>
      </c>
      <c r="K168" s="41">
        <f t="shared" si="17"/>
        <v>-201.92975206611573</v>
      </c>
    </row>
    <row r="169" spans="1:11" x14ac:dyDescent="0.2">
      <c r="A169" s="26">
        <v>165</v>
      </c>
      <c r="B169" s="26" t="s">
        <v>306</v>
      </c>
      <c r="C169" s="26" t="s">
        <v>105</v>
      </c>
      <c r="D169" s="27">
        <f>'SIMULARE PE PRODUS'!$F$185</f>
        <v>74</v>
      </c>
      <c r="E169" s="27">
        <f>'SIMULARE PE PRODUS'!$G$185</f>
        <v>0</v>
      </c>
      <c r="F169" s="27">
        <f t="shared" si="15"/>
        <v>74</v>
      </c>
      <c r="G169" s="41">
        <f>'SIMULARE PE PRODUS'!T$185</f>
        <v>933.33333333333326</v>
      </c>
      <c r="H169" s="42">
        <f>IFERROR($G169/'SIMULARE PE PRODUS'!T$4,"")</f>
        <v>1.9658709649804991E-4</v>
      </c>
      <c r="I169" s="41">
        <f>'SIMULARE PE PRODUS'!$L$185</f>
        <v>331.08712220000001</v>
      </c>
      <c r="J169" s="28">
        <f t="shared" si="16"/>
        <v>0.35473620235714287</v>
      </c>
      <c r="K169" s="41">
        <f t="shared" si="17"/>
        <v>602.24621113333319</v>
      </c>
    </row>
    <row r="170" spans="1:11" x14ac:dyDescent="0.2">
      <c r="A170" s="26">
        <v>166</v>
      </c>
      <c r="B170" s="26" t="s">
        <v>307</v>
      </c>
      <c r="C170" s="26" t="s">
        <v>104</v>
      </c>
      <c r="D170" s="27">
        <f>'SIMULARE PE PRODUS'!$F$148</f>
        <v>32</v>
      </c>
      <c r="E170" s="27">
        <f>'SIMULARE PE PRODUS'!$G$148</f>
        <v>26</v>
      </c>
      <c r="F170" s="27">
        <f t="shared" si="15"/>
        <v>58</v>
      </c>
      <c r="G170" s="41">
        <f>'SIMULARE PE PRODUS'!T$148</f>
        <v>911.71171171171159</v>
      </c>
      <c r="H170" s="42">
        <f>IFERROR($G170/'SIMULARE PE PRODUS'!T$4,"")</f>
        <v>1.9203295526643485E-4</v>
      </c>
      <c r="I170" s="41">
        <f>'SIMULARE PE PRODUS'!$L$148</f>
        <v>451.81999999999994</v>
      </c>
      <c r="J170" s="28">
        <f t="shared" si="16"/>
        <v>0.49557332015810279</v>
      </c>
      <c r="K170" s="41">
        <f t="shared" si="17"/>
        <v>459.89171171171165</v>
      </c>
    </row>
    <row r="171" spans="1:11" x14ac:dyDescent="0.2">
      <c r="A171" s="26">
        <v>167</v>
      </c>
      <c r="B171" s="26" t="s">
        <v>308</v>
      </c>
      <c r="C171" s="26" t="s">
        <v>111</v>
      </c>
      <c r="D171" s="27">
        <f>'SIMULARE PE PRODUS'!$F$229</f>
        <v>53</v>
      </c>
      <c r="E171" s="27">
        <f>'SIMULARE PE PRODUS'!$G$229</f>
        <v>0</v>
      </c>
      <c r="F171" s="27">
        <f t="shared" si="15"/>
        <v>53</v>
      </c>
      <c r="G171" s="41">
        <f>'SIMULARE PE PRODUS'!T$229</f>
        <v>876.03305785123973</v>
      </c>
      <c r="H171" s="42">
        <f>IFERROR($G171/'SIMULARE PE PRODUS'!T$4,"")</f>
        <v>1.8451799494208939E-4</v>
      </c>
      <c r="I171" s="41">
        <f>'SIMULARE PE PRODUS'!$L$229</f>
        <v>655.45100000000002</v>
      </c>
      <c r="J171" s="28">
        <f t="shared" si="16"/>
        <v>0.74820350000000002</v>
      </c>
      <c r="K171" s="41">
        <f t="shared" si="17"/>
        <v>220.58205785123971</v>
      </c>
    </row>
    <row r="172" spans="1:11" x14ac:dyDescent="0.2">
      <c r="A172" s="26">
        <v>168</v>
      </c>
      <c r="B172" s="26" t="s">
        <v>309</v>
      </c>
      <c r="C172" s="26" t="s">
        <v>104</v>
      </c>
      <c r="D172" s="27">
        <f>'SIMULARE PE PRODUS'!$F$149</f>
        <v>65</v>
      </c>
      <c r="E172" s="27">
        <f>'SIMULARE PE PRODUS'!$G$149</f>
        <v>7</v>
      </c>
      <c r="F172" s="27">
        <f t="shared" si="15"/>
        <v>72</v>
      </c>
      <c r="G172" s="41">
        <f>'SIMULARE PE PRODUS'!T$149</f>
        <v>838.24793388429759</v>
      </c>
      <c r="H172" s="42">
        <f>IFERROR($G172/'SIMULARE PE PRODUS'!T$4,"")</f>
        <v>1.7655935085836077E-4</v>
      </c>
      <c r="I172" s="41">
        <f>'SIMULARE PE PRODUS'!$L$149</f>
        <v>385.34416199999998</v>
      </c>
      <c r="J172" s="28">
        <f t="shared" si="16"/>
        <v>0.45970189298812947</v>
      </c>
      <c r="K172" s="41">
        <f t="shared" si="17"/>
        <v>452.90377188429761</v>
      </c>
    </row>
    <row r="173" spans="1:11" x14ac:dyDescent="0.2">
      <c r="A173" s="26">
        <v>169</v>
      </c>
      <c r="B173" s="26" t="s">
        <v>310</v>
      </c>
      <c r="C173" s="26" t="s">
        <v>103</v>
      </c>
      <c r="D173" s="27">
        <f>'SIMULARE PE PRODUS'!$F$125</f>
        <v>0</v>
      </c>
      <c r="E173" s="27">
        <f>'SIMULARE PE PRODUS'!$G$125</f>
        <v>91</v>
      </c>
      <c r="F173" s="27">
        <f t="shared" si="15"/>
        <v>91</v>
      </c>
      <c r="G173" s="41">
        <f>'SIMULARE PE PRODUS'!T$125</f>
        <v>788.91735537190095</v>
      </c>
      <c r="H173" s="42">
        <f>IFERROR($G173/'SIMULARE PE PRODUS'!T$4,"")</f>
        <v>1.6616889886015955E-4</v>
      </c>
      <c r="I173" s="41">
        <f>'SIMULARE PE PRODUS'!$L$125</f>
        <v>346.07299999999998</v>
      </c>
      <c r="J173" s="28">
        <f t="shared" si="16"/>
        <v>0.43866825548141075</v>
      </c>
      <c r="K173" s="41">
        <f t="shared" si="17"/>
        <v>442.84435537190097</v>
      </c>
    </row>
    <row r="174" spans="1:11" x14ac:dyDescent="0.2">
      <c r="A174" s="26">
        <v>170</v>
      </c>
      <c r="B174" s="26" t="s">
        <v>311</v>
      </c>
      <c r="C174" s="26" t="s">
        <v>104</v>
      </c>
      <c r="D174" s="27">
        <f>'SIMULARE PE PRODUS'!$F$150</f>
        <v>24</v>
      </c>
      <c r="E174" s="27">
        <f>'SIMULARE PE PRODUS'!$G$150</f>
        <v>21</v>
      </c>
      <c r="F174" s="27">
        <f t="shared" si="15"/>
        <v>45</v>
      </c>
      <c r="G174" s="41">
        <f>'SIMULARE PE PRODUS'!T$150</f>
        <v>708.10810810810801</v>
      </c>
      <c r="H174" s="42">
        <f>IFERROR($G174/'SIMULARE PE PRODUS'!T$4,"")</f>
        <v>1.4914812533539309E-4</v>
      </c>
      <c r="I174" s="41">
        <f>'SIMULARE PE PRODUS'!$L$150</f>
        <v>368.05409999999995</v>
      </c>
      <c r="J174" s="28">
        <f t="shared" si="16"/>
        <v>0.51977105725190842</v>
      </c>
      <c r="K174" s="41">
        <f t="shared" si="17"/>
        <v>340.05400810810806</v>
      </c>
    </row>
    <row r="175" spans="1:11" x14ac:dyDescent="0.2">
      <c r="A175" s="26">
        <v>171</v>
      </c>
      <c r="B175" s="26" t="s">
        <v>312</v>
      </c>
      <c r="C175" s="26" t="s">
        <v>104</v>
      </c>
      <c r="D175" s="27">
        <f>'SIMULARE PE PRODUS'!$F$151</f>
        <v>34</v>
      </c>
      <c r="E175" s="27">
        <f>'SIMULARE PE PRODUS'!$G$151</f>
        <v>14</v>
      </c>
      <c r="F175" s="27">
        <f t="shared" si="15"/>
        <v>48</v>
      </c>
      <c r="G175" s="41">
        <f>'SIMULARE PE PRODUS'!T$151</f>
        <v>606.21487603305786</v>
      </c>
      <c r="H175" s="42">
        <f>IFERROR($G175/'SIMULARE PE PRODUS'!T$4,"")</f>
        <v>1.2768645249992586E-4</v>
      </c>
      <c r="I175" s="41">
        <f>'SIMULARE PE PRODUS'!$L$151</f>
        <v>270.351516</v>
      </c>
      <c r="J175" s="28">
        <f t="shared" si="16"/>
        <v>0.44596648265895955</v>
      </c>
      <c r="K175" s="41">
        <f t="shared" si="17"/>
        <v>335.86336003305786</v>
      </c>
    </row>
    <row r="176" spans="1:11" x14ac:dyDescent="0.2">
      <c r="A176" s="26">
        <v>172</v>
      </c>
      <c r="B176" s="26" t="s">
        <v>313</v>
      </c>
      <c r="C176" s="26" t="s">
        <v>104</v>
      </c>
      <c r="D176" s="27">
        <f>'SIMULARE PE PRODUS'!$F$152</f>
        <v>38</v>
      </c>
      <c r="E176" s="27">
        <f>'SIMULARE PE PRODUS'!$G$152</f>
        <v>7</v>
      </c>
      <c r="F176" s="27">
        <f t="shared" si="15"/>
        <v>45</v>
      </c>
      <c r="G176" s="41">
        <f>'SIMULARE PE PRODUS'!T$152</f>
        <v>563.2644628099174</v>
      </c>
      <c r="H176" s="42">
        <f>IFERROR($G176/'SIMULARE PE PRODUS'!T$4,"")</f>
        <v>1.1863984854035946E-4</v>
      </c>
      <c r="I176" s="41">
        <f>'SIMULARE PE PRODUS'!$L$152</f>
        <v>253.45454624999999</v>
      </c>
      <c r="J176" s="28">
        <f t="shared" si="16"/>
        <v>0.44997432464602738</v>
      </c>
      <c r="K176" s="41">
        <f t="shared" si="17"/>
        <v>309.80991655991738</v>
      </c>
    </row>
    <row r="177" spans="1:11" x14ac:dyDescent="0.2">
      <c r="A177" s="26">
        <v>173</v>
      </c>
      <c r="B177" s="26" t="s">
        <v>314</v>
      </c>
      <c r="C177" s="26" t="s">
        <v>104</v>
      </c>
      <c r="D177" s="27">
        <f>'SIMULARE PE PRODUS'!$F$153</f>
        <v>20</v>
      </c>
      <c r="E177" s="27">
        <f>'SIMULARE PE PRODUS'!$G$153</f>
        <v>14</v>
      </c>
      <c r="F177" s="27">
        <f t="shared" si="15"/>
        <v>34</v>
      </c>
      <c r="G177" s="41">
        <f>'SIMULARE PE PRODUS'!T$153</f>
        <v>533.33333333333326</v>
      </c>
      <c r="H177" s="42">
        <f>IFERROR($G177/'SIMULARE PE PRODUS'!T$4,"")</f>
        <v>1.1233548371317138E-4</v>
      </c>
      <c r="I177" s="41">
        <f>'SIMULARE PE PRODUS'!$L$153</f>
        <v>323.17068</v>
      </c>
      <c r="J177" s="28">
        <f t="shared" si="16"/>
        <v>0.60594502500000014</v>
      </c>
      <c r="K177" s="41">
        <f t="shared" si="17"/>
        <v>210.16265333333325</v>
      </c>
    </row>
    <row r="178" spans="1:11" x14ac:dyDescent="0.2">
      <c r="A178" s="26">
        <v>174</v>
      </c>
      <c r="B178" s="26" t="s">
        <v>315</v>
      </c>
      <c r="C178" s="26" t="s">
        <v>104</v>
      </c>
      <c r="D178" s="27">
        <f>'SIMULARE PE PRODUS'!$F$154</f>
        <v>44</v>
      </c>
      <c r="E178" s="27">
        <f>'SIMULARE PE PRODUS'!$G$154</f>
        <v>4</v>
      </c>
      <c r="F178" s="27">
        <f t="shared" si="15"/>
        <v>48</v>
      </c>
      <c r="G178" s="41">
        <f>'SIMULARE PE PRODUS'!T$154</f>
        <v>521.91735537190084</v>
      </c>
      <c r="H178" s="42">
        <f>IFERROR($G178/'SIMULARE PE PRODUS'!T$4,"")</f>
        <v>1.099309473262531E-4</v>
      </c>
      <c r="I178" s="41">
        <f>'SIMULARE PE PRODUS'!$L$154</f>
        <v>215.597184</v>
      </c>
      <c r="J178" s="28">
        <f t="shared" si="16"/>
        <v>0.41308682645046868</v>
      </c>
      <c r="K178" s="41">
        <f t="shared" si="17"/>
        <v>306.32017137190087</v>
      </c>
    </row>
    <row r="179" spans="1:11" x14ac:dyDescent="0.2">
      <c r="A179" s="26">
        <v>175</v>
      </c>
      <c r="B179" s="26" t="s">
        <v>316</v>
      </c>
      <c r="C179" s="26" t="s">
        <v>104</v>
      </c>
      <c r="D179" s="27">
        <f>'SIMULARE PE PRODUS'!$F$155</f>
        <v>11</v>
      </c>
      <c r="E179" s="27">
        <f>'SIMULARE PE PRODUS'!$G$155</f>
        <v>18</v>
      </c>
      <c r="F179" s="27">
        <f t="shared" si="15"/>
        <v>29</v>
      </c>
      <c r="G179" s="41">
        <f>'SIMULARE PE PRODUS'!T$155</f>
        <v>398.10743801652893</v>
      </c>
      <c r="H179" s="42">
        <f>IFERROR($G179/'SIMULARE PE PRODUS'!T$4,"")</f>
        <v>8.3852984286371575E-5</v>
      </c>
      <c r="I179" s="41">
        <f>'SIMULARE PE PRODUS'!$L$155</f>
        <v>181.12910625000001</v>
      </c>
      <c r="J179" s="28">
        <f t="shared" si="16"/>
        <v>0.45497543867160739</v>
      </c>
      <c r="K179" s="41">
        <f t="shared" si="17"/>
        <v>216.97833176652892</v>
      </c>
    </row>
    <row r="180" spans="1:11" x14ac:dyDescent="0.2">
      <c r="A180" s="26">
        <v>176</v>
      </c>
      <c r="B180" s="26" t="s">
        <v>317</v>
      </c>
      <c r="C180" s="26" t="s">
        <v>106</v>
      </c>
      <c r="D180" s="27">
        <f>'SIMULARE PE PRODUS'!$F$204</f>
        <v>30</v>
      </c>
      <c r="E180" s="27">
        <f>'SIMULARE PE PRODUS'!$G$204</f>
        <v>30</v>
      </c>
      <c r="F180" s="27">
        <f t="shared" si="15"/>
        <v>60</v>
      </c>
      <c r="G180" s="41">
        <f>'SIMULARE PE PRODUS'!T$204</f>
        <v>378.37837837837833</v>
      </c>
      <c r="H180" s="42">
        <f>IFERROR($G180/'SIMULARE PE PRODUS'!T$4,"")</f>
        <v>7.9697471553263484E-5</v>
      </c>
      <c r="I180" s="41">
        <f>'SIMULARE PE PRODUS'!$L$204</f>
        <v>171.0829416</v>
      </c>
      <c r="J180" s="28">
        <f t="shared" si="16"/>
        <v>0.4521477742285715</v>
      </c>
      <c r="K180" s="41">
        <f t="shared" si="17"/>
        <v>207.29543677837833</v>
      </c>
    </row>
    <row r="181" spans="1:11" x14ac:dyDescent="0.2">
      <c r="A181" s="26">
        <v>177</v>
      </c>
      <c r="B181" s="26" t="s">
        <v>318</v>
      </c>
      <c r="C181" s="26" t="s">
        <v>110</v>
      </c>
      <c r="D181" s="27">
        <f>'SIMULARE PE PRODUS'!$F$225</f>
        <v>2</v>
      </c>
      <c r="E181" s="27">
        <f>'SIMULARE PE PRODUS'!$G$225</f>
        <v>0</v>
      </c>
      <c r="F181" s="27">
        <f t="shared" si="15"/>
        <v>2</v>
      </c>
      <c r="G181" s="41">
        <f>'SIMULARE PE PRODUS'!T$225</f>
        <v>302.70270270270265</v>
      </c>
      <c r="H181" s="42">
        <f>IFERROR($G181/'SIMULARE PE PRODUS'!T$4,"")</f>
        <v>6.3757977242610787E-5</v>
      </c>
      <c r="I181" s="41">
        <f>'SIMULARE PE PRODUS'!$L$225</f>
        <v>206.84280000000001</v>
      </c>
      <c r="J181" s="28">
        <f t="shared" si="16"/>
        <v>0.6833199642857144</v>
      </c>
      <c r="K181" s="41">
        <f t="shared" si="17"/>
        <v>95.859902702702641</v>
      </c>
    </row>
    <row r="182" spans="1:11" x14ac:dyDescent="0.2">
      <c r="A182" s="26">
        <v>178</v>
      </c>
      <c r="B182" s="26" t="s">
        <v>319</v>
      </c>
      <c r="C182" s="26" t="s">
        <v>104</v>
      </c>
      <c r="D182" s="27">
        <f>'SIMULARE PE PRODUS'!$F$156</f>
        <v>20</v>
      </c>
      <c r="E182" s="27">
        <f>'SIMULARE PE PRODUS'!$G$156</f>
        <v>5</v>
      </c>
      <c r="F182" s="27">
        <f t="shared" si="15"/>
        <v>25</v>
      </c>
      <c r="G182" s="41">
        <f>'SIMULARE PE PRODUS'!T$156</f>
        <v>293.18181818181824</v>
      </c>
      <c r="H182" s="42">
        <f>IFERROR($G182/'SIMULARE PE PRODUS'!T$4,"")</f>
        <v>6.1752602552553033E-5</v>
      </c>
      <c r="I182" s="41">
        <f>'SIMULARE PE PRODUS'!$L$156</f>
        <v>140.26241250000001</v>
      </c>
      <c r="J182" s="28">
        <f t="shared" si="16"/>
        <v>0.47841443023255809</v>
      </c>
      <c r="K182" s="41">
        <f t="shared" si="17"/>
        <v>152.91940568181823</v>
      </c>
    </row>
    <row r="183" spans="1:11" x14ac:dyDescent="0.2">
      <c r="A183" s="26">
        <v>179</v>
      </c>
      <c r="B183" s="26" t="s">
        <v>320</v>
      </c>
      <c r="C183" s="26" t="s">
        <v>105</v>
      </c>
      <c r="D183" s="27">
        <f>'SIMULARE PE PRODUS'!$F$186</f>
        <v>71</v>
      </c>
      <c r="E183" s="27">
        <f>'SIMULARE PE PRODUS'!$G$186</f>
        <v>0</v>
      </c>
      <c r="F183" s="27">
        <f t="shared" si="15"/>
        <v>71</v>
      </c>
      <c r="G183" s="41">
        <f>'SIMULARE PE PRODUS'!T$186</f>
        <v>255.85585585585582</v>
      </c>
      <c r="H183" s="42">
        <f>IFERROR($G183/'SIMULARE PE PRODUS'!T$4,"")</f>
        <v>5.3890671240778165E-5</v>
      </c>
      <c r="I183" s="41">
        <f>'SIMULARE PE PRODUS'!$L$186</f>
        <v>136.751609</v>
      </c>
      <c r="J183" s="28">
        <f t="shared" si="16"/>
        <v>0.53448692250000007</v>
      </c>
      <c r="K183" s="41">
        <f t="shared" si="17"/>
        <v>119.10424685585582</v>
      </c>
    </row>
    <row r="184" spans="1:11" x14ac:dyDescent="0.2">
      <c r="A184" s="26">
        <v>180</v>
      </c>
      <c r="B184" s="26" t="s">
        <v>321</v>
      </c>
      <c r="C184" s="26" t="s">
        <v>104</v>
      </c>
      <c r="D184" s="27">
        <f>'SIMULARE PE PRODUS'!$F$157</f>
        <v>6</v>
      </c>
      <c r="E184" s="27">
        <f>'SIMULARE PE PRODUS'!$G$157</f>
        <v>9</v>
      </c>
      <c r="F184" s="27">
        <f t="shared" si="15"/>
        <v>15</v>
      </c>
      <c r="G184" s="41">
        <f>'SIMULARE PE PRODUS'!T$157</f>
        <v>205.6611570247934</v>
      </c>
      <c r="H184" s="42">
        <f>IFERROR($G184/'SIMULARE PE PRODUS'!T$4,"")</f>
        <v>4.3318210416357496E-5</v>
      </c>
      <c r="I184" s="41">
        <f>'SIMULARE PE PRODUS'!$L$157</f>
        <v>103.25692875000001</v>
      </c>
      <c r="J184" s="28">
        <f t="shared" si="16"/>
        <v>0.50207307127787826</v>
      </c>
      <c r="K184" s="41">
        <f t="shared" si="17"/>
        <v>102.40422827479338</v>
      </c>
    </row>
    <row r="185" spans="1:11" x14ac:dyDescent="0.2">
      <c r="A185" s="26">
        <v>181</v>
      </c>
      <c r="B185" s="26" t="s">
        <v>322</v>
      </c>
      <c r="C185" s="26" t="s">
        <v>104</v>
      </c>
      <c r="D185" s="27">
        <f>'SIMULARE PE PRODUS'!$F$158</f>
        <v>12</v>
      </c>
      <c r="E185" s="27">
        <f>'SIMULARE PE PRODUS'!$G$158</f>
        <v>5</v>
      </c>
      <c r="F185" s="27">
        <f t="shared" si="15"/>
        <v>17</v>
      </c>
      <c r="G185" s="41">
        <f>'SIMULARE PE PRODUS'!T$158</f>
        <v>200.68595041322314</v>
      </c>
      <c r="H185" s="42">
        <f>IFERROR($G185/'SIMULARE PE PRODUS'!T$4,"")</f>
        <v>4.2270287463950532E-5</v>
      </c>
      <c r="I185" s="41">
        <f>'SIMULARE PE PRODUS'!$L$158</f>
        <v>106.2238285</v>
      </c>
      <c r="J185" s="28">
        <f t="shared" si="16"/>
        <v>0.52930376182926331</v>
      </c>
      <c r="K185" s="41">
        <f t="shared" si="17"/>
        <v>94.462121913223143</v>
      </c>
    </row>
    <row r="186" spans="1:11" x14ac:dyDescent="0.2">
      <c r="A186" s="26">
        <v>182</v>
      </c>
      <c r="B186" s="26" t="s">
        <v>323</v>
      </c>
      <c r="C186" s="26" t="s">
        <v>112</v>
      </c>
      <c r="D186" s="27">
        <f>'SIMULARE PE PRODUS'!$F$237</f>
        <v>83</v>
      </c>
      <c r="E186" s="27">
        <f>'SIMULARE PE PRODUS'!$G$237</f>
        <v>0</v>
      </c>
      <c r="F186" s="27">
        <f t="shared" si="15"/>
        <v>83</v>
      </c>
      <c r="G186" s="41">
        <f>'SIMULARE PE PRODUS'!T$237</f>
        <v>149.54954954954954</v>
      </c>
      <c r="H186" s="42">
        <f>IFERROR($G186/'SIMULARE PE PRODUS'!T$4,"")</f>
        <v>3.1499476852004136E-5</v>
      </c>
      <c r="I186" s="41">
        <f>'SIMULARE PE PRODUS'!$L$237</f>
        <v>137.614</v>
      </c>
      <c r="J186" s="28">
        <f t="shared" si="16"/>
        <v>0.92019000000000006</v>
      </c>
      <c r="K186" s="41">
        <f t="shared" si="17"/>
        <v>11.935549549549535</v>
      </c>
    </row>
    <row r="187" spans="1:11" x14ac:dyDescent="0.2">
      <c r="A187" s="26">
        <v>183</v>
      </c>
      <c r="B187" s="26" t="s">
        <v>324</v>
      </c>
      <c r="C187" s="26" t="s">
        <v>113</v>
      </c>
      <c r="D187" s="27">
        <f>'SIMULARE PE PRODUS'!$F$242</f>
        <v>0</v>
      </c>
      <c r="E187" s="27">
        <f>'SIMULARE PE PRODUS'!$G$242</f>
        <v>360</v>
      </c>
      <c r="F187" s="27">
        <f t="shared" si="15"/>
        <v>360</v>
      </c>
      <c r="G187" s="41">
        <f>'SIMULARE PE PRODUS'!T$242</f>
        <v>148.7603305785124</v>
      </c>
      <c r="H187" s="42">
        <f>IFERROR($G187/'SIMULARE PE PRODUS'!T$4,"")</f>
        <v>3.1333244424128384E-5</v>
      </c>
      <c r="I187" s="41">
        <f>'SIMULARE PE PRODUS'!$L$242</f>
        <v>180</v>
      </c>
      <c r="J187" s="28">
        <f t="shared" si="16"/>
        <v>1.21</v>
      </c>
      <c r="K187" s="41">
        <f t="shared" si="17"/>
        <v>-31.239669421487605</v>
      </c>
    </row>
    <row r="188" spans="1:11" x14ac:dyDescent="0.2">
      <c r="A188" s="26">
        <v>184</v>
      </c>
      <c r="B188" s="26" t="s">
        <v>325</v>
      </c>
      <c r="C188" s="26" t="s">
        <v>105</v>
      </c>
      <c r="D188" s="27">
        <f>'SIMULARE PE PRODUS'!$F$187</f>
        <v>39</v>
      </c>
      <c r="E188" s="27">
        <f>'SIMULARE PE PRODUS'!$G$187</f>
        <v>0</v>
      </c>
      <c r="F188" s="27">
        <f t="shared" si="15"/>
        <v>39</v>
      </c>
      <c r="G188" s="41">
        <f>'SIMULARE PE PRODUS'!T$187</f>
        <v>140.54054054054052</v>
      </c>
      <c r="H188" s="42">
        <f>IFERROR($G188/'SIMULARE PE PRODUS'!T$4,"")</f>
        <v>2.9601918005497862E-5</v>
      </c>
      <c r="I188" s="41">
        <f>'SIMULARE PE PRODUS'!$L$187</f>
        <v>53.456730600000007</v>
      </c>
      <c r="J188" s="28">
        <f t="shared" si="16"/>
        <v>0.38036519850000011</v>
      </c>
      <c r="K188" s="41">
        <f t="shared" si="17"/>
        <v>87.083809940540505</v>
      </c>
    </row>
    <row r="189" spans="1:11" x14ac:dyDescent="0.2">
      <c r="A189" s="26">
        <v>185</v>
      </c>
      <c r="B189" s="26" t="s">
        <v>326</v>
      </c>
      <c r="C189" s="26" t="s">
        <v>111</v>
      </c>
      <c r="D189" s="27">
        <f>'SIMULARE PE PRODUS'!$F$230</f>
        <v>1</v>
      </c>
      <c r="E189" s="27">
        <f>'SIMULARE PE PRODUS'!$G$230</f>
        <v>0</v>
      </c>
      <c r="F189" s="27">
        <f t="shared" si="15"/>
        <v>1</v>
      </c>
      <c r="G189" s="41">
        <f>'SIMULARE PE PRODUS'!T$230</f>
        <v>123.14049586776859</v>
      </c>
      <c r="H189" s="42">
        <f>IFERROR($G189/'SIMULARE PE PRODUS'!T$4,"")</f>
        <v>2.5936963439972939E-5</v>
      </c>
      <c r="I189" s="41">
        <f>'SIMULARE PE PRODUS'!$L$230</f>
        <v>92.31</v>
      </c>
      <c r="J189" s="28">
        <f t="shared" si="16"/>
        <v>0.74963154362416107</v>
      </c>
      <c r="K189" s="41">
        <f t="shared" si="17"/>
        <v>30.83049586776859</v>
      </c>
    </row>
    <row r="190" spans="1:11" x14ac:dyDescent="0.2">
      <c r="A190" s="26">
        <v>186</v>
      </c>
      <c r="B190" s="26" t="s">
        <v>327</v>
      </c>
      <c r="C190" s="26" t="s">
        <v>104</v>
      </c>
      <c r="D190" s="27">
        <f>'SIMULARE PE PRODUS'!$F$159</f>
        <v>25</v>
      </c>
      <c r="E190" s="27">
        <f>'SIMULARE PE PRODUS'!$G$159</f>
        <v>0</v>
      </c>
      <c r="F190" s="27">
        <f t="shared" si="15"/>
        <v>25</v>
      </c>
      <c r="G190" s="41">
        <f>'SIMULARE PE PRODUS'!T$159</f>
        <v>78.828828828828819</v>
      </c>
      <c r="H190" s="42">
        <f>IFERROR($G190/'SIMULARE PE PRODUS'!T$4,"")</f>
        <v>1.6603639906929891E-5</v>
      </c>
      <c r="I190" s="41">
        <f>'SIMULARE PE PRODUS'!$L$159</f>
        <v>16.270792499999999</v>
      </c>
      <c r="J190" s="28">
        <f t="shared" si="16"/>
        <v>0.20640662485714287</v>
      </c>
      <c r="K190" s="41">
        <f t="shared" si="17"/>
        <v>62.55803632882882</v>
      </c>
    </row>
    <row r="191" spans="1:11" x14ac:dyDescent="0.2">
      <c r="A191" s="26">
        <v>187</v>
      </c>
      <c r="B191" s="26" t="s">
        <v>328</v>
      </c>
      <c r="C191" s="26" t="s">
        <v>105</v>
      </c>
      <c r="D191" s="27">
        <f>'SIMULARE PE PRODUS'!$F$188</f>
        <v>15</v>
      </c>
      <c r="E191" s="27">
        <f>'SIMULARE PE PRODUS'!$G$188</f>
        <v>0</v>
      </c>
      <c r="F191" s="27">
        <f t="shared" si="15"/>
        <v>15</v>
      </c>
      <c r="G191" s="41">
        <f>'SIMULARE PE PRODUS'!T$188</f>
        <v>40.54054054054054</v>
      </c>
      <c r="H191" s="42">
        <f>IFERROR($G191/'SIMULARE PE PRODUS'!T$4,"")</f>
        <v>8.5390148092782314E-6</v>
      </c>
      <c r="I191" s="41">
        <f>'SIMULARE PE PRODUS'!$L$188</f>
        <v>4.2</v>
      </c>
      <c r="J191" s="28">
        <f t="shared" si="16"/>
        <v>0.10360000000000001</v>
      </c>
      <c r="K191" s="41">
        <f t="shared" si="17"/>
        <v>36.340540540540538</v>
      </c>
    </row>
    <row r="192" spans="1:11" x14ac:dyDescent="0.2">
      <c r="A192" s="26">
        <v>188</v>
      </c>
      <c r="B192" s="26" t="s">
        <v>329</v>
      </c>
      <c r="C192" s="26" t="s">
        <v>105</v>
      </c>
      <c r="D192" s="27">
        <f>'SIMULARE PE PRODUS'!$F$189</f>
        <v>3</v>
      </c>
      <c r="E192" s="27">
        <f>'SIMULARE PE PRODUS'!$G$189</f>
        <v>0</v>
      </c>
      <c r="F192" s="27">
        <f t="shared" si="15"/>
        <v>3</v>
      </c>
      <c r="G192" s="41">
        <f>'SIMULARE PE PRODUS'!T$189</f>
        <v>37.837837837837839</v>
      </c>
      <c r="H192" s="42">
        <f>IFERROR($G192/'SIMULARE PE PRODUS'!T$4,"")</f>
        <v>7.9697471553263484E-6</v>
      </c>
      <c r="I192" s="41">
        <f>'SIMULARE PE PRODUS'!$L$189</f>
        <v>13.972800000000001</v>
      </c>
      <c r="J192" s="28">
        <f t="shared" si="16"/>
        <v>0.36928114285714286</v>
      </c>
      <c r="K192" s="41">
        <f t="shared" si="17"/>
        <v>23.865037837837839</v>
      </c>
    </row>
    <row r="193" spans="1:11" x14ac:dyDescent="0.2">
      <c r="A193" s="26">
        <v>189</v>
      </c>
      <c r="B193" s="26" t="s">
        <v>330</v>
      </c>
      <c r="C193" s="26" t="s">
        <v>105</v>
      </c>
      <c r="D193" s="27">
        <f>'SIMULARE PE PRODUS'!$F$190</f>
        <v>13</v>
      </c>
      <c r="E193" s="27">
        <f>'SIMULARE PE PRODUS'!$G$190</f>
        <v>0</v>
      </c>
      <c r="F193" s="27">
        <f t="shared" si="15"/>
        <v>13</v>
      </c>
      <c r="G193" s="41">
        <f>'SIMULARE PE PRODUS'!T$190</f>
        <v>35.135135135135137</v>
      </c>
      <c r="H193" s="42">
        <f>IFERROR($G193/'SIMULARE PE PRODUS'!T$4,"")</f>
        <v>7.4004795013744671E-6</v>
      </c>
      <c r="I193" s="41">
        <f>'SIMULARE PE PRODUS'!$L$190</f>
        <v>10.7187795</v>
      </c>
      <c r="J193" s="28">
        <f t="shared" si="16"/>
        <v>0.30507295499999998</v>
      </c>
      <c r="K193" s="41">
        <f t="shared" si="17"/>
        <v>24.416355635135137</v>
      </c>
    </row>
    <row r="194" spans="1:11" x14ac:dyDescent="0.2">
      <c r="A194" s="26">
        <v>190</v>
      </c>
      <c r="B194" s="26" t="s">
        <v>331</v>
      </c>
      <c r="C194" s="26" t="s">
        <v>105</v>
      </c>
      <c r="D194" s="27">
        <f>'SIMULARE PE PRODUS'!$F$191</f>
        <v>9</v>
      </c>
      <c r="E194" s="27">
        <f>'SIMULARE PE PRODUS'!$G$191</f>
        <v>0</v>
      </c>
      <c r="F194" s="27">
        <f t="shared" si="15"/>
        <v>9</v>
      </c>
      <c r="G194" s="41">
        <f>'SIMULARE PE PRODUS'!T$191</f>
        <v>32.432432432432428</v>
      </c>
      <c r="H194" s="42">
        <f>IFERROR($G194/'SIMULARE PE PRODUS'!T$4,"")</f>
        <v>6.8312118474225841E-6</v>
      </c>
      <c r="I194" s="41">
        <f>'SIMULARE PE PRODUS'!$L$191</f>
        <v>11.808450000000001</v>
      </c>
      <c r="J194" s="28">
        <f t="shared" si="16"/>
        <v>0.36409387500000007</v>
      </c>
      <c r="K194" s="41">
        <f t="shared" si="17"/>
        <v>20.623982432432427</v>
      </c>
    </row>
    <row r="195" spans="1:11" x14ac:dyDescent="0.2">
      <c r="A195" s="26">
        <v>191</v>
      </c>
      <c r="B195" s="26" t="s">
        <v>332</v>
      </c>
      <c r="C195" s="26" t="s">
        <v>105</v>
      </c>
      <c r="D195" s="27">
        <f>'SIMULARE PE PRODUS'!$F$192</f>
        <v>11</v>
      </c>
      <c r="E195" s="27">
        <f>'SIMULARE PE PRODUS'!$G$192</f>
        <v>0</v>
      </c>
      <c r="F195" s="27">
        <f t="shared" si="15"/>
        <v>11</v>
      </c>
      <c r="G195" s="41">
        <f>'SIMULARE PE PRODUS'!T$192</f>
        <v>29.72972972972973</v>
      </c>
      <c r="H195" s="42">
        <f>IFERROR($G195/'SIMULARE PE PRODUS'!T$4,"")</f>
        <v>6.2619441934707028E-6</v>
      </c>
      <c r="I195" s="41">
        <f>'SIMULARE PE PRODUS'!$L$192</f>
        <v>7.48</v>
      </c>
      <c r="J195" s="28">
        <f t="shared" si="16"/>
        <v>0.25159999999999999</v>
      </c>
      <c r="K195" s="41">
        <f t="shared" si="17"/>
        <v>22.249729729729729</v>
      </c>
    </row>
    <row r="196" spans="1:11" x14ac:dyDescent="0.2">
      <c r="A196" s="26">
        <v>192</v>
      </c>
      <c r="B196" s="26" t="s">
        <v>333</v>
      </c>
      <c r="C196" s="26" t="s">
        <v>104</v>
      </c>
      <c r="D196" s="27">
        <f>'SIMULARE PE PRODUS'!$F$160</f>
        <v>8</v>
      </c>
      <c r="E196" s="27">
        <f>'SIMULARE PE PRODUS'!$G$160</f>
        <v>0</v>
      </c>
      <c r="F196" s="27">
        <f t="shared" si="15"/>
        <v>8</v>
      </c>
      <c r="G196" s="41">
        <f>'SIMULARE PE PRODUS'!T$160</f>
        <v>25.225225225225223</v>
      </c>
      <c r="H196" s="42">
        <f>IFERROR($G196/'SIMULARE PE PRODUS'!T$4,"")</f>
        <v>5.3131647702175656E-6</v>
      </c>
      <c r="I196" s="41">
        <f>'SIMULARE PE PRODUS'!$L$160</f>
        <v>4.9080640000000004</v>
      </c>
      <c r="J196" s="28">
        <f t="shared" si="16"/>
        <v>0.19456968000000002</v>
      </c>
      <c r="K196" s="41">
        <f t="shared" si="17"/>
        <v>20.317161225225224</v>
      </c>
    </row>
    <row r="197" spans="1:11" x14ac:dyDescent="0.2">
      <c r="A197" s="26">
        <v>193</v>
      </c>
      <c r="B197" s="26" t="s">
        <v>334</v>
      </c>
      <c r="C197" s="26" t="s">
        <v>105</v>
      </c>
      <c r="D197" s="27">
        <f>'SIMULARE PE PRODUS'!$F$193</f>
        <v>6</v>
      </c>
      <c r="E197" s="27">
        <f>'SIMULARE PE PRODUS'!$G$193</f>
        <v>0</v>
      </c>
      <c r="F197" s="27">
        <f t="shared" ref="F197:F202" si="18">$D197+$E197</f>
        <v>6</v>
      </c>
      <c r="G197" s="41">
        <f>'SIMULARE PE PRODUS'!T$193</f>
        <v>21.621621621621621</v>
      </c>
      <c r="H197" s="42">
        <f>IFERROR($G197/'SIMULARE PE PRODUS'!T$4,"")</f>
        <v>4.5541412316150564E-6</v>
      </c>
      <c r="I197" s="41">
        <f>'SIMULARE PE PRODUS'!$L$193</f>
        <v>7.872300000000001</v>
      </c>
      <c r="J197" s="28">
        <f t="shared" ref="J197:J202" si="19">IFERROR($I197/$G197,"")</f>
        <v>0.36409387500000007</v>
      </c>
      <c r="K197" s="41">
        <f t="shared" ref="K197:K202" si="20">$G197-$I197</f>
        <v>13.74932162162162</v>
      </c>
    </row>
    <row r="198" spans="1:11" x14ac:dyDescent="0.2">
      <c r="A198" s="26">
        <v>194</v>
      </c>
      <c r="B198" s="26" t="s">
        <v>335</v>
      </c>
      <c r="C198" s="26" t="s">
        <v>111</v>
      </c>
      <c r="D198" s="27">
        <f>'SIMULARE PE PRODUS'!$F$231</f>
        <v>1</v>
      </c>
      <c r="E198" s="27">
        <f>'SIMULARE PE PRODUS'!$G$231</f>
        <v>0</v>
      </c>
      <c r="F198" s="27">
        <f t="shared" si="18"/>
        <v>1</v>
      </c>
      <c r="G198" s="41">
        <f>'SIMULARE PE PRODUS'!T$231</f>
        <v>16.446280991735538</v>
      </c>
      <c r="H198" s="42">
        <f>IFERROR($G198/'SIMULARE PE PRODUS'!T$4,"")</f>
        <v>3.4640642446675271E-6</v>
      </c>
      <c r="I198" s="41">
        <f>'SIMULARE PE PRODUS'!$L$231</f>
        <v>5.76</v>
      </c>
      <c r="J198" s="28">
        <f t="shared" si="19"/>
        <v>0.35023115577889447</v>
      </c>
      <c r="K198" s="41">
        <f t="shared" si="20"/>
        <v>10.686280991735538</v>
      </c>
    </row>
    <row r="199" spans="1:11" x14ac:dyDescent="0.2">
      <c r="A199" s="26">
        <v>195</v>
      </c>
      <c r="B199" s="26" t="s">
        <v>336</v>
      </c>
      <c r="C199" s="26" t="s">
        <v>104</v>
      </c>
      <c r="D199" s="27">
        <f>'SIMULARE PE PRODUS'!$F$161</f>
        <v>3</v>
      </c>
      <c r="E199" s="27">
        <f>'SIMULARE PE PRODUS'!$G$161</f>
        <v>0</v>
      </c>
      <c r="F199" s="27">
        <f t="shared" si="18"/>
        <v>3</v>
      </c>
      <c r="G199" s="41">
        <f>'SIMULARE PE PRODUS'!T$161</f>
        <v>9.4594594594594597</v>
      </c>
      <c r="H199" s="42">
        <f>IFERROR($G199/'SIMULARE PE PRODUS'!T$4,"")</f>
        <v>1.9924367888315871E-6</v>
      </c>
      <c r="I199" s="41">
        <f>'SIMULARE PE PRODUS'!$L$161</f>
        <v>1.8772080000000002</v>
      </c>
      <c r="J199" s="28">
        <f t="shared" si="19"/>
        <v>0.19844770285714289</v>
      </c>
      <c r="K199" s="41">
        <f t="shared" si="20"/>
        <v>7.5822514594594592</v>
      </c>
    </row>
    <row r="200" spans="1:11" x14ac:dyDescent="0.2">
      <c r="A200" s="26">
        <v>196</v>
      </c>
      <c r="B200" s="26" t="s">
        <v>337</v>
      </c>
      <c r="C200" s="26" t="s">
        <v>105</v>
      </c>
      <c r="D200" s="27">
        <f>'SIMULARE PE PRODUS'!$F$194</f>
        <v>1</v>
      </c>
      <c r="E200" s="27">
        <f>'SIMULARE PE PRODUS'!$G$194</f>
        <v>0</v>
      </c>
      <c r="F200" s="27">
        <f t="shared" si="18"/>
        <v>1</v>
      </c>
      <c r="G200" s="41">
        <f>'SIMULARE PE PRODUS'!T$194</f>
        <v>3.6036036036036032</v>
      </c>
      <c r="H200" s="42">
        <f>IFERROR($G200/'SIMULARE PE PRODUS'!T$4,"")</f>
        <v>7.5902353860250936E-7</v>
      </c>
      <c r="I200" s="41">
        <f>'SIMULARE PE PRODUS'!$L$194</f>
        <v>1.3261503000000001</v>
      </c>
      <c r="J200" s="28">
        <f t="shared" si="19"/>
        <v>0.36800670825000009</v>
      </c>
      <c r="K200" s="41">
        <f t="shared" si="20"/>
        <v>2.2774533036036031</v>
      </c>
    </row>
    <row r="201" spans="1:11" x14ac:dyDescent="0.2">
      <c r="A201" s="26">
        <v>197</v>
      </c>
      <c r="B201" s="26" t="s">
        <v>338</v>
      </c>
      <c r="C201" s="26" t="s">
        <v>105</v>
      </c>
      <c r="D201" s="27">
        <f>'SIMULARE PE PRODUS'!$F$195</f>
        <v>1</v>
      </c>
      <c r="E201" s="27">
        <f>'SIMULARE PE PRODUS'!$G$195</f>
        <v>0</v>
      </c>
      <c r="F201" s="27">
        <f t="shared" si="18"/>
        <v>1</v>
      </c>
      <c r="G201" s="41">
        <f>'SIMULARE PE PRODUS'!T$195</f>
        <v>3.6036036036036032</v>
      </c>
      <c r="H201" s="42">
        <f>IFERROR($G201/'SIMULARE PE PRODUS'!T$4,"")</f>
        <v>7.5902353860250936E-7</v>
      </c>
      <c r="I201" s="41">
        <f>'SIMULARE PE PRODUS'!$L$195</f>
        <v>1.3504327500000002</v>
      </c>
      <c r="J201" s="28">
        <f t="shared" si="19"/>
        <v>0.37474508812500007</v>
      </c>
      <c r="K201" s="41">
        <f t="shared" si="20"/>
        <v>2.2531708536036028</v>
      </c>
    </row>
    <row r="202" spans="1:11" x14ac:dyDescent="0.2">
      <c r="A202" s="26">
        <v>198</v>
      </c>
      <c r="B202" s="26" t="s">
        <v>339</v>
      </c>
      <c r="C202" s="26" t="s">
        <v>105</v>
      </c>
      <c r="D202" s="27">
        <f>'SIMULARE PE PRODUS'!$F$196</f>
        <v>1</v>
      </c>
      <c r="E202" s="27">
        <f>'SIMULARE PE PRODUS'!$G$196</f>
        <v>0</v>
      </c>
      <c r="F202" s="27">
        <f t="shared" si="18"/>
        <v>1</v>
      </c>
      <c r="G202" s="41">
        <f>'SIMULARE PE PRODUS'!T$196</f>
        <v>2.7027027027027026</v>
      </c>
      <c r="H202" s="42">
        <f>IFERROR($G202/'SIMULARE PE PRODUS'!T$4,"")</f>
        <v>5.6926765395188204E-7</v>
      </c>
      <c r="I202" s="41">
        <f>'SIMULARE PE PRODUS'!$L$196</f>
        <v>0.74647760000000007</v>
      </c>
      <c r="J202" s="28">
        <f t="shared" si="19"/>
        <v>0.27619671200000001</v>
      </c>
      <c r="K202" s="41">
        <f t="shared" si="20"/>
        <v>1.9562251027027027</v>
      </c>
    </row>
  </sheetData>
  <mergeCells count="2">
    <mergeCell ref="A1:K1"/>
    <mergeCell ref="A2:K2"/>
  </mergeCells>
  <conditionalFormatting sqref="J5:J202">
    <cfRule type="cellIs" dxfId="38" priority="2" operator="greaterThan">
      <formula>0.55</formula>
    </cfRule>
    <cfRule type="cellIs" dxfId="37" priority="3" operator="between">
      <formula>0.45</formula>
      <formula>0.55</formula>
    </cfRule>
    <cfRule type="cellIs" dxfId="36" priority="4" operator="lessThan">
      <formula>0.45</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zoomScaleNormal="100" workbookViewId="0">
      <pane xSplit="2" ySplit="4" topLeftCell="C5" activePane="bottomRight" state="frozen"/>
      <selection pane="topRight" activeCell="C1" sqref="C1"/>
      <selection pane="bottomLeft" activeCell="A5" sqref="A5"/>
      <selection pane="bottomRight" sqref="A1:K1"/>
    </sheetView>
  </sheetViews>
  <sheetFormatPr baseColWidth="10" defaultColWidth="8.6640625" defaultRowHeight="15" x14ac:dyDescent="0.2"/>
  <cols>
    <col min="1" max="1" width="5" customWidth="1"/>
    <col min="2" max="2" width="40" customWidth="1"/>
    <col min="3" max="3" width="22" customWidth="1"/>
    <col min="4" max="6" width="12" customWidth="1"/>
    <col min="7" max="7" width="15" customWidth="1"/>
    <col min="8" max="8" width="11" customWidth="1"/>
    <col min="9" max="9" width="14" customWidth="1"/>
    <col min="10" max="10" width="10" customWidth="1"/>
    <col min="11" max="11" width="14" customWidth="1"/>
  </cols>
  <sheetData>
    <row r="1" spans="1:11" ht="19" x14ac:dyDescent="0.2">
      <c r="A1" s="107" t="s">
        <v>340</v>
      </c>
      <c r="B1" s="107"/>
      <c r="C1" s="107"/>
      <c r="D1" s="107"/>
      <c r="E1" s="107"/>
      <c r="F1" s="107"/>
      <c r="G1" s="107"/>
      <c r="H1" s="107"/>
      <c r="I1" s="107"/>
      <c r="J1" s="107"/>
      <c r="K1" s="107"/>
    </row>
    <row r="2" spans="1:11" x14ac:dyDescent="0.2">
      <c r="A2" s="114" t="s">
        <v>341</v>
      </c>
      <c r="B2" s="114"/>
      <c r="C2" s="114"/>
      <c r="D2" s="114"/>
      <c r="E2" s="114"/>
      <c r="F2" s="114"/>
      <c r="G2" s="114"/>
      <c r="H2" s="114"/>
      <c r="I2" s="114"/>
      <c r="J2" s="114"/>
      <c r="K2" s="114"/>
    </row>
    <row r="4" spans="1:11" x14ac:dyDescent="0.2">
      <c r="A4" s="40" t="s">
        <v>139</v>
      </c>
      <c r="B4" s="40" t="s">
        <v>140</v>
      </c>
      <c r="C4" s="40" t="s">
        <v>84</v>
      </c>
      <c r="D4" s="40" t="s">
        <v>85</v>
      </c>
      <c r="E4" s="40" t="s">
        <v>86</v>
      </c>
      <c r="F4" s="40" t="s">
        <v>87</v>
      </c>
      <c r="G4" s="40" t="s">
        <v>78</v>
      </c>
      <c r="H4" s="40" t="s">
        <v>141</v>
      </c>
      <c r="I4" s="40" t="s">
        <v>79</v>
      </c>
      <c r="J4" s="40" t="s">
        <v>77</v>
      </c>
      <c r="K4" s="40" t="s">
        <v>80</v>
      </c>
    </row>
    <row r="5" spans="1:11" x14ac:dyDescent="0.2">
      <c r="A5" s="26">
        <v>1</v>
      </c>
      <c r="B5" s="26" t="s">
        <v>287</v>
      </c>
      <c r="C5" s="26" t="s">
        <v>113</v>
      </c>
      <c r="D5" s="27">
        <f>'SIMULARE PE PRODUS'!$F$240</f>
        <v>0</v>
      </c>
      <c r="E5" s="27">
        <f>'SIMULARE PE PRODUS'!$G$240</f>
        <v>3437</v>
      </c>
      <c r="F5" s="27">
        <f t="shared" ref="F5:F36" si="0">$D5+$E5</f>
        <v>3437</v>
      </c>
      <c r="G5" s="41">
        <f>'SIMULARE PE PRODUS'!T$240</f>
        <v>1420.2479338842975</v>
      </c>
      <c r="H5" s="42">
        <f>IFERROR($G5/'SIMULARE PE PRODUS'!T$4,"")</f>
        <v>2.9914544746035903E-4</v>
      </c>
      <c r="I5" s="41">
        <f>'SIMULARE PE PRODUS'!$L$240</f>
        <v>1718.5</v>
      </c>
      <c r="J5" s="28">
        <f t="shared" ref="J5:J36" si="1">IFERROR($I5/$G5,"")</f>
        <v>1.21</v>
      </c>
      <c r="K5" s="41">
        <f t="shared" ref="K5:K36" si="2">$G5-$I5</f>
        <v>-298.25206611570252</v>
      </c>
    </row>
    <row r="6" spans="1:11" x14ac:dyDescent="0.2">
      <c r="A6" s="26">
        <v>2</v>
      </c>
      <c r="B6" s="26" t="s">
        <v>305</v>
      </c>
      <c r="C6" s="26" t="s">
        <v>113</v>
      </c>
      <c r="D6" s="27">
        <f>'SIMULARE PE PRODUS'!$F$241</f>
        <v>0</v>
      </c>
      <c r="E6" s="27">
        <f>'SIMULARE PE PRODUS'!$G$241</f>
        <v>2327</v>
      </c>
      <c r="F6" s="27">
        <f t="shared" si="0"/>
        <v>2327</v>
      </c>
      <c r="G6" s="41">
        <f>'SIMULARE PE PRODUS'!T$241</f>
        <v>961.57024793388427</v>
      </c>
      <c r="H6" s="42">
        <f>IFERROR($G6/'SIMULARE PE PRODUS'!T$4,"")</f>
        <v>2.025346104859632E-4</v>
      </c>
      <c r="I6" s="41">
        <f>'SIMULARE PE PRODUS'!$L$241</f>
        <v>1163.5</v>
      </c>
      <c r="J6" s="28">
        <f t="shared" si="1"/>
        <v>1.21</v>
      </c>
      <c r="K6" s="41">
        <f t="shared" si="2"/>
        <v>-201.92975206611573</v>
      </c>
    </row>
    <row r="7" spans="1:11" x14ac:dyDescent="0.2">
      <c r="A7" s="26">
        <v>3</v>
      </c>
      <c r="B7" s="26" t="s">
        <v>324</v>
      </c>
      <c r="C7" s="26" t="s">
        <v>113</v>
      </c>
      <c r="D7" s="27">
        <f>'SIMULARE PE PRODUS'!$F$242</f>
        <v>0</v>
      </c>
      <c r="E7" s="27">
        <f>'SIMULARE PE PRODUS'!$G$242</f>
        <v>360</v>
      </c>
      <c r="F7" s="27">
        <f t="shared" si="0"/>
        <v>360</v>
      </c>
      <c r="G7" s="41">
        <f>'SIMULARE PE PRODUS'!T$242</f>
        <v>148.7603305785124</v>
      </c>
      <c r="H7" s="42">
        <f>IFERROR($G7/'SIMULARE PE PRODUS'!T$4,"")</f>
        <v>3.1333244424128384E-5</v>
      </c>
      <c r="I7" s="41">
        <f>'SIMULARE PE PRODUS'!$L$242</f>
        <v>180</v>
      </c>
      <c r="J7" s="28">
        <f t="shared" si="1"/>
        <v>1.21</v>
      </c>
      <c r="K7" s="41">
        <f t="shared" si="2"/>
        <v>-31.239669421487605</v>
      </c>
    </row>
    <row r="8" spans="1:11" x14ac:dyDescent="0.2">
      <c r="A8" s="26">
        <v>4</v>
      </c>
      <c r="B8" s="26" t="s">
        <v>323</v>
      </c>
      <c r="C8" s="26" t="s">
        <v>112</v>
      </c>
      <c r="D8" s="27">
        <f>'SIMULARE PE PRODUS'!$F$237</f>
        <v>83</v>
      </c>
      <c r="E8" s="27">
        <f>'SIMULARE PE PRODUS'!$G$237</f>
        <v>0</v>
      </c>
      <c r="F8" s="27">
        <f t="shared" si="0"/>
        <v>83</v>
      </c>
      <c r="G8" s="41">
        <f>'SIMULARE PE PRODUS'!T$237</f>
        <v>149.54954954954954</v>
      </c>
      <c r="H8" s="42">
        <f>IFERROR($G8/'SIMULARE PE PRODUS'!T$4,"")</f>
        <v>3.1499476852004136E-5</v>
      </c>
      <c r="I8" s="41">
        <f>'SIMULARE PE PRODUS'!$L$237</f>
        <v>137.614</v>
      </c>
      <c r="J8" s="28">
        <f t="shared" si="1"/>
        <v>0.92019000000000006</v>
      </c>
      <c r="K8" s="41">
        <f t="shared" si="2"/>
        <v>11.935549549549535</v>
      </c>
    </row>
    <row r="9" spans="1:11" x14ac:dyDescent="0.2">
      <c r="A9" s="26">
        <v>5</v>
      </c>
      <c r="B9" s="26" t="s">
        <v>165</v>
      </c>
      <c r="C9" s="26" t="s">
        <v>94</v>
      </c>
      <c r="D9" s="27">
        <f>'SIMULARE PE PRODUS'!$F$12</f>
        <v>5302</v>
      </c>
      <c r="E9" s="27">
        <f>'SIMULARE PE PRODUS'!$G$12</f>
        <v>1141</v>
      </c>
      <c r="F9" s="27">
        <f t="shared" si="0"/>
        <v>6443</v>
      </c>
      <c r="G9" s="41">
        <f>'SIMULARE PE PRODUS'!T$12</f>
        <v>48491.891891891886</v>
      </c>
      <c r="H9" s="42">
        <f>IFERROR($G9/'SIMULARE PE PRODUS'!T$4,"")</f>
        <v>1.0213800247204667E-2</v>
      </c>
      <c r="I9" s="41">
        <f>'SIMULARE PE PRODUS'!$L$12</f>
        <v>41003.929159299994</v>
      </c>
      <c r="J9" s="28">
        <f t="shared" si="1"/>
        <v>0.8455832008104448</v>
      </c>
      <c r="K9" s="41">
        <f t="shared" si="2"/>
        <v>7487.9627325918918</v>
      </c>
    </row>
    <row r="10" spans="1:11" x14ac:dyDescent="0.2">
      <c r="A10" s="26">
        <v>6</v>
      </c>
      <c r="B10" s="26" t="s">
        <v>166</v>
      </c>
      <c r="C10" s="26" t="s">
        <v>112</v>
      </c>
      <c r="D10" s="27">
        <f>'SIMULARE PE PRODUS'!$F$234</f>
        <v>3077</v>
      </c>
      <c r="E10" s="27">
        <f>'SIMULARE PE PRODUS'!$G$234</f>
        <v>67784</v>
      </c>
      <c r="F10" s="27">
        <f t="shared" si="0"/>
        <v>70861</v>
      </c>
      <c r="G10" s="41">
        <f>'SIMULARE PE PRODUS'!T$234</f>
        <v>47879.054054054053</v>
      </c>
      <c r="H10" s="42">
        <f>IFERROR($G10/'SIMULARE PE PRODUS'!T$4,"")</f>
        <v>1.0084718806671078E-2</v>
      </c>
      <c r="I10" s="41">
        <f>'SIMULARE PE PRODUS'!$L$234</f>
        <v>37485.469000000005</v>
      </c>
      <c r="J10" s="28">
        <f t="shared" si="1"/>
        <v>0.78292000000000006</v>
      </c>
      <c r="K10" s="41">
        <f t="shared" si="2"/>
        <v>10393.585054054049</v>
      </c>
    </row>
    <row r="11" spans="1:11" x14ac:dyDescent="0.2">
      <c r="A11" s="26">
        <v>7</v>
      </c>
      <c r="B11" s="26" t="s">
        <v>326</v>
      </c>
      <c r="C11" s="26" t="s">
        <v>111</v>
      </c>
      <c r="D11" s="27">
        <f>'SIMULARE PE PRODUS'!$F$230</f>
        <v>1</v>
      </c>
      <c r="E11" s="27">
        <f>'SIMULARE PE PRODUS'!$G$230</f>
        <v>0</v>
      </c>
      <c r="F11" s="27">
        <f t="shared" si="0"/>
        <v>1</v>
      </c>
      <c r="G11" s="41">
        <f>'SIMULARE PE PRODUS'!T$230</f>
        <v>123.14049586776859</v>
      </c>
      <c r="H11" s="42">
        <f>IFERROR($G11/'SIMULARE PE PRODUS'!T$4,"")</f>
        <v>2.5936963439972939E-5</v>
      </c>
      <c r="I11" s="41">
        <f>'SIMULARE PE PRODUS'!$L$230</f>
        <v>92.31</v>
      </c>
      <c r="J11" s="28">
        <f t="shared" si="1"/>
        <v>0.74963154362416107</v>
      </c>
      <c r="K11" s="41">
        <f t="shared" si="2"/>
        <v>30.83049586776859</v>
      </c>
    </row>
    <row r="12" spans="1:11" x14ac:dyDescent="0.2">
      <c r="A12" s="26">
        <v>8</v>
      </c>
      <c r="B12" s="26" t="s">
        <v>308</v>
      </c>
      <c r="C12" s="26" t="s">
        <v>111</v>
      </c>
      <c r="D12" s="27">
        <f>'SIMULARE PE PRODUS'!$F$229</f>
        <v>53</v>
      </c>
      <c r="E12" s="27">
        <f>'SIMULARE PE PRODUS'!$G$229</f>
        <v>0</v>
      </c>
      <c r="F12" s="27">
        <f t="shared" si="0"/>
        <v>53</v>
      </c>
      <c r="G12" s="41">
        <f>'SIMULARE PE PRODUS'!T$229</f>
        <v>876.03305785123973</v>
      </c>
      <c r="H12" s="42">
        <f>IFERROR($G12/'SIMULARE PE PRODUS'!T$4,"")</f>
        <v>1.8451799494208939E-4</v>
      </c>
      <c r="I12" s="41">
        <f>'SIMULARE PE PRODUS'!$L$229</f>
        <v>655.45100000000002</v>
      </c>
      <c r="J12" s="28">
        <f t="shared" si="1"/>
        <v>0.74820350000000002</v>
      </c>
      <c r="K12" s="41">
        <f t="shared" si="2"/>
        <v>220.58205785123971</v>
      </c>
    </row>
    <row r="13" spans="1:11" x14ac:dyDescent="0.2">
      <c r="A13" s="26">
        <v>9</v>
      </c>
      <c r="B13" s="26" t="s">
        <v>150</v>
      </c>
      <c r="C13" s="26" t="s">
        <v>94</v>
      </c>
      <c r="D13" s="27">
        <f>'SIMULARE PE PRODUS'!$F$9</f>
        <v>6649</v>
      </c>
      <c r="E13" s="27">
        <f>'SIMULARE PE PRODUS'!$G$9</f>
        <v>1326</v>
      </c>
      <c r="F13" s="27">
        <f t="shared" si="0"/>
        <v>7975</v>
      </c>
      <c r="G13" s="41">
        <f>'SIMULARE PE PRODUS'!T$9</f>
        <v>118538.73873873873</v>
      </c>
      <c r="H13" s="42">
        <f>IFERROR($G13/'SIMULARE PE PRODUS'!T$4,"")</f>
        <v>2.4967699790560245E-2</v>
      </c>
      <c r="I13" s="41">
        <f>'SIMULARE PE PRODUS'!$L$9</f>
        <v>86664.324999999983</v>
      </c>
      <c r="J13" s="28">
        <f t="shared" si="1"/>
        <v>0.73110550965966947</v>
      </c>
      <c r="K13" s="41">
        <f t="shared" si="2"/>
        <v>31874.413738738745</v>
      </c>
    </row>
    <row r="14" spans="1:11" x14ac:dyDescent="0.2">
      <c r="A14" s="26">
        <v>10</v>
      </c>
      <c r="B14" s="26" t="s">
        <v>147</v>
      </c>
      <c r="C14" s="26" t="s">
        <v>94</v>
      </c>
      <c r="D14" s="27">
        <f>'SIMULARE PE PRODUS'!$F$8</f>
        <v>4896</v>
      </c>
      <c r="E14" s="27">
        <f>'SIMULARE PE PRODUS'!$G$8</f>
        <v>4666</v>
      </c>
      <c r="F14" s="27">
        <f t="shared" si="0"/>
        <v>9562</v>
      </c>
      <c r="G14" s="41">
        <f>'SIMULARE PE PRODUS'!T$8</f>
        <v>202127.92792792793</v>
      </c>
      <c r="H14" s="42">
        <f>IFERROR($G14/'SIMULARE PE PRODUS'!T$4,"")</f>
        <v>4.2574009791984058E-2</v>
      </c>
      <c r="I14" s="41">
        <f>'SIMULARE PE PRODUS'!$L$8</f>
        <v>144070.65399999998</v>
      </c>
      <c r="J14" s="28">
        <f t="shared" si="1"/>
        <v>0.71276965769604472</v>
      </c>
      <c r="K14" s="41">
        <f t="shared" si="2"/>
        <v>58057.273927927949</v>
      </c>
    </row>
    <row r="15" spans="1:11" x14ac:dyDescent="0.2">
      <c r="A15" s="26">
        <v>11</v>
      </c>
      <c r="B15" s="26" t="s">
        <v>155</v>
      </c>
      <c r="C15" s="26" t="s">
        <v>94</v>
      </c>
      <c r="D15" s="27">
        <f>'SIMULARE PE PRODUS'!$F$10</f>
        <v>9314</v>
      </c>
      <c r="E15" s="27">
        <f>'SIMULARE PE PRODUS'!$G$10</f>
        <v>1557</v>
      </c>
      <c r="F15" s="27">
        <f t="shared" si="0"/>
        <v>10871</v>
      </c>
      <c r="G15" s="41">
        <f>'SIMULARE PE PRODUS'!T$10</f>
        <v>102145.04504504503</v>
      </c>
      <c r="H15" s="42">
        <f>IFERROR($G15/'SIMULARE PE PRODUS'!T$4,"")</f>
        <v>2.1514711957572777E-2</v>
      </c>
      <c r="I15" s="41">
        <f>'SIMULARE PE PRODUS'!$L$10</f>
        <v>72476.956999999995</v>
      </c>
      <c r="J15" s="28">
        <f t="shared" si="1"/>
        <v>0.70954941542233718</v>
      </c>
      <c r="K15" s="41">
        <f t="shared" si="2"/>
        <v>29668.088045045035</v>
      </c>
    </row>
    <row r="16" spans="1:11" x14ac:dyDescent="0.2">
      <c r="A16" s="26">
        <v>12</v>
      </c>
      <c r="B16" s="26" t="s">
        <v>200</v>
      </c>
      <c r="C16" s="26" t="s">
        <v>94</v>
      </c>
      <c r="D16" s="27">
        <f>'SIMULARE PE PRODUS'!$F$13</f>
        <v>695</v>
      </c>
      <c r="E16" s="27">
        <f>'SIMULARE PE PRODUS'!$G$13</f>
        <v>428</v>
      </c>
      <c r="F16" s="27">
        <f t="shared" si="0"/>
        <v>1123</v>
      </c>
      <c r="G16" s="41">
        <f>'SIMULARE PE PRODUS'!T$13</f>
        <v>15936.729729729726</v>
      </c>
      <c r="H16" s="42">
        <f>IFERROR($G16/'SIMULARE PE PRODUS'!T$4,"")</f>
        <v>3.3567379556161277E-3</v>
      </c>
      <c r="I16" s="41">
        <f>'SIMULARE PE PRODUS'!$L$13</f>
        <v>11265.6183033</v>
      </c>
      <c r="J16" s="28">
        <f t="shared" si="1"/>
        <v>0.70689648970354069</v>
      </c>
      <c r="K16" s="41">
        <f t="shared" si="2"/>
        <v>4671.1114264297266</v>
      </c>
    </row>
    <row r="17" spans="1:11" x14ac:dyDescent="0.2">
      <c r="A17" s="26">
        <v>13</v>
      </c>
      <c r="B17" s="26" t="s">
        <v>206</v>
      </c>
      <c r="C17" s="26" t="s">
        <v>112</v>
      </c>
      <c r="D17" s="27">
        <f>'SIMULARE PE PRODUS'!$F$235</f>
        <v>10831</v>
      </c>
      <c r="E17" s="27">
        <f>'SIMULARE PE PRODUS'!$G$235</f>
        <v>0</v>
      </c>
      <c r="F17" s="27">
        <f t="shared" si="0"/>
        <v>10831</v>
      </c>
      <c r="G17" s="41">
        <f>'SIMULARE PE PRODUS'!T$235</f>
        <v>14636.486486486487</v>
      </c>
      <c r="H17" s="42">
        <f>IFERROR($G17/'SIMULARE PE PRODUS'!T$4,"")</f>
        <v>3.0828689799764172E-3</v>
      </c>
      <c r="I17" s="41">
        <f>'SIMULARE PE PRODUS'!$L$235</f>
        <v>10170.308999999999</v>
      </c>
      <c r="J17" s="28">
        <f t="shared" si="1"/>
        <v>0.69485999999999992</v>
      </c>
      <c r="K17" s="41">
        <f t="shared" si="2"/>
        <v>4466.1774864864874</v>
      </c>
    </row>
    <row r="18" spans="1:11" x14ac:dyDescent="0.2">
      <c r="A18" s="26">
        <v>14</v>
      </c>
      <c r="B18" s="26" t="s">
        <v>318</v>
      </c>
      <c r="C18" s="26" t="s">
        <v>110</v>
      </c>
      <c r="D18" s="27">
        <f>'SIMULARE PE PRODUS'!$F$225</f>
        <v>2</v>
      </c>
      <c r="E18" s="27">
        <f>'SIMULARE PE PRODUS'!$G$225</f>
        <v>0</v>
      </c>
      <c r="F18" s="27">
        <f t="shared" si="0"/>
        <v>2</v>
      </c>
      <c r="G18" s="41">
        <f>'SIMULARE PE PRODUS'!T$225</f>
        <v>302.70270270270265</v>
      </c>
      <c r="H18" s="42">
        <f>IFERROR($G18/'SIMULARE PE PRODUS'!T$4,"")</f>
        <v>6.3757977242610787E-5</v>
      </c>
      <c r="I18" s="41">
        <f>'SIMULARE PE PRODUS'!$L$225</f>
        <v>206.84280000000001</v>
      </c>
      <c r="J18" s="28">
        <f t="shared" si="1"/>
        <v>0.6833199642857144</v>
      </c>
      <c r="K18" s="41">
        <f t="shared" si="2"/>
        <v>95.859902702702641</v>
      </c>
    </row>
    <row r="19" spans="1:11" x14ac:dyDescent="0.2">
      <c r="A19" s="26">
        <v>15</v>
      </c>
      <c r="B19" s="26" t="s">
        <v>214</v>
      </c>
      <c r="C19" s="26" t="s">
        <v>109</v>
      </c>
      <c r="D19" s="27">
        <f>'SIMULARE PE PRODUS'!$F$220</f>
        <v>247</v>
      </c>
      <c r="E19" s="27">
        <f>'SIMULARE PE PRODUS'!$G$220</f>
        <v>41</v>
      </c>
      <c r="F19" s="27">
        <f t="shared" si="0"/>
        <v>288</v>
      </c>
      <c r="G19" s="41">
        <f>'SIMULARE PE PRODUS'!T$220</f>
        <v>10118.918918918916</v>
      </c>
      <c r="H19" s="42">
        <f>IFERROR($G19/'SIMULARE PE PRODUS'!T$4,"")</f>
        <v>2.1313380963958461E-3</v>
      </c>
      <c r="I19" s="41">
        <f>'SIMULARE PE PRODUS'!$L$220</f>
        <v>6852.0060208295999</v>
      </c>
      <c r="J19" s="28">
        <f t="shared" si="1"/>
        <v>0.67714803090463482</v>
      </c>
      <c r="K19" s="41">
        <f t="shared" si="2"/>
        <v>3266.9128980893165</v>
      </c>
    </row>
    <row r="20" spans="1:11" x14ac:dyDescent="0.2">
      <c r="A20" s="26">
        <v>16</v>
      </c>
      <c r="B20" s="26" t="s">
        <v>146</v>
      </c>
      <c r="C20" s="26" t="s">
        <v>94</v>
      </c>
      <c r="D20" s="27">
        <f>'SIMULARE PE PRODUS'!$F$7</f>
        <v>5150</v>
      </c>
      <c r="E20" s="27">
        <f>'SIMULARE PE PRODUS'!$G$7</f>
        <v>6698</v>
      </c>
      <c r="F20" s="27">
        <f t="shared" si="0"/>
        <v>11848</v>
      </c>
      <c r="G20" s="41">
        <f>'SIMULARE PE PRODUS'!T$7</f>
        <v>204091.45945945941</v>
      </c>
      <c r="H20" s="42">
        <f>IFERROR($G20/'SIMULARE PE PRODUS'!T$4,"")</f>
        <v>4.2987586537697776E-2</v>
      </c>
      <c r="I20" s="41">
        <f>'SIMULARE PE PRODUS'!$L$7</f>
        <v>133784.26420080001</v>
      </c>
      <c r="J20" s="28">
        <f t="shared" si="1"/>
        <v>0.65551133082751478</v>
      </c>
      <c r="K20" s="41">
        <f t="shared" si="2"/>
        <v>70307.195258659398</v>
      </c>
    </row>
    <row r="21" spans="1:11" x14ac:dyDescent="0.2">
      <c r="A21" s="26">
        <v>17</v>
      </c>
      <c r="B21" s="26" t="s">
        <v>157</v>
      </c>
      <c r="C21" s="26" t="s">
        <v>94</v>
      </c>
      <c r="D21" s="27">
        <f>'SIMULARE PE PRODUS'!$F$11</f>
        <v>6953</v>
      </c>
      <c r="E21" s="27">
        <f>'SIMULARE PE PRODUS'!$G$11</f>
        <v>1987</v>
      </c>
      <c r="F21" s="27">
        <f t="shared" si="0"/>
        <v>8940</v>
      </c>
      <c r="G21" s="41">
        <f>'SIMULARE PE PRODUS'!T$11</f>
        <v>96121.261261261257</v>
      </c>
      <c r="H21" s="42">
        <f>IFERROR($G21/'SIMULARE PE PRODUS'!T$4,"")</f>
        <v>2.0245928210444825E-2</v>
      </c>
      <c r="I21" s="41">
        <f>'SIMULARE PE PRODUS'!$L$11</f>
        <v>62527.299593999996</v>
      </c>
      <c r="J21" s="28">
        <f t="shared" si="1"/>
        <v>0.6505043605706381</v>
      </c>
      <c r="K21" s="41">
        <f t="shared" si="2"/>
        <v>33593.961667261261</v>
      </c>
    </row>
    <row r="22" spans="1:11" x14ac:dyDescent="0.2">
      <c r="A22" s="26">
        <v>18</v>
      </c>
      <c r="B22" s="26" t="s">
        <v>154</v>
      </c>
      <c r="C22" s="26" t="s">
        <v>96</v>
      </c>
      <c r="D22" s="27">
        <f>'SIMULARE PE PRODUS'!$F$25</f>
        <v>2652</v>
      </c>
      <c r="E22" s="27">
        <f>'SIMULARE PE PRODUS'!$G$25</f>
        <v>1759</v>
      </c>
      <c r="F22" s="27">
        <f t="shared" si="0"/>
        <v>4411</v>
      </c>
      <c r="G22" s="41">
        <f>'SIMULARE PE PRODUS'!T$25</f>
        <v>104061.16216216215</v>
      </c>
      <c r="H22" s="42">
        <f>IFERROR($G22/'SIMULARE PE PRODUS'!T$4,"")</f>
        <v>2.1918301851077349E-2</v>
      </c>
      <c r="I22" s="41">
        <f>'SIMULARE PE PRODUS'!$L$25</f>
        <v>66956.797437200003</v>
      </c>
      <c r="J22" s="28">
        <f t="shared" si="1"/>
        <v>0.64343695617063057</v>
      </c>
      <c r="K22" s="41">
        <f t="shared" si="2"/>
        <v>37104.364724962143</v>
      </c>
    </row>
    <row r="23" spans="1:11" x14ac:dyDescent="0.2">
      <c r="A23" s="26">
        <v>19</v>
      </c>
      <c r="B23" s="26" t="s">
        <v>246</v>
      </c>
      <c r="C23" s="26" t="s">
        <v>103</v>
      </c>
      <c r="D23" s="27">
        <f>'SIMULARE PE PRODUS'!$F$109</f>
        <v>167</v>
      </c>
      <c r="E23" s="27">
        <f>'SIMULARE PE PRODUS'!$G$109</f>
        <v>0</v>
      </c>
      <c r="F23" s="27">
        <f t="shared" si="0"/>
        <v>167</v>
      </c>
      <c r="G23" s="41">
        <f>'SIMULARE PE PRODUS'!T$109</f>
        <v>4126.6942148760327</v>
      </c>
      <c r="H23" s="42">
        <f>IFERROR($G23/'SIMULARE PE PRODUS'!T$4,"")</f>
        <v>8.6920160768333475E-4</v>
      </c>
      <c r="I23" s="41">
        <f>'SIMULARE PE PRODUS'!$L$109</f>
        <v>2653.2959999999998</v>
      </c>
      <c r="J23" s="28">
        <f t="shared" si="1"/>
        <v>0.64295919732441476</v>
      </c>
      <c r="K23" s="41">
        <f t="shared" si="2"/>
        <v>1473.3982148760329</v>
      </c>
    </row>
    <row r="24" spans="1:11" x14ac:dyDescent="0.2">
      <c r="A24" s="26">
        <v>20</v>
      </c>
      <c r="B24" s="26" t="s">
        <v>295</v>
      </c>
      <c r="C24" s="26" t="s">
        <v>103</v>
      </c>
      <c r="D24" s="27">
        <f>'SIMULARE PE PRODUS'!$F$120</f>
        <v>0</v>
      </c>
      <c r="E24" s="27">
        <f>'SIMULARE PE PRODUS'!$G$120</f>
        <v>123</v>
      </c>
      <c r="F24" s="27">
        <f t="shared" si="0"/>
        <v>123</v>
      </c>
      <c r="G24" s="41">
        <f>'SIMULARE PE PRODUS'!T$120</f>
        <v>1320.4710743801654</v>
      </c>
      <c r="H24" s="42">
        <f>IFERROR($G24/'SIMULARE PE PRODUS'!T$4,"")</f>
        <v>2.7812954413077565E-4</v>
      </c>
      <c r="I24" s="41">
        <f>'SIMULARE PE PRODUS'!$L$120</f>
        <v>829.14422999999999</v>
      </c>
      <c r="J24" s="28">
        <f t="shared" si="1"/>
        <v>0.62791548113933793</v>
      </c>
      <c r="K24" s="41">
        <f t="shared" si="2"/>
        <v>491.32684438016543</v>
      </c>
    </row>
    <row r="25" spans="1:11" x14ac:dyDescent="0.2">
      <c r="A25" s="26">
        <v>21</v>
      </c>
      <c r="B25" s="26" t="s">
        <v>160</v>
      </c>
      <c r="C25" s="26" t="s">
        <v>95</v>
      </c>
      <c r="D25" s="27">
        <f>'SIMULARE PE PRODUS'!$F$16</f>
        <v>8484</v>
      </c>
      <c r="E25" s="27">
        <f>'SIMULARE PE PRODUS'!$G$16</f>
        <v>1972</v>
      </c>
      <c r="F25" s="27">
        <f t="shared" si="0"/>
        <v>10456</v>
      </c>
      <c r="G25" s="41">
        <f>'SIMULARE PE PRODUS'!T$16</f>
        <v>71268.468468468462</v>
      </c>
      <c r="H25" s="42">
        <f>IFERROR($G25/'SIMULARE PE PRODUS'!T$4,"")</f>
        <v>1.5011208522941827E-2</v>
      </c>
      <c r="I25" s="41">
        <f>'SIMULARE PE PRODUS'!$L$16</f>
        <v>44709.47331039999</v>
      </c>
      <c r="J25" s="28">
        <f t="shared" si="1"/>
        <v>0.6273387694612933</v>
      </c>
      <c r="K25" s="41">
        <f t="shared" si="2"/>
        <v>26558.995158068472</v>
      </c>
    </row>
    <row r="26" spans="1:11" x14ac:dyDescent="0.2">
      <c r="A26" s="26">
        <v>22</v>
      </c>
      <c r="B26" s="26" t="s">
        <v>194</v>
      </c>
      <c r="C26" s="26" t="s">
        <v>109</v>
      </c>
      <c r="D26" s="27">
        <f>'SIMULARE PE PRODUS'!$F$218</f>
        <v>448</v>
      </c>
      <c r="E26" s="27">
        <f>'SIMULARE PE PRODUS'!$G$218</f>
        <v>114</v>
      </c>
      <c r="F26" s="27">
        <f t="shared" si="0"/>
        <v>562</v>
      </c>
      <c r="G26" s="41">
        <f>'SIMULARE PE PRODUS'!T$218</f>
        <v>19745.945945945943</v>
      </c>
      <c r="H26" s="42">
        <f>IFERROR($G26/'SIMULARE PE PRODUS'!T$4,"")</f>
        <v>4.1590694797724497E-3</v>
      </c>
      <c r="I26" s="41">
        <f>'SIMULARE PE PRODUS'!$L$218</f>
        <v>12250.019850646402</v>
      </c>
      <c r="J26" s="28">
        <f t="shared" si="1"/>
        <v>0.62038151447292222</v>
      </c>
      <c r="K26" s="41">
        <f t="shared" si="2"/>
        <v>7495.926095299541</v>
      </c>
    </row>
    <row r="27" spans="1:11" x14ac:dyDescent="0.2">
      <c r="A27" s="26">
        <v>23</v>
      </c>
      <c r="B27" s="26" t="s">
        <v>173</v>
      </c>
      <c r="C27" s="26" t="s">
        <v>100</v>
      </c>
      <c r="D27" s="27">
        <f>'SIMULARE PE PRODUS'!$F$53</f>
        <v>259</v>
      </c>
      <c r="E27" s="27">
        <f>'SIMULARE PE PRODUS'!$G$53</f>
        <v>116</v>
      </c>
      <c r="F27" s="27">
        <f t="shared" si="0"/>
        <v>375</v>
      </c>
      <c r="G27" s="41">
        <f>'SIMULARE PE PRODUS'!T$53</f>
        <v>36292.792792792781</v>
      </c>
      <c r="H27" s="42">
        <f>IFERROR($G27/'SIMULARE PE PRODUS'!T$4,"")</f>
        <v>7.6443158131505205E-3</v>
      </c>
      <c r="I27" s="41">
        <f>'SIMULARE PE PRODUS'!$L$53</f>
        <v>22232.117699999999</v>
      </c>
      <c r="J27" s="28">
        <f t="shared" si="1"/>
        <v>0.61257665749038115</v>
      </c>
      <c r="K27" s="41">
        <f t="shared" si="2"/>
        <v>14060.675092792782</v>
      </c>
    </row>
    <row r="28" spans="1:11" x14ac:dyDescent="0.2">
      <c r="A28" s="26">
        <v>24</v>
      </c>
      <c r="B28" s="26" t="s">
        <v>314</v>
      </c>
      <c r="C28" s="26" t="s">
        <v>104</v>
      </c>
      <c r="D28" s="27">
        <f>'SIMULARE PE PRODUS'!$F$153</f>
        <v>20</v>
      </c>
      <c r="E28" s="27">
        <f>'SIMULARE PE PRODUS'!$G$153</f>
        <v>14</v>
      </c>
      <c r="F28" s="27">
        <f t="shared" si="0"/>
        <v>34</v>
      </c>
      <c r="G28" s="41">
        <f>'SIMULARE PE PRODUS'!T$153</f>
        <v>533.33333333333326</v>
      </c>
      <c r="H28" s="42">
        <f>IFERROR($G28/'SIMULARE PE PRODUS'!T$4,"")</f>
        <v>1.1233548371317138E-4</v>
      </c>
      <c r="I28" s="41">
        <f>'SIMULARE PE PRODUS'!$L$153</f>
        <v>323.17068</v>
      </c>
      <c r="J28" s="28">
        <f t="shared" si="1"/>
        <v>0.60594502500000014</v>
      </c>
      <c r="K28" s="41">
        <f t="shared" si="2"/>
        <v>210.16265333333325</v>
      </c>
    </row>
    <row r="29" spans="1:11" x14ac:dyDescent="0.2">
      <c r="A29" s="26">
        <v>25</v>
      </c>
      <c r="B29" s="26" t="s">
        <v>279</v>
      </c>
      <c r="C29" s="26" t="s">
        <v>104</v>
      </c>
      <c r="D29" s="27">
        <f>'SIMULARE PE PRODUS'!$F$137</f>
        <v>66</v>
      </c>
      <c r="E29" s="27">
        <f>'SIMULARE PE PRODUS'!$G$137</f>
        <v>40</v>
      </c>
      <c r="F29" s="27">
        <f t="shared" si="0"/>
        <v>106</v>
      </c>
      <c r="G29" s="41">
        <f>'SIMULARE PE PRODUS'!T$137</f>
        <v>1659.4594594594591</v>
      </c>
      <c r="H29" s="42">
        <f>IFERROR($G29/'SIMULARE PE PRODUS'!T$4,"")</f>
        <v>3.4953033952645553E-4</v>
      </c>
      <c r="I29" s="41">
        <f>'SIMULARE PE PRODUS'!$L$137</f>
        <v>998.52</v>
      </c>
      <c r="J29" s="28">
        <f t="shared" si="1"/>
        <v>0.60171400651465812</v>
      </c>
      <c r="K29" s="41">
        <f t="shared" si="2"/>
        <v>660.93945945945916</v>
      </c>
    </row>
    <row r="30" spans="1:11" x14ac:dyDescent="0.2">
      <c r="A30" s="26">
        <v>26</v>
      </c>
      <c r="B30" s="26" t="s">
        <v>294</v>
      </c>
      <c r="C30" s="26" t="s">
        <v>111</v>
      </c>
      <c r="D30" s="27">
        <f>'SIMULARE PE PRODUS'!$F$228</f>
        <v>8</v>
      </c>
      <c r="E30" s="27">
        <f>'SIMULARE PE PRODUS'!$G$228</f>
        <v>0</v>
      </c>
      <c r="F30" s="27">
        <f t="shared" si="0"/>
        <v>8</v>
      </c>
      <c r="G30" s="41">
        <f>'SIMULARE PE PRODUS'!T$228</f>
        <v>1322.3140495867769</v>
      </c>
      <c r="H30" s="42">
        <f>IFERROR($G30/'SIMULARE PE PRODUS'!T$4,"")</f>
        <v>2.7851772821447455E-4</v>
      </c>
      <c r="I30" s="41">
        <f>'SIMULARE PE PRODUS'!$L$228</f>
        <v>788.08</v>
      </c>
      <c r="J30" s="28">
        <f t="shared" si="1"/>
        <v>0.59598549999999995</v>
      </c>
      <c r="K30" s="41">
        <f t="shared" si="2"/>
        <v>534.23404958677691</v>
      </c>
    </row>
    <row r="31" spans="1:11" x14ac:dyDescent="0.2">
      <c r="A31" s="26">
        <v>27</v>
      </c>
      <c r="B31" s="26" t="s">
        <v>277</v>
      </c>
      <c r="C31" s="26" t="s">
        <v>104</v>
      </c>
      <c r="D31" s="27">
        <f>'SIMULARE PE PRODUS'!$F$135</f>
        <v>154</v>
      </c>
      <c r="E31" s="27">
        <f>'SIMULARE PE PRODUS'!$G$135</f>
        <v>4</v>
      </c>
      <c r="F31" s="27">
        <f t="shared" si="0"/>
        <v>158</v>
      </c>
      <c r="G31" s="41">
        <f>'SIMULARE PE PRODUS'!T$135</f>
        <v>1702.8264462809921</v>
      </c>
      <c r="H31" s="42">
        <f>IFERROR($G31/'SIMULARE PE PRODUS'!T$4,"")</f>
        <v>3.586646859797923E-4</v>
      </c>
      <c r="I31" s="41">
        <f>'SIMULARE PE PRODUS'!$L$135</f>
        <v>1010.80421</v>
      </c>
      <c r="J31" s="28">
        <f t="shared" si="1"/>
        <v>0.59360377694838906</v>
      </c>
      <c r="K31" s="41">
        <f t="shared" si="2"/>
        <v>692.02223628099205</v>
      </c>
    </row>
    <row r="32" spans="1:11" x14ac:dyDescent="0.2">
      <c r="A32" s="26">
        <v>28</v>
      </c>
      <c r="B32" s="26" t="s">
        <v>301</v>
      </c>
      <c r="C32" s="26" t="s">
        <v>104</v>
      </c>
      <c r="D32" s="27">
        <f>'SIMULARE PE PRODUS'!$F$146</f>
        <v>53</v>
      </c>
      <c r="E32" s="27">
        <f>'SIMULARE PE PRODUS'!$G$146</f>
        <v>0</v>
      </c>
      <c r="F32" s="27">
        <f t="shared" si="0"/>
        <v>53</v>
      </c>
      <c r="G32" s="41">
        <f>'SIMULARE PE PRODUS'!T$146</f>
        <v>1050.4504504504503</v>
      </c>
      <c r="H32" s="42">
        <f>IFERROR($G32/'SIMULARE PE PRODUS'!T$4,"")</f>
        <v>2.2125536150263147E-4</v>
      </c>
      <c r="I32" s="41">
        <f>'SIMULARE PE PRODUS'!$L$146</f>
        <v>617.87347</v>
      </c>
      <c r="J32" s="28">
        <f t="shared" si="1"/>
        <v>0.58819858636363642</v>
      </c>
      <c r="K32" s="41">
        <f t="shared" si="2"/>
        <v>432.57698045045026</v>
      </c>
    </row>
    <row r="33" spans="1:11" x14ac:dyDescent="0.2">
      <c r="A33" s="26">
        <v>29</v>
      </c>
      <c r="B33" s="26" t="s">
        <v>195</v>
      </c>
      <c r="C33" s="26" t="s">
        <v>109</v>
      </c>
      <c r="D33" s="27">
        <f>'SIMULARE PE PRODUS'!$F$219</f>
        <v>455</v>
      </c>
      <c r="E33" s="27">
        <f>'SIMULARE PE PRODUS'!$G$219</f>
        <v>106</v>
      </c>
      <c r="F33" s="27">
        <f t="shared" si="0"/>
        <v>561</v>
      </c>
      <c r="G33" s="41">
        <f>'SIMULARE PE PRODUS'!T$219</f>
        <v>19710.81081081081</v>
      </c>
      <c r="H33" s="42">
        <f>IFERROR($G33/'SIMULARE PE PRODUS'!T$4,"")</f>
        <v>4.1516690002710759E-3</v>
      </c>
      <c r="I33" s="41">
        <f>'SIMULARE PE PRODUS'!$L$219</f>
        <v>11554.569397524003</v>
      </c>
      <c r="J33" s="28">
        <f t="shared" si="1"/>
        <v>0.58620467257423303</v>
      </c>
      <c r="K33" s="41">
        <f t="shared" si="2"/>
        <v>8156.2414132868071</v>
      </c>
    </row>
    <row r="34" spans="1:11" x14ac:dyDescent="0.2">
      <c r="A34" s="26">
        <v>30</v>
      </c>
      <c r="B34" s="26" t="s">
        <v>190</v>
      </c>
      <c r="C34" s="26" t="s">
        <v>110</v>
      </c>
      <c r="D34" s="27">
        <f>'SIMULARE PE PRODUS'!$F$223</f>
        <v>737</v>
      </c>
      <c r="E34" s="27">
        <f>'SIMULARE PE PRODUS'!$G$223</f>
        <v>0</v>
      </c>
      <c r="F34" s="27">
        <f t="shared" si="0"/>
        <v>737</v>
      </c>
      <c r="G34" s="41">
        <f>'SIMULARE PE PRODUS'!T$223</f>
        <v>19912.279279279279</v>
      </c>
      <c r="H34" s="42">
        <f>IFERROR($G34/'SIMULARE PE PRODUS'!T$4,"")</f>
        <v>4.1941041087554956E-3</v>
      </c>
      <c r="I34" s="41">
        <f>'SIMULARE PE PRODUS'!$L$223</f>
        <v>11542.820299999999</v>
      </c>
      <c r="J34" s="28">
        <f t="shared" si="1"/>
        <v>0.57968352784261423</v>
      </c>
      <c r="K34" s="41">
        <f t="shared" si="2"/>
        <v>8369.4589792792794</v>
      </c>
    </row>
    <row r="35" spans="1:11" x14ac:dyDescent="0.2">
      <c r="A35" s="26">
        <v>31</v>
      </c>
      <c r="B35" s="26" t="s">
        <v>264</v>
      </c>
      <c r="C35" s="26" t="s">
        <v>104</v>
      </c>
      <c r="D35" s="27">
        <f>'SIMULARE PE PRODUS'!$F$132</f>
        <v>84</v>
      </c>
      <c r="E35" s="27">
        <f>'SIMULARE PE PRODUS'!$G$132</f>
        <v>70</v>
      </c>
      <c r="F35" s="27">
        <f t="shared" si="0"/>
        <v>154</v>
      </c>
      <c r="G35" s="41">
        <f>'SIMULARE PE PRODUS'!T$132</f>
        <v>2421.6216216216212</v>
      </c>
      <c r="H35" s="42">
        <f>IFERROR($G35/'SIMULARE PE PRODUS'!T$4,"")</f>
        <v>5.100638179408863E-4</v>
      </c>
      <c r="I35" s="41">
        <f>'SIMULARE PE PRODUS'!$L$132</f>
        <v>1351.0435399999999</v>
      </c>
      <c r="J35" s="28">
        <f t="shared" si="1"/>
        <v>0.55790860468750003</v>
      </c>
      <c r="K35" s="41">
        <f t="shared" si="2"/>
        <v>1070.5780816216213</v>
      </c>
    </row>
    <row r="36" spans="1:11" x14ac:dyDescent="0.2">
      <c r="A36" s="26">
        <v>32</v>
      </c>
      <c r="B36" s="26" t="s">
        <v>290</v>
      </c>
      <c r="C36" s="26" t="s">
        <v>104</v>
      </c>
      <c r="D36" s="27">
        <f>'SIMULARE PE PRODUS'!$F$143</f>
        <v>41</v>
      </c>
      <c r="E36" s="27">
        <f>'SIMULARE PE PRODUS'!$G$143</f>
        <v>45</v>
      </c>
      <c r="F36" s="27">
        <f t="shared" si="0"/>
        <v>86</v>
      </c>
      <c r="G36" s="41">
        <f>'SIMULARE PE PRODUS'!T$143</f>
        <v>1357.6576576576576</v>
      </c>
      <c r="H36" s="42">
        <f>IFERROR($G36/'SIMULARE PE PRODUS'!T$4,"")</f>
        <v>2.859621181684954E-4</v>
      </c>
      <c r="I36" s="41">
        <f>'SIMULARE PE PRODUS'!$L$143</f>
        <v>729.88457999999991</v>
      </c>
      <c r="J36" s="28">
        <f t="shared" si="1"/>
        <v>0.53760576230922352</v>
      </c>
      <c r="K36" s="41">
        <f t="shared" si="2"/>
        <v>627.77307765765772</v>
      </c>
    </row>
    <row r="37" spans="1:11" x14ac:dyDescent="0.2">
      <c r="A37" s="26">
        <v>33</v>
      </c>
      <c r="B37" s="26" t="s">
        <v>320</v>
      </c>
      <c r="C37" s="26" t="s">
        <v>105</v>
      </c>
      <c r="D37" s="27">
        <f>'SIMULARE PE PRODUS'!$F$186</f>
        <v>71</v>
      </c>
      <c r="E37" s="27">
        <f>'SIMULARE PE PRODUS'!$G$186</f>
        <v>0</v>
      </c>
      <c r="F37" s="27">
        <f t="shared" ref="F37:F68" si="3">$D37+$E37</f>
        <v>71</v>
      </c>
      <c r="G37" s="41">
        <f>'SIMULARE PE PRODUS'!T$186</f>
        <v>255.85585585585582</v>
      </c>
      <c r="H37" s="42">
        <f>IFERROR($G37/'SIMULARE PE PRODUS'!T$4,"")</f>
        <v>5.3890671240778165E-5</v>
      </c>
      <c r="I37" s="41">
        <f>'SIMULARE PE PRODUS'!$L$186</f>
        <v>136.751609</v>
      </c>
      <c r="J37" s="28">
        <f t="shared" ref="J37:J68" si="4">IFERROR($I37/$G37,"")</f>
        <v>0.53448692250000007</v>
      </c>
      <c r="K37" s="41">
        <f t="shared" ref="K37:K68" si="5">$G37-$I37</f>
        <v>119.10424685585582</v>
      </c>
    </row>
    <row r="38" spans="1:11" x14ac:dyDescent="0.2">
      <c r="A38" s="26">
        <v>34</v>
      </c>
      <c r="B38" s="26" t="s">
        <v>172</v>
      </c>
      <c r="C38" s="26" t="s">
        <v>103</v>
      </c>
      <c r="D38" s="27">
        <f>'SIMULARE PE PRODUS'!$F$96</f>
        <v>5796</v>
      </c>
      <c r="E38" s="27">
        <f>'SIMULARE PE PRODUS'!$G$96</f>
        <v>0</v>
      </c>
      <c r="F38" s="27">
        <f t="shared" si="3"/>
        <v>5796</v>
      </c>
      <c r="G38" s="41">
        <f>'SIMULARE PE PRODUS'!T$96</f>
        <v>38272.760330578516</v>
      </c>
      <c r="H38" s="42">
        <f>IFERROR($G38/'SIMULARE PE PRODUS'!T$4,"")</f>
        <v>8.0613544589509031E-3</v>
      </c>
      <c r="I38" s="41">
        <f>'SIMULARE PE PRODUS'!$L$96</f>
        <v>20352.873181535997</v>
      </c>
      <c r="J38" s="28">
        <f t="shared" si="4"/>
        <v>0.53178482570212748</v>
      </c>
      <c r="K38" s="41">
        <f t="shared" si="5"/>
        <v>17919.887149042519</v>
      </c>
    </row>
    <row r="39" spans="1:11" x14ac:dyDescent="0.2">
      <c r="A39" s="26">
        <v>35</v>
      </c>
      <c r="B39" s="26" t="s">
        <v>161</v>
      </c>
      <c r="C39" s="26" t="s">
        <v>103</v>
      </c>
      <c r="D39" s="27">
        <f>'SIMULARE PE PRODUS'!$F$94</f>
        <v>9763</v>
      </c>
      <c r="E39" s="27">
        <f>'SIMULARE PE PRODUS'!$G$94</f>
        <v>0</v>
      </c>
      <c r="F39" s="27">
        <f t="shared" si="3"/>
        <v>9763</v>
      </c>
      <c r="G39" s="41">
        <f>'SIMULARE PE PRODUS'!T$94</f>
        <v>64468.074380165293</v>
      </c>
      <c r="H39" s="42">
        <f>IFERROR($G39/'SIMULARE PE PRODUS'!T$4,"")</f>
        <v>1.3578848099161088E-2</v>
      </c>
      <c r="I39" s="41">
        <f>'SIMULARE PE PRODUS'!$L$94</f>
        <v>34282.247700235595</v>
      </c>
      <c r="J39" s="28">
        <f t="shared" si="4"/>
        <v>0.53177092739073828</v>
      </c>
      <c r="K39" s="41">
        <f t="shared" si="5"/>
        <v>30185.826679929698</v>
      </c>
    </row>
    <row r="40" spans="1:11" x14ac:dyDescent="0.2">
      <c r="A40" s="26">
        <v>36</v>
      </c>
      <c r="B40" s="26" t="s">
        <v>208</v>
      </c>
      <c r="C40" s="26" t="s">
        <v>103</v>
      </c>
      <c r="D40" s="27">
        <f>'SIMULARE PE PRODUS'!$F$99</f>
        <v>2047</v>
      </c>
      <c r="E40" s="27">
        <f>'SIMULARE PE PRODUS'!$G$99</f>
        <v>0</v>
      </c>
      <c r="F40" s="27">
        <f t="shared" si="3"/>
        <v>2047</v>
      </c>
      <c r="G40" s="41">
        <f>'SIMULARE PE PRODUS'!T$99</f>
        <v>13516.966942148762</v>
      </c>
      <c r="H40" s="42">
        <f>IFERROR($G40/'SIMULARE PE PRODUS'!T$4,"")</f>
        <v>2.8470656620898033E-3</v>
      </c>
      <c r="I40" s="41">
        <f>'SIMULARE PE PRODUS'!$L$99</f>
        <v>7187.9107783348009</v>
      </c>
      <c r="J40" s="28">
        <f t="shared" si="4"/>
        <v>0.53176950192290362</v>
      </c>
      <c r="K40" s="41">
        <f t="shared" si="5"/>
        <v>6329.0561638139607</v>
      </c>
    </row>
    <row r="41" spans="1:11" x14ac:dyDescent="0.2">
      <c r="A41" s="26">
        <v>37</v>
      </c>
      <c r="B41" s="26" t="s">
        <v>216</v>
      </c>
      <c r="C41" s="26" t="s">
        <v>103</v>
      </c>
      <c r="D41" s="27">
        <f>'SIMULARE PE PRODUS'!$F$102</f>
        <v>1456</v>
      </c>
      <c r="E41" s="27">
        <f>'SIMULARE PE PRODUS'!$G$102</f>
        <v>0</v>
      </c>
      <c r="F41" s="27">
        <f t="shared" si="3"/>
        <v>1456</v>
      </c>
      <c r="G41" s="41">
        <f>'SIMULARE PE PRODUS'!T$102</f>
        <v>9614.4132231404965</v>
      </c>
      <c r="H41" s="42">
        <f>IFERROR($G41/'SIMULARE PE PRODUS'!T$4,"")</f>
        <v>2.025074550074623E-3</v>
      </c>
      <c r="I41" s="41">
        <f>'SIMULARE PE PRODUS'!$L$102</f>
        <v>5112.5497997391994</v>
      </c>
      <c r="J41" s="28">
        <f t="shared" si="4"/>
        <v>0.53175890000588222</v>
      </c>
      <c r="K41" s="41">
        <f t="shared" si="5"/>
        <v>4501.863423401297</v>
      </c>
    </row>
    <row r="42" spans="1:11" x14ac:dyDescent="0.2">
      <c r="A42" s="26">
        <v>38</v>
      </c>
      <c r="B42" s="26" t="s">
        <v>322</v>
      </c>
      <c r="C42" s="26" t="s">
        <v>104</v>
      </c>
      <c r="D42" s="27">
        <f>'SIMULARE PE PRODUS'!$F$158</f>
        <v>12</v>
      </c>
      <c r="E42" s="27">
        <f>'SIMULARE PE PRODUS'!$G$158</f>
        <v>5</v>
      </c>
      <c r="F42" s="27">
        <f t="shared" si="3"/>
        <v>17</v>
      </c>
      <c r="G42" s="41">
        <f>'SIMULARE PE PRODUS'!T$158</f>
        <v>200.68595041322314</v>
      </c>
      <c r="H42" s="42">
        <f>IFERROR($G42/'SIMULARE PE PRODUS'!T$4,"")</f>
        <v>4.2270287463950532E-5</v>
      </c>
      <c r="I42" s="41">
        <f>'SIMULARE PE PRODUS'!$L$158</f>
        <v>106.2238285</v>
      </c>
      <c r="J42" s="28">
        <f t="shared" si="4"/>
        <v>0.52930376182926331</v>
      </c>
      <c r="K42" s="41">
        <f t="shared" si="5"/>
        <v>94.462121913223143</v>
      </c>
    </row>
    <row r="43" spans="1:11" x14ac:dyDescent="0.2">
      <c r="A43" s="26">
        <v>39</v>
      </c>
      <c r="B43" s="26" t="s">
        <v>170</v>
      </c>
      <c r="C43" s="26" t="s">
        <v>103</v>
      </c>
      <c r="D43" s="27">
        <f>'SIMULARE PE PRODUS'!$F$95</f>
        <v>4497</v>
      </c>
      <c r="E43" s="27">
        <f>'SIMULARE PE PRODUS'!$G$95</f>
        <v>0</v>
      </c>
      <c r="F43" s="27">
        <f t="shared" si="3"/>
        <v>4497</v>
      </c>
      <c r="G43" s="41">
        <f>'SIMULARE PE PRODUS'!T$95</f>
        <v>40844.652892561986</v>
      </c>
      <c r="H43" s="42">
        <f>IFERROR($G43/'SIMULARE PE PRODUS'!T$4,"")</f>
        <v>8.6030696995922553E-3</v>
      </c>
      <c r="I43" s="41">
        <f>'SIMULARE PE PRODUS'!$L$95</f>
        <v>21545.130885407998</v>
      </c>
      <c r="J43" s="28">
        <f t="shared" si="4"/>
        <v>0.52748963106824376</v>
      </c>
      <c r="K43" s="41">
        <f t="shared" si="5"/>
        <v>19299.522007153988</v>
      </c>
    </row>
    <row r="44" spans="1:11" x14ac:dyDescent="0.2">
      <c r="A44" s="26">
        <v>40</v>
      </c>
      <c r="B44" s="26" t="s">
        <v>158</v>
      </c>
      <c r="C44" s="26" t="s">
        <v>103</v>
      </c>
      <c r="D44" s="27">
        <f>'SIMULARE PE PRODUS'!$F$93</f>
        <v>8964</v>
      </c>
      <c r="E44" s="27">
        <f>'SIMULARE PE PRODUS'!$G$93</f>
        <v>0</v>
      </c>
      <c r="F44" s="27">
        <f t="shared" si="3"/>
        <v>8964</v>
      </c>
      <c r="G44" s="41">
        <f>'SIMULARE PE PRODUS'!T$93</f>
        <v>81416.826446281004</v>
      </c>
      <c r="H44" s="42">
        <f>IFERROR($G44/'SIMULARE PE PRODUS'!T$4,"")</f>
        <v>1.7148747339814314E-2</v>
      </c>
      <c r="I44" s="41">
        <f>'SIMULARE PE PRODUS'!$L$93</f>
        <v>42945.366611347192</v>
      </c>
      <c r="J44" s="28">
        <f t="shared" si="4"/>
        <v>0.52747532034649669</v>
      </c>
      <c r="K44" s="41">
        <f t="shared" si="5"/>
        <v>38471.459834933812</v>
      </c>
    </row>
    <row r="45" spans="1:11" x14ac:dyDescent="0.2">
      <c r="A45" s="26">
        <v>41</v>
      </c>
      <c r="B45" s="26" t="s">
        <v>212</v>
      </c>
      <c r="C45" s="26" t="s">
        <v>103</v>
      </c>
      <c r="D45" s="27">
        <f>'SIMULARE PE PRODUS'!$F$101</f>
        <v>1296</v>
      </c>
      <c r="E45" s="27">
        <f>'SIMULARE PE PRODUS'!$G$101</f>
        <v>0</v>
      </c>
      <c r="F45" s="27">
        <f t="shared" si="3"/>
        <v>1296</v>
      </c>
      <c r="G45" s="41">
        <f>'SIMULARE PE PRODUS'!T$101</f>
        <v>11771.10743801653</v>
      </c>
      <c r="H45" s="42">
        <f>IFERROR($G45/'SIMULARE PE PRODUS'!T$4,"")</f>
        <v>2.4793369647924312E-3</v>
      </c>
      <c r="I45" s="41">
        <f>'SIMULARE PE PRODUS'!$L$101</f>
        <v>6208.9513894656002</v>
      </c>
      <c r="J45" s="28">
        <f t="shared" si="4"/>
        <v>0.52747385258016377</v>
      </c>
      <c r="K45" s="41">
        <f t="shared" si="5"/>
        <v>5562.1560485509299</v>
      </c>
    </row>
    <row r="46" spans="1:11" x14ac:dyDescent="0.2">
      <c r="A46" s="26">
        <v>42</v>
      </c>
      <c r="B46" s="26" t="s">
        <v>225</v>
      </c>
      <c r="C46" s="26" t="s">
        <v>103</v>
      </c>
      <c r="D46" s="27">
        <f>'SIMULARE PE PRODUS'!$F$104</f>
        <v>793</v>
      </c>
      <c r="E46" s="27">
        <f>'SIMULARE PE PRODUS'!$G$104</f>
        <v>0</v>
      </c>
      <c r="F46" s="27">
        <f t="shared" si="3"/>
        <v>793</v>
      </c>
      <c r="G46" s="41">
        <f>'SIMULARE PE PRODUS'!T$104</f>
        <v>7202.5371900826458</v>
      </c>
      <c r="H46" s="42">
        <f>IFERROR($G46/'SIMULARE PE PRODUS'!T$4,"")</f>
        <v>1.5170634360188256E-3</v>
      </c>
      <c r="I46" s="41">
        <f>'SIMULARE PE PRODUS'!$L$104</f>
        <v>3799.0714134203999</v>
      </c>
      <c r="J46" s="28">
        <f t="shared" si="4"/>
        <v>0.52746293606806183</v>
      </c>
      <c r="K46" s="41">
        <f t="shared" si="5"/>
        <v>3403.4657766622458</v>
      </c>
    </row>
    <row r="47" spans="1:11" x14ac:dyDescent="0.2">
      <c r="A47" s="26">
        <v>43</v>
      </c>
      <c r="B47" s="26" t="s">
        <v>311</v>
      </c>
      <c r="C47" s="26" t="s">
        <v>104</v>
      </c>
      <c r="D47" s="27">
        <f>'SIMULARE PE PRODUS'!$F$150</f>
        <v>24</v>
      </c>
      <c r="E47" s="27">
        <f>'SIMULARE PE PRODUS'!$G$150</f>
        <v>21</v>
      </c>
      <c r="F47" s="27">
        <f t="shared" si="3"/>
        <v>45</v>
      </c>
      <c r="G47" s="41">
        <f>'SIMULARE PE PRODUS'!T$150</f>
        <v>708.10810810810801</v>
      </c>
      <c r="H47" s="42">
        <f>IFERROR($G47/'SIMULARE PE PRODUS'!T$4,"")</f>
        <v>1.4914812533539309E-4</v>
      </c>
      <c r="I47" s="41">
        <f>'SIMULARE PE PRODUS'!$L$150</f>
        <v>368.05409999999995</v>
      </c>
      <c r="J47" s="28">
        <f t="shared" si="4"/>
        <v>0.51977105725190842</v>
      </c>
      <c r="K47" s="41">
        <f t="shared" si="5"/>
        <v>340.05400810810806</v>
      </c>
    </row>
    <row r="48" spans="1:11" x14ac:dyDescent="0.2">
      <c r="A48" s="26">
        <v>44</v>
      </c>
      <c r="B48" s="26" t="s">
        <v>300</v>
      </c>
      <c r="C48" s="26" t="s">
        <v>104</v>
      </c>
      <c r="D48" s="27">
        <f>'SIMULARE PE PRODUS'!$F$145</f>
        <v>53</v>
      </c>
      <c r="E48" s="27">
        <f>'SIMULARE PE PRODUS'!$G$145</f>
        <v>31</v>
      </c>
      <c r="F48" s="27">
        <f t="shared" si="3"/>
        <v>84</v>
      </c>
      <c r="G48" s="41">
        <f>'SIMULARE PE PRODUS'!T$145</f>
        <v>1135.6694214876034</v>
      </c>
      <c r="H48" s="42">
        <f>IFERROR($G48/'SIMULARE PE PRODUS'!T$4,"")</f>
        <v>2.3920495087700145E-4</v>
      </c>
      <c r="I48" s="41">
        <f>'SIMULARE PE PRODUS'!$L$145</f>
        <v>589.69031519999999</v>
      </c>
      <c r="J48" s="28">
        <f t="shared" si="4"/>
        <v>0.5192446886767188</v>
      </c>
      <c r="K48" s="41">
        <f t="shared" si="5"/>
        <v>545.97910628760337</v>
      </c>
    </row>
    <row r="49" spans="1:11" x14ac:dyDescent="0.2">
      <c r="A49" s="26">
        <v>45</v>
      </c>
      <c r="B49" s="26" t="s">
        <v>269</v>
      </c>
      <c r="C49" s="26" t="s">
        <v>104</v>
      </c>
      <c r="D49" s="27">
        <f>'SIMULARE PE PRODUS'!$F$134</f>
        <v>57</v>
      </c>
      <c r="E49" s="27">
        <f>'SIMULARE PE PRODUS'!$G$134</f>
        <v>54</v>
      </c>
      <c r="F49" s="27">
        <f t="shared" si="3"/>
        <v>111</v>
      </c>
      <c r="G49" s="41">
        <f>'SIMULARE PE PRODUS'!T$134</f>
        <v>2048.6486486486483</v>
      </c>
      <c r="H49" s="42">
        <f>IFERROR($G49/'SIMULARE PE PRODUS'!T$4,"")</f>
        <v>4.3150488169552652E-4</v>
      </c>
      <c r="I49" s="41">
        <f>'SIMULARE PE PRODUS'!$L$134</f>
        <v>1062.0502199999999</v>
      </c>
      <c r="J49" s="28">
        <f t="shared" si="4"/>
        <v>0.51841501503957788</v>
      </c>
      <c r="K49" s="41">
        <f t="shared" si="5"/>
        <v>986.59842864864845</v>
      </c>
    </row>
    <row r="50" spans="1:11" x14ac:dyDescent="0.2">
      <c r="A50" s="26">
        <v>46</v>
      </c>
      <c r="B50" s="26" t="s">
        <v>207</v>
      </c>
      <c r="C50" s="26" t="s">
        <v>103</v>
      </c>
      <c r="D50" s="27">
        <f>'SIMULARE PE PRODUS'!$F$98</f>
        <v>2083</v>
      </c>
      <c r="E50" s="27">
        <f>'SIMULARE PE PRODUS'!$G$98</f>
        <v>0</v>
      </c>
      <c r="F50" s="27">
        <f t="shared" si="3"/>
        <v>2083</v>
      </c>
      <c r="G50" s="41">
        <f>'SIMULARE PE PRODUS'!T$98</f>
        <v>13754.685950413224</v>
      </c>
      <c r="H50" s="42">
        <f>IFERROR($G50/'SIMULARE PE PRODUS'!T$4,"")</f>
        <v>2.8971361866795605E-3</v>
      </c>
      <c r="I50" s="41">
        <f>'SIMULARE PE PRODUS'!$L$98</f>
        <v>7091.2699985680001</v>
      </c>
      <c r="J50" s="28">
        <f t="shared" si="4"/>
        <v>0.51555302855569463</v>
      </c>
      <c r="K50" s="41">
        <f t="shared" si="5"/>
        <v>6663.4159518452243</v>
      </c>
    </row>
    <row r="51" spans="1:11" x14ac:dyDescent="0.2">
      <c r="A51" s="26">
        <v>47</v>
      </c>
      <c r="B51" s="26" t="s">
        <v>243</v>
      </c>
      <c r="C51" s="26" t="s">
        <v>100</v>
      </c>
      <c r="D51" s="27">
        <f>'SIMULARE PE PRODUS'!$F$66</f>
        <v>34</v>
      </c>
      <c r="E51" s="27">
        <f>'SIMULARE PE PRODUS'!$G$66</f>
        <v>12</v>
      </c>
      <c r="F51" s="27">
        <f t="shared" si="3"/>
        <v>46</v>
      </c>
      <c r="G51" s="41">
        <f>'SIMULARE PE PRODUS'!T$66</f>
        <v>4411.7477477477469</v>
      </c>
      <c r="H51" s="42">
        <f>IFERROR($G51/'SIMULARE PE PRODUS'!T$4,"")</f>
        <v>9.2924215736950799E-4</v>
      </c>
      <c r="I51" s="41">
        <f>'SIMULARE PE PRODUS'!$L$66</f>
        <v>2273.2531712</v>
      </c>
      <c r="J51" s="28">
        <f t="shared" si="4"/>
        <v>0.51527269943312703</v>
      </c>
      <c r="K51" s="41">
        <f t="shared" si="5"/>
        <v>2138.4945765477469</v>
      </c>
    </row>
    <row r="52" spans="1:11" x14ac:dyDescent="0.2">
      <c r="A52" s="26">
        <v>48</v>
      </c>
      <c r="B52" s="26" t="s">
        <v>265</v>
      </c>
      <c r="C52" s="26" t="s">
        <v>104</v>
      </c>
      <c r="D52" s="27">
        <f>'SIMULARE PE PRODUS'!$F$133</f>
        <v>79</v>
      </c>
      <c r="E52" s="27">
        <f>'SIMULARE PE PRODUS'!$G$133</f>
        <v>52</v>
      </c>
      <c r="F52" s="27">
        <f t="shared" si="3"/>
        <v>131</v>
      </c>
      <c r="G52" s="41">
        <f>'SIMULARE PE PRODUS'!T$133</f>
        <v>2407.2072072072069</v>
      </c>
      <c r="H52" s="42">
        <f>IFERROR($G52/'SIMULARE PE PRODUS'!T$4,"")</f>
        <v>5.0702772378647624E-4</v>
      </c>
      <c r="I52" s="41">
        <f>'SIMULARE PE PRODUS'!$L$133</f>
        <v>1239.13031</v>
      </c>
      <c r="J52" s="28">
        <f t="shared" si="4"/>
        <v>0.51475847458832347</v>
      </c>
      <c r="K52" s="41">
        <f t="shared" si="5"/>
        <v>1168.0768972072069</v>
      </c>
    </row>
    <row r="53" spans="1:11" x14ac:dyDescent="0.2">
      <c r="A53" s="26">
        <v>49</v>
      </c>
      <c r="B53" s="26" t="s">
        <v>210</v>
      </c>
      <c r="C53" s="26" t="s">
        <v>103</v>
      </c>
      <c r="D53" s="27">
        <f>'SIMULARE PE PRODUS'!$F$100</f>
        <v>1402</v>
      </c>
      <c r="E53" s="27">
        <f>'SIMULARE PE PRODUS'!$G$100</f>
        <v>0</v>
      </c>
      <c r="F53" s="27">
        <f t="shared" si="3"/>
        <v>1402</v>
      </c>
      <c r="G53" s="41">
        <f>'SIMULARE PE PRODUS'!T$100</f>
        <v>12733.867768595042</v>
      </c>
      <c r="H53" s="42">
        <f>IFERROR($G53/'SIMULARE PE PRODUS'!T$4,"")</f>
        <v>2.6821222412337872E-3</v>
      </c>
      <c r="I53" s="41">
        <f>'SIMULARE PE PRODUS'!$L$100</f>
        <v>6547.5880039859994</v>
      </c>
      <c r="J53" s="28">
        <f t="shared" si="4"/>
        <v>0.51418690086715191</v>
      </c>
      <c r="K53" s="41">
        <f t="shared" si="5"/>
        <v>6186.279764609043</v>
      </c>
    </row>
    <row r="54" spans="1:11" x14ac:dyDescent="0.2">
      <c r="A54" s="26">
        <v>50</v>
      </c>
      <c r="B54" s="26" t="s">
        <v>253</v>
      </c>
      <c r="C54" s="26" t="s">
        <v>103</v>
      </c>
      <c r="D54" s="27">
        <f>'SIMULARE PE PRODUS'!$F$111</f>
        <v>142</v>
      </c>
      <c r="E54" s="27">
        <f>'SIMULARE PE PRODUS'!$G$111</f>
        <v>84</v>
      </c>
      <c r="F54" s="27">
        <f t="shared" si="3"/>
        <v>226</v>
      </c>
      <c r="G54" s="41">
        <f>'SIMULARE PE PRODUS'!T$111</f>
        <v>3264.2479338842977</v>
      </c>
      <c r="H54" s="42">
        <f>IFERROR($G54/'SIMULARE PE PRODUS'!T$4,"")</f>
        <v>6.8754538239864922E-4</v>
      </c>
      <c r="I54" s="41">
        <f>'SIMULARE PE PRODUS'!$L$111</f>
        <v>1677.37652</v>
      </c>
      <c r="J54" s="28">
        <f t="shared" si="4"/>
        <v>0.5138630869880042</v>
      </c>
      <c r="K54" s="41">
        <f t="shared" si="5"/>
        <v>1586.8714138842977</v>
      </c>
    </row>
    <row r="55" spans="1:11" x14ac:dyDescent="0.2">
      <c r="A55" s="26">
        <v>51</v>
      </c>
      <c r="B55" s="26" t="s">
        <v>164</v>
      </c>
      <c r="C55" s="26" t="s">
        <v>100</v>
      </c>
      <c r="D55" s="27">
        <f>'SIMULARE PE PRODUS'!$F$51</f>
        <v>2205</v>
      </c>
      <c r="E55" s="27">
        <f>'SIMULARE PE PRODUS'!$G$51</f>
        <v>628</v>
      </c>
      <c r="F55" s="27">
        <f t="shared" si="3"/>
        <v>2833</v>
      </c>
      <c r="G55" s="41">
        <f>'SIMULARE PE PRODUS'!T$51</f>
        <v>48631.081081081073</v>
      </c>
      <c r="H55" s="42">
        <f>IFERROR($G55/'SIMULARE PE PRODUS'!T$4,"")</f>
        <v>1.0243117531383189E-2</v>
      </c>
      <c r="I55" s="41">
        <f>'SIMULARE PE PRODUS'!$L$51</f>
        <v>24593.689677640003</v>
      </c>
      <c r="J55" s="28">
        <f t="shared" si="4"/>
        <v>0.50571957544262114</v>
      </c>
      <c r="K55" s="41">
        <f t="shared" si="5"/>
        <v>24037.39140344107</v>
      </c>
    </row>
    <row r="56" spans="1:11" x14ac:dyDescent="0.2">
      <c r="A56" s="26">
        <v>52</v>
      </c>
      <c r="B56" s="26" t="s">
        <v>167</v>
      </c>
      <c r="C56" s="26" t="s">
        <v>100</v>
      </c>
      <c r="D56" s="27">
        <f>'SIMULARE PE PRODUS'!$F$52</f>
        <v>1543</v>
      </c>
      <c r="E56" s="27">
        <f>'SIMULARE PE PRODUS'!$G$52</f>
        <v>498</v>
      </c>
      <c r="F56" s="27">
        <f t="shared" si="3"/>
        <v>2041</v>
      </c>
      <c r="G56" s="41">
        <f>'SIMULARE PE PRODUS'!T$52</f>
        <v>46843.693693693691</v>
      </c>
      <c r="H56" s="42">
        <f>IFERROR($G56/'SIMULARE PE PRODUS'!T$4,"")</f>
        <v>9.8666418562363446E-3</v>
      </c>
      <c r="I56" s="41">
        <f>'SIMULARE PE PRODUS'!$L$52</f>
        <v>23537.892587040002</v>
      </c>
      <c r="J56" s="28">
        <f t="shared" si="4"/>
        <v>0.50247729696449572</v>
      </c>
      <c r="K56" s="41">
        <f t="shared" si="5"/>
        <v>23305.801106653689</v>
      </c>
    </row>
    <row r="57" spans="1:11" x14ac:dyDescent="0.2">
      <c r="A57" s="26">
        <v>53</v>
      </c>
      <c r="B57" s="26" t="s">
        <v>321</v>
      </c>
      <c r="C57" s="26" t="s">
        <v>104</v>
      </c>
      <c r="D57" s="27">
        <f>'SIMULARE PE PRODUS'!$F$157</f>
        <v>6</v>
      </c>
      <c r="E57" s="27">
        <f>'SIMULARE PE PRODUS'!$G$157</f>
        <v>9</v>
      </c>
      <c r="F57" s="27">
        <f t="shared" si="3"/>
        <v>15</v>
      </c>
      <c r="G57" s="41">
        <f>'SIMULARE PE PRODUS'!T$157</f>
        <v>205.6611570247934</v>
      </c>
      <c r="H57" s="42">
        <f>IFERROR($G57/'SIMULARE PE PRODUS'!T$4,"")</f>
        <v>4.3318210416357496E-5</v>
      </c>
      <c r="I57" s="41">
        <f>'SIMULARE PE PRODUS'!$L$157</f>
        <v>103.25692875000001</v>
      </c>
      <c r="J57" s="28">
        <f t="shared" si="4"/>
        <v>0.50207307127787826</v>
      </c>
      <c r="K57" s="41">
        <f t="shared" si="5"/>
        <v>102.40422827479338</v>
      </c>
    </row>
    <row r="58" spans="1:11" x14ac:dyDescent="0.2">
      <c r="A58" s="26">
        <v>54</v>
      </c>
      <c r="B58" s="26" t="s">
        <v>156</v>
      </c>
      <c r="C58" s="26" t="s">
        <v>100</v>
      </c>
      <c r="D58" s="27">
        <f>'SIMULARE PE PRODUS'!$F$50</f>
        <v>2302</v>
      </c>
      <c r="E58" s="27">
        <f>'SIMULARE PE PRODUS'!$G$50</f>
        <v>1136</v>
      </c>
      <c r="F58" s="27">
        <f t="shared" si="3"/>
        <v>3438</v>
      </c>
      <c r="G58" s="41">
        <f>'SIMULARE PE PRODUS'!T$50</f>
        <v>98561.261261261243</v>
      </c>
      <c r="H58" s="42">
        <f>IFERROR($G58/'SIMULARE PE PRODUS'!T$4,"")</f>
        <v>2.0759863048432581E-2</v>
      </c>
      <c r="I58" s="41">
        <f>'SIMULARE PE PRODUS'!$L$50</f>
        <v>49451.8887684</v>
      </c>
      <c r="J58" s="28">
        <f t="shared" si="4"/>
        <v>0.50173758062323714</v>
      </c>
      <c r="K58" s="41">
        <f t="shared" si="5"/>
        <v>49109.372492861243</v>
      </c>
    </row>
    <row r="59" spans="1:11" x14ac:dyDescent="0.2">
      <c r="A59" s="26">
        <v>55</v>
      </c>
      <c r="B59" s="26" t="s">
        <v>307</v>
      </c>
      <c r="C59" s="26" t="s">
        <v>104</v>
      </c>
      <c r="D59" s="27">
        <f>'SIMULARE PE PRODUS'!$F$148</f>
        <v>32</v>
      </c>
      <c r="E59" s="27">
        <f>'SIMULARE PE PRODUS'!$G$148</f>
        <v>26</v>
      </c>
      <c r="F59" s="27">
        <f t="shared" si="3"/>
        <v>58</v>
      </c>
      <c r="G59" s="41">
        <f>'SIMULARE PE PRODUS'!T$148</f>
        <v>911.71171171171159</v>
      </c>
      <c r="H59" s="42">
        <f>IFERROR($G59/'SIMULARE PE PRODUS'!T$4,"")</f>
        <v>1.9203295526643485E-4</v>
      </c>
      <c r="I59" s="41">
        <f>'SIMULARE PE PRODUS'!$L$148</f>
        <v>451.81999999999994</v>
      </c>
      <c r="J59" s="28">
        <f t="shared" si="4"/>
        <v>0.49557332015810279</v>
      </c>
      <c r="K59" s="41">
        <f t="shared" si="5"/>
        <v>459.89171171171165</v>
      </c>
    </row>
    <row r="60" spans="1:11" x14ac:dyDescent="0.2">
      <c r="A60" s="26">
        <v>56</v>
      </c>
      <c r="B60" s="26" t="s">
        <v>304</v>
      </c>
      <c r="C60" s="26" t="s">
        <v>104</v>
      </c>
      <c r="D60" s="27">
        <f>'SIMULARE PE PRODUS'!$F$147</f>
        <v>106</v>
      </c>
      <c r="E60" s="27">
        <f>'SIMULARE PE PRODUS'!$G$147</f>
        <v>1</v>
      </c>
      <c r="F60" s="27">
        <f t="shared" si="3"/>
        <v>107</v>
      </c>
      <c r="G60" s="41">
        <f>'SIMULARE PE PRODUS'!T$147</f>
        <v>972.66942148760336</v>
      </c>
      <c r="H60" s="42">
        <f>IFERROR($G60/'SIMULARE PE PRODUS'!T$4,"")</f>
        <v>2.0487241866716345E-4</v>
      </c>
      <c r="I60" s="41">
        <f>'SIMULARE PE PRODUS'!$L$147</f>
        <v>474.80661500000008</v>
      </c>
      <c r="J60" s="28">
        <f t="shared" si="4"/>
        <v>0.48814798174063034</v>
      </c>
      <c r="K60" s="41">
        <f t="shared" si="5"/>
        <v>497.86280648760328</v>
      </c>
    </row>
    <row r="61" spans="1:11" x14ac:dyDescent="0.2">
      <c r="A61" s="26">
        <v>57</v>
      </c>
      <c r="B61" s="26" t="s">
        <v>280</v>
      </c>
      <c r="C61" s="26" t="s">
        <v>104</v>
      </c>
      <c r="D61" s="27">
        <f>'SIMULARE PE PRODUS'!$F$138</f>
        <v>143</v>
      </c>
      <c r="E61" s="27">
        <f>'SIMULARE PE PRODUS'!$G$138</f>
        <v>10</v>
      </c>
      <c r="F61" s="27">
        <f t="shared" si="3"/>
        <v>153</v>
      </c>
      <c r="G61" s="41">
        <f>'SIMULARE PE PRODUS'!T$138</f>
        <v>1650.8016528925621</v>
      </c>
      <c r="H61" s="42">
        <f>IFERROR($G61/'SIMULARE PE PRODUS'!T$4,"")</f>
        <v>3.4770675411035406E-4</v>
      </c>
      <c r="I61" s="41">
        <f>'SIMULARE PE PRODUS'!$L$138</f>
        <v>794.52800549999995</v>
      </c>
      <c r="J61" s="28">
        <f t="shared" si="4"/>
        <v>0.4812982856588584</v>
      </c>
      <c r="K61" s="41">
        <f t="shared" si="5"/>
        <v>856.27364739256211</v>
      </c>
    </row>
    <row r="62" spans="1:11" x14ac:dyDescent="0.2">
      <c r="A62" s="26">
        <v>58</v>
      </c>
      <c r="B62" s="26" t="s">
        <v>223</v>
      </c>
      <c r="C62" s="26" t="s">
        <v>100</v>
      </c>
      <c r="D62" s="27">
        <f>'SIMULARE PE PRODUS'!$F$64</f>
        <v>58</v>
      </c>
      <c r="E62" s="27">
        <f>'SIMULARE PE PRODUS'!$G$64</f>
        <v>21</v>
      </c>
      <c r="F62" s="27">
        <f t="shared" si="3"/>
        <v>79</v>
      </c>
      <c r="G62" s="41">
        <f>'SIMULARE PE PRODUS'!T$64</f>
        <v>7583.747747747746</v>
      </c>
      <c r="H62" s="42">
        <f>IFERROR($G62/'SIMULARE PE PRODUS'!T$4,"")</f>
        <v>1.5973574467535946E-3</v>
      </c>
      <c r="I62" s="41">
        <f>'SIMULARE PE PRODUS'!$L$64</f>
        <v>3635.7812288</v>
      </c>
      <c r="J62" s="28">
        <f t="shared" si="4"/>
        <v>0.47941747929046952</v>
      </c>
      <c r="K62" s="41">
        <f t="shared" si="5"/>
        <v>3947.966518947746</v>
      </c>
    </row>
    <row r="63" spans="1:11" x14ac:dyDescent="0.2">
      <c r="A63" s="26">
        <v>59</v>
      </c>
      <c r="B63" s="26" t="s">
        <v>145</v>
      </c>
      <c r="C63" s="26" t="s">
        <v>96</v>
      </c>
      <c r="D63" s="27">
        <f>'SIMULARE PE PRODUS'!$F$22</f>
        <v>5163</v>
      </c>
      <c r="E63" s="27">
        <f>'SIMULARE PE PRODUS'!$G$22</f>
        <v>2418</v>
      </c>
      <c r="F63" s="27">
        <f t="shared" si="3"/>
        <v>7581</v>
      </c>
      <c r="G63" s="41">
        <f>'SIMULARE PE PRODUS'!T$22</f>
        <v>211358.7297297297</v>
      </c>
      <c r="H63" s="42">
        <f>IFERROR($G63/'SIMULARE PE PRODUS'!T$4,"")</f>
        <v>4.451828463973246E-2</v>
      </c>
      <c r="I63" s="41">
        <f>'SIMULARE PE PRODUS'!$L$22</f>
        <v>101328.1402812</v>
      </c>
      <c r="J63" s="28">
        <f t="shared" si="4"/>
        <v>0.47941308320111081</v>
      </c>
      <c r="K63" s="41">
        <f t="shared" si="5"/>
        <v>110030.5894485297</v>
      </c>
    </row>
    <row r="64" spans="1:11" x14ac:dyDescent="0.2">
      <c r="A64" s="26">
        <v>60</v>
      </c>
      <c r="B64" s="26" t="s">
        <v>319</v>
      </c>
      <c r="C64" s="26" t="s">
        <v>104</v>
      </c>
      <c r="D64" s="27">
        <f>'SIMULARE PE PRODUS'!$F$156</f>
        <v>20</v>
      </c>
      <c r="E64" s="27">
        <f>'SIMULARE PE PRODUS'!$G$156</f>
        <v>5</v>
      </c>
      <c r="F64" s="27">
        <f t="shared" si="3"/>
        <v>25</v>
      </c>
      <c r="G64" s="41">
        <f>'SIMULARE PE PRODUS'!T$156</f>
        <v>293.18181818181824</v>
      </c>
      <c r="H64" s="42">
        <f>IFERROR($G64/'SIMULARE PE PRODUS'!T$4,"")</f>
        <v>6.1752602552553033E-5</v>
      </c>
      <c r="I64" s="41">
        <f>'SIMULARE PE PRODUS'!$L$156</f>
        <v>140.26241250000001</v>
      </c>
      <c r="J64" s="28">
        <f t="shared" si="4"/>
        <v>0.47841443023255809</v>
      </c>
      <c r="K64" s="41">
        <f t="shared" si="5"/>
        <v>152.91940568181823</v>
      </c>
    </row>
    <row r="65" spans="1:11" x14ac:dyDescent="0.2">
      <c r="A65" s="26">
        <v>61</v>
      </c>
      <c r="B65" s="26" t="s">
        <v>254</v>
      </c>
      <c r="C65" s="26" t="s">
        <v>104</v>
      </c>
      <c r="D65" s="27">
        <f>'SIMULARE PE PRODUS'!$F$131</f>
        <v>139</v>
      </c>
      <c r="E65" s="27">
        <f>'SIMULARE PE PRODUS'!$G$131</f>
        <v>66</v>
      </c>
      <c r="F65" s="27">
        <f t="shared" si="3"/>
        <v>205</v>
      </c>
      <c r="G65" s="41">
        <f>'SIMULARE PE PRODUS'!T$131</f>
        <v>3199.0990990990986</v>
      </c>
      <c r="H65" s="42">
        <f>IFERROR($G65/'SIMULARE PE PRODUS'!T$4,"")</f>
        <v>6.7382314639437768E-4</v>
      </c>
      <c r="I65" s="41">
        <f>'SIMULARE PE PRODUS'!$L$131</f>
        <v>1527.0470499999999</v>
      </c>
      <c r="J65" s="28">
        <f t="shared" si="4"/>
        <v>0.47733658842579557</v>
      </c>
      <c r="K65" s="41">
        <f t="shared" si="5"/>
        <v>1672.0520490990987</v>
      </c>
    </row>
    <row r="66" spans="1:11" x14ac:dyDescent="0.2">
      <c r="A66" s="26">
        <v>62</v>
      </c>
      <c r="B66" s="26" t="s">
        <v>189</v>
      </c>
      <c r="C66" s="26" t="s">
        <v>100</v>
      </c>
      <c r="D66" s="27">
        <f>'SIMULARE PE PRODUS'!$F$56</f>
        <v>345</v>
      </c>
      <c r="E66" s="27">
        <f>'SIMULARE PE PRODUS'!$G$56</f>
        <v>356</v>
      </c>
      <c r="F66" s="27">
        <f t="shared" si="3"/>
        <v>701</v>
      </c>
      <c r="G66" s="41">
        <f>'SIMULARE PE PRODUS'!T$56</f>
        <v>21652.252252252249</v>
      </c>
      <c r="H66" s="42">
        <f>IFERROR($G66/'SIMULARE PE PRODUS'!T$4,"")</f>
        <v>4.5605929316931771E-3</v>
      </c>
      <c r="I66" s="41">
        <f>'SIMULARE PE PRODUS'!$L$56</f>
        <v>10295.001076159999</v>
      </c>
      <c r="J66" s="28">
        <f t="shared" si="4"/>
        <v>0.47547021696503289</v>
      </c>
      <c r="K66" s="41">
        <f t="shared" si="5"/>
        <v>11357.25117609225</v>
      </c>
    </row>
    <row r="67" spans="1:11" x14ac:dyDescent="0.2">
      <c r="A67" s="26">
        <v>63</v>
      </c>
      <c r="B67" s="26" t="s">
        <v>303</v>
      </c>
      <c r="C67" s="26" t="s">
        <v>103</v>
      </c>
      <c r="D67" s="27">
        <f>'SIMULARE PE PRODUS'!$F$124</f>
        <v>55</v>
      </c>
      <c r="E67" s="27">
        <f>'SIMULARE PE PRODUS'!$G$124</f>
        <v>19</v>
      </c>
      <c r="F67" s="27">
        <f t="shared" si="3"/>
        <v>74</v>
      </c>
      <c r="G67" s="41">
        <f>'SIMULARE PE PRODUS'!T$124</f>
        <v>1009.305785123967</v>
      </c>
      <c r="H67" s="42">
        <f>IFERROR($G67/'SIMULARE PE PRODUS'!T$4,"")</f>
        <v>2.1258910047450573E-4</v>
      </c>
      <c r="I67" s="41">
        <f>'SIMULARE PE PRODUS'!$L$124</f>
        <v>477.59599999999995</v>
      </c>
      <c r="J67" s="28">
        <f t="shared" si="4"/>
        <v>0.47319257160637368</v>
      </c>
      <c r="K67" s="41">
        <f t="shared" si="5"/>
        <v>531.70978512396709</v>
      </c>
    </row>
    <row r="68" spans="1:11" x14ac:dyDescent="0.2">
      <c r="A68" s="26">
        <v>64</v>
      </c>
      <c r="B68" s="26" t="s">
        <v>169</v>
      </c>
      <c r="C68" s="26" t="s">
        <v>96</v>
      </c>
      <c r="D68" s="27">
        <f>'SIMULARE PE PRODUS'!$F$26</f>
        <v>919</v>
      </c>
      <c r="E68" s="27">
        <f>'SIMULARE PE PRODUS'!$G$26</f>
        <v>398</v>
      </c>
      <c r="F68" s="27">
        <f t="shared" si="3"/>
        <v>1317</v>
      </c>
      <c r="G68" s="41">
        <f>'SIMULARE PE PRODUS'!T$26</f>
        <v>41404.351351351346</v>
      </c>
      <c r="H68" s="42">
        <f>IFERROR($G68/'SIMULARE PE PRODUS'!T$4,"")</f>
        <v>8.7209584441577913E-3</v>
      </c>
      <c r="I68" s="41">
        <f>'SIMULARE PE PRODUS'!$L$26</f>
        <v>19582.96054023</v>
      </c>
      <c r="J68" s="28">
        <f t="shared" si="4"/>
        <v>0.47296865911632874</v>
      </c>
      <c r="K68" s="41">
        <f t="shared" si="5"/>
        <v>21821.390811121346</v>
      </c>
    </row>
    <row r="69" spans="1:11" x14ac:dyDescent="0.2">
      <c r="A69" s="26">
        <v>65</v>
      </c>
      <c r="B69" s="26" t="s">
        <v>259</v>
      </c>
      <c r="C69" s="26" t="s">
        <v>103</v>
      </c>
      <c r="D69" s="27">
        <f>'SIMULARE PE PRODUS'!$F$113</f>
        <v>225</v>
      </c>
      <c r="E69" s="27">
        <f>'SIMULARE PE PRODUS'!$G$113</f>
        <v>68</v>
      </c>
      <c r="F69" s="27">
        <f t="shared" ref="F69:F100" si="6">$D69+$E69</f>
        <v>293</v>
      </c>
      <c r="G69" s="41">
        <f>'SIMULARE PE PRODUS'!T$113</f>
        <v>2773.6115702479342</v>
      </c>
      <c r="H69" s="42">
        <f>IFERROR($G69/'SIMULARE PE PRODUS'!T$4,"")</f>
        <v>5.8420312008046981E-4</v>
      </c>
      <c r="I69" s="41">
        <f>'SIMULARE PE PRODUS'!$L$113</f>
        <v>1291.837</v>
      </c>
      <c r="J69" s="28">
        <f t="shared" ref="J69:J100" si="7">IFERROR($I69/$G69,"")</f>
        <v>0.46575988283915409</v>
      </c>
      <c r="K69" s="41">
        <f t="shared" ref="K69:K100" si="8">$G69-$I69</f>
        <v>1481.7745702479342</v>
      </c>
    </row>
    <row r="70" spans="1:11" x14ac:dyDescent="0.2">
      <c r="A70" s="26">
        <v>66</v>
      </c>
      <c r="B70" s="26" t="s">
        <v>143</v>
      </c>
      <c r="C70" s="26" t="s">
        <v>96</v>
      </c>
      <c r="D70" s="27">
        <f>'SIMULARE PE PRODUS'!$F$21</f>
        <v>6175</v>
      </c>
      <c r="E70" s="27">
        <f>'SIMULARE PE PRODUS'!$G$21</f>
        <v>3718</v>
      </c>
      <c r="F70" s="27">
        <f t="shared" si="6"/>
        <v>9893</v>
      </c>
      <c r="G70" s="41">
        <f>'SIMULARE PE PRODUS'!T$21</f>
        <v>270100.06306306308</v>
      </c>
      <c r="H70" s="42">
        <f>IFERROR($G70/'SIMULARE PE PRODUS'!T$4,"")</f>
        <v>5.6890914815901167E-2</v>
      </c>
      <c r="I70" s="41">
        <f>'SIMULARE PE PRODUS'!$L$21</f>
        <v>125521.29972720001</v>
      </c>
      <c r="J70" s="28">
        <f t="shared" si="7"/>
        <v>0.46472147508493267</v>
      </c>
      <c r="K70" s="41">
        <f t="shared" si="8"/>
        <v>144578.76333586307</v>
      </c>
    </row>
    <row r="71" spans="1:11" x14ac:dyDescent="0.2">
      <c r="A71" s="26">
        <v>67</v>
      </c>
      <c r="B71" s="26" t="s">
        <v>309</v>
      </c>
      <c r="C71" s="26" t="s">
        <v>104</v>
      </c>
      <c r="D71" s="27">
        <f>'SIMULARE PE PRODUS'!$F$149</f>
        <v>65</v>
      </c>
      <c r="E71" s="27">
        <f>'SIMULARE PE PRODUS'!$G$149</f>
        <v>7</v>
      </c>
      <c r="F71" s="27">
        <f t="shared" si="6"/>
        <v>72</v>
      </c>
      <c r="G71" s="41">
        <f>'SIMULARE PE PRODUS'!T$149</f>
        <v>838.24793388429759</v>
      </c>
      <c r="H71" s="42">
        <f>IFERROR($G71/'SIMULARE PE PRODUS'!T$4,"")</f>
        <v>1.7655935085836077E-4</v>
      </c>
      <c r="I71" s="41">
        <f>'SIMULARE PE PRODUS'!$L$149</f>
        <v>385.34416199999998</v>
      </c>
      <c r="J71" s="28">
        <f t="shared" si="7"/>
        <v>0.45970189298812947</v>
      </c>
      <c r="K71" s="41">
        <f t="shared" si="8"/>
        <v>452.90377188429761</v>
      </c>
    </row>
    <row r="72" spans="1:11" x14ac:dyDescent="0.2">
      <c r="A72" s="26">
        <v>68</v>
      </c>
      <c r="B72" s="26" t="s">
        <v>292</v>
      </c>
      <c r="C72" s="26" t="s">
        <v>108</v>
      </c>
      <c r="D72" s="27">
        <f>'SIMULARE PE PRODUS'!$F$214</f>
        <v>35</v>
      </c>
      <c r="E72" s="27">
        <f>'SIMULARE PE PRODUS'!$G$214</f>
        <v>44</v>
      </c>
      <c r="F72" s="27">
        <f t="shared" si="6"/>
        <v>79</v>
      </c>
      <c r="G72" s="41">
        <f>'SIMULARE PE PRODUS'!T$214</f>
        <v>1328.8288288288286</v>
      </c>
      <c r="H72" s="42">
        <f>IFERROR($G72/'SIMULARE PE PRODUS'!T$4,"")</f>
        <v>2.7988992985967528E-4</v>
      </c>
      <c r="I72" s="41">
        <f>'SIMULARE PE PRODUS'!$L$214</f>
        <v>609.63116579999996</v>
      </c>
      <c r="J72" s="28">
        <f t="shared" si="7"/>
        <v>0.45877328409355939</v>
      </c>
      <c r="K72" s="41">
        <f t="shared" si="8"/>
        <v>719.19766302882863</v>
      </c>
    </row>
    <row r="73" spans="1:11" x14ac:dyDescent="0.2">
      <c r="A73" s="26">
        <v>69</v>
      </c>
      <c r="B73" s="26" t="s">
        <v>262</v>
      </c>
      <c r="C73" s="26" t="s">
        <v>105</v>
      </c>
      <c r="D73" s="27">
        <f>'SIMULARE PE PRODUS'!$F$178</f>
        <v>182</v>
      </c>
      <c r="E73" s="27">
        <f>'SIMULARE PE PRODUS'!$G$178</f>
        <v>0</v>
      </c>
      <c r="F73" s="27">
        <f t="shared" si="6"/>
        <v>182</v>
      </c>
      <c r="G73" s="41">
        <f>'SIMULARE PE PRODUS'!T$178</f>
        <v>2623.4234234234232</v>
      </c>
      <c r="H73" s="42">
        <f>IFERROR($G73/'SIMULARE PE PRODUS'!T$4,"")</f>
        <v>5.5256913610262682E-4</v>
      </c>
      <c r="I73" s="41">
        <f>'SIMULARE PE PRODUS'!$L$178</f>
        <v>1201.0967605000001</v>
      </c>
      <c r="J73" s="28">
        <f t="shared" si="7"/>
        <v>0.45783564703125007</v>
      </c>
      <c r="K73" s="41">
        <f t="shared" si="8"/>
        <v>1422.3266629234231</v>
      </c>
    </row>
    <row r="74" spans="1:11" x14ac:dyDescent="0.2">
      <c r="A74" s="26">
        <v>70</v>
      </c>
      <c r="B74" s="26" t="s">
        <v>258</v>
      </c>
      <c r="C74" s="26" t="s">
        <v>105</v>
      </c>
      <c r="D74" s="27">
        <f>'SIMULARE PE PRODUS'!$F$177</f>
        <v>198</v>
      </c>
      <c r="E74" s="27">
        <f>'SIMULARE PE PRODUS'!$G$177</f>
        <v>0</v>
      </c>
      <c r="F74" s="27">
        <f t="shared" si="6"/>
        <v>198</v>
      </c>
      <c r="G74" s="41">
        <f>'SIMULARE PE PRODUS'!T$177</f>
        <v>2854.0540540540537</v>
      </c>
      <c r="H74" s="42">
        <f>IFERROR($G74/'SIMULARE PE PRODUS'!T$4,"")</f>
        <v>6.0114664257318736E-4</v>
      </c>
      <c r="I74" s="41">
        <f>'SIMULARE PE PRODUS'!$L$177</f>
        <v>1301.8797594</v>
      </c>
      <c r="J74" s="28">
        <f t="shared" si="7"/>
        <v>0.45615105206250006</v>
      </c>
      <c r="K74" s="41">
        <f t="shared" si="8"/>
        <v>1552.1742946540537</v>
      </c>
    </row>
    <row r="75" spans="1:11" x14ac:dyDescent="0.2">
      <c r="A75" s="26">
        <v>71</v>
      </c>
      <c r="B75" s="26" t="s">
        <v>316</v>
      </c>
      <c r="C75" s="26" t="s">
        <v>104</v>
      </c>
      <c r="D75" s="27">
        <f>'SIMULARE PE PRODUS'!$F$155</f>
        <v>11</v>
      </c>
      <c r="E75" s="27">
        <f>'SIMULARE PE PRODUS'!$G$155</f>
        <v>18</v>
      </c>
      <c r="F75" s="27">
        <f t="shared" si="6"/>
        <v>29</v>
      </c>
      <c r="G75" s="41">
        <f>'SIMULARE PE PRODUS'!T$155</f>
        <v>398.10743801652893</v>
      </c>
      <c r="H75" s="42">
        <f>IFERROR($G75/'SIMULARE PE PRODUS'!T$4,"")</f>
        <v>8.3852984286371575E-5</v>
      </c>
      <c r="I75" s="41">
        <f>'SIMULARE PE PRODUS'!$L$155</f>
        <v>181.12910625000001</v>
      </c>
      <c r="J75" s="28">
        <f t="shared" si="7"/>
        <v>0.45497543867160739</v>
      </c>
      <c r="K75" s="41">
        <f t="shared" si="8"/>
        <v>216.97833176652892</v>
      </c>
    </row>
    <row r="76" spans="1:11" x14ac:dyDescent="0.2">
      <c r="A76" s="26">
        <v>72</v>
      </c>
      <c r="B76" s="26" t="s">
        <v>241</v>
      </c>
      <c r="C76" s="26" t="s">
        <v>103</v>
      </c>
      <c r="D76" s="27">
        <f>'SIMULARE PE PRODUS'!$F$108</f>
        <v>0</v>
      </c>
      <c r="E76" s="27">
        <f>'SIMULARE PE PRODUS'!$G$108</f>
        <v>524</v>
      </c>
      <c r="F76" s="27">
        <f t="shared" si="6"/>
        <v>524</v>
      </c>
      <c r="G76" s="41">
        <f>'SIMULARE PE PRODUS'!T$108</f>
        <v>4542.7768595041325</v>
      </c>
      <c r="H76" s="42">
        <f>IFERROR($G76/'SIMULARE PE PRODUS'!T$4,"")</f>
        <v>9.5684069233762195E-4</v>
      </c>
      <c r="I76" s="41">
        <f>'SIMULARE PE PRODUS'!$L$108</f>
        <v>2056.6999999999998</v>
      </c>
      <c r="J76" s="28">
        <f t="shared" si="7"/>
        <v>0.45274070543374634</v>
      </c>
      <c r="K76" s="41">
        <f t="shared" si="8"/>
        <v>2486.0768595041327</v>
      </c>
    </row>
    <row r="77" spans="1:11" x14ac:dyDescent="0.2">
      <c r="A77" s="26">
        <v>73</v>
      </c>
      <c r="B77" s="26" t="s">
        <v>317</v>
      </c>
      <c r="C77" s="26" t="s">
        <v>106</v>
      </c>
      <c r="D77" s="27">
        <f>'SIMULARE PE PRODUS'!$F$204</f>
        <v>30</v>
      </c>
      <c r="E77" s="27">
        <f>'SIMULARE PE PRODUS'!$G$204</f>
        <v>30</v>
      </c>
      <c r="F77" s="27">
        <f t="shared" si="6"/>
        <v>60</v>
      </c>
      <c r="G77" s="41">
        <f>'SIMULARE PE PRODUS'!T$204</f>
        <v>378.37837837837833</v>
      </c>
      <c r="H77" s="42">
        <f>IFERROR($G77/'SIMULARE PE PRODUS'!T$4,"")</f>
        <v>7.9697471553263484E-5</v>
      </c>
      <c r="I77" s="41">
        <f>'SIMULARE PE PRODUS'!$L$204</f>
        <v>171.0829416</v>
      </c>
      <c r="J77" s="28">
        <f t="shared" si="7"/>
        <v>0.4521477742285715</v>
      </c>
      <c r="K77" s="41">
        <f t="shared" si="8"/>
        <v>207.29543677837833</v>
      </c>
    </row>
    <row r="78" spans="1:11" x14ac:dyDescent="0.2">
      <c r="A78" s="26">
        <v>74</v>
      </c>
      <c r="B78" s="26" t="s">
        <v>229</v>
      </c>
      <c r="C78" s="26" t="s">
        <v>104</v>
      </c>
      <c r="D78" s="27">
        <f>'SIMULARE PE PRODUS'!$F$129</f>
        <v>461</v>
      </c>
      <c r="E78" s="27">
        <f>'SIMULARE PE PRODUS'!$G$129</f>
        <v>0</v>
      </c>
      <c r="F78" s="27">
        <f t="shared" si="6"/>
        <v>461</v>
      </c>
      <c r="G78" s="41">
        <f>'SIMULARE PE PRODUS'!T$129</f>
        <v>6476.8595041322315</v>
      </c>
      <c r="H78" s="42">
        <f>IFERROR($G78/'SIMULARE PE PRODUS'!T$4,"")</f>
        <v>1.3642146475105232E-3</v>
      </c>
      <c r="I78" s="41">
        <f>'SIMULARE PE PRODUS'!$L$129</f>
        <v>2917.5764773000001</v>
      </c>
      <c r="J78" s="28">
        <f t="shared" si="7"/>
        <v>0.45046159723529411</v>
      </c>
      <c r="K78" s="41">
        <f t="shared" si="8"/>
        <v>3559.2830268322314</v>
      </c>
    </row>
    <row r="79" spans="1:11" x14ac:dyDescent="0.2">
      <c r="A79" s="26">
        <v>75</v>
      </c>
      <c r="B79" s="26" t="s">
        <v>288</v>
      </c>
      <c r="C79" s="26" t="s">
        <v>104</v>
      </c>
      <c r="D79" s="27">
        <f>'SIMULARE PE PRODUS'!$F$142</f>
        <v>101</v>
      </c>
      <c r="E79" s="27">
        <f>'SIMULARE PE PRODUS'!$G$142</f>
        <v>0</v>
      </c>
      <c r="F79" s="27">
        <f t="shared" si="6"/>
        <v>101</v>
      </c>
      <c r="G79" s="41">
        <f>'SIMULARE PE PRODUS'!T$142</f>
        <v>1419.0082644628098</v>
      </c>
      <c r="H79" s="42">
        <f>IFERROR($G79/'SIMULARE PE PRODUS'!T$4,"")</f>
        <v>2.9888433709015794E-4</v>
      </c>
      <c r="I79" s="41">
        <f>'SIMULARE PE PRODUS'!$L$142</f>
        <v>639.08203489999994</v>
      </c>
      <c r="J79" s="28">
        <f t="shared" si="7"/>
        <v>0.4503723134705882</v>
      </c>
      <c r="K79" s="41">
        <f t="shared" si="8"/>
        <v>779.92622956280991</v>
      </c>
    </row>
    <row r="80" spans="1:11" x14ac:dyDescent="0.2">
      <c r="A80" s="26">
        <v>76</v>
      </c>
      <c r="B80" s="26" t="s">
        <v>313</v>
      </c>
      <c r="C80" s="26" t="s">
        <v>104</v>
      </c>
      <c r="D80" s="27">
        <f>'SIMULARE PE PRODUS'!$F$152</f>
        <v>38</v>
      </c>
      <c r="E80" s="27">
        <f>'SIMULARE PE PRODUS'!$G$152</f>
        <v>7</v>
      </c>
      <c r="F80" s="27">
        <f t="shared" si="6"/>
        <v>45</v>
      </c>
      <c r="G80" s="41">
        <f>'SIMULARE PE PRODUS'!T$152</f>
        <v>563.2644628099174</v>
      </c>
      <c r="H80" s="42">
        <f>IFERROR($G80/'SIMULARE PE PRODUS'!T$4,"")</f>
        <v>1.1863984854035946E-4</v>
      </c>
      <c r="I80" s="41">
        <f>'SIMULARE PE PRODUS'!$L$152</f>
        <v>253.45454624999999</v>
      </c>
      <c r="J80" s="28">
        <f t="shared" si="7"/>
        <v>0.44997432464602738</v>
      </c>
      <c r="K80" s="41">
        <f t="shared" si="8"/>
        <v>309.80991655991738</v>
      </c>
    </row>
    <row r="81" spans="1:11" x14ac:dyDescent="0.2">
      <c r="A81" s="26">
        <v>77</v>
      </c>
      <c r="B81" s="26" t="s">
        <v>276</v>
      </c>
      <c r="C81" s="26" t="s">
        <v>103</v>
      </c>
      <c r="D81" s="27">
        <f>'SIMULARE PE PRODUS'!$F$118</f>
        <v>158</v>
      </c>
      <c r="E81" s="27">
        <f>'SIMULARE PE PRODUS'!$G$118</f>
        <v>27</v>
      </c>
      <c r="F81" s="27">
        <f t="shared" si="6"/>
        <v>185</v>
      </c>
      <c r="G81" s="41">
        <f>'SIMULARE PE PRODUS'!T$118</f>
        <v>1724.9173553719011</v>
      </c>
      <c r="H81" s="42">
        <f>IFERROR($G81/'SIMULARE PE PRODUS'!T$4,"")</f>
        <v>3.6331767277677536E-4</v>
      </c>
      <c r="I81" s="41">
        <f>'SIMULARE PE PRODUS'!$L$118</f>
        <v>771.45</v>
      </c>
      <c r="J81" s="28">
        <f t="shared" si="7"/>
        <v>0.44723881848453628</v>
      </c>
      <c r="K81" s="41">
        <f t="shared" si="8"/>
        <v>953.46735537190102</v>
      </c>
    </row>
    <row r="82" spans="1:11" x14ac:dyDescent="0.2">
      <c r="A82" s="26">
        <v>78</v>
      </c>
      <c r="B82" s="26" t="s">
        <v>298</v>
      </c>
      <c r="C82" s="26" t="s">
        <v>108</v>
      </c>
      <c r="D82" s="27">
        <f>'SIMULARE PE PRODUS'!$F$215</f>
        <v>35</v>
      </c>
      <c r="E82" s="27">
        <f>'SIMULARE PE PRODUS'!$G$215</f>
        <v>37</v>
      </c>
      <c r="F82" s="27">
        <f t="shared" si="6"/>
        <v>72</v>
      </c>
      <c r="G82" s="41">
        <f>'SIMULARE PE PRODUS'!T$215</f>
        <v>1202.7027027027025</v>
      </c>
      <c r="H82" s="42">
        <f>IFERROR($G82/'SIMULARE PE PRODUS'!T$4,"")</f>
        <v>2.5332410600858746E-4</v>
      </c>
      <c r="I82" s="41">
        <f>'SIMULARE PE PRODUS'!$L$215</f>
        <v>537.22563839999998</v>
      </c>
      <c r="J82" s="28">
        <f t="shared" si="7"/>
        <v>0.44668199147865173</v>
      </c>
      <c r="K82" s="41">
        <f t="shared" si="8"/>
        <v>665.4770643027025</v>
      </c>
    </row>
    <row r="83" spans="1:11" x14ac:dyDescent="0.2">
      <c r="A83" s="26">
        <v>79</v>
      </c>
      <c r="B83" s="26" t="s">
        <v>203</v>
      </c>
      <c r="C83" s="26" t="s">
        <v>100</v>
      </c>
      <c r="D83" s="27">
        <f>'SIMULARE PE PRODUS'!$F$61</f>
        <v>331</v>
      </c>
      <c r="E83" s="27">
        <f>'SIMULARE PE PRODUS'!$G$61</f>
        <v>251</v>
      </c>
      <c r="F83" s="27">
        <f t="shared" si="6"/>
        <v>582</v>
      </c>
      <c r="G83" s="41">
        <f>'SIMULARE PE PRODUS'!T$61</f>
        <v>15061.261261261261</v>
      </c>
      <c r="H83" s="42">
        <f>IFERROR($G83/'SIMULARE PE PRODUS'!T$4,"")</f>
        <v>3.1723388795891882E-3</v>
      </c>
      <c r="I83" s="41">
        <f>'SIMULARE PE PRODUS'!$L$61</f>
        <v>6717.5183097600002</v>
      </c>
      <c r="J83" s="28">
        <f t="shared" si="7"/>
        <v>0.44601299939188899</v>
      </c>
      <c r="K83" s="41">
        <f t="shared" si="8"/>
        <v>8343.7429515012609</v>
      </c>
    </row>
    <row r="84" spans="1:11" x14ac:dyDescent="0.2">
      <c r="A84" s="26">
        <v>80</v>
      </c>
      <c r="B84" s="26" t="s">
        <v>263</v>
      </c>
      <c r="C84" s="26" t="s">
        <v>97</v>
      </c>
      <c r="D84" s="27">
        <f>'SIMULARE PE PRODUS'!$F$41</f>
        <v>114</v>
      </c>
      <c r="E84" s="27">
        <f>'SIMULARE PE PRODUS'!$G$41</f>
        <v>0</v>
      </c>
      <c r="F84" s="27">
        <f t="shared" si="6"/>
        <v>114</v>
      </c>
      <c r="G84" s="41">
        <f>'SIMULARE PE PRODUS'!T$41</f>
        <v>2515.1891891891887</v>
      </c>
      <c r="H84" s="42">
        <f>IFERROR($G84/'SIMULARE PE PRODUS'!T$4,"")</f>
        <v>5.297718641207004E-4</v>
      </c>
      <c r="I84" s="41">
        <f>'SIMULARE PE PRODUS'!$L$41</f>
        <v>1121.7410531999999</v>
      </c>
      <c r="J84" s="28">
        <f t="shared" si="7"/>
        <v>0.44598675042874647</v>
      </c>
      <c r="K84" s="41">
        <f t="shared" si="8"/>
        <v>1393.4481359891888</v>
      </c>
    </row>
    <row r="85" spans="1:11" x14ac:dyDescent="0.2">
      <c r="A85" s="26">
        <v>81</v>
      </c>
      <c r="B85" s="26" t="s">
        <v>312</v>
      </c>
      <c r="C85" s="26" t="s">
        <v>104</v>
      </c>
      <c r="D85" s="27">
        <f>'SIMULARE PE PRODUS'!$F$151</f>
        <v>34</v>
      </c>
      <c r="E85" s="27">
        <f>'SIMULARE PE PRODUS'!$G$151</f>
        <v>14</v>
      </c>
      <c r="F85" s="27">
        <f t="shared" si="6"/>
        <v>48</v>
      </c>
      <c r="G85" s="41">
        <f>'SIMULARE PE PRODUS'!T$151</f>
        <v>606.21487603305786</v>
      </c>
      <c r="H85" s="42">
        <f>IFERROR($G85/'SIMULARE PE PRODUS'!T$4,"")</f>
        <v>1.2768645249992586E-4</v>
      </c>
      <c r="I85" s="41">
        <f>'SIMULARE PE PRODUS'!$L$151</f>
        <v>270.351516</v>
      </c>
      <c r="J85" s="28">
        <f t="shared" si="7"/>
        <v>0.44596648265895955</v>
      </c>
      <c r="K85" s="41">
        <f t="shared" si="8"/>
        <v>335.86336003305786</v>
      </c>
    </row>
    <row r="86" spans="1:11" x14ac:dyDescent="0.2">
      <c r="A86" s="26">
        <v>82</v>
      </c>
      <c r="B86" s="26" t="s">
        <v>199</v>
      </c>
      <c r="C86" s="26" t="s">
        <v>100</v>
      </c>
      <c r="D86" s="27">
        <f>'SIMULARE PE PRODUS'!$F$58</f>
        <v>320</v>
      </c>
      <c r="E86" s="27">
        <f>'SIMULARE PE PRODUS'!$G$58</f>
        <v>255</v>
      </c>
      <c r="F86" s="27">
        <f t="shared" si="6"/>
        <v>575</v>
      </c>
      <c r="G86" s="41">
        <f>'SIMULARE PE PRODUS'!T$58</f>
        <v>17610.360360360359</v>
      </c>
      <c r="H86" s="42">
        <f>IFERROR($G86/'SIMULARE PE PRODUS'!T$4,"")</f>
        <v>3.709253155208138E-3</v>
      </c>
      <c r="I86" s="41">
        <f>'SIMULARE PE PRODUS'!$L$58</f>
        <v>7832.2843920000005</v>
      </c>
      <c r="J86" s="28">
        <f t="shared" si="7"/>
        <v>0.44475435094615684</v>
      </c>
      <c r="K86" s="41">
        <f t="shared" si="8"/>
        <v>9778.0759683603574</v>
      </c>
    </row>
    <row r="87" spans="1:11" x14ac:dyDescent="0.2">
      <c r="A87" s="26">
        <v>83</v>
      </c>
      <c r="B87" s="26" t="s">
        <v>267</v>
      </c>
      <c r="C87" s="26" t="s">
        <v>103</v>
      </c>
      <c r="D87" s="27">
        <f>'SIMULARE PE PRODUS'!$F$116</f>
        <v>105</v>
      </c>
      <c r="E87" s="27">
        <f>'SIMULARE PE PRODUS'!$G$116</f>
        <v>55</v>
      </c>
      <c r="F87" s="27">
        <f t="shared" si="6"/>
        <v>160</v>
      </c>
      <c r="G87" s="41">
        <f>'SIMULARE PE PRODUS'!T$116</f>
        <v>2250.7438016528927</v>
      </c>
      <c r="H87" s="42">
        <f>IFERROR($G87/'SIMULARE PE PRODUS'!T$4,"")</f>
        <v>4.7407198813706247E-4</v>
      </c>
      <c r="I87" s="41">
        <f>'SIMULARE PE PRODUS'!$L$116</f>
        <v>996.80000000000018</v>
      </c>
      <c r="J87" s="28">
        <f t="shared" si="7"/>
        <v>0.44287581699346412</v>
      </c>
      <c r="K87" s="41">
        <f t="shared" si="8"/>
        <v>1253.9438016528925</v>
      </c>
    </row>
    <row r="88" spans="1:11" x14ac:dyDescent="0.2">
      <c r="A88" s="26">
        <v>84</v>
      </c>
      <c r="B88" s="26" t="s">
        <v>198</v>
      </c>
      <c r="C88" s="26" t="s">
        <v>98</v>
      </c>
      <c r="D88" s="27">
        <f>'SIMULARE PE PRODUS'!$F$44</f>
        <v>470</v>
      </c>
      <c r="E88" s="27">
        <f>'SIMULARE PE PRODUS'!$G$44</f>
        <v>268</v>
      </c>
      <c r="F88" s="27">
        <f t="shared" si="6"/>
        <v>738</v>
      </c>
      <c r="G88" s="41">
        <f>'SIMULARE PE PRODUS'!T$44</f>
        <v>18004.16216216216</v>
      </c>
      <c r="H88" s="42">
        <f>IFERROR($G88/'SIMULARE PE PRODUS'!T$4,"")</f>
        <v>3.7921992475066198E-3</v>
      </c>
      <c r="I88" s="41">
        <f>'SIMULARE PE PRODUS'!$L$44</f>
        <v>7952.2224695999994</v>
      </c>
      <c r="J88" s="28">
        <f t="shared" si="7"/>
        <v>0.44168800513875173</v>
      </c>
      <c r="K88" s="41">
        <f t="shared" si="8"/>
        <v>10051.93969256216</v>
      </c>
    </row>
    <row r="89" spans="1:11" x14ac:dyDescent="0.2">
      <c r="A89" s="26">
        <v>85</v>
      </c>
      <c r="B89" s="26" t="s">
        <v>281</v>
      </c>
      <c r="C89" s="26" t="s">
        <v>104</v>
      </c>
      <c r="D89" s="27">
        <f>'SIMULARE PE PRODUS'!$F$139</f>
        <v>208</v>
      </c>
      <c r="E89" s="27">
        <f>'SIMULARE PE PRODUS'!$G$139</f>
        <v>11</v>
      </c>
      <c r="F89" s="27">
        <f t="shared" si="6"/>
        <v>219</v>
      </c>
      <c r="G89" s="41">
        <f>'SIMULARE PE PRODUS'!T$139</f>
        <v>1636.206611570248</v>
      </c>
      <c r="H89" s="42">
        <f>IFERROR($G89/'SIMULARE PE PRODUS'!T$4,"")</f>
        <v>3.446326146851868E-4</v>
      </c>
      <c r="I89" s="41">
        <f>'SIMULARE PE PRODUS'!$L$139</f>
        <v>721.59536400000002</v>
      </c>
      <c r="J89" s="28">
        <f t="shared" si="7"/>
        <v>0.44101726450517975</v>
      </c>
      <c r="K89" s="41">
        <f t="shared" si="8"/>
        <v>914.611247570248</v>
      </c>
    </row>
    <row r="90" spans="1:11" x14ac:dyDescent="0.2">
      <c r="A90" s="26">
        <v>86</v>
      </c>
      <c r="B90" s="26" t="s">
        <v>187</v>
      </c>
      <c r="C90" s="26" t="s">
        <v>105</v>
      </c>
      <c r="D90" s="27">
        <f>'SIMULARE PE PRODUS'!$F$164</f>
        <v>1104</v>
      </c>
      <c r="E90" s="27">
        <f>'SIMULARE PE PRODUS'!$G$164</f>
        <v>643</v>
      </c>
      <c r="F90" s="27">
        <f t="shared" si="6"/>
        <v>1747</v>
      </c>
      <c r="G90" s="41">
        <f>'SIMULARE PE PRODUS'!T$164</f>
        <v>23608.108108108107</v>
      </c>
      <c r="H90" s="42">
        <f>IFERROR($G90/'SIMULARE PE PRODUS'!T$4,"")</f>
        <v>4.9725529572696896E-3</v>
      </c>
      <c r="I90" s="41">
        <f>'SIMULARE PE PRODUS'!$L$164</f>
        <v>10397.630381999999</v>
      </c>
      <c r="J90" s="28">
        <f t="shared" si="7"/>
        <v>0.44042624400000002</v>
      </c>
      <c r="K90" s="41">
        <f t="shared" si="8"/>
        <v>13210.477726108107</v>
      </c>
    </row>
    <row r="91" spans="1:11" x14ac:dyDescent="0.2">
      <c r="A91" s="26">
        <v>87</v>
      </c>
      <c r="B91" s="26" t="s">
        <v>310</v>
      </c>
      <c r="C91" s="26" t="s">
        <v>103</v>
      </c>
      <c r="D91" s="27">
        <f>'SIMULARE PE PRODUS'!$F$125</f>
        <v>0</v>
      </c>
      <c r="E91" s="27">
        <f>'SIMULARE PE PRODUS'!$G$125</f>
        <v>91</v>
      </c>
      <c r="F91" s="27">
        <f t="shared" si="6"/>
        <v>91</v>
      </c>
      <c r="G91" s="41">
        <f>'SIMULARE PE PRODUS'!T$125</f>
        <v>788.91735537190095</v>
      </c>
      <c r="H91" s="42">
        <f>IFERROR($G91/'SIMULARE PE PRODUS'!T$4,"")</f>
        <v>1.6616889886015955E-4</v>
      </c>
      <c r="I91" s="41">
        <f>'SIMULARE PE PRODUS'!$L$125</f>
        <v>346.07299999999998</v>
      </c>
      <c r="J91" s="28">
        <f t="shared" si="7"/>
        <v>0.43866825548141075</v>
      </c>
      <c r="K91" s="41">
        <f t="shared" si="8"/>
        <v>442.84435537190097</v>
      </c>
    </row>
    <row r="92" spans="1:11" x14ac:dyDescent="0.2">
      <c r="A92" s="26">
        <v>88</v>
      </c>
      <c r="B92" s="26" t="s">
        <v>232</v>
      </c>
      <c r="C92" s="26" t="s">
        <v>104</v>
      </c>
      <c r="D92" s="27">
        <f>'SIMULARE PE PRODUS'!$F$130</f>
        <v>516</v>
      </c>
      <c r="E92" s="27">
        <f>'SIMULARE PE PRODUS'!$G$130</f>
        <v>0</v>
      </c>
      <c r="F92" s="27">
        <f t="shared" si="6"/>
        <v>516</v>
      </c>
      <c r="G92" s="41">
        <f>'SIMULARE PE PRODUS'!T$130</f>
        <v>5965.9834710743808</v>
      </c>
      <c r="H92" s="42">
        <f>IFERROR($G92/'SIMULARE PE PRODUS'!T$4,"")</f>
        <v>1.256609323214861E-3</v>
      </c>
      <c r="I92" s="41">
        <f>'SIMULARE PE PRODUS'!$L$130</f>
        <v>2592.3806459999996</v>
      </c>
      <c r="J92" s="28">
        <f t="shared" si="7"/>
        <v>0.43452695746962106</v>
      </c>
      <c r="K92" s="41">
        <f t="shared" si="8"/>
        <v>3373.6028250743811</v>
      </c>
    </row>
    <row r="93" spans="1:11" x14ac:dyDescent="0.2">
      <c r="A93" s="26">
        <v>89</v>
      </c>
      <c r="B93" s="26" t="s">
        <v>284</v>
      </c>
      <c r="C93" s="26" t="s">
        <v>103</v>
      </c>
      <c r="D93" s="27">
        <f>'SIMULARE PE PRODUS'!$F$119</f>
        <v>57</v>
      </c>
      <c r="E93" s="27">
        <f>'SIMULARE PE PRODUS'!$G$119</f>
        <v>55</v>
      </c>
      <c r="F93" s="27">
        <f t="shared" si="6"/>
        <v>112</v>
      </c>
      <c r="G93" s="41">
        <f>'SIMULARE PE PRODUS'!T$119</f>
        <v>1570.9752066115702</v>
      </c>
      <c r="H93" s="42">
        <f>IFERROR($G93/'SIMULARE PE PRODUS'!T$4,"")</f>
        <v>3.3089298700520646E-4</v>
      </c>
      <c r="I93" s="41">
        <f>'SIMULARE PE PRODUS'!$L$119</f>
        <v>680.96</v>
      </c>
      <c r="J93" s="28">
        <f t="shared" si="7"/>
        <v>0.43346323807920545</v>
      </c>
      <c r="K93" s="41">
        <f t="shared" si="8"/>
        <v>890.01520661157019</v>
      </c>
    </row>
    <row r="94" spans="1:11" x14ac:dyDescent="0.2">
      <c r="A94" s="26">
        <v>90</v>
      </c>
      <c r="B94" s="26" t="s">
        <v>270</v>
      </c>
      <c r="C94" s="26" t="s">
        <v>103</v>
      </c>
      <c r="D94" s="27">
        <f>'SIMULARE PE PRODUS'!$F$117</f>
        <v>0</v>
      </c>
      <c r="E94" s="27">
        <f>'SIMULARE PE PRODUS'!$G$117</f>
        <v>235</v>
      </c>
      <c r="F94" s="27">
        <f t="shared" si="6"/>
        <v>235</v>
      </c>
      <c r="G94" s="41">
        <f>'SIMULARE PE PRODUS'!T$117</f>
        <v>2037.3140495867772</v>
      </c>
      <c r="H94" s="42">
        <f>IFERROR($G94/'SIMULARE PE PRODUS'!T$4,"")</f>
        <v>4.2911748606744499E-4</v>
      </c>
      <c r="I94" s="41">
        <f>'SIMULARE PE PRODUS'!$L$117</f>
        <v>877.96</v>
      </c>
      <c r="J94" s="28">
        <f t="shared" si="7"/>
        <v>0.43093994280266917</v>
      </c>
      <c r="K94" s="41">
        <f t="shared" si="8"/>
        <v>1159.3540495867771</v>
      </c>
    </row>
    <row r="95" spans="1:11" x14ac:dyDescent="0.2">
      <c r="A95" s="26">
        <v>91</v>
      </c>
      <c r="B95" s="26" t="s">
        <v>299</v>
      </c>
      <c r="C95" s="26" t="s">
        <v>103</v>
      </c>
      <c r="D95" s="27">
        <f>'SIMULARE PE PRODUS'!$F$122</f>
        <v>53</v>
      </c>
      <c r="E95" s="27">
        <f>'SIMULARE PE PRODUS'!$G$122</f>
        <v>83</v>
      </c>
      <c r="F95" s="27">
        <f t="shared" si="6"/>
        <v>136</v>
      </c>
      <c r="G95" s="41">
        <f>'SIMULARE PE PRODUS'!T$122</f>
        <v>1179.0413223140497</v>
      </c>
      <c r="H95" s="42">
        <f>IFERROR($G95/'SIMULARE PE PRODUS'!T$4,"")</f>
        <v>2.4834033236243624E-4</v>
      </c>
      <c r="I95" s="41">
        <f>'SIMULARE PE PRODUS'!$L$122</f>
        <v>503.88135999999997</v>
      </c>
      <c r="J95" s="28">
        <f t="shared" si="7"/>
        <v>0.42736530981887505</v>
      </c>
      <c r="K95" s="41">
        <f t="shared" si="8"/>
        <v>675.15996231404972</v>
      </c>
    </row>
    <row r="96" spans="1:11" x14ac:dyDescent="0.2">
      <c r="A96" s="26">
        <v>92</v>
      </c>
      <c r="B96" s="26" t="s">
        <v>302</v>
      </c>
      <c r="C96" s="26" t="s">
        <v>103</v>
      </c>
      <c r="D96" s="27">
        <f>'SIMULARE PE PRODUS'!$F$123</f>
        <v>36</v>
      </c>
      <c r="E96" s="27">
        <f>'SIMULARE PE PRODUS'!$G$123</f>
        <v>81</v>
      </c>
      <c r="F96" s="27">
        <f t="shared" si="6"/>
        <v>117</v>
      </c>
      <c r="G96" s="41">
        <f>'SIMULARE PE PRODUS'!T$123</f>
        <v>1014.3223140495868</v>
      </c>
      <c r="H96" s="42">
        <f>IFERROR($G96/'SIMULARE PE PRODUS'!T$4,"")</f>
        <v>2.1364572710591938E-4</v>
      </c>
      <c r="I96" s="41">
        <f>'SIMULARE PE PRODUS'!$L$123</f>
        <v>433.13400000000001</v>
      </c>
      <c r="J96" s="28">
        <f t="shared" si="7"/>
        <v>0.42701811248808391</v>
      </c>
      <c r="K96" s="41">
        <f t="shared" si="8"/>
        <v>581.18831404958678</v>
      </c>
    </row>
    <row r="97" spans="1:11" x14ac:dyDescent="0.2">
      <c r="A97" s="26">
        <v>93</v>
      </c>
      <c r="B97" s="26" t="s">
        <v>205</v>
      </c>
      <c r="C97" s="26" t="s">
        <v>97</v>
      </c>
      <c r="D97" s="27">
        <f>'SIMULARE PE PRODUS'!$F$38</f>
        <v>465</v>
      </c>
      <c r="E97" s="27">
        <f>'SIMULARE PE PRODUS'!$G$38</f>
        <v>134</v>
      </c>
      <c r="F97" s="27">
        <f t="shared" si="6"/>
        <v>599</v>
      </c>
      <c r="G97" s="41">
        <f>'SIMULARE PE PRODUS'!T$38</f>
        <v>14806.315315315313</v>
      </c>
      <c r="H97" s="42">
        <f>IFERROR($G97/'SIMULARE PE PRODUS'!T$4,"")</f>
        <v>3.1186398617919064E-3</v>
      </c>
      <c r="I97" s="41">
        <f>'SIMULARE PE PRODUS'!$L$38</f>
        <v>6316.4354126999988</v>
      </c>
      <c r="J97" s="28">
        <f t="shared" si="7"/>
        <v>0.42660414007031333</v>
      </c>
      <c r="K97" s="41">
        <f t="shared" si="8"/>
        <v>8489.8799026153138</v>
      </c>
    </row>
    <row r="98" spans="1:11" x14ac:dyDescent="0.2">
      <c r="A98" s="26">
        <v>94</v>
      </c>
      <c r="B98" s="26" t="s">
        <v>297</v>
      </c>
      <c r="C98" s="26" t="s">
        <v>103</v>
      </c>
      <c r="D98" s="27">
        <f>'SIMULARE PE PRODUS'!$F$121</f>
        <v>141</v>
      </c>
      <c r="E98" s="27">
        <f>'SIMULARE PE PRODUS'!$G$121</f>
        <v>0</v>
      </c>
      <c r="F98" s="27">
        <f t="shared" si="6"/>
        <v>141</v>
      </c>
      <c r="G98" s="41">
        <f>'SIMULARE PE PRODUS'!T$121</f>
        <v>1222.3884297520663</v>
      </c>
      <c r="H98" s="42">
        <f>IFERROR($G98/'SIMULARE PE PRODUS'!T$4,"")</f>
        <v>2.5747049164046698E-4</v>
      </c>
      <c r="I98" s="41">
        <f>'SIMULARE PE PRODUS'!$L$121</f>
        <v>520.43099999999993</v>
      </c>
      <c r="J98" s="28">
        <f t="shared" si="7"/>
        <v>0.42574928503336501</v>
      </c>
      <c r="K98" s="41">
        <f t="shared" si="8"/>
        <v>701.95742975206633</v>
      </c>
    </row>
    <row r="99" spans="1:11" x14ac:dyDescent="0.2">
      <c r="A99" s="26">
        <v>95</v>
      </c>
      <c r="B99" s="26" t="s">
        <v>211</v>
      </c>
      <c r="C99" s="26" t="s">
        <v>100</v>
      </c>
      <c r="D99" s="27">
        <f>'SIMULARE PE PRODUS'!$F$62</f>
        <v>364</v>
      </c>
      <c r="E99" s="27">
        <f>'SIMULARE PE PRODUS'!$G$62</f>
        <v>130</v>
      </c>
      <c r="F99" s="27">
        <f t="shared" si="6"/>
        <v>494</v>
      </c>
      <c r="G99" s="41">
        <f>'SIMULARE PE PRODUS'!T$62</f>
        <v>12484.684684684684</v>
      </c>
      <c r="H99" s="42">
        <f>IFERROR($G99/'SIMULARE PE PRODUS'!T$4,"")</f>
        <v>2.6296370494883936E-3</v>
      </c>
      <c r="I99" s="41">
        <f>'SIMULARE PE PRODUS'!$L$62</f>
        <v>5287.64147392</v>
      </c>
      <c r="J99" s="28">
        <f t="shared" si="7"/>
        <v>0.42353023784465293</v>
      </c>
      <c r="K99" s="41">
        <f t="shared" si="8"/>
        <v>7197.0432107646839</v>
      </c>
    </row>
    <row r="100" spans="1:11" x14ac:dyDescent="0.2">
      <c r="A100" s="26">
        <v>96</v>
      </c>
      <c r="B100" s="26" t="s">
        <v>282</v>
      </c>
      <c r="C100" s="26" t="s">
        <v>112</v>
      </c>
      <c r="D100" s="27">
        <f>'SIMULARE PE PRODUS'!$F$236</f>
        <v>495</v>
      </c>
      <c r="E100" s="27">
        <f>'SIMULARE PE PRODUS'!$G$236</f>
        <v>410</v>
      </c>
      <c r="F100" s="27">
        <f t="shared" si="6"/>
        <v>905</v>
      </c>
      <c r="G100" s="41">
        <f>'SIMULARE PE PRODUS'!T$236</f>
        <v>1630.6306306306305</v>
      </c>
      <c r="H100" s="42">
        <f>IFERROR($G100/'SIMULARE PE PRODUS'!T$4,"")</f>
        <v>3.4345815121763552E-4</v>
      </c>
      <c r="I100" s="41">
        <f>'SIMULARE PE PRODUS'!$L$236</f>
        <v>687.8</v>
      </c>
      <c r="J100" s="28">
        <f t="shared" si="7"/>
        <v>0.42180000000000001</v>
      </c>
      <c r="K100" s="41">
        <f t="shared" si="8"/>
        <v>942.83063063063059</v>
      </c>
    </row>
    <row r="101" spans="1:11" x14ac:dyDescent="0.2">
      <c r="A101" s="26">
        <v>97</v>
      </c>
      <c r="B101" s="26" t="s">
        <v>209</v>
      </c>
      <c r="C101" s="26" t="s">
        <v>97</v>
      </c>
      <c r="D101" s="27">
        <f>'SIMULARE PE PRODUS'!$F$39</f>
        <v>352</v>
      </c>
      <c r="E101" s="27">
        <f>'SIMULARE PE PRODUS'!$G$39</f>
        <v>167</v>
      </c>
      <c r="F101" s="27">
        <f t="shared" ref="F101:F132" si="9">$D101+$E101</f>
        <v>519</v>
      </c>
      <c r="G101" s="41">
        <f>'SIMULARE PE PRODUS'!T$39</f>
        <v>12920.549549549549</v>
      </c>
      <c r="H101" s="42">
        <f>IFERROR($G101/'SIMULARE PE PRODUS'!T$4,"")</f>
        <v>2.7214428440412138E-3</v>
      </c>
      <c r="I101" s="41">
        <f>'SIMULARE PE PRODUS'!$L$39</f>
        <v>5433.7615845</v>
      </c>
      <c r="J101" s="28">
        <f t="shared" ref="J101:J132" si="10">IFERROR($I101/$G101,"")</f>
        <v>0.42055189399350573</v>
      </c>
      <c r="K101" s="41">
        <f t="shared" ref="K101:K132" si="11">$G101-$I101</f>
        <v>7486.7879650495488</v>
      </c>
    </row>
    <row r="102" spans="1:11" x14ac:dyDescent="0.2">
      <c r="A102" s="26">
        <v>98</v>
      </c>
      <c r="B102" s="26" t="s">
        <v>192</v>
      </c>
      <c r="C102" s="26" t="s">
        <v>97</v>
      </c>
      <c r="D102" s="27">
        <f>'SIMULARE PE PRODUS'!$F$37</f>
        <v>609</v>
      </c>
      <c r="E102" s="27">
        <f>'SIMULARE PE PRODUS'!$G$37</f>
        <v>193</v>
      </c>
      <c r="F102" s="27">
        <f t="shared" si="9"/>
        <v>802</v>
      </c>
      <c r="G102" s="41">
        <f>'SIMULARE PE PRODUS'!T$37</f>
        <v>19848.630630630629</v>
      </c>
      <c r="H102" s="42">
        <f>IFERROR($G102/'SIMULARE PE PRODUS'!T$4,"")</f>
        <v>4.1806978555049288E-3</v>
      </c>
      <c r="I102" s="41">
        <f>'SIMULARE PE PRODUS'!$L$37</f>
        <v>8306.4505805999979</v>
      </c>
      <c r="J102" s="28">
        <f t="shared" si="10"/>
        <v>0.41848985631187025</v>
      </c>
      <c r="K102" s="41">
        <f t="shared" si="11"/>
        <v>11542.180050030631</v>
      </c>
    </row>
    <row r="103" spans="1:11" x14ac:dyDescent="0.2">
      <c r="A103" s="26">
        <v>99</v>
      </c>
      <c r="B103" s="26" t="s">
        <v>180</v>
      </c>
      <c r="C103" s="26" t="s">
        <v>95</v>
      </c>
      <c r="D103" s="27">
        <f>'SIMULARE PE PRODUS'!$F$17</f>
        <v>1030</v>
      </c>
      <c r="E103" s="27">
        <f>'SIMULARE PE PRODUS'!$G$17</f>
        <v>820</v>
      </c>
      <c r="F103" s="27">
        <f t="shared" si="9"/>
        <v>1850</v>
      </c>
      <c r="G103" s="41">
        <f>'SIMULARE PE PRODUS'!T$17</f>
        <v>28032.882882882877</v>
      </c>
      <c r="H103" s="42">
        <f>IFERROR($G103/'SIMULARE PE PRODUS'!T$4,"")</f>
        <v>5.9045389847312453E-3</v>
      </c>
      <c r="I103" s="41">
        <f>'SIMULARE PE PRODUS'!$L$17</f>
        <v>11678.669824999997</v>
      </c>
      <c r="J103" s="28">
        <f t="shared" si="10"/>
        <v>0.41660609341506916</v>
      </c>
      <c r="K103" s="41">
        <f t="shared" si="11"/>
        <v>16354.21305788288</v>
      </c>
    </row>
    <row r="104" spans="1:11" x14ac:dyDescent="0.2">
      <c r="A104" s="26">
        <v>100</v>
      </c>
      <c r="B104" s="26" t="s">
        <v>176</v>
      </c>
      <c r="C104" s="26" t="s">
        <v>97</v>
      </c>
      <c r="D104" s="27">
        <f>'SIMULARE PE PRODUS'!$F$33</f>
        <v>1943</v>
      </c>
      <c r="E104" s="27">
        <f>'SIMULARE PE PRODUS'!$G$33</f>
        <v>626</v>
      </c>
      <c r="F104" s="27">
        <f t="shared" si="9"/>
        <v>2569</v>
      </c>
      <c r="G104" s="41">
        <f>'SIMULARE PE PRODUS'!T$33</f>
        <v>34663.792792792789</v>
      </c>
      <c r="H104" s="42">
        <f>IFERROR($G104/'SIMULARE PE PRODUS'!T$4,"")</f>
        <v>7.3012011200841043E-3</v>
      </c>
      <c r="I104" s="41">
        <f>'SIMULARE PE PRODUS'!$L$33</f>
        <v>14377.402848199998</v>
      </c>
      <c r="J104" s="28">
        <f t="shared" si="10"/>
        <v>0.41476715875099829</v>
      </c>
      <c r="K104" s="41">
        <f t="shared" si="11"/>
        <v>20286.389944592789</v>
      </c>
    </row>
    <row r="105" spans="1:11" x14ac:dyDescent="0.2">
      <c r="A105" s="26">
        <v>101</v>
      </c>
      <c r="B105" s="26" t="s">
        <v>197</v>
      </c>
      <c r="C105" s="26" t="s">
        <v>102</v>
      </c>
      <c r="D105" s="27">
        <f>'SIMULARE PE PRODUS'!$F$82</f>
        <v>2385</v>
      </c>
      <c r="E105" s="27">
        <f>'SIMULARE PE PRODUS'!$G$82</f>
        <v>1081</v>
      </c>
      <c r="F105" s="27">
        <f t="shared" si="9"/>
        <v>3466</v>
      </c>
      <c r="G105" s="41">
        <f>'SIMULARE PE PRODUS'!T$82</f>
        <v>19047.387387387385</v>
      </c>
      <c r="H105" s="42">
        <f>IFERROR($G105/'SIMULARE PE PRODUS'!T$4,"")</f>
        <v>4.0119327668143535E-3</v>
      </c>
      <c r="I105" s="41">
        <f>'SIMULARE PE PRODUS'!$L$82</f>
        <v>7874.7519999999986</v>
      </c>
      <c r="J105" s="28">
        <f t="shared" si="10"/>
        <v>0.41342950819672131</v>
      </c>
      <c r="K105" s="41">
        <f t="shared" si="11"/>
        <v>11172.635387387387</v>
      </c>
    </row>
    <row r="106" spans="1:11" x14ac:dyDescent="0.2">
      <c r="A106" s="26">
        <v>102</v>
      </c>
      <c r="B106" s="26" t="s">
        <v>191</v>
      </c>
      <c r="C106" s="26" t="s">
        <v>105</v>
      </c>
      <c r="D106" s="27">
        <f>'SIMULARE PE PRODUS'!$F$165</f>
        <v>1282</v>
      </c>
      <c r="E106" s="27">
        <f>'SIMULARE PE PRODUS'!$G$165</f>
        <v>478</v>
      </c>
      <c r="F106" s="27">
        <f t="shared" si="9"/>
        <v>1760</v>
      </c>
      <c r="G106" s="41">
        <f>'SIMULARE PE PRODUS'!T$165</f>
        <v>19888.288288288288</v>
      </c>
      <c r="H106" s="42">
        <f>IFERROR($G106/'SIMULARE PE PRODUS'!T$4,"")</f>
        <v>4.1890509095472497E-3</v>
      </c>
      <c r="I106" s="41">
        <f>'SIMULARE PE PRODUS'!$L$165</f>
        <v>8220.2706399999988</v>
      </c>
      <c r="J106" s="28">
        <f t="shared" si="10"/>
        <v>0.41332217840188434</v>
      </c>
      <c r="K106" s="41">
        <f t="shared" si="11"/>
        <v>11668.017648288289</v>
      </c>
    </row>
    <row r="107" spans="1:11" x14ac:dyDescent="0.2">
      <c r="A107" s="26">
        <v>103</v>
      </c>
      <c r="B107" s="26" t="s">
        <v>315</v>
      </c>
      <c r="C107" s="26" t="s">
        <v>104</v>
      </c>
      <c r="D107" s="27">
        <f>'SIMULARE PE PRODUS'!$F$154</f>
        <v>44</v>
      </c>
      <c r="E107" s="27">
        <f>'SIMULARE PE PRODUS'!$G$154</f>
        <v>4</v>
      </c>
      <c r="F107" s="27">
        <f t="shared" si="9"/>
        <v>48</v>
      </c>
      <c r="G107" s="41">
        <f>'SIMULARE PE PRODUS'!T$154</f>
        <v>521.91735537190084</v>
      </c>
      <c r="H107" s="42">
        <f>IFERROR($G107/'SIMULARE PE PRODUS'!T$4,"")</f>
        <v>1.099309473262531E-4</v>
      </c>
      <c r="I107" s="41">
        <f>'SIMULARE PE PRODUS'!$L$154</f>
        <v>215.597184</v>
      </c>
      <c r="J107" s="28">
        <f t="shared" si="10"/>
        <v>0.41308682645046868</v>
      </c>
      <c r="K107" s="41">
        <f t="shared" si="11"/>
        <v>306.32017137190087</v>
      </c>
    </row>
    <row r="108" spans="1:11" x14ac:dyDescent="0.2">
      <c r="A108" s="26">
        <v>104</v>
      </c>
      <c r="B108" s="26" t="s">
        <v>293</v>
      </c>
      <c r="C108" s="26" t="s">
        <v>95</v>
      </c>
      <c r="D108" s="27">
        <f>'SIMULARE PE PRODUS'!$F$18</f>
        <v>70</v>
      </c>
      <c r="E108" s="27">
        <f>'SIMULARE PE PRODUS'!$G$18</f>
        <v>0</v>
      </c>
      <c r="F108" s="27">
        <f t="shared" si="9"/>
        <v>70</v>
      </c>
      <c r="G108" s="41">
        <f>'SIMULARE PE PRODUS'!T$18</f>
        <v>1323.6936936936934</v>
      </c>
      <c r="H108" s="42">
        <f>IFERROR($G108/'SIMULARE PE PRODUS'!T$4,"")</f>
        <v>2.7880832131716669E-4</v>
      </c>
      <c r="I108" s="41">
        <f>'SIMULARE PE PRODUS'!$L$18</f>
        <v>546.05149899999992</v>
      </c>
      <c r="J108" s="28">
        <f t="shared" si="10"/>
        <v>0.41252103987613153</v>
      </c>
      <c r="K108" s="41">
        <f t="shared" si="11"/>
        <v>777.64219469369345</v>
      </c>
    </row>
    <row r="109" spans="1:11" x14ac:dyDescent="0.2">
      <c r="A109" s="26">
        <v>105</v>
      </c>
      <c r="B109" s="26" t="s">
        <v>296</v>
      </c>
      <c r="C109" s="26" t="s">
        <v>104</v>
      </c>
      <c r="D109" s="27">
        <f>'SIMULARE PE PRODUS'!$F$144</f>
        <v>125</v>
      </c>
      <c r="E109" s="27">
        <f>'SIMULARE PE PRODUS'!$G$144</f>
        <v>11</v>
      </c>
      <c r="F109" s="27">
        <f t="shared" si="9"/>
        <v>136</v>
      </c>
      <c r="G109" s="41">
        <f>'SIMULARE PE PRODUS'!T$144</f>
        <v>1244.3305785123969</v>
      </c>
      <c r="H109" s="42">
        <f>IFERROR($G109/'SIMULARE PE PRODUS'!T$4,"")</f>
        <v>2.6209214519302591E-4</v>
      </c>
      <c r="I109" s="41">
        <f>'SIMULARE PE PRODUS'!$L$144</f>
        <v>512.89435200000003</v>
      </c>
      <c r="J109" s="28">
        <f t="shared" si="10"/>
        <v>0.41218496182354342</v>
      </c>
      <c r="K109" s="41">
        <f t="shared" si="11"/>
        <v>731.43622651239684</v>
      </c>
    </row>
    <row r="110" spans="1:11" x14ac:dyDescent="0.2">
      <c r="A110" s="26">
        <v>106</v>
      </c>
      <c r="B110" s="26" t="s">
        <v>242</v>
      </c>
      <c r="C110" s="26" t="s">
        <v>105</v>
      </c>
      <c r="D110" s="27">
        <f>'SIMULARE PE PRODUS'!$F$173</f>
        <v>155</v>
      </c>
      <c r="E110" s="27">
        <f>'SIMULARE PE PRODUS'!$G$173</f>
        <v>171</v>
      </c>
      <c r="F110" s="27">
        <f t="shared" si="9"/>
        <v>326</v>
      </c>
      <c r="G110" s="41">
        <f>'SIMULARE PE PRODUS'!T$173</f>
        <v>4419.8198198198188</v>
      </c>
      <c r="H110" s="42">
        <f>IFERROR($G110/'SIMULARE PE PRODUS'!T$4,"")</f>
        <v>9.3094237009597755E-4</v>
      </c>
      <c r="I110" s="41">
        <f>'SIMULARE PE PRODUS'!$L$173</f>
        <v>1813.2473000000002</v>
      </c>
      <c r="J110" s="28">
        <f t="shared" si="10"/>
        <v>0.41025366958825943</v>
      </c>
      <c r="K110" s="41">
        <f t="shared" si="11"/>
        <v>2606.5725198198188</v>
      </c>
    </row>
    <row r="111" spans="1:11" x14ac:dyDescent="0.2">
      <c r="A111" s="26">
        <v>107</v>
      </c>
      <c r="B111" s="26" t="s">
        <v>271</v>
      </c>
      <c r="C111" s="26" t="s">
        <v>105</v>
      </c>
      <c r="D111" s="27">
        <f>'SIMULARE PE PRODUS'!$F$179</f>
        <v>124</v>
      </c>
      <c r="E111" s="27">
        <f>'SIMULARE PE PRODUS'!$G$179</f>
        <v>0</v>
      </c>
      <c r="F111" s="27">
        <f t="shared" si="9"/>
        <v>124</v>
      </c>
      <c r="G111" s="41">
        <f>'SIMULARE PE PRODUS'!T$179</f>
        <v>2010.8108108108106</v>
      </c>
      <c r="H111" s="42">
        <f>IFERROR($G111/'SIMULARE PE PRODUS'!T$4,"")</f>
        <v>4.2353513454020022E-4</v>
      </c>
      <c r="I111" s="41">
        <f>'SIMULARE PE PRODUS'!$L$179</f>
        <v>823.85044479999999</v>
      </c>
      <c r="J111" s="28">
        <f t="shared" si="10"/>
        <v>0.40971057066666672</v>
      </c>
      <c r="K111" s="41">
        <f t="shared" si="11"/>
        <v>1186.9603660108105</v>
      </c>
    </row>
    <row r="112" spans="1:11" x14ac:dyDescent="0.2">
      <c r="A112" s="26">
        <v>108</v>
      </c>
      <c r="B112" s="26" t="s">
        <v>250</v>
      </c>
      <c r="C112" s="26" t="s">
        <v>105</v>
      </c>
      <c r="D112" s="27">
        <f>'SIMULARE PE PRODUS'!$F$176</f>
        <v>127</v>
      </c>
      <c r="E112" s="27">
        <f>'SIMULARE PE PRODUS'!$G$176</f>
        <v>133</v>
      </c>
      <c r="F112" s="27">
        <f t="shared" si="9"/>
        <v>260</v>
      </c>
      <c r="G112" s="41">
        <f>'SIMULARE PE PRODUS'!T$176</f>
        <v>3518.9189189189187</v>
      </c>
      <c r="H112" s="42">
        <f>IFERROR($G112/'SIMULARE PE PRODUS'!T$4,"")</f>
        <v>7.4118648544535038E-4</v>
      </c>
      <c r="I112" s="41">
        <f>'SIMULARE PE PRODUS'!$L$176</f>
        <v>1439.046</v>
      </c>
      <c r="J112" s="28">
        <f t="shared" si="10"/>
        <v>0.4089454838709678</v>
      </c>
      <c r="K112" s="41">
        <f t="shared" si="11"/>
        <v>2079.8729189189189</v>
      </c>
    </row>
    <row r="113" spans="1:11" x14ac:dyDescent="0.2">
      <c r="A113" s="26">
        <v>109</v>
      </c>
      <c r="B113" s="26" t="s">
        <v>163</v>
      </c>
      <c r="C113" s="26" t="s">
        <v>97</v>
      </c>
      <c r="D113" s="27">
        <f>'SIMULARE PE PRODUS'!$F$31</f>
        <v>1779</v>
      </c>
      <c r="E113" s="27">
        <f>'SIMULARE PE PRODUS'!$G$31</f>
        <v>751</v>
      </c>
      <c r="F113" s="27">
        <f t="shared" si="9"/>
        <v>2530</v>
      </c>
      <c r="G113" s="41">
        <f>'SIMULARE PE PRODUS'!T$31</f>
        <v>62870.900900900888</v>
      </c>
      <c r="H113" s="42">
        <f>IFERROR($G113/'SIMULARE PE PRODUS'!T$4,"")</f>
        <v>1.3242436995347934E-2</v>
      </c>
      <c r="I113" s="41">
        <f>'SIMULARE PE PRODUS'!$L$31</f>
        <v>25669.388096000002</v>
      </c>
      <c r="J113" s="28">
        <f t="shared" si="10"/>
        <v>0.40828726371299989</v>
      </c>
      <c r="K113" s="41">
        <f t="shared" si="11"/>
        <v>37201.512804900885</v>
      </c>
    </row>
    <row r="114" spans="1:11" x14ac:dyDescent="0.2">
      <c r="A114" s="26">
        <v>110</v>
      </c>
      <c r="B114" s="26" t="s">
        <v>186</v>
      </c>
      <c r="C114" s="26" t="s">
        <v>97</v>
      </c>
      <c r="D114" s="27">
        <f>'SIMULARE PE PRODUS'!$F$36</f>
        <v>490</v>
      </c>
      <c r="E114" s="27">
        <f>'SIMULARE PE PRODUS'!$G$36</f>
        <v>462</v>
      </c>
      <c r="F114" s="27">
        <f t="shared" si="9"/>
        <v>952</v>
      </c>
      <c r="G114" s="41">
        <f>'SIMULARE PE PRODUS'!T$36</f>
        <v>23980.612612612611</v>
      </c>
      <c r="H114" s="42">
        <f>IFERROR($G114/'SIMULARE PE PRODUS'!T$4,"")</f>
        <v>5.051013220455031E-3</v>
      </c>
      <c r="I114" s="41">
        <f>'SIMULARE PE PRODUS'!$L$36</f>
        <v>9766.0999968000015</v>
      </c>
      <c r="J114" s="28">
        <f t="shared" si="10"/>
        <v>0.40724981277849082</v>
      </c>
      <c r="K114" s="41">
        <f t="shared" si="11"/>
        <v>14214.51261581261</v>
      </c>
    </row>
    <row r="115" spans="1:11" x14ac:dyDescent="0.2">
      <c r="A115" s="26">
        <v>111</v>
      </c>
      <c r="B115" s="26" t="s">
        <v>178</v>
      </c>
      <c r="C115" s="26" t="s">
        <v>97</v>
      </c>
      <c r="D115" s="27">
        <f>'SIMULARE PE PRODUS'!$F$34</f>
        <v>725</v>
      </c>
      <c r="E115" s="27">
        <f>'SIMULARE PE PRODUS'!$G$34</f>
        <v>936</v>
      </c>
      <c r="F115" s="27">
        <f t="shared" si="9"/>
        <v>1661</v>
      </c>
      <c r="G115" s="41">
        <f>'SIMULARE PE PRODUS'!T$34</f>
        <v>31599.450450450444</v>
      </c>
      <c r="H115" s="42">
        <f>IFERROR($G115/'SIMULARE PE PRODUS'!T$4,"")</f>
        <v>6.6557616589157671E-3</v>
      </c>
      <c r="I115" s="41">
        <f>'SIMULARE PE PRODUS'!$L$34</f>
        <v>12826.063608599999</v>
      </c>
      <c r="J115" s="28">
        <f t="shared" si="10"/>
        <v>0.40589514772454427</v>
      </c>
      <c r="K115" s="41">
        <f t="shared" si="11"/>
        <v>18773.386841850443</v>
      </c>
    </row>
    <row r="116" spans="1:11" x14ac:dyDescent="0.2">
      <c r="A116" s="26">
        <v>112</v>
      </c>
      <c r="B116" s="26" t="s">
        <v>179</v>
      </c>
      <c r="C116" s="26" t="s">
        <v>96</v>
      </c>
      <c r="D116" s="27">
        <f>'SIMULARE PE PRODUS'!$F$27</f>
        <v>966</v>
      </c>
      <c r="E116" s="27">
        <f>'SIMULARE PE PRODUS'!$G$27</f>
        <v>226</v>
      </c>
      <c r="F116" s="27">
        <f t="shared" si="9"/>
        <v>1192</v>
      </c>
      <c r="G116" s="41">
        <f>'SIMULARE PE PRODUS'!T$27</f>
        <v>29594.666666666664</v>
      </c>
      <c r="H116" s="42">
        <f>IFERROR($G116/'SIMULARE PE PRODUS'!T$4,"")</f>
        <v>6.2334959912438799E-3</v>
      </c>
      <c r="I116" s="41">
        <f>'SIMULARE PE PRODUS'!$L$27</f>
        <v>12009.469720079998</v>
      </c>
      <c r="J116" s="28">
        <f t="shared" si="10"/>
        <v>0.4057984452180573</v>
      </c>
      <c r="K116" s="41">
        <f t="shared" si="11"/>
        <v>17585.196946586664</v>
      </c>
    </row>
    <row r="117" spans="1:11" x14ac:dyDescent="0.2">
      <c r="A117" s="26">
        <v>113</v>
      </c>
      <c r="B117" s="26" t="s">
        <v>148</v>
      </c>
      <c r="C117" s="26" t="s">
        <v>96</v>
      </c>
      <c r="D117" s="27">
        <f>'SIMULARE PE PRODUS'!$F$23</f>
        <v>4157</v>
      </c>
      <c r="E117" s="27">
        <f>'SIMULARE PE PRODUS'!$G$23</f>
        <v>2680</v>
      </c>
      <c r="F117" s="27">
        <f t="shared" si="9"/>
        <v>6837</v>
      </c>
      <c r="G117" s="41">
        <f>'SIMULARE PE PRODUS'!T$23</f>
        <v>148849.21621621618</v>
      </c>
      <c r="H117" s="42">
        <f>IFERROR($G117/'SIMULARE PE PRODUS'!T$4,"")</f>
        <v>3.1351966319953274E-2</v>
      </c>
      <c r="I117" s="41">
        <f>'SIMULARE PE PRODUS'!$L$23</f>
        <v>60267.896561400004</v>
      </c>
      <c r="J117" s="28">
        <f t="shared" si="10"/>
        <v>0.40489226677455759</v>
      </c>
      <c r="K117" s="41">
        <f t="shared" si="11"/>
        <v>88581.31965481618</v>
      </c>
    </row>
    <row r="118" spans="1:11" x14ac:dyDescent="0.2">
      <c r="A118" s="26">
        <v>114</v>
      </c>
      <c r="B118" s="26" t="s">
        <v>193</v>
      </c>
      <c r="C118" s="26" t="s">
        <v>100</v>
      </c>
      <c r="D118" s="27">
        <f>'SIMULARE PE PRODUS'!$F$57</f>
        <v>711</v>
      </c>
      <c r="E118" s="27">
        <f>'SIMULARE PE PRODUS'!$G$57</f>
        <v>239</v>
      </c>
      <c r="F118" s="27">
        <f t="shared" si="9"/>
        <v>950</v>
      </c>
      <c r="G118" s="41">
        <f>'SIMULARE PE PRODUS'!T$57</f>
        <v>19800.450450450448</v>
      </c>
      <c r="H118" s="42">
        <f>IFERROR($G118/'SIMULARE PE PRODUS'!T$4,"")</f>
        <v>4.1705497107938127E-3</v>
      </c>
      <c r="I118" s="41">
        <f>'SIMULARE PE PRODUS'!$L$57</f>
        <v>7978.1866399999999</v>
      </c>
      <c r="J118" s="28">
        <f t="shared" si="10"/>
        <v>0.40292955253543239</v>
      </c>
      <c r="K118" s="41">
        <f t="shared" si="11"/>
        <v>11822.263810450448</v>
      </c>
    </row>
    <row r="119" spans="1:11" x14ac:dyDescent="0.2">
      <c r="A119" s="26">
        <v>115</v>
      </c>
      <c r="B119" s="26" t="s">
        <v>149</v>
      </c>
      <c r="C119" s="26" t="s">
        <v>96</v>
      </c>
      <c r="D119" s="27">
        <f>'SIMULARE PE PRODUS'!$F$24</f>
        <v>4656</v>
      </c>
      <c r="E119" s="27">
        <f>'SIMULARE PE PRODUS'!$G$24</f>
        <v>1173</v>
      </c>
      <c r="F119" s="27">
        <f t="shared" si="9"/>
        <v>5829</v>
      </c>
      <c r="G119" s="41">
        <f>'SIMULARE PE PRODUS'!T$24</f>
        <v>119175.86486486484</v>
      </c>
      <c r="H119" s="42">
        <f>IFERROR($G119/'SIMULARE PE PRODUS'!T$4,"")</f>
        <v>2.5101897049744009E-2</v>
      </c>
      <c r="I119" s="41">
        <f>'SIMULARE PE PRODUS'!$L$24</f>
        <v>47900.446358399997</v>
      </c>
      <c r="J119" s="28">
        <f t="shared" si="10"/>
        <v>0.40193076352091067</v>
      </c>
      <c r="K119" s="41">
        <f t="shared" si="11"/>
        <v>71275.418506464834</v>
      </c>
    </row>
    <row r="120" spans="1:11" x14ac:dyDescent="0.2">
      <c r="A120" s="26">
        <v>116</v>
      </c>
      <c r="B120" s="26" t="s">
        <v>272</v>
      </c>
      <c r="C120" s="26" t="s">
        <v>105</v>
      </c>
      <c r="D120" s="27">
        <f>'SIMULARE PE PRODUS'!$F$180</f>
        <v>119</v>
      </c>
      <c r="E120" s="27">
        <f>'SIMULARE PE PRODUS'!$G$180</f>
        <v>0</v>
      </c>
      <c r="F120" s="27">
        <f t="shared" si="9"/>
        <v>119</v>
      </c>
      <c r="G120" s="41">
        <f>'SIMULARE PE PRODUS'!T$180</f>
        <v>1929.7297297297296</v>
      </c>
      <c r="H120" s="42">
        <f>IFERROR($G120/'SIMULARE PE PRODUS'!T$4,"")</f>
        <v>4.0645710492164374E-4</v>
      </c>
      <c r="I120" s="41">
        <f>'SIMULARE PE PRODUS'!$L$180</f>
        <v>773.67049725000004</v>
      </c>
      <c r="J120" s="28">
        <f t="shared" si="10"/>
        <v>0.40092168625000008</v>
      </c>
      <c r="K120" s="41">
        <f t="shared" si="11"/>
        <v>1156.0592324797294</v>
      </c>
    </row>
    <row r="121" spans="1:11" x14ac:dyDescent="0.2">
      <c r="A121" s="26">
        <v>117</v>
      </c>
      <c r="B121" s="26" t="s">
        <v>251</v>
      </c>
      <c r="C121" s="26" t="s">
        <v>108</v>
      </c>
      <c r="D121" s="27">
        <f>'SIMULARE PE PRODUS'!$F$212</f>
        <v>53</v>
      </c>
      <c r="E121" s="27">
        <f>'SIMULARE PE PRODUS'!$G$212</f>
        <v>147</v>
      </c>
      <c r="F121" s="27">
        <f t="shared" si="9"/>
        <v>200</v>
      </c>
      <c r="G121" s="41">
        <f>'SIMULARE PE PRODUS'!T$212</f>
        <v>3460.3603603603597</v>
      </c>
      <c r="H121" s="42">
        <f>IFERROR($G121/'SIMULARE PE PRODUS'!T$4,"")</f>
        <v>7.2885235294305954E-4</v>
      </c>
      <c r="I121" s="41">
        <f>'SIMULARE PE PRODUS'!$L$212</f>
        <v>1384.172988</v>
      </c>
      <c r="J121" s="28">
        <f t="shared" si="10"/>
        <v>0.40000833550637865</v>
      </c>
      <c r="K121" s="41">
        <f t="shared" si="11"/>
        <v>2076.1873723603594</v>
      </c>
    </row>
    <row r="122" spans="1:11" x14ac:dyDescent="0.2">
      <c r="A122" s="26">
        <v>118</v>
      </c>
      <c r="B122" s="26" t="s">
        <v>274</v>
      </c>
      <c r="C122" s="26" t="s">
        <v>105</v>
      </c>
      <c r="D122" s="27">
        <f>'SIMULARE PE PRODUS'!$F$182</f>
        <v>113</v>
      </c>
      <c r="E122" s="27">
        <f>'SIMULARE PE PRODUS'!$G$182</f>
        <v>0</v>
      </c>
      <c r="F122" s="27">
        <f t="shared" si="9"/>
        <v>113</v>
      </c>
      <c r="G122" s="41">
        <f>'SIMULARE PE PRODUS'!T$182</f>
        <v>1832.4324324324323</v>
      </c>
      <c r="H122" s="42">
        <f>IFERROR($G122/'SIMULARE PE PRODUS'!T$4,"")</f>
        <v>3.8596346937937599E-4</v>
      </c>
      <c r="I122" s="41">
        <f>'SIMULARE PE PRODUS'!$L$182</f>
        <v>731.91798389999997</v>
      </c>
      <c r="J122" s="28">
        <f t="shared" si="10"/>
        <v>0.39942426850000001</v>
      </c>
      <c r="K122" s="41">
        <f t="shared" si="11"/>
        <v>1100.5144485324322</v>
      </c>
    </row>
    <row r="123" spans="1:11" x14ac:dyDescent="0.2">
      <c r="A123" s="26">
        <v>119</v>
      </c>
      <c r="B123" s="26" t="s">
        <v>245</v>
      </c>
      <c r="C123" s="26" t="s">
        <v>105</v>
      </c>
      <c r="D123" s="27">
        <f>'SIMULARE PE PRODUS'!$F$175</f>
        <v>257</v>
      </c>
      <c r="E123" s="27">
        <f>'SIMULARE PE PRODUS'!$G$175</f>
        <v>0</v>
      </c>
      <c r="F123" s="27">
        <f t="shared" si="9"/>
        <v>257</v>
      </c>
      <c r="G123" s="41">
        <f>'SIMULARE PE PRODUS'!T$175</f>
        <v>4167.5675675675666</v>
      </c>
      <c r="H123" s="42">
        <f>IFERROR($G123/'SIMULARE PE PRODUS'!T$4,"")</f>
        <v>8.7781072239380192E-4</v>
      </c>
      <c r="I123" s="41">
        <f>'SIMULARE PE PRODUS'!$L$175</f>
        <v>1661.0038500000001</v>
      </c>
      <c r="J123" s="28">
        <f t="shared" si="10"/>
        <v>0.39855475000000012</v>
      </c>
      <c r="K123" s="41">
        <f t="shared" si="11"/>
        <v>2506.5637175675665</v>
      </c>
    </row>
    <row r="124" spans="1:11" x14ac:dyDescent="0.2">
      <c r="A124" s="26">
        <v>120</v>
      </c>
      <c r="B124" s="26" t="s">
        <v>244</v>
      </c>
      <c r="C124" s="26" t="s">
        <v>105</v>
      </c>
      <c r="D124" s="27">
        <f>'SIMULARE PE PRODUS'!$F$174</f>
        <v>259</v>
      </c>
      <c r="E124" s="27">
        <f>'SIMULARE PE PRODUS'!$G$174</f>
        <v>0</v>
      </c>
      <c r="F124" s="27">
        <f t="shared" si="9"/>
        <v>259</v>
      </c>
      <c r="G124" s="41">
        <f>'SIMULARE PE PRODUS'!T$174</f>
        <v>4199.9999999999991</v>
      </c>
      <c r="H124" s="42">
        <f>IFERROR($G124/'SIMULARE PE PRODUS'!T$4,"")</f>
        <v>8.8464193424122456E-4</v>
      </c>
      <c r="I124" s="41">
        <f>'SIMULARE PE PRODUS'!$L$174</f>
        <v>1673.92995</v>
      </c>
      <c r="J124" s="28">
        <f t="shared" si="10"/>
        <v>0.39855475000000007</v>
      </c>
      <c r="K124" s="41">
        <f t="shared" si="11"/>
        <v>2526.0700499999994</v>
      </c>
    </row>
    <row r="125" spans="1:11" x14ac:dyDescent="0.2">
      <c r="A125" s="26">
        <v>121</v>
      </c>
      <c r="B125" s="26" t="s">
        <v>239</v>
      </c>
      <c r="C125" s="26" t="s">
        <v>110</v>
      </c>
      <c r="D125" s="27">
        <f>'SIMULARE PE PRODUS'!$F$224</f>
        <v>179</v>
      </c>
      <c r="E125" s="27">
        <f>'SIMULARE PE PRODUS'!$G$224</f>
        <v>0</v>
      </c>
      <c r="F125" s="27">
        <f t="shared" si="9"/>
        <v>179</v>
      </c>
      <c r="G125" s="41">
        <f>'SIMULARE PE PRODUS'!T$224</f>
        <v>4836.2252252252247</v>
      </c>
      <c r="H125" s="42">
        <f>IFERROR($G125/'SIMULARE PE PRODUS'!T$4,"")</f>
        <v>1.0186494375403442E-3</v>
      </c>
      <c r="I125" s="41">
        <f>'SIMULARE PE PRODUS'!$L$224</f>
        <v>1912.2570000000001</v>
      </c>
      <c r="J125" s="28">
        <f t="shared" si="10"/>
        <v>0.3954028009336446</v>
      </c>
      <c r="K125" s="41">
        <f t="shared" si="11"/>
        <v>2923.9682252252246</v>
      </c>
    </row>
    <row r="126" spans="1:11" x14ac:dyDescent="0.2">
      <c r="A126" s="26">
        <v>122</v>
      </c>
      <c r="B126" s="26" t="s">
        <v>215</v>
      </c>
      <c r="C126" s="26" t="s">
        <v>105</v>
      </c>
      <c r="D126" s="27">
        <f>'SIMULARE PE PRODUS'!$F$167</f>
        <v>748</v>
      </c>
      <c r="E126" s="27">
        <f>'SIMULARE PE PRODUS'!$G$167</f>
        <v>284</v>
      </c>
      <c r="F126" s="27">
        <f t="shared" si="9"/>
        <v>1032</v>
      </c>
      <c r="G126" s="41">
        <f>'SIMULARE PE PRODUS'!T$167</f>
        <v>9809.0090090090089</v>
      </c>
      <c r="H126" s="42">
        <f>IFERROR($G126/'SIMULARE PE PRODUS'!T$4,"")</f>
        <v>2.0660620720760305E-3</v>
      </c>
      <c r="I126" s="41">
        <f>'SIMULARE PE PRODUS'!$L$167</f>
        <v>3868.5438479999998</v>
      </c>
      <c r="J126" s="28">
        <f t="shared" si="10"/>
        <v>0.39438681771491546</v>
      </c>
      <c r="K126" s="41">
        <f t="shared" si="11"/>
        <v>5940.4651610090095</v>
      </c>
    </row>
    <row r="127" spans="1:11" x14ac:dyDescent="0.2">
      <c r="A127" s="26">
        <v>123</v>
      </c>
      <c r="B127" s="26" t="s">
        <v>181</v>
      </c>
      <c r="C127" s="26" t="s">
        <v>107</v>
      </c>
      <c r="D127" s="27">
        <f>'SIMULARE PE PRODUS'!$F$207</f>
        <v>971</v>
      </c>
      <c r="E127" s="27">
        <f>'SIMULARE PE PRODUS'!$G$207</f>
        <v>865</v>
      </c>
      <c r="F127" s="27">
        <f t="shared" si="9"/>
        <v>1836</v>
      </c>
      <c r="G127" s="41">
        <f>'SIMULARE PE PRODUS'!T$207</f>
        <v>27291.891891891886</v>
      </c>
      <c r="H127" s="42">
        <f>IFERROR($G127/'SIMULARE PE PRODUS'!T$4,"")</f>
        <v>5.7484647696061037E-3</v>
      </c>
      <c r="I127" s="41">
        <f>'SIMULARE PE PRODUS'!$L$207</f>
        <v>10688.931765360001</v>
      </c>
      <c r="J127" s="28">
        <f t="shared" si="10"/>
        <v>0.39165228294545468</v>
      </c>
      <c r="K127" s="41">
        <f t="shared" si="11"/>
        <v>16602.960126531885</v>
      </c>
    </row>
    <row r="128" spans="1:11" x14ac:dyDescent="0.2">
      <c r="A128" s="26">
        <v>124</v>
      </c>
      <c r="B128" s="26" t="s">
        <v>221</v>
      </c>
      <c r="C128" s="26" t="s">
        <v>102</v>
      </c>
      <c r="D128" s="27">
        <f>'SIMULARE PE PRODUS'!$F$85</f>
        <v>987</v>
      </c>
      <c r="E128" s="27">
        <f>'SIMULARE PE PRODUS'!$G$85</f>
        <v>455</v>
      </c>
      <c r="F128" s="27">
        <f t="shared" si="9"/>
        <v>1442</v>
      </c>
      <c r="G128" s="41">
        <f>'SIMULARE PE PRODUS'!T$85</f>
        <v>7924.5045045045026</v>
      </c>
      <c r="H128" s="42">
        <f>IFERROR($G128/'SIMULARE PE PRODUS'!T$4,"")</f>
        <v>1.669130712563848E-3</v>
      </c>
      <c r="I128" s="41">
        <f>'SIMULARE PE PRODUS'!$L$85</f>
        <v>3068.576</v>
      </c>
      <c r="J128" s="28">
        <f t="shared" si="10"/>
        <v>0.3872262295081968</v>
      </c>
      <c r="K128" s="41">
        <f t="shared" si="11"/>
        <v>4855.9285045045026</v>
      </c>
    </row>
    <row r="129" spans="1:11" x14ac:dyDescent="0.2">
      <c r="A129" s="26">
        <v>125</v>
      </c>
      <c r="B129" s="26" t="s">
        <v>228</v>
      </c>
      <c r="C129" s="26" t="s">
        <v>108</v>
      </c>
      <c r="D129" s="27">
        <f>'SIMULARE PE PRODUS'!$F$211</f>
        <v>182</v>
      </c>
      <c r="E129" s="27">
        <f>'SIMULARE PE PRODUS'!$G$211</f>
        <v>233</v>
      </c>
      <c r="F129" s="27">
        <f t="shared" si="9"/>
        <v>415</v>
      </c>
      <c r="G129" s="41">
        <f>'SIMULARE PE PRODUS'!T$211</f>
        <v>6985.5855855855843</v>
      </c>
      <c r="H129" s="42">
        <f>IFERROR($G129/'SIMULARE PE PRODUS'!T$4,"")</f>
        <v>1.4713671295809643E-3</v>
      </c>
      <c r="I129" s="41">
        <f>'SIMULARE PE PRODUS'!$L$211</f>
        <v>2703.0644859999998</v>
      </c>
      <c r="J129" s="28">
        <f t="shared" si="10"/>
        <v>0.38694887534949707</v>
      </c>
      <c r="K129" s="41">
        <f t="shared" si="11"/>
        <v>4282.521099585585</v>
      </c>
    </row>
    <row r="130" spans="1:11" x14ac:dyDescent="0.2">
      <c r="A130" s="26">
        <v>126</v>
      </c>
      <c r="B130" s="26" t="s">
        <v>151</v>
      </c>
      <c r="C130" s="26" t="s">
        <v>102</v>
      </c>
      <c r="D130" s="27">
        <f>'SIMULARE PE PRODUS'!$F$75</f>
        <v>6426</v>
      </c>
      <c r="E130" s="27">
        <f>'SIMULARE PE PRODUS'!$G$75</f>
        <v>2882</v>
      </c>
      <c r="F130" s="27">
        <f t="shared" si="9"/>
        <v>9308</v>
      </c>
      <c r="G130" s="41">
        <f>'SIMULARE PE PRODUS'!T$75</f>
        <v>118069.04504504503</v>
      </c>
      <c r="H130" s="42">
        <f>IFERROR($G130/'SIMULARE PE PRODUS'!T$4,"")</f>
        <v>2.4868768662538791E-2</v>
      </c>
      <c r="I130" s="41">
        <f>'SIMULARE PE PRODUS'!$L$75</f>
        <v>45536.690679999992</v>
      </c>
      <c r="J130" s="28">
        <f t="shared" si="10"/>
        <v>0.38567848721590908</v>
      </c>
      <c r="K130" s="41">
        <f t="shared" si="11"/>
        <v>72532.35436504503</v>
      </c>
    </row>
    <row r="131" spans="1:11" x14ac:dyDescent="0.2">
      <c r="A131" s="26">
        <v>127</v>
      </c>
      <c r="B131" s="26" t="s">
        <v>285</v>
      </c>
      <c r="C131" s="26" t="s">
        <v>104</v>
      </c>
      <c r="D131" s="27">
        <f>'SIMULARE PE PRODUS'!$F$140</f>
        <v>64</v>
      </c>
      <c r="E131" s="27">
        <f>'SIMULARE PE PRODUS'!$G$140</f>
        <v>43</v>
      </c>
      <c r="F131" s="27">
        <f t="shared" si="9"/>
        <v>107</v>
      </c>
      <c r="G131" s="41">
        <f>'SIMULARE PE PRODUS'!T$140</f>
        <v>1484.6846846846845</v>
      </c>
      <c r="H131" s="42">
        <f>IFERROR($G131/'SIMULARE PE PRODUS'!T$4,"")</f>
        <v>3.1271769790423387E-4</v>
      </c>
      <c r="I131" s="41">
        <f>'SIMULARE PE PRODUS'!$L$140</f>
        <v>571.59186</v>
      </c>
      <c r="J131" s="28">
        <f t="shared" si="10"/>
        <v>0.38499209016990293</v>
      </c>
      <c r="K131" s="41">
        <f t="shared" si="11"/>
        <v>913.0928246846845</v>
      </c>
    </row>
    <row r="132" spans="1:11" x14ac:dyDescent="0.2">
      <c r="A132" s="26">
        <v>128</v>
      </c>
      <c r="B132" s="26" t="s">
        <v>325</v>
      </c>
      <c r="C132" s="26" t="s">
        <v>105</v>
      </c>
      <c r="D132" s="27">
        <f>'SIMULARE PE PRODUS'!$F$187</f>
        <v>39</v>
      </c>
      <c r="E132" s="27">
        <f>'SIMULARE PE PRODUS'!$G$187</f>
        <v>0</v>
      </c>
      <c r="F132" s="27">
        <f t="shared" si="9"/>
        <v>39</v>
      </c>
      <c r="G132" s="41">
        <f>'SIMULARE PE PRODUS'!T$187</f>
        <v>140.54054054054052</v>
      </c>
      <c r="H132" s="42">
        <f>IFERROR($G132/'SIMULARE PE PRODUS'!T$4,"")</f>
        <v>2.9601918005497862E-5</v>
      </c>
      <c r="I132" s="41">
        <f>'SIMULARE PE PRODUS'!$L$187</f>
        <v>53.456730600000007</v>
      </c>
      <c r="J132" s="28">
        <f t="shared" si="10"/>
        <v>0.38036519850000011</v>
      </c>
      <c r="K132" s="41">
        <f t="shared" si="11"/>
        <v>87.083809940540505</v>
      </c>
    </row>
    <row r="133" spans="1:11" x14ac:dyDescent="0.2">
      <c r="A133" s="26">
        <v>129</v>
      </c>
      <c r="B133" s="26" t="s">
        <v>202</v>
      </c>
      <c r="C133" s="26" t="s">
        <v>100</v>
      </c>
      <c r="D133" s="27">
        <f>'SIMULARE PE PRODUS'!$F$60</f>
        <v>597</v>
      </c>
      <c r="E133" s="27">
        <f>'SIMULARE PE PRODUS'!$G$60</f>
        <v>143</v>
      </c>
      <c r="F133" s="27">
        <f t="shared" ref="F133:F164" si="12">$D133+$E133</f>
        <v>740</v>
      </c>
      <c r="G133" s="41">
        <f>'SIMULARE PE PRODUS'!T$60</f>
        <v>15170.720720720718</v>
      </c>
      <c r="H133" s="42">
        <f>IFERROR($G133/'SIMULARE PE PRODUS'!T$4,"")</f>
        <v>3.1953942195742388E-3</v>
      </c>
      <c r="I133" s="41">
        <f>'SIMULARE PE PRODUS'!$L$60</f>
        <v>5761.7074880000009</v>
      </c>
      <c r="J133" s="28">
        <f t="shared" ref="J133:J164" si="13">IFERROR($I133/$G133,"")</f>
        <v>0.3797912830951039</v>
      </c>
      <c r="K133" s="41">
        <f t="shared" ref="K133:K164" si="14">$G133-$I133</f>
        <v>9409.0132327207175</v>
      </c>
    </row>
    <row r="134" spans="1:11" x14ac:dyDescent="0.2">
      <c r="A134" s="26">
        <v>130</v>
      </c>
      <c r="B134" s="26" t="s">
        <v>220</v>
      </c>
      <c r="C134" s="26" t="s">
        <v>107</v>
      </c>
      <c r="D134" s="27">
        <f>'SIMULARE PE PRODUS'!$F$208</f>
        <v>355</v>
      </c>
      <c r="E134" s="27">
        <f>'SIMULARE PE PRODUS'!$G$208</f>
        <v>562</v>
      </c>
      <c r="F134" s="27">
        <f t="shared" si="12"/>
        <v>917</v>
      </c>
      <c r="G134" s="41">
        <f>'SIMULARE PE PRODUS'!T$208</f>
        <v>8467.7927927927922</v>
      </c>
      <c r="H134" s="42">
        <f>IFERROR($G134/'SIMULARE PE PRODUS'!T$4,"")</f>
        <v>1.7835629988024091E-3</v>
      </c>
      <c r="I134" s="41">
        <f>'SIMULARE PE PRODUS'!$L$208</f>
        <v>3197.1205000000004</v>
      </c>
      <c r="J134" s="28">
        <f t="shared" si="13"/>
        <v>0.37756243902439035</v>
      </c>
      <c r="K134" s="41">
        <f t="shared" si="14"/>
        <v>5270.6722927927913</v>
      </c>
    </row>
    <row r="135" spans="1:11" x14ac:dyDescent="0.2">
      <c r="A135" s="26">
        <v>131</v>
      </c>
      <c r="B135" s="26" t="s">
        <v>286</v>
      </c>
      <c r="C135" s="26" t="s">
        <v>104</v>
      </c>
      <c r="D135" s="27">
        <f>'SIMULARE PE PRODUS'!$F$141</f>
        <v>76</v>
      </c>
      <c r="E135" s="27">
        <f>'SIMULARE PE PRODUS'!$G$141</f>
        <v>30</v>
      </c>
      <c r="F135" s="27">
        <f t="shared" si="12"/>
        <v>106</v>
      </c>
      <c r="G135" s="41">
        <f>'SIMULARE PE PRODUS'!T$141</f>
        <v>1459.4594594594591</v>
      </c>
      <c r="H135" s="42">
        <f>IFERROR($G135/'SIMULARE PE PRODUS'!T$4,"")</f>
        <v>3.0740453313401626E-4</v>
      </c>
      <c r="I135" s="41">
        <f>'SIMULARE PE PRODUS'!$L$141</f>
        <v>550.88306000000011</v>
      </c>
      <c r="J135" s="28">
        <f t="shared" si="13"/>
        <v>0.37745691148148164</v>
      </c>
      <c r="K135" s="41">
        <f t="shared" si="14"/>
        <v>908.57639945945903</v>
      </c>
    </row>
    <row r="136" spans="1:11" x14ac:dyDescent="0.2">
      <c r="A136" s="26">
        <v>132</v>
      </c>
      <c r="B136" s="26" t="s">
        <v>230</v>
      </c>
      <c r="C136" s="26" t="s">
        <v>105</v>
      </c>
      <c r="D136" s="27">
        <f>'SIMULARE PE PRODUS'!$F$170</f>
        <v>239</v>
      </c>
      <c r="E136" s="27">
        <f>'SIMULARE PE PRODUS'!$G$170</f>
        <v>224</v>
      </c>
      <c r="F136" s="27">
        <f t="shared" si="12"/>
        <v>463</v>
      </c>
      <c r="G136" s="41">
        <f>'SIMULARE PE PRODUS'!T$170</f>
        <v>6243.2432432432433</v>
      </c>
      <c r="H136" s="42">
        <f>IFERROR($G136/'SIMULARE PE PRODUS'!T$4,"")</f>
        <v>1.3150082806288475E-3</v>
      </c>
      <c r="I136" s="41">
        <f>'SIMULARE PE PRODUS'!$L$170</f>
        <v>2352.3185050000002</v>
      </c>
      <c r="J136" s="28">
        <f t="shared" si="13"/>
        <v>0.37677828867965368</v>
      </c>
      <c r="K136" s="41">
        <f t="shared" si="14"/>
        <v>3890.9247382432432</v>
      </c>
    </row>
    <row r="137" spans="1:11" x14ac:dyDescent="0.2">
      <c r="A137" s="26">
        <v>133</v>
      </c>
      <c r="B137" s="26" t="s">
        <v>268</v>
      </c>
      <c r="C137" s="26" t="s">
        <v>108</v>
      </c>
      <c r="D137" s="27">
        <f>'SIMULARE PE PRODUS'!$F$213</f>
        <v>31</v>
      </c>
      <c r="E137" s="27">
        <f>'SIMULARE PE PRODUS'!$G$213</f>
        <v>78</v>
      </c>
      <c r="F137" s="27">
        <f t="shared" si="12"/>
        <v>109</v>
      </c>
      <c r="G137" s="41">
        <f>'SIMULARE PE PRODUS'!T$213</f>
        <v>2174.7747747747749</v>
      </c>
      <c r="H137" s="42">
        <f>IFERROR($G137/'SIMULARE PE PRODUS'!T$4,"")</f>
        <v>4.5807070554661444E-4</v>
      </c>
      <c r="I137" s="41">
        <f>'SIMULARE PE PRODUS'!$L$213</f>
        <v>816.30091279999999</v>
      </c>
      <c r="J137" s="28">
        <f t="shared" si="13"/>
        <v>0.37534963264623028</v>
      </c>
      <c r="K137" s="41">
        <f t="shared" si="14"/>
        <v>1358.473861974775</v>
      </c>
    </row>
    <row r="138" spans="1:11" x14ac:dyDescent="0.2">
      <c r="A138" s="26">
        <v>134</v>
      </c>
      <c r="B138" s="26" t="s">
        <v>338</v>
      </c>
      <c r="C138" s="26" t="s">
        <v>105</v>
      </c>
      <c r="D138" s="27">
        <f>'SIMULARE PE PRODUS'!$F$195</f>
        <v>1</v>
      </c>
      <c r="E138" s="27">
        <f>'SIMULARE PE PRODUS'!$G$195</f>
        <v>0</v>
      </c>
      <c r="F138" s="27">
        <f t="shared" si="12"/>
        <v>1</v>
      </c>
      <c r="G138" s="41">
        <f>'SIMULARE PE PRODUS'!T$195</f>
        <v>3.6036036036036032</v>
      </c>
      <c r="H138" s="42">
        <f>IFERROR($G138/'SIMULARE PE PRODUS'!T$4,"")</f>
        <v>7.5902353860250936E-7</v>
      </c>
      <c r="I138" s="41">
        <f>'SIMULARE PE PRODUS'!$L$195</f>
        <v>1.3504327500000002</v>
      </c>
      <c r="J138" s="28">
        <f t="shared" si="13"/>
        <v>0.37474508812500007</v>
      </c>
      <c r="K138" s="41">
        <f t="shared" si="14"/>
        <v>2.2531708536036028</v>
      </c>
    </row>
    <row r="139" spans="1:11" x14ac:dyDescent="0.2">
      <c r="A139" s="26">
        <v>135</v>
      </c>
      <c r="B139" s="26" t="s">
        <v>234</v>
      </c>
      <c r="C139" s="26" t="s">
        <v>105</v>
      </c>
      <c r="D139" s="27">
        <f>'SIMULARE PE PRODUS'!$F$171</f>
        <v>353</v>
      </c>
      <c r="E139" s="27">
        <f>'SIMULARE PE PRODUS'!$G$171</f>
        <v>0</v>
      </c>
      <c r="F139" s="27">
        <f t="shared" si="12"/>
        <v>353</v>
      </c>
      <c r="G139" s="41">
        <f>'SIMULARE PE PRODUS'!T$171</f>
        <v>5724.3243243243232</v>
      </c>
      <c r="H139" s="42">
        <f>IFERROR($G139/'SIMULARE PE PRODUS'!T$4,"")</f>
        <v>1.205708891070086E-3</v>
      </c>
      <c r="I139" s="41">
        <f>'SIMULARE PE PRODUS'!$L$171</f>
        <v>2141.6986549999997</v>
      </c>
      <c r="J139" s="28">
        <f t="shared" si="13"/>
        <v>0.37413999166666667</v>
      </c>
      <c r="K139" s="41">
        <f t="shared" si="14"/>
        <v>3582.6256693243236</v>
      </c>
    </row>
    <row r="140" spans="1:11" x14ac:dyDescent="0.2">
      <c r="A140" s="26">
        <v>136</v>
      </c>
      <c r="B140" s="26" t="s">
        <v>329</v>
      </c>
      <c r="C140" s="26" t="s">
        <v>105</v>
      </c>
      <c r="D140" s="27">
        <f>'SIMULARE PE PRODUS'!$F$189</f>
        <v>3</v>
      </c>
      <c r="E140" s="27">
        <f>'SIMULARE PE PRODUS'!$G$189</f>
        <v>0</v>
      </c>
      <c r="F140" s="27">
        <f t="shared" si="12"/>
        <v>3</v>
      </c>
      <c r="G140" s="41">
        <f>'SIMULARE PE PRODUS'!T$189</f>
        <v>37.837837837837839</v>
      </c>
      <c r="H140" s="42">
        <f>IFERROR($G140/'SIMULARE PE PRODUS'!T$4,"")</f>
        <v>7.9697471553263484E-6</v>
      </c>
      <c r="I140" s="41">
        <f>'SIMULARE PE PRODUS'!$L$189</f>
        <v>13.972800000000001</v>
      </c>
      <c r="J140" s="28">
        <f t="shared" si="13"/>
        <v>0.36928114285714286</v>
      </c>
      <c r="K140" s="41">
        <f t="shared" si="14"/>
        <v>23.865037837837839</v>
      </c>
    </row>
    <row r="141" spans="1:11" x14ac:dyDescent="0.2">
      <c r="A141" s="26">
        <v>137</v>
      </c>
      <c r="B141" s="26" t="s">
        <v>222</v>
      </c>
      <c r="C141" s="26" t="s">
        <v>100</v>
      </c>
      <c r="D141" s="27">
        <f>'SIMULARE PE PRODUS'!$F$63</f>
        <v>364</v>
      </c>
      <c r="E141" s="27">
        <f>'SIMULARE PE PRODUS'!$G$63</f>
        <v>179</v>
      </c>
      <c r="F141" s="27">
        <f t="shared" si="12"/>
        <v>543</v>
      </c>
      <c r="G141" s="41">
        <f>'SIMULARE PE PRODUS'!T$63</f>
        <v>7740.9909909909902</v>
      </c>
      <c r="H141" s="42">
        <f>IFERROR($G141/'SIMULARE PE PRODUS'!T$4,"")</f>
        <v>1.6304774388605154E-3</v>
      </c>
      <c r="I141" s="41">
        <f>'SIMULARE PE PRODUS'!$L$63</f>
        <v>2852.9517129599999</v>
      </c>
      <c r="J141" s="28">
        <f t="shared" si="13"/>
        <v>0.36855122506669774</v>
      </c>
      <c r="K141" s="41">
        <f t="shared" si="14"/>
        <v>4888.0392780309903</v>
      </c>
    </row>
    <row r="142" spans="1:11" x14ac:dyDescent="0.2">
      <c r="A142" s="26">
        <v>138</v>
      </c>
      <c r="B142" s="26" t="s">
        <v>337</v>
      </c>
      <c r="C142" s="26" t="s">
        <v>105</v>
      </c>
      <c r="D142" s="27">
        <f>'SIMULARE PE PRODUS'!$F$194</f>
        <v>1</v>
      </c>
      <c r="E142" s="27">
        <f>'SIMULARE PE PRODUS'!$G$194</f>
        <v>0</v>
      </c>
      <c r="F142" s="27">
        <f t="shared" si="12"/>
        <v>1</v>
      </c>
      <c r="G142" s="41">
        <f>'SIMULARE PE PRODUS'!T$194</f>
        <v>3.6036036036036032</v>
      </c>
      <c r="H142" s="42">
        <f>IFERROR($G142/'SIMULARE PE PRODUS'!T$4,"")</f>
        <v>7.5902353860250936E-7</v>
      </c>
      <c r="I142" s="41">
        <f>'SIMULARE PE PRODUS'!$L$194</f>
        <v>1.3261503000000001</v>
      </c>
      <c r="J142" s="28">
        <f t="shared" si="13"/>
        <v>0.36800670825000009</v>
      </c>
      <c r="K142" s="41">
        <f t="shared" si="14"/>
        <v>2.2774533036036031</v>
      </c>
    </row>
    <row r="143" spans="1:11" x14ac:dyDescent="0.2">
      <c r="A143" s="26">
        <v>139</v>
      </c>
      <c r="B143" s="26" t="s">
        <v>196</v>
      </c>
      <c r="C143" s="26" t="s">
        <v>99</v>
      </c>
      <c r="D143" s="27">
        <f>'SIMULARE PE PRODUS'!$F$47</f>
        <v>739</v>
      </c>
      <c r="E143" s="27">
        <f>'SIMULARE PE PRODUS'!$G$47</f>
        <v>253</v>
      </c>
      <c r="F143" s="27">
        <f t="shared" si="12"/>
        <v>992</v>
      </c>
      <c r="G143" s="41">
        <f>'SIMULARE PE PRODUS'!T$47</f>
        <v>19442.414414414412</v>
      </c>
      <c r="H143" s="42">
        <f>IFERROR($G143/'SIMULARE PE PRODUS'!T$4,"")</f>
        <v>4.0951369271159605E-3</v>
      </c>
      <c r="I143" s="41">
        <f>'SIMULARE PE PRODUS'!$L$47</f>
        <v>7133.8174144000004</v>
      </c>
      <c r="J143" s="28">
        <f t="shared" si="13"/>
        <v>0.36692034550560032</v>
      </c>
      <c r="K143" s="41">
        <f t="shared" si="14"/>
        <v>12308.597000014412</v>
      </c>
    </row>
    <row r="144" spans="1:11" x14ac:dyDescent="0.2">
      <c r="A144" s="26">
        <v>140</v>
      </c>
      <c r="B144" s="26" t="s">
        <v>331</v>
      </c>
      <c r="C144" s="26" t="s">
        <v>105</v>
      </c>
      <c r="D144" s="27">
        <f>'SIMULARE PE PRODUS'!$F$191</f>
        <v>9</v>
      </c>
      <c r="E144" s="27">
        <f>'SIMULARE PE PRODUS'!$G$191</f>
        <v>0</v>
      </c>
      <c r="F144" s="27">
        <f t="shared" si="12"/>
        <v>9</v>
      </c>
      <c r="G144" s="41">
        <f>'SIMULARE PE PRODUS'!T$191</f>
        <v>32.432432432432428</v>
      </c>
      <c r="H144" s="42">
        <f>IFERROR($G144/'SIMULARE PE PRODUS'!T$4,"")</f>
        <v>6.8312118474225841E-6</v>
      </c>
      <c r="I144" s="41">
        <f>'SIMULARE PE PRODUS'!$L$191</f>
        <v>11.808450000000001</v>
      </c>
      <c r="J144" s="28">
        <f t="shared" si="13"/>
        <v>0.36409387500000007</v>
      </c>
      <c r="K144" s="41">
        <f t="shared" si="14"/>
        <v>20.623982432432427</v>
      </c>
    </row>
    <row r="145" spans="1:11" x14ac:dyDescent="0.2">
      <c r="A145" s="26">
        <v>141</v>
      </c>
      <c r="B145" s="26" t="s">
        <v>334</v>
      </c>
      <c r="C145" s="26" t="s">
        <v>105</v>
      </c>
      <c r="D145" s="27">
        <f>'SIMULARE PE PRODUS'!$F$193</f>
        <v>6</v>
      </c>
      <c r="E145" s="27">
        <f>'SIMULARE PE PRODUS'!$G$193</f>
        <v>0</v>
      </c>
      <c r="F145" s="27">
        <f t="shared" si="12"/>
        <v>6</v>
      </c>
      <c r="G145" s="41">
        <f>'SIMULARE PE PRODUS'!T$193</f>
        <v>21.621621621621621</v>
      </c>
      <c r="H145" s="42">
        <f>IFERROR($G145/'SIMULARE PE PRODUS'!T$4,"")</f>
        <v>4.5541412316150564E-6</v>
      </c>
      <c r="I145" s="41">
        <f>'SIMULARE PE PRODUS'!$L$193</f>
        <v>7.872300000000001</v>
      </c>
      <c r="J145" s="28">
        <f t="shared" si="13"/>
        <v>0.36409387500000007</v>
      </c>
      <c r="K145" s="41">
        <f t="shared" si="14"/>
        <v>13.74932162162162</v>
      </c>
    </row>
    <row r="146" spans="1:11" x14ac:dyDescent="0.2">
      <c r="A146" s="26">
        <v>142</v>
      </c>
      <c r="B146" s="26" t="s">
        <v>204</v>
      </c>
      <c r="C146" s="26" t="s">
        <v>105</v>
      </c>
      <c r="D146" s="27">
        <f>'SIMULARE PE PRODUS'!$F$166</f>
        <v>982</v>
      </c>
      <c r="E146" s="27">
        <f>'SIMULARE PE PRODUS'!$G$166</f>
        <v>351</v>
      </c>
      <c r="F146" s="27">
        <f t="shared" si="12"/>
        <v>1333</v>
      </c>
      <c r="G146" s="41">
        <f>'SIMULARE PE PRODUS'!T$166</f>
        <v>15043.243243243243</v>
      </c>
      <c r="H146" s="42">
        <f>IFERROR($G146/'SIMULARE PE PRODUS'!T$4,"")</f>
        <v>3.1685437618961757E-3</v>
      </c>
      <c r="I146" s="41">
        <f>'SIMULARE PE PRODUS'!$L$166</f>
        <v>5450.0891369999999</v>
      </c>
      <c r="J146" s="28">
        <f t="shared" si="13"/>
        <v>0.3622948222583543</v>
      </c>
      <c r="K146" s="41">
        <f t="shared" si="14"/>
        <v>9593.1541062432443</v>
      </c>
    </row>
    <row r="147" spans="1:11" x14ac:dyDescent="0.2">
      <c r="A147" s="26">
        <v>143</v>
      </c>
      <c r="B147" s="26" t="s">
        <v>289</v>
      </c>
      <c r="C147" s="26" t="s">
        <v>105</v>
      </c>
      <c r="D147" s="27">
        <f>'SIMULARE PE PRODUS'!$F$183</f>
        <v>56</v>
      </c>
      <c r="E147" s="27">
        <f>'SIMULARE PE PRODUS'!$G$183</f>
        <v>48</v>
      </c>
      <c r="F147" s="27">
        <f t="shared" si="12"/>
        <v>104</v>
      </c>
      <c r="G147" s="41">
        <f>'SIMULARE PE PRODUS'!T$183</f>
        <v>1398.198198198198</v>
      </c>
      <c r="H147" s="42">
        <f>IFERROR($G147/'SIMULARE PE PRODUS'!T$4,"")</f>
        <v>2.9450113297777361E-4</v>
      </c>
      <c r="I147" s="41">
        <f>'SIMULARE PE PRODUS'!$L$183</f>
        <v>505.87367039999998</v>
      </c>
      <c r="J147" s="28">
        <f t="shared" si="13"/>
        <v>0.36180397818556703</v>
      </c>
      <c r="K147" s="41">
        <f t="shared" si="14"/>
        <v>892.32452779819801</v>
      </c>
    </row>
    <row r="148" spans="1:11" x14ac:dyDescent="0.2">
      <c r="A148" s="26">
        <v>144</v>
      </c>
      <c r="B148" s="26" t="s">
        <v>171</v>
      </c>
      <c r="C148" s="26" t="s">
        <v>102</v>
      </c>
      <c r="D148" s="27">
        <f>'SIMULARE PE PRODUS'!$F$78</f>
        <v>5449</v>
      </c>
      <c r="E148" s="27">
        <f>'SIMULARE PE PRODUS'!$G$78</f>
        <v>1627</v>
      </c>
      <c r="F148" s="27">
        <f t="shared" si="12"/>
        <v>7076</v>
      </c>
      <c r="G148" s="41">
        <f>'SIMULARE PE PRODUS'!T$78</f>
        <v>38886.126126126117</v>
      </c>
      <c r="H148" s="42">
        <f>IFERROR($G148/'SIMULARE PE PRODUS'!T$4,"")</f>
        <v>8.1905471027058172E-3</v>
      </c>
      <c r="I148" s="41">
        <f>'SIMULARE PE PRODUS'!$L$78</f>
        <v>14038.784</v>
      </c>
      <c r="J148" s="28">
        <f t="shared" si="13"/>
        <v>0.36102295081967223</v>
      </c>
      <c r="K148" s="41">
        <f t="shared" si="14"/>
        <v>24847.342126126117</v>
      </c>
    </row>
    <row r="149" spans="1:11" x14ac:dyDescent="0.2">
      <c r="A149" s="26">
        <v>145</v>
      </c>
      <c r="B149" s="26" t="s">
        <v>168</v>
      </c>
      <c r="C149" s="26" t="s">
        <v>102</v>
      </c>
      <c r="D149" s="27">
        <f>'SIMULARE PE PRODUS'!$F$77</f>
        <v>5108</v>
      </c>
      <c r="E149" s="27">
        <f>'SIMULARE PE PRODUS'!$G$77</f>
        <v>2497</v>
      </c>
      <c r="F149" s="27">
        <f t="shared" si="12"/>
        <v>7605</v>
      </c>
      <c r="G149" s="41">
        <f>'SIMULARE PE PRODUS'!T$77</f>
        <v>42918.01801801801</v>
      </c>
      <c r="H149" s="42">
        <f>IFERROR($G149/'SIMULARE PE PRODUS'!T$4,"")</f>
        <v>9.0397805888712355E-3</v>
      </c>
      <c r="I149" s="41">
        <f>'SIMULARE PE PRODUS'!$L$77</f>
        <v>15429.662819999998</v>
      </c>
      <c r="J149" s="28">
        <f t="shared" si="13"/>
        <v>0.35951480363147842</v>
      </c>
      <c r="K149" s="41">
        <f t="shared" si="14"/>
        <v>27488.355198018013</v>
      </c>
    </row>
    <row r="150" spans="1:11" x14ac:dyDescent="0.2">
      <c r="A150" s="26">
        <v>146</v>
      </c>
      <c r="B150" s="26" t="s">
        <v>291</v>
      </c>
      <c r="C150" s="26" t="s">
        <v>105</v>
      </c>
      <c r="D150" s="27">
        <f>'SIMULARE PE PRODUS'!$F$184</f>
        <v>106</v>
      </c>
      <c r="E150" s="27">
        <f>'SIMULARE PE PRODUS'!$G$184</f>
        <v>0</v>
      </c>
      <c r="F150" s="27">
        <f t="shared" si="12"/>
        <v>106</v>
      </c>
      <c r="G150" s="41">
        <f>'SIMULARE PE PRODUS'!T$184</f>
        <v>1336.9369369369369</v>
      </c>
      <c r="H150" s="42">
        <f>IFERROR($G150/'SIMULARE PE PRODUS'!T$4,"")</f>
        <v>2.8159773282153102E-4</v>
      </c>
      <c r="I150" s="41">
        <f>'SIMULARE PE PRODUS'!$L$184</f>
        <v>476.83387149999999</v>
      </c>
      <c r="J150" s="28">
        <f t="shared" si="13"/>
        <v>0.35666145374999997</v>
      </c>
      <c r="K150" s="41">
        <f t="shared" si="14"/>
        <v>860.10306543693696</v>
      </c>
    </row>
    <row r="151" spans="1:11" x14ac:dyDescent="0.2">
      <c r="A151" s="26">
        <v>147</v>
      </c>
      <c r="B151" s="26" t="s">
        <v>306</v>
      </c>
      <c r="C151" s="26" t="s">
        <v>105</v>
      </c>
      <c r="D151" s="27">
        <f>'SIMULARE PE PRODUS'!$F$185</f>
        <v>74</v>
      </c>
      <c r="E151" s="27">
        <f>'SIMULARE PE PRODUS'!$G$185</f>
        <v>0</v>
      </c>
      <c r="F151" s="27">
        <f t="shared" si="12"/>
        <v>74</v>
      </c>
      <c r="G151" s="41">
        <f>'SIMULARE PE PRODUS'!T$185</f>
        <v>933.33333333333326</v>
      </c>
      <c r="H151" s="42">
        <f>IFERROR($G151/'SIMULARE PE PRODUS'!T$4,"")</f>
        <v>1.9658709649804991E-4</v>
      </c>
      <c r="I151" s="41">
        <f>'SIMULARE PE PRODUS'!$L$185</f>
        <v>331.08712220000001</v>
      </c>
      <c r="J151" s="28">
        <f t="shared" si="13"/>
        <v>0.35473620235714287</v>
      </c>
      <c r="K151" s="41">
        <f t="shared" si="14"/>
        <v>602.24621113333319</v>
      </c>
    </row>
    <row r="152" spans="1:11" x14ac:dyDescent="0.2">
      <c r="A152" s="26">
        <v>148</v>
      </c>
      <c r="B152" s="26" t="s">
        <v>238</v>
      </c>
      <c r="C152" s="26" t="s">
        <v>105</v>
      </c>
      <c r="D152" s="27">
        <f>'SIMULARE PE PRODUS'!$F$172</f>
        <v>245</v>
      </c>
      <c r="E152" s="27">
        <f>'SIMULARE PE PRODUS'!$G$172</f>
        <v>190</v>
      </c>
      <c r="F152" s="27">
        <f t="shared" si="12"/>
        <v>435</v>
      </c>
      <c r="G152" s="41">
        <f>'SIMULARE PE PRODUS'!T$172</f>
        <v>5045.0450450450444</v>
      </c>
      <c r="H152" s="42">
        <f>IFERROR($G152/'SIMULARE PE PRODUS'!T$4,"")</f>
        <v>1.062632954043513E-3</v>
      </c>
      <c r="I152" s="41">
        <f>'SIMULARE PE PRODUS'!$L$172</f>
        <v>1768.57</v>
      </c>
      <c r="J152" s="28">
        <f t="shared" si="13"/>
        <v>0.35055583928571432</v>
      </c>
      <c r="K152" s="41">
        <f t="shared" si="14"/>
        <v>3276.4750450450447</v>
      </c>
    </row>
    <row r="153" spans="1:11" x14ac:dyDescent="0.2">
      <c r="A153" s="26">
        <v>149</v>
      </c>
      <c r="B153" s="26" t="s">
        <v>335</v>
      </c>
      <c r="C153" s="26" t="s">
        <v>111</v>
      </c>
      <c r="D153" s="27">
        <f>'SIMULARE PE PRODUS'!$F$231</f>
        <v>1</v>
      </c>
      <c r="E153" s="27">
        <f>'SIMULARE PE PRODUS'!$G$231</f>
        <v>0</v>
      </c>
      <c r="F153" s="27">
        <f t="shared" si="12"/>
        <v>1</v>
      </c>
      <c r="G153" s="41">
        <f>'SIMULARE PE PRODUS'!T$231</f>
        <v>16.446280991735538</v>
      </c>
      <c r="H153" s="42">
        <f>IFERROR($G153/'SIMULARE PE PRODUS'!T$4,"")</f>
        <v>3.4640642446675271E-6</v>
      </c>
      <c r="I153" s="41">
        <f>'SIMULARE PE PRODUS'!$L$231</f>
        <v>5.76</v>
      </c>
      <c r="J153" s="28">
        <f t="shared" si="13"/>
        <v>0.35023115577889447</v>
      </c>
      <c r="K153" s="41">
        <f t="shared" si="14"/>
        <v>10.686280991735538</v>
      </c>
    </row>
    <row r="154" spans="1:11" x14ac:dyDescent="0.2">
      <c r="A154" s="26">
        <v>150</v>
      </c>
      <c r="B154" s="26" t="s">
        <v>255</v>
      </c>
      <c r="C154" s="26" t="s">
        <v>103</v>
      </c>
      <c r="D154" s="27">
        <f>'SIMULARE PE PRODUS'!$F$112</f>
        <v>114</v>
      </c>
      <c r="E154" s="27">
        <f>'SIMULARE PE PRODUS'!$G$112</f>
        <v>192</v>
      </c>
      <c r="F154" s="27">
        <f t="shared" si="12"/>
        <v>306</v>
      </c>
      <c r="G154" s="41">
        <f>'SIMULARE PE PRODUS'!T$112</f>
        <v>3190.8595041322315</v>
      </c>
      <c r="H154" s="42">
        <f>IFERROR($G154/'SIMULARE PE PRODUS'!T$4,"")</f>
        <v>6.7208764848274583E-4</v>
      </c>
      <c r="I154" s="41">
        <f>'SIMULARE PE PRODUS'!$L$112</f>
        <v>1113.8400000000001</v>
      </c>
      <c r="J154" s="28">
        <f t="shared" si="13"/>
        <v>0.34907209125238936</v>
      </c>
      <c r="K154" s="41">
        <f t="shared" si="14"/>
        <v>2077.0195041322313</v>
      </c>
    </row>
    <row r="155" spans="1:11" x14ac:dyDescent="0.2">
      <c r="A155" s="26">
        <v>151</v>
      </c>
      <c r="B155" s="26" t="s">
        <v>231</v>
      </c>
      <c r="C155" s="26" t="s">
        <v>100</v>
      </c>
      <c r="D155" s="27">
        <f>'SIMULARE PE PRODUS'!$F$65</f>
        <v>321</v>
      </c>
      <c r="E155" s="27">
        <f>'SIMULARE PE PRODUS'!$G$65</f>
        <v>109</v>
      </c>
      <c r="F155" s="27">
        <f t="shared" si="12"/>
        <v>430</v>
      </c>
      <c r="G155" s="41">
        <f>'SIMULARE PE PRODUS'!T$65</f>
        <v>6056.3063063063055</v>
      </c>
      <c r="H155" s="42">
        <f>IFERROR($G155/'SIMULARE PE PRODUS'!T$4,"")</f>
        <v>1.2756339345638423E-3</v>
      </c>
      <c r="I155" s="41">
        <f>'SIMULARE PE PRODUS'!$L$65</f>
        <v>2093.4355295999999</v>
      </c>
      <c r="J155" s="28">
        <f t="shared" si="13"/>
        <v>0.34566209562751954</v>
      </c>
      <c r="K155" s="41">
        <f t="shared" si="14"/>
        <v>3962.8707767063056</v>
      </c>
    </row>
    <row r="156" spans="1:11" x14ac:dyDescent="0.2">
      <c r="A156" s="26">
        <v>152</v>
      </c>
      <c r="B156" s="26" t="s">
        <v>233</v>
      </c>
      <c r="C156" s="26" t="s">
        <v>102</v>
      </c>
      <c r="D156" s="27">
        <f>'SIMULARE PE PRODUS'!$F$86</f>
        <v>73</v>
      </c>
      <c r="E156" s="27">
        <f>'SIMULARE PE PRODUS'!$G$86</f>
        <v>111</v>
      </c>
      <c r="F156" s="27">
        <f t="shared" si="12"/>
        <v>184</v>
      </c>
      <c r="G156" s="41">
        <f>'SIMULARE PE PRODUS'!T$86</f>
        <v>5818.3783783783783</v>
      </c>
      <c r="H156" s="42">
        <f>IFERROR($G156/'SIMULARE PE PRODUS'!T$4,"")</f>
        <v>1.2255194054276116E-3</v>
      </c>
      <c r="I156" s="41">
        <f>'SIMULARE PE PRODUS'!$L$86</f>
        <v>2005.3276800000003</v>
      </c>
      <c r="J156" s="28">
        <f t="shared" si="13"/>
        <v>0.34465405128205134</v>
      </c>
      <c r="K156" s="41">
        <f t="shared" si="14"/>
        <v>3813.050698378378</v>
      </c>
    </row>
    <row r="157" spans="1:11" x14ac:dyDescent="0.2">
      <c r="A157" s="26">
        <v>153</v>
      </c>
      <c r="B157" s="26" t="s">
        <v>183</v>
      </c>
      <c r="C157" s="26" t="s">
        <v>97</v>
      </c>
      <c r="D157" s="27">
        <f>'SIMULARE PE PRODUS'!$F$35</f>
        <v>1219</v>
      </c>
      <c r="E157" s="27">
        <f>'SIMULARE PE PRODUS'!$G$35</f>
        <v>518</v>
      </c>
      <c r="F157" s="27">
        <f t="shared" si="12"/>
        <v>1737</v>
      </c>
      <c r="G157" s="41">
        <f>'SIMULARE PE PRODUS'!T$35</f>
        <v>25955.522522522519</v>
      </c>
      <c r="H157" s="42">
        <f>IFERROR($G157/'SIMULARE PE PRODUS'!T$4,"")</f>
        <v>5.4669865829919031E-3</v>
      </c>
      <c r="I157" s="41">
        <f>'SIMULARE PE PRODUS'!$L$35</f>
        <v>8877.7275322499991</v>
      </c>
      <c r="J157" s="28">
        <f t="shared" si="13"/>
        <v>0.34203617070496206</v>
      </c>
      <c r="K157" s="41">
        <f t="shared" si="14"/>
        <v>17077.794990272519</v>
      </c>
    </row>
    <row r="158" spans="1:11" x14ac:dyDescent="0.2">
      <c r="A158" s="26">
        <v>154</v>
      </c>
      <c r="B158" s="26" t="s">
        <v>174</v>
      </c>
      <c r="C158" s="26" t="s">
        <v>97</v>
      </c>
      <c r="D158" s="27">
        <f>'SIMULARE PE PRODUS'!$F$32</f>
        <v>1599</v>
      </c>
      <c r="E158" s="27">
        <f>'SIMULARE PE PRODUS'!$G$32</f>
        <v>799</v>
      </c>
      <c r="F158" s="27">
        <f t="shared" si="12"/>
        <v>2398</v>
      </c>
      <c r="G158" s="41">
        <f>'SIMULARE PE PRODUS'!T$32</f>
        <v>35983.801801801797</v>
      </c>
      <c r="H158" s="42">
        <f>IFERROR($G158/'SIMULARE PE PRODUS'!T$4,"")</f>
        <v>7.57923333983305E-3</v>
      </c>
      <c r="I158" s="41">
        <f>'SIMULARE PE PRODUS'!$L$32</f>
        <v>12030.899688499998</v>
      </c>
      <c r="J158" s="28">
        <f t="shared" si="13"/>
        <v>0.33434209522290059</v>
      </c>
      <c r="K158" s="41">
        <f t="shared" si="14"/>
        <v>23952.9021133018</v>
      </c>
    </row>
    <row r="159" spans="1:11" x14ac:dyDescent="0.2">
      <c r="A159" s="26">
        <v>155</v>
      </c>
      <c r="B159" s="26" t="s">
        <v>219</v>
      </c>
      <c r="C159" s="26" t="s">
        <v>105</v>
      </c>
      <c r="D159" s="27">
        <f>'SIMULARE PE PRODUS'!$F$168</f>
        <v>713</v>
      </c>
      <c r="E159" s="27">
        <f>'SIMULARE PE PRODUS'!$G$168</f>
        <v>296</v>
      </c>
      <c r="F159" s="27">
        <f t="shared" si="12"/>
        <v>1009</v>
      </c>
      <c r="G159" s="41">
        <f>'SIMULARE PE PRODUS'!T$168</f>
        <v>9090.0900900900888</v>
      </c>
      <c r="H159" s="42">
        <f>IFERROR($G159/'SIMULARE PE PRODUS'!T$4,"")</f>
        <v>1.9146368761248297E-3</v>
      </c>
      <c r="I159" s="41">
        <f>'SIMULARE PE PRODUS'!$L$168</f>
        <v>3002.6356769999998</v>
      </c>
      <c r="J159" s="28">
        <f t="shared" si="13"/>
        <v>0.33031968300000003</v>
      </c>
      <c r="K159" s="41">
        <f t="shared" si="14"/>
        <v>6087.4544130900886</v>
      </c>
    </row>
    <row r="160" spans="1:11" x14ac:dyDescent="0.2">
      <c r="A160" s="26">
        <v>156</v>
      </c>
      <c r="B160" s="26" t="s">
        <v>162</v>
      </c>
      <c r="C160" s="26" t="s">
        <v>97</v>
      </c>
      <c r="D160" s="27">
        <f>'SIMULARE PE PRODUS'!$F$30</f>
        <v>2828</v>
      </c>
      <c r="E160" s="27">
        <f>'SIMULARE PE PRODUS'!$G$30</f>
        <v>1452</v>
      </c>
      <c r="F160" s="27">
        <f t="shared" si="12"/>
        <v>4280</v>
      </c>
      <c r="G160" s="41">
        <f>'SIMULARE PE PRODUS'!T$30</f>
        <v>64271.351351351339</v>
      </c>
      <c r="H160" s="42">
        <f>IFERROR($G160/'SIMULARE PE PRODUS'!T$4,"")</f>
        <v>1.3537412518037334E-2</v>
      </c>
      <c r="I160" s="41">
        <f>'SIMULARE PE PRODUS'!$L$30</f>
        <v>20969.512677999999</v>
      </c>
      <c r="J160" s="28">
        <f t="shared" si="13"/>
        <v>0.32626531474912118</v>
      </c>
      <c r="K160" s="41">
        <f t="shared" si="14"/>
        <v>43301.83867335134</v>
      </c>
    </row>
    <row r="161" spans="1:11" x14ac:dyDescent="0.2">
      <c r="A161" s="26">
        <v>157</v>
      </c>
      <c r="B161" s="26" t="s">
        <v>201</v>
      </c>
      <c r="C161" s="26" t="s">
        <v>100</v>
      </c>
      <c r="D161" s="27">
        <f>'SIMULARE PE PRODUS'!$F$59</f>
        <v>1059</v>
      </c>
      <c r="E161" s="27">
        <f>'SIMULARE PE PRODUS'!$G$59</f>
        <v>573</v>
      </c>
      <c r="F161" s="27">
        <f t="shared" si="12"/>
        <v>1632</v>
      </c>
      <c r="G161" s="41">
        <f>'SIMULARE PE PRODUS'!T$59</f>
        <v>15516.216216216213</v>
      </c>
      <c r="H161" s="42">
        <f>IFERROR($G161/'SIMULARE PE PRODUS'!T$4,"")</f>
        <v>3.2681656013377543E-3</v>
      </c>
      <c r="I161" s="41">
        <f>'SIMULARE PE PRODUS'!$L$59</f>
        <v>5053.7702707200006</v>
      </c>
      <c r="J161" s="28">
        <f t="shared" si="13"/>
        <v>0.32570893575446797</v>
      </c>
      <c r="K161" s="41">
        <f t="shared" si="14"/>
        <v>10462.445945496213</v>
      </c>
    </row>
    <row r="162" spans="1:11" x14ac:dyDescent="0.2">
      <c r="A162" s="26">
        <v>158</v>
      </c>
      <c r="B162" s="26" t="s">
        <v>142</v>
      </c>
      <c r="C162" s="26" t="s">
        <v>101</v>
      </c>
      <c r="D162" s="27">
        <f>'SIMULARE PE PRODUS'!$F$69</f>
        <v>42662</v>
      </c>
      <c r="E162" s="27">
        <f>'SIMULARE PE PRODUS'!$G$69</f>
        <v>6061</v>
      </c>
      <c r="F162" s="27">
        <f t="shared" si="12"/>
        <v>48723</v>
      </c>
      <c r="G162" s="41">
        <f>'SIMULARE PE PRODUS'!T$69</f>
        <v>558435.30630630627</v>
      </c>
      <c r="H162" s="42">
        <f>IFERROR($G162/'SIMULARE PE PRODUS'!T$4,"")</f>
        <v>0.1176226879808099</v>
      </c>
      <c r="I162" s="41">
        <f>'SIMULARE PE PRODUS'!$L$69</f>
        <v>181601.42955440641</v>
      </c>
      <c r="J162" s="28">
        <f t="shared" si="13"/>
        <v>0.32519689837589988</v>
      </c>
      <c r="K162" s="41">
        <f t="shared" si="14"/>
        <v>376833.87675189984</v>
      </c>
    </row>
    <row r="163" spans="1:11" x14ac:dyDescent="0.2">
      <c r="A163" s="26">
        <v>159</v>
      </c>
      <c r="B163" s="26" t="s">
        <v>226</v>
      </c>
      <c r="C163" s="26" t="s">
        <v>105</v>
      </c>
      <c r="D163" s="27">
        <f>'SIMULARE PE PRODUS'!$F$169</f>
        <v>435</v>
      </c>
      <c r="E163" s="27">
        <f>'SIMULARE PE PRODUS'!$G$169</f>
        <v>0</v>
      </c>
      <c r="F163" s="27">
        <f t="shared" si="12"/>
        <v>435</v>
      </c>
      <c r="G163" s="41">
        <f>'SIMULARE PE PRODUS'!T$169</f>
        <v>7054.0540540540533</v>
      </c>
      <c r="H163" s="42">
        <f>IFERROR($G163/'SIMULARE PE PRODUS'!T$4,"")</f>
        <v>1.485788576814412E-3</v>
      </c>
      <c r="I163" s="41">
        <f>'SIMULARE PE PRODUS'!$L$169</f>
        <v>2240.6849999999999</v>
      </c>
      <c r="J163" s="28">
        <f t="shared" si="13"/>
        <v>0.31764500000000001</v>
      </c>
      <c r="K163" s="41">
        <f t="shared" si="14"/>
        <v>4813.3690540540538</v>
      </c>
    </row>
    <row r="164" spans="1:11" x14ac:dyDescent="0.2">
      <c r="A164" s="26">
        <v>160</v>
      </c>
      <c r="B164" s="26" t="s">
        <v>237</v>
      </c>
      <c r="C164" s="26" t="s">
        <v>106</v>
      </c>
      <c r="D164" s="27">
        <f>'SIMULARE PE PRODUS'!$F$200</f>
        <v>713</v>
      </c>
      <c r="E164" s="27">
        <f>'SIMULARE PE PRODUS'!$G$200</f>
        <v>483</v>
      </c>
      <c r="F164" s="27">
        <f t="shared" si="12"/>
        <v>1196</v>
      </c>
      <c r="G164" s="41">
        <f>'SIMULARE PE PRODUS'!T$200</f>
        <v>5387.3873873873872</v>
      </c>
      <c r="H164" s="42">
        <f>IFERROR($G164/'SIMULARE PE PRODUS'!T$4,"")</f>
        <v>1.1347401902107516E-3</v>
      </c>
      <c r="I164" s="41">
        <f>'SIMULARE PE PRODUS'!$L$200</f>
        <v>1700.3006238399998</v>
      </c>
      <c r="J164" s="28">
        <f t="shared" si="13"/>
        <v>0.31560764087999998</v>
      </c>
      <c r="K164" s="41">
        <f t="shared" si="14"/>
        <v>3687.0867635473874</v>
      </c>
    </row>
    <row r="165" spans="1:11" x14ac:dyDescent="0.2">
      <c r="A165" s="26">
        <v>161</v>
      </c>
      <c r="B165" s="26" t="s">
        <v>184</v>
      </c>
      <c r="C165" s="26" t="s">
        <v>102</v>
      </c>
      <c r="D165" s="27">
        <f>'SIMULARE PE PRODUS'!$F$81</f>
        <v>1080</v>
      </c>
      <c r="E165" s="27">
        <f>'SIMULARE PE PRODUS'!$G$81</f>
        <v>929</v>
      </c>
      <c r="F165" s="27">
        <f t="shared" ref="F165:F196" si="15">$D165+$E165</f>
        <v>2009</v>
      </c>
      <c r="G165" s="41">
        <f>'SIMULARE PE PRODUS'!T$81</f>
        <v>25483.531531531531</v>
      </c>
      <c r="H165" s="42">
        <f>IFERROR($G165/'SIMULARE PE PRODUS'!T$4,"")</f>
        <v>5.3675715774645933E-3</v>
      </c>
      <c r="I165" s="41">
        <f>'SIMULARE PE PRODUS'!$L$81</f>
        <v>7827.1242700000003</v>
      </c>
      <c r="J165" s="28">
        <f t="shared" ref="J165:J196" si="16">IFERROR($I165/$G165,"")</f>
        <v>0.30714441051136365</v>
      </c>
      <c r="K165" s="41">
        <f t="shared" ref="K165:K196" si="17">$G165-$I165</f>
        <v>17656.407261531531</v>
      </c>
    </row>
    <row r="166" spans="1:11" x14ac:dyDescent="0.2">
      <c r="A166" s="26">
        <v>162</v>
      </c>
      <c r="B166" s="26" t="s">
        <v>182</v>
      </c>
      <c r="C166" s="26" t="s">
        <v>100</v>
      </c>
      <c r="D166" s="27">
        <f>'SIMULARE PE PRODUS'!$F$54</f>
        <v>549</v>
      </c>
      <c r="E166" s="27">
        <f>'SIMULARE PE PRODUS'!$G$54</f>
        <v>639</v>
      </c>
      <c r="F166" s="27">
        <f t="shared" si="15"/>
        <v>1188</v>
      </c>
      <c r="G166" s="41">
        <f>'SIMULARE PE PRODUS'!T$54</f>
        <v>26383.783783783783</v>
      </c>
      <c r="H166" s="42">
        <f>IFERROR($G166/'SIMULARE PE PRODUS'!T$4,"")</f>
        <v>5.5571908378782729E-3</v>
      </c>
      <c r="I166" s="41">
        <f>'SIMULARE PE PRODUS'!$L$54</f>
        <v>8088.8118220800006</v>
      </c>
      <c r="J166" s="28">
        <f t="shared" si="16"/>
        <v>0.30658270581536573</v>
      </c>
      <c r="K166" s="41">
        <f t="shared" si="17"/>
        <v>18294.971961703784</v>
      </c>
    </row>
    <row r="167" spans="1:11" x14ac:dyDescent="0.2">
      <c r="A167" s="26">
        <v>163</v>
      </c>
      <c r="B167" s="26" t="s">
        <v>248</v>
      </c>
      <c r="C167" s="26" t="s">
        <v>102</v>
      </c>
      <c r="D167" s="27">
        <f>'SIMULARE PE PRODUS'!$F$87</f>
        <v>487</v>
      </c>
      <c r="E167" s="27">
        <f>'SIMULARE PE PRODUS'!$G$87</f>
        <v>308</v>
      </c>
      <c r="F167" s="27">
        <f t="shared" si="15"/>
        <v>795</v>
      </c>
      <c r="G167" s="41">
        <f>'SIMULARE PE PRODUS'!T$87</f>
        <v>3708.1981981981971</v>
      </c>
      <c r="H167" s="42">
        <f>IFERROR($G167/'SIMULARE PE PRODUS'!T$4,"")</f>
        <v>7.8105419681044706E-4</v>
      </c>
      <c r="I167" s="41">
        <f>'SIMULARE PE PRODUS'!$L$87</f>
        <v>1136.8499999999999</v>
      </c>
      <c r="J167" s="28">
        <f t="shared" si="16"/>
        <v>0.3065774641043707</v>
      </c>
      <c r="K167" s="41">
        <f t="shared" si="17"/>
        <v>2571.3481981981972</v>
      </c>
    </row>
    <row r="168" spans="1:11" x14ac:dyDescent="0.2">
      <c r="A168" s="26">
        <v>164</v>
      </c>
      <c r="B168" s="26" t="s">
        <v>177</v>
      </c>
      <c r="C168" s="26" t="s">
        <v>102</v>
      </c>
      <c r="D168" s="27">
        <f>'SIMULARE PE PRODUS'!$F$80</f>
        <v>674</v>
      </c>
      <c r="E168" s="27">
        <f>'SIMULARE PE PRODUS'!$G$80</f>
        <v>828</v>
      </c>
      <c r="F168" s="27">
        <f t="shared" si="15"/>
        <v>1502</v>
      </c>
      <c r="G168" s="41">
        <f>'SIMULARE PE PRODUS'!T$80</f>
        <v>33964.144144144142</v>
      </c>
      <c r="H168" s="42">
        <f>IFERROR($G168/'SIMULARE PE PRODUS'!T$4,"")</f>
        <v>7.1538348025055806E-3</v>
      </c>
      <c r="I168" s="41">
        <f>'SIMULARE PE PRODUS'!$L$80</f>
        <v>10406.531900000002</v>
      </c>
      <c r="J168" s="28">
        <f t="shared" si="16"/>
        <v>0.30639758964143432</v>
      </c>
      <c r="K168" s="41">
        <f t="shared" si="17"/>
        <v>23557.61224414414</v>
      </c>
    </row>
    <row r="169" spans="1:11" x14ac:dyDescent="0.2">
      <c r="A169" s="26">
        <v>165</v>
      </c>
      <c r="B169" s="26" t="s">
        <v>188</v>
      </c>
      <c r="C169" s="26" t="s">
        <v>103</v>
      </c>
      <c r="D169" s="27">
        <f>'SIMULARE PE PRODUS'!$F$97</f>
        <v>2416</v>
      </c>
      <c r="E169" s="27">
        <f>'SIMULARE PE PRODUS'!$G$97</f>
        <v>109</v>
      </c>
      <c r="F169" s="27">
        <f t="shared" si="15"/>
        <v>2525</v>
      </c>
      <c r="G169" s="41">
        <f>'SIMULARE PE PRODUS'!T$97</f>
        <v>23023.760330578512</v>
      </c>
      <c r="H169" s="42">
        <f>IFERROR($G169/'SIMULARE PE PRODUS'!T$4,"")</f>
        <v>4.8494723505593702E-3</v>
      </c>
      <c r="I169" s="41">
        <f>'SIMULARE PE PRODUS'!$L$97</f>
        <v>7049.7999999999993</v>
      </c>
      <c r="J169" s="28">
        <f t="shared" si="16"/>
        <v>0.30619672454794272</v>
      </c>
      <c r="K169" s="41">
        <f t="shared" si="17"/>
        <v>15973.960330578513</v>
      </c>
    </row>
    <row r="170" spans="1:11" x14ac:dyDescent="0.2">
      <c r="A170" s="26">
        <v>166</v>
      </c>
      <c r="B170" s="26" t="s">
        <v>283</v>
      </c>
      <c r="C170" s="26" t="s">
        <v>102</v>
      </c>
      <c r="D170" s="27">
        <f>'SIMULARE PE PRODUS'!$F$90</f>
        <v>184</v>
      </c>
      <c r="E170" s="27">
        <f>'SIMULARE PE PRODUS'!$G$90</f>
        <v>155</v>
      </c>
      <c r="F170" s="27">
        <f t="shared" si="15"/>
        <v>339</v>
      </c>
      <c r="G170" s="41">
        <f>'SIMULARE PE PRODUS'!T$90</f>
        <v>1585.4954954954951</v>
      </c>
      <c r="H170" s="42">
        <f>IFERROR($G170/'SIMULARE PE PRODUS'!T$4,"")</f>
        <v>3.3395138139663902E-4</v>
      </c>
      <c r="I170" s="41">
        <f>'SIMULARE PE PRODUS'!$L$90</f>
        <v>484.77</v>
      </c>
      <c r="J170" s="28">
        <f t="shared" si="16"/>
        <v>0.30575299732939376</v>
      </c>
      <c r="K170" s="41">
        <f t="shared" si="17"/>
        <v>1100.7254954954951</v>
      </c>
    </row>
    <row r="171" spans="1:11" x14ac:dyDescent="0.2">
      <c r="A171" s="26">
        <v>167</v>
      </c>
      <c r="B171" s="26" t="s">
        <v>330</v>
      </c>
      <c r="C171" s="26" t="s">
        <v>105</v>
      </c>
      <c r="D171" s="27">
        <f>'SIMULARE PE PRODUS'!$F$190</f>
        <v>13</v>
      </c>
      <c r="E171" s="27">
        <f>'SIMULARE PE PRODUS'!$G$190</f>
        <v>0</v>
      </c>
      <c r="F171" s="27">
        <f t="shared" si="15"/>
        <v>13</v>
      </c>
      <c r="G171" s="41">
        <f>'SIMULARE PE PRODUS'!T$190</f>
        <v>35.135135135135137</v>
      </c>
      <c r="H171" s="42">
        <f>IFERROR($G171/'SIMULARE PE PRODUS'!T$4,"")</f>
        <v>7.4004795013744671E-6</v>
      </c>
      <c r="I171" s="41">
        <f>'SIMULARE PE PRODUS'!$L$190</f>
        <v>10.7187795</v>
      </c>
      <c r="J171" s="28">
        <f t="shared" si="16"/>
        <v>0.30507295499999998</v>
      </c>
      <c r="K171" s="41">
        <f t="shared" si="17"/>
        <v>24.416355635135137</v>
      </c>
    </row>
    <row r="172" spans="1:11" x14ac:dyDescent="0.2">
      <c r="A172" s="26">
        <v>168</v>
      </c>
      <c r="B172" s="26" t="s">
        <v>249</v>
      </c>
      <c r="C172" s="26" t="s">
        <v>97</v>
      </c>
      <c r="D172" s="27">
        <f>'SIMULARE PE PRODUS'!$F$40</f>
        <v>221</v>
      </c>
      <c r="E172" s="27">
        <f>'SIMULARE PE PRODUS'!$G$40</f>
        <v>0</v>
      </c>
      <c r="F172" s="27">
        <f t="shared" si="15"/>
        <v>221</v>
      </c>
      <c r="G172" s="41">
        <f>'SIMULARE PE PRODUS'!T$40</f>
        <v>3583.7837837837833</v>
      </c>
      <c r="H172" s="42">
        <f>IFERROR($G172/'SIMULARE PE PRODUS'!T$4,"")</f>
        <v>7.5484890914019555E-4</v>
      </c>
      <c r="I172" s="41">
        <f>'SIMULARE PE PRODUS'!$L$40</f>
        <v>1085.4110020000001</v>
      </c>
      <c r="J172" s="28">
        <f t="shared" si="16"/>
        <v>0.30286732333333338</v>
      </c>
      <c r="K172" s="41">
        <f t="shared" si="17"/>
        <v>2498.3727817837835</v>
      </c>
    </row>
    <row r="173" spans="1:11" x14ac:dyDescent="0.2">
      <c r="A173" s="26">
        <v>169</v>
      </c>
      <c r="B173" s="26" t="s">
        <v>235</v>
      </c>
      <c r="C173" s="26" t="s">
        <v>103</v>
      </c>
      <c r="D173" s="27">
        <f>'SIMULARE PE PRODUS'!$F$106</f>
        <v>585</v>
      </c>
      <c r="E173" s="27">
        <f>'SIMULARE PE PRODUS'!$G$106</f>
        <v>34</v>
      </c>
      <c r="F173" s="27">
        <f t="shared" si="15"/>
        <v>619</v>
      </c>
      <c r="G173" s="41">
        <f>'SIMULARE PE PRODUS'!T$106</f>
        <v>5650.2561983471078</v>
      </c>
      <c r="H173" s="42">
        <f>IFERROR($G173/'SIMULARE PE PRODUS'!T$4,"")</f>
        <v>1.190107993396251E-3</v>
      </c>
      <c r="I173" s="41">
        <f>'SIMULARE PE PRODUS'!$L$106</f>
        <v>1702.25</v>
      </c>
      <c r="J173" s="28">
        <f t="shared" si="16"/>
        <v>0.30126952482224895</v>
      </c>
      <c r="K173" s="41">
        <f t="shared" si="17"/>
        <v>3948.0061983471078</v>
      </c>
    </row>
    <row r="174" spans="1:11" x14ac:dyDescent="0.2">
      <c r="A174" s="26">
        <v>170</v>
      </c>
      <c r="B174" s="26" t="s">
        <v>224</v>
      </c>
      <c r="C174" s="26" t="s">
        <v>103</v>
      </c>
      <c r="D174" s="27">
        <f>'SIMULARE PE PRODUS'!$F$103</f>
        <v>625</v>
      </c>
      <c r="E174" s="27">
        <f>'SIMULARE PE PRODUS'!$G$103</f>
        <v>0</v>
      </c>
      <c r="F174" s="27">
        <f t="shared" si="15"/>
        <v>625</v>
      </c>
      <c r="G174" s="41">
        <f>'SIMULARE PE PRODUS'!T$103</f>
        <v>7226.2396694214885</v>
      </c>
      <c r="H174" s="42">
        <f>IFERROR($G174/'SIMULARE PE PRODUS'!T$4,"")</f>
        <v>1.5220558662970699E-3</v>
      </c>
      <c r="I174" s="41">
        <f>'SIMULARE PE PRODUS'!$L$103</f>
        <v>2105.4683155000002</v>
      </c>
      <c r="J174" s="28">
        <f t="shared" si="16"/>
        <v>0.29136430727719798</v>
      </c>
      <c r="K174" s="41">
        <f t="shared" si="17"/>
        <v>5120.7713539214883</v>
      </c>
    </row>
    <row r="175" spans="1:11" x14ac:dyDescent="0.2">
      <c r="A175" s="26">
        <v>171</v>
      </c>
      <c r="B175" s="26" t="s">
        <v>273</v>
      </c>
      <c r="C175" s="26" t="s">
        <v>105</v>
      </c>
      <c r="D175" s="27">
        <f>'SIMULARE PE PRODUS'!$F$181</f>
        <v>105</v>
      </c>
      <c r="E175" s="27">
        <f>'SIMULARE PE PRODUS'!$G$181</f>
        <v>0</v>
      </c>
      <c r="F175" s="27">
        <f t="shared" si="15"/>
        <v>105</v>
      </c>
      <c r="G175" s="41">
        <f>'SIMULARE PE PRODUS'!T$181</f>
        <v>1882.4324324324321</v>
      </c>
      <c r="H175" s="42">
        <f>IFERROR($G175/'SIMULARE PE PRODUS'!T$4,"")</f>
        <v>3.9649492097748579E-4</v>
      </c>
      <c r="I175" s="41">
        <f>'SIMULARE PE PRODUS'!$L$181</f>
        <v>546.55229999999995</v>
      </c>
      <c r="J175" s="28">
        <f t="shared" si="16"/>
        <v>0.29034364824120606</v>
      </c>
      <c r="K175" s="41">
        <f t="shared" si="17"/>
        <v>1335.8801324324322</v>
      </c>
    </row>
    <row r="176" spans="1:11" x14ac:dyDescent="0.2">
      <c r="A176" s="26">
        <v>172</v>
      </c>
      <c r="B176" s="26" t="s">
        <v>247</v>
      </c>
      <c r="C176" s="26" t="s">
        <v>103</v>
      </c>
      <c r="D176" s="27">
        <f>'SIMULARE PE PRODUS'!$F$110</f>
        <v>335</v>
      </c>
      <c r="E176" s="27">
        <f>'SIMULARE PE PRODUS'!$G$110</f>
        <v>0</v>
      </c>
      <c r="F176" s="27">
        <f t="shared" si="15"/>
        <v>335</v>
      </c>
      <c r="G176" s="41">
        <f>'SIMULARE PE PRODUS'!T$110</f>
        <v>3873.2644628099174</v>
      </c>
      <c r="H176" s="42">
        <f>IFERROR($G176/'SIMULARE PE PRODUS'!T$4,"")</f>
        <v>8.1582194433522947E-4</v>
      </c>
      <c r="I176" s="41">
        <f>'SIMULARE PE PRODUS'!$L$110</f>
        <v>1120.7740251080002</v>
      </c>
      <c r="J176" s="28">
        <f t="shared" si="16"/>
        <v>0.28936160591908511</v>
      </c>
      <c r="K176" s="41">
        <f t="shared" si="17"/>
        <v>2752.4904377019175</v>
      </c>
    </row>
    <row r="177" spans="1:11" x14ac:dyDescent="0.2">
      <c r="A177" s="26">
        <v>173</v>
      </c>
      <c r="B177" s="26" t="s">
        <v>240</v>
      </c>
      <c r="C177" s="26" t="s">
        <v>103</v>
      </c>
      <c r="D177" s="27">
        <f>'SIMULARE PE PRODUS'!$F$107</f>
        <v>402</v>
      </c>
      <c r="E177" s="27">
        <f>'SIMULARE PE PRODUS'!$G$107</f>
        <v>0</v>
      </c>
      <c r="F177" s="27">
        <f t="shared" si="15"/>
        <v>402</v>
      </c>
      <c r="G177" s="41">
        <f>'SIMULARE PE PRODUS'!T$107</f>
        <v>4647.9173553719011</v>
      </c>
      <c r="H177" s="42">
        <f>IFERROR($G177/'SIMULARE PE PRODUS'!T$4,"")</f>
        <v>9.7898633320227528E-4</v>
      </c>
      <c r="I177" s="41">
        <f>'SIMULARE PE PRODUS'!$L$107</f>
        <v>1335.1419793296002</v>
      </c>
      <c r="J177" s="28">
        <f t="shared" si="16"/>
        <v>0.2872559637461044</v>
      </c>
      <c r="K177" s="41">
        <f t="shared" si="17"/>
        <v>3312.7753760423011</v>
      </c>
    </row>
    <row r="178" spans="1:11" x14ac:dyDescent="0.2">
      <c r="A178" s="26">
        <v>174</v>
      </c>
      <c r="B178" s="26" t="s">
        <v>185</v>
      </c>
      <c r="C178" s="26" t="s">
        <v>100</v>
      </c>
      <c r="D178" s="27">
        <f>'SIMULARE PE PRODUS'!$F$55</f>
        <v>909</v>
      </c>
      <c r="E178" s="27">
        <f>'SIMULARE PE PRODUS'!$G$55</f>
        <v>662</v>
      </c>
      <c r="F178" s="27">
        <f t="shared" si="15"/>
        <v>1571</v>
      </c>
      <c r="G178" s="41">
        <f>'SIMULARE PE PRODUS'!T$55</f>
        <v>25141.891891891886</v>
      </c>
      <c r="H178" s="42">
        <f>IFERROR($G178/'SIMULARE PE PRODUS'!T$4,"")</f>
        <v>5.2956123508873815E-3</v>
      </c>
      <c r="I178" s="41">
        <f>'SIMULARE PE PRODUS'!$L$55</f>
        <v>7197.5513302399995</v>
      </c>
      <c r="J178" s="28">
        <f t="shared" si="16"/>
        <v>0.28627723646211239</v>
      </c>
      <c r="K178" s="41">
        <f t="shared" si="17"/>
        <v>17944.340561651887</v>
      </c>
    </row>
    <row r="179" spans="1:11" x14ac:dyDescent="0.2">
      <c r="A179" s="26">
        <v>175</v>
      </c>
      <c r="B179" s="26" t="s">
        <v>266</v>
      </c>
      <c r="C179" s="26" t="s">
        <v>103</v>
      </c>
      <c r="D179" s="27">
        <f>'SIMULARE PE PRODUS'!$F$115</f>
        <v>202</v>
      </c>
      <c r="E179" s="27">
        <f>'SIMULARE PE PRODUS'!$G$115</f>
        <v>0</v>
      </c>
      <c r="F179" s="27">
        <f t="shared" si="15"/>
        <v>202</v>
      </c>
      <c r="G179" s="41">
        <f>'SIMULARE PE PRODUS'!T$115</f>
        <v>2335.5206611570247</v>
      </c>
      <c r="H179" s="42">
        <f>IFERROR($G179/'SIMULARE PE PRODUS'!T$4,"")</f>
        <v>4.9192845598721292E-4</v>
      </c>
      <c r="I179" s="41">
        <f>'SIMULARE PE PRODUS'!$L$115</f>
        <v>659.51782036960003</v>
      </c>
      <c r="J179" s="28">
        <f t="shared" si="16"/>
        <v>0.28238577861386704</v>
      </c>
      <c r="K179" s="41">
        <f t="shared" si="17"/>
        <v>1676.0028407874247</v>
      </c>
    </row>
    <row r="180" spans="1:11" x14ac:dyDescent="0.2">
      <c r="A180" s="26">
        <v>176</v>
      </c>
      <c r="B180" s="26" t="s">
        <v>339</v>
      </c>
      <c r="C180" s="26" t="s">
        <v>105</v>
      </c>
      <c r="D180" s="27">
        <f>'SIMULARE PE PRODUS'!$F$196</f>
        <v>1</v>
      </c>
      <c r="E180" s="27">
        <f>'SIMULARE PE PRODUS'!$G$196</f>
        <v>0</v>
      </c>
      <c r="F180" s="27">
        <f t="shared" si="15"/>
        <v>1</v>
      </c>
      <c r="G180" s="41">
        <f>'SIMULARE PE PRODUS'!T$196</f>
        <v>2.7027027027027026</v>
      </c>
      <c r="H180" s="42">
        <f>IFERROR($G180/'SIMULARE PE PRODUS'!T$4,"")</f>
        <v>5.6926765395188204E-7</v>
      </c>
      <c r="I180" s="41">
        <f>'SIMULARE PE PRODUS'!$L$196</f>
        <v>0.74647760000000007</v>
      </c>
      <c r="J180" s="28">
        <f t="shared" si="16"/>
        <v>0.27619671200000001</v>
      </c>
      <c r="K180" s="41">
        <f t="shared" si="17"/>
        <v>1.9562251027027027</v>
      </c>
    </row>
    <row r="181" spans="1:11" x14ac:dyDescent="0.2">
      <c r="A181" s="26">
        <v>177</v>
      </c>
      <c r="B181" s="26" t="s">
        <v>159</v>
      </c>
      <c r="C181" s="26" t="s">
        <v>101</v>
      </c>
      <c r="D181" s="27">
        <f>'SIMULARE PE PRODUS'!$F$72</f>
        <v>0</v>
      </c>
      <c r="E181" s="27">
        <f>'SIMULARE PE PRODUS'!$G$72</f>
        <v>6000</v>
      </c>
      <c r="F181" s="27">
        <f t="shared" si="15"/>
        <v>6000</v>
      </c>
      <c r="G181" s="41">
        <f>'SIMULARE PE PRODUS'!T$72</f>
        <v>81027.027027027012</v>
      </c>
      <c r="H181" s="42">
        <f>IFERROR($G181/'SIMULARE PE PRODUS'!T$4,"")</f>
        <v>1.706664426547742E-2</v>
      </c>
      <c r="I181" s="41">
        <f>'SIMULARE PE PRODUS'!$L$72</f>
        <v>22363.3310208</v>
      </c>
      <c r="J181" s="28">
        <f t="shared" si="16"/>
        <v>0.27599841486644433</v>
      </c>
      <c r="K181" s="41">
        <f t="shared" si="17"/>
        <v>58663.696006227008</v>
      </c>
    </row>
    <row r="182" spans="1:11" x14ac:dyDescent="0.2">
      <c r="A182" s="26">
        <v>178</v>
      </c>
      <c r="B182" s="26" t="s">
        <v>153</v>
      </c>
      <c r="C182" s="26" t="s">
        <v>101</v>
      </c>
      <c r="D182" s="27">
        <f>'SIMULARE PE PRODUS'!$F$71</f>
        <v>0</v>
      </c>
      <c r="E182" s="27">
        <f>'SIMULARE PE PRODUS'!$G$71</f>
        <v>7800</v>
      </c>
      <c r="F182" s="27">
        <f t="shared" si="15"/>
        <v>7800</v>
      </c>
      <c r="G182" s="41">
        <f>'SIMULARE PE PRODUS'!T$71</f>
        <v>105335.13513513512</v>
      </c>
      <c r="H182" s="42">
        <f>IFERROR($G182/'SIMULARE PE PRODUS'!T$4,"")</f>
        <v>2.2186637545120649E-2</v>
      </c>
      <c r="I182" s="41">
        <f>'SIMULARE PE PRODUS'!$L$71</f>
        <v>29072.330327039999</v>
      </c>
      <c r="J182" s="28">
        <f t="shared" si="16"/>
        <v>0.27599841486644433</v>
      </c>
      <c r="K182" s="41">
        <f t="shared" si="17"/>
        <v>76262.804808095127</v>
      </c>
    </row>
    <row r="183" spans="1:11" x14ac:dyDescent="0.2">
      <c r="A183" s="26">
        <v>179</v>
      </c>
      <c r="B183" s="26" t="s">
        <v>227</v>
      </c>
      <c r="C183" s="26" t="s">
        <v>103</v>
      </c>
      <c r="D183" s="27">
        <f>'SIMULARE PE PRODUS'!$F$105</f>
        <v>569</v>
      </c>
      <c r="E183" s="27">
        <f>'SIMULARE PE PRODUS'!$G$105</f>
        <v>0</v>
      </c>
      <c r="F183" s="27">
        <f t="shared" si="15"/>
        <v>569</v>
      </c>
      <c r="G183" s="41">
        <f>'SIMULARE PE PRODUS'!T$105</f>
        <v>7053.7190082644629</v>
      </c>
      <c r="H183" s="42">
        <f>IFERROR($G183/'SIMULARE PE PRODUS'!T$4,"")</f>
        <v>1.4857180064440877E-3</v>
      </c>
      <c r="I183" s="41">
        <f>'SIMULARE PE PRODUS'!$L$105</f>
        <v>1915.5717892312005</v>
      </c>
      <c r="J183" s="28">
        <f t="shared" si="16"/>
        <v>0.27156905272053339</v>
      </c>
      <c r="K183" s="41">
        <f t="shared" si="17"/>
        <v>5138.1472190332624</v>
      </c>
    </row>
    <row r="184" spans="1:11" x14ac:dyDescent="0.2">
      <c r="A184" s="26">
        <v>180</v>
      </c>
      <c r="B184" s="26" t="s">
        <v>332</v>
      </c>
      <c r="C184" s="26" t="s">
        <v>105</v>
      </c>
      <c r="D184" s="27">
        <f>'SIMULARE PE PRODUS'!$F$192</f>
        <v>11</v>
      </c>
      <c r="E184" s="27">
        <f>'SIMULARE PE PRODUS'!$G$192</f>
        <v>0</v>
      </c>
      <c r="F184" s="27">
        <f t="shared" si="15"/>
        <v>11</v>
      </c>
      <c r="G184" s="41">
        <f>'SIMULARE PE PRODUS'!T$192</f>
        <v>29.72972972972973</v>
      </c>
      <c r="H184" s="42">
        <f>IFERROR($G184/'SIMULARE PE PRODUS'!T$4,"")</f>
        <v>6.2619441934707028E-6</v>
      </c>
      <c r="I184" s="41">
        <f>'SIMULARE PE PRODUS'!$L$192</f>
        <v>7.48</v>
      </c>
      <c r="J184" s="28">
        <f t="shared" si="16"/>
        <v>0.25159999999999999</v>
      </c>
      <c r="K184" s="41">
        <f t="shared" si="17"/>
        <v>22.249729729729729</v>
      </c>
    </row>
    <row r="185" spans="1:11" x14ac:dyDescent="0.2">
      <c r="A185" s="26">
        <v>181</v>
      </c>
      <c r="B185" s="26" t="s">
        <v>144</v>
      </c>
      <c r="C185" s="26" t="s">
        <v>101</v>
      </c>
      <c r="D185" s="27">
        <f>'SIMULARE PE PRODUS'!$F$70</f>
        <v>9978</v>
      </c>
      <c r="E185" s="27">
        <f>'SIMULARE PE PRODUS'!$G$70</f>
        <v>6098</v>
      </c>
      <c r="F185" s="27">
        <f t="shared" si="15"/>
        <v>16076</v>
      </c>
      <c r="G185" s="41">
        <f>'SIMULARE PE PRODUS'!T$70</f>
        <v>217068.19819819817</v>
      </c>
      <c r="H185" s="42">
        <f>IFERROR($G185/'SIMULARE PE PRODUS'!T$4,"")</f>
        <v>4.5720864456264658E-2</v>
      </c>
      <c r="I185" s="41">
        <f>'SIMULARE PE PRODUS'!$L$70</f>
        <v>54382.437776400002</v>
      </c>
      <c r="J185" s="28">
        <f t="shared" si="16"/>
        <v>0.25053157591857422</v>
      </c>
      <c r="K185" s="41">
        <f t="shared" si="17"/>
        <v>162685.76042179816</v>
      </c>
    </row>
    <row r="186" spans="1:11" x14ac:dyDescent="0.2">
      <c r="A186" s="26">
        <v>182</v>
      </c>
      <c r="B186" s="26" t="s">
        <v>152</v>
      </c>
      <c r="C186" s="26" t="s">
        <v>102</v>
      </c>
      <c r="D186" s="27">
        <f>'SIMULARE PE PRODUS'!$F$76</f>
        <v>6337</v>
      </c>
      <c r="E186" s="27">
        <f>'SIMULARE PE PRODUS'!$G$76</f>
        <v>2549</v>
      </c>
      <c r="F186" s="27">
        <f t="shared" si="15"/>
        <v>8886</v>
      </c>
      <c r="G186" s="41">
        <f>'SIMULARE PE PRODUS'!T$76</f>
        <v>112716.10810810809</v>
      </c>
      <c r="H186" s="42">
        <f>IFERROR($G186/'SIMULARE PE PRODUS'!T$4,"")</f>
        <v>2.374128473735708E-2</v>
      </c>
      <c r="I186" s="41">
        <f>'SIMULARE PE PRODUS'!$L$76</f>
        <v>26643.604679999997</v>
      </c>
      <c r="J186" s="28">
        <f t="shared" si="16"/>
        <v>0.23637796875</v>
      </c>
      <c r="K186" s="41">
        <f t="shared" si="17"/>
        <v>86072.503428108088</v>
      </c>
    </row>
    <row r="187" spans="1:11" x14ac:dyDescent="0.2">
      <c r="A187" s="26">
        <v>183</v>
      </c>
      <c r="B187" s="26" t="s">
        <v>256</v>
      </c>
      <c r="C187" s="26" t="s">
        <v>106</v>
      </c>
      <c r="D187" s="27">
        <f>'SIMULARE PE PRODUS'!$F$201</f>
        <v>620</v>
      </c>
      <c r="E187" s="27">
        <f>'SIMULARE PE PRODUS'!$G$201</f>
        <v>497</v>
      </c>
      <c r="F187" s="27">
        <f t="shared" si="15"/>
        <v>1117</v>
      </c>
      <c r="G187" s="41">
        <f>'SIMULARE PE PRODUS'!T$201</f>
        <v>3018.9189189189187</v>
      </c>
      <c r="H187" s="42">
        <f>IFERROR($G187/'SIMULARE PE PRODUS'!T$4,"")</f>
        <v>6.3587196946425224E-4</v>
      </c>
      <c r="I187" s="41">
        <f>'SIMULARE PE PRODUS'!$L$201</f>
        <v>703.71</v>
      </c>
      <c r="J187" s="28">
        <f t="shared" si="16"/>
        <v>0.23310000000000003</v>
      </c>
      <c r="K187" s="41">
        <f t="shared" si="17"/>
        <v>2315.2089189189187</v>
      </c>
    </row>
    <row r="188" spans="1:11" x14ac:dyDescent="0.2">
      <c r="A188" s="26">
        <v>184</v>
      </c>
      <c r="B188" s="26" t="s">
        <v>252</v>
      </c>
      <c r="C188" s="26" t="s">
        <v>102</v>
      </c>
      <c r="D188" s="27">
        <f>'SIMULARE PE PRODUS'!$F$88</f>
        <v>511</v>
      </c>
      <c r="E188" s="27">
        <f>'SIMULARE PE PRODUS'!$G$88</f>
        <v>194</v>
      </c>
      <c r="F188" s="27">
        <f t="shared" si="15"/>
        <v>705</v>
      </c>
      <c r="G188" s="41">
        <f>'SIMULARE PE PRODUS'!T$88</f>
        <v>3274.1441441441439</v>
      </c>
      <c r="H188" s="42">
        <f>IFERROR($G188/'SIMULARE PE PRODUS'!T$4,"")</f>
        <v>6.8962981158577491E-4</v>
      </c>
      <c r="I188" s="41">
        <f>'SIMULARE PE PRODUS'!$L$88</f>
        <v>762.81000000000006</v>
      </c>
      <c r="J188" s="28">
        <f t="shared" si="16"/>
        <v>0.2329799686321988</v>
      </c>
      <c r="K188" s="41">
        <f t="shared" si="17"/>
        <v>2511.3341441441439</v>
      </c>
    </row>
    <row r="189" spans="1:11" x14ac:dyDescent="0.2">
      <c r="A189" s="26">
        <v>185</v>
      </c>
      <c r="B189" s="26" t="s">
        <v>175</v>
      </c>
      <c r="C189" s="26" t="s">
        <v>102</v>
      </c>
      <c r="D189" s="27">
        <f>'SIMULARE PE PRODUS'!$F$79</f>
        <v>4095</v>
      </c>
      <c r="E189" s="27">
        <f>'SIMULARE PE PRODUS'!$G$79</f>
        <v>2349</v>
      </c>
      <c r="F189" s="27">
        <f t="shared" si="15"/>
        <v>6444</v>
      </c>
      <c r="G189" s="41">
        <f>'SIMULARE PE PRODUS'!T$79</f>
        <v>35412.972972972966</v>
      </c>
      <c r="H189" s="42">
        <f>IFERROR($G189/'SIMULARE PE PRODUS'!T$4,"")</f>
        <v>7.4590002162007191E-3</v>
      </c>
      <c r="I189" s="41">
        <f>'SIMULARE PE PRODUS'!$L$79</f>
        <v>8192.5922879999998</v>
      </c>
      <c r="J189" s="28">
        <f t="shared" si="16"/>
        <v>0.23134438032786889</v>
      </c>
      <c r="K189" s="41">
        <f t="shared" si="17"/>
        <v>27220.380684972966</v>
      </c>
    </row>
    <row r="190" spans="1:11" x14ac:dyDescent="0.2">
      <c r="A190" s="26">
        <v>186</v>
      </c>
      <c r="B190" s="26" t="s">
        <v>327</v>
      </c>
      <c r="C190" s="26" t="s">
        <v>104</v>
      </c>
      <c r="D190" s="27">
        <f>'SIMULARE PE PRODUS'!$F$159</f>
        <v>25</v>
      </c>
      <c r="E190" s="27">
        <f>'SIMULARE PE PRODUS'!$G$159</f>
        <v>0</v>
      </c>
      <c r="F190" s="27">
        <f t="shared" si="15"/>
        <v>25</v>
      </c>
      <c r="G190" s="41">
        <f>'SIMULARE PE PRODUS'!T$159</f>
        <v>78.828828828828819</v>
      </c>
      <c r="H190" s="42">
        <f>IFERROR($G190/'SIMULARE PE PRODUS'!T$4,"")</f>
        <v>1.6603639906929891E-5</v>
      </c>
      <c r="I190" s="41">
        <f>'SIMULARE PE PRODUS'!$L$159</f>
        <v>16.270792499999999</v>
      </c>
      <c r="J190" s="28">
        <f t="shared" si="16"/>
        <v>0.20640662485714287</v>
      </c>
      <c r="K190" s="41">
        <f t="shared" si="17"/>
        <v>62.55803632882882</v>
      </c>
    </row>
    <row r="191" spans="1:11" x14ac:dyDescent="0.2">
      <c r="A191" s="26">
        <v>187</v>
      </c>
      <c r="B191" s="26" t="s">
        <v>336</v>
      </c>
      <c r="C191" s="26" t="s">
        <v>104</v>
      </c>
      <c r="D191" s="27">
        <f>'SIMULARE PE PRODUS'!$F$161</f>
        <v>3</v>
      </c>
      <c r="E191" s="27">
        <f>'SIMULARE PE PRODUS'!$G$161</f>
        <v>0</v>
      </c>
      <c r="F191" s="27">
        <f t="shared" si="15"/>
        <v>3</v>
      </c>
      <c r="G191" s="41">
        <f>'SIMULARE PE PRODUS'!T$161</f>
        <v>9.4594594594594597</v>
      </c>
      <c r="H191" s="42">
        <f>IFERROR($G191/'SIMULARE PE PRODUS'!T$4,"")</f>
        <v>1.9924367888315871E-6</v>
      </c>
      <c r="I191" s="41">
        <f>'SIMULARE PE PRODUS'!$L$161</f>
        <v>1.8772080000000002</v>
      </c>
      <c r="J191" s="28">
        <f t="shared" si="16"/>
        <v>0.19844770285714289</v>
      </c>
      <c r="K191" s="41">
        <f t="shared" si="17"/>
        <v>7.5822514594594592</v>
      </c>
    </row>
    <row r="192" spans="1:11" x14ac:dyDescent="0.2">
      <c r="A192" s="26">
        <v>188</v>
      </c>
      <c r="B192" s="26" t="s">
        <v>257</v>
      </c>
      <c r="C192" s="26" t="s">
        <v>102</v>
      </c>
      <c r="D192" s="27">
        <f>'SIMULARE PE PRODUS'!$F$89</f>
        <v>649</v>
      </c>
      <c r="E192" s="27">
        <f>'SIMULARE PE PRODUS'!$G$89</f>
        <v>0</v>
      </c>
      <c r="F192" s="27">
        <f t="shared" si="15"/>
        <v>649</v>
      </c>
      <c r="G192" s="41">
        <f>'SIMULARE PE PRODUS'!T$89</f>
        <v>2981.8918918918912</v>
      </c>
      <c r="H192" s="42">
        <f>IFERROR($G192/'SIMULARE PE PRODUS'!T$4,"")</f>
        <v>6.2807300260511137E-4</v>
      </c>
      <c r="I192" s="41">
        <f>'SIMULARE PE PRODUS'!$L$89</f>
        <v>586.69600000000003</v>
      </c>
      <c r="J192" s="28">
        <f t="shared" si="16"/>
        <v>0.19675294117647063</v>
      </c>
      <c r="K192" s="41">
        <f t="shared" si="17"/>
        <v>2395.1958918918913</v>
      </c>
    </row>
    <row r="193" spans="1:11" x14ac:dyDescent="0.2">
      <c r="A193" s="26">
        <v>189</v>
      </c>
      <c r="B193" s="26" t="s">
        <v>333</v>
      </c>
      <c r="C193" s="26" t="s">
        <v>104</v>
      </c>
      <c r="D193" s="27">
        <f>'SIMULARE PE PRODUS'!$F$160</f>
        <v>8</v>
      </c>
      <c r="E193" s="27">
        <f>'SIMULARE PE PRODUS'!$G$160</f>
        <v>0</v>
      </c>
      <c r="F193" s="27">
        <f t="shared" si="15"/>
        <v>8</v>
      </c>
      <c r="G193" s="41">
        <f>'SIMULARE PE PRODUS'!T$160</f>
        <v>25.225225225225223</v>
      </c>
      <c r="H193" s="42">
        <f>IFERROR($G193/'SIMULARE PE PRODUS'!T$4,"")</f>
        <v>5.3131647702175656E-6</v>
      </c>
      <c r="I193" s="41">
        <f>'SIMULARE PE PRODUS'!$L$160</f>
        <v>4.9080640000000004</v>
      </c>
      <c r="J193" s="28">
        <f t="shared" si="16"/>
        <v>0.19456968000000002</v>
      </c>
      <c r="K193" s="41">
        <f t="shared" si="17"/>
        <v>20.317161225225224</v>
      </c>
    </row>
    <row r="194" spans="1:11" x14ac:dyDescent="0.2">
      <c r="A194" s="26">
        <v>190</v>
      </c>
      <c r="B194" s="26" t="s">
        <v>218</v>
      </c>
      <c r="C194" s="26" t="s">
        <v>104</v>
      </c>
      <c r="D194" s="27">
        <f>'SIMULARE PE PRODUS'!$F$128</f>
        <v>1005</v>
      </c>
      <c r="E194" s="27">
        <f>'SIMULARE PE PRODUS'!$G$128</f>
        <v>0</v>
      </c>
      <c r="F194" s="27">
        <f t="shared" si="15"/>
        <v>1005</v>
      </c>
      <c r="G194" s="41">
        <f>'SIMULARE PE PRODUS'!T$128</f>
        <v>9128.0578512396696</v>
      </c>
      <c r="H194" s="42">
        <f>IFERROR($G194/'SIMULARE PE PRODUS'!T$4,"")</f>
        <v>1.9226339889015379E-3</v>
      </c>
      <c r="I194" s="41">
        <f>'SIMULARE PE PRODUS'!$L$128</f>
        <v>1589.9096402099999</v>
      </c>
      <c r="J194" s="28">
        <f t="shared" si="16"/>
        <v>0.17417830453321201</v>
      </c>
      <c r="K194" s="41">
        <f t="shared" si="17"/>
        <v>7538.1482110296693</v>
      </c>
    </row>
    <row r="195" spans="1:11" x14ac:dyDescent="0.2">
      <c r="A195" s="26">
        <v>191</v>
      </c>
      <c r="B195" s="26" t="s">
        <v>236</v>
      </c>
      <c r="C195" s="26" t="s">
        <v>106</v>
      </c>
      <c r="D195" s="27">
        <f>'SIMULARE PE PRODUS'!$F$199</f>
        <v>805</v>
      </c>
      <c r="E195" s="27">
        <f>'SIMULARE PE PRODUS'!$G$199</f>
        <v>397</v>
      </c>
      <c r="F195" s="27">
        <f t="shared" si="15"/>
        <v>1202</v>
      </c>
      <c r="G195" s="41">
        <f>'SIMULARE PE PRODUS'!T$199</f>
        <v>5414.4144144144138</v>
      </c>
      <c r="H195" s="42">
        <f>IFERROR($G195/'SIMULARE PE PRODUS'!T$4,"")</f>
        <v>1.1404328667502703E-3</v>
      </c>
      <c r="I195" s="41">
        <f>'SIMULARE PE PRODUS'!$L$199</f>
        <v>919.53</v>
      </c>
      <c r="J195" s="28">
        <f t="shared" si="16"/>
        <v>0.16983000000000001</v>
      </c>
      <c r="K195" s="41">
        <f t="shared" si="17"/>
        <v>4494.8844144144141</v>
      </c>
    </row>
    <row r="196" spans="1:11" x14ac:dyDescent="0.2">
      <c r="A196" s="26">
        <v>192</v>
      </c>
      <c r="B196" s="26" t="s">
        <v>217</v>
      </c>
      <c r="C196" s="26" t="s">
        <v>102</v>
      </c>
      <c r="D196" s="27">
        <f>'SIMULARE PE PRODUS'!$F$84</f>
        <v>2993</v>
      </c>
      <c r="E196" s="27">
        <f>'SIMULARE PE PRODUS'!$G$84</f>
        <v>373</v>
      </c>
      <c r="F196" s="27">
        <f t="shared" si="15"/>
        <v>3366</v>
      </c>
      <c r="G196" s="41">
        <f>'SIMULARE PE PRODUS'!T$84</f>
        <v>9568.5585585585577</v>
      </c>
      <c r="H196" s="42">
        <f>IFERROR($G196/'SIMULARE PE PRODUS'!T$4,"")</f>
        <v>2.0154162264627781E-3</v>
      </c>
      <c r="I196" s="41">
        <f>'SIMULARE PE PRODUS'!$L$84</f>
        <v>1521.432</v>
      </c>
      <c r="J196" s="28">
        <f t="shared" si="16"/>
        <v>0.15900325954938754</v>
      </c>
      <c r="K196" s="41">
        <f t="shared" si="17"/>
        <v>8047.1265585585579</v>
      </c>
    </row>
    <row r="197" spans="1:11" x14ac:dyDescent="0.2">
      <c r="A197" s="26">
        <v>193</v>
      </c>
      <c r="B197" s="26" t="s">
        <v>213</v>
      </c>
      <c r="C197" s="26" t="s">
        <v>102</v>
      </c>
      <c r="D197" s="27">
        <f>'SIMULARE PE PRODUS'!$F$83</f>
        <v>3109</v>
      </c>
      <c r="E197" s="27">
        <f>'SIMULARE PE PRODUS'!$G$83</f>
        <v>606</v>
      </c>
      <c r="F197" s="27">
        <f t="shared" ref="F197:F202" si="18">$D197+$E197</f>
        <v>3715</v>
      </c>
      <c r="G197" s="41">
        <f>'SIMULARE PE PRODUS'!T$83</f>
        <v>10648.198198198197</v>
      </c>
      <c r="H197" s="42">
        <f>IFERROR($G197/'SIMULARE PE PRODUS'!T$4,"")</f>
        <v>2.24281967862809E-3</v>
      </c>
      <c r="I197" s="41">
        <f>'SIMULARE PE PRODUS'!$L$83</f>
        <v>1671.75</v>
      </c>
      <c r="J197" s="28">
        <f t="shared" ref="J197:J202" si="19">IFERROR($I197/$G197,"")</f>
        <v>0.15699839248699185</v>
      </c>
      <c r="K197" s="41">
        <f t="shared" ref="K197:K202" si="20">$G197-$I197</f>
        <v>8976.4481981981971</v>
      </c>
    </row>
    <row r="198" spans="1:11" x14ac:dyDescent="0.2">
      <c r="A198" s="26">
        <v>194</v>
      </c>
      <c r="B198" s="26" t="s">
        <v>260</v>
      </c>
      <c r="C198" s="26" t="s">
        <v>103</v>
      </c>
      <c r="D198" s="27">
        <f>'SIMULARE PE PRODUS'!$F$114</f>
        <v>0</v>
      </c>
      <c r="E198" s="27">
        <f>'SIMULARE PE PRODUS'!$G$114</f>
        <v>665</v>
      </c>
      <c r="F198" s="27">
        <f t="shared" si="18"/>
        <v>665</v>
      </c>
      <c r="G198" s="41">
        <f>'SIMULARE PE PRODUS'!T$114</f>
        <v>2742.4380165289263</v>
      </c>
      <c r="H198" s="42">
        <f>IFERROR($G198/'SIMULARE PE PRODUS'!T$4,"")</f>
        <v>5.7763706463781364E-4</v>
      </c>
      <c r="I198" s="41">
        <f>'SIMULARE PE PRODUS'!$L$114</f>
        <v>427.59500000000003</v>
      </c>
      <c r="J198" s="28">
        <f t="shared" si="19"/>
        <v>0.15591783567134265</v>
      </c>
      <c r="K198" s="41">
        <f t="shared" si="20"/>
        <v>2314.8430165289265</v>
      </c>
    </row>
    <row r="199" spans="1:11" x14ac:dyDescent="0.2">
      <c r="A199" s="26">
        <v>195</v>
      </c>
      <c r="B199" s="26" t="s">
        <v>278</v>
      </c>
      <c r="C199" s="26" t="s">
        <v>104</v>
      </c>
      <c r="D199" s="27">
        <f>'SIMULARE PE PRODUS'!$F$136</f>
        <v>0</v>
      </c>
      <c r="E199" s="27">
        <f>'SIMULARE PE PRODUS'!$G$136</f>
        <v>157</v>
      </c>
      <c r="F199" s="27">
        <f t="shared" si="18"/>
        <v>157</v>
      </c>
      <c r="G199" s="41">
        <f>'SIMULARE PE PRODUS'!T$136</f>
        <v>1686.7768595041323</v>
      </c>
      <c r="H199" s="42">
        <f>IFERROR($G199/'SIMULARE PE PRODUS'!T$4,"")</f>
        <v>3.5528417705358911E-4</v>
      </c>
      <c r="I199" s="41">
        <f>'SIMULARE PE PRODUS'!$L$136</f>
        <v>248.37394379399998</v>
      </c>
      <c r="J199" s="28">
        <f t="shared" si="19"/>
        <v>0.14724765898615383</v>
      </c>
      <c r="K199" s="41">
        <f t="shared" si="20"/>
        <v>1438.4029157101322</v>
      </c>
    </row>
    <row r="200" spans="1:11" x14ac:dyDescent="0.2">
      <c r="A200" s="26">
        <v>196</v>
      </c>
      <c r="B200" s="26" t="s">
        <v>275</v>
      </c>
      <c r="C200" s="26" t="s">
        <v>106</v>
      </c>
      <c r="D200" s="27">
        <f>'SIMULARE PE PRODUS'!$F$203</f>
        <v>282</v>
      </c>
      <c r="E200" s="27">
        <f>'SIMULARE PE PRODUS'!$G$203</f>
        <v>733</v>
      </c>
      <c r="F200" s="27">
        <f t="shared" si="18"/>
        <v>1015</v>
      </c>
      <c r="G200" s="41">
        <f>'SIMULARE PE PRODUS'!T$203</f>
        <v>1828.8288288288286</v>
      </c>
      <c r="H200" s="42">
        <f>IFERROR($G200/'SIMULARE PE PRODUS'!T$4,"")</f>
        <v>3.8520444584077347E-4</v>
      </c>
      <c r="I200" s="41">
        <f>'SIMULARE PE PRODUS'!$L$203</f>
        <v>250.41885120000001</v>
      </c>
      <c r="J200" s="28">
        <f t="shared" si="19"/>
        <v>0.13692853440000002</v>
      </c>
      <c r="K200" s="41">
        <f t="shared" si="20"/>
        <v>1578.4099776288285</v>
      </c>
    </row>
    <row r="201" spans="1:11" x14ac:dyDescent="0.2">
      <c r="A201" s="26">
        <v>197</v>
      </c>
      <c r="B201" s="26" t="s">
        <v>261</v>
      </c>
      <c r="C201" s="26" t="s">
        <v>106</v>
      </c>
      <c r="D201" s="27">
        <f>'SIMULARE PE PRODUS'!$F$202</f>
        <v>318</v>
      </c>
      <c r="E201" s="27">
        <f>'SIMULARE PE PRODUS'!$G$202</f>
        <v>284</v>
      </c>
      <c r="F201" s="27">
        <f t="shared" si="18"/>
        <v>602</v>
      </c>
      <c r="G201" s="41">
        <f>'SIMULARE PE PRODUS'!T$202</f>
        <v>2711.7117117117114</v>
      </c>
      <c r="H201" s="42">
        <f>IFERROR($G201/'SIMULARE PE PRODUS'!T$4,"")</f>
        <v>5.7116521279838828E-4</v>
      </c>
      <c r="I201" s="41">
        <f>'SIMULARE PE PRODUS'!$L$202</f>
        <v>296.18399999999997</v>
      </c>
      <c r="J201" s="28">
        <f t="shared" si="19"/>
        <v>0.109224</v>
      </c>
      <c r="K201" s="41">
        <f t="shared" si="20"/>
        <v>2415.5277117117112</v>
      </c>
    </row>
    <row r="202" spans="1:11" x14ac:dyDescent="0.2">
      <c r="A202" s="26">
        <v>198</v>
      </c>
      <c r="B202" s="26" t="s">
        <v>328</v>
      </c>
      <c r="C202" s="26" t="s">
        <v>105</v>
      </c>
      <c r="D202" s="27">
        <f>'SIMULARE PE PRODUS'!$F$188</f>
        <v>15</v>
      </c>
      <c r="E202" s="27">
        <f>'SIMULARE PE PRODUS'!$G$188</f>
        <v>0</v>
      </c>
      <c r="F202" s="27">
        <f t="shared" si="18"/>
        <v>15</v>
      </c>
      <c r="G202" s="41">
        <f>'SIMULARE PE PRODUS'!T$188</f>
        <v>40.54054054054054</v>
      </c>
      <c r="H202" s="42">
        <f>IFERROR($G202/'SIMULARE PE PRODUS'!T$4,"")</f>
        <v>8.5390148092782314E-6</v>
      </c>
      <c r="I202" s="41">
        <f>'SIMULARE PE PRODUS'!$L$188</f>
        <v>4.2</v>
      </c>
      <c r="J202" s="28">
        <f t="shared" si="19"/>
        <v>0.10360000000000001</v>
      </c>
      <c r="K202" s="41">
        <f t="shared" si="20"/>
        <v>36.340540540540538</v>
      </c>
    </row>
  </sheetData>
  <mergeCells count="2">
    <mergeCell ref="A1:K1"/>
    <mergeCell ref="A2:K2"/>
  </mergeCells>
  <conditionalFormatting sqref="J5:J202">
    <cfRule type="cellIs" dxfId="35" priority="2" operator="greaterThan">
      <formula>0.55</formula>
    </cfRule>
    <cfRule type="cellIs" dxfId="34" priority="3" operator="between">
      <formula>0.45</formula>
      <formula>0.55</formula>
    </cfRule>
    <cfRule type="cellIs" dxfId="33" priority="4" operator="lessThan">
      <formula>0.45</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
  <sheetViews>
    <sheetView zoomScaleNormal="100" workbookViewId="0">
      <pane xSplit="1" ySplit="3" topLeftCell="B31" activePane="bottomRight" state="frozen"/>
      <selection pane="topRight" activeCell="B1" sqref="B1"/>
      <selection pane="bottomLeft" activeCell="A4" sqref="A4"/>
      <selection pane="bottomRight" activeCell="H51" sqref="H51"/>
    </sheetView>
  </sheetViews>
  <sheetFormatPr baseColWidth="10" defaultColWidth="8.6640625" defaultRowHeight="15" x14ac:dyDescent="0.2"/>
  <cols>
    <col min="1" max="1" width="30" customWidth="1"/>
    <col min="2" max="2" width="12" customWidth="1"/>
    <col min="3" max="3" width="16.83203125" customWidth="1"/>
    <col min="4" max="6" width="12" customWidth="1"/>
    <col min="7" max="7" width="13" customWidth="1"/>
    <col min="8" max="8" width="16.33203125" customWidth="1"/>
    <col min="9" max="9" width="13" customWidth="1"/>
  </cols>
  <sheetData>
    <row r="1" spans="1:9" ht="20" x14ac:dyDescent="0.2">
      <c r="A1" s="115" t="s">
        <v>342</v>
      </c>
      <c r="B1" s="115"/>
      <c r="C1" s="115"/>
      <c r="D1" s="115"/>
      <c r="E1" s="115"/>
      <c r="F1" s="115"/>
      <c r="G1" s="115"/>
      <c r="H1" s="115"/>
      <c r="I1" s="115"/>
    </row>
    <row r="2" spans="1:9" ht="39.75" customHeight="1" x14ac:dyDescent="0.2">
      <c r="A2" s="108" t="s">
        <v>343</v>
      </c>
      <c r="B2" s="108"/>
      <c r="C2" s="108"/>
      <c r="D2" s="108"/>
      <c r="E2" s="108"/>
      <c r="F2" s="108"/>
      <c r="G2" s="108"/>
      <c r="H2" s="108"/>
      <c r="I2" s="108"/>
    </row>
    <row r="4" spans="1:9" x14ac:dyDescent="0.2">
      <c r="A4" s="14" t="s">
        <v>344</v>
      </c>
      <c r="B4" s="15"/>
      <c r="C4" s="15"/>
      <c r="D4" s="15"/>
      <c r="E4" s="15"/>
      <c r="F4" s="15"/>
      <c r="G4" s="15"/>
      <c r="H4" s="15"/>
      <c r="I4" s="15"/>
    </row>
    <row r="5" spans="1:9" x14ac:dyDescent="0.2">
      <c r="A5" s="26" t="s">
        <v>345</v>
      </c>
      <c r="B5" s="43">
        <v>0.94632000000000005</v>
      </c>
      <c r="C5" s="2" t="s">
        <v>346</v>
      </c>
    </row>
    <row r="7" spans="1:9" x14ac:dyDescent="0.2">
      <c r="A7" s="14" t="s">
        <v>347</v>
      </c>
      <c r="B7" s="15"/>
      <c r="C7" s="15"/>
      <c r="D7" s="15"/>
      <c r="E7" s="15"/>
      <c r="F7" s="15"/>
      <c r="G7" s="15"/>
      <c r="H7" s="15"/>
      <c r="I7" s="15"/>
    </row>
    <row r="8" spans="1:9" x14ac:dyDescent="0.2">
      <c r="B8" s="44" t="s">
        <v>348</v>
      </c>
      <c r="C8" s="44" t="s">
        <v>349</v>
      </c>
      <c r="D8" s="44" t="s">
        <v>350</v>
      </c>
      <c r="E8" s="44" t="s">
        <v>351</v>
      </c>
      <c r="F8" s="44" t="s">
        <v>352</v>
      </c>
    </row>
    <row r="9" spans="1:9" x14ac:dyDescent="0.2">
      <c r="A9" s="26" t="s">
        <v>353</v>
      </c>
      <c r="B9" s="45">
        <v>31</v>
      </c>
      <c r="C9" s="45">
        <v>30</v>
      </c>
      <c r="D9" s="45">
        <v>31</v>
      </c>
      <c r="E9" s="45">
        <v>30</v>
      </c>
      <c r="F9" s="45">
        <v>31</v>
      </c>
    </row>
    <row r="10" spans="1:9" x14ac:dyDescent="0.2">
      <c r="A10" s="26" t="s">
        <v>354</v>
      </c>
      <c r="B10" s="46">
        <f>B9/7</f>
        <v>4.4285714285714288</v>
      </c>
      <c r="C10" s="46">
        <f>C9/7</f>
        <v>4.2857142857142856</v>
      </c>
      <c r="D10" s="46">
        <f>D9/7</f>
        <v>4.4285714285714288</v>
      </c>
      <c r="E10" s="46">
        <f>E9/7</f>
        <v>4.2857142857142856</v>
      </c>
      <c r="F10" s="46">
        <f>F9/7</f>
        <v>4.4285714285714288</v>
      </c>
    </row>
    <row r="12" spans="1:9" x14ac:dyDescent="0.2">
      <c r="A12" s="14" t="s">
        <v>355</v>
      </c>
      <c r="B12" s="15"/>
      <c r="C12" s="15"/>
      <c r="D12" s="15"/>
      <c r="E12" s="15"/>
      <c r="F12" s="15"/>
      <c r="G12" s="15"/>
      <c r="H12" s="15"/>
      <c r="I12" s="15"/>
    </row>
    <row r="13" spans="1:9" x14ac:dyDescent="0.2">
      <c r="B13" s="44" t="s">
        <v>348</v>
      </c>
      <c r="C13" s="44" t="s">
        <v>349</v>
      </c>
      <c r="D13" s="44" t="s">
        <v>350</v>
      </c>
      <c r="E13" s="44" t="s">
        <v>351</v>
      </c>
      <c r="F13" s="44" t="s">
        <v>352</v>
      </c>
    </row>
    <row r="14" spans="1:9" x14ac:dyDescent="0.2">
      <c r="A14" s="26" t="s">
        <v>356</v>
      </c>
      <c r="B14" s="47">
        <v>1</v>
      </c>
      <c r="C14" s="47">
        <v>0.91029000000000004</v>
      </c>
      <c r="D14" s="47">
        <v>0.95806999999999998</v>
      </c>
      <c r="E14" s="47">
        <v>0.94111</v>
      </c>
      <c r="F14" s="47">
        <v>1.1390800000000001</v>
      </c>
    </row>
    <row r="15" spans="1:9" x14ac:dyDescent="0.2">
      <c r="A15" s="26" t="s">
        <v>357</v>
      </c>
      <c r="B15" s="27">
        <f>SUMPRODUCT(ISNUMBER('SIMULARE PE PRODUS'!$A$6:$A$243)*('SIMULARE PE PRODUS'!$D$6:$D$243&gt;0)*('SIMULARE PE PRODUS'!$F$6:$F$243+'SIMULARE PE PRODUS'!$G$6:$G$243))*B10*$B$5*B14+SUMPRODUCT(ISNUMBER('SIMULARE PE PRODUS'!$A$6:$A$243)*('SIMULARE PE PRODUS'!$D$6:$D$243=0)*('SIMULARE PE PRODUS'!$F$6:$F$243+'SIMULARE PE PRODUS'!$G$6:$G$243))</f>
        <v>1829382.8212685715</v>
      </c>
      <c r="C15" s="27">
        <f>SUMPRODUCT(ISNUMBER('SIMULARE PE PRODUS'!$A$6:$A$243)*('SIMULARE PE PRODUS'!$D$6:$D$243&gt;0)*('SIMULARE PE PRODUS'!$F$6:$F$243+'SIMULARE PE PRODUS'!$G$6:$G$243))*C10*$B$5*C14</f>
        <v>1603872.3878057108</v>
      </c>
      <c r="D15" s="27">
        <f>SUMPRODUCT(ISNUMBER('SIMULARE PE PRODUS'!$A$6:$A$243)*('SIMULARE PE PRODUS'!$D$6:$D$243&gt;0)*('SIMULARE PE PRODUS'!$F$6:$F$243+'SIMULARE PE PRODUS'!$G$6:$G$243))*D10*$B$5*D14</f>
        <v>1744326.2614527803</v>
      </c>
      <c r="E15" s="27">
        <f>SUMPRODUCT(ISNUMBER('SIMULARE PE PRODUS'!$A$6:$A$243)*('SIMULARE PE PRODUS'!$D$6:$D$243&gt;0)*('SIMULARE PE PRODUS'!$F$6:$F$243+'SIMULARE PE PRODUS'!$G$6:$G$243))*E10*$B$5*E14</f>
        <v>1658175.2440297406</v>
      </c>
      <c r="F15" s="27">
        <f>SUMPRODUCT(ISNUMBER('SIMULARE PE PRODUS'!$A$6:$A$243)*('SIMULARE PE PRODUS'!$D$6:$D$243&gt;0)*('SIMULARE PE PRODUS'!$F$6:$F$243+'SIMULARE PE PRODUS'!$G$6:$G$243))*F10*$B$5*F14</f>
        <v>2073885.1627706047</v>
      </c>
    </row>
    <row r="17" spans="1:9" x14ac:dyDescent="0.2">
      <c r="A17" s="14" t="s">
        <v>358</v>
      </c>
      <c r="B17" s="15"/>
      <c r="C17" s="15"/>
      <c r="D17" s="15"/>
      <c r="E17" s="15"/>
      <c r="F17" s="15"/>
      <c r="G17" s="15"/>
      <c r="H17" s="15"/>
      <c r="I17" s="15"/>
    </row>
    <row r="18" spans="1:9" x14ac:dyDescent="0.2">
      <c r="B18" s="44" t="s">
        <v>348</v>
      </c>
      <c r="C18" s="44" t="s">
        <v>349</v>
      </c>
      <c r="D18" s="44" t="s">
        <v>350</v>
      </c>
      <c r="E18" s="44" t="s">
        <v>351</v>
      </c>
      <c r="F18" s="44" t="s">
        <v>352</v>
      </c>
      <c r="G18" s="44" t="s">
        <v>359</v>
      </c>
      <c r="H18" s="44" t="s">
        <v>360</v>
      </c>
      <c r="I18" s="44" t="s">
        <v>361</v>
      </c>
    </row>
    <row r="19" spans="1:9" x14ac:dyDescent="0.2">
      <c r="A19" s="26" t="s">
        <v>94</v>
      </c>
      <c r="B19" s="48">
        <v>0</v>
      </c>
      <c r="C19" s="48">
        <v>0</v>
      </c>
      <c r="D19" s="48">
        <v>0</v>
      </c>
      <c r="E19" s="48">
        <v>0</v>
      </c>
      <c r="F19" s="48">
        <v>0</v>
      </c>
      <c r="G19" s="49">
        <f t="shared" ref="G19:G38" si="0">SUM(B19:F19)</f>
        <v>0</v>
      </c>
      <c r="H19" s="27">
        <f>SUMIFS('SIMULARE PE PRODUS'!$F$6:$F$243,'SIMULARE PE PRODUS'!$C$6:$C$243,$A19)+SUMIFS('SIMULARE PE PRODUS'!$G$6:$G$243,'SIMULARE PE PRODUS'!$C$6:$C$243,$A19)</f>
        <v>56762</v>
      </c>
      <c r="I19" s="41">
        <f>IFERROR(SUMIFS('SIMULARE PE PRODUS'!T$6:T$243,'SIMULARE PE PRODUS'!$C$6:$C$243,$A19)/$H19,"")</f>
        <v>13.872891266235403</v>
      </c>
    </row>
    <row r="20" spans="1:9" x14ac:dyDescent="0.2">
      <c r="A20" s="26" t="s">
        <v>95</v>
      </c>
      <c r="B20" s="48">
        <v>0</v>
      </c>
      <c r="C20" s="48">
        <v>0</v>
      </c>
      <c r="D20" s="48">
        <v>0</v>
      </c>
      <c r="E20" s="48">
        <v>0</v>
      </c>
      <c r="F20" s="48">
        <v>0</v>
      </c>
      <c r="G20" s="49">
        <f t="shared" si="0"/>
        <v>0</v>
      </c>
      <c r="H20" s="27">
        <f>SUMIFS('SIMULARE PE PRODUS'!$F$6:$F$243,'SIMULARE PE PRODUS'!$C$6:$C$243,$A20)+SUMIFS('SIMULARE PE PRODUS'!$G$6:$G$243,'SIMULARE PE PRODUS'!$C$6:$C$243,$A20)</f>
        <v>12376</v>
      </c>
      <c r="I20" s="41">
        <f>IFERROR(SUMIFS('SIMULARE PE PRODUS'!T$6:T$243,'SIMULARE PE PRODUS'!$C$6:$C$243,$A20)/$H20,"")</f>
        <v>8.1306597483068064</v>
      </c>
    </row>
    <row r="21" spans="1:9" x14ac:dyDescent="0.2">
      <c r="A21" s="26" t="s">
        <v>96</v>
      </c>
      <c r="B21" s="48">
        <v>0</v>
      </c>
      <c r="C21" s="48">
        <v>0</v>
      </c>
      <c r="D21" s="48">
        <v>0</v>
      </c>
      <c r="E21" s="48">
        <v>0</v>
      </c>
      <c r="F21" s="48">
        <v>0</v>
      </c>
      <c r="G21" s="49">
        <f t="shared" si="0"/>
        <v>0</v>
      </c>
      <c r="H21" s="27">
        <f>SUMIFS('SIMULARE PE PRODUS'!$F$6:$F$243,'SIMULARE PE PRODUS'!$C$6:$C$243,$A21)+SUMIFS('SIMULARE PE PRODUS'!$G$6:$G$243,'SIMULARE PE PRODUS'!$C$6:$C$243,$A21)</f>
        <v>37060</v>
      </c>
      <c r="I21" s="41">
        <f>IFERROR(SUMIFS('SIMULARE PE PRODUS'!T$6:T$243,'SIMULARE PE PRODUS'!$C$6:$C$243,$A21)/$H21,"")</f>
        <v>24.947222181706799</v>
      </c>
    </row>
    <row r="22" spans="1:9" x14ac:dyDescent="0.2">
      <c r="A22" s="26" t="s">
        <v>97</v>
      </c>
      <c r="B22" s="48">
        <v>0</v>
      </c>
      <c r="C22" s="48">
        <v>0</v>
      </c>
      <c r="D22" s="48">
        <v>0</v>
      </c>
      <c r="E22" s="48">
        <v>0</v>
      </c>
      <c r="F22" s="48">
        <v>0</v>
      </c>
      <c r="G22" s="49">
        <f t="shared" si="0"/>
        <v>0</v>
      </c>
      <c r="H22" s="27">
        <f>SUMIFS('SIMULARE PE PRODUS'!$F$6:$F$243,'SIMULARE PE PRODUS'!$C$6:$C$243,$A22)+SUMIFS('SIMULARE PE PRODUS'!$G$6:$G$243,'SIMULARE PE PRODUS'!$C$6:$C$243,$A22)</f>
        <v>18382</v>
      </c>
      <c r="I22" s="41">
        <f>IFERROR(SUMIFS('SIMULARE PE PRODUS'!T$6:T$243,'SIMULARE PE PRODUS'!$C$6:$C$243,$A22)/$H22,"")</f>
        <v>18.115542427423613</v>
      </c>
    </row>
    <row r="23" spans="1:9" x14ac:dyDescent="0.2">
      <c r="A23" s="26" t="s">
        <v>98</v>
      </c>
      <c r="B23" s="48">
        <v>0</v>
      </c>
      <c r="C23" s="48">
        <v>0</v>
      </c>
      <c r="D23" s="48">
        <v>0</v>
      </c>
      <c r="E23" s="48">
        <v>0</v>
      </c>
      <c r="F23" s="48">
        <v>0</v>
      </c>
      <c r="G23" s="49">
        <f t="shared" si="0"/>
        <v>0</v>
      </c>
      <c r="H23" s="27">
        <f>SUMIFS('SIMULARE PE PRODUS'!$F$6:$F$243,'SIMULARE PE PRODUS'!$C$6:$C$243,$A23)+SUMIFS('SIMULARE PE PRODUS'!$G$6:$G$243,'SIMULARE PE PRODUS'!$C$6:$C$243,$A23)</f>
        <v>738</v>
      </c>
      <c r="I23" s="41">
        <f>IFERROR(SUMIFS('SIMULARE PE PRODUS'!T$6:T$243,'SIMULARE PE PRODUS'!$C$6:$C$243,$A23)/$H23,"")</f>
        <v>24.395883688566613</v>
      </c>
    </row>
    <row r="24" spans="1:9" x14ac:dyDescent="0.2">
      <c r="A24" s="26" t="s">
        <v>99</v>
      </c>
      <c r="B24" s="48">
        <v>0</v>
      </c>
      <c r="C24" s="48">
        <v>0</v>
      </c>
      <c r="D24" s="48">
        <v>0</v>
      </c>
      <c r="E24" s="48">
        <v>0</v>
      </c>
      <c r="F24" s="48">
        <v>0</v>
      </c>
      <c r="G24" s="49">
        <f t="shared" si="0"/>
        <v>0</v>
      </c>
      <c r="H24" s="27">
        <f>SUMIFS('SIMULARE PE PRODUS'!$F$6:$F$243,'SIMULARE PE PRODUS'!$C$6:$C$243,$A24)+SUMIFS('SIMULARE PE PRODUS'!$G$6:$G$243,'SIMULARE PE PRODUS'!$C$6:$C$243,$A24)</f>
        <v>992</v>
      </c>
      <c r="I24" s="41">
        <f>IFERROR(SUMIFS('SIMULARE PE PRODUS'!T$6:T$243,'SIMULARE PE PRODUS'!$C$6:$C$243,$A24)/$H24,"")</f>
        <v>19.599208079046786</v>
      </c>
    </row>
    <row r="25" spans="1:9" x14ac:dyDescent="0.2">
      <c r="A25" s="26" t="s">
        <v>100</v>
      </c>
      <c r="B25" s="48">
        <v>0</v>
      </c>
      <c r="C25" s="48">
        <v>0</v>
      </c>
      <c r="D25" s="48">
        <v>0</v>
      </c>
      <c r="E25" s="48">
        <v>0</v>
      </c>
      <c r="F25" s="48">
        <v>0</v>
      </c>
      <c r="G25" s="49">
        <f t="shared" si="0"/>
        <v>0</v>
      </c>
      <c r="H25" s="27">
        <f>SUMIFS('SIMULARE PE PRODUS'!$F$6:$F$243,'SIMULARE PE PRODUS'!$C$6:$C$243,$A25)+SUMIFS('SIMULARE PE PRODUS'!$G$6:$G$243,'SIMULARE PE PRODUS'!$C$6:$C$243,$A25)</f>
        <v>18218</v>
      </c>
      <c r="I25" s="41">
        <f>IFERROR(SUMIFS('SIMULARE PE PRODUS'!T$6:T$243,'SIMULARE PE PRODUS'!$C$6:$C$243,$A25)/$H25,"")</f>
        <v>23.325460711562368</v>
      </c>
    </row>
    <row r="26" spans="1:9" x14ac:dyDescent="0.2">
      <c r="A26" s="26" t="s">
        <v>101</v>
      </c>
      <c r="B26" s="48">
        <v>0</v>
      </c>
      <c r="C26" s="48">
        <v>0</v>
      </c>
      <c r="D26" s="48">
        <v>0</v>
      </c>
      <c r="E26" s="48">
        <v>0</v>
      </c>
      <c r="F26" s="48">
        <v>0</v>
      </c>
      <c r="G26" s="49">
        <f t="shared" si="0"/>
        <v>0</v>
      </c>
      <c r="H26" s="27">
        <f>SUMIFS('SIMULARE PE PRODUS'!$F$6:$F$243,'SIMULARE PE PRODUS'!$C$6:$C$243,$A26)+SUMIFS('SIMULARE PE PRODUS'!$G$6:$G$243,'SIMULARE PE PRODUS'!$C$6:$C$243,$A26)</f>
        <v>78599</v>
      </c>
      <c r="I26" s="41">
        <f>IFERROR(SUMIFS('SIMULARE PE PRODUS'!T$6:T$243,'SIMULARE PE PRODUS'!$C$6:$C$243,$A26)/$H26,"")</f>
        <v>12.237632370216753</v>
      </c>
    </row>
    <row r="27" spans="1:9" x14ac:dyDescent="0.2">
      <c r="A27" s="26" t="s">
        <v>102</v>
      </c>
      <c r="B27" s="48">
        <v>0</v>
      </c>
      <c r="C27" s="48">
        <v>0</v>
      </c>
      <c r="D27" s="48">
        <v>0</v>
      </c>
      <c r="E27" s="48">
        <v>0</v>
      </c>
      <c r="F27" s="48">
        <v>0</v>
      </c>
      <c r="G27" s="49">
        <f t="shared" si="0"/>
        <v>0</v>
      </c>
      <c r="H27" s="27">
        <f>SUMIFS('SIMULARE PE PRODUS'!$F$6:$F$243,'SIMULARE PE PRODUS'!$C$6:$C$243,$A27)+SUMIFS('SIMULARE PE PRODUS'!$G$6:$G$243,'SIMULARE PE PRODUS'!$C$6:$C$243,$A27)</f>
        <v>57491</v>
      </c>
      <c r="I27" s="41">
        <f>IFERROR(SUMIFS('SIMULARE PE PRODUS'!T$6:T$243,'SIMULARE PE PRODUS'!$C$6:$C$243,$A27)/$H27,"")</f>
        <v>8.2100972796212055</v>
      </c>
    </row>
    <row r="28" spans="1:9" x14ac:dyDescent="0.2">
      <c r="A28" s="26" t="s">
        <v>103</v>
      </c>
      <c r="B28" s="48">
        <v>0</v>
      </c>
      <c r="C28" s="48">
        <v>0</v>
      </c>
      <c r="D28" s="48">
        <v>0</v>
      </c>
      <c r="E28" s="48">
        <v>0</v>
      </c>
      <c r="F28" s="48">
        <v>0</v>
      </c>
      <c r="G28" s="49">
        <f t="shared" si="0"/>
        <v>0</v>
      </c>
      <c r="H28" s="27">
        <f>SUMIFS('SIMULARE PE PRODUS'!$F$6:$F$243,'SIMULARE PE PRODUS'!$C$6:$C$243,$A28)+SUMIFS('SIMULARE PE PRODUS'!$G$6:$G$243,'SIMULARE PE PRODUS'!$C$6:$C$243,$A28)</f>
        <v>46929</v>
      </c>
      <c r="I28" s="41">
        <f>IFERROR(SUMIFS('SIMULARE PE PRODUS'!T$6:T$243,'SIMULARE PE PRODUS'!$C$6:$C$243,$A28)/$H28,"")</f>
        <v>8.1434847331356384</v>
      </c>
    </row>
    <row r="29" spans="1:9" x14ac:dyDescent="0.2">
      <c r="A29" s="26" t="s">
        <v>104</v>
      </c>
      <c r="B29" s="48">
        <v>0</v>
      </c>
      <c r="C29" s="48">
        <v>0</v>
      </c>
      <c r="D29" s="48">
        <v>0</v>
      </c>
      <c r="E29" s="48">
        <v>0</v>
      </c>
      <c r="F29" s="48">
        <v>0</v>
      </c>
      <c r="G29" s="49">
        <f t="shared" si="0"/>
        <v>0</v>
      </c>
      <c r="H29" s="27">
        <f>SUMIFS('SIMULARE PE PRODUS'!$F$6:$F$243,'SIMULARE PE PRODUS'!$C$6:$C$243,$A29)+SUMIFS('SIMULARE PE PRODUS'!$G$6:$G$243,'SIMULARE PE PRODUS'!$C$6:$C$243,$A29)</f>
        <v>4628</v>
      </c>
      <c r="I29" s="41">
        <f>IFERROR(SUMIFS('SIMULARE PE PRODUS'!T$6:T$243,'SIMULARE PE PRODUS'!$C$6:$C$243,$A29)/$H29,"")</f>
        <v>12.100567422068954</v>
      </c>
    </row>
    <row r="30" spans="1:9" x14ac:dyDescent="0.2">
      <c r="A30" s="26" t="s">
        <v>105</v>
      </c>
      <c r="B30" s="48">
        <v>0</v>
      </c>
      <c r="C30" s="48">
        <v>0</v>
      </c>
      <c r="D30" s="48">
        <v>0</v>
      </c>
      <c r="E30" s="48">
        <v>0</v>
      </c>
      <c r="F30" s="48">
        <v>0</v>
      </c>
      <c r="G30" s="49">
        <f t="shared" si="0"/>
        <v>0</v>
      </c>
      <c r="H30" s="27">
        <f>SUMIFS('SIMULARE PE PRODUS'!$F$6:$F$243,'SIMULARE PE PRODUS'!$C$6:$C$243,$A30)+SUMIFS('SIMULARE PE PRODUS'!$G$6:$G$243,'SIMULARE PE PRODUS'!$C$6:$C$243,$A30)</f>
        <v>10964</v>
      </c>
      <c r="I30" s="41">
        <f>IFERROR(SUMIFS('SIMULARE PE PRODUS'!T$6:T$243,'SIMULARE PE PRODUS'!$C$6:$C$243,$A30)/$H30,"")</f>
        <v>12.332786087802504</v>
      </c>
    </row>
    <row r="31" spans="1:9" x14ac:dyDescent="0.2">
      <c r="A31" s="26" t="s">
        <v>106</v>
      </c>
      <c r="B31" s="48">
        <v>0</v>
      </c>
      <c r="C31" s="48">
        <v>0</v>
      </c>
      <c r="D31" s="48">
        <v>0</v>
      </c>
      <c r="E31" s="48">
        <v>0</v>
      </c>
      <c r="F31" s="48">
        <v>0</v>
      </c>
      <c r="G31" s="49">
        <f t="shared" si="0"/>
        <v>0</v>
      </c>
      <c r="H31" s="27">
        <f>SUMIFS('SIMULARE PE PRODUS'!$F$6:$F$243,'SIMULARE PE PRODUS'!$C$6:$C$243,$A31)+SUMIFS('SIMULARE PE PRODUS'!$G$6:$G$243,'SIMULARE PE PRODUS'!$C$6:$C$243,$A31)</f>
        <v>5192</v>
      </c>
      <c r="I31" s="41">
        <f>IFERROR(SUMIFS('SIMULARE PE PRODUS'!T$6:T$243,'SIMULARE PE PRODUS'!$C$6:$C$243,$A31)/$H31,"")</f>
        <v>3.6093296686517022</v>
      </c>
    </row>
    <row r="32" spans="1:9" x14ac:dyDescent="0.2">
      <c r="A32" s="26" t="s">
        <v>107</v>
      </c>
      <c r="B32" s="48">
        <v>0</v>
      </c>
      <c r="C32" s="48">
        <v>0</v>
      </c>
      <c r="D32" s="48">
        <v>0</v>
      </c>
      <c r="E32" s="48">
        <v>0</v>
      </c>
      <c r="F32" s="48">
        <v>0</v>
      </c>
      <c r="G32" s="49">
        <f t="shared" si="0"/>
        <v>0</v>
      </c>
      <c r="H32" s="27">
        <f>SUMIFS('SIMULARE PE PRODUS'!$F$6:$F$243,'SIMULARE PE PRODUS'!$C$6:$C$243,$A32)+SUMIFS('SIMULARE PE PRODUS'!$G$6:$G$243,'SIMULARE PE PRODUS'!$C$6:$C$243,$A32)</f>
        <v>2753</v>
      </c>
      <c r="I32" s="41">
        <f>IFERROR(SUMIFS('SIMULARE PE PRODUS'!T$6:T$243,'SIMULARE PE PRODUS'!$C$6:$C$243,$A32)/$H32,"")</f>
        <v>12.989351501883283</v>
      </c>
    </row>
    <row r="33" spans="1:9" x14ac:dyDescent="0.2">
      <c r="A33" s="26" t="s">
        <v>108</v>
      </c>
      <c r="B33" s="48">
        <v>0</v>
      </c>
      <c r="C33" s="48">
        <v>0</v>
      </c>
      <c r="D33" s="48">
        <v>0</v>
      </c>
      <c r="E33" s="48">
        <v>0</v>
      </c>
      <c r="F33" s="48">
        <v>0</v>
      </c>
      <c r="G33" s="49">
        <f t="shared" si="0"/>
        <v>0</v>
      </c>
      <c r="H33" s="27">
        <f>SUMIFS('SIMULARE PE PRODUS'!$F$6:$F$243,'SIMULARE PE PRODUS'!$C$6:$C$243,$A33)+SUMIFS('SIMULARE PE PRODUS'!$G$6:$G$243,'SIMULARE PE PRODUS'!$C$6:$C$243,$A33)</f>
        <v>875</v>
      </c>
      <c r="I33" s="41">
        <f>IFERROR(SUMIFS('SIMULARE PE PRODUS'!T$6:T$243,'SIMULARE PE PRODUS'!$C$6:$C$243,$A33)/$H33,"")</f>
        <v>17.316859716859714</v>
      </c>
    </row>
    <row r="34" spans="1:9" x14ac:dyDescent="0.2">
      <c r="A34" s="26" t="s">
        <v>109</v>
      </c>
      <c r="B34" s="48">
        <v>0</v>
      </c>
      <c r="C34" s="48">
        <v>0</v>
      </c>
      <c r="D34" s="48">
        <v>0</v>
      </c>
      <c r="E34" s="48">
        <v>0</v>
      </c>
      <c r="F34" s="48">
        <v>0</v>
      </c>
      <c r="G34" s="49">
        <f t="shared" si="0"/>
        <v>0</v>
      </c>
      <c r="H34" s="27">
        <f>SUMIFS('SIMULARE PE PRODUS'!$F$6:$F$243,'SIMULARE PE PRODUS'!$C$6:$C$243,$A34)+SUMIFS('SIMULARE PE PRODUS'!$G$6:$G$243,'SIMULARE PE PRODUS'!$C$6:$C$243,$A34)</f>
        <v>1411</v>
      </c>
      <c r="I34" s="41">
        <f>IFERROR(SUMIFS('SIMULARE PE PRODUS'!T$6:T$243,'SIMULARE PE PRODUS'!$C$6:$C$243,$A34)/$H34,"")</f>
        <v>35.13513513513513</v>
      </c>
    </row>
    <row r="35" spans="1:9" x14ac:dyDescent="0.2">
      <c r="A35" s="26" t="s">
        <v>110</v>
      </c>
      <c r="B35" s="48">
        <v>0</v>
      </c>
      <c r="C35" s="48">
        <v>0</v>
      </c>
      <c r="D35" s="48">
        <v>0</v>
      </c>
      <c r="E35" s="48">
        <v>0</v>
      </c>
      <c r="F35" s="48">
        <v>0</v>
      </c>
      <c r="G35" s="49">
        <f t="shared" si="0"/>
        <v>0</v>
      </c>
      <c r="H35" s="27">
        <f>SUMIFS('SIMULARE PE PRODUS'!$F$6:$F$243,'SIMULARE PE PRODUS'!$C$6:$C$243,$A35)+SUMIFS('SIMULARE PE PRODUS'!$G$6:$G$243,'SIMULARE PE PRODUS'!$C$6:$C$243,$A35)</f>
        <v>918</v>
      </c>
      <c r="I35" s="41">
        <f>IFERROR(SUMIFS('SIMULARE PE PRODUS'!T$6:T$243,'SIMULARE PE PRODUS'!$C$6:$C$243,$A35)/$H35,"")</f>
        <v>27.288896739877131</v>
      </c>
    </row>
    <row r="36" spans="1:9" x14ac:dyDescent="0.2">
      <c r="A36" s="26" t="s">
        <v>111</v>
      </c>
      <c r="B36" s="48">
        <v>0</v>
      </c>
      <c r="C36" s="48">
        <v>0</v>
      </c>
      <c r="D36" s="48">
        <v>0</v>
      </c>
      <c r="E36" s="48">
        <v>0</v>
      </c>
      <c r="F36" s="48">
        <v>0</v>
      </c>
      <c r="G36" s="49">
        <f t="shared" si="0"/>
        <v>0</v>
      </c>
      <c r="H36" s="27">
        <f>SUMIFS('SIMULARE PE PRODUS'!$F$6:$F$243,'SIMULARE PE PRODUS'!$C$6:$C$243,$A36)+SUMIFS('SIMULARE PE PRODUS'!$G$6:$G$243,'SIMULARE PE PRODUS'!$C$6:$C$243,$A36)</f>
        <v>63</v>
      </c>
      <c r="I36" s="41">
        <f>IFERROR(SUMIFS('SIMULARE PE PRODUS'!T$6:T$243,'SIMULARE PE PRODUS'!$C$6:$C$243,$A36)/$H36,"")</f>
        <v>37.110061655516205</v>
      </c>
    </row>
    <row r="37" spans="1:9" x14ac:dyDescent="0.2">
      <c r="A37" s="26" t="s">
        <v>112</v>
      </c>
      <c r="B37" s="48">
        <v>0</v>
      </c>
      <c r="C37" s="48">
        <v>0</v>
      </c>
      <c r="D37" s="48">
        <v>0</v>
      </c>
      <c r="E37" s="48">
        <v>0</v>
      </c>
      <c r="F37" s="48">
        <v>0</v>
      </c>
      <c r="G37" s="49">
        <f t="shared" si="0"/>
        <v>0</v>
      </c>
      <c r="H37" s="27">
        <f>SUMIFS('SIMULARE PE PRODUS'!$F$6:$F$243,'SIMULARE PE PRODUS'!$C$6:$C$243,$A37)+SUMIFS('SIMULARE PE PRODUS'!$G$6:$G$243,'SIMULARE PE PRODUS'!$C$6:$C$243,$A37)</f>
        <v>82680</v>
      </c>
      <c r="I37" s="41">
        <f>IFERROR(SUMIFS('SIMULARE PE PRODUS'!T$6:T$243,'SIMULARE PE PRODUS'!$C$6:$C$243,$A37)/$H37,"")</f>
        <v>0.77764538849444509</v>
      </c>
    </row>
    <row r="38" spans="1:9" x14ac:dyDescent="0.2">
      <c r="A38" s="26" t="s">
        <v>113</v>
      </c>
      <c r="B38" s="48">
        <v>0</v>
      </c>
      <c r="C38" s="48">
        <v>0</v>
      </c>
      <c r="D38" s="48">
        <v>0</v>
      </c>
      <c r="E38" s="48">
        <v>0</v>
      </c>
      <c r="F38" s="48">
        <v>0</v>
      </c>
      <c r="G38" s="49">
        <f t="shared" si="0"/>
        <v>0</v>
      </c>
      <c r="H38" s="27">
        <f>SUMIFS('SIMULARE PE PRODUS'!$F$6:$F$243,'SIMULARE PE PRODUS'!$C$6:$C$243,$A38)+SUMIFS('SIMULARE PE PRODUS'!$G$6:$G$243,'SIMULARE PE PRODUS'!$C$6:$C$243,$A38)</f>
        <v>6124</v>
      </c>
      <c r="I38" s="41">
        <f>IFERROR(SUMIFS('SIMULARE PE PRODUS'!T$6:T$243,'SIMULARE PE PRODUS'!$C$6:$C$243,$A38)/$H38,"")</f>
        <v>0.41322314049586778</v>
      </c>
    </row>
    <row r="40" spans="1:9" x14ac:dyDescent="0.2">
      <c r="A40" s="14" t="s">
        <v>362</v>
      </c>
      <c r="B40" s="15"/>
      <c r="C40" s="15"/>
      <c r="D40" s="15"/>
      <c r="E40" s="15"/>
      <c r="F40" s="15"/>
      <c r="G40" s="15"/>
      <c r="H40" s="15"/>
      <c r="I40" s="15"/>
    </row>
    <row r="41" spans="1:9" x14ac:dyDescent="0.2">
      <c r="B41" s="44" t="s">
        <v>348</v>
      </c>
      <c r="C41" s="44" t="s">
        <v>349</v>
      </c>
      <c r="D41" s="44" t="s">
        <v>350</v>
      </c>
      <c r="E41" s="44" t="s">
        <v>351</v>
      </c>
      <c r="F41" s="44" t="s">
        <v>352</v>
      </c>
    </row>
    <row r="42" spans="1:9" x14ac:dyDescent="0.2">
      <c r="A42" s="26" t="s">
        <v>78</v>
      </c>
      <c r="B42" s="27">
        <f>SUMPRODUCT(ISNUMBER('SIMULARE PE PRODUS'!$A$6:$A$243)*('SIMULARE PE PRODUS'!$D$6:$D$243&gt;0)*'SIMULARE PE PRODUS'!T$6:T$243)*B10*$B$5*B14+SUMPRODUCT(ISNUMBER('SIMULARE PE PRODUS'!$A$6:$A$243)*('SIMULARE PE PRODUS'!$D$6:$D$243=0)*'SIMULARE PE PRODUS'!T$6:T$243)</f>
        <v>19821304.39821877</v>
      </c>
      <c r="C42" s="27">
        <f>SUMPRODUCT(ISNUMBER('SIMULARE PE PRODUS'!$A$6:$A$243)*('SIMULARE PE PRODUS'!$D$6:$D$243&gt;0)*'SIMULARE PE PRODUS'!AB$6:AB$243)*C10*$B$5*C14</f>
        <v>17851023.073422492</v>
      </c>
      <c r="D42" s="27">
        <f>SUMPRODUCT(ISNUMBER('SIMULARE PE PRODUS'!$A$6:$A$243)*('SIMULARE PE PRODUS'!$D$6:$D$243&gt;0)*'SIMULARE PE PRODUS'!AJ$6:AJ$243)*D10*$B$5*D14</f>
        <v>19590131.169562165</v>
      </c>
      <c r="E42" s="27">
        <f>SUMPRODUCT(ISNUMBER('SIMULARE PE PRODUS'!$A$6:$A$243)*('SIMULARE PE PRODUS'!$D$6:$D$243&gt;0)*'SIMULARE PE PRODUS'!AR$6:AR$243)*E10*$B$5*E14</f>
        <v>18889182.740574136</v>
      </c>
      <c r="F42" s="27">
        <f>SUMPRODUCT(ISNUMBER('SIMULARE PE PRODUS'!$A$6:$A$243)*('SIMULARE PE PRODUS'!$D$6:$D$243&gt;0)*'SIMULARE PE PRODUS'!AZ$6:AZ$243)*F10*$B$5*F14</f>
        <v>24310694.088115249</v>
      </c>
    </row>
    <row r="43" spans="1:9" x14ac:dyDescent="0.2">
      <c r="A43" s="26" t="s">
        <v>79</v>
      </c>
      <c r="B43" s="27">
        <f>SUMPRODUCT(ISNUMBER('SIMULARE PE PRODUS'!$A$6:$A$243)*('SIMULARE PE PRODUS'!$D$6:$D$243&gt;0)*'SIMULARE PE PRODUS'!$L$6:$L$243)*B10*$B$5*B14+SUMPRODUCT(ISNUMBER('SIMULARE PE PRODUS'!$A$6:$A$243)*('SIMULARE PE PRODUS'!$D$6:$D$243=0)*'SIMULARE PE PRODUS'!$L$6:$L$243)</f>
        <v>9076560.7939938698</v>
      </c>
      <c r="C43" s="27">
        <f>SUMPRODUCT(ISNUMBER('SIMULARE PE PRODUS'!$A$6:$A$243)*('SIMULARE PE PRODUS'!$D$6:$D$243&gt;0)*'SIMULARE PE PRODUS'!$L$6:$L$243)*C10*$B$5*C14</f>
        <v>7958313.1463959934</v>
      </c>
      <c r="D43" s="27">
        <f>SUMPRODUCT(ISNUMBER('SIMULARE PE PRODUS'!$A$6:$A$243)*('SIMULARE PE PRODUS'!$D$6:$D$243&gt;0)*'SIMULARE PE PRODUS'!$L$6:$L$243)*D10*$B$5*D14</f>
        <v>8655236.3664764687</v>
      </c>
      <c r="E43" s="27">
        <f>SUMPRODUCT(ISNUMBER('SIMULARE PE PRODUS'!$A$6:$A$243)*('SIMULARE PE PRODUS'!$D$6:$D$243&gt;0)*'SIMULARE PE PRODUS'!$L$6:$L$243)*E10*$B$5*E14</f>
        <v>8227760.4776551798</v>
      </c>
      <c r="F43" s="27">
        <f>SUMPRODUCT(ISNUMBER('SIMULARE PE PRODUS'!$A$6:$A$243)*('SIMULARE PE PRODUS'!$D$6:$D$243&gt;0)*'SIMULARE PE PRODUS'!$L$6:$L$243)*F10*$B$5*F14</f>
        <v>10290486.74974273</v>
      </c>
    </row>
    <row r="44" spans="1:9" x14ac:dyDescent="0.2">
      <c r="A44" s="26" t="s">
        <v>363</v>
      </c>
      <c r="B44" s="27">
        <f>ECONOMII!E20*B14</f>
        <v>0</v>
      </c>
      <c r="C44" s="27">
        <f>ECONOMII!F20*C14</f>
        <v>75236.15121750001</v>
      </c>
      <c r="D44" s="27">
        <f>ECONOMII!G20*D14</f>
        <v>205291.74264449999</v>
      </c>
      <c r="E44" s="27">
        <f>ECONOMII!H20*E14</f>
        <v>201657.61574850001</v>
      </c>
      <c r="F44" s="27">
        <f>ECONOMII!I20*F14</f>
        <v>244077.90475800002</v>
      </c>
    </row>
    <row r="45" spans="1:9" ht="16" x14ac:dyDescent="0.2">
      <c r="A45" s="50" t="s">
        <v>364</v>
      </c>
      <c r="B45" s="51">
        <f>(B43-B44)/B42</f>
        <v>0.45791944927749206</v>
      </c>
      <c r="C45" s="51">
        <f>(C43-C44)/C42</f>
        <v>0.44160365278532515</v>
      </c>
      <c r="D45" s="51">
        <f>(D43-D44)/D42</f>
        <v>0.43133680681837022</v>
      </c>
      <c r="E45" s="51">
        <f>(E43-E44)/E42</f>
        <v>0.42490471780266792</v>
      </c>
      <c r="F45" s="51">
        <f>(F43-F44)/F42</f>
        <v>0.41325059698300054</v>
      </c>
    </row>
    <row r="46" spans="1:9" x14ac:dyDescent="0.2">
      <c r="A46" s="26" t="s">
        <v>365</v>
      </c>
      <c r="B46" s="52">
        <f>B43/B42</f>
        <v>0.45791944927749206</v>
      </c>
      <c r="C46" s="52">
        <f>C43/C42</f>
        <v>0.44581832165377311</v>
      </c>
      <c r="D46" s="52">
        <f>D43/D42</f>
        <v>0.44181615179404188</v>
      </c>
      <c r="E46" s="52">
        <f>E43/E42</f>
        <v>0.43558054314239203</v>
      </c>
      <c r="F46" s="52">
        <f>F43/F42</f>
        <v>0.42329053676725059</v>
      </c>
    </row>
    <row r="47" spans="1:9" x14ac:dyDescent="0.2">
      <c r="A47" s="53" t="s">
        <v>366</v>
      </c>
      <c r="B47" s="54">
        <f>B46-B45</f>
        <v>0</v>
      </c>
      <c r="C47" s="54">
        <f>C46-C45</f>
        <v>4.2146688684479572E-3</v>
      </c>
      <c r="D47" s="54">
        <f>D46-D45</f>
        <v>1.0479344975671656E-2</v>
      </c>
      <c r="E47" s="54">
        <f>E46-E45</f>
        <v>1.067582533972411E-2</v>
      </c>
      <c r="F47" s="54">
        <f>F46-F45</f>
        <v>1.0039939784250052E-2</v>
      </c>
    </row>
    <row r="48" spans="1:9" ht="16" x14ac:dyDescent="0.2">
      <c r="A48" s="26" t="s">
        <v>367</v>
      </c>
      <c r="B48" s="55">
        <f>B42-(B43-B44)</f>
        <v>10744743.6042249</v>
      </c>
      <c r="C48" s="55">
        <f>C42-(C43-C44)</f>
        <v>9967946.0782439969</v>
      </c>
      <c r="D48" s="55">
        <f>D42-(D43-D44)</f>
        <v>11140186.545730196</v>
      </c>
      <c r="E48" s="55">
        <f>E42-(E43-E44)</f>
        <v>10863079.878667457</v>
      </c>
      <c r="F48" s="55">
        <f>F42-(F43-F44)</f>
        <v>14264285.24313052</v>
      </c>
    </row>
    <row r="50" spans="1:8" ht="28" x14ac:dyDescent="0.3">
      <c r="A50" s="50" t="s">
        <v>368</v>
      </c>
      <c r="C50" s="56">
        <f>B45</f>
        <v>0.45791944927749206</v>
      </c>
      <c r="F50" s="50" t="s">
        <v>369</v>
      </c>
      <c r="H50" s="56">
        <f>F46</f>
        <v>0.42329053676725059</v>
      </c>
    </row>
  </sheetData>
  <mergeCells count="2">
    <mergeCell ref="A1:I1"/>
    <mergeCell ref="A2:I2"/>
  </mergeCells>
  <conditionalFormatting sqref="B45:F45">
    <cfRule type="cellIs" dxfId="32" priority="2" operator="greaterThan">
      <formula>0.55</formula>
    </cfRule>
    <cfRule type="cellIs" dxfId="31" priority="3" operator="between">
      <formula>0.45</formula>
      <formula>0.55</formula>
    </cfRule>
    <cfRule type="cellIs" dxfId="30" priority="4" operator="lessThan">
      <formula>0.45</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03"/>
  <sheetViews>
    <sheetView zoomScale="219" zoomScaleNormal="100" workbookViewId="0">
      <pane xSplit="2" ySplit="5" topLeftCell="P182" activePane="bottomRight" state="frozen"/>
      <selection pane="topRight" activeCell="C1" sqref="C1"/>
      <selection pane="bottomLeft" activeCell="A7" sqref="A7"/>
      <selection pane="bottomRight" activeCell="Y184" sqref="Y184"/>
    </sheetView>
  </sheetViews>
  <sheetFormatPr baseColWidth="10" defaultColWidth="8.6640625" defaultRowHeight="15" x14ac:dyDescent="0.2"/>
  <cols>
    <col min="1" max="1" width="5" customWidth="1"/>
    <col min="2" max="2" width="38" customWidth="1"/>
    <col min="3" max="3" width="20" customWidth="1"/>
    <col min="4" max="5" width="9" customWidth="1"/>
    <col min="6" max="6" width="13.5" customWidth="1"/>
    <col min="7" max="8" width="7" customWidth="1"/>
    <col min="9" max="10" width="8" customWidth="1"/>
    <col min="11" max="11" width="12.1640625" customWidth="1"/>
    <col min="12" max="13" width="7" customWidth="1"/>
    <col min="14" max="15" width="8" customWidth="1"/>
    <col min="16" max="16" width="12.5" customWidth="1"/>
    <col min="17" max="18" width="7" customWidth="1"/>
    <col min="19" max="20" width="8" customWidth="1"/>
    <col min="21" max="21" width="10.83203125" customWidth="1"/>
    <col min="22" max="23" width="7" customWidth="1"/>
    <col min="24" max="25" width="8" customWidth="1"/>
    <col min="26" max="26" width="11.83203125" customWidth="1"/>
    <col min="27" max="28" width="7" customWidth="1"/>
  </cols>
  <sheetData>
    <row r="1" spans="1:28" ht="19" x14ac:dyDescent="0.2">
      <c r="A1" s="107" t="s">
        <v>370</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row>
    <row r="2" spans="1:28" ht="30" customHeight="1" x14ac:dyDescent="0.2">
      <c r="B2" s="108" t="s">
        <v>371</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row>
    <row r="3" spans="1:28" x14ac:dyDescent="0.2">
      <c r="A3" s="15"/>
      <c r="B3" s="14" t="s">
        <v>372</v>
      </c>
      <c r="C3" s="15"/>
      <c r="D3" s="15"/>
      <c r="E3" s="57" t="s">
        <v>373</v>
      </c>
      <c r="F3" s="31">
        <f>SCENARIU!B45</f>
        <v>0.45791944927749206</v>
      </c>
      <c r="G3" s="15"/>
      <c r="H3" s="15"/>
      <c r="I3" s="15"/>
      <c r="J3" s="57" t="s">
        <v>374</v>
      </c>
      <c r="K3" s="31">
        <f>SCENARIU!C45</f>
        <v>0.44160365278532515</v>
      </c>
      <c r="L3" s="15"/>
      <c r="M3" s="15"/>
      <c r="N3" s="15"/>
      <c r="O3" s="57" t="s">
        <v>375</v>
      </c>
      <c r="P3" s="31">
        <f>SCENARIU!D45</f>
        <v>0.43133680681837022</v>
      </c>
      <c r="Q3" s="15"/>
      <c r="R3" s="15"/>
      <c r="S3" s="15"/>
      <c r="T3" s="57" t="s">
        <v>376</v>
      </c>
      <c r="U3" s="31">
        <f>SCENARIU!E45</f>
        <v>0.42490471780266792</v>
      </c>
      <c r="V3" s="15"/>
      <c r="W3" s="15"/>
      <c r="X3" s="15"/>
      <c r="Y3" s="57" t="s">
        <v>377</v>
      </c>
      <c r="Z3" s="31">
        <f>SCENARIU!F45</f>
        <v>0.41325059698300054</v>
      </c>
      <c r="AA3" s="15"/>
      <c r="AB3" s="15"/>
    </row>
    <row r="4" spans="1:28" x14ac:dyDescent="0.2">
      <c r="D4" s="116" t="s">
        <v>378</v>
      </c>
      <c r="E4" s="116"/>
      <c r="F4" s="116"/>
      <c r="G4" s="116"/>
      <c r="H4" s="116"/>
      <c r="I4" s="116" t="s">
        <v>379</v>
      </c>
      <c r="J4" s="116"/>
      <c r="K4" s="116"/>
      <c r="L4" s="116"/>
      <c r="M4" s="116"/>
      <c r="N4" s="116" t="s">
        <v>380</v>
      </c>
      <c r="O4" s="116"/>
      <c r="P4" s="116"/>
      <c r="Q4" s="116"/>
      <c r="R4" s="116"/>
      <c r="S4" s="116" t="s">
        <v>381</v>
      </c>
      <c r="T4" s="116"/>
      <c r="U4" s="116"/>
      <c r="V4" s="116"/>
      <c r="W4" s="116"/>
      <c r="X4" s="116" t="s">
        <v>382</v>
      </c>
      <c r="Y4" s="116"/>
      <c r="Z4" s="116"/>
      <c r="AA4" s="116"/>
      <c r="AB4" s="116"/>
    </row>
    <row r="5" spans="1:28" ht="27.75" customHeight="1" x14ac:dyDescent="0.2">
      <c r="A5" s="58" t="s">
        <v>139</v>
      </c>
      <c r="B5" s="58" t="s">
        <v>140</v>
      </c>
      <c r="C5" s="58" t="s">
        <v>84</v>
      </c>
      <c r="D5" s="58" t="s">
        <v>383</v>
      </c>
      <c r="E5" s="58" t="s">
        <v>384</v>
      </c>
      <c r="F5" s="58" t="s">
        <v>385</v>
      </c>
      <c r="G5" s="58" t="s">
        <v>386</v>
      </c>
      <c r="H5" s="58" t="s">
        <v>387</v>
      </c>
      <c r="I5" s="58" t="s">
        <v>388</v>
      </c>
      <c r="J5" s="58" t="s">
        <v>389</v>
      </c>
      <c r="K5" s="58" t="s">
        <v>390</v>
      </c>
      <c r="L5" s="58" t="s">
        <v>391</v>
      </c>
      <c r="M5" s="58" t="s">
        <v>392</v>
      </c>
      <c r="N5" s="58" t="s">
        <v>388</v>
      </c>
      <c r="O5" s="58" t="s">
        <v>389</v>
      </c>
      <c r="P5" s="58" t="s">
        <v>390</v>
      </c>
      <c r="Q5" s="58" t="s">
        <v>391</v>
      </c>
      <c r="R5" s="58" t="s">
        <v>392</v>
      </c>
      <c r="S5" s="58" t="s">
        <v>388</v>
      </c>
      <c r="T5" s="58" t="s">
        <v>389</v>
      </c>
      <c r="U5" s="58" t="s">
        <v>390</v>
      </c>
      <c r="V5" s="58" t="s">
        <v>391</v>
      </c>
      <c r="W5" s="58" t="s">
        <v>392</v>
      </c>
      <c r="X5" s="58" t="s">
        <v>388</v>
      </c>
      <c r="Y5" s="58" t="s">
        <v>389</v>
      </c>
      <c r="Z5" s="58" t="s">
        <v>390</v>
      </c>
      <c r="AA5" s="58" t="s">
        <v>391</v>
      </c>
      <c r="AB5" s="58" t="s">
        <v>392</v>
      </c>
    </row>
    <row r="6" spans="1:28" x14ac:dyDescent="0.2">
      <c r="A6" s="26">
        <v>1</v>
      </c>
      <c r="B6" s="26" t="s">
        <v>142</v>
      </c>
      <c r="C6" s="26" t="s">
        <v>101</v>
      </c>
      <c r="D6" s="41">
        <f>'SIMULARE PE PRODUS'!P69</f>
        <v>12.4</v>
      </c>
      <c r="E6" s="41">
        <f>'SIMULARE PE PRODUS'!Q69</f>
        <v>14.99</v>
      </c>
      <c r="F6" s="28">
        <f>'SIMULARE PE PRODUS'!U69</f>
        <v>0.32519689837589988</v>
      </c>
      <c r="G6" s="28">
        <f>'SIMULARE PE PRODUS'!V69</f>
        <v>0.33364647087483873</v>
      </c>
      <c r="H6" s="28">
        <f>'SIMULARE PE PRODUS'!W69</f>
        <v>0.27599841486644433</v>
      </c>
      <c r="I6" s="59">
        <v>0</v>
      </c>
      <c r="J6" s="59">
        <v>0.5</v>
      </c>
      <c r="K6" s="60">
        <f>'SIMULARE PE PRODUS'!AC69</f>
        <v>0.31665229577530718</v>
      </c>
      <c r="L6" s="60">
        <f>'SIMULARE PE PRODUS'!AD69</f>
        <v>0.32705266710260872</v>
      </c>
      <c r="M6" s="60">
        <f>'SIMULARE PE PRODUS'!AE69</f>
        <v>0.25873772600675427</v>
      </c>
      <c r="N6" s="59">
        <v>0</v>
      </c>
      <c r="O6" s="59">
        <v>0</v>
      </c>
      <c r="P6" s="61">
        <f>'SIMULARE PE PRODUS'!AK69</f>
        <v>0.31665229577530718</v>
      </c>
      <c r="Q6" s="61">
        <f>'SIMULARE PE PRODUS'!AL69</f>
        <v>0.32705266710260872</v>
      </c>
      <c r="R6" s="61">
        <f>'SIMULARE PE PRODUS'!AM69</f>
        <v>0.25873772600675427</v>
      </c>
      <c r="S6" s="59">
        <v>0</v>
      </c>
      <c r="T6" s="59">
        <v>0</v>
      </c>
      <c r="U6" s="62">
        <f>'SIMULARE PE PRODUS'!AS69</f>
        <v>0.31143448506823268</v>
      </c>
      <c r="V6" s="62">
        <f>'SIMULARE PE PRODUS'!AT69</f>
        <v>0.32071443712000003</v>
      </c>
      <c r="W6" s="62">
        <f>'SIMULARE PE PRODUS'!AU69</f>
        <v>0.25873772600675427</v>
      </c>
      <c r="X6" s="59">
        <v>0</v>
      </c>
      <c r="Y6" s="59">
        <v>-1</v>
      </c>
      <c r="Z6" s="63">
        <f>'SIMULARE PE PRODUS'!BA69</f>
        <v>0.29055945184562471</v>
      </c>
      <c r="AA6" s="63">
        <f>'SIMULARE PE PRODUS'!BB69</f>
        <v>0.29572667897412441</v>
      </c>
      <c r="AB6" s="63">
        <f>'SIMULARE PE PRODUS'!BC69</f>
        <v>0.25873772600675427</v>
      </c>
    </row>
    <row r="7" spans="1:28" x14ac:dyDescent="0.2">
      <c r="A7" s="26">
        <v>2</v>
      </c>
      <c r="B7" s="26" t="s">
        <v>143</v>
      </c>
      <c r="C7" s="26" t="s">
        <v>96</v>
      </c>
      <c r="D7" s="41">
        <f>'SIMULARE PE PRODUS'!P21</f>
        <v>28.99</v>
      </c>
      <c r="E7" s="41">
        <f>'SIMULARE PE PRODUS'!Q21</f>
        <v>32.49</v>
      </c>
      <c r="F7" s="28">
        <f>'SIMULARE PE PRODUS'!U21</f>
        <v>0.46472147508493267</v>
      </c>
      <c r="G7" s="28">
        <f>'SIMULARE PE PRODUS'!V21</f>
        <v>0.48580746271127978</v>
      </c>
      <c r="H7" s="28">
        <f>'SIMULARE PE PRODUS'!W21</f>
        <v>0.43347363324099719</v>
      </c>
      <c r="I7" s="59">
        <v>0</v>
      </c>
      <c r="J7" s="59">
        <v>0</v>
      </c>
      <c r="K7" s="60">
        <f>'SIMULARE PE PRODUS'!AC21</f>
        <v>0.45717861150156835</v>
      </c>
      <c r="L7" s="60">
        <f>'SIMULARE PE PRODUS'!AD21</f>
        <v>0.47757064577823</v>
      </c>
      <c r="M7" s="60">
        <f>'SIMULARE PE PRODUS'!AE21</f>
        <v>0.42690386007881176</v>
      </c>
      <c r="N7" s="59">
        <v>0</v>
      </c>
      <c r="O7" s="59">
        <v>0</v>
      </c>
      <c r="P7" s="61">
        <f>'SIMULARE PE PRODUS'!AK21</f>
        <v>0.45717861150156835</v>
      </c>
      <c r="Q7" s="61">
        <f>'SIMULARE PE PRODUS'!AL21</f>
        <v>0.47757064577823</v>
      </c>
      <c r="R7" s="61">
        <f>'SIMULARE PE PRODUS'!AM21</f>
        <v>0.42690386007881176</v>
      </c>
      <c r="S7" s="59">
        <v>0</v>
      </c>
      <c r="T7" s="59">
        <v>0</v>
      </c>
      <c r="U7" s="62">
        <f>'SIMULARE PE PRODUS'!AS21</f>
        <v>0.44987669260269014</v>
      </c>
      <c r="V7" s="62">
        <f>'SIMULARE PE PRODUS'!AT21</f>
        <v>0.46960848096032015</v>
      </c>
      <c r="W7" s="62">
        <f>'SIMULARE PE PRODUS'!AU21</f>
        <v>0.42053025810689759</v>
      </c>
      <c r="X7" s="59">
        <v>0</v>
      </c>
      <c r="Y7" s="59">
        <v>0</v>
      </c>
      <c r="Z7" s="63">
        <f>'SIMULARE PE PRODUS'!BA21</f>
        <v>0.44987669260269014</v>
      </c>
      <c r="AA7" s="63">
        <f>'SIMULARE PE PRODUS'!BB21</f>
        <v>0.46960848096032015</v>
      </c>
      <c r="AB7" s="63">
        <f>'SIMULARE PE PRODUS'!BC21</f>
        <v>0.42053025810689759</v>
      </c>
    </row>
    <row r="8" spans="1:28" x14ac:dyDescent="0.2">
      <c r="A8" s="26">
        <v>3</v>
      </c>
      <c r="B8" s="26" t="s">
        <v>146</v>
      </c>
      <c r="C8" s="26" t="s">
        <v>94</v>
      </c>
      <c r="D8" s="41">
        <f>'SIMULARE PE PRODUS'!P7</f>
        <v>17.989999999999998</v>
      </c>
      <c r="E8" s="41">
        <f>'SIMULARE PE PRODUS'!Q7</f>
        <v>19.989999999999998</v>
      </c>
      <c r="F8" s="28">
        <f>'SIMULARE PE PRODUS'!U7</f>
        <v>0.65551133082751478</v>
      </c>
      <c r="G8" s="28">
        <f>'SIMULARE PE PRODUS'!V7</f>
        <v>0.69670961539744314</v>
      </c>
      <c r="H8" s="28">
        <f>'SIMULARE PE PRODUS'!W7</f>
        <v>0.62700380095047537</v>
      </c>
      <c r="I8" s="59">
        <v>0</v>
      </c>
      <c r="J8" s="59">
        <v>0</v>
      </c>
      <c r="K8" s="60">
        <f>'SIMULARE PE PRODUS'!AC7</f>
        <v>0.65551133082751478</v>
      </c>
      <c r="L8" s="60">
        <f>'SIMULARE PE PRODUS'!AD7</f>
        <v>0.69670961539744314</v>
      </c>
      <c r="M8" s="60">
        <f>'SIMULARE PE PRODUS'!AE7</f>
        <v>0.62700380095047537</v>
      </c>
      <c r="N8" s="59">
        <v>0</v>
      </c>
      <c r="O8" s="59">
        <v>0</v>
      </c>
      <c r="P8" s="61">
        <f>'SIMULARE PE PRODUS'!AK7</f>
        <v>0.65551133082751478</v>
      </c>
      <c r="Q8" s="61">
        <f>'SIMULARE PE PRODUS'!AL7</f>
        <v>0.69670961539744314</v>
      </c>
      <c r="R8" s="61">
        <f>'SIMULARE PE PRODUS'!AM7</f>
        <v>0.62700380095047537</v>
      </c>
      <c r="S8" s="59">
        <v>0</v>
      </c>
      <c r="T8" s="59">
        <v>0</v>
      </c>
      <c r="U8" s="62">
        <f>'SIMULARE PE PRODUS'!AS7</f>
        <v>0.65551133082751478</v>
      </c>
      <c r="V8" s="62">
        <f>'SIMULARE PE PRODUS'!AT7</f>
        <v>0.69670961539744314</v>
      </c>
      <c r="W8" s="62">
        <f>'SIMULARE PE PRODUS'!AU7</f>
        <v>0.62700380095047537</v>
      </c>
      <c r="X8" s="59">
        <v>0</v>
      </c>
      <c r="Y8" s="59">
        <v>0</v>
      </c>
      <c r="Z8" s="63">
        <f>'SIMULARE PE PRODUS'!BA7</f>
        <v>0.63880670674467355</v>
      </c>
      <c r="AA8" s="63">
        <f>'SIMULARE PE PRODUS'!BB7</f>
        <v>0.67786944191454857</v>
      </c>
      <c r="AB8" s="63">
        <f>'SIMULARE PE PRODUS'!BC7</f>
        <v>0.6117035617862373</v>
      </c>
    </row>
    <row r="9" spans="1:28" x14ac:dyDescent="0.2">
      <c r="A9" s="26">
        <v>4</v>
      </c>
      <c r="B9" s="26" t="s">
        <v>144</v>
      </c>
      <c r="C9" s="26" t="s">
        <v>101</v>
      </c>
      <c r="D9" s="41">
        <f>'SIMULARE PE PRODUS'!P70</f>
        <v>15.5</v>
      </c>
      <c r="E9" s="41">
        <f>'SIMULARE PE PRODUS'!Q70</f>
        <v>14.15</v>
      </c>
      <c r="F9" s="28">
        <f>'SIMULARE PE PRODUS'!U70</f>
        <v>0.25053157591857422</v>
      </c>
      <c r="G9" s="28">
        <f>'SIMULARE PE PRODUS'!V70</f>
        <v>0.24225455670967744</v>
      </c>
      <c r="H9" s="28">
        <f>'SIMULARE PE PRODUS'!W70</f>
        <v>0.26536718226148415</v>
      </c>
      <c r="I9" s="59">
        <v>0</v>
      </c>
      <c r="J9" s="59">
        <v>1</v>
      </c>
      <c r="K9" s="60">
        <f>'SIMULARE PE PRODUS'!AC70</f>
        <v>0.23991153478109431</v>
      </c>
      <c r="L9" s="60">
        <f>'SIMULARE PE PRODUS'!AD70</f>
        <v>0.23840924628571433</v>
      </c>
      <c r="M9" s="60">
        <f>'SIMULARE PE PRODUS'!AE70</f>
        <v>0.24241095087153003</v>
      </c>
      <c r="N9" s="59">
        <v>0</v>
      </c>
      <c r="O9" s="59">
        <v>0</v>
      </c>
      <c r="P9" s="61">
        <f>'SIMULARE PE PRODUS'!AK70</f>
        <v>0.23991153478109431</v>
      </c>
      <c r="Q9" s="61">
        <f>'SIMULARE PE PRODUS'!AL70</f>
        <v>0.23840924628571433</v>
      </c>
      <c r="R9" s="61">
        <f>'SIMULARE PE PRODUS'!AM70</f>
        <v>0.24241095087153003</v>
      </c>
      <c r="S9" s="59">
        <v>0</v>
      </c>
      <c r="T9" s="59">
        <v>0</v>
      </c>
      <c r="U9" s="62">
        <f>'SIMULARE PE PRODUS'!AS70</f>
        <v>0.236647732596278</v>
      </c>
      <c r="V9" s="62">
        <f>'SIMULARE PE PRODUS'!AT70</f>
        <v>0.23468410181250005</v>
      </c>
      <c r="W9" s="62">
        <f>'SIMULARE PE PRODUS'!AU70</f>
        <v>0.23993262805111823</v>
      </c>
      <c r="X9" s="59">
        <v>0</v>
      </c>
      <c r="Y9" s="59">
        <v>0.5</v>
      </c>
      <c r="Z9" s="63">
        <f>'SIMULARE PE PRODUS'!BA70</f>
        <v>0.22100916003531493</v>
      </c>
      <c r="AA9" s="63">
        <f>'SIMULARE PE PRODUS'!BB70</f>
        <v>0.22100916003531496</v>
      </c>
      <c r="AB9" s="63">
        <f>'SIMULARE PE PRODUS'!BC70</f>
        <v>0.22100916003531487</v>
      </c>
    </row>
    <row r="10" spans="1:28" x14ac:dyDescent="0.2">
      <c r="A10" s="26">
        <v>5</v>
      </c>
      <c r="B10" s="26" t="s">
        <v>145</v>
      </c>
      <c r="C10" s="26" t="s">
        <v>96</v>
      </c>
      <c r="D10" s="41">
        <f>'SIMULARE PE PRODUS'!P22</f>
        <v>29.99</v>
      </c>
      <c r="E10" s="41">
        <f>'SIMULARE PE PRODUS'!Q22</f>
        <v>32.99</v>
      </c>
      <c r="F10" s="28">
        <f>'SIMULARE PE PRODUS'!U22</f>
        <v>0.47941308320111081</v>
      </c>
      <c r="G10" s="28">
        <f>'SIMULARE PE PRODUS'!V22</f>
        <v>0.49470931550516845</v>
      </c>
      <c r="H10" s="28">
        <f>'SIMULARE PE PRODUS'!W22</f>
        <v>0.44972210888147923</v>
      </c>
      <c r="I10" s="59">
        <v>0</v>
      </c>
      <c r="J10" s="59"/>
      <c r="K10" s="60">
        <f>'SIMULARE PE PRODUS'!AC22</f>
        <v>0.47179049394999617</v>
      </c>
      <c r="L10" s="60">
        <f>'SIMULARE PE PRODUS'!AD22</f>
        <v>0.48659666684158742</v>
      </c>
      <c r="M10" s="60">
        <f>'SIMULARE PE PRODUS'!AE22</f>
        <v>0.44300783433860852</v>
      </c>
      <c r="N10" s="59">
        <v>0</v>
      </c>
      <c r="O10" s="59">
        <v>0</v>
      </c>
      <c r="P10" s="61">
        <f>'SIMULARE PE PRODUS'!AK22</f>
        <v>0.47179049394999617</v>
      </c>
      <c r="Q10" s="61">
        <f>'SIMULARE PE PRODUS'!AL22</f>
        <v>0.48659666684158742</v>
      </c>
      <c r="R10" s="61">
        <f>'SIMULARE PE PRODUS'!AM22</f>
        <v>0.44300783433860852</v>
      </c>
      <c r="S10" s="59">
        <v>0</v>
      </c>
      <c r="T10" s="59">
        <v>0</v>
      </c>
      <c r="U10" s="62">
        <f>'SIMULARE PE PRODUS'!AS22</f>
        <v>0.4644065067979789</v>
      </c>
      <c r="V10" s="62">
        <f>'SIMULARE PE PRODUS'!AT22</f>
        <v>0.47874580096805419</v>
      </c>
      <c r="W10" s="62">
        <f>'SIMULARE PE PRODUS'!AU22</f>
        <v>0.43649109655781115</v>
      </c>
      <c r="X10" s="59">
        <v>0</v>
      </c>
      <c r="Y10" s="59">
        <v>0</v>
      </c>
      <c r="Z10" s="63">
        <f>'SIMULARE PE PRODUS'!BA22</f>
        <v>0.4644065067979789</v>
      </c>
      <c r="AA10" s="63">
        <f>'SIMULARE PE PRODUS'!BB22</f>
        <v>0.47874580096805419</v>
      </c>
      <c r="AB10" s="63">
        <f>'SIMULARE PE PRODUS'!BC22</f>
        <v>0.43649109655781115</v>
      </c>
    </row>
    <row r="11" spans="1:28" x14ac:dyDescent="0.2">
      <c r="A11" s="26">
        <v>6</v>
      </c>
      <c r="B11" s="26" t="s">
        <v>147</v>
      </c>
      <c r="C11" s="26" t="s">
        <v>94</v>
      </c>
      <c r="D11" s="41">
        <f>'SIMULARE PE PRODUS'!P8</f>
        <v>22</v>
      </c>
      <c r="E11" s="41">
        <f>'SIMULARE PE PRODUS'!Q8</f>
        <v>25</v>
      </c>
      <c r="F11" s="28">
        <f>'SIMULARE PE PRODUS'!U8</f>
        <v>0.71276965769604472</v>
      </c>
      <c r="G11" s="28">
        <f>'SIMULARE PE PRODUS'!V8</f>
        <v>0.76019863636363638</v>
      </c>
      <c r="H11" s="28">
        <f>'SIMULARE PE PRODUS'!W8</f>
        <v>0.66897479999999987</v>
      </c>
      <c r="I11" s="59">
        <v>0</v>
      </c>
      <c r="J11" s="59">
        <v>0</v>
      </c>
      <c r="K11" s="60">
        <f>'SIMULARE PE PRODUS'!AC8</f>
        <v>0.67021013985284239</v>
      </c>
      <c r="L11" s="60">
        <f>'SIMULARE PE PRODUS'!AD8</f>
        <v>0.71197828863346113</v>
      </c>
      <c r="M11" s="60">
        <f>'SIMULARE PE PRODUS'!AE8</f>
        <v>0.63134654586636463</v>
      </c>
      <c r="N11" s="59">
        <v>0</v>
      </c>
      <c r="O11" s="59">
        <v>0</v>
      </c>
      <c r="P11" s="61">
        <f>'SIMULARE PE PRODUS'!AK8</f>
        <v>0.67021013985284239</v>
      </c>
      <c r="Q11" s="61">
        <f>'SIMULARE PE PRODUS'!AL8</f>
        <v>0.71197828863346113</v>
      </c>
      <c r="R11" s="61">
        <f>'SIMULARE PE PRODUS'!AM8</f>
        <v>0.63134654586636463</v>
      </c>
      <c r="S11" s="59">
        <v>0</v>
      </c>
      <c r="T11" s="59">
        <v>0</v>
      </c>
      <c r="U11" s="62">
        <f>'SIMULARE PE PRODUS'!AS8</f>
        <v>0.67021013985284239</v>
      </c>
      <c r="V11" s="62">
        <f>'SIMULARE PE PRODUS'!AT8</f>
        <v>0.71197828863346113</v>
      </c>
      <c r="W11" s="62">
        <f>'SIMULARE PE PRODUS'!AU8</f>
        <v>0.63134654586636463</v>
      </c>
      <c r="X11" s="59">
        <v>0</v>
      </c>
      <c r="Y11" s="59">
        <v>0</v>
      </c>
      <c r="Z11" s="63">
        <f>'SIMULARE PE PRODUS'!BA8</f>
        <v>0.65704497416865848</v>
      </c>
      <c r="AA11" s="63">
        <f>'SIMULARE PE PRODUS'!BB8</f>
        <v>0.69713922467694878</v>
      </c>
      <c r="AB11" s="63">
        <f>'SIMULARE PE PRODUS'!BC8</f>
        <v>0.6196506113375323</v>
      </c>
    </row>
    <row r="12" spans="1:28" x14ac:dyDescent="0.2">
      <c r="A12" s="26">
        <v>7</v>
      </c>
      <c r="B12" s="26" t="s">
        <v>148</v>
      </c>
      <c r="C12" s="26" t="s">
        <v>96</v>
      </c>
      <c r="D12" s="41">
        <f>'SIMULARE PE PRODUS'!P23</f>
        <v>22.99</v>
      </c>
      <c r="E12" s="41">
        <f>'SIMULARE PE PRODUS'!Q23</f>
        <v>25.99</v>
      </c>
      <c r="F12" s="28">
        <f>'SIMULARE PE PRODUS'!U23</f>
        <v>0.40489226677455759</v>
      </c>
      <c r="G12" s="28">
        <f>'SIMULARE PE PRODUS'!V23</f>
        <v>0.42560278564593318</v>
      </c>
      <c r="H12" s="28">
        <f>'SIMULARE PE PRODUS'!W23</f>
        <v>0.3764758769526742</v>
      </c>
      <c r="I12" s="59">
        <v>0</v>
      </c>
      <c r="J12" s="59">
        <v>0</v>
      </c>
      <c r="K12" s="60">
        <f>'SIMULARE PE PRODUS'!AC23</f>
        <v>0.39668475408789078</v>
      </c>
      <c r="L12" s="60">
        <f>'SIMULARE PE PRODUS'!AD23</f>
        <v>0.41654355223499373</v>
      </c>
      <c r="M12" s="60">
        <f>'SIMULARE PE PRODUS'!AE23</f>
        <v>0.36936987701019264</v>
      </c>
      <c r="N12" s="59">
        <v>0</v>
      </c>
      <c r="O12" s="59">
        <v>0</v>
      </c>
      <c r="P12" s="61">
        <f>'SIMULARE PE PRODUS'!AK23</f>
        <v>0.39668475408789078</v>
      </c>
      <c r="Q12" s="61">
        <f>'SIMULARE PE PRODUS'!AL23</f>
        <v>0.41654355223499373</v>
      </c>
      <c r="R12" s="61">
        <f>'SIMULARE PE PRODUS'!AM23</f>
        <v>0.36936987701019264</v>
      </c>
      <c r="S12" s="59">
        <v>0</v>
      </c>
      <c r="T12" s="59">
        <v>0</v>
      </c>
      <c r="U12" s="62">
        <f>'SIMULARE PE PRODUS'!AS23</f>
        <v>0.38880337696387013</v>
      </c>
      <c r="V12" s="62">
        <f>'SIMULARE PE PRODUS'!AT23</f>
        <v>0.40786194422676131</v>
      </c>
      <c r="W12" s="62">
        <f>'SIMULARE PE PRODUS'!AU23</f>
        <v>0.3625271597628752</v>
      </c>
      <c r="X12" s="59">
        <v>0</v>
      </c>
      <c r="Y12" s="59">
        <v>0</v>
      </c>
      <c r="Z12" s="63">
        <f>'SIMULARE PE PRODUS'!BA23</f>
        <v>0.38880337696387013</v>
      </c>
      <c r="AA12" s="63">
        <f>'SIMULARE PE PRODUS'!BB23</f>
        <v>0.40786194422676131</v>
      </c>
      <c r="AB12" s="63">
        <f>'SIMULARE PE PRODUS'!BC23</f>
        <v>0.3625271597628752</v>
      </c>
    </row>
    <row r="13" spans="1:28" x14ac:dyDescent="0.2">
      <c r="A13" s="26">
        <v>8</v>
      </c>
      <c r="B13" s="26" t="s">
        <v>149</v>
      </c>
      <c r="C13" s="26" t="s">
        <v>96</v>
      </c>
      <c r="D13" s="41">
        <f>'SIMULARE PE PRODUS'!P24</f>
        <v>21.99</v>
      </c>
      <c r="E13" s="41">
        <f>'SIMULARE PE PRODUS'!Q24</f>
        <v>25.49</v>
      </c>
      <c r="F13" s="28">
        <f>'SIMULARE PE PRODUS'!U24</f>
        <v>0.40193076352091067</v>
      </c>
      <c r="G13" s="28">
        <f>'SIMULARE PE PRODUS'!V24</f>
        <v>0.41480430450204642</v>
      </c>
      <c r="H13" s="28">
        <f>'SIMULARE PE PRODUS'!W24</f>
        <v>0.35784804456649671</v>
      </c>
      <c r="I13" s="59">
        <v>0</v>
      </c>
      <c r="J13" s="59">
        <v>0</v>
      </c>
      <c r="K13" s="60">
        <f>'SIMULARE PE PRODUS'!AC24</f>
        <v>0.39326634249307196</v>
      </c>
      <c r="L13" s="60">
        <f>'SIMULARE PE PRODUS'!AD24</f>
        <v>0.4055823324144065</v>
      </c>
      <c r="M13" s="60">
        <f>'SIMULARE PE PRODUS'!AE24</f>
        <v>0.35096370357829937</v>
      </c>
      <c r="N13" s="59">
        <v>0</v>
      </c>
      <c r="O13" s="59">
        <v>0</v>
      </c>
      <c r="P13" s="61">
        <f>'SIMULARE PE PRODUS'!AK24</f>
        <v>0.39326634249307196</v>
      </c>
      <c r="Q13" s="61">
        <f>'SIMULARE PE PRODUS'!AL24</f>
        <v>0.4055823324144065</v>
      </c>
      <c r="R13" s="61">
        <f>'SIMULARE PE PRODUS'!AM24</f>
        <v>0.35096370357829937</v>
      </c>
      <c r="S13" s="59">
        <v>0</v>
      </c>
      <c r="T13" s="59">
        <v>0</v>
      </c>
      <c r="U13" s="62">
        <f>'SIMULARE PE PRODUS'!AS24</f>
        <v>0.38660932736990972</v>
      </c>
      <c r="V13" s="62">
        <f>'SIMULARE PE PRODUS'!AT24</f>
        <v>0.39676149003914757</v>
      </c>
      <c r="W13" s="62">
        <f>'SIMULARE PE PRODUS'!AU24</f>
        <v>0.35096370357829937</v>
      </c>
      <c r="X13" s="59">
        <v>0</v>
      </c>
      <c r="Y13" s="59">
        <v>0</v>
      </c>
      <c r="Z13" s="63">
        <f>'SIMULARE PE PRODUS'!BA24</f>
        <v>0.38496759643938167</v>
      </c>
      <c r="AA13" s="63">
        <f>'SIMULARE PE PRODUS'!BB24</f>
        <v>0.39676149003914757</v>
      </c>
      <c r="AB13" s="63">
        <f>'SIMULARE PE PRODUS'!BC24</f>
        <v>0.34433924711211783</v>
      </c>
    </row>
    <row r="14" spans="1:28" x14ac:dyDescent="0.2">
      <c r="A14" s="26">
        <v>9</v>
      </c>
      <c r="B14" s="26" t="s">
        <v>150</v>
      </c>
      <c r="C14" s="26" t="s">
        <v>94</v>
      </c>
      <c r="D14" s="41">
        <f>'SIMULARE PE PRODUS'!P9</f>
        <v>16</v>
      </c>
      <c r="E14" s="41">
        <f>'SIMULARE PE PRODUS'!Q9</f>
        <v>19</v>
      </c>
      <c r="F14" s="28">
        <f>'SIMULARE PE PRODUS'!U9</f>
        <v>0.73110550965966947</v>
      </c>
      <c r="G14" s="28">
        <f>'SIMULARE PE PRODUS'!V9</f>
        <v>0.75389812499999997</v>
      </c>
      <c r="H14" s="28">
        <f>'SIMULARE PE PRODUS'!W9</f>
        <v>0.6348615789473685</v>
      </c>
      <c r="I14" s="59">
        <v>0</v>
      </c>
      <c r="J14" s="59">
        <v>0</v>
      </c>
      <c r="K14" s="60">
        <f>'SIMULARE PE PRODUS'!AC9</f>
        <v>0.68971936016404567</v>
      </c>
      <c r="L14" s="60">
        <f>'SIMULARE PE PRODUS'!AD9</f>
        <v>0.70996880517951733</v>
      </c>
      <c r="M14" s="60">
        <f>'SIMULARE PE PRODUS'!AE9</f>
        <v>0.60342021010505253</v>
      </c>
      <c r="N14" s="59">
        <v>0</v>
      </c>
      <c r="O14" s="59">
        <v>0</v>
      </c>
      <c r="P14" s="61">
        <f>'SIMULARE PE PRODUS'!AK9</f>
        <v>0.68971936016404567</v>
      </c>
      <c r="Q14" s="61">
        <f>'SIMULARE PE PRODUS'!AL9</f>
        <v>0.70996880517951733</v>
      </c>
      <c r="R14" s="61">
        <f>'SIMULARE PE PRODUS'!AM9</f>
        <v>0.60342021010505253</v>
      </c>
      <c r="S14" s="59">
        <v>0</v>
      </c>
      <c r="T14" s="59">
        <v>0</v>
      </c>
      <c r="U14" s="62">
        <f>'SIMULARE PE PRODUS'!AS9</f>
        <v>0.68971936016404567</v>
      </c>
      <c r="V14" s="62">
        <f>'SIMULARE PE PRODUS'!AT9</f>
        <v>0.70996880517951733</v>
      </c>
      <c r="W14" s="62">
        <f>'SIMULARE PE PRODUS'!AU9</f>
        <v>0.60342021010505253</v>
      </c>
      <c r="X14" s="59">
        <v>0</v>
      </c>
      <c r="Y14" s="59">
        <v>0</v>
      </c>
      <c r="Z14" s="63">
        <f>'SIMULARE PE PRODUS'!BA9</f>
        <v>0.67054856990500877</v>
      </c>
      <c r="AA14" s="63">
        <f>'SIMULARE PE PRODUS'!BB9</f>
        <v>0.68967238421955401</v>
      </c>
      <c r="AB14" s="63">
        <f>'SIMULARE PE PRODUS'!BC9</f>
        <v>0.58869546120058569</v>
      </c>
    </row>
    <row r="15" spans="1:28" x14ac:dyDescent="0.2">
      <c r="A15" s="26">
        <v>10</v>
      </c>
      <c r="B15" s="26" t="s">
        <v>151</v>
      </c>
      <c r="C15" s="26" t="s">
        <v>102</v>
      </c>
      <c r="D15" s="41">
        <f>'SIMULARE PE PRODUS'!P75</f>
        <v>14.08</v>
      </c>
      <c r="E15" s="41">
        <f>'SIMULARE PE PRODUS'!Q75</f>
        <v>14.08</v>
      </c>
      <c r="F15" s="28">
        <f>'SIMULARE PE PRODUS'!U75</f>
        <v>0.38567848721590908</v>
      </c>
      <c r="G15" s="28">
        <f>'SIMULARE PE PRODUS'!V75</f>
        <v>0.38567848721590908</v>
      </c>
      <c r="H15" s="28">
        <f>'SIMULARE PE PRODUS'!W75</f>
        <v>0.38567848721590908</v>
      </c>
      <c r="I15" s="59">
        <v>0</v>
      </c>
      <c r="J15" s="59">
        <v>0</v>
      </c>
      <c r="K15" s="60">
        <f>'SIMULARE PE PRODUS'!AC75</f>
        <v>0.38027682773109245</v>
      </c>
      <c r="L15" s="60">
        <f>'SIMULARE PE PRODUS'!AD75</f>
        <v>0.38027682773109245</v>
      </c>
      <c r="M15" s="60">
        <f>'SIMULARE PE PRODUS'!AE75</f>
        <v>0.38027682773109245</v>
      </c>
      <c r="N15" s="59">
        <v>0</v>
      </c>
      <c r="O15" s="59">
        <v>0</v>
      </c>
      <c r="P15" s="61">
        <f>'SIMULARE PE PRODUS'!AK75</f>
        <v>0.38027682773109245</v>
      </c>
      <c r="Q15" s="61">
        <f>'SIMULARE PE PRODUS'!AL75</f>
        <v>0.38027682773109245</v>
      </c>
      <c r="R15" s="61">
        <f>'SIMULARE PE PRODUS'!AM75</f>
        <v>0.38027682773109245</v>
      </c>
      <c r="S15" s="59">
        <v>0</v>
      </c>
      <c r="T15" s="59">
        <v>0</v>
      </c>
      <c r="U15" s="62">
        <f>'SIMULARE PE PRODUS'!AS75</f>
        <v>0.38027682773109245</v>
      </c>
      <c r="V15" s="62">
        <f>'SIMULARE PE PRODUS'!AT75</f>
        <v>0.38027682773109245</v>
      </c>
      <c r="W15" s="62">
        <f>'SIMULARE PE PRODUS'!AU75</f>
        <v>0.38027682773109245</v>
      </c>
      <c r="X15" s="59">
        <v>0</v>
      </c>
      <c r="Y15" s="59">
        <v>0</v>
      </c>
      <c r="Z15" s="63">
        <f>'SIMULARE PE PRODUS'!BA75</f>
        <v>0.37476556935817806</v>
      </c>
      <c r="AA15" s="63">
        <f>'SIMULARE PE PRODUS'!BB75</f>
        <v>0.37476556935817801</v>
      </c>
      <c r="AB15" s="63">
        <f>'SIMULARE PE PRODUS'!BC75</f>
        <v>0.37476556935817806</v>
      </c>
    </row>
    <row r="16" spans="1:28" x14ac:dyDescent="0.2">
      <c r="A16" s="26">
        <v>11</v>
      </c>
      <c r="B16" s="26" t="s">
        <v>156</v>
      </c>
      <c r="C16" s="26" t="s">
        <v>100</v>
      </c>
      <c r="D16" s="41">
        <f>'SIMULARE PE PRODUS'!P50</f>
        <v>30.5</v>
      </c>
      <c r="E16" s="41">
        <f>'SIMULARE PE PRODUS'!Q50</f>
        <v>34.5</v>
      </c>
      <c r="F16" s="28">
        <f>'SIMULARE PE PRODUS'!U50</f>
        <v>0.50173758062323714</v>
      </c>
      <c r="G16" s="28">
        <f>'SIMULARE PE PRODUS'!V50</f>
        <v>0.52348006878688536</v>
      </c>
      <c r="H16" s="28">
        <f>'SIMULARE PE PRODUS'!W50</f>
        <v>0.46278672747826088</v>
      </c>
      <c r="I16" s="59">
        <v>0</v>
      </c>
      <c r="J16" s="59">
        <v>0</v>
      </c>
      <c r="K16" s="60">
        <f>'SIMULARE PE PRODUS'!AC50</f>
        <v>0.49397595915231912</v>
      </c>
      <c r="L16" s="60">
        <f>'SIMULARE PE PRODUS'!AD50</f>
        <v>0.51503684187096777</v>
      </c>
      <c r="M16" s="60">
        <f>'SIMULARE PE PRODUS'!AE50</f>
        <v>0.45617548851428574</v>
      </c>
      <c r="N16" s="59">
        <v>0</v>
      </c>
      <c r="O16" s="59">
        <v>0</v>
      </c>
      <c r="P16" s="61">
        <f>'SIMULARE PE PRODUS'!AK50</f>
        <v>0.49397595915231912</v>
      </c>
      <c r="Q16" s="61">
        <f>'SIMULARE PE PRODUS'!AL50</f>
        <v>0.51503684187096777</v>
      </c>
      <c r="R16" s="61">
        <f>'SIMULARE PE PRODUS'!AM50</f>
        <v>0.45617548851428574</v>
      </c>
      <c r="S16" s="59">
        <v>0</v>
      </c>
      <c r="T16" s="59">
        <v>0</v>
      </c>
      <c r="U16" s="62">
        <f>'SIMULARE PE PRODUS'!AS50</f>
        <v>0.48645081604136797</v>
      </c>
      <c r="V16" s="62">
        <f>'SIMULARE PE PRODUS'!AT50</f>
        <v>0.5068616539047619</v>
      </c>
      <c r="W16" s="62">
        <f>'SIMULARE PE PRODUS'!AU50</f>
        <v>0.44975048163380288</v>
      </c>
      <c r="X16" s="59">
        <v>0</v>
      </c>
      <c r="Y16" s="59">
        <v>0</v>
      </c>
      <c r="Z16" s="63">
        <f>'SIMULARE PE PRODUS'!BA50</f>
        <v>0.47929534485754366</v>
      </c>
      <c r="AA16" s="63">
        <f>'SIMULARE PE PRODUS'!BB50</f>
        <v>0.49909790865895592</v>
      </c>
      <c r="AB16" s="63">
        <f>'SIMULARE PE PRODUS'!BC50</f>
        <v>0.44362717693803833</v>
      </c>
    </row>
    <row r="17" spans="1:28" x14ac:dyDescent="0.2">
      <c r="A17" s="26">
        <v>12</v>
      </c>
      <c r="B17" s="26" t="s">
        <v>152</v>
      </c>
      <c r="C17" s="26" t="s">
        <v>102</v>
      </c>
      <c r="D17" s="41">
        <f>'SIMULARE PE PRODUS'!P76</f>
        <v>14.08</v>
      </c>
      <c r="E17" s="41">
        <f>'SIMULARE PE PRODUS'!Q76</f>
        <v>14.08</v>
      </c>
      <c r="F17" s="28">
        <f>'SIMULARE PE PRODUS'!U76</f>
        <v>0.23637796875</v>
      </c>
      <c r="G17" s="28">
        <f>'SIMULARE PE PRODUS'!V76</f>
        <v>0.23637796875000003</v>
      </c>
      <c r="H17" s="28">
        <f>'SIMULARE PE PRODUS'!W76</f>
        <v>0.23637796875000003</v>
      </c>
      <c r="I17" s="59">
        <v>0</v>
      </c>
      <c r="J17" s="59">
        <v>0</v>
      </c>
      <c r="K17" s="60">
        <f>'SIMULARE PE PRODUS'!AC76</f>
        <v>0.23306735294117648</v>
      </c>
      <c r="L17" s="60">
        <f>'SIMULARE PE PRODUS'!AD76</f>
        <v>0.23306735294117648</v>
      </c>
      <c r="M17" s="60">
        <f>'SIMULARE PE PRODUS'!AE76</f>
        <v>0.2330673529411765</v>
      </c>
      <c r="N17" s="59">
        <v>0</v>
      </c>
      <c r="O17" s="59">
        <v>0</v>
      </c>
      <c r="P17" s="61">
        <f>'SIMULARE PE PRODUS'!AK76</f>
        <v>0.23306735294117648</v>
      </c>
      <c r="Q17" s="61">
        <f>'SIMULARE PE PRODUS'!AL76</f>
        <v>0.23306735294117648</v>
      </c>
      <c r="R17" s="61">
        <f>'SIMULARE PE PRODUS'!AM76</f>
        <v>0.2330673529411765</v>
      </c>
      <c r="S17" s="59">
        <v>0</v>
      </c>
      <c r="T17" s="59">
        <v>0</v>
      </c>
      <c r="U17" s="62">
        <f>'SIMULARE PE PRODUS'!AS76</f>
        <v>0.23306735294117648</v>
      </c>
      <c r="V17" s="62">
        <f>'SIMULARE PE PRODUS'!AT76</f>
        <v>0.23306735294117648</v>
      </c>
      <c r="W17" s="62">
        <f>'SIMULARE PE PRODUS'!AU76</f>
        <v>0.2330673529411765</v>
      </c>
      <c r="X17" s="59">
        <v>0</v>
      </c>
      <c r="Y17" s="59">
        <v>0</v>
      </c>
      <c r="Z17" s="63">
        <f>'SIMULARE PE PRODUS'!BA76</f>
        <v>0.22968956521739128</v>
      </c>
      <c r="AA17" s="63">
        <f>'SIMULARE PE PRODUS'!BB76</f>
        <v>0.22968956521739131</v>
      </c>
      <c r="AB17" s="63">
        <f>'SIMULARE PE PRODUS'!BC76</f>
        <v>0.22968956521739131</v>
      </c>
    </row>
    <row r="18" spans="1:28" x14ac:dyDescent="0.2">
      <c r="A18" s="26">
        <v>13</v>
      </c>
      <c r="B18" s="26" t="s">
        <v>157</v>
      </c>
      <c r="C18" s="26" t="s">
        <v>94</v>
      </c>
      <c r="D18" s="41">
        <f>'SIMULARE PE PRODUS'!P11</f>
        <v>11.49</v>
      </c>
      <c r="E18" s="41">
        <f>'SIMULARE PE PRODUS'!Q11</f>
        <v>13.49</v>
      </c>
      <c r="F18" s="28">
        <f>'SIMULARE PE PRODUS'!U11</f>
        <v>0.6505043605706381</v>
      </c>
      <c r="G18" s="28">
        <f>'SIMULARE PE PRODUS'!V11</f>
        <v>0.67567072767624026</v>
      </c>
      <c r="H18" s="28">
        <f>'SIMULARE PE PRODUS'!W11</f>
        <v>0.5754971579688658</v>
      </c>
      <c r="I18" s="59">
        <v>0</v>
      </c>
      <c r="J18" s="59">
        <v>0</v>
      </c>
      <c r="K18" s="60">
        <f>'SIMULARE PE PRODUS'!AC11</f>
        <v>0.6505043605706381</v>
      </c>
      <c r="L18" s="60">
        <f>'SIMULARE PE PRODUS'!AD11</f>
        <v>0.67567072767624026</v>
      </c>
      <c r="M18" s="60">
        <f>'SIMULARE PE PRODUS'!AE11</f>
        <v>0.5754971579688658</v>
      </c>
      <c r="N18" s="59">
        <v>0</v>
      </c>
      <c r="O18" s="59">
        <v>0</v>
      </c>
      <c r="P18" s="61">
        <f>'SIMULARE PE PRODUS'!AK11</f>
        <v>0.6505043605706381</v>
      </c>
      <c r="Q18" s="61">
        <f>'SIMULARE PE PRODUS'!AL11</f>
        <v>0.67567072767624026</v>
      </c>
      <c r="R18" s="61">
        <f>'SIMULARE PE PRODUS'!AM11</f>
        <v>0.5754971579688658</v>
      </c>
      <c r="S18" s="59">
        <v>0</v>
      </c>
      <c r="T18" s="59">
        <v>0</v>
      </c>
      <c r="U18" s="62">
        <f>'SIMULARE PE PRODUS'!AS11</f>
        <v>0.6505043605706381</v>
      </c>
      <c r="V18" s="62">
        <f>'SIMULARE PE PRODUS'!AT11</f>
        <v>0.67567072767624026</v>
      </c>
      <c r="W18" s="62">
        <f>'SIMULARE PE PRODUS'!AU11</f>
        <v>0.5754971579688658</v>
      </c>
      <c r="X18" s="59">
        <v>0</v>
      </c>
      <c r="Y18" s="59">
        <v>0</v>
      </c>
      <c r="Z18" s="63">
        <f>'SIMULARE PE PRODUS'!BA11</f>
        <v>0.62434716222016717</v>
      </c>
      <c r="AA18" s="63">
        <f>'SIMULARE PE PRODUS'!BB11</f>
        <v>0.64749430033361133</v>
      </c>
      <c r="AB18" s="63">
        <f>'SIMULARE PE PRODUS'!BC11</f>
        <v>0.55492899649749827</v>
      </c>
    </row>
    <row r="19" spans="1:28" x14ac:dyDescent="0.2">
      <c r="A19" s="26">
        <v>14</v>
      </c>
      <c r="B19" s="26" t="s">
        <v>154</v>
      </c>
      <c r="C19" s="26" t="s">
        <v>96</v>
      </c>
      <c r="D19" s="41">
        <f>'SIMULARE PE PRODUS'!P25</f>
        <v>24.99</v>
      </c>
      <c r="E19" s="41">
        <f>'SIMULARE PE PRODUS'!Q25</f>
        <v>27.99</v>
      </c>
      <c r="F19" s="28">
        <f>'SIMULARE PE PRODUS'!U25</f>
        <v>0.64343695617063057</v>
      </c>
      <c r="G19" s="28">
        <f>'SIMULARE PE PRODUS'!V25</f>
        <v>0.67423972677070843</v>
      </c>
      <c r="H19" s="28">
        <f>'SIMULARE PE PRODUS'!W25</f>
        <v>0.60197394683815653</v>
      </c>
      <c r="I19" s="59">
        <v>0</v>
      </c>
      <c r="J19" s="59">
        <v>0</v>
      </c>
      <c r="K19" s="60">
        <f>'SIMULARE PE PRODUS'!AC25</f>
        <v>0.63138140151508693</v>
      </c>
      <c r="L19" s="60">
        <f>'SIMULARE PE PRODUS'!AD25</f>
        <v>0.66101415347194992</v>
      </c>
      <c r="M19" s="60">
        <f>'SIMULARE PE PRODUS'!AE25</f>
        <v>0.59140929350649352</v>
      </c>
      <c r="N19" s="59">
        <v>0</v>
      </c>
      <c r="O19" s="59">
        <v>0</v>
      </c>
      <c r="P19" s="61">
        <f>'SIMULARE PE PRODUS'!AK25</f>
        <v>0.63138140151508693</v>
      </c>
      <c r="Q19" s="61">
        <f>'SIMULARE PE PRODUS'!AL25</f>
        <v>0.66101415347194992</v>
      </c>
      <c r="R19" s="61">
        <f>'SIMULARE PE PRODUS'!AM25</f>
        <v>0.59140929350649352</v>
      </c>
      <c r="S19" s="59">
        <v>0</v>
      </c>
      <c r="T19" s="59">
        <v>0</v>
      </c>
      <c r="U19" s="62">
        <f>'SIMULARE PE PRODUS'!AS25</f>
        <v>0.61976928868581105</v>
      </c>
      <c r="V19" s="62">
        <f>'SIMULARE PE PRODUS'!AT25</f>
        <v>0.64829745178914988</v>
      </c>
      <c r="W19" s="62">
        <f>'SIMULARE PE PRODUS'!AU25</f>
        <v>0.58120906422904461</v>
      </c>
      <c r="X19" s="59">
        <v>0</v>
      </c>
      <c r="Y19" s="59">
        <v>0</v>
      </c>
      <c r="Z19" s="63">
        <f>'SIMULARE PE PRODUS'!BA25</f>
        <v>0.61976928868581105</v>
      </c>
      <c r="AA19" s="63">
        <f>'SIMULARE PE PRODUS'!BB25</f>
        <v>0.64829745178914988</v>
      </c>
      <c r="AB19" s="63">
        <f>'SIMULARE PE PRODUS'!BC25</f>
        <v>0.58120906422904461</v>
      </c>
    </row>
    <row r="20" spans="1:28" x14ac:dyDescent="0.2">
      <c r="A20" s="26">
        <v>15</v>
      </c>
      <c r="B20" s="26" t="s">
        <v>155</v>
      </c>
      <c r="C20" s="26" t="s">
        <v>94</v>
      </c>
      <c r="D20" s="41">
        <f>'SIMULARE PE PRODUS'!P10</f>
        <v>10</v>
      </c>
      <c r="E20" s="41">
        <f>'SIMULARE PE PRODUS'!Q10</f>
        <v>13</v>
      </c>
      <c r="F20" s="28">
        <f>'SIMULARE PE PRODUS'!U10</f>
        <v>0.70954941542233718</v>
      </c>
      <c r="G20" s="28">
        <f>'SIMULARE PE PRODUS'!V10</f>
        <v>0.74003700000000006</v>
      </c>
      <c r="H20" s="28">
        <f>'SIMULARE PE PRODUS'!W10</f>
        <v>0.5692592307692308</v>
      </c>
      <c r="I20" s="59">
        <v>0</v>
      </c>
      <c r="J20" s="59">
        <v>0</v>
      </c>
      <c r="K20" s="60">
        <f>'SIMULARE PE PRODUS'!AC10</f>
        <v>0.67770971281665682</v>
      </c>
      <c r="L20" s="60">
        <f>'SIMULARE PE PRODUS'!AD10</f>
        <v>0.70546901811248808</v>
      </c>
      <c r="M20" s="60">
        <f>'SIMULARE PE PRODUS'!AE10</f>
        <v>0.54858191252779842</v>
      </c>
      <c r="N20" s="59">
        <v>0</v>
      </c>
      <c r="O20" s="59">
        <v>0</v>
      </c>
      <c r="P20" s="61">
        <f>'SIMULARE PE PRODUS'!AK10</f>
        <v>0.67770971281665682</v>
      </c>
      <c r="Q20" s="61">
        <f>'SIMULARE PE PRODUS'!AL10</f>
        <v>0.70546901811248808</v>
      </c>
      <c r="R20" s="61">
        <f>'SIMULARE PE PRODUS'!AM10</f>
        <v>0.54858191252779842</v>
      </c>
      <c r="S20" s="59">
        <v>0</v>
      </c>
      <c r="T20" s="59">
        <v>0</v>
      </c>
      <c r="U20" s="62">
        <f>'SIMULARE PE PRODUS'!AS10</f>
        <v>0.67770971281665682</v>
      </c>
      <c r="V20" s="62">
        <f>'SIMULARE PE PRODUS'!AT10</f>
        <v>0.70546901811248808</v>
      </c>
      <c r="W20" s="62">
        <f>'SIMULARE PE PRODUS'!AU10</f>
        <v>0.54858191252779842</v>
      </c>
      <c r="X20" s="59">
        <v>0</v>
      </c>
      <c r="Y20" s="59">
        <v>0</v>
      </c>
      <c r="Z20" s="63">
        <f>'SIMULARE PE PRODUS'!BA10</f>
        <v>0.64803681511904498</v>
      </c>
      <c r="AA20" s="63">
        <f>'SIMULARE PE PRODUS'!BB10</f>
        <v>0.67337306642402173</v>
      </c>
      <c r="AB20" s="63">
        <f>'SIMULARE PE PRODUS'!BC10</f>
        <v>0.52897569692637603</v>
      </c>
    </row>
    <row r="21" spans="1:28" x14ac:dyDescent="0.2">
      <c r="A21" s="26">
        <v>16</v>
      </c>
      <c r="B21" s="26" t="s">
        <v>158</v>
      </c>
      <c r="C21" s="26" t="s">
        <v>103</v>
      </c>
      <c r="D21" s="41">
        <f>'SIMULARE PE PRODUS'!P93</f>
        <v>10.99</v>
      </c>
      <c r="E21" s="41">
        <f>'SIMULARE PE PRODUS'!Q93</f>
        <v>0</v>
      </c>
      <c r="F21" s="28">
        <f>'SIMULARE PE PRODUS'!U93</f>
        <v>0.52747532034649669</v>
      </c>
      <c r="G21" s="28">
        <f>'SIMULARE PE PRODUS'!V93</f>
        <v>0.52747532034649669</v>
      </c>
      <c r="H21" s="28" t="str">
        <f>'SIMULARE PE PRODUS'!W93</f>
        <v/>
      </c>
      <c r="I21" s="59">
        <v>0</v>
      </c>
      <c r="J21" s="59">
        <v>0</v>
      </c>
      <c r="K21" s="60">
        <f>'SIMULARE PE PRODUS'!AC93</f>
        <v>0.50452165105378577</v>
      </c>
      <c r="L21" s="60">
        <f>'SIMULARE PE PRODUS'!AD93</f>
        <v>0.50452165105378577</v>
      </c>
      <c r="M21" s="60" t="str">
        <f>'SIMULARE PE PRODUS'!AE93</f>
        <v/>
      </c>
      <c r="N21" s="59">
        <v>0</v>
      </c>
      <c r="O21" s="59">
        <v>0</v>
      </c>
      <c r="P21" s="61">
        <f>'SIMULARE PE PRODUS'!AK93</f>
        <v>0.4641276037316252</v>
      </c>
      <c r="Q21" s="61">
        <f>'SIMULARE PE PRODUS'!AL93</f>
        <v>0.4641276037316252</v>
      </c>
      <c r="R21" s="61" t="str">
        <f>'SIMULARE PE PRODUS'!AM93</f>
        <v/>
      </c>
      <c r="S21" s="59">
        <v>0</v>
      </c>
      <c r="T21" s="59">
        <v>0</v>
      </c>
      <c r="U21" s="62">
        <f>'SIMULARE PE PRODUS'!AS93</f>
        <v>0.44626279989284051</v>
      </c>
      <c r="V21" s="62">
        <f>'SIMULARE PE PRODUS'!AT93</f>
        <v>0.44626279989284051</v>
      </c>
      <c r="W21" s="62" t="str">
        <f>'SIMULARE PE PRODUS'!AU93</f>
        <v/>
      </c>
      <c r="X21" s="59">
        <v>0</v>
      </c>
      <c r="Y21" s="59">
        <v>0</v>
      </c>
      <c r="Z21" s="63">
        <f>'SIMULARE PE PRODUS'!BA93</f>
        <v>0.42972229581971816</v>
      </c>
      <c r="AA21" s="63">
        <f>'SIMULARE PE PRODUS'!BB93</f>
        <v>0.42972229581971816</v>
      </c>
      <c r="AB21" s="63" t="str">
        <f>'SIMULARE PE PRODUS'!BC93</f>
        <v/>
      </c>
    </row>
    <row r="22" spans="1:28" x14ac:dyDescent="0.2">
      <c r="A22" s="26">
        <v>17</v>
      </c>
      <c r="B22" s="26" t="s">
        <v>160</v>
      </c>
      <c r="C22" s="26" t="s">
        <v>95</v>
      </c>
      <c r="D22" s="41">
        <f>'SIMULARE PE PRODUS'!P16</f>
        <v>7</v>
      </c>
      <c r="E22" s="41">
        <f>'SIMULARE PE PRODUS'!Q16</f>
        <v>10</v>
      </c>
      <c r="F22" s="28">
        <f>'SIMULARE PE PRODUS'!U16</f>
        <v>0.6273387694612933</v>
      </c>
      <c r="G22" s="28">
        <f>'SIMULARE PE PRODUS'!V16</f>
        <v>0.67804562485714281</v>
      </c>
      <c r="H22" s="28">
        <f>'SIMULARE PE PRODUS'!W16</f>
        <v>0.47463193739999998</v>
      </c>
      <c r="I22" s="59">
        <v>0</v>
      </c>
      <c r="J22" s="59">
        <v>0</v>
      </c>
      <c r="K22" s="60">
        <f>'SIMULARE PE PRODUS'!AC16</f>
        <v>0.58918042211487764</v>
      </c>
      <c r="L22" s="60">
        <f>'SIMULARE PE PRODUS'!AD16</f>
        <v>0.63368749986648854</v>
      </c>
      <c r="M22" s="60">
        <f>'SIMULARE PE PRODUS'!AE16</f>
        <v>0.45246133212583406</v>
      </c>
      <c r="N22" s="59">
        <v>0</v>
      </c>
      <c r="O22" s="59">
        <v>0</v>
      </c>
      <c r="P22" s="61">
        <f>'SIMULARE PE PRODUS'!AK16</f>
        <v>0.58918042211487764</v>
      </c>
      <c r="Q22" s="61">
        <f>'SIMULARE PE PRODUS'!AL16</f>
        <v>0.63368749986648854</v>
      </c>
      <c r="R22" s="61">
        <f>'SIMULARE PE PRODUS'!AM16</f>
        <v>0.45246133212583406</v>
      </c>
      <c r="S22" s="59">
        <v>0</v>
      </c>
      <c r="T22" s="59">
        <v>0</v>
      </c>
      <c r="U22" s="62">
        <f>'SIMULARE PE PRODUS'!AS16</f>
        <v>0.58918042211487764</v>
      </c>
      <c r="V22" s="62">
        <f>'SIMULARE PE PRODUS'!AT16</f>
        <v>0.63368749986648854</v>
      </c>
      <c r="W22" s="62">
        <f>'SIMULARE PE PRODUS'!AU16</f>
        <v>0.45246133212583406</v>
      </c>
      <c r="X22" s="59">
        <v>0</v>
      </c>
      <c r="Y22" s="59">
        <v>0</v>
      </c>
      <c r="Z22" s="63">
        <f>'SIMULARE PE PRODUS'!BA16</f>
        <v>0.55474878195687327</v>
      </c>
      <c r="AA22" s="63">
        <f>'SIMULARE PE PRODUS'!BB16</f>
        <v>0.59403246232790985</v>
      </c>
      <c r="AB22" s="63">
        <f>'SIMULARE PE PRODUS'!BC16</f>
        <v>0.43187619417652406</v>
      </c>
    </row>
    <row r="23" spans="1:28" x14ac:dyDescent="0.2">
      <c r="A23" s="26">
        <v>18</v>
      </c>
      <c r="B23" s="26" t="s">
        <v>162</v>
      </c>
      <c r="C23" s="26" t="s">
        <v>97</v>
      </c>
      <c r="D23" s="41">
        <f>'SIMULARE PE PRODUS'!P30</f>
        <v>15.99</v>
      </c>
      <c r="E23" s="41">
        <f>'SIMULARE PE PRODUS'!Q30</f>
        <v>17.989999999999998</v>
      </c>
      <c r="F23" s="28">
        <f>'SIMULARE PE PRODUS'!U30</f>
        <v>0.32626531474912118</v>
      </c>
      <c r="G23" s="28">
        <f>'SIMULARE PE PRODUS'!V30</f>
        <v>0.34010975131332088</v>
      </c>
      <c r="H23" s="28">
        <f>'SIMULARE PE PRODUS'!W30</f>
        <v>0.30229877284602563</v>
      </c>
      <c r="I23" s="59">
        <v>0</v>
      </c>
      <c r="J23" s="59">
        <v>0</v>
      </c>
      <c r="K23" s="60">
        <f>'SIMULARE PE PRODUS'!AC30</f>
        <v>0.31676345885178797</v>
      </c>
      <c r="L23" s="60">
        <f>'SIMULARE PE PRODUS'!AD30</f>
        <v>0.32979714514857494</v>
      </c>
      <c r="M23" s="60">
        <f>'SIMULARE PE PRODUS'!AE30</f>
        <v>0.29412411700919422</v>
      </c>
      <c r="N23" s="59">
        <v>0</v>
      </c>
      <c r="O23" s="59">
        <v>0</v>
      </c>
      <c r="P23" s="61">
        <f>'SIMULARE PE PRODUS'!AK30</f>
        <v>0.31676345885178797</v>
      </c>
      <c r="Q23" s="61">
        <f>'SIMULARE PE PRODUS'!AL30</f>
        <v>0.32979714514857494</v>
      </c>
      <c r="R23" s="61">
        <f>'SIMULARE PE PRODUS'!AM30</f>
        <v>0.29412411700919422</v>
      </c>
      <c r="S23" s="59">
        <v>0</v>
      </c>
      <c r="T23" s="59">
        <v>0</v>
      </c>
      <c r="U23" s="62">
        <f>'SIMULARE PE PRODUS'!AS30</f>
        <v>0.3077993879041856</v>
      </c>
      <c r="V23" s="62">
        <f>'SIMULARE PE PRODUS'!AT30</f>
        <v>0.32009151992348445</v>
      </c>
      <c r="W23" s="62">
        <f>'SIMULARE PE PRODUS'!AU30</f>
        <v>0.2863799327804108</v>
      </c>
      <c r="X23" s="59">
        <v>0</v>
      </c>
      <c r="Y23" s="59">
        <v>0</v>
      </c>
      <c r="Z23" s="63">
        <f>'SIMULARE PE PRODUS'!BA30</f>
        <v>0.29932870213654117</v>
      </c>
      <c r="AA23" s="63">
        <f>'SIMULARE PE PRODUS'!BB30</f>
        <v>0.31094081895368786</v>
      </c>
      <c r="AB23" s="63">
        <f>'SIMULARE PE PRODUS'!BC30</f>
        <v>0.27903308996921505</v>
      </c>
    </row>
    <row r="24" spans="1:28" x14ac:dyDescent="0.2">
      <c r="A24" s="26">
        <v>19</v>
      </c>
      <c r="B24" s="26" t="s">
        <v>163</v>
      </c>
      <c r="C24" s="26" t="s">
        <v>97</v>
      </c>
      <c r="D24" s="41">
        <f>'SIMULARE PE PRODUS'!P31</f>
        <v>26.99</v>
      </c>
      <c r="E24" s="41">
        <f>'SIMULARE PE PRODUS'!Q31</f>
        <v>28.99</v>
      </c>
      <c r="F24" s="28">
        <f>'SIMULARE PE PRODUS'!U31</f>
        <v>0.40828726371299989</v>
      </c>
      <c r="G24" s="28">
        <f>'SIMULARE PE PRODUS'!V31</f>
        <v>0.41726800859577634</v>
      </c>
      <c r="H24" s="28">
        <f>'SIMULARE PE PRODUS'!W31</f>
        <v>0.38848097799241127</v>
      </c>
      <c r="I24" s="59">
        <v>0</v>
      </c>
      <c r="J24" s="59">
        <v>0</v>
      </c>
      <c r="K24" s="60">
        <f>'SIMULARE PE PRODUS'!AC31</f>
        <v>0.40101814293760751</v>
      </c>
      <c r="L24" s="60">
        <f>'SIMULARE PE PRODUS'!AD31</f>
        <v>0.40967855773008377</v>
      </c>
      <c r="M24" s="60">
        <f>'SIMULARE PE PRODUS'!AE31</f>
        <v>0.38189432187182104</v>
      </c>
      <c r="N24" s="59">
        <v>0</v>
      </c>
      <c r="O24" s="59">
        <v>0</v>
      </c>
      <c r="P24" s="61">
        <f>'SIMULARE PE PRODUS'!AK31</f>
        <v>0.40101814293760751</v>
      </c>
      <c r="Q24" s="61">
        <f>'SIMULARE PE PRODUS'!AL31</f>
        <v>0.40967855773008377</v>
      </c>
      <c r="R24" s="61">
        <f>'SIMULARE PE PRODUS'!AM31</f>
        <v>0.38189432187182104</v>
      </c>
      <c r="S24" s="59">
        <v>0</v>
      </c>
      <c r="T24" s="59">
        <v>0</v>
      </c>
      <c r="U24" s="62">
        <f>'SIMULARE PE PRODUS'!AS31</f>
        <v>0.39400333237772195</v>
      </c>
      <c r="V24" s="62">
        <f>'SIMULARE PE PRODUS'!AT31</f>
        <v>0.40236025551982857</v>
      </c>
      <c r="W24" s="62">
        <f>'SIMULARE PE PRODUS'!AU31</f>
        <v>0.37552729416472164</v>
      </c>
      <c r="X24" s="59">
        <v>0</v>
      </c>
      <c r="Y24" s="59">
        <v>0</v>
      </c>
      <c r="Z24" s="63">
        <f>'SIMULARE PE PRODUS'!BA31</f>
        <v>0.38722971590164412</v>
      </c>
      <c r="AA24" s="63">
        <f>'SIMULARE PE PRODUS'!BB31</f>
        <v>0.39529882597402605</v>
      </c>
      <c r="AB24" s="63">
        <f>'SIMULARE PE PRODUS'!BC31</f>
        <v>0.36936908993112499</v>
      </c>
    </row>
    <row r="25" spans="1:28" x14ac:dyDescent="0.2">
      <c r="A25" s="26">
        <v>20</v>
      </c>
      <c r="B25" s="26" t="s">
        <v>161</v>
      </c>
      <c r="C25" s="26" t="s">
        <v>103</v>
      </c>
      <c r="D25" s="41">
        <f>'SIMULARE PE PRODUS'!P94</f>
        <v>7.99</v>
      </c>
      <c r="E25" s="41">
        <f>'SIMULARE PE PRODUS'!Q94</f>
        <v>0</v>
      </c>
      <c r="F25" s="28">
        <f>'SIMULARE PE PRODUS'!U94</f>
        <v>0.53177092739073828</v>
      </c>
      <c r="G25" s="28">
        <f>'SIMULARE PE PRODUS'!V94</f>
        <v>0.53177092739073828</v>
      </c>
      <c r="H25" s="28" t="str">
        <f>'SIMULARE PE PRODUS'!W94</f>
        <v/>
      </c>
      <c r="I25" s="59">
        <v>0</v>
      </c>
      <c r="J25" s="59">
        <v>0</v>
      </c>
      <c r="K25" s="60">
        <f>'SIMULARE PE PRODUS'!AC94</f>
        <v>0.50045344050082441</v>
      </c>
      <c r="L25" s="60">
        <f>'SIMULARE PE PRODUS'!AD94</f>
        <v>0.50045344050082441</v>
      </c>
      <c r="M25" s="60" t="str">
        <f>'SIMULARE PE PRODUS'!AE94</f>
        <v/>
      </c>
      <c r="N25" s="59">
        <v>0</v>
      </c>
      <c r="O25" s="59">
        <v>0</v>
      </c>
      <c r="P25" s="61">
        <f>'SIMULARE PE PRODUS'!AK94</f>
        <v>0.44771862063772383</v>
      </c>
      <c r="Q25" s="61">
        <f>'SIMULARE PE PRODUS'!AL94</f>
        <v>0.44771862063772383</v>
      </c>
      <c r="R25" s="61" t="str">
        <f>'SIMULARE PE PRODUS'!AM94</f>
        <v/>
      </c>
      <c r="S25" s="59">
        <v>0</v>
      </c>
      <c r="T25" s="59">
        <v>0</v>
      </c>
      <c r="U25" s="62">
        <f>'SIMULARE PE PRODUS'!AS94</f>
        <v>0.42531028126646636</v>
      </c>
      <c r="V25" s="62">
        <f>'SIMULARE PE PRODUS'!AT94</f>
        <v>0.42531028126646636</v>
      </c>
      <c r="W25" s="62" t="str">
        <f>'SIMULARE PE PRODUS'!AU94</f>
        <v/>
      </c>
      <c r="X25" s="59">
        <v>0</v>
      </c>
      <c r="Y25" s="59">
        <v>0</v>
      </c>
      <c r="Z25" s="63">
        <f>'SIMULARE PE PRODUS'!BA94</f>
        <v>0.4050381038943755</v>
      </c>
      <c r="AA25" s="63">
        <f>'SIMULARE PE PRODUS'!BB94</f>
        <v>0.4050381038943755</v>
      </c>
      <c r="AB25" s="63" t="str">
        <f>'SIMULARE PE PRODUS'!BC94</f>
        <v/>
      </c>
    </row>
    <row r="26" spans="1:28" x14ac:dyDescent="0.2">
      <c r="A26" s="26">
        <v>21</v>
      </c>
      <c r="B26" s="26" t="s">
        <v>164</v>
      </c>
      <c r="C26" s="26" t="s">
        <v>100</v>
      </c>
      <c r="D26" s="41">
        <f>'SIMULARE PE PRODUS'!P51</f>
        <v>18.5</v>
      </c>
      <c r="E26" s="41">
        <f>'SIMULARE PE PRODUS'!Q51</f>
        <v>21</v>
      </c>
      <c r="F26" s="28">
        <f>'SIMULARE PE PRODUS'!U51</f>
        <v>0.50571957544262114</v>
      </c>
      <c r="G26" s="28">
        <f>'SIMULARE PE PRODUS'!V51</f>
        <v>0.52086882480000019</v>
      </c>
      <c r="H26" s="28">
        <f>'SIMULARE PE PRODUS'!W51</f>
        <v>0.45886063137142868</v>
      </c>
      <c r="I26" s="59">
        <v>0</v>
      </c>
      <c r="J26" s="59">
        <v>0</v>
      </c>
      <c r="K26" s="60">
        <f>'SIMULARE PE PRODUS'!AC51</f>
        <v>0.49278833767497165</v>
      </c>
      <c r="L26" s="60">
        <f>'SIMULARE PE PRODUS'!AD51</f>
        <v>0.50716175046315803</v>
      </c>
      <c r="M26" s="60">
        <f>'SIMULARE PE PRODUS'!AE51</f>
        <v>0.44818945389767451</v>
      </c>
      <c r="N26" s="59">
        <v>0</v>
      </c>
      <c r="O26" s="59">
        <v>0</v>
      </c>
      <c r="P26" s="61">
        <f>'SIMULARE PE PRODUS'!AK51</f>
        <v>0.49278833767497165</v>
      </c>
      <c r="Q26" s="61">
        <f>'SIMULARE PE PRODUS'!AL51</f>
        <v>0.50716175046315803</v>
      </c>
      <c r="R26" s="61">
        <f>'SIMULARE PE PRODUS'!AM51</f>
        <v>0.44818945389767451</v>
      </c>
      <c r="S26" s="59">
        <v>0</v>
      </c>
      <c r="T26" s="59">
        <v>0</v>
      </c>
      <c r="U26" s="62">
        <f>'SIMULARE PE PRODUS'!AS51</f>
        <v>0.48050191490016292</v>
      </c>
      <c r="V26" s="62">
        <f>'SIMULARE PE PRODUS'!AT51</f>
        <v>0.49415760301538481</v>
      </c>
      <c r="W26" s="62">
        <f>'SIMULARE PE PRODUS'!AU51</f>
        <v>0.43800332994545466</v>
      </c>
      <c r="X26" s="59">
        <v>0</v>
      </c>
      <c r="Y26" s="59">
        <v>0</v>
      </c>
      <c r="Z26" s="63">
        <f>'SIMULARE PE PRODUS'!BA51</f>
        <v>0.46904144747359322</v>
      </c>
      <c r="AA26" s="63">
        <f>'SIMULARE PE PRODUS'!BB51</f>
        <v>0.48204468528264144</v>
      </c>
      <c r="AB26" s="63">
        <f>'SIMULARE PE PRODUS'!BC51</f>
        <v>0.4284603494353047</v>
      </c>
    </row>
    <row r="27" spans="1:28" x14ac:dyDescent="0.2">
      <c r="A27" s="26">
        <v>22</v>
      </c>
      <c r="B27" s="26" t="s">
        <v>165</v>
      </c>
      <c r="C27" s="26" t="s">
        <v>94</v>
      </c>
      <c r="D27" s="41">
        <f>'SIMULARE PE PRODUS'!P12</f>
        <v>8</v>
      </c>
      <c r="E27" s="41">
        <f>'SIMULARE PE PRODUS'!Q12</f>
        <v>10</v>
      </c>
      <c r="F27" s="28">
        <f>'SIMULARE PE PRODUS'!U12</f>
        <v>0.8455832008104448</v>
      </c>
      <c r="G27" s="28">
        <f>'SIMULARE PE PRODUS'!V12</f>
        <v>0.88301958262499991</v>
      </c>
      <c r="H27" s="28">
        <f>'SIMULARE PE PRODUS'!W12</f>
        <v>0.70641566610000017</v>
      </c>
      <c r="I27" s="59">
        <v>0</v>
      </c>
      <c r="J27" s="59">
        <v>0</v>
      </c>
      <c r="K27" s="60">
        <f>'SIMULARE PE PRODUS'!AC12</f>
        <v>0.79873480608929981</v>
      </c>
      <c r="L27" s="60">
        <f>'SIMULARE PE PRODUS'!AD12</f>
        <v>0.83205614381625437</v>
      </c>
      <c r="M27" s="60">
        <f>'SIMULARE PE PRODUS'!AE12</f>
        <v>0.67341817550047667</v>
      </c>
      <c r="N27" s="59">
        <v>0</v>
      </c>
      <c r="O27" s="59">
        <v>0</v>
      </c>
      <c r="P27" s="61">
        <f>'SIMULARE PE PRODUS'!AK12</f>
        <v>0.79873480608929981</v>
      </c>
      <c r="Q27" s="61">
        <f>'SIMULARE PE PRODUS'!AL12</f>
        <v>0.83205614381625437</v>
      </c>
      <c r="R27" s="61">
        <f>'SIMULARE PE PRODUS'!AM12</f>
        <v>0.67341817550047667</v>
      </c>
      <c r="S27" s="59">
        <v>0</v>
      </c>
      <c r="T27" s="59">
        <v>0</v>
      </c>
      <c r="U27" s="62">
        <f>'SIMULARE PE PRODUS'!AS12</f>
        <v>0.79873480608929981</v>
      </c>
      <c r="V27" s="62">
        <f>'SIMULARE PE PRODUS'!AT12</f>
        <v>0.83205614381625437</v>
      </c>
      <c r="W27" s="62">
        <f>'SIMULARE PE PRODUS'!AU12</f>
        <v>0.67341817550047667</v>
      </c>
      <c r="X27" s="59">
        <v>0</v>
      </c>
      <c r="Y27" s="59">
        <v>0</v>
      </c>
      <c r="Z27" s="63">
        <f>'SIMULARE PE PRODUS'!BA12</f>
        <v>0.75599512407152802</v>
      </c>
      <c r="AA27" s="63">
        <f>'SIMULARE PE PRODUS'!BB12</f>
        <v>0.78577938387096768</v>
      </c>
      <c r="AB27" s="63">
        <f>'SIMULARE PE PRODUS'!BC12</f>
        <v>0.64278040591446772</v>
      </c>
    </row>
    <row r="28" spans="1:28" x14ac:dyDescent="0.2">
      <c r="A28" s="26">
        <v>23</v>
      </c>
      <c r="B28" s="26" t="s">
        <v>167</v>
      </c>
      <c r="C28" s="26" t="s">
        <v>100</v>
      </c>
      <c r="D28" s="41">
        <f>'SIMULARE PE PRODUS'!P52</f>
        <v>24.5</v>
      </c>
      <c r="E28" s="41">
        <f>'SIMULARE PE PRODUS'!Q52</f>
        <v>28.5</v>
      </c>
      <c r="F28" s="28">
        <f>'SIMULARE PE PRODUS'!U52</f>
        <v>0.50247729696449572</v>
      </c>
      <c r="G28" s="28">
        <f>'SIMULARE PE PRODUS'!V52</f>
        <v>0.52249419095510208</v>
      </c>
      <c r="H28" s="28">
        <f>'SIMULARE PE PRODUS'!W52</f>
        <v>0.44916167292631587</v>
      </c>
      <c r="I28" s="59">
        <v>0</v>
      </c>
      <c r="J28" s="59">
        <v>0</v>
      </c>
      <c r="K28" s="60">
        <f>'SIMULARE PE PRODUS'!AC52</f>
        <v>0.49280534114745084</v>
      </c>
      <c r="L28" s="60">
        <f>'SIMULARE PE PRODUS'!AD52</f>
        <v>0.51204430713600002</v>
      </c>
      <c r="M28" s="60">
        <f>'SIMULARE PE PRODUS'!AE52</f>
        <v>0.4414175061517242</v>
      </c>
      <c r="N28" s="59">
        <v>0</v>
      </c>
      <c r="O28" s="59">
        <v>0</v>
      </c>
      <c r="P28" s="61">
        <f>'SIMULARE PE PRODUS'!AK52</f>
        <v>0.49280534114745084</v>
      </c>
      <c r="Q28" s="61">
        <f>'SIMULARE PE PRODUS'!AL52</f>
        <v>0.51204430713600002</v>
      </c>
      <c r="R28" s="61">
        <f>'SIMULARE PE PRODUS'!AM52</f>
        <v>0.4414175061517242</v>
      </c>
      <c r="S28" s="59">
        <v>0</v>
      </c>
      <c r="T28" s="59">
        <v>0</v>
      </c>
      <c r="U28" s="62">
        <f>'SIMULARE PE PRODUS'!AS52</f>
        <v>0.48349869575044008</v>
      </c>
      <c r="V28" s="62">
        <f>'SIMULARE PE PRODUS'!AT52</f>
        <v>0.50200422268235301</v>
      </c>
      <c r="W28" s="62">
        <f>'SIMULARE PE PRODUS'!AU52</f>
        <v>0.43393585350508485</v>
      </c>
      <c r="X28" s="59">
        <v>0</v>
      </c>
      <c r="Y28" s="59">
        <v>0</v>
      </c>
      <c r="Z28" s="63">
        <f>'SIMULARE PE PRODUS'!BA52</f>
        <v>0.47471302380090419</v>
      </c>
      <c r="AA28" s="63">
        <f>'SIMULARE PE PRODUS'!BB52</f>
        <v>0.49253973368218557</v>
      </c>
      <c r="AB28" s="63">
        <f>'SIMULARE PE PRODUS'!BC52</f>
        <v>0.42684587123707907</v>
      </c>
    </row>
    <row r="29" spans="1:28" x14ac:dyDescent="0.2">
      <c r="A29" s="26">
        <v>24</v>
      </c>
      <c r="B29" s="26" t="s">
        <v>166</v>
      </c>
      <c r="C29" s="26" t="s">
        <v>112</v>
      </c>
      <c r="D29" s="41">
        <f>'SIMULARE PE PRODUS'!P234</f>
        <v>0.75</v>
      </c>
      <c r="E29" s="41">
        <f>'SIMULARE PE PRODUS'!Q234</f>
        <v>0.75</v>
      </c>
      <c r="F29" s="28">
        <f>'SIMULARE PE PRODUS'!U234</f>
        <v>0.78292000000000006</v>
      </c>
      <c r="G29" s="28">
        <f>'SIMULARE PE PRODUS'!V234</f>
        <v>0.78292000000000006</v>
      </c>
      <c r="H29" s="28">
        <f>'SIMULARE PE PRODUS'!W234</f>
        <v>0.78292000000000006</v>
      </c>
      <c r="I29" s="59">
        <v>0.24</v>
      </c>
      <c r="J29" s="59">
        <v>0.24</v>
      </c>
      <c r="K29" s="60">
        <f>'SIMULARE PE PRODUS'!AC234</f>
        <v>0.59312121212121227</v>
      </c>
      <c r="L29" s="60">
        <f>'SIMULARE PE PRODUS'!AD234</f>
        <v>0.59312121212121227</v>
      </c>
      <c r="M29" s="60">
        <f>'SIMULARE PE PRODUS'!AE234</f>
        <v>0.59312121212121227</v>
      </c>
      <c r="N29" s="59">
        <v>0</v>
      </c>
      <c r="O29" s="59">
        <v>0</v>
      </c>
      <c r="P29" s="61">
        <f>'SIMULARE PE PRODUS'!AK234</f>
        <v>0.59312121212121227</v>
      </c>
      <c r="Q29" s="61">
        <f>'SIMULARE PE PRODUS'!AL234</f>
        <v>0.59312121212121227</v>
      </c>
      <c r="R29" s="61">
        <f>'SIMULARE PE PRODUS'!AM234</f>
        <v>0.59312121212121227</v>
      </c>
      <c r="S29" s="59">
        <v>0</v>
      </c>
      <c r="T29" s="59">
        <v>0</v>
      </c>
      <c r="U29" s="62">
        <f>'SIMULARE PE PRODUS'!AS234</f>
        <v>0.59312121212121227</v>
      </c>
      <c r="V29" s="62">
        <f>'SIMULARE PE PRODUS'!AT234</f>
        <v>0.59312121212121227</v>
      </c>
      <c r="W29" s="62">
        <f>'SIMULARE PE PRODUS'!AU234</f>
        <v>0.59312121212121227</v>
      </c>
      <c r="X29" s="59">
        <v>0</v>
      </c>
      <c r="Y29" s="59">
        <v>0</v>
      </c>
      <c r="Z29" s="63">
        <f>'SIMULARE PE PRODUS'!BA234</f>
        <v>0.59312121212121227</v>
      </c>
      <c r="AA29" s="63">
        <f>'SIMULARE PE PRODUS'!BB234</f>
        <v>0.59312121212121227</v>
      </c>
      <c r="AB29" s="63">
        <f>'SIMULARE PE PRODUS'!BC234</f>
        <v>0.59312121212121227</v>
      </c>
    </row>
    <row r="30" spans="1:28" x14ac:dyDescent="0.2">
      <c r="A30" s="26">
        <v>25</v>
      </c>
      <c r="B30" s="26" t="s">
        <v>169</v>
      </c>
      <c r="C30" s="26" t="s">
        <v>96</v>
      </c>
      <c r="D30" s="41">
        <f>'SIMULARE PE PRODUS'!P26</f>
        <v>33.99</v>
      </c>
      <c r="E30" s="41">
        <f>'SIMULARE PE PRODUS'!Q26</f>
        <v>36.99</v>
      </c>
      <c r="F30" s="28">
        <f>'SIMULARE PE PRODUS'!U26</f>
        <v>0.47296865911632874</v>
      </c>
      <c r="G30" s="28">
        <f>'SIMULARE PE PRODUS'!V26</f>
        <v>0.48558402209179169</v>
      </c>
      <c r="H30" s="28">
        <f>'SIMULARE PE PRODUS'!W26</f>
        <v>0.44620170075425791</v>
      </c>
      <c r="I30" s="59">
        <v>0</v>
      </c>
      <c r="J30" s="59">
        <v>0</v>
      </c>
      <c r="K30" s="60">
        <f>'SIMULARE PE PRODUS'!AC26</f>
        <v>0.46628767026458401</v>
      </c>
      <c r="L30" s="60">
        <f>'SIMULARE PE PRODUS'!AD26</f>
        <v>0.47854453206436642</v>
      </c>
      <c r="M30" s="60">
        <f>'SIMULARE PE PRODUS'!AE26</f>
        <v>0.44025075782608691</v>
      </c>
      <c r="N30" s="59">
        <v>0</v>
      </c>
      <c r="O30" s="59">
        <v>0</v>
      </c>
      <c r="P30" s="61">
        <f>'SIMULARE PE PRODUS'!AK26</f>
        <v>0.46628767026458401</v>
      </c>
      <c r="Q30" s="61">
        <f>'SIMULARE PE PRODUS'!AL26</f>
        <v>0.47854453206436642</v>
      </c>
      <c r="R30" s="61">
        <f>'SIMULARE PE PRODUS'!AM26</f>
        <v>0.44025075782608691</v>
      </c>
      <c r="S30" s="59">
        <v>0</v>
      </c>
      <c r="T30" s="59">
        <v>0</v>
      </c>
      <c r="U30" s="62">
        <f>'SIMULARE PE PRODUS'!AS26</f>
        <v>0.45979279897688308</v>
      </c>
      <c r="V30" s="62">
        <f>'SIMULARE PE PRODUS'!AT26</f>
        <v>0.47170622780508714</v>
      </c>
      <c r="W30" s="62">
        <f>'SIMULARE PE PRODUS'!AU26</f>
        <v>0.43445645988154774</v>
      </c>
      <c r="X30" s="59">
        <v>0</v>
      </c>
      <c r="Y30" s="59">
        <v>0</v>
      </c>
      <c r="Z30" s="63">
        <f>'SIMULARE PE PRODUS'!BA26</f>
        <v>0.45979279897688308</v>
      </c>
      <c r="AA30" s="63">
        <f>'SIMULARE PE PRODUS'!BB26</f>
        <v>0.47170622780508714</v>
      </c>
      <c r="AB30" s="63">
        <f>'SIMULARE PE PRODUS'!BC26</f>
        <v>0.43445645988154774</v>
      </c>
    </row>
    <row r="31" spans="1:28" x14ac:dyDescent="0.2">
      <c r="A31" s="26">
        <v>26</v>
      </c>
      <c r="B31" s="26" t="s">
        <v>170</v>
      </c>
      <c r="C31" s="26" t="s">
        <v>103</v>
      </c>
      <c r="D31" s="41">
        <f>'SIMULARE PE PRODUS'!P95</f>
        <v>10.99</v>
      </c>
      <c r="E31" s="41">
        <f>'SIMULARE PE PRODUS'!Q95</f>
        <v>0</v>
      </c>
      <c r="F31" s="28">
        <f>'SIMULARE PE PRODUS'!U95</f>
        <v>0.52748963106824376</v>
      </c>
      <c r="G31" s="28">
        <f>'SIMULARE PE PRODUS'!V95</f>
        <v>0.52748963106824376</v>
      </c>
      <c r="H31" s="28" t="str">
        <f>'SIMULARE PE PRODUS'!W95</f>
        <v/>
      </c>
      <c r="I31" s="59">
        <v>0</v>
      </c>
      <c r="J31" s="59">
        <v>0</v>
      </c>
      <c r="K31" s="60">
        <f>'SIMULARE PE PRODUS'!AC95</f>
        <v>0.5045353390287205</v>
      </c>
      <c r="L31" s="60">
        <f>'SIMULARE PE PRODUS'!AD95</f>
        <v>0.5045353390287205</v>
      </c>
      <c r="M31" s="60" t="str">
        <f>'SIMULARE PE PRODUS'!AE95</f>
        <v/>
      </c>
      <c r="N31" s="59">
        <v>0</v>
      </c>
      <c r="O31" s="59">
        <v>0</v>
      </c>
      <c r="P31" s="61">
        <f>'SIMULARE PE PRODUS'!AK95</f>
        <v>0.46414019579183341</v>
      </c>
      <c r="Q31" s="61">
        <f>'SIMULARE PE PRODUS'!AL95</f>
        <v>0.46414019579183341</v>
      </c>
      <c r="R31" s="61" t="str">
        <f>'SIMULARE PE PRODUS'!AM95</f>
        <v/>
      </c>
      <c r="S31" s="59">
        <v>0</v>
      </c>
      <c r="T31" s="59">
        <v>0</v>
      </c>
      <c r="U31" s="62">
        <f>'SIMULARE PE PRODUS'!AS95</f>
        <v>0.4462749072702078</v>
      </c>
      <c r="V31" s="62">
        <f>'SIMULARE PE PRODUS'!AT95</f>
        <v>0.4462749072702078</v>
      </c>
      <c r="W31" s="62" t="str">
        <f>'SIMULARE PE PRODUS'!AU95</f>
        <v/>
      </c>
      <c r="X31" s="59">
        <v>0</v>
      </c>
      <c r="Y31" s="59">
        <v>0</v>
      </c>
      <c r="Z31" s="63">
        <f>'SIMULARE PE PRODUS'!BA95</f>
        <v>0.42973395444329121</v>
      </c>
      <c r="AA31" s="63">
        <f>'SIMULARE PE PRODUS'!BB95</f>
        <v>0.42973395444329121</v>
      </c>
      <c r="AB31" s="63" t="str">
        <f>'SIMULARE PE PRODUS'!BC95</f>
        <v/>
      </c>
    </row>
    <row r="32" spans="1:28" x14ac:dyDescent="0.2">
      <c r="A32" s="26">
        <v>27</v>
      </c>
      <c r="B32" s="26" t="s">
        <v>168</v>
      </c>
      <c r="C32" s="26" t="s">
        <v>102</v>
      </c>
      <c r="D32" s="41">
        <f>'SIMULARE PE PRODUS'!P77</f>
        <v>6.1</v>
      </c>
      <c r="E32" s="41">
        <f>'SIMULARE PE PRODUS'!Q77</f>
        <v>6.6</v>
      </c>
      <c r="F32" s="28">
        <f>'SIMULARE PE PRODUS'!U77</f>
        <v>0.35951480363147842</v>
      </c>
      <c r="G32" s="28">
        <f>'SIMULARE PE PRODUS'!V77</f>
        <v>0.36919036721311482</v>
      </c>
      <c r="H32" s="28">
        <f>'SIMULARE PE PRODUS'!W77</f>
        <v>0.34122140000000001</v>
      </c>
      <c r="I32" s="59">
        <v>0</v>
      </c>
      <c r="J32" s="59">
        <v>0</v>
      </c>
      <c r="K32" s="60">
        <f>'SIMULARE PE PRODUS'!AC77</f>
        <v>0.34839149166395439</v>
      </c>
      <c r="L32" s="60">
        <f>'SIMULARE PE PRODUS'!AD77</f>
        <v>0.35747003809523809</v>
      </c>
      <c r="M32" s="60">
        <f>'SIMULARE PE PRODUS'!AE77</f>
        <v>0.33118547647058821</v>
      </c>
      <c r="N32" s="59">
        <v>0</v>
      </c>
      <c r="O32" s="59">
        <v>0</v>
      </c>
      <c r="P32" s="61">
        <f>'SIMULARE PE PRODUS'!AK77</f>
        <v>0.34839149166395439</v>
      </c>
      <c r="Q32" s="61">
        <f>'SIMULARE PE PRODUS'!AL77</f>
        <v>0.35747003809523809</v>
      </c>
      <c r="R32" s="61">
        <f>'SIMULARE PE PRODUS'!AM77</f>
        <v>0.33118547647058821</v>
      </c>
      <c r="S32" s="59">
        <v>0</v>
      </c>
      <c r="T32" s="59">
        <v>0</v>
      </c>
      <c r="U32" s="62">
        <f>'SIMULARE PE PRODUS'!AS77</f>
        <v>0.34839149166395439</v>
      </c>
      <c r="V32" s="62">
        <f>'SIMULARE PE PRODUS'!AT77</f>
        <v>0.35747003809523809</v>
      </c>
      <c r="W32" s="62">
        <f>'SIMULARE PE PRODUS'!AU77</f>
        <v>0.33118547647058821</v>
      </c>
      <c r="X32" s="59">
        <v>0</v>
      </c>
      <c r="Y32" s="59">
        <v>0</v>
      </c>
      <c r="Z32" s="63">
        <f>'SIMULARE PE PRODUS'!BA77</f>
        <v>0.33844368446565004</v>
      </c>
      <c r="AA32" s="63">
        <f>'SIMULARE PE PRODUS'!BB77</f>
        <v>0.347004813559322</v>
      </c>
      <c r="AB32" s="63">
        <f>'SIMULARE PE PRODUS'!BC77</f>
        <v>0.32218329613733898</v>
      </c>
    </row>
    <row r="33" spans="1:28" x14ac:dyDescent="0.2">
      <c r="A33" s="26">
        <v>28</v>
      </c>
      <c r="B33" s="26" t="s">
        <v>172</v>
      </c>
      <c r="C33" s="26" t="s">
        <v>103</v>
      </c>
      <c r="D33" s="41">
        <f>'SIMULARE PE PRODUS'!P96</f>
        <v>7.99</v>
      </c>
      <c r="E33" s="41">
        <f>'SIMULARE PE PRODUS'!Q96</f>
        <v>0</v>
      </c>
      <c r="F33" s="28">
        <f>'SIMULARE PE PRODUS'!U96</f>
        <v>0.53178482570212748</v>
      </c>
      <c r="G33" s="28">
        <f>'SIMULARE PE PRODUS'!V96</f>
        <v>0.53178482570212748</v>
      </c>
      <c r="H33" s="28" t="str">
        <f>'SIMULARE PE PRODUS'!W96</f>
        <v/>
      </c>
      <c r="I33" s="59">
        <v>0</v>
      </c>
      <c r="J33" s="59">
        <v>0</v>
      </c>
      <c r="K33" s="60">
        <f>'SIMULARE PE PRODUS'!AC96</f>
        <v>0.50046652030153105</v>
      </c>
      <c r="L33" s="60">
        <f>'SIMULARE PE PRODUS'!AD96</f>
        <v>0.50046652030153105</v>
      </c>
      <c r="M33" s="60" t="str">
        <f>'SIMULARE PE PRODUS'!AE96</f>
        <v/>
      </c>
      <c r="N33" s="59">
        <v>0</v>
      </c>
      <c r="O33" s="59">
        <v>0</v>
      </c>
      <c r="P33" s="61">
        <f>'SIMULARE PE PRODUS'!AK96</f>
        <v>0.44773032216649095</v>
      </c>
      <c r="Q33" s="61">
        <f>'SIMULARE PE PRODUS'!AL96</f>
        <v>0.44773032216649095</v>
      </c>
      <c r="R33" s="61" t="str">
        <f>'SIMULARE PE PRODUS'!AM96</f>
        <v/>
      </c>
      <c r="S33" s="59">
        <v>0</v>
      </c>
      <c r="T33" s="59">
        <v>0</v>
      </c>
      <c r="U33" s="62">
        <f>'SIMULARE PE PRODUS'!AS96</f>
        <v>0.42532139713313305</v>
      </c>
      <c r="V33" s="62">
        <f>'SIMULARE PE PRODUS'!AT96</f>
        <v>0.42532139713313305</v>
      </c>
      <c r="W33" s="62" t="str">
        <f>'SIMULARE PE PRODUS'!AU96</f>
        <v/>
      </c>
      <c r="X33" s="59">
        <v>0</v>
      </c>
      <c r="Y33" s="59">
        <v>0</v>
      </c>
      <c r="Z33" s="63">
        <f>'SIMULARE PE PRODUS'!BA96</f>
        <v>0.40504868992945653</v>
      </c>
      <c r="AA33" s="63">
        <f>'SIMULARE PE PRODUS'!BB96</f>
        <v>0.40504868992945653</v>
      </c>
      <c r="AB33" s="63" t="str">
        <f>'SIMULARE PE PRODUS'!BC96</f>
        <v/>
      </c>
    </row>
    <row r="34" spans="1:28" x14ac:dyDescent="0.2">
      <c r="A34" s="26">
        <v>29</v>
      </c>
      <c r="B34" s="26" t="s">
        <v>174</v>
      </c>
      <c r="C34" s="26" t="s">
        <v>97</v>
      </c>
      <c r="D34" s="41">
        <f>'SIMULARE PE PRODUS'!P32</f>
        <v>15.99</v>
      </c>
      <c r="E34" s="41">
        <f>'SIMULARE PE PRODUS'!Q32</f>
        <v>17.989999999999998</v>
      </c>
      <c r="F34" s="28">
        <f>'SIMULARE PE PRODUS'!U32</f>
        <v>0.33434209522290059</v>
      </c>
      <c r="G34" s="28">
        <f>'SIMULARE PE PRODUS'!V32</f>
        <v>0.3482759151031895</v>
      </c>
      <c r="H34" s="28">
        <f>'SIMULARE PE PRODUS'!W32</f>
        <v>0.30955708073929961</v>
      </c>
      <c r="I34" s="59">
        <v>0</v>
      </c>
      <c r="J34" s="59">
        <v>0</v>
      </c>
      <c r="K34" s="60">
        <f>'SIMULARE PE PRODUS'!AC32</f>
        <v>0.32459814205469384</v>
      </c>
      <c r="L34" s="60">
        <f>'SIMULARE PE PRODUS'!AD32</f>
        <v>0.33771569936325047</v>
      </c>
      <c r="M34" s="60">
        <f>'SIMULARE PE PRODUS'!AE32</f>
        <v>0.301186148323418</v>
      </c>
      <c r="N34" s="59">
        <v>0</v>
      </c>
      <c r="O34" s="59">
        <v>0</v>
      </c>
      <c r="P34" s="61">
        <f>'SIMULARE PE PRODUS'!AK32</f>
        <v>0.32459814205469384</v>
      </c>
      <c r="Q34" s="61">
        <f>'SIMULARE PE PRODUS'!AL32</f>
        <v>0.33771569936325047</v>
      </c>
      <c r="R34" s="61">
        <f>'SIMULARE PE PRODUS'!AM32</f>
        <v>0.301186148323418</v>
      </c>
      <c r="S34" s="59">
        <v>0</v>
      </c>
      <c r="T34" s="59">
        <v>0</v>
      </c>
      <c r="U34" s="62">
        <f>'SIMULARE PE PRODUS'!AS32</f>
        <v>0.31540605446655429</v>
      </c>
      <c r="V34" s="62">
        <f>'SIMULARE PE PRODUS'!AT32</f>
        <v>0.3277770384049441</v>
      </c>
      <c r="W34" s="62">
        <f>'SIMULARE PE PRODUS'!AU32</f>
        <v>0.29325602330173772</v>
      </c>
      <c r="X34" s="59">
        <v>0</v>
      </c>
      <c r="Y34" s="59">
        <v>0</v>
      </c>
      <c r="Z34" s="63">
        <f>'SIMULARE PE PRODUS'!BA32</f>
        <v>0.30672023978112045</v>
      </c>
      <c r="AA34" s="63">
        <f>'SIMULARE PE PRODUS'!BB32</f>
        <v>0.31840662564322469</v>
      </c>
      <c r="AB34" s="63">
        <f>'SIMULARE PE PRODUS'!BC32</f>
        <v>0.28573278001539248</v>
      </c>
    </row>
    <row r="35" spans="1:28" x14ac:dyDescent="0.2">
      <c r="A35" s="26">
        <v>30</v>
      </c>
      <c r="B35" s="26" t="s">
        <v>178</v>
      </c>
      <c r="C35" s="26" t="s">
        <v>97</v>
      </c>
      <c r="D35" s="41">
        <f>'SIMULARE PE PRODUS'!P34</f>
        <v>19.989999999999998</v>
      </c>
      <c r="E35" s="41">
        <f>'SIMULARE PE PRODUS'!Q34</f>
        <v>21.99</v>
      </c>
      <c r="F35" s="28">
        <f>'SIMULARE PE PRODUS'!U34</f>
        <v>0.40589514772454427</v>
      </c>
      <c r="G35" s="28">
        <f>'SIMULARE PE PRODUS'!V34</f>
        <v>0.42877942901450727</v>
      </c>
      <c r="H35" s="28">
        <f>'SIMULARE PE PRODUS'!W34</f>
        <v>0.38978175470668491</v>
      </c>
      <c r="I35" s="59">
        <v>0</v>
      </c>
      <c r="J35" s="59">
        <v>0</v>
      </c>
      <c r="K35" s="60">
        <f>'SIMULARE PE PRODUS'!AC34</f>
        <v>0.39650682953537714</v>
      </c>
      <c r="L35" s="60">
        <f>'SIMULARE PE PRODUS'!AD34</f>
        <v>0.41831629019033678</v>
      </c>
      <c r="M35" s="60">
        <f>'SIMULARE PE PRODUS'!AE34</f>
        <v>0.38111608652734558</v>
      </c>
      <c r="N35" s="59">
        <v>0</v>
      </c>
      <c r="O35" s="59">
        <v>0</v>
      </c>
      <c r="P35" s="61">
        <f>'SIMULARE PE PRODUS'!AK34</f>
        <v>0.39650682953537714</v>
      </c>
      <c r="Q35" s="61">
        <f>'SIMULARE PE PRODUS'!AL34</f>
        <v>0.41831629019033678</v>
      </c>
      <c r="R35" s="61">
        <f>'SIMULARE PE PRODUS'!AM34</f>
        <v>0.38111608652734558</v>
      </c>
      <c r="S35" s="59">
        <v>0</v>
      </c>
      <c r="T35" s="59">
        <v>0</v>
      </c>
      <c r="U35" s="62">
        <f>'SIMULARE PE PRODUS'!AS34</f>
        <v>0.38754299498524492</v>
      </c>
      <c r="V35" s="62">
        <f>'SIMULARE PE PRODUS'!AT34</f>
        <v>0.40835163344449743</v>
      </c>
      <c r="W35" s="62">
        <f>'SIMULARE PE PRODUS'!AU34</f>
        <v>0.37282735041322318</v>
      </c>
      <c r="X35" s="59">
        <v>0</v>
      </c>
      <c r="Y35" s="59">
        <v>0</v>
      </c>
      <c r="Z35" s="63">
        <f>'SIMULARE PE PRODUS'!BA34</f>
        <v>0.3789754915976809</v>
      </c>
      <c r="AA35" s="63">
        <f>'SIMULARE PE PRODUS'!BB34</f>
        <v>0.39885066477431369</v>
      </c>
      <c r="AB35" s="63">
        <f>'SIMULARE PE PRODUS'!BC34</f>
        <v>0.36489147662835258</v>
      </c>
    </row>
    <row r="36" spans="1:28" x14ac:dyDescent="0.2">
      <c r="A36" s="26">
        <v>31</v>
      </c>
      <c r="B36" s="26" t="s">
        <v>171</v>
      </c>
      <c r="C36" s="26" t="s">
        <v>102</v>
      </c>
      <c r="D36" s="41">
        <f>'SIMULARE PE PRODUS'!P78</f>
        <v>6.1</v>
      </c>
      <c r="E36" s="41">
        <f>'SIMULARE PE PRODUS'!Q78</f>
        <v>6.1</v>
      </c>
      <c r="F36" s="28">
        <f>'SIMULARE PE PRODUS'!U78</f>
        <v>0.36102295081967223</v>
      </c>
      <c r="G36" s="28">
        <f>'SIMULARE PE PRODUS'!V78</f>
        <v>0.36102295081967223</v>
      </c>
      <c r="H36" s="28">
        <f>'SIMULARE PE PRODUS'!W78</f>
        <v>0.36102295081967223</v>
      </c>
      <c r="I36" s="59">
        <v>0</v>
      </c>
      <c r="J36" s="59">
        <v>0</v>
      </c>
      <c r="K36" s="60">
        <f>'SIMULARE PE PRODUS'!AC78</f>
        <v>0.34956190476190474</v>
      </c>
      <c r="L36" s="60">
        <f>'SIMULARE PE PRODUS'!AD78</f>
        <v>0.3495619047619048</v>
      </c>
      <c r="M36" s="60">
        <f>'SIMULARE PE PRODUS'!AE78</f>
        <v>0.3495619047619048</v>
      </c>
      <c r="N36" s="59">
        <v>0</v>
      </c>
      <c r="O36" s="59">
        <v>0</v>
      </c>
      <c r="P36" s="61">
        <f>'SIMULARE PE PRODUS'!AK78</f>
        <v>0.34956190476190474</v>
      </c>
      <c r="Q36" s="61">
        <f>'SIMULARE PE PRODUS'!AL78</f>
        <v>0.3495619047619048</v>
      </c>
      <c r="R36" s="61">
        <f>'SIMULARE PE PRODUS'!AM78</f>
        <v>0.3495619047619048</v>
      </c>
      <c r="S36" s="59">
        <v>0</v>
      </c>
      <c r="T36" s="59">
        <v>0</v>
      </c>
      <c r="U36" s="62">
        <f>'SIMULARE PE PRODUS'!AS78</f>
        <v>0.34956190476190474</v>
      </c>
      <c r="V36" s="62">
        <f>'SIMULARE PE PRODUS'!AT78</f>
        <v>0.3495619047619048</v>
      </c>
      <c r="W36" s="62">
        <f>'SIMULARE PE PRODUS'!AU78</f>
        <v>0.3495619047619048</v>
      </c>
      <c r="X36" s="59">
        <v>0</v>
      </c>
      <c r="Y36" s="59">
        <v>0</v>
      </c>
      <c r="Z36" s="63">
        <f>'SIMULARE PE PRODUS'!BA78</f>
        <v>0.33932819722650231</v>
      </c>
      <c r="AA36" s="63">
        <f>'SIMULARE PE PRODUS'!BB78</f>
        <v>0.33932819722650237</v>
      </c>
      <c r="AB36" s="63">
        <f>'SIMULARE PE PRODUS'!BC78</f>
        <v>0.33932819722650231</v>
      </c>
    </row>
    <row r="37" spans="1:28" x14ac:dyDescent="0.2">
      <c r="A37" s="26">
        <v>32</v>
      </c>
      <c r="B37" s="26" t="s">
        <v>176</v>
      </c>
      <c r="C37" s="26" t="s">
        <v>97</v>
      </c>
      <c r="D37" s="41">
        <f>'SIMULARE PE PRODUS'!P33</f>
        <v>14.49</v>
      </c>
      <c r="E37" s="41">
        <f>'SIMULARE PE PRODUS'!Q33</f>
        <v>16.489999999999998</v>
      </c>
      <c r="F37" s="28">
        <f>'SIMULARE PE PRODUS'!U33</f>
        <v>0.41476715875099829</v>
      </c>
      <c r="G37" s="28">
        <f>'SIMULARE PE PRODUS'!V33</f>
        <v>0.42871722277432711</v>
      </c>
      <c r="H37" s="28">
        <f>'SIMULARE PE PRODUS'!W33</f>
        <v>0.37671998532443907</v>
      </c>
      <c r="I37" s="59">
        <v>0</v>
      </c>
      <c r="J37" s="59">
        <v>0</v>
      </c>
      <c r="K37" s="60">
        <f>'SIMULARE PE PRODUS'!AC33</f>
        <v>0.40136799218893948</v>
      </c>
      <c r="L37" s="60">
        <f>'SIMULARE PE PRODUS'!AD33</f>
        <v>0.41441711527685121</v>
      </c>
      <c r="M37" s="60">
        <f>'SIMULARE PE PRODUS'!AE33</f>
        <v>0.36563346427310184</v>
      </c>
      <c r="N37" s="59">
        <v>0</v>
      </c>
      <c r="O37" s="59">
        <v>0</v>
      </c>
      <c r="P37" s="61">
        <f>'SIMULARE PE PRODUS'!AK33</f>
        <v>0.40136799218893948</v>
      </c>
      <c r="Q37" s="61">
        <f>'SIMULARE PE PRODUS'!AL33</f>
        <v>0.41441711527685121</v>
      </c>
      <c r="R37" s="61">
        <f>'SIMULARE PE PRODUS'!AM33</f>
        <v>0.36563346427310184</v>
      </c>
      <c r="S37" s="59">
        <v>0</v>
      </c>
      <c r="T37" s="59">
        <v>0</v>
      </c>
      <c r="U37" s="62">
        <f>'SIMULARE PE PRODUS'!AS33</f>
        <v>0.38880746077375494</v>
      </c>
      <c r="V37" s="62">
        <f>'SIMULARE PE PRODUS'!AT33</f>
        <v>0.4010401909619109</v>
      </c>
      <c r="W37" s="62">
        <f>'SIMULARE PE PRODUS'!AU33</f>
        <v>0.35518082092624359</v>
      </c>
      <c r="X37" s="59">
        <v>0</v>
      </c>
      <c r="Y37" s="59">
        <v>0</v>
      </c>
      <c r="Z37" s="63">
        <f>'SIMULARE PE PRODUS'!BA33</f>
        <v>0.3770092201427771</v>
      </c>
      <c r="AA37" s="63">
        <f>'SIMULARE PE PRODUS'!BB33</f>
        <v>0.38849984727954967</v>
      </c>
      <c r="AB37" s="63">
        <f>'SIMULARE PE PRODUS'!BC33</f>
        <v>0.34530920277932181</v>
      </c>
    </row>
    <row r="38" spans="1:28" x14ac:dyDescent="0.2">
      <c r="A38" s="26">
        <v>33</v>
      </c>
      <c r="B38" s="26" t="s">
        <v>173</v>
      </c>
      <c r="C38" s="26" t="s">
        <v>100</v>
      </c>
      <c r="D38" s="41">
        <f>'SIMULARE PE PRODUS'!P53</f>
        <v>101.24</v>
      </c>
      <c r="E38" s="41">
        <f>'SIMULARE PE PRODUS'!Q53</f>
        <v>121.24</v>
      </c>
      <c r="F38" s="28">
        <f>'SIMULARE PE PRODUS'!U53</f>
        <v>0.61257665749038115</v>
      </c>
      <c r="G38" s="28">
        <f>'SIMULARE PE PRODUS'!V53</f>
        <v>0.65001055306203093</v>
      </c>
      <c r="H38" s="28">
        <f>'SIMULARE PE PRODUS'!W53</f>
        <v>0.54278347403497207</v>
      </c>
      <c r="I38" s="59">
        <v>3.5</v>
      </c>
      <c r="J38" s="59">
        <v>3.5</v>
      </c>
      <c r="K38" s="60">
        <f>'SIMULARE PE PRODUS'!AC53</f>
        <v>0.59191438604023627</v>
      </c>
      <c r="L38" s="60">
        <f>'SIMULARE PE PRODUS'!AD53</f>
        <v>0.62679367932184016</v>
      </c>
      <c r="M38" s="60">
        <f>'SIMULARE PE PRODUS'!AE53</f>
        <v>0.52649866702936243</v>
      </c>
      <c r="N38" s="59">
        <v>0</v>
      </c>
      <c r="O38" s="59">
        <v>0</v>
      </c>
      <c r="P38" s="61">
        <f>'SIMULARE PE PRODUS'!AK53</f>
        <v>0.59191438604023627</v>
      </c>
      <c r="Q38" s="61">
        <f>'SIMULARE PE PRODUS'!AL53</f>
        <v>0.62679367932184016</v>
      </c>
      <c r="R38" s="61">
        <f>'SIMULARE PE PRODUS'!AM53</f>
        <v>0.52649866702936243</v>
      </c>
      <c r="S38" s="59">
        <v>0</v>
      </c>
      <c r="T38" s="59">
        <v>0</v>
      </c>
      <c r="U38" s="62">
        <f>'SIMULARE PE PRODUS'!AS53</f>
        <v>0.58926426044234859</v>
      </c>
      <c r="V38" s="62">
        <f>'SIMULARE PE PRODUS'!AT53</f>
        <v>0.62382281156507735</v>
      </c>
      <c r="W38" s="62">
        <f>'SIMULARE PE PRODUS'!AU53</f>
        <v>0.52440089562514947</v>
      </c>
      <c r="X38" s="59">
        <v>4.5</v>
      </c>
      <c r="Y38" s="59">
        <v>4.5</v>
      </c>
      <c r="Z38" s="63">
        <f>'SIMULARE PE PRODUS'!BA53</f>
        <v>0.56643963267437525</v>
      </c>
      <c r="AA38" s="63">
        <f>'SIMULARE PE PRODUS'!BB53</f>
        <v>0.59830046724247665</v>
      </c>
      <c r="AB38" s="63">
        <f>'SIMULARE PE PRODUS'!BC53</f>
        <v>0.50624716048926832</v>
      </c>
    </row>
    <row r="39" spans="1:28" x14ac:dyDescent="0.2">
      <c r="A39" s="26">
        <v>34</v>
      </c>
      <c r="B39" s="26" t="s">
        <v>175</v>
      </c>
      <c r="C39" s="26" t="s">
        <v>102</v>
      </c>
      <c r="D39" s="41">
        <f>'SIMULARE PE PRODUS'!P79</f>
        <v>6.1</v>
      </c>
      <c r="E39" s="41">
        <f>'SIMULARE PE PRODUS'!Q79</f>
        <v>6.1</v>
      </c>
      <c r="F39" s="28">
        <f>'SIMULARE PE PRODUS'!U79</f>
        <v>0.23134438032786889</v>
      </c>
      <c r="G39" s="28">
        <f>'SIMULARE PE PRODUS'!V79</f>
        <v>0.23134438032786891</v>
      </c>
      <c r="H39" s="28">
        <f>'SIMULARE PE PRODUS'!W79</f>
        <v>0.23134438032786889</v>
      </c>
      <c r="I39" s="59">
        <v>0</v>
      </c>
      <c r="J39" s="59">
        <v>0</v>
      </c>
      <c r="K39" s="60">
        <f>'SIMULARE PE PRODUS'!AC79</f>
        <v>0.22400011428571429</v>
      </c>
      <c r="L39" s="60">
        <f>'SIMULARE PE PRODUS'!AD79</f>
        <v>0.22400011428571431</v>
      </c>
      <c r="M39" s="60">
        <f>'SIMULARE PE PRODUS'!AE79</f>
        <v>0.22400011428571429</v>
      </c>
      <c r="N39" s="59">
        <v>0</v>
      </c>
      <c r="O39" s="59">
        <v>0</v>
      </c>
      <c r="P39" s="61">
        <f>'SIMULARE PE PRODUS'!AK79</f>
        <v>0.22400011428571429</v>
      </c>
      <c r="Q39" s="61">
        <f>'SIMULARE PE PRODUS'!AL79</f>
        <v>0.22400011428571431</v>
      </c>
      <c r="R39" s="61">
        <f>'SIMULARE PE PRODUS'!AM79</f>
        <v>0.22400011428571429</v>
      </c>
      <c r="S39" s="59">
        <v>0</v>
      </c>
      <c r="T39" s="59">
        <v>0</v>
      </c>
      <c r="U39" s="62">
        <f>'SIMULARE PE PRODUS'!AS79</f>
        <v>0.22400011428571429</v>
      </c>
      <c r="V39" s="62">
        <f>'SIMULARE PE PRODUS'!AT79</f>
        <v>0.22400011428571431</v>
      </c>
      <c r="W39" s="62">
        <f>'SIMULARE PE PRODUS'!AU79</f>
        <v>0.22400011428571429</v>
      </c>
      <c r="X39" s="59">
        <v>0</v>
      </c>
      <c r="Y39" s="59">
        <v>0</v>
      </c>
      <c r="Z39" s="63">
        <f>'SIMULARE PE PRODUS'!BA79</f>
        <v>0.21744232973805855</v>
      </c>
      <c r="AA39" s="63">
        <f>'SIMULARE PE PRODUS'!BB79</f>
        <v>0.21744232973805858</v>
      </c>
      <c r="AB39" s="63">
        <f>'SIMULARE PE PRODUS'!BC79</f>
        <v>0.21744232973805858</v>
      </c>
    </row>
    <row r="40" spans="1:28" x14ac:dyDescent="0.2">
      <c r="A40" s="26">
        <v>35</v>
      </c>
      <c r="B40" s="26" t="s">
        <v>180</v>
      </c>
      <c r="C40" s="26" t="s">
        <v>95</v>
      </c>
      <c r="D40" s="41">
        <f>'SIMULARE PE PRODUS'!P17</f>
        <v>15.49</v>
      </c>
      <c r="E40" s="41">
        <f>'SIMULARE PE PRODUS'!Q17</f>
        <v>18.489999999999998</v>
      </c>
      <c r="F40" s="28">
        <f>'SIMULARE PE PRODUS'!U17</f>
        <v>0.41660609341506916</v>
      </c>
      <c r="G40" s="28">
        <f>'SIMULARE PE PRODUS'!V17</f>
        <v>0.45236939283408645</v>
      </c>
      <c r="H40" s="28">
        <f>'SIMULARE PE PRODUS'!W17</f>
        <v>0.37897252001081666</v>
      </c>
      <c r="I40" s="59">
        <v>0</v>
      </c>
      <c r="J40" s="59">
        <v>0</v>
      </c>
      <c r="K40" s="60">
        <f>'SIMULARE PE PRODUS'!AC17</f>
        <v>0.40457917094237156</v>
      </c>
      <c r="L40" s="60">
        <f>'SIMULARE PE PRODUS'!AD17</f>
        <v>0.43822400844277676</v>
      </c>
      <c r="M40" s="60">
        <f>'SIMULARE PE PRODUS'!AE17</f>
        <v>0.36899430726698262</v>
      </c>
      <c r="N40" s="59">
        <v>0</v>
      </c>
      <c r="O40" s="59">
        <v>0</v>
      </c>
      <c r="P40" s="61">
        <f>'SIMULARE PE PRODUS'!AK17</f>
        <v>0.40457917094237156</v>
      </c>
      <c r="Q40" s="61">
        <f>'SIMULARE PE PRODUS'!AL17</f>
        <v>0.43822400844277676</v>
      </c>
      <c r="R40" s="61">
        <f>'SIMULARE PE PRODUS'!AM17</f>
        <v>0.36899430726698262</v>
      </c>
      <c r="S40" s="59">
        <v>0</v>
      </c>
      <c r="T40" s="59">
        <v>0</v>
      </c>
      <c r="U40" s="62">
        <f>'SIMULARE PE PRODUS'!AS17</f>
        <v>0.40457917094237156</v>
      </c>
      <c r="V40" s="62">
        <f>'SIMULARE PE PRODUS'!AT17</f>
        <v>0.43822400844277676</v>
      </c>
      <c r="W40" s="62">
        <f>'SIMULARE PE PRODUS'!AU17</f>
        <v>0.36899430726698262</v>
      </c>
      <c r="X40" s="59">
        <v>0</v>
      </c>
      <c r="Y40" s="59">
        <v>0</v>
      </c>
      <c r="Z40" s="63">
        <f>'SIMULARE PE PRODUS'!BA17</f>
        <v>0.39322717018033454</v>
      </c>
      <c r="AA40" s="63">
        <f>'SIMULARE PE PRODUS'!BB17</f>
        <v>0.4249364399636143</v>
      </c>
      <c r="AB40" s="63">
        <f>'SIMULARE PE PRODUS'!BC17</f>
        <v>0.35952806028732687</v>
      </c>
    </row>
    <row r="41" spans="1:28" x14ac:dyDescent="0.2">
      <c r="A41" s="26">
        <v>36</v>
      </c>
      <c r="B41" s="26" t="s">
        <v>177</v>
      </c>
      <c r="C41" s="26" t="s">
        <v>102</v>
      </c>
      <c r="D41" s="41">
        <f>'SIMULARE PE PRODUS'!P80</f>
        <v>25.1</v>
      </c>
      <c r="E41" s="41">
        <f>'SIMULARE PE PRODUS'!Q80</f>
        <v>25.1</v>
      </c>
      <c r="F41" s="28">
        <f>'SIMULARE PE PRODUS'!U80</f>
        <v>0.30639758964143432</v>
      </c>
      <c r="G41" s="28">
        <f>'SIMULARE PE PRODUS'!V80</f>
        <v>0.30639758964143426</v>
      </c>
      <c r="H41" s="28">
        <f>'SIMULARE PE PRODUS'!W80</f>
        <v>0.30639758964143432</v>
      </c>
      <c r="I41" s="59">
        <v>0</v>
      </c>
      <c r="J41" s="59">
        <v>0</v>
      </c>
      <c r="K41" s="60">
        <f>'SIMULARE PE PRODUS'!AC80</f>
        <v>0.30397547430830041</v>
      </c>
      <c r="L41" s="60">
        <f>'SIMULARE PE PRODUS'!AD80</f>
        <v>0.30397547430830046</v>
      </c>
      <c r="M41" s="60">
        <f>'SIMULARE PE PRODUS'!AE80</f>
        <v>0.30397547430830041</v>
      </c>
      <c r="N41" s="59">
        <v>0</v>
      </c>
      <c r="O41" s="59">
        <v>0</v>
      </c>
      <c r="P41" s="61">
        <f>'SIMULARE PE PRODUS'!AK80</f>
        <v>0.30397547430830041</v>
      </c>
      <c r="Q41" s="61">
        <f>'SIMULARE PE PRODUS'!AL80</f>
        <v>0.30397547430830046</v>
      </c>
      <c r="R41" s="61">
        <f>'SIMULARE PE PRODUS'!AM80</f>
        <v>0.30397547430830041</v>
      </c>
      <c r="S41" s="59">
        <v>0</v>
      </c>
      <c r="T41" s="59">
        <v>0</v>
      </c>
      <c r="U41" s="62">
        <f>'SIMULARE PE PRODUS'!AS80</f>
        <v>0.30397547430830041</v>
      </c>
      <c r="V41" s="62">
        <f>'SIMULARE PE PRODUS'!AT80</f>
        <v>0.30397547430830046</v>
      </c>
      <c r="W41" s="62">
        <f>'SIMULARE PE PRODUS'!AU80</f>
        <v>0.30397547430830041</v>
      </c>
      <c r="X41" s="59">
        <v>0</v>
      </c>
      <c r="Y41" s="59">
        <v>0</v>
      </c>
      <c r="Z41" s="63">
        <f>'SIMULARE PE PRODUS'!BA80</f>
        <v>0.30170967045900365</v>
      </c>
      <c r="AA41" s="63">
        <f>'SIMULARE PE PRODUS'!BB80</f>
        <v>0.3017096704590036</v>
      </c>
      <c r="AB41" s="63">
        <f>'SIMULARE PE PRODUS'!BC80</f>
        <v>0.3017096704590036</v>
      </c>
    </row>
    <row r="42" spans="1:28" x14ac:dyDescent="0.2">
      <c r="A42" s="26">
        <v>37</v>
      </c>
      <c r="B42" s="26" t="s">
        <v>182</v>
      </c>
      <c r="C42" s="26" t="s">
        <v>100</v>
      </c>
      <c r="D42" s="41">
        <f>'SIMULARE PE PRODUS'!P54</f>
        <v>22.5</v>
      </c>
      <c r="E42" s="41">
        <f>'SIMULARE PE PRODUS'!Q54</f>
        <v>26.5</v>
      </c>
      <c r="F42" s="28">
        <f>'SIMULARE PE PRODUS'!U54</f>
        <v>0.30658270581536573</v>
      </c>
      <c r="G42" s="28">
        <f>'SIMULARE PE PRODUS'!V54</f>
        <v>0.33589903189333331</v>
      </c>
      <c r="H42" s="28">
        <f>'SIMULARE PE PRODUS'!W54</f>
        <v>0.28519729123018872</v>
      </c>
      <c r="I42" s="59">
        <v>0</v>
      </c>
      <c r="J42" s="59">
        <v>0</v>
      </c>
      <c r="K42" s="60">
        <f>'SIMULARE PE PRODUS'!AC54</f>
        <v>0.30048798937445786</v>
      </c>
      <c r="L42" s="60">
        <f>'SIMULARE PE PRODUS'!AD54</f>
        <v>0.32859687902608697</v>
      </c>
      <c r="M42" s="60">
        <f>'SIMULARE PE PRODUS'!AE54</f>
        <v>0.27991585991111118</v>
      </c>
      <c r="N42" s="59">
        <v>0</v>
      </c>
      <c r="O42" s="59">
        <v>0</v>
      </c>
      <c r="P42" s="61">
        <f>'SIMULARE PE PRODUS'!AK54</f>
        <v>0.30048798937445786</v>
      </c>
      <c r="Q42" s="61">
        <f>'SIMULARE PE PRODUS'!AL54</f>
        <v>0.32859687902608697</v>
      </c>
      <c r="R42" s="61">
        <f>'SIMULARE PE PRODUS'!AM54</f>
        <v>0.27991585991111118</v>
      </c>
      <c r="S42" s="59">
        <v>0</v>
      </c>
      <c r="T42" s="59">
        <v>0</v>
      </c>
      <c r="U42" s="62">
        <f>'SIMULARE PE PRODUS'!AS54</f>
        <v>0.29463086967607799</v>
      </c>
      <c r="V42" s="62">
        <f>'SIMULARE PE PRODUS'!AT54</f>
        <v>0.3216054560680851</v>
      </c>
      <c r="W42" s="62">
        <f>'SIMULARE PE PRODUS'!AU54</f>
        <v>0.27482648064000004</v>
      </c>
      <c r="X42" s="59">
        <v>0</v>
      </c>
      <c r="Y42" s="59">
        <v>0</v>
      </c>
      <c r="Z42" s="63">
        <f>'SIMULARE PE PRODUS'!BA54</f>
        <v>0.28910826988396499</v>
      </c>
      <c r="AA42" s="63">
        <f>'SIMULARE PE PRODUS'!BB54</f>
        <v>0.31503660765318892</v>
      </c>
      <c r="AB42" s="63">
        <f>'SIMULARE PE PRODUS'!BC54</f>
        <v>0.27001529894962489</v>
      </c>
    </row>
    <row r="43" spans="1:28" x14ac:dyDescent="0.2">
      <c r="A43" s="26">
        <v>38</v>
      </c>
      <c r="B43" s="26" t="s">
        <v>179</v>
      </c>
      <c r="C43" s="26" t="s">
        <v>96</v>
      </c>
      <c r="D43" s="41">
        <f>'SIMULARE PE PRODUS'!P27</f>
        <v>26.99</v>
      </c>
      <c r="E43" s="41">
        <f>'SIMULARE PE PRODUS'!Q27</f>
        <v>29.99</v>
      </c>
      <c r="F43" s="28">
        <f>'SIMULARE PE PRODUS'!U27</f>
        <v>0.4057984452180573</v>
      </c>
      <c r="G43" s="28">
        <f>'SIMULARE PE PRODUS'!V27</f>
        <v>0.41435031211189322</v>
      </c>
      <c r="H43" s="28">
        <f>'SIMULARE PE PRODUS'!W27</f>
        <v>0.37290146461820611</v>
      </c>
      <c r="I43" s="59">
        <v>0</v>
      </c>
      <c r="J43" s="59">
        <v>0</v>
      </c>
      <c r="K43" s="60">
        <f>'SIMULARE PE PRODUS'!AC27</f>
        <v>0.39856722788705884</v>
      </c>
      <c r="L43" s="60">
        <f>'SIMULARE PE PRODUS'!AD27</f>
        <v>0.40681392957075296</v>
      </c>
      <c r="M43" s="60">
        <f>'SIMULARE PE PRODUS'!AE27</f>
        <v>0.36678632088881602</v>
      </c>
      <c r="N43" s="59">
        <v>0</v>
      </c>
      <c r="O43" s="59">
        <v>0</v>
      </c>
      <c r="P43" s="61">
        <f>'SIMULARE PE PRODUS'!AK27</f>
        <v>0.39856722788705884</v>
      </c>
      <c r="Q43" s="61">
        <f>'SIMULARE PE PRODUS'!AL27</f>
        <v>0.40681392957075296</v>
      </c>
      <c r="R43" s="61">
        <f>'SIMULARE PE PRODUS'!AM27</f>
        <v>0.36678632088881602</v>
      </c>
      <c r="S43" s="59">
        <v>0</v>
      </c>
      <c r="T43" s="59">
        <v>0</v>
      </c>
      <c r="U43" s="62">
        <f>'SIMULARE PE PRODUS'!AS27</f>
        <v>0.39158921515044903</v>
      </c>
      <c r="V43" s="62">
        <f>'SIMULARE PE PRODUS'!AT27</f>
        <v>0.39954679971061086</v>
      </c>
      <c r="W43" s="62">
        <f>'SIMULARE PE PRODUS'!AU27</f>
        <v>0.36086850351403682</v>
      </c>
      <c r="X43" s="59">
        <v>0</v>
      </c>
      <c r="Y43" s="59">
        <v>0</v>
      </c>
      <c r="Z43" s="63">
        <f>'SIMULARE PE PRODUS'!BA27</f>
        <v>0.39158921515044903</v>
      </c>
      <c r="AA43" s="63">
        <f>'SIMULARE PE PRODUS'!BB27</f>
        <v>0.39954679971061086</v>
      </c>
      <c r="AB43" s="63">
        <f>'SIMULARE PE PRODUS'!BC27</f>
        <v>0.36086850351403682</v>
      </c>
    </row>
    <row r="44" spans="1:28" x14ac:dyDescent="0.2">
      <c r="A44" s="26">
        <v>39</v>
      </c>
      <c r="B44" s="26" t="s">
        <v>185</v>
      </c>
      <c r="C44" s="26" t="s">
        <v>100</v>
      </c>
      <c r="D44" s="41">
        <f>'SIMULARE PE PRODUS'!P55</f>
        <v>16.5</v>
      </c>
      <c r="E44" s="41">
        <f>'SIMULARE PE PRODUS'!Q55</f>
        <v>19.5</v>
      </c>
      <c r="F44" s="28">
        <f>'SIMULARE PE PRODUS'!U55</f>
        <v>0.28627723646211239</v>
      </c>
      <c r="G44" s="28">
        <f>'SIMULARE PE PRODUS'!V55</f>
        <v>0.30821063505454543</v>
      </c>
      <c r="H44" s="28">
        <f>'SIMULARE PE PRODUS'!W55</f>
        <v>0.2607936142769231</v>
      </c>
      <c r="I44" s="59">
        <v>0</v>
      </c>
      <c r="J44" s="59">
        <v>0</v>
      </c>
      <c r="K44" s="60">
        <f>'SIMULARE PE PRODUS'!AC55</f>
        <v>0.27844010652655354</v>
      </c>
      <c r="L44" s="60">
        <f>'SIMULARE PE PRODUS'!AD55</f>
        <v>0.29914561637647058</v>
      </c>
      <c r="M44" s="60">
        <f>'SIMULARE PE PRODUS'!AE55</f>
        <v>0.25427377392000006</v>
      </c>
      <c r="N44" s="59">
        <v>0</v>
      </c>
      <c r="O44" s="59">
        <v>0</v>
      </c>
      <c r="P44" s="61">
        <f>'SIMULARE PE PRODUS'!AK55</f>
        <v>0.27844010652655354</v>
      </c>
      <c r="Q44" s="61">
        <f>'SIMULARE PE PRODUS'!AL55</f>
        <v>0.29914561637647058</v>
      </c>
      <c r="R44" s="61">
        <f>'SIMULARE PE PRODUS'!AM55</f>
        <v>0.25427377392000006</v>
      </c>
      <c r="S44" s="59">
        <v>0</v>
      </c>
      <c r="T44" s="59">
        <v>0</v>
      </c>
      <c r="U44" s="62">
        <f>'SIMULARE PE PRODUS'!AS55</f>
        <v>0.27102064136799364</v>
      </c>
      <c r="V44" s="62">
        <f>'SIMULARE PE PRODUS'!AT55</f>
        <v>0.29059859876571426</v>
      </c>
      <c r="W44" s="62">
        <f>'SIMULARE PE PRODUS'!AU55</f>
        <v>0.24807197455609759</v>
      </c>
      <c r="X44" s="59">
        <v>0</v>
      </c>
      <c r="Y44" s="59">
        <v>0</v>
      </c>
      <c r="Z44" s="63">
        <f>'SIMULARE PE PRODUS'!BA55</f>
        <v>0.26412342570659036</v>
      </c>
      <c r="AA44" s="63">
        <f>'SIMULARE PE PRODUS'!BB55</f>
        <v>0.28268346183435239</v>
      </c>
      <c r="AB44" s="63">
        <f>'SIMULARE PE PRODUS'!BC55</f>
        <v>0.24228087081467367</v>
      </c>
    </row>
    <row r="45" spans="1:28" x14ac:dyDescent="0.2">
      <c r="A45" s="26">
        <v>40</v>
      </c>
      <c r="B45" s="26" t="s">
        <v>183</v>
      </c>
      <c r="C45" s="26" t="s">
        <v>97</v>
      </c>
      <c r="D45" s="41">
        <f>'SIMULARE PE PRODUS'!P35</f>
        <v>15.99</v>
      </c>
      <c r="E45" s="41">
        <f>'SIMULARE PE PRODUS'!Q35</f>
        <v>17.989999999999998</v>
      </c>
      <c r="F45" s="28">
        <f>'SIMULARE PE PRODUS'!U35</f>
        <v>0.34203617070496206</v>
      </c>
      <c r="G45" s="28">
        <f>'SIMULARE PE PRODUS'!V35</f>
        <v>0.35479419746716695</v>
      </c>
      <c r="H45" s="28">
        <f>'SIMULARE PE PRODUS'!W35</f>
        <v>0.31535070692051137</v>
      </c>
      <c r="I45" s="59">
        <v>0</v>
      </c>
      <c r="J45" s="59">
        <v>0</v>
      </c>
      <c r="K45" s="60">
        <f>'SIMULARE PE PRODUS'!AC35</f>
        <v>0.33202717063463455</v>
      </c>
      <c r="L45" s="60">
        <f>'SIMULARE PE PRODUS'!AD35</f>
        <v>0.34403633823529411</v>
      </c>
      <c r="M45" s="60">
        <f>'SIMULARE PE PRODUS'!AE35</f>
        <v>0.30682310532720386</v>
      </c>
      <c r="N45" s="59">
        <v>0</v>
      </c>
      <c r="O45" s="59">
        <v>0</v>
      </c>
      <c r="P45" s="61">
        <f>'SIMULARE PE PRODUS'!AK35</f>
        <v>0.33202717063463455</v>
      </c>
      <c r="Q45" s="61">
        <f>'SIMULARE PE PRODUS'!AL35</f>
        <v>0.34403633823529411</v>
      </c>
      <c r="R45" s="61">
        <f>'SIMULARE PE PRODUS'!AM35</f>
        <v>0.30682310532720386</v>
      </c>
      <c r="S45" s="59">
        <v>0</v>
      </c>
      <c r="T45" s="59">
        <v>0</v>
      </c>
      <c r="U45" s="62">
        <f>'SIMULARE PE PRODUS'!AS35</f>
        <v>0.32258730254351975</v>
      </c>
      <c r="V45" s="62">
        <f>'SIMULARE PE PRODUS'!AT35</f>
        <v>0.33391166671571509</v>
      </c>
      <c r="W45" s="62">
        <f>'SIMULARE PE PRODUS'!AU35</f>
        <v>0.29874456121642973</v>
      </c>
      <c r="X45" s="59">
        <v>0</v>
      </c>
      <c r="Y45" s="59">
        <v>0</v>
      </c>
      <c r="Z45" s="63">
        <f>'SIMULARE PE PRODUS'!BA35</f>
        <v>0.31366936541189194</v>
      </c>
      <c r="AA45" s="63">
        <f>'SIMULARE PE PRODUS'!BB35</f>
        <v>0.32436587864493993</v>
      </c>
      <c r="AB45" s="63">
        <f>'SIMULARE PE PRODUS'!BC35</f>
        <v>0.29108051398152895</v>
      </c>
    </row>
    <row r="46" spans="1:28" x14ac:dyDescent="0.2">
      <c r="A46" s="26">
        <v>41</v>
      </c>
      <c r="B46" s="26" t="s">
        <v>181</v>
      </c>
      <c r="C46" s="26" t="s">
        <v>107</v>
      </c>
      <c r="D46" s="41">
        <f>'SIMULARE PE PRODUS'!P207</f>
        <v>16.5</v>
      </c>
      <c r="E46" s="41">
        <f>'SIMULARE PE PRODUS'!Q207</f>
        <v>16.5</v>
      </c>
      <c r="F46" s="28">
        <f>'SIMULARE PE PRODUS'!U207</f>
        <v>0.39165228294545468</v>
      </c>
      <c r="G46" s="28">
        <f>'SIMULARE PE PRODUS'!V207</f>
        <v>0.39165228294545457</v>
      </c>
      <c r="H46" s="28">
        <f>'SIMULARE PE PRODUS'!W207</f>
        <v>0.39165228294545462</v>
      </c>
      <c r="I46" s="59">
        <v>0</v>
      </c>
      <c r="J46" s="59">
        <v>0</v>
      </c>
      <c r="K46" s="60">
        <f>'SIMULARE PE PRODUS'!AC207</f>
        <v>0.39165228294545468</v>
      </c>
      <c r="L46" s="60">
        <f>'SIMULARE PE PRODUS'!AD207</f>
        <v>0.39165228294545457</v>
      </c>
      <c r="M46" s="60">
        <f>'SIMULARE PE PRODUS'!AE207</f>
        <v>0.39165228294545462</v>
      </c>
      <c r="N46" s="59">
        <v>0</v>
      </c>
      <c r="O46" s="59">
        <v>0</v>
      </c>
      <c r="P46" s="61">
        <f>'SIMULARE PE PRODUS'!AK207</f>
        <v>0.39165228294545468</v>
      </c>
      <c r="Q46" s="61">
        <f>'SIMULARE PE PRODUS'!AL207</f>
        <v>0.39165228294545457</v>
      </c>
      <c r="R46" s="61">
        <f>'SIMULARE PE PRODUS'!AM207</f>
        <v>0.39165228294545462</v>
      </c>
      <c r="S46" s="59">
        <v>0</v>
      </c>
      <c r="T46" s="59">
        <v>0</v>
      </c>
      <c r="U46" s="62">
        <f>'SIMULARE PE PRODUS'!AS207</f>
        <v>0.39165228294545468</v>
      </c>
      <c r="V46" s="62">
        <f>'SIMULARE PE PRODUS'!AT207</f>
        <v>0.39165228294545457</v>
      </c>
      <c r="W46" s="62">
        <f>'SIMULARE PE PRODUS'!AU207</f>
        <v>0.39165228294545462</v>
      </c>
      <c r="X46" s="59">
        <v>0</v>
      </c>
      <c r="Y46" s="59">
        <v>0</v>
      </c>
      <c r="Z46" s="63">
        <f>'SIMULARE PE PRODUS'!BA207</f>
        <v>0.39165228294545468</v>
      </c>
      <c r="AA46" s="63">
        <f>'SIMULARE PE PRODUS'!BB207</f>
        <v>0.39165228294545457</v>
      </c>
      <c r="AB46" s="63">
        <f>'SIMULARE PE PRODUS'!BC207</f>
        <v>0.39165228294545462</v>
      </c>
    </row>
    <row r="47" spans="1:28" x14ac:dyDescent="0.2">
      <c r="A47" s="26">
        <v>42</v>
      </c>
      <c r="B47" s="26" t="s">
        <v>189</v>
      </c>
      <c r="C47" s="26" t="s">
        <v>100</v>
      </c>
      <c r="D47" s="41">
        <f>'SIMULARE PE PRODUS'!P56</f>
        <v>32</v>
      </c>
      <c r="E47" s="41">
        <f>'SIMULARE PE PRODUS'!Q56</f>
        <v>36.5</v>
      </c>
      <c r="F47" s="28">
        <f>'SIMULARE PE PRODUS'!U56</f>
        <v>0.47547021696503289</v>
      </c>
      <c r="G47" s="28">
        <f>'SIMULARE PE PRODUS'!V56</f>
        <v>0.50942631930000004</v>
      </c>
      <c r="H47" s="28">
        <f>'SIMULARE PE PRODUS'!W56</f>
        <v>0.44662033472876717</v>
      </c>
      <c r="I47" s="59">
        <v>0</v>
      </c>
      <c r="J47" s="59">
        <v>0</v>
      </c>
      <c r="K47" s="60">
        <f>'SIMULARE PE PRODUS'!AC56</f>
        <v>0.46863586272171259</v>
      </c>
      <c r="L47" s="60">
        <f>'SIMULARE PE PRODUS'!AD56</f>
        <v>0.50158899131076928</v>
      </c>
      <c r="M47" s="60">
        <f>'SIMULARE PE PRODUS'!AE56</f>
        <v>0.44058492480000011</v>
      </c>
      <c r="N47" s="59">
        <v>0</v>
      </c>
      <c r="O47" s="59">
        <v>0</v>
      </c>
      <c r="P47" s="61">
        <f>'SIMULARE PE PRODUS'!AK56</f>
        <v>0.46863586272171259</v>
      </c>
      <c r="Q47" s="61">
        <f>'SIMULARE PE PRODUS'!AL56</f>
        <v>0.50158899131076928</v>
      </c>
      <c r="R47" s="61">
        <f>'SIMULARE PE PRODUS'!AM56</f>
        <v>0.44058492480000011</v>
      </c>
      <c r="S47" s="59">
        <v>0</v>
      </c>
      <c r="T47" s="59">
        <v>0</v>
      </c>
      <c r="U47" s="62">
        <f>'SIMULARE PE PRODUS'!AS56</f>
        <v>0.46199519686830809</v>
      </c>
      <c r="V47" s="62">
        <f>'SIMULARE PE PRODUS'!AT56</f>
        <v>0.493989158109091</v>
      </c>
      <c r="W47" s="62">
        <f>'SIMULARE PE PRODUS'!AU56</f>
        <v>0.43471045913600004</v>
      </c>
      <c r="X47" s="59">
        <v>0</v>
      </c>
      <c r="Y47" s="59">
        <v>0</v>
      </c>
      <c r="Z47" s="63">
        <f>'SIMULARE PE PRODUS'!BA56</f>
        <v>0.45566743430476081</v>
      </c>
      <c r="AA47" s="63">
        <f>'SIMULARE PE PRODUS'!BB56</f>
        <v>0.48676148753657811</v>
      </c>
      <c r="AB47" s="63">
        <f>'SIMULARE PE PRODUS'!BC56</f>
        <v>0.42910350664911823</v>
      </c>
    </row>
    <row r="48" spans="1:28" x14ac:dyDescent="0.2">
      <c r="A48" s="26">
        <v>43</v>
      </c>
      <c r="B48" s="26" t="s">
        <v>188</v>
      </c>
      <c r="C48" s="26" t="s">
        <v>103</v>
      </c>
      <c r="D48" s="41">
        <f>'SIMULARE PE PRODUS'!P97</f>
        <v>10.99</v>
      </c>
      <c r="E48" s="41">
        <f>'SIMULARE PE PRODUS'!Q97</f>
        <v>11.99</v>
      </c>
      <c r="F48" s="28">
        <f>'SIMULARE PE PRODUS'!U97</f>
        <v>0.30619672454794272</v>
      </c>
      <c r="G48" s="28">
        <f>'SIMULARE PE PRODUS'!V97</f>
        <v>0.30739945404913555</v>
      </c>
      <c r="H48" s="28">
        <f>'SIMULARE PE PRODUS'!W97</f>
        <v>0.28176146788990819</v>
      </c>
      <c r="I48" s="59">
        <v>0</v>
      </c>
      <c r="J48" s="59">
        <v>0</v>
      </c>
      <c r="K48" s="60">
        <f>'SIMULARE PE PRODUS'!AC97</f>
        <v>0.30619672454794272</v>
      </c>
      <c r="L48" s="60">
        <f>'SIMULARE PE PRODUS'!AD97</f>
        <v>0.30739945404913555</v>
      </c>
      <c r="M48" s="60">
        <f>'SIMULARE PE PRODUS'!AE97</f>
        <v>0.28176146788990819</v>
      </c>
      <c r="N48" s="59">
        <v>0</v>
      </c>
      <c r="O48" s="59">
        <v>0</v>
      </c>
      <c r="P48" s="61">
        <f>'SIMULARE PE PRODUS'!AK97</f>
        <v>0.28075066441765739</v>
      </c>
      <c r="Q48" s="61">
        <f>'SIMULARE PE PRODUS'!AL97</f>
        <v>0.28176146788990819</v>
      </c>
      <c r="R48" s="61">
        <f>'SIMULARE PE PRODUS'!AM97</f>
        <v>0.26007082371054652</v>
      </c>
      <c r="S48" s="59">
        <v>0</v>
      </c>
      <c r="T48" s="59">
        <v>0</v>
      </c>
      <c r="U48" s="62">
        <f>'SIMULARE PE PRODUS'!AS97</f>
        <v>0.26955035746731443</v>
      </c>
      <c r="V48" s="62">
        <f>'SIMULARE PE PRODUS'!AT97</f>
        <v>0.27048198558847075</v>
      </c>
      <c r="W48" s="62">
        <f>'SIMULARE PE PRODUS'!AU97</f>
        <v>0.25043143068939955</v>
      </c>
      <c r="X48" s="59">
        <v>0</v>
      </c>
      <c r="Y48" s="59">
        <v>0</v>
      </c>
      <c r="Z48" s="63">
        <f>'SIMULARE PE PRODUS'!BA97</f>
        <v>0.25920941998708547</v>
      </c>
      <c r="AA48" s="63">
        <f>'SIMULARE PE PRODUS'!BB97</f>
        <v>0.26007082371054652</v>
      </c>
      <c r="AB48" s="63">
        <f>'SIMULARE PE PRODUS'!BC97</f>
        <v>0.24148105789849889</v>
      </c>
    </row>
    <row r="49" spans="1:28" x14ac:dyDescent="0.2">
      <c r="A49" s="26">
        <v>44</v>
      </c>
      <c r="B49" s="26" t="s">
        <v>184</v>
      </c>
      <c r="C49" s="26" t="s">
        <v>102</v>
      </c>
      <c r="D49" s="41">
        <f>'SIMULARE PE PRODUS'!P81</f>
        <v>14.08</v>
      </c>
      <c r="E49" s="41">
        <f>'SIMULARE PE PRODUS'!Q81</f>
        <v>14.08</v>
      </c>
      <c r="F49" s="28">
        <f>'SIMULARE PE PRODUS'!U81</f>
        <v>0.30714441051136365</v>
      </c>
      <c r="G49" s="28">
        <f>'SIMULARE PE PRODUS'!V81</f>
        <v>0.30714441051136371</v>
      </c>
      <c r="H49" s="28">
        <f>'SIMULARE PE PRODUS'!W81</f>
        <v>0.30714441051136365</v>
      </c>
      <c r="I49" s="59">
        <v>0</v>
      </c>
      <c r="J49" s="59">
        <v>0</v>
      </c>
      <c r="K49" s="60">
        <f>'SIMULARE PE PRODUS'!AC81</f>
        <v>0.30284266806722693</v>
      </c>
      <c r="L49" s="60">
        <f>'SIMULARE PE PRODUS'!AD81</f>
        <v>0.30284266806722698</v>
      </c>
      <c r="M49" s="60">
        <f>'SIMULARE PE PRODUS'!AE81</f>
        <v>0.30284266806722693</v>
      </c>
      <c r="N49" s="59">
        <v>0</v>
      </c>
      <c r="O49" s="59">
        <v>0</v>
      </c>
      <c r="P49" s="61">
        <f>'SIMULARE PE PRODUS'!AK81</f>
        <v>0.30284266806722693</v>
      </c>
      <c r="Q49" s="61">
        <f>'SIMULARE PE PRODUS'!AL81</f>
        <v>0.30284266806722698</v>
      </c>
      <c r="R49" s="61">
        <f>'SIMULARE PE PRODUS'!AM81</f>
        <v>0.30284266806722693</v>
      </c>
      <c r="S49" s="59">
        <v>0</v>
      </c>
      <c r="T49" s="59">
        <v>0</v>
      </c>
      <c r="U49" s="62">
        <f>'SIMULARE PE PRODUS'!AS81</f>
        <v>0.30284266806722693</v>
      </c>
      <c r="V49" s="62">
        <f>'SIMULARE PE PRODUS'!AT81</f>
        <v>0.30284266806722698</v>
      </c>
      <c r="W49" s="62">
        <f>'SIMULARE PE PRODUS'!AU81</f>
        <v>0.30284266806722693</v>
      </c>
      <c r="X49" s="59">
        <v>0</v>
      </c>
      <c r="Y49" s="59">
        <v>0</v>
      </c>
      <c r="Z49" s="63">
        <f>'SIMULARE PE PRODUS'!BA81</f>
        <v>0.29845364389233958</v>
      </c>
      <c r="AA49" s="63">
        <f>'SIMULARE PE PRODUS'!BB81</f>
        <v>0.29845364389233958</v>
      </c>
      <c r="AB49" s="63">
        <f>'SIMULARE PE PRODUS'!BC81</f>
        <v>0.29845364389233958</v>
      </c>
    </row>
    <row r="50" spans="1:28" x14ac:dyDescent="0.2">
      <c r="A50" s="26">
        <v>45</v>
      </c>
      <c r="B50" s="26" t="s">
        <v>186</v>
      </c>
      <c r="C50" s="26" t="s">
        <v>97</v>
      </c>
      <c r="D50" s="41">
        <f>'SIMULARE PE PRODUS'!P36</f>
        <v>26.99</v>
      </c>
      <c r="E50" s="41">
        <f>'SIMULARE PE PRODUS'!Q36</f>
        <v>28.99</v>
      </c>
      <c r="F50" s="28">
        <f>'SIMULARE PE PRODUS'!U36</f>
        <v>0.40724981277849082</v>
      </c>
      <c r="G50" s="28">
        <f>'SIMULARE PE PRODUS'!V36</f>
        <v>0.42189493605038914</v>
      </c>
      <c r="H50" s="28">
        <f>'SIMULARE PE PRODUS'!W36</f>
        <v>0.39278869692997592</v>
      </c>
      <c r="I50" s="59">
        <v>0</v>
      </c>
      <c r="J50" s="59">
        <v>0</v>
      </c>
      <c r="K50" s="60">
        <f>'SIMULARE PE PRODUS'!AC36</f>
        <v>0.4000951853088896</v>
      </c>
      <c r="L50" s="60">
        <f>'SIMULARE PE PRODUS'!AD36</f>
        <v>0.41422132862859234</v>
      </c>
      <c r="M50" s="60">
        <f>'SIMULARE PE PRODUS'!AE36</f>
        <v>0.3861290038657173</v>
      </c>
      <c r="N50" s="59">
        <v>0</v>
      </c>
      <c r="O50" s="59">
        <v>0</v>
      </c>
      <c r="P50" s="61">
        <f>'SIMULARE PE PRODUS'!AK36</f>
        <v>0.4000951853088896</v>
      </c>
      <c r="Q50" s="61">
        <f>'SIMULARE PE PRODUS'!AL36</f>
        <v>0.41422132862859234</v>
      </c>
      <c r="R50" s="61">
        <f>'SIMULARE PE PRODUS'!AM36</f>
        <v>0.3861290038657173</v>
      </c>
      <c r="S50" s="59">
        <v>0</v>
      </c>
      <c r="T50" s="59">
        <v>0</v>
      </c>
      <c r="U50" s="62">
        <f>'SIMULARE PE PRODUS'!AS36</f>
        <v>0.39318760487477922</v>
      </c>
      <c r="V50" s="62">
        <f>'SIMULARE PE PRODUS'!AT36</f>
        <v>0.40682187652733132</v>
      </c>
      <c r="W50" s="62">
        <f>'SIMULARE PE PRODUS'!AU36</f>
        <v>0.37969137459153057</v>
      </c>
      <c r="X50" s="59">
        <v>0</v>
      </c>
      <c r="Y50" s="59">
        <v>0</v>
      </c>
      <c r="Z50" s="63">
        <f>'SIMULARE PE PRODUS'!BA36</f>
        <v>0.3865144929576903</v>
      </c>
      <c r="AA50" s="63">
        <f>'SIMULARE PE PRODUS'!BB36</f>
        <v>0.39968214545454556</v>
      </c>
      <c r="AB50" s="63">
        <f>'SIMULARE PE PRODUS'!BC36</f>
        <v>0.37346488435552649</v>
      </c>
    </row>
    <row r="51" spans="1:28" x14ac:dyDescent="0.2">
      <c r="A51" s="26">
        <v>46</v>
      </c>
      <c r="B51" s="26" t="s">
        <v>187</v>
      </c>
      <c r="C51" s="26" t="s">
        <v>105</v>
      </c>
      <c r="D51" s="41">
        <f>'SIMULARE PE PRODUS'!P164</f>
        <v>15</v>
      </c>
      <c r="E51" s="41">
        <f>'SIMULARE PE PRODUS'!Q164</f>
        <v>15</v>
      </c>
      <c r="F51" s="28">
        <f>'SIMULARE PE PRODUS'!U164</f>
        <v>0.44042624400000002</v>
      </c>
      <c r="G51" s="28">
        <f>'SIMULARE PE PRODUS'!V164</f>
        <v>0.44042624400000002</v>
      </c>
      <c r="H51" s="28">
        <f>'SIMULARE PE PRODUS'!W164</f>
        <v>0.44042624400000002</v>
      </c>
      <c r="I51" s="59">
        <v>0</v>
      </c>
      <c r="J51" s="59">
        <v>0</v>
      </c>
      <c r="K51" s="60">
        <f>'SIMULARE PE PRODUS'!AC164</f>
        <v>0.44042624400000002</v>
      </c>
      <c r="L51" s="60">
        <f>'SIMULARE PE PRODUS'!AD164</f>
        <v>0.44042624400000002</v>
      </c>
      <c r="M51" s="60">
        <f>'SIMULARE PE PRODUS'!AE164</f>
        <v>0.44042624400000002</v>
      </c>
      <c r="N51" s="59">
        <v>0</v>
      </c>
      <c r="O51" s="59">
        <v>0</v>
      </c>
      <c r="P51" s="61">
        <f>'SIMULARE PE PRODUS'!AK164</f>
        <v>0.4264941032924468</v>
      </c>
      <c r="Q51" s="61">
        <f>'SIMULARE PE PRODUS'!AL164</f>
        <v>0.4264941032924468</v>
      </c>
      <c r="R51" s="61">
        <f>'SIMULARE PE PRODUS'!AM164</f>
        <v>0.42649410329244675</v>
      </c>
      <c r="S51" s="59">
        <v>0</v>
      </c>
      <c r="T51" s="59">
        <v>0</v>
      </c>
      <c r="U51" s="62">
        <f>'SIMULARE PE PRODUS'!AS164</f>
        <v>0.41315782739212009</v>
      </c>
      <c r="V51" s="62">
        <f>'SIMULARE PE PRODUS'!AT164</f>
        <v>0.41315782739212015</v>
      </c>
      <c r="W51" s="62">
        <f>'SIMULARE PE PRODUS'!AU164</f>
        <v>0.41315782739212009</v>
      </c>
      <c r="X51" s="59">
        <v>0</v>
      </c>
      <c r="Y51" s="59">
        <v>0</v>
      </c>
      <c r="Z51" s="63">
        <f>'SIMULARE PE PRODUS'!BA164</f>
        <v>0.41315782739212009</v>
      </c>
      <c r="AA51" s="63">
        <f>'SIMULARE PE PRODUS'!BB164</f>
        <v>0.41315782739212015</v>
      </c>
      <c r="AB51" s="63">
        <f>'SIMULARE PE PRODUS'!BC164</f>
        <v>0.41315782739212009</v>
      </c>
    </row>
    <row r="52" spans="1:28" x14ac:dyDescent="0.2">
      <c r="A52" s="26">
        <v>47</v>
      </c>
      <c r="B52" s="26" t="s">
        <v>193</v>
      </c>
      <c r="C52" s="26" t="s">
        <v>100</v>
      </c>
      <c r="D52" s="41">
        <f>'SIMULARE PE PRODUS'!P57</f>
        <v>21.5</v>
      </c>
      <c r="E52" s="41">
        <f>'SIMULARE PE PRODUS'!Q57</f>
        <v>28</v>
      </c>
      <c r="F52" s="28">
        <f>'SIMULARE PE PRODUS'!U57</f>
        <v>0.40292955253543239</v>
      </c>
      <c r="G52" s="28">
        <f>'SIMULARE PE PRODUS'!V57</f>
        <v>0.43357587125581398</v>
      </c>
      <c r="H52" s="28">
        <f>'SIMULARE PE PRODUS'!W57</f>
        <v>0.3329243297142857</v>
      </c>
      <c r="I52" s="59">
        <v>0</v>
      </c>
      <c r="J52" s="59">
        <v>0</v>
      </c>
      <c r="K52" s="60">
        <f>'SIMULARE PE PRODUS'!AC57</f>
        <v>0.39440564590821031</v>
      </c>
      <c r="L52" s="60">
        <f>'SIMULARE PE PRODUS'!AD57</f>
        <v>0.42372187418181823</v>
      </c>
      <c r="M52" s="60">
        <f>'SIMULARE PE PRODUS'!AE57</f>
        <v>0.32708355200000006</v>
      </c>
      <c r="N52" s="59">
        <v>0</v>
      </c>
      <c r="O52" s="59">
        <v>0</v>
      </c>
      <c r="P52" s="61">
        <f>'SIMULARE PE PRODUS'!AK57</f>
        <v>0.39440564590821031</v>
      </c>
      <c r="Q52" s="61">
        <f>'SIMULARE PE PRODUS'!AL57</f>
        <v>0.42372187418181823</v>
      </c>
      <c r="R52" s="61">
        <f>'SIMULARE PE PRODUS'!AM57</f>
        <v>0.32708355200000006</v>
      </c>
      <c r="S52" s="59">
        <v>0</v>
      </c>
      <c r="T52" s="59">
        <v>0</v>
      </c>
      <c r="U52" s="62">
        <f>'SIMULARE PE PRODUS'!AS57</f>
        <v>0.38623491159037882</v>
      </c>
      <c r="V52" s="62">
        <f>'SIMULARE PE PRODUS'!AT57</f>
        <v>0.41430583253333336</v>
      </c>
      <c r="W52" s="62">
        <f>'SIMULARE PE PRODUS'!AU57</f>
        <v>0.32144418041379313</v>
      </c>
      <c r="X52" s="59">
        <v>0</v>
      </c>
      <c r="Y52" s="59">
        <v>0</v>
      </c>
      <c r="Z52" s="63">
        <f>'SIMULARE PE PRODUS'!BA57</f>
        <v>0.37854950715568098</v>
      </c>
      <c r="AA52" s="63">
        <f>'SIMULARE PE PRODUS'!BB57</f>
        <v>0.40547547768595049</v>
      </c>
      <c r="AB52" s="63">
        <f>'SIMULARE PE PRODUS'!BC57</f>
        <v>0.31610312756866737</v>
      </c>
    </row>
    <row r="53" spans="1:28" x14ac:dyDescent="0.2">
      <c r="A53" s="26">
        <v>48</v>
      </c>
      <c r="B53" s="26" t="s">
        <v>192</v>
      </c>
      <c r="C53" s="26" t="s">
        <v>97</v>
      </c>
      <c r="D53" s="41">
        <f>'SIMULARE PE PRODUS'!P37</f>
        <v>26.99</v>
      </c>
      <c r="E53" s="41">
        <f>'SIMULARE PE PRODUS'!Q37</f>
        <v>28.99</v>
      </c>
      <c r="F53" s="28">
        <f>'SIMULARE PE PRODUS'!U37</f>
        <v>0.41848985631187025</v>
      </c>
      <c r="G53" s="28">
        <f>'SIMULARE PE PRODUS'!V37</f>
        <v>0.42595253919970349</v>
      </c>
      <c r="H53" s="28">
        <f>'SIMULARE PE PRODUS'!W37</f>
        <v>0.39656636885132801</v>
      </c>
      <c r="I53" s="59">
        <v>0</v>
      </c>
      <c r="J53" s="59">
        <v>0</v>
      </c>
      <c r="K53" s="60">
        <f>'SIMULARE PE PRODUS'!AC37</f>
        <v>0.41100915457803638</v>
      </c>
      <c r="L53" s="60">
        <f>'SIMULARE PE PRODUS'!AD37</f>
        <v>0.41820513033830481</v>
      </c>
      <c r="M53" s="60">
        <f>'SIMULARE PE PRODUS'!AE37</f>
        <v>0.38984262573753808</v>
      </c>
      <c r="N53" s="59">
        <v>0</v>
      </c>
      <c r="O53" s="59">
        <v>0</v>
      </c>
      <c r="P53" s="61">
        <f>'SIMULARE PE PRODUS'!AK37</f>
        <v>0.41100915457803638</v>
      </c>
      <c r="Q53" s="61">
        <f>'SIMULARE PE PRODUS'!AL37</f>
        <v>0.41820513033830481</v>
      </c>
      <c r="R53" s="61">
        <f>'SIMULARE PE PRODUS'!AM37</f>
        <v>0.38984262573753808</v>
      </c>
      <c r="S53" s="59">
        <v>0</v>
      </c>
      <c r="T53" s="59">
        <v>0</v>
      </c>
      <c r="U53" s="62">
        <f>'SIMULARE PE PRODUS'!AS37</f>
        <v>0.4037911982258896</v>
      </c>
      <c r="V53" s="62">
        <f>'SIMULARE PE PRODUS'!AT37</f>
        <v>0.4107345135048231</v>
      </c>
      <c r="W53" s="62">
        <f>'SIMULARE PE PRODUS'!AU37</f>
        <v>0.38334308212737572</v>
      </c>
      <c r="X53" s="59">
        <v>0</v>
      </c>
      <c r="Y53" s="59">
        <v>0</v>
      </c>
      <c r="Z53" s="63">
        <f>'SIMULARE PE PRODUS'!BA37</f>
        <v>0.39682238351253146</v>
      </c>
      <c r="AA53" s="63">
        <f>'SIMULARE PE PRODUS'!BB37</f>
        <v>0.40352611558441553</v>
      </c>
      <c r="AB53" s="63">
        <f>'SIMULARE PE PRODUS'!BC37</f>
        <v>0.37705670819940962</v>
      </c>
    </row>
    <row r="54" spans="1:28" x14ac:dyDescent="0.2">
      <c r="A54" s="26">
        <v>49</v>
      </c>
      <c r="B54" s="26" t="s">
        <v>196</v>
      </c>
      <c r="C54" s="26" t="s">
        <v>99</v>
      </c>
      <c r="D54" s="41">
        <f>'SIMULARE PE PRODUS'!P47</f>
        <v>20.99</v>
      </c>
      <c r="E54" s="41">
        <f>'SIMULARE PE PRODUS'!Q47</f>
        <v>23.99</v>
      </c>
      <c r="F54" s="28">
        <f>'SIMULARE PE PRODUS'!U47</f>
        <v>0.36692034550560032</v>
      </c>
      <c r="G54" s="28">
        <f>'SIMULARE PE PRODUS'!V47</f>
        <v>0.38029521210100059</v>
      </c>
      <c r="H54" s="28">
        <f>'SIMULARE PE PRODUS'!W47</f>
        <v>0.33273849528970412</v>
      </c>
      <c r="I54" s="59">
        <v>0</v>
      </c>
      <c r="J54" s="59">
        <v>0</v>
      </c>
      <c r="K54" s="60">
        <f>'SIMULARE PE PRODUS'!AC47</f>
        <v>0.36692034550560032</v>
      </c>
      <c r="L54" s="60">
        <f>'SIMULARE PE PRODUS'!AD47</f>
        <v>0.38029521210100059</v>
      </c>
      <c r="M54" s="60">
        <f>'SIMULARE PE PRODUS'!AE47</f>
        <v>0.33273849528970412</v>
      </c>
      <c r="N54" s="59">
        <v>0</v>
      </c>
      <c r="O54" s="59">
        <v>0</v>
      </c>
      <c r="P54" s="61">
        <f>'SIMULARE PE PRODUS'!AK47</f>
        <v>0.35867684177364045</v>
      </c>
      <c r="Q54" s="61">
        <f>'SIMULARE PE PRODUS'!AL47</f>
        <v>0.37144702196370416</v>
      </c>
      <c r="R54" s="61">
        <f>'SIMULARE PE PRODUS'!AM47</f>
        <v>0.3259451409554921</v>
      </c>
      <c r="S54" s="59">
        <v>0</v>
      </c>
      <c r="T54" s="59">
        <v>0</v>
      </c>
      <c r="U54" s="62">
        <f>'SIMULARE PE PRODUS'!AS47</f>
        <v>0.3507956083079492</v>
      </c>
      <c r="V54" s="62">
        <f>'SIMULARE PE PRODUS'!AT47</f>
        <v>0.36300120518417472</v>
      </c>
      <c r="W54" s="62">
        <f>'SIMULARE PE PRODUS'!AU47</f>
        <v>0.3194236295318128</v>
      </c>
      <c r="X54" s="59">
        <v>0</v>
      </c>
      <c r="Y54" s="59">
        <v>0</v>
      </c>
      <c r="Z54" s="63">
        <f>'SIMULARE PE PRODUS'!BA47</f>
        <v>0.3507956083079492</v>
      </c>
      <c r="AA54" s="63">
        <f>'SIMULARE PE PRODUS'!BB47</f>
        <v>0.36300120518417472</v>
      </c>
      <c r="AB54" s="63">
        <f>'SIMULARE PE PRODUS'!BC47</f>
        <v>0.3194236295318128</v>
      </c>
    </row>
    <row r="55" spans="1:28" x14ac:dyDescent="0.2">
      <c r="A55" s="26">
        <v>50</v>
      </c>
      <c r="B55" s="26" t="s">
        <v>199</v>
      </c>
      <c r="C55" s="26" t="s">
        <v>100</v>
      </c>
      <c r="D55" s="41">
        <f>'SIMULARE PE PRODUS'!P58</f>
        <v>32</v>
      </c>
      <c r="E55" s="41">
        <f>'SIMULARE PE PRODUS'!Q58</f>
        <v>36.5</v>
      </c>
      <c r="F55" s="28">
        <f>'SIMULARE PE PRODUS'!U58</f>
        <v>0.44475435094615684</v>
      </c>
      <c r="G55" s="28">
        <f>'SIMULARE PE PRODUS'!V58</f>
        <v>0.47249106930000012</v>
      </c>
      <c r="H55" s="28">
        <f>'SIMULARE PE PRODUS'!W58</f>
        <v>0.41423874568767122</v>
      </c>
      <c r="I55" s="59">
        <v>0</v>
      </c>
      <c r="J55" s="59">
        <v>0</v>
      </c>
      <c r="K55" s="60">
        <f>'SIMULARE PE PRODUS'!AC58</f>
        <v>0.43830782329821039</v>
      </c>
      <c r="L55" s="60">
        <f>'SIMULARE PE PRODUS'!AD58</f>
        <v>0.465221975926154</v>
      </c>
      <c r="M55" s="60">
        <f>'SIMULARE PE PRODUS'!AE58</f>
        <v>0.40864092480000008</v>
      </c>
      <c r="N55" s="59">
        <v>0</v>
      </c>
      <c r="O55" s="59">
        <v>0</v>
      </c>
      <c r="P55" s="61">
        <f>'SIMULARE PE PRODUS'!AK58</f>
        <v>0.43830782329821039</v>
      </c>
      <c r="Q55" s="61">
        <f>'SIMULARE PE PRODUS'!AL58</f>
        <v>0.465221975926154</v>
      </c>
      <c r="R55" s="61">
        <f>'SIMULARE PE PRODUS'!AM58</f>
        <v>0.40864092480000008</v>
      </c>
      <c r="S55" s="59">
        <v>0</v>
      </c>
      <c r="T55" s="59">
        <v>0</v>
      </c>
      <c r="U55" s="62">
        <f>'SIMULARE PE PRODUS'!AS58</f>
        <v>0.43204550503764444</v>
      </c>
      <c r="V55" s="62">
        <f>'SIMULARE PE PRODUS'!AT58</f>
        <v>0.45817315810909098</v>
      </c>
      <c r="W55" s="62">
        <f>'SIMULARE PE PRODUS'!AU58</f>
        <v>0.40319237913599998</v>
      </c>
      <c r="X55" s="59">
        <v>0</v>
      </c>
      <c r="Y55" s="59">
        <v>0</v>
      </c>
      <c r="Z55" s="63">
        <f>'SIMULARE PE PRODUS'!BA58</f>
        <v>0.42607964885354777</v>
      </c>
      <c r="AA55" s="63">
        <f>'SIMULARE PE PRODUS'!BB58</f>
        <v>0.45146951978501054</v>
      </c>
      <c r="AB55" s="63">
        <f>'SIMULARE PE PRODUS'!BC58</f>
        <v>0.39799195097657281</v>
      </c>
    </row>
    <row r="56" spans="1:28" x14ac:dyDescent="0.2">
      <c r="A56" s="26">
        <v>51</v>
      </c>
      <c r="B56" s="26" t="s">
        <v>198</v>
      </c>
      <c r="C56" s="26" t="s">
        <v>98</v>
      </c>
      <c r="D56" s="41">
        <f>'SIMULARE PE PRODUS'!P44</f>
        <v>25.99</v>
      </c>
      <c r="E56" s="41">
        <f>'SIMULARE PE PRODUS'!Q44</f>
        <v>28.99</v>
      </c>
      <c r="F56" s="28">
        <f>'SIMULARE PE PRODUS'!U44</f>
        <v>0.44168800513875173</v>
      </c>
      <c r="G56" s="28">
        <f>'SIMULARE PE PRODUS'!V44</f>
        <v>0.46020237829934596</v>
      </c>
      <c r="H56" s="28">
        <f>'SIMULARE PE PRODUS'!W44</f>
        <v>0.41257881379786138</v>
      </c>
      <c r="I56" s="59">
        <v>0</v>
      </c>
      <c r="J56" s="59">
        <v>0</v>
      </c>
      <c r="K56" s="60">
        <f>'SIMULARE PE PRODUS'!AC44</f>
        <v>0.44168800513875173</v>
      </c>
      <c r="L56" s="60">
        <f>'SIMULARE PE PRODUS'!AD44</f>
        <v>0.46020237829934596</v>
      </c>
      <c r="M56" s="60">
        <f>'SIMULARE PE PRODUS'!AE44</f>
        <v>0.41257881379786138</v>
      </c>
      <c r="N56" s="59">
        <v>0</v>
      </c>
      <c r="O56" s="59">
        <v>0</v>
      </c>
      <c r="P56" s="61">
        <f>'SIMULARE PE PRODUS'!AK44</f>
        <v>0.43368044314750892</v>
      </c>
      <c r="Q56" s="61">
        <f>'SIMULARE PE PRODUS'!AL44</f>
        <v>0.45151603669309176</v>
      </c>
      <c r="R56" s="61">
        <f>'SIMULARE PE PRODUS'!AM44</f>
        <v>0.40558358128179051</v>
      </c>
      <c r="S56" s="59">
        <v>0</v>
      </c>
      <c r="T56" s="59">
        <v>0</v>
      </c>
      <c r="U56" s="62">
        <f>'SIMULARE PE PRODUS'!AS44</f>
        <v>0.43368044314750892</v>
      </c>
      <c r="V56" s="62">
        <f>'SIMULARE PE PRODUS'!AT44</f>
        <v>0.45151603669309176</v>
      </c>
      <c r="W56" s="62">
        <f>'SIMULARE PE PRODUS'!AU44</f>
        <v>0.40558358128179051</v>
      </c>
      <c r="X56" s="59">
        <v>1</v>
      </c>
      <c r="Y56" s="59">
        <v>1</v>
      </c>
      <c r="Z56" s="63">
        <f>'SIMULARE PE PRODUS'!BA44</f>
        <v>0.41130996873603837</v>
      </c>
      <c r="AA56" s="63">
        <f>'SIMULARE PE PRODUS'!BB44</f>
        <v>0.4273190357984995</v>
      </c>
      <c r="AB56" s="63">
        <f>'SIMULARE PE PRODUS'!BC44</f>
        <v>0.38595223659244926</v>
      </c>
    </row>
    <row r="57" spans="1:28" x14ac:dyDescent="0.2">
      <c r="A57" s="26">
        <v>52</v>
      </c>
      <c r="B57" s="26" t="s">
        <v>191</v>
      </c>
      <c r="C57" s="26" t="s">
        <v>105</v>
      </c>
      <c r="D57" s="41">
        <f>'SIMULARE PE PRODUS'!P165</f>
        <v>12</v>
      </c>
      <c r="E57" s="41">
        <f>'SIMULARE PE PRODUS'!Q165</f>
        <v>14</v>
      </c>
      <c r="F57" s="28">
        <f>'SIMULARE PE PRODUS'!U165</f>
        <v>0.41332217840188434</v>
      </c>
      <c r="G57" s="28">
        <f>'SIMULARE PE PRODUS'!V165</f>
        <v>0.37819448249999998</v>
      </c>
      <c r="H57" s="28">
        <f>'SIMULARE PE PRODUS'!W165</f>
        <v>0.494075985</v>
      </c>
      <c r="I57" s="59">
        <v>0</v>
      </c>
      <c r="J57" s="59">
        <v>0</v>
      </c>
      <c r="K57" s="60">
        <f>'SIMULARE PE PRODUS'!AC165</f>
        <v>0.41332217840188434</v>
      </c>
      <c r="L57" s="60">
        <f>'SIMULARE PE PRODUS'!AD165</f>
        <v>0.37819448249999998</v>
      </c>
      <c r="M57" s="60">
        <f>'SIMULARE PE PRODUS'!AE165</f>
        <v>0.494075985</v>
      </c>
      <c r="N57" s="59">
        <v>0</v>
      </c>
      <c r="O57" s="59">
        <v>0</v>
      </c>
      <c r="P57" s="61">
        <f>'SIMULARE PE PRODUS'!AK165</f>
        <v>0.3977827751892023</v>
      </c>
      <c r="Q57" s="61">
        <f>'SIMULARE PE PRODUS'!AL165</f>
        <v>0.36335738911128901</v>
      </c>
      <c r="R57" s="61">
        <f>'SIMULARE PE PRODUS'!AM165</f>
        <v>0.47736810144927538</v>
      </c>
      <c r="S57" s="59">
        <v>0</v>
      </c>
      <c r="T57" s="59">
        <v>0</v>
      </c>
      <c r="U57" s="62">
        <f>'SIMULARE PE PRODUS'!AS165</f>
        <v>0.38308620270043325</v>
      </c>
      <c r="V57" s="62">
        <f>'SIMULARE PE PRODUS'!AT165</f>
        <v>0.3493713464203233</v>
      </c>
      <c r="W57" s="62">
        <f>'SIMULARE PE PRODUS'!AU165</f>
        <v>0.46144521614409606</v>
      </c>
      <c r="X57" s="59">
        <v>0</v>
      </c>
      <c r="Y57" s="59">
        <v>0</v>
      </c>
      <c r="Z57" s="63">
        <f>'SIMULARE PE PRODUS'!BA165</f>
        <v>0.38308620270043325</v>
      </c>
      <c r="AA57" s="63">
        <f>'SIMULARE PE PRODUS'!BB165</f>
        <v>0.3493713464203233</v>
      </c>
      <c r="AB57" s="63">
        <f>'SIMULARE PE PRODUS'!BC165</f>
        <v>0.46144521614409606</v>
      </c>
    </row>
    <row r="58" spans="1:28" x14ac:dyDescent="0.2">
      <c r="A58" s="26">
        <v>53</v>
      </c>
      <c r="B58" s="26" t="s">
        <v>197</v>
      </c>
      <c r="C58" s="26" t="s">
        <v>102</v>
      </c>
      <c r="D58" s="41">
        <f>'SIMULARE PE PRODUS'!P82</f>
        <v>6.1</v>
      </c>
      <c r="E58" s="41">
        <f>'SIMULARE PE PRODUS'!Q82</f>
        <v>6.1</v>
      </c>
      <c r="F58" s="28">
        <f>'SIMULARE PE PRODUS'!U82</f>
        <v>0.41342950819672131</v>
      </c>
      <c r="G58" s="28">
        <f>'SIMULARE PE PRODUS'!V82</f>
        <v>0.41342950819672131</v>
      </c>
      <c r="H58" s="28">
        <f>'SIMULARE PE PRODUS'!W82</f>
        <v>0.41342950819672131</v>
      </c>
      <c r="I58" s="59">
        <v>0</v>
      </c>
      <c r="J58" s="59">
        <v>0</v>
      </c>
      <c r="K58" s="60">
        <f>'SIMULARE PE PRODUS'!AC82</f>
        <v>0.40030476190476177</v>
      </c>
      <c r="L58" s="60">
        <f>'SIMULARE PE PRODUS'!AD82</f>
        <v>0.40030476190476183</v>
      </c>
      <c r="M58" s="60">
        <f>'SIMULARE PE PRODUS'!AE82</f>
        <v>0.40030476190476189</v>
      </c>
      <c r="N58" s="59">
        <v>0</v>
      </c>
      <c r="O58" s="59">
        <v>0</v>
      </c>
      <c r="P58" s="61">
        <f>'SIMULARE PE PRODUS'!AK82</f>
        <v>0.40030476190476177</v>
      </c>
      <c r="Q58" s="61">
        <f>'SIMULARE PE PRODUS'!AL82</f>
        <v>0.40030476190476183</v>
      </c>
      <c r="R58" s="61">
        <f>'SIMULARE PE PRODUS'!AM82</f>
        <v>0.40030476190476189</v>
      </c>
      <c r="S58" s="59">
        <v>0</v>
      </c>
      <c r="T58" s="59">
        <v>0</v>
      </c>
      <c r="U58" s="62">
        <f>'SIMULARE PE PRODUS'!AS82</f>
        <v>0.40030476190476177</v>
      </c>
      <c r="V58" s="62">
        <f>'SIMULARE PE PRODUS'!AT82</f>
        <v>0.40030476190476183</v>
      </c>
      <c r="W58" s="62">
        <f>'SIMULARE PE PRODUS'!AU82</f>
        <v>0.40030476190476189</v>
      </c>
      <c r="X58" s="59">
        <v>0</v>
      </c>
      <c r="Y58" s="59">
        <v>0</v>
      </c>
      <c r="Z58" s="63">
        <f>'SIMULARE PE PRODUS'!BA82</f>
        <v>0.38858551617873649</v>
      </c>
      <c r="AA58" s="63">
        <f>'SIMULARE PE PRODUS'!BB82</f>
        <v>0.38858551617873649</v>
      </c>
      <c r="AB58" s="63">
        <f>'SIMULARE PE PRODUS'!BC82</f>
        <v>0.38858551617873655</v>
      </c>
    </row>
    <row r="59" spans="1:28" x14ac:dyDescent="0.2">
      <c r="A59" s="26">
        <v>54</v>
      </c>
      <c r="B59" s="26" t="s">
        <v>200</v>
      </c>
      <c r="C59" s="26" t="s">
        <v>94</v>
      </c>
      <c r="D59" s="41">
        <f>'SIMULARE PE PRODUS'!P13</f>
        <v>14.99</v>
      </c>
      <c r="E59" s="41">
        <f>'SIMULARE PE PRODUS'!Q13</f>
        <v>16.989999999999998</v>
      </c>
      <c r="F59" s="28">
        <f>'SIMULARE PE PRODUS'!U13</f>
        <v>0.70689648970354069</v>
      </c>
      <c r="G59" s="28">
        <f>'SIMULARE PE PRODUS'!V13</f>
        <v>0.74284229359573062</v>
      </c>
      <c r="H59" s="28">
        <f>'SIMULARE PE PRODUS'!W13</f>
        <v>0.655397644555621</v>
      </c>
      <c r="I59" s="59">
        <v>0</v>
      </c>
      <c r="J59" s="59">
        <v>0</v>
      </c>
      <c r="K59" s="60">
        <f>'SIMULARE PE PRODUS'!AC13</f>
        <v>0.70689648970354069</v>
      </c>
      <c r="L59" s="60">
        <f>'SIMULARE PE PRODUS'!AD13</f>
        <v>0.74284229359573062</v>
      </c>
      <c r="M59" s="60">
        <f>'SIMULARE PE PRODUS'!AE13</f>
        <v>0.655397644555621</v>
      </c>
      <c r="N59" s="59">
        <v>0</v>
      </c>
      <c r="O59" s="59">
        <v>0</v>
      </c>
      <c r="P59" s="61">
        <f>'SIMULARE PE PRODUS'!AK13</f>
        <v>0.70689648970354069</v>
      </c>
      <c r="Q59" s="61">
        <f>'SIMULARE PE PRODUS'!AL13</f>
        <v>0.74284229359573062</v>
      </c>
      <c r="R59" s="61">
        <f>'SIMULARE PE PRODUS'!AM13</f>
        <v>0.655397644555621</v>
      </c>
      <c r="S59" s="59">
        <v>0</v>
      </c>
      <c r="T59" s="59">
        <v>0</v>
      </c>
      <c r="U59" s="62">
        <f>'SIMULARE PE PRODUS'!AS13</f>
        <v>0.70689648970354069</v>
      </c>
      <c r="V59" s="62">
        <f>'SIMULARE PE PRODUS'!AT13</f>
        <v>0.74284229359573062</v>
      </c>
      <c r="W59" s="62">
        <f>'SIMULARE PE PRODUS'!AU13</f>
        <v>0.655397644555621</v>
      </c>
      <c r="X59" s="59">
        <v>0</v>
      </c>
      <c r="Y59" s="59">
        <v>0</v>
      </c>
      <c r="Z59" s="63">
        <f>'SIMULARE PE PRODUS'!BA13</f>
        <v>0.68514883165187956</v>
      </c>
      <c r="AA59" s="63">
        <f>'SIMULARE PE PRODUS'!BB13</f>
        <v>0.71886416920593932</v>
      </c>
      <c r="AB59" s="63">
        <f>'SIMULARE PE PRODUS'!BC13</f>
        <v>0.63666129108061764</v>
      </c>
    </row>
    <row r="60" spans="1:28" x14ac:dyDescent="0.2">
      <c r="A60" s="26">
        <v>55</v>
      </c>
      <c r="B60" s="26" t="s">
        <v>201</v>
      </c>
      <c r="C60" s="26" t="s">
        <v>100</v>
      </c>
      <c r="D60" s="41">
        <f>'SIMULARE PE PRODUS'!P59</f>
        <v>9.5</v>
      </c>
      <c r="E60" s="41">
        <f>'SIMULARE PE PRODUS'!Q59</f>
        <v>12.5</v>
      </c>
      <c r="F60" s="28">
        <f>'SIMULARE PE PRODUS'!U59</f>
        <v>0.32570893575446797</v>
      </c>
      <c r="G60" s="28">
        <f>'SIMULARE PE PRODUS'!V59</f>
        <v>0.36182178795789488</v>
      </c>
      <c r="H60" s="28">
        <f>'SIMULARE PE PRODUS'!W59</f>
        <v>0.27498455884800005</v>
      </c>
      <c r="I60" s="59">
        <v>0</v>
      </c>
      <c r="J60" s="59">
        <v>0</v>
      </c>
      <c r="K60" s="60">
        <f>'SIMULARE PE PRODUS'!AC59</f>
        <v>0.31097538668990526</v>
      </c>
      <c r="L60" s="60">
        <f>'SIMULARE PE PRODUS'!AD59</f>
        <v>0.3437306985600001</v>
      </c>
      <c r="M60" s="60">
        <f>'SIMULARE PE PRODUS'!AE59</f>
        <v>0.26440822966153849</v>
      </c>
      <c r="N60" s="59">
        <v>0</v>
      </c>
      <c r="O60" s="59">
        <v>0</v>
      </c>
      <c r="P60" s="61">
        <f>'SIMULARE PE PRODUS'!AK59</f>
        <v>0.31097538668990526</v>
      </c>
      <c r="Q60" s="61">
        <f>'SIMULARE PE PRODUS'!AL59</f>
        <v>0.3437306985600001</v>
      </c>
      <c r="R60" s="61">
        <f>'SIMULARE PE PRODUS'!AM59</f>
        <v>0.26440822966153849</v>
      </c>
      <c r="S60" s="59">
        <v>0</v>
      </c>
      <c r="T60" s="59">
        <v>0</v>
      </c>
      <c r="U60" s="62">
        <f>'SIMULARE PE PRODUS'!AS59</f>
        <v>0.29751710424286398</v>
      </c>
      <c r="V60" s="62">
        <f>'SIMULARE PE PRODUS'!AT59</f>
        <v>0.32736257005714292</v>
      </c>
      <c r="W60" s="62">
        <f>'SIMULARE PE PRODUS'!AU59</f>
        <v>0.25461533226666672</v>
      </c>
      <c r="X60" s="59">
        <v>0</v>
      </c>
      <c r="Y60" s="59">
        <v>0</v>
      </c>
      <c r="Z60" s="63">
        <f>'SIMULARE PE PRODUS'!BA59</f>
        <v>0.28541217666729762</v>
      </c>
      <c r="AA60" s="63">
        <f>'SIMULARE PE PRODUS'!BB59</f>
        <v>0.31276678667879898</v>
      </c>
      <c r="AB60" s="63">
        <f>'SIMULARE PE PRODUS'!BC59</f>
        <v>0.24569742570407438</v>
      </c>
    </row>
    <row r="61" spans="1:28" x14ac:dyDescent="0.2">
      <c r="A61" s="26">
        <v>56</v>
      </c>
      <c r="B61" s="26" t="s">
        <v>203</v>
      </c>
      <c r="C61" s="26" t="s">
        <v>100</v>
      </c>
      <c r="D61" s="41">
        <f>'SIMULARE PE PRODUS'!P61</f>
        <v>27</v>
      </c>
      <c r="E61" s="41">
        <f>'SIMULARE PE PRODUS'!Q61</f>
        <v>31</v>
      </c>
      <c r="F61" s="28">
        <f>'SIMULARE PE PRODUS'!U61</f>
        <v>0.44601299939188899</v>
      </c>
      <c r="G61" s="28">
        <f>'SIMULARE PE PRODUS'!V61</f>
        <v>0.47450969351111116</v>
      </c>
      <c r="H61" s="28">
        <f>'SIMULARE PE PRODUS'!W61</f>
        <v>0.41328263628387102</v>
      </c>
      <c r="I61" s="59">
        <v>0</v>
      </c>
      <c r="J61" s="59">
        <v>0</v>
      </c>
      <c r="K61" s="60">
        <f>'SIMULARE PE PRODUS'!AC61</f>
        <v>0.43838234604230708</v>
      </c>
      <c r="L61" s="60">
        <f>'SIMULARE PE PRODUS'!AD61</f>
        <v>0.46588224453818189</v>
      </c>
      <c r="M61" s="60">
        <f>'SIMULARE PE PRODUS'!AE61</f>
        <v>0.40672259443809528</v>
      </c>
      <c r="N61" s="59">
        <v>0</v>
      </c>
      <c r="O61" s="59">
        <v>0</v>
      </c>
      <c r="P61" s="61">
        <f>'SIMULARE PE PRODUS'!AK61</f>
        <v>0.43838234604230708</v>
      </c>
      <c r="Q61" s="61">
        <f>'SIMULARE PE PRODUS'!AL61</f>
        <v>0.46588224453818189</v>
      </c>
      <c r="R61" s="61">
        <f>'SIMULARE PE PRODUS'!AM61</f>
        <v>0.40672259443809528</v>
      </c>
      <c r="S61" s="59">
        <v>0</v>
      </c>
      <c r="T61" s="59">
        <v>0</v>
      </c>
      <c r="U61" s="62">
        <f>'SIMULARE PE PRODUS'!AS61</f>
        <v>0.43100840022159542</v>
      </c>
      <c r="V61" s="62">
        <f>'SIMULARE PE PRODUS'!AT61</f>
        <v>0.45756291874285721</v>
      </c>
      <c r="W61" s="62">
        <f>'SIMULARE PE PRODUS'!AU61</f>
        <v>0.40036755390000006</v>
      </c>
      <c r="X61" s="59">
        <v>0</v>
      </c>
      <c r="Y61" s="59">
        <v>0</v>
      </c>
      <c r="Z61" s="63">
        <f>'SIMULARE PE PRODUS'!BA61</f>
        <v>0.42401870915359413</v>
      </c>
      <c r="AA61" s="63">
        <f>'SIMULARE PE PRODUS'!BB61</f>
        <v>0.44969328623376625</v>
      </c>
      <c r="AB61" s="63">
        <f>'SIMULARE PE PRODUS'!BC61</f>
        <v>0.39432938518928906</v>
      </c>
    </row>
    <row r="62" spans="1:28" x14ac:dyDescent="0.2">
      <c r="A62" s="26">
        <v>57</v>
      </c>
      <c r="B62" s="26" t="s">
        <v>202</v>
      </c>
      <c r="C62" s="26" t="s">
        <v>100</v>
      </c>
      <c r="D62" s="41">
        <f>'SIMULARE PE PRODUS'!P60</f>
        <v>21.5</v>
      </c>
      <c r="E62" s="41">
        <f>'SIMULARE PE PRODUS'!Q60</f>
        <v>28</v>
      </c>
      <c r="F62" s="28">
        <f>'SIMULARE PE PRODUS'!U60</f>
        <v>0.3797912830951039</v>
      </c>
      <c r="G62" s="28">
        <f>'SIMULARE PE PRODUS'!V60</f>
        <v>0.40197959218604662</v>
      </c>
      <c r="H62" s="28">
        <f>'SIMULARE PE PRODUS'!W60</f>
        <v>0.30866290114285722</v>
      </c>
      <c r="I62" s="59">
        <v>0</v>
      </c>
      <c r="J62" s="59">
        <v>0</v>
      </c>
      <c r="K62" s="60">
        <f>'SIMULARE PE PRODUS'!AC60</f>
        <v>0.37162586430053179</v>
      </c>
      <c r="L62" s="60">
        <f>'SIMULARE PE PRODUS'!AD60</f>
        <v>0.39284369236363648</v>
      </c>
      <c r="M62" s="60">
        <f>'SIMULARE PE PRODUS'!AE60</f>
        <v>0.30324776252631586</v>
      </c>
      <c r="N62" s="59">
        <v>0</v>
      </c>
      <c r="O62" s="59">
        <v>0</v>
      </c>
      <c r="P62" s="61">
        <f>'SIMULARE PE PRODUS'!AK60</f>
        <v>0.37162586430053179</v>
      </c>
      <c r="Q62" s="61">
        <f>'SIMULARE PE PRODUS'!AL60</f>
        <v>0.39284369236363648</v>
      </c>
      <c r="R62" s="61">
        <f>'SIMULARE PE PRODUS'!AM60</f>
        <v>0.30324776252631586</v>
      </c>
      <c r="S62" s="59">
        <v>0</v>
      </c>
      <c r="T62" s="59">
        <v>0</v>
      </c>
      <c r="U62" s="62">
        <f>'SIMULARE PE PRODUS'!AS60</f>
        <v>0.36380416460536424</v>
      </c>
      <c r="V62" s="62">
        <f>'SIMULARE PE PRODUS'!AT60</f>
        <v>0.38411383253333337</v>
      </c>
      <c r="W62" s="62">
        <f>'SIMULARE PE PRODUS'!AU60</f>
        <v>0.29801935282758629</v>
      </c>
      <c r="X62" s="59">
        <v>0</v>
      </c>
      <c r="Y62" s="59">
        <v>0</v>
      </c>
      <c r="Z62" s="63">
        <f>'SIMULARE PE PRODUS'!BA60</f>
        <v>0.35645188198037031</v>
      </c>
      <c r="AA62" s="63">
        <f>'SIMULARE PE PRODUS'!BB60</f>
        <v>0.3759269783384081</v>
      </c>
      <c r="AB62" s="63">
        <f>'SIMULARE PE PRODUS'!BC60</f>
        <v>0.29306752227873861</v>
      </c>
    </row>
    <row r="63" spans="1:28" x14ac:dyDescent="0.2">
      <c r="A63" s="26">
        <v>58</v>
      </c>
      <c r="B63" s="26" t="s">
        <v>205</v>
      </c>
      <c r="C63" s="26" t="s">
        <v>97</v>
      </c>
      <c r="D63" s="41">
        <f>'SIMULARE PE PRODUS'!P38</f>
        <v>26.99</v>
      </c>
      <c r="E63" s="41">
        <f>'SIMULARE PE PRODUS'!Q38</f>
        <v>28.99</v>
      </c>
      <c r="F63" s="28">
        <f>'SIMULARE PE PRODUS'!U38</f>
        <v>0.42660414007031333</v>
      </c>
      <c r="G63" s="28">
        <f>'SIMULARE PE PRODUS'!V38</f>
        <v>0.43367594305298263</v>
      </c>
      <c r="H63" s="28">
        <f>'SIMULARE PE PRODUS'!W38</f>
        <v>0.40375694042773369</v>
      </c>
      <c r="I63" s="59">
        <v>0</v>
      </c>
      <c r="J63" s="59">
        <v>0</v>
      </c>
      <c r="K63" s="60">
        <f>'SIMULARE PE PRODUS'!AC38</f>
        <v>0.41896914269357149</v>
      </c>
      <c r="L63" s="60">
        <f>'SIMULARE PE PRODUS'!AD38</f>
        <v>0.42578805758457622</v>
      </c>
      <c r="M63" s="60">
        <f>'SIMULARE PE PRODUS'!AE38</f>
        <v>0.39691128189216685</v>
      </c>
      <c r="N63" s="59">
        <v>0</v>
      </c>
      <c r="O63" s="59">
        <v>0</v>
      </c>
      <c r="P63" s="61">
        <f>'SIMULARE PE PRODUS'!AK38</f>
        <v>0.41896914269357149</v>
      </c>
      <c r="Q63" s="61">
        <f>'SIMULARE PE PRODUS'!AL38</f>
        <v>0.42578805758457622</v>
      </c>
      <c r="R63" s="61">
        <f>'SIMULARE PE PRODUS'!AM38</f>
        <v>0.39691128189216685</v>
      </c>
      <c r="S63" s="59">
        <v>0</v>
      </c>
      <c r="T63" s="59">
        <v>0</v>
      </c>
      <c r="U63" s="62">
        <f>'SIMULARE PE PRODUS'!AS38</f>
        <v>0.41160262956855131</v>
      </c>
      <c r="V63" s="62">
        <f>'SIMULARE PE PRODUS'!AT38</f>
        <v>0.41818198295819931</v>
      </c>
      <c r="W63" s="62">
        <f>'SIMULARE PE PRODUS'!AU38</f>
        <v>0.39029388806268756</v>
      </c>
      <c r="X63" s="59">
        <v>0</v>
      </c>
      <c r="Y63" s="59">
        <v>0</v>
      </c>
      <c r="Z63" s="63">
        <f>'SIMULARE PE PRODUS'!BA38</f>
        <v>0.40449068354286</v>
      </c>
      <c r="AA63" s="63">
        <f>'SIMULARE PE PRODUS'!BB38</f>
        <v>0.41084288181818185</v>
      </c>
      <c r="AB63" s="63">
        <f>'SIMULARE PE PRODUS'!BC38</f>
        <v>0.38389352912430302</v>
      </c>
    </row>
    <row r="64" spans="1:28" x14ac:dyDescent="0.2">
      <c r="A64" s="26">
        <v>59</v>
      </c>
      <c r="B64" s="26" t="s">
        <v>204</v>
      </c>
      <c r="C64" s="26" t="s">
        <v>105</v>
      </c>
      <c r="D64" s="41">
        <f>'SIMULARE PE PRODUS'!P166</f>
        <v>12</v>
      </c>
      <c r="E64" s="41">
        <f>'SIMULARE PE PRODUS'!Q166</f>
        <v>14</v>
      </c>
      <c r="F64" s="28">
        <f>'SIMULARE PE PRODUS'!U166</f>
        <v>0.3622948222583543</v>
      </c>
      <c r="G64" s="28">
        <f>'SIMULARE PE PRODUS'!V166</f>
        <v>0.37819448249999998</v>
      </c>
      <c r="H64" s="28">
        <f>'SIMULARE PE PRODUS'!W166</f>
        <v>0.32416669928571429</v>
      </c>
      <c r="I64" s="59">
        <v>0</v>
      </c>
      <c r="J64" s="59">
        <v>0</v>
      </c>
      <c r="K64" s="60">
        <f>'SIMULARE PE PRODUS'!AC166</f>
        <v>0.3622948222583543</v>
      </c>
      <c r="L64" s="60">
        <f>'SIMULARE PE PRODUS'!AD166</f>
        <v>0.37819448249999998</v>
      </c>
      <c r="M64" s="60">
        <f>'SIMULARE PE PRODUS'!AE166</f>
        <v>0.32416669928571429</v>
      </c>
      <c r="N64" s="59">
        <v>0</v>
      </c>
      <c r="O64" s="59">
        <v>0</v>
      </c>
      <c r="P64" s="61">
        <f>'SIMULARE PE PRODUS'!AK166</f>
        <v>0.34865654258877071</v>
      </c>
      <c r="Q64" s="61">
        <f>'SIMULARE PE PRODUS'!AL166</f>
        <v>0.36335738911128906</v>
      </c>
      <c r="R64" s="61">
        <f>'SIMULARE PE PRODUS'!AM166</f>
        <v>0.31320454037267081</v>
      </c>
      <c r="S64" s="59">
        <v>0</v>
      </c>
      <c r="T64" s="59">
        <v>0</v>
      </c>
      <c r="U64" s="62">
        <f>'SIMULARE PE PRODUS'!AS166</f>
        <v>0.33575922647434436</v>
      </c>
      <c r="V64" s="62">
        <f>'SIMULARE PE PRODUS'!AT166</f>
        <v>0.34937134642032336</v>
      </c>
      <c r="W64" s="62">
        <f>'SIMULARE PE PRODUS'!AU166</f>
        <v>0.30275742428285524</v>
      </c>
      <c r="X64" s="59">
        <v>0</v>
      </c>
      <c r="Y64" s="59">
        <v>0</v>
      </c>
      <c r="Z64" s="63">
        <f>'SIMULARE PE PRODUS'!BA166</f>
        <v>0.33575922647434436</v>
      </c>
      <c r="AA64" s="63">
        <f>'SIMULARE PE PRODUS'!BB166</f>
        <v>0.34937134642032336</v>
      </c>
      <c r="AB64" s="63">
        <f>'SIMULARE PE PRODUS'!BC166</f>
        <v>0.30275742428285524</v>
      </c>
    </row>
    <row r="65" spans="1:28" x14ac:dyDescent="0.2">
      <c r="A65" s="26">
        <v>60</v>
      </c>
      <c r="B65" s="26" t="s">
        <v>207</v>
      </c>
      <c r="C65" s="26" t="s">
        <v>103</v>
      </c>
      <c r="D65" s="41">
        <f>'SIMULARE PE PRODUS'!P98</f>
        <v>7.99</v>
      </c>
      <c r="E65" s="41">
        <f>'SIMULARE PE PRODUS'!Q98</f>
        <v>0</v>
      </c>
      <c r="F65" s="28">
        <f>'SIMULARE PE PRODUS'!U98</f>
        <v>0.51555302855569463</v>
      </c>
      <c r="G65" s="28">
        <f>'SIMULARE PE PRODUS'!V98</f>
        <v>0.51555302855569463</v>
      </c>
      <c r="H65" s="28" t="str">
        <f>'SIMULARE PE PRODUS'!W98</f>
        <v/>
      </c>
      <c r="I65" s="59">
        <v>0</v>
      </c>
      <c r="J65" s="59">
        <v>0</v>
      </c>
      <c r="K65" s="60">
        <f>'SIMULARE PE PRODUS'!AC98</f>
        <v>0.48519065938280326</v>
      </c>
      <c r="L65" s="60">
        <f>'SIMULARE PE PRODUS'!AD98</f>
        <v>0.48519065938280326</v>
      </c>
      <c r="M65" s="60" t="str">
        <f>'SIMULARE PE PRODUS'!AE98</f>
        <v/>
      </c>
      <c r="N65" s="59">
        <v>0</v>
      </c>
      <c r="O65" s="59">
        <v>0</v>
      </c>
      <c r="P65" s="61">
        <f>'SIMULARE PE PRODUS'!AK98</f>
        <v>0.43406414100737617</v>
      </c>
      <c r="Q65" s="61">
        <f>'SIMULARE PE PRODUS'!AL98</f>
        <v>0.43406414100737617</v>
      </c>
      <c r="R65" s="61" t="str">
        <f>'SIMULARE PE PRODUS'!AM98</f>
        <v/>
      </c>
      <c r="S65" s="59">
        <v>0</v>
      </c>
      <c r="T65" s="59">
        <v>0</v>
      </c>
      <c r="U65" s="62">
        <f>'SIMULARE PE PRODUS'!AS98</f>
        <v>0.41233920902502497</v>
      </c>
      <c r="V65" s="62">
        <f>'SIMULARE PE PRODUS'!AT98</f>
        <v>0.41233920902502497</v>
      </c>
      <c r="W65" s="62" t="str">
        <f>'SIMULARE PE PRODUS'!AU98</f>
        <v/>
      </c>
      <c r="X65" s="59">
        <v>0</v>
      </c>
      <c r="Y65" s="59">
        <v>0</v>
      </c>
      <c r="Z65" s="63">
        <f>'SIMULARE PE PRODUS'!BA98</f>
        <v>0.39268529057769297</v>
      </c>
      <c r="AA65" s="63">
        <f>'SIMULARE PE PRODUS'!BB98</f>
        <v>0.39268529057769297</v>
      </c>
      <c r="AB65" s="63" t="str">
        <f>'SIMULARE PE PRODUS'!BC98</f>
        <v/>
      </c>
    </row>
    <row r="66" spans="1:28" x14ac:dyDescent="0.2">
      <c r="A66" s="26">
        <v>61</v>
      </c>
      <c r="B66" s="26" t="s">
        <v>208</v>
      </c>
      <c r="C66" s="26" t="s">
        <v>103</v>
      </c>
      <c r="D66" s="41">
        <f>'SIMULARE PE PRODUS'!P99</f>
        <v>7.99</v>
      </c>
      <c r="E66" s="41">
        <f>'SIMULARE PE PRODUS'!Q99</f>
        <v>0</v>
      </c>
      <c r="F66" s="28">
        <f>'SIMULARE PE PRODUS'!U99</f>
        <v>0.53176950192290362</v>
      </c>
      <c r="G66" s="28">
        <f>'SIMULARE PE PRODUS'!V99</f>
        <v>0.53176950192290362</v>
      </c>
      <c r="H66" s="28" t="str">
        <f>'SIMULARE PE PRODUS'!W99</f>
        <v/>
      </c>
      <c r="I66" s="59">
        <v>0</v>
      </c>
      <c r="J66" s="59">
        <v>0</v>
      </c>
      <c r="K66" s="60">
        <f>'SIMULARE PE PRODUS'!AC99</f>
        <v>0.5004520989828033</v>
      </c>
      <c r="L66" s="60">
        <f>'SIMULARE PE PRODUS'!AD99</f>
        <v>0.5004520989828033</v>
      </c>
      <c r="M66" s="60" t="str">
        <f>'SIMULARE PE PRODUS'!AE99</f>
        <v/>
      </c>
      <c r="N66" s="59">
        <v>0</v>
      </c>
      <c r="O66" s="59">
        <v>0</v>
      </c>
      <c r="P66" s="61">
        <f>'SIMULARE PE PRODUS'!AK99</f>
        <v>0.44771742048092733</v>
      </c>
      <c r="Q66" s="61">
        <f>'SIMULARE PE PRODUS'!AL99</f>
        <v>0.44771742048092733</v>
      </c>
      <c r="R66" s="61" t="str">
        <f>'SIMULARE PE PRODUS'!AM99</f>
        <v/>
      </c>
      <c r="S66" s="59">
        <v>0</v>
      </c>
      <c r="T66" s="59">
        <v>0</v>
      </c>
      <c r="U66" s="62">
        <f>'SIMULARE PE PRODUS'!AS99</f>
        <v>0.42530914117757751</v>
      </c>
      <c r="V66" s="62">
        <f>'SIMULARE PE PRODUS'!AT99</f>
        <v>0.42530914117757751</v>
      </c>
      <c r="W66" s="62" t="str">
        <f>'SIMULARE PE PRODUS'!AU99</f>
        <v/>
      </c>
      <c r="X66" s="59">
        <v>0</v>
      </c>
      <c r="Y66" s="59">
        <v>0</v>
      </c>
      <c r="Z66" s="63">
        <f>'SIMULARE PE PRODUS'!BA99</f>
        <v>0.40503701814718784</v>
      </c>
      <c r="AA66" s="63">
        <f>'SIMULARE PE PRODUS'!BB99</f>
        <v>0.40503701814718784</v>
      </c>
      <c r="AB66" s="63" t="str">
        <f>'SIMULARE PE PRODUS'!BC99</f>
        <v/>
      </c>
    </row>
    <row r="67" spans="1:28" x14ac:dyDescent="0.2">
      <c r="A67" s="26">
        <v>62</v>
      </c>
      <c r="B67" s="26" t="s">
        <v>206</v>
      </c>
      <c r="C67" s="26" t="s">
        <v>112</v>
      </c>
      <c r="D67" s="41">
        <f>'SIMULARE PE PRODUS'!P235</f>
        <v>1.5</v>
      </c>
      <c r="E67" s="41">
        <f>'SIMULARE PE PRODUS'!Q235</f>
        <v>0</v>
      </c>
      <c r="F67" s="28">
        <f>'SIMULARE PE PRODUS'!U235</f>
        <v>0.69485999999999992</v>
      </c>
      <c r="G67" s="28">
        <f>'SIMULARE PE PRODUS'!V235</f>
        <v>0.69485999999999992</v>
      </c>
      <c r="H67" s="28" t="str">
        <f>'SIMULARE PE PRODUS'!W235</f>
        <v/>
      </c>
      <c r="I67" s="59">
        <v>0</v>
      </c>
      <c r="J67" s="59">
        <v>0</v>
      </c>
      <c r="K67" s="60">
        <f>'SIMULARE PE PRODUS'!AC235</f>
        <v>0.69485999999999992</v>
      </c>
      <c r="L67" s="60">
        <f>'SIMULARE PE PRODUS'!AD235</f>
        <v>0.69485999999999992</v>
      </c>
      <c r="M67" s="60" t="str">
        <f>'SIMULARE PE PRODUS'!AE235</f>
        <v/>
      </c>
      <c r="N67" s="59">
        <v>0</v>
      </c>
      <c r="O67" s="59">
        <v>0</v>
      </c>
      <c r="P67" s="61">
        <f>'SIMULARE PE PRODUS'!AK235</f>
        <v>0.69485999999999992</v>
      </c>
      <c r="Q67" s="61">
        <f>'SIMULARE PE PRODUS'!AL235</f>
        <v>0.69485999999999992</v>
      </c>
      <c r="R67" s="61" t="str">
        <f>'SIMULARE PE PRODUS'!AM235</f>
        <v/>
      </c>
      <c r="S67" s="59">
        <v>0</v>
      </c>
      <c r="T67" s="59">
        <v>0</v>
      </c>
      <c r="U67" s="62">
        <f>'SIMULARE PE PRODUS'!AS235</f>
        <v>0.69485999999999992</v>
      </c>
      <c r="V67" s="62">
        <f>'SIMULARE PE PRODUS'!AT235</f>
        <v>0.69485999999999992</v>
      </c>
      <c r="W67" s="62" t="str">
        <f>'SIMULARE PE PRODUS'!AU235</f>
        <v/>
      </c>
      <c r="X67" s="59">
        <v>0</v>
      </c>
      <c r="Y67" s="59">
        <v>0</v>
      </c>
      <c r="Z67" s="63">
        <f>'SIMULARE PE PRODUS'!BA235</f>
        <v>0.69485999999999992</v>
      </c>
      <c r="AA67" s="63">
        <f>'SIMULARE PE PRODUS'!BB235</f>
        <v>0.69485999999999992</v>
      </c>
      <c r="AB67" s="63" t="str">
        <f>'SIMULARE PE PRODUS'!BC235</f>
        <v/>
      </c>
    </row>
    <row r="68" spans="1:28" x14ac:dyDescent="0.2">
      <c r="A68" s="26">
        <v>63</v>
      </c>
      <c r="B68" s="26" t="s">
        <v>194</v>
      </c>
      <c r="C68" s="26" t="s">
        <v>109</v>
      </c>
      <c r="D68" s="41">
        <f>'SIMULARE PE PRODUS'!P218</f>
        <v>39</v>
      </c>
      <c r="E68" s="41">
        <f>'SIMULARE PE PRODUS'!Q218</f>
        <v>39</v>
      </c>
      <c r="F68" s="28">
        <f>'SIMULARE PE PRODUS'!U218</f>
        <v>0.62038151447292222</v>
      </c>
      <c r="G68" s="28">
        <f>'SIMULARE PE PRODUS'!V218</f>
        <v>0.61144340029353861</v>
      </c>
      <c r="H68" s="28">
        <f>'SIMULARE PE PRODUS'!W218</f>
        <v>0.65550673510769253</v>
      </c>
      <c r="I68" s="59">
        <v>0</v>
      </c>
      <c r="J68" s="59">
        <v>0</v>
      </c>
      <c r="K68" s="60">
        <f>'SIMULARE PE PRODUS'!AC218</f>
        <v>0.62038151447292222</v>
      </c>
      <c r="L68" s="60">
        <f>'SIMULARE PE PRODUS'!AD218</f>
        <v>0.61144340029353861</v>
      </c>
      <c r="M68" s="60">
        <f>'SIMULARE PE PRODUS'!AE218</f>
        <v>0.65550673510769253</v>
      </c>
      <c r="N68" s="59">
        <v>0</v>
      </c>
      <c r="O68" s="59">
        <v>0</v>
      </c>
      <c r="P68" s="61">
        <f>'SIMULARE PE PRODUS'!AK218</f>
        <v>0.62038151447292222</v>
      </c>
      <c r="Q68" s="61">
        <f>'SIMULARE PE PRODUS'!AL218</f>
        <v>0.61144340029353861</v>
      </c>
      <c r="R68" s="61">
        <f>'SIMULARE PE PRODUS'!AM218</f>
        <v>0.65550673510769253</v>
      </c>
      <c r="S68" s="59">
        <v>0</v>
      </c>
      <c r="T68" s="59">
        <v>0</v>
      </c>
      <c r="U68" s="62">
        <f>'SIMULARE PE PRODUS'!AS218</f>
        <v>0.62038151447292222</v>
      </c>
      <c r="V68" s="62">
        <f>'SIMULARE PE PRODUS'!AT218</f>
        <v>0.61144340029353861</v>
      </c>
      <c r="W68" s="62">
        <f>'SIMULARE PE PRODUS'!AU218</f>
        <v>0.65550673510769253</v>
      </c>
      <c r="X68" s="59">
        <v>0</v>
      </c>
      <c r="Y68" s="59">
        <v>0</v>
      </c>
      <c r="Z68" s="63">
        <f>'SIMULARE PE PRODUS'!BA218</f>
        <v>0.62038151447292222</v>
      </c>
      <c r="AA68" s="63">
        <f>'SIMULARE PE PRODUS'!BB218</f>
        <v>0.61144340029353861</v>
      </c>
      <c r="AB68" s="63">
        <f>'SIMULARE PE PRODUS'!BC218</f>
        <v>0.65550673510769253</v>
      </c>
    </row>
    <row r="69" spans="1:28" x14ac:dyDescent="0.2">
      <c r="A69" s="26">
        <v>64</v>
      </c>
      <c r="B69" s="26" t="s">
        <v>195</v>
      </c>
      <c r="C69" s="26" t="s">
        <v>109</v>
      </c>
      <c r="D69" s="41">
        <f>'SIMULARE PE PRODUS'!P219</f>
        <v>39</v>
      </c>
      <c r="E69" s="41">
        <f>'SIMULARE PE PRODUS'!Q219</f>
        <v>39</v>
      </c>
      <c r="F69" s="28">
        <f>'SIMULARE PE PRODUS'!U219</f>
        <v>0.58620467257423303</v>
      </c>
      <c r="G69" s="28">
        <f>'SIMULARE PE PRODUS'!V219</f>
        <v>0.57787898007815408</v>
      </c>
      <c r="H69" s="28">
        <f>'SIMULARE PE PRODUS'!W219</f>
        <v>0.62194231489230778</v>
      </c>
      <c r="I69" s="59">
        <v>0</v>
      </c>
      <c r="J69" s="59">
        <v>0</v>
      </c>
      <c r="K69" s="60">
        <f>'SIMULARE PE PRODUS'!AC219</f>
        <v>0.58620467257423303</v>
      </c>
      <c r="L69" s="60">
        <f>'SIMULARE PE PRODUS'!AD219</f>
        <v>0.57787898007815408</v>
      </c>
      <c r="M69" s="60">
        <f>'SIMULARE PE PRODUS'!AE219</f>
        <v>0.62194231489230778</v>
      </c>
      <c r="N69" s="59">
        <v>0</v>
      </c>
      <c r="O69" s="59">
        <v>0</v>
      </c>
      <c r="P69" s="61">
        <f>'SIMULARE PE PRODUS'!AK219</f>
        <v>0.58620467257423303</v>
      </c>
      <c r="Q69" s="61">
        <f>'SIMULARE PE PRODUS'!AL219</f>
        <v>0.57787898007815408</v>
      </c>
      <c r="R69" s="61">
        <f>'SIMULARE PE PRODUS'!AM219</f>
        <v>0.62194231489230778</v>
      </c>
      <c r="S69" s="59">
        <v>0</v>
      </c>
      <c r="T69" s="59">
        <v>0</v>
      </c>
      <c r="U69" s="62">
        <f>'SIMULARE PE PRODUS'!AS219</f>
        <v>0.58620467257423303</v>
      </c>
      <c r="V69" s="62">
        <f>'SIMULARE PE PRODUS'!AT219</f>
        <v>0.57787898007815408</v>
      </c>
      <c r="W69" s="62">
        <f>'SIMULARE PE PRODUS'!AU219</f>
        <v>0.62194231489230778</v>
      </c>
      <c r="X69" s="59">
        <v>0</v>
      </c>
      <c r="Y69" s="59">
        <v>0</v>
      </c>
      <c r="Z69" s="63">
        <f>'SIMULARE PE PRODUS'!BA219</f>
        <v>0.58620467257423303</v>
      </c>
      <c r="AA69" s="63">
        <f>'SIMULARE PE PRODUS'!BB219</f>
        <v>0.57787898007815408</v>
      </c>
      <c r="AB69" s="63">
        <f>'SIMULARE PE PRODUS'!BC219</f>
        <v>0.62194231489230778</v>
      </c>
    </row>
    <row r="70" spans="1:28" x14ac:dyDescent="0.2">
      <c r="A70" s="26">
        <v>65</v>
      </c>
      <c r="B70" s="26" t="s">
        <v>211</v>
      </c>
      <c r="C70" s="26" t="s">
        <v>100</v>
      </c>
      <c r="D70" s="41">
        <f>'SIMULARE PE PRODUS'!P62</f>
        <v>27</v>
      </c>
      <c r="E70" s="41">
        <f>'SIMULARE PE PRODUS'!Q62</f>
        <v>31</v>
      </c>
      <c r="F70" s="28">
        <f>'SIMULARE PE PRODUS'!U62</f>
        <v>0.42353023784465293</v>
      </c>
      <c r="G70" s="28">
        <f>'SIMULARE PE PRODUS'!V62</f>
        <v>0.44004213795555558</v>
      </c>
      <c r="H70" s="28">
        <f>'SIMULARE PE PRODUS'!W62</f>
        <v>0.38326250725161298</v>
      </c>
      <c r="I70" s="59">
        <v>0</v>
      </c>
      <c r="J70" s="59">
        <v>0</v>
      </c>
      <c r="K70" s="60">
        <f>'SIMULARE PE PRODUS'!AC62</f>
        <v>0.41611357930175119</v>
      </c>
      <c r="L70" s="60">
        <f>'SIMULARE PE PRODUS'!AD62</f>
        <v>0.43204137181090913</v>
      </c>
      <c r="M70" s="60">
        <f>'SIMULARE PE PRODUS'!AE62</f>
        <v>0.37717897539047629</v>
      </c>
      <c r="N70" s="59">
        <v>0</v>
      </c>
      <c r="O70" s="59">
        <v>0</v>
      </c>
      <c r="P70" s="61">
        <f>'SIMULARE PE PRODUS'!AK62</f>
        <v>0.41611357930175119</v>
      </c>
      <c r="Q70" s="61">
        <f>'SIMULARE PE PRODUS'!AL62</f>
        <v>0.43204137181090913</v>
      </c>
      <c r="R70" s="61">
        <f>'SIMULARE PE PRODUS'!AM62</f>
        <v>0.37717897539047629</v>
      </c>
      <c r="S70" s="59">
        <v>0</v>
      </c>
      <c r="T70" s="59">
        <v>0</v>
      </c>
      <c r="U70" s="62">
        <f>'SIMULARE PE PRODUS'!AS62</f>
        <v>0.40895220429565221</v>
      </c>
      <c r="V70" s="62">
        <f>'SIMULARE PE PRODUS'!AT62</f>
        <v>0.42432634731428581</v>
      </c>
      <c r="W70" s="62">
        <f>'SIMULARE PE PRODUS'!AU62</f>
        <v>0.37128555390000006</v>
      </c>
      <c r="X70" s="59">
        <v>0</v>
      </c>
      <c r="Y70" s="59">
        <v>0</v>
      </c>
      <c r="Z70" s="63">
        <f>'SIMULARE PE PRODUS'!BA62</f>
        <v>0.4021692411879354</v>
      </c>
      <c r="AA70" s="63">
        <f>'SIMULARE PE PRODUS'!BB62</f>
        <v>0.41702835116883119</v>
      </c>
      <c r="AB70" s="63">
        <f>'SIMULARE PE PRODUS'!BC62</f>
        <v>0.36568598722068335</v>
      </c>
    </row>
    <row r="71" spans="1:28" x14ac:dyDescent="0.2">
      <c r="A71" s="26">
        <v>66</v>
      </c>
      <c r="B71" s="26" t="s">
        <v>210</v>
      </c>
      <c r="C71" s="26" t="s">
        <v>103</v>
      </c>
      <c r="D71" s="41">
        <f>'SIMULARE PE PRODUS'!P100</f>
        <v>10.99</v>
      </c>
      <c r="E71" s="41">
        <f>'SIMULARE PE PRODUS'!Q100</f>
        <v>0</v>
      </c>
      <c r="F71" s="28">
        <f>'SIMULARE PE PRODUS'!U100</f>
        <v>0.51418690086715191</v>
      </c>
      <c r="G71" s="28">
        <f>'SIMULARE PE PRODUS'!V100</f>
        <v>0.51418690086715191</v>
      </c>
      <c r="H71" s="28" t="str">
        <f>'SIMULARE PE PRODUS'!W100</f>
        <v/>
      </c>
      <c r="I71" s="59">
        <v>0</v>
      </c>
      <c r="J71" s="59">
        <v>0</v>
      </c>
      <c r="K71" s="60">
        <f>'SIMULARE PE PRODUS'!AC100</f>
        <v>0.49181149177806782</v>
      </c>
      <c r="L71" s="60">
        <f>'SIMULARE PE PRODUS'!AD100</f>
        <v>0.49181149177806782</v>
      </c>
      <c r="M71" s="60" t="str">
        <f>'SIMULARE PE PRODUS'!AE100</f>
        <v/>
      </c>
      <c r="N71" s="59">
        <v>0</v>
      </c>
      <c r="O71" s="59">
        <v>0</v>
      </c>
      <c r="P71" s="61">
        <f>'SIMULARE PE PRODUS'!AK100</f>
        <v>0.45243507129943944</v>
      </c>
      <c r="Q71" s="61">
        <f>'SIMULARE PE PRODUS'!AL100</f>
        <v>0.45243507129943944</v>
      </c>
      <c r="R71" s="61" t="str">
        <f>'SIMULARE PE PRODUS'!AM100</f>
        <v/>
      </c>
      <c r="S71" s="59">
        <v>0</v>
      </c>
      <c r="T71" s="59">
        <v>0</v>
      </c>
      <c r="U71" s="62">
        <f>'SIMULARE PE PRODUS'!AS100</f>
        <v>0.43502032644572741</v>
      </c>
      <c r="V71" s="62">
        <f>'SIMULARE PE PRODUS'!AT100</f>
        <v>0.43502032644572741</v>
      </c>
      <c r="W71" s="62" t="str">
        <f>'SIMULARE PE PRODUS'!AU100</f>
        <v/>
      </c>
      <c r="X71" s="59">
        <v>0</v>
      </c>
      <c r="Y71" s="59">
        <v>0</v>
      </c>
      <c r="Z71" s="63">
        <f>'SIMULARE PE PRODUS'!BA100</f>
        <v>0.41889651894217933</v>
      </c>
      <c r="AA71" s="63">
        <f>'SIMULARE PE PRODUS'!BB100</f>
        <v>0.41889651894217933</v>
      </c>
      <c r="AB71" s="63" t="str">
        <f>'SIMULARE PE PRODUS'!BC100</f>
        <v/>
      </c>
    </row>
    <row r="72" spans="1:28" x14ac:dyDescent="0.2">
      <c r="A72" s="26">
        <v>67</v>
      </c>
      <c r="B72" s="26" t="s">
        <v>209</v>
      </c>
      <c r="C72" s="26" t="s">
        <v>97</v>
      </c>
      <c r="D72" s="41">
        <f>'SIMULARE PE PRODUS'!P39</f>
        <v>26.99</v>
      </c>
      <c r="E72" s="41">
        <f>'SIMULARE PE PRODUS'!Q39</f>
        <v>28.99</v>
      </c>
      <c r="F72" s="28">
        <f>'SIMULARE PE PRODUS'!U39</f>
        <v>0.42055189399350573</v>
      </c>
      <c r="G72" s="28">
        <f>'SIMULARE PE PRODUS'!V39</f>
        <v>0.43057946665431635</v>
      </c>
      <c r="H72" s="28">
        <f>'SIMULARE PE PRODUS'!W39</f>
        <v>0.40087408778889277</v>
      </c>
      <c r="I72" s="59">
        <v>0</v>
      </c>
      <c r="J72" s="59">
        <v>0</v>
      </c>
      <c r="K72" s="60">
        <f>'SIMULARE PE PRODUS'!AC39</f>
        <v>0.41307768678255585</v>
      </c>
      <c r="L72" s="60">
        <f>'SIMULARE PE PRODUS'!AD39</f>
        <v>0.42274790123681338</v>
      </c>
      <c r="M72" s="60">
        <f>'SIMULARE PE PRODUS'!AE39</f>
        <v>0.3940773077314344</v>
      </c>
      <c r="N72" s="59">
        <v>0</v>
      </c>
      <c r="O72" s="59">
        <v>0</v>
      </c>
      <c r="P72" s="61">
        <f>'SIMULARE PE PRODUS'!AK39</f>
        <v>0.41307768678255585</v>
      </c>
      <c r="Q72" s="61">
        <f>'SIMULARE PE PRODUS'!AL39</f>
        <v>0.42274790123681338</v>
      </c>
      <c r="R72" s="61">
        <f>'SIMULARE PE PRODUS'!AM39</f>
        <v>0.3940773077314344</v>
      </c>
      <c r="S72" s="59">
        <v>0</v>
      </c>
      <c r="T72" s="59">
        <v>0</v>
      </c>
      <c r="U72" s="62">
        <f>'SIMULARE PE PRODUS'!AS39</f>
        <v>0.40586450932317963</v>
      </c>
      <c r="V72" s="62">
        <f>'SIMULARE PE PRODUS'!AT39</f>
        <v>0.41519613451232584</v>
      </c>
      <c r="W72" s="62">
        <f>'SIMULARE PE PRODUS'!AU39</f>
        <v>0.38750716255418471</v>
      </c>
      <c r="X72" s="59">
        <v>0</v>
      </c>
      <c r="Y72" s="59">
        <v>0</v>
      </c>
      <c r="Z72" s="63">
        <f>'SIMULARE PE PRODUS'!BA39</f>
        <v>0.39889892196621635</v>
      </c>
      <c r="AA72" s="63">
        <f>'SIMULARE PE PRODUS'!BB39</f>
        <v>0.40790943506493504</v>
      </c>
      <c r="AB72" s="63">
        <f>'SIMULARE PE PRODUS'!BC39</f>
        <v>0.38115250262381112</v>
      </c>
    </row>
    <row r="73" spans="1:28" x14ac:dyDescent="0.2">
      <c r="A73" s="26">
        <v>68</v>
      </c>
      <c r="B73" s="26" t="s">
        <v>212</v>
      </c>
      <c r="C73" s="26" t="s">
        <v>103</v>
      </c>
      <c r="D73" s="41">
        <f>'SIMULARE PE PRODUS'!P101</f>
        <v>10.99</v>
      </c>
      <c r="E73" s="41">
        <f>'SIMULARE PE PRODUS'!Q101</f>
        <v>0</v>
      </c>
      <c r="F73" s="28">
        <f>'SIMULARE PE PRODUS'!U101</f>
        <v>0.52747385258016377</v>
      </c>
      <c r="G73" s="28">
        <f>'SIMULARE PE PRODUS'!V101</f>
        <v>0.52747385258016377</v>
      </c>
      <c r="H73" s="28" t="str">
        <f>'SIMULARE PE PRODUS'!W101</f>
        <v/>
      </c>
      <c r="I73" s="59">
        <v>0</v>
      </c>
      <c r="J73" s="59">
        <v>0</v>
      </c>
      <c r="K73" s="60">
        <f>'SIMULARE PE PRODUS'!AC101</f>
        <v>0.50452024715892074</v>
      </c>
      <c r="L73" s="60">
        <f>'SIMULARE PE PRODUS'!AD101</f>
        <v>0.50452024715892074</v>
      </c>
      <c r="M73" s="60" t="str">
        <f>'SIMULARE PE PRODUS'!AE101</f>
        <v/>
      </c>
      <c r="N73" s="59">
        <v>0</v>
      </c>
      <c r="O73" s="59">
        <v>0</v>
      </c>
      <c r="P73" s="61">
        <f>'SIMULARE PE PRODUS'!AK101</f>
        <v>0.46412631223827056</v>
      </c>
      <c r="Q73" s="61">
        <f>'SIMULARE PE PRODUS'!AL101</f>
        <v>0.46412631223827056</v>
      </c>
      <c r="R73" s="61" t="str">
        <f>'SIMULARE PE PRODUS'!AM101</f>
        <v/>
      </c>
      <c r="S73" s="59">
        <v>0</v>
      </c>
      <c r="T73" s="59">
        <v>0</v>
      </c>
      <c r="U73" s="62">
        <f>'SIMULARE PE PRODUS'!AS101</f>
        <v>0.44626155811054657</v>
      </c>
      <c r="V73" s="62">
        <f>'SIMULARE PE PRODUS'!AT101</f>
        <v>0.44626155811054657</v>
      </c>
      <c r="W73" s="62" t="str">
        <f>'SIMULARE PE PRODUS'!AU101</f>
        <v/>
      </c>
      <c r="X73" s="59">
        <v>0</v>
      </c>
      <c r="Y73" s="59">
        <v>0</v>
      </c>
      <c r="Z73" s="63">
        <f>'SIMULARE PE PRODUS'!BA101</f>
        <v>0.42972110006345443</v>
      </c>
      <c r="AA73" s="63">
        <f>'SIMULARE PE PRODUS'!BB101</f>
        <v>0.42972110006345443</v>
      </c>
      <c r="AB73" s="63" t="str">
        <f>'SIMULARE PE PRODUS'!BC101</f>
        <v/>
      </c>
    </row>
    <row r="74" spans="1:28" x14ac:dyDescent="0.2">
      <c r="A74" s="26">
        <v>69</v>
      </c>
      <c r="B74" s="26" t="s">
        <v>308</v>
      </c>
      <c r="C74" s="26" t="s">
        <v>111</v>
      </c>
      <c r="D74" s="41">
        <f>'SIMULARE PE PRODUS'!P229</f>
        <v>20</v>
      </c>
      <c r="E74" s="41">
        <f>'SIMULARE PE PRODUS'!Q229</f>
        <v>9</v>
      </c>
      <c r="F74" s="28">
        <f>'SIMULARE PE PRODUS'!U229</f>
        <v>0.74820350000000002</v>
      </c>
      <c r="G74" s="28">
        <f>'SIMULARE PE PRODUS'!V229</f>
        <v>0.74820350000000002</v>
      </c>
      <c r="H74" s="28" t="str">
        <f>'SIMULARE PE PRODUS'!W229</f>
        <v/>
      </c>
      <c r="I74" s="59">
        <v>0</v>
      </c>
      <c r="J74" s="59">
        <v>0</v>
      </c>
      <c r="K74" s="60">
        <f>'SIMULARE PE PRODUS'!AC229</f>
        <v>0.74820350000000002</v>
      </c>
      <c r="L74" s="60">
        <f>'SIMULARE PE PRODUS'!AD229</f>
        <v>0.74820350000000002</v>
      </c>
      <c r="M74" s="60" t="str">
        <f>'SIMULARE PE PRODUS'!AE229</f>
        <v/>
      </c>
      <c r="N74" s="59">
        <v>0</v>
      </c>
      <c r="O74" s="59">
        <v>0</v>
      </c>
      <c r="P74" s="61">
        <f>'SIMULARE PE PRODUS'!AK229</f>
        <v>0.74820350000000002</v>
      </c>
      <c r="Q74" s="61">
        <f>'SIMULARE PE PRODUS'!AL229</f>
        <v>0.74820350000000002</v>
      </c>
      <c r="R74" s="61" t="str">
        <f>'SIMULARE PE PRODUS'!AM229</f>
        <v/>
      </c>
      <c r="S74" s="59">
        <v>0</v>
      </c>
      <c r="T74" s="59">
        <v>0</v>
      </c>
      <c r="U74" s="62">
        <f>'SIMULARE PE PRODUS'!AS229</f>
        <v>0.74820350000000002</v>
      </c>
      <c r="V74" s="62">
        <f>'SIMULARE PE PRODUS'!AT229</f>
        <v>0.74820350000000002</v>
      </c>
      <c r="W74" s="62" t="str">
        <f>'SIMULARE PE PRODUS'!AU229</f>
        <v/>
      </c>
      <c r="X74" s="59">
        <v>0</v>
      </c>
      <c r="Y74" s="59">
        <v>0</v>
      </c>
      <c r="Z74" s="63">
        <f>'SIMULARE PE PRODUS'!BA229</f>
        <v>0.74820350000000002</v>
      </c>
      <c r="AA74" s="63">
        <f>'SIMULARE PE PRODUS'!BB229</f>
        <v>0.74820350000000002</v>
      </c>
      <c r="AB74" s="63" t="str">
        <f>'SIMULARE PE PRODUS'!BC229</f>
        <v/>
      </c>
    </row>
    <row r="75" spans="1:28" x14ac:dyDescent="0.2">
      <c r="A75" s="26">
        <v>70</v>
      </c>
      <c r="B75" s="26" t="s">
        <v>216</v>
      </c>
      <c r="C75" s="26" t="s">
        <v>103</v>
      </c>
      <c r="D75" s="41">
        <f>'SIMULARE PE PRODUS'!P102</f>
        <v>7.99</v>
      </c>
      <c r="E75" s="41">
        <f>'SIMULARE PE PRODUS'!Q102</f>
        <v>0</v>
      </c>
      <c r="F75" s="28">
        <f>'SIMULARE PE PRODUS'!U102</f>
        <v>0.53175890000588222</v>
      </c>
      <c r="G75" s="28">
        <f>'SIMULARE PE PRODUS'!V102</f>
        <v>0.53175890000588222</v>
      </c>
      <c r="H75" s="28" t="str">
        <f>'SIMULARE PE PRODUS'!W102</f>
        <v/>
      </c>
      <c r="I75" s="59">
        <v>0</v>
      </c>
      <c r="J75" s="59">
        <v>0</v>
      </c>
      <c r="K75" s="60">
        <f>'SIMULARE PE PRODUS'!AC102</f>
        <v>0.50044212144252054</v>
      </c>
      <c r="L75" s="60">
        <f>'SIMULARE PE PRODUS'!AD102</f>
        <v>0.50044212144252054</v>
      </c>
      <c r="M75" s="60" t="str">
        <f>'SIMULARE PE PRODUS'!AE102</f>
        <v/>
      </c>
      <c r="N75" s="59">
        <v>0</v>
      </c>
      <c r="O75" s="59">
        <v>0</v>
      </c>
      <c r="P75" s="61">
        <f>'SIMULARE PE PRODUS'!AK102</f>
        <v>0.44770849431475229</v>
      </c>
      <c r="Q75" s="61">
        <f>'SIMULARE PE PRODUS'!AL102</f>
        <v>0.44770849431475229</v>
      </c>
      <c r="R75" s="61" t="str">
        <f>'SIMULARE PE PRODUS'!AM102</f>
        <v/>
      </c>
      <c r="S75" s="59">
        <v>0</v>
      </c>
      <c r="T75" s="59">
        <v>0</v>
      </c>
      <c r="U75" s="62">
        <f>'SIMULARE PE PRODUS'!AS102</f>
        <v>0.42530066176646636</v>
      </c>
      <c r="V75" s="62">
        <f>'SIMULARE PE PRODUS'!AT102</f>
        <v>0.42530066176646636</v>
      </c>
      <c r="W75" s="62" t="str">
        <f>'SIMULARE PE PRODUS'!AU102</f>
        <v/>
      </c>
      <c r="X75" s="59">
        <v>0</v>
      </c>
      <c r="Y75" s="59">
        <v>0</v>
      </c>
      <c r="Z75" s="63">
        <f>'SIMULARE PE PRODUS'!BA102</f>
        <v>0.40502894290247843</v>
      </c>
      <c r="AA75" s="63">
        <f>'SIMULARE PE PRODUS'!BB102</f>
        <v>0.40502894290247843</v>
      </c>
      <c r="AB75" s="63" t="str">
        <f>'SIMULARE PE PRODUS'!BC102</f>
        <v/>
      </c>
    </row>
    <row r="76" spans="1:28" x14ac:dyDescent="0.2">
      <c r="A76" s="26">
        <v>71</v>
      </c>
      <c r="B76" s="26" t="s">
        <v>218</v>
      </c>
      <c r="C76" s="26" t="s">
        <v>104</v>
      </c>
      <c r="D76" s="41">
        <f>'SIMULARE PE PRODUS'!P128</f>
        <v>10.99</v>
      </c>
      <c r="E76" s="41">
        <f>'SIMULARE PE PRODUS'!Q128</f>
        <v>0</v>
      </c>
      <c r="F76" s="28">
        <f>'SIMULARE PE PRODUS'!U128</f>
        <v>0.17417830453321201</v>
      </c>
      <c r="G76" s="28">
        <f>'SIMULARE PE PRODUS'!V128</f>
        <v>0.17417830453321201</v>
      </c>
      <c r="H76" s="28" t="str">
        <f>'SIMULARE PE PRODUS'!W128</f>
        <v/>
      </c>
      <c r="I76" s="59">
        <v>0</v>
      </c>
      <c r="J76" s="59">
        <v>0</v>
      </c>
      <c r="K76" s="60">
        <f>'SIMULARE PE PRODUS'!AC128</f>
        <v>0.17417830453321201</v>
      </c>
      <c r="L76" s="60">
        <f>'SIMULARE PE PRODUS'!AD128</f>
        <v>0.17417830453321201</v>
      </c>
      <c r="M76" s="60" t="str">
        <f>'SIMULARE PE PRODUS'!AE128</f>
        <v/>
      </c>
      <c r="N76" s="59">
        <v>0</v>
      </c>
      <c r="O76" s="59">
        <v>0</v>
      </c>
      <c r="P76" s="61">
        <f>'SIMULARE PE PRODUS'!AK128</f>
        <v>0.17417830453321201</v>
      </c>
      <c r="Q76" s="61">
        <f>'SIMULARE PE PRODUS'!AL128</f>
        <v>0.17417830453321201</v>
      </c>
      <c r="R76" s="61" t="str">
        <f>'SIMULARE PE PRODUS'!AM128</f>
        <v/>
      </c>
      <c r="S76" s="59">
        <v>0</v>
      </c>
      <c r="T76" s="59">
        <v>0</v>
      </c>
      <c r="U76" s="62">
        <f>'SIMULARE PE PRODUS'!AS128</f>
        <v>0.17417830453321201</v>
      </c>
      <c r="V76" s="62">
        <f>'SIMULARE PE PRODUS'!AT128</f>
        <v>0.17417830453321201</v>
      </c>
      <c r="W76" s="62" t="str">
        <f>'SIMULARE PE PRODUS'!AU128</f>
        <v/>
      </c>
      <c r="X76" s="59">
        <v>0</v>
      </c>
      <c r="Y76" s="59">
        <v>0</v>
      </c>
      <c r="Z76" s="63">
        <f>'SIMULARE PE PRODUS'!BA128</f>
        <v>0.17417830453321201</v>
      </c>
      <c r="AA76" s="63">
        <f>'SIMULARE PE PRODUS'!BB128</f>
        <v>0.17417830453321201</v>
      </c>
      <c r="AB76" s="63" t="str">
        <f>'SIMULARE PE PRODUS'!BC128</f>
        <v/>
      </c>
    </row>
    <row r="77" spans="1:28" x14ac:dyDescent="0.2">
      <c r="A77" s="26">
        <v>72</v>
      </c>
      <c r="B77" s="26" t="s">
        <v>215</v>
      </c>
      <c r="C77" s="26" t="s">
        <v>105</v>
      </c>
      <c r="D77" s="41">
        <f>'SIMULARE PE PRODUS'!P167</f>
        <v>10</v>
      </c>
      <c r="E77" s="41">
        <f>'SIMULARE PE PRODUS'!Q167</f>
        <v>12</v>
      </c>
      <c r="F77" s="28">
        <f>'SIMULARE PE PRODUS'!U167</f>
        <v>0.39438681771491546</v>
      </c>
      <c r="G77" s="28">
        <f>'SIMULARE PE PRODUS'!V167</f>
        <v>0.41609337900000004</v>
      </c>
      <c r="H77" s="28">
        <f>'SIMULARE PE PRODUS'!W167</f>
        <v>0.34674448250000001</v>
      </c>
      <c r="I77" s="59">
        <v>0</v>
      </c>
      <c r="J77" s="59">
        <v>0</v>
      </c>
      <c r="K77" s="60">
        <f>'SIMULARE PE PRODUS'!AC167</f>
        <v>0.39438681771491546</v>
      </c>
      <c r="L77" s="60">
        <f>'SIMULARE PE PRODUS'!AD167</f>
        <v>0.41609337900000004</v>
      </c>
      <c r="M77" s="60">
        <f>'SIMULARE PE PRODUS'!AE167</f>
        <v>0.34674448250000001</v>
      </c>
      <c r="N77" s="59">
        <v>0</v>
      </c>
      <c r="O77" s="59">
        <v>0</v>
      </c>
      <c r="P77" s="61">
        <f>'SIMULARE PE PRODUS'!AK167</f>
        <v>0.37688294486768104</v>
      </c>
      <c r="Q77" s="61">
        <f>'SIMULARE PE PRODUS'!AL167</f>
        <v>0.39665717731172545</v>
      </c>
      <c r="R77" s="61">
        <f>'SIMULARE PE PRODUS'!AM167</f>
        <v>0.33314121617293835</v>
      </c>
      <c r="S77" s="59">
        <v>0</v>
      </c>
      <c r="T77" s="59">
        <v>0</v>
      </c>
      <c r="U77" s="62">
        <f>'SIMULARE PE PRODUS'!AS167</f>
        <v>0.36055407628752406</v>
      </c>
      <c r="V77" s="62">
        <f>'SIMULARE PE PRODUS'!AT167</f>
        <v>0.37861089990900815</v>
      </c>
      <c r="W77" s="62">
        <f>'SIMULARE PE PRODUS'!AU167</f>
        <v>0.32031822863741338</v>
      </c>
      <c r="X77" s="59">
        <v>0</v>
      </c>
      <c r="Y77" s="59">
        <v>0</v>
      </c>
      <c r="Z77" s="63">
        <f>'SIMULARE PE PRODUS'!BA167</f>
        <v>0.36055407628752406</v>
      </c>
      <c r="AA77" s="63">
        <f>'SIMULARE PE PRODUS'!BB167</f>
        <v>0.37861089990900815</v>
      </c>
      <c r="AB77" s="63">
        <f>'SIMULARE PE PRODUS'!BC167</f>
        <v>0.32031822863741338</v>
      </c>
    </row>
    <row r="78" spans="1:28" x14ac:dyDescent="0.2">
      <c r="A78" s="26">
        <v>73</v>
      </c>
      <c r="B78" s="26" t="s">
        <v>219</v>
      </c>
      <c r="C78" s="26" t="s">
        <v>105</v>
      </c>
      <c r="D78" s="41">
        <f>'SIMULARE PE PRODUS'!P168</f>
        <v>10</v>
      </c>
      <c r="E78" s="41">
        <f>'SIMULARE PE PRODUS'!Q168</f>
        <v>10</v>
      </c>
      <c r="F78" s="28">
        <f>'SIMULARE PE PRODUS'!U168</f>
        <v>0.33031968300000003</v>
      </c>
      <c r="G78" s="28">
        <f>'SIMULARE PE PRODUS'!V168</f>
        <v>0.33031968299999998</v>
      </c>
      <c r="H78" s="28">
        <f>'SIMULARE PE PRODUS'!W168</f>
        <v>0.33031968300000009</v>
      </c>
      <c r="I78" s="59">
        <v>0</v>
      </c>
      <c r="J78" s="59">
        <v>0</v>
      </c>
      <c r="K78" s="60">
        <f>'SIMULARE PE PRODUS'!AC168</f>
        <v>0.33031968300000003</v>
      </c>
      <c r="L78" s="60">
        <f>'SIMULARE PE PRODUS'!AD168</f>
        <v>0.33031968299999998</v>
      </c>
      <c r="M78" s="60">
        <f>'SIMULARE PE PRODUS'!AE168</f>
        <v>0.33031968300000009</v>
      </c>
      <c r="N78" s="59">
        <v>0</v>
      </c>
      <c r="O78" s="59">
        <v>0</v>
      </c>
      <c r="P78" s="61">
        <f>'SIMULARE PE PRODUS'!AK168</f>
        <v>0.31489006959008575</v>
      </c>
      <c r="Q78" s="61">
        <f>'SIMULARE PE PRODUS'!AL168</f>
        <v>0.31489006959008575</v>
      </c>
      <c r="R78" s="61">
        <f>'SIMULARE PE PRODUS'!AM168</f>
        <v>0.31489006959008575</v>
      </c>
      <c r="S78" s="59">
        <v>0</v>
      </c>
      <c r="T78" s="59">
        <v>0</v>
      </c>
      <c r="U78" s="62">
        <f>'SIMULARE PE PRODUS'!AS168</f>
        <v>0.30056386078252956</v>
      </c>
      <c r="V78" s="62">
        <f>'SIMULARE PE PRODUS'!AT168</f>
        <v>0.30056386078252956</v>
      </c>
      <c r="W78" s="62">
        <f>'SIMULARE PE PRODUS'!AU168</f>
        <v>0.30056386078252961</v>
      </c>
      <c r="X78" s="59">
        <v>0</v>
      </c>
      <c r="Y78" s="59">
        <v>0</v>
      </c>
      <c r="Z78" s="63">
        <f>'SIMULARE PE PRODUS'!BA168</f>
        <v>0.30056386078252956</v>
      </c>
      <c r="AA78" s="63">
        <f>'SIMULARE PE PRODUS'!BB168</f>
        <v>0.30056386078252956</v>
      </c>
      <c r="AB78" s="63">
        <f>'SIMULARE PE PRODUS'!BC168</f>
        <v>0.30056386078252961</v>
      </c>
    </row>
    <row r="79" spans="1:28" x14ac:dyDescent="0.2">
      <c r="A79" s="26">
        <v>74</v>
      </c>
      <c r="B79" s="26" t="s">
        <v>222</v>
      </c>
      <c r="C79" s="26" t="s">
        <v>100</v>
      </c>
      <c r="D79" s="41">
        <f>'SIMULARE PE PRODUS'!P63</f>
        <v>15</v>
      </c>
      <c r="E79" s="41">
        <f>'SIMULARE PE PRODUS'!Q63</f>
        <v>17.5</v>
      </c>
      <c r="F79" s="28">
        <f>'SIMULARE PE PRODUS'!U63</f>
        <v>0.36855122506669774</v>
      </c>
      <c r="G79" s="28">
        <f>'SIMULARE PE PRODUS'!V63</f>
        <v>0.38880004928000006</v>
      </c>
      <c r="H79" s="28">
        <f>'SIMULARE PE PRODUS'!W63</f>
        <v>0.33325718509714286</v>
      </c>
      <c r="I79" s="59">
        <v>0</v>
      </c>
      <c r="J79" s="59">
        <v>0</v>
      </c>
      <c r="K79" s="60">
        <f>'SIMULARE PE PRODUS'!AC63</f>
        <v>0.35726268066173283</v>
      </c>
      <c r="L79" s="60">
        <f>'SIMULARE PE PRODUS'!AD63</f>
        <v>0.37625811220645161</v>
      </c>
      <c r="M79" s="60">
        <f>'SIMULARE PE PRODUS'!AE63</f>
        <v>0.32400004106666669</v>
      </c>
      <c r="N79" s="59">
        <v>0</v>
      </c>
      <c r="O79" s="59">
        <v>0</v>
      </c>
      <c r="P79" s="61">
        <f>'SIMULARE PE PRODUS'!AK63</f>
        <v>0.35726268066173283</v>
      </c>
      <c r="Q79" s="61">
        <f>'SIMULARE PE PRODUS'!AL63</f>
        <v>0.37625811220645161</v>
      </c>
      <c r="R79" s="61">
        <f>'SIMULARE PE PRODUS'!AM63</f>
        <v>0.32400004106666669</v>
      </c>
      <c r="S79" s="59">
        <v>0</v>
      </c>
      <c r="T79" s="59">
        <v>0</v>
      </c>
      <c r="U79" s="62">
        <f>'SIMULARE PE PRODUS'!AS63</f>
        <v>0.34664510988841335</v>
      </c>
      <c r="V79" s="62">
        <f>'SIMULARE PE PRODUS'!AT63</f>
        <v>0.36450004620000004</v>
      </c>
      <c r="W79" s="62">
        <f>'SIMULARE PE PRODUS'!AU63</f>
        <v>0.3152432832</v>
      </c>
      <c r="X79" s="59">
        <v>0</v>
      </c>
      <c r="Y79" s="59">
        <v>0</v>
      </c>
      <c r="Z79" s="63">
        <f>'SIMULARE PE PRODUS'!BA63</f>
        <v>0.33683484794407748</v>
      </c>
      <c r="AA79" s="63">
        <f>'SIMULARE PE PRODUS'!BB63</f>
        <v>0.35366893506367497</v>
      </c>
      <c r="AB79" s="63">
        <f>'SIMULARE PE PRODUS'!BC63</f>
        <v>0.30710904366508696</v>
      </c>
    </row>
    <row r="80" spans="1:28" x14ac:dyDescent="0.2">
      <c r="A80" s="26">
        <v>75</v>
      </c>
      <c r="B80" s="26" t="s">
        <v>228</v>
      </c>
      <c r="C80" s="26" t="s">
        <v>108</v>
      </c>
      <c r="D80" s="41">
        <f>'SIMULARE PE PRODUS'!P211</f>
        <v>17</v>
      </c>
      <c r="E80" s="41">
        <f>'SIMULARE PE PRODUS'!Q211</f>
        <v>20</v>
      </c>
      <c r="F80" s="28">
        <f>'SIMULARE PE PRODUS'!U211</f>
        <v>0.38694887534949707</v>
      </c>
      <c r="G80" s="28">
        <f>'SIMULARE PE PRODUS'!V211</f>
        <v>0.42528725435294118</v>
      </c>
      <c r="H80" s="28">
        <f>'SIMULARE PE PRODUS'!W211</f>
        <v>0.36149416620000008</v>
      </c>
      <c r="I80" s="59">
        <v>0</v>
      </c>
      <c r="J80" s="59">
        <v>0</v>
      </c>
      <c r="K80" s="60">
        <f>'SIMULARE PE PRODUS'!AC211</f>
        <v>0.38694887534949707</v>
      </c>
      <c r="L80" s="60">
        <f>'SIMULARE PE PRODUS'!AD211</f>
        <v>0.42528725435294118</v>
      </c>
      <c r="M80" s="60">
        <f>'SIMULARE PE PRODUS'!AE211</f>
        <v>0.36149416620000008</v>
      </c>
      <c r="N80" s="59">
        <v>0</v>
      </c>
      <c r="O80" s="59">
        <v>0</v>
      </c>
      <c r="P80" s="61">
        <f>'SIMULARE PE PRODUS'!AK211</f>
        <v>0.38694887534949707</v>
      </c>
      <c r="Q80" s="61">
        <f>'SIMULARE PE PRODUS'!AL211</f>
        <v>0.42528725435294118</v>
      </c>
      <c r="R80" s="61">
        <f>'SIMULARE PE PRODUS'!AM211</f>
        <v>0.36149416620000008</v>
      </c>
      <c r="S80" s="59">
        <v>0</v>
      </c>
      <c r="T80" s="59">
        <v>0</v>
      </c>
      <c r="U80" s="62">
        <f>'SIMULARE PE PRODUS'!AS211</f>
        <v>0.38694887534949707</v>
      </c>
      <c r="V80" s="62">
        <f>'SIMULARE PE PRODUS'!AT211</f>
        <v>0.42528725435294118</v>
      </c>
      <c r="W80" s="62">
        <f>'SIMULARE PE PRODUS'!AU211</f>
        <v>0.36149416620000008</v>
      </c>
      <c r="X80" s="59">
        <v>0</v>
      </c>
      <c r="Y80" s="59">
        <v>0</v>
      </c>
      <c r="Z80" s="63">
        <f>'SIMULARE PE PRODUS'!BA211</f>
        <v>0.38694887534949707</v>
      </c>
      <c r="AA80" s="63">
        <f>'SIMULARE PE PRODUS'!BB211</f>
        <v>0.42528725435294118</v>
      </c>
      <c r="AB80" s="63">
        <f>'SIMULARE PE PRODUS'!BC211</f>
        <v>0.36149416620000008</v>
      </c>
    </row>
    <row r="81" spans="1:28" x14ac:dyDescent="0.2">
      <c r="A81" s="26">
        <v>76</v>
      </c>
      <c r="B81" s="26" t="s">
        <v>213</v>
      </c>
      <c r="C81" s="26" t="s">
        <v>102</v>
      </c>
      <c r="D81" s="41">
        <f>'SIMULARE PE PRODUS'!P83</f>
        <v>3.1</v>
      </c>
      <c r="E81" s="41">
        <f>'SIMULARE PE PRODUS'!Q83</f>
        <v>3.6</v>
      </c>
      <c r="F81" s="28">
        <f>'SIMULARE PE PRODUS'!U83</f>
        <v>0.15699839248699185</v>
      </c>
      <c r="G81" s="28">
        <f>'SIMULARE PE PRODUS'!V83</f>
        <v>0.16112903225806452</v>
      </c>
      <c r="H81" s="28">
        <f>'SIMULARE PE PRODUS'!W83</f>
        <v>0.13875000000000001</v>
      </c>
      <c r="I81" s="59">
        <v>0</v>
      </c>
      <c r="J81" s="59">
        <v>0</v>
      </c>
      <c r="K81" s="60">
        <f>'SIMULARE PE PRODUS'!AC83</f>
        <v>0.14771283582089553</v>
      </c>
      <c r="L81" s="60">
        <f>'SIMULARE PE PRODUS'!AD83</f>
        <v>0.15136363636363639</v>
      </c>
      <c r="M81" s="60">
        <f>'SIMULARE PE PRODUS'!AE83</f>
        <v>0.13144736842105262</v>
      </c>
      <c r="N81" s="59">
        <v>0</v>
      </c>
      <c r="O81" s="59">
        <v>0</v>
      </c>
      <c r="P81" s="61">
        <f>'SIMULARE PE PRODUS'!AK83</f>
        <v>0.14771283582089553</v>
      </c>
      <c r="Q81" s="61">
        <f>'SIMULARE PE PRODUS'!AL83</f>
        <v>0.15136363636363639</v>
      </c>
      <c r="R81" s="61">
        <f>'SIMULARE PE PRODUS'!AM83</f>
        <v>0.13144736842105262</v>
      </c>
      <c r="S81" s="59">
        <v>0</v>
      </c>
      <c r="T81" s="59">
        <v>0</v>
      </c>
      <c r="U81" s="62">
        <f>'SIMULARE PE PRODUS'!AS83</f>
        <v>0.14771283582089553</v>
      </c>
      <c r="V81" s="62">
        <f>'SIMULARE PE PRODUS'!AT83</f>
        <v>0.15136363636363639</v>
      </c>
      <c r="W81" s="62">
        <f>'SIMULARE PE PRODUS'!AU83</f>
        <v>0.13144736842105262</v>
      </c>
      <c r="X81" s="59">
        <v>0</v>
      </c>
      <c r="Y81" s="59">
        <v>0</v>
      </c>
      <c r="Z81" s="63">
        <f>'SIMULARE PE PRODUS'!BA83</f>
        <v>0.13985480485516286</v>
      </c>
      <c r="AA81" s="63">
        <f>'SIMULARE PE PRODUS'!BB83</f>
        <v>0.14312320916905444</v>
      </c>
      <c r="AB81" s="63">
        <f>'SIMULARE PE PRODUS'!BC83</f>
        <v>0.12518796992481204</v>
      </c>
    </row>
    <row r="82" spans="1:28" x14ac:dyDescent="0.2">
      <c r="A82" s="26">
        <v>77</v>
      </c>
      <c r="B82" s="26" t="s">
        <v>220</v>
      </c>
      <c r="C82" s="26" t="s">
        <v>107</v>
      </c>
      <c r="D82" s="41">
        <f>'SIMULARE PE PRODUS'!P208</f>
        <v>10.25</v>
      </c>
      <c r="E82" s="41">
        <f>'SIMULARE PE PRODUS'!Q208</f>
        <v>10.25</v>
      </c>
      <c r="F82" s="28">
        <f>'SIMULARE PE PRODUS'!U208</f>
        <v>0.37756243902439035</v>
      </c>
      <c r="G82" s="28">
        <f>'SIMULARE PE PRODUS'!V208</f>
        <v>0.37756243902439035</v>
      </c>
      <c r="H82" s="28">
        <f>'SIMULARE PE PRODUS'!W208</f>
        <v>0.37756243902439035</v>
      </c>
      <c r="I82" s="59">
        <v>0</v>
      </c>
      <c r="J82" s="59">
        <v>0</v>
      </c>
      <c r="K82" s="60">
        <f>'SIMULARE PE PRODUS'!AC208</f>
        <v>0.36857285714285726</v>
      </c>
      <c r="L82" s="60">
        <f>'SIMULARE PE PRODUS'!AD208</f>
        <v>0.36857285714285726</v>
      </c>
      <c r="M82" s="60">
        <f>'SIMULARE PE PRODUS'!AE208</f>
        <v>0.36857285714285726</v>
      </c>
      <c r="N82" s="59">
        <v>0</v>
      </c>
      <c r="O82" s="59">
        <v>0</v>
      </c>
      <c r="P82" s="61">
        <f>'SIMULARE PE PRODUS'!AK208</f>
        <v>0.36857285714285726</v>
      </c>
      <c r="Q82" s="61">
        <f>'SIMULARE PE PRODUS'!AL208</f>
        <v>0.36857285714285726</v>
      </c>
      <c r="R82" s="61">
        <f>'SIMULARE PE PRODUS'!AM208</f>
        <v>0.36857285714285726</v>
      </c>
      <c r="S82" s="59">
        <v>0</v>
      </c>
      <c r="T82" s="59">
        <v>0</v>
      </c>
      <c r="U82" s="62">
        <f>'SIMULARE PE PRODUS'!AS208</f>
        <v>0.36857285714285726</v>
      </c>
      <c r="V82" s="62">
        <f>'SIMULARE PE PRODUS'!AT208</f>
        <v>0.36857285714285726</v>
      </c>
      <c r="W82" s="62">
        <f>'SIMULARE PE PRODUS'!AU208</f>
        <v>0.36857285714285726</v>
      </c>
      <c r="X82" s="59">
        <v>0</v>
      </c>
      <c r="Y82" s="59">
        <v>0</v>
      </c>
      <c r="Z82" s="63">
        <f>'SIMULARE PE PRODUS'!BA208</f>
        <v>0.35213967242948141</v>
      </c>
      <c r="AA82" s="63">
        <f>'SIMULARE PE PRODUS'!BB208</f>
        <v>0.35213967242948141</v>
      </c>
      <c r="AB82" s="63">
        <f>'SIMULARE PE PRODUS'!BC208</f>
        <v>0.35213967242948141</v>
      </c>
    </row>
    <row r="83" spans="1:28" x14ac:dyDescent="0.2">
      <c r="A83" s="26">
        <v>78</v>
      </c>
      <c r="B83" s="26" t="s">
        <v>221</v>
      </c>
      <c r="C83" s="26" t="s">
        <v>102</v>
      </c>
      <c r="D83" s="41">
        <f>'SIMULARE PE PRODUS'!P85</f>
        <v>6.1</v>
      </c>
      <c r="E83" s="41">
        <f>'SIMULARE PE PRODUS'!Q85</f>
        <v>6.1</v>
      </c>
      <c r="F83" s="28">
        <f>'SIMULARE PE PRODUS'!U85</f>
        <v>0.3872262295081968</v>
      </c>
      <c r="G83" s="28">
        <f>'SIMULARE PE PRODUS'!V85</f>
        <v>0.3872262295081968</v>
      </c>
      <c r="H83" s="28">
        <f>'SIMULARE PE PRODUS'!W85</f>
        <v>0.38722622950819685</v>
      </c>
      <c r="I83" s="59">
        <v>0</v>
      </c>
      <c r="J83" s="59">
        <v>0</v>
      </c>
      <c r="K83" s="60">
        <f>'SIMULARE PE PRODUS'!AC85</f>
        <v>0.37493333333333334</v>
      </c>
      <c r="L83" s="60">
        <f>'SIMULARE PE PRODUS'!AD85</f>
        <v>0.3749333333333334</v>
      </c>
      <c r="M83" s="60">
        <f>'SIMULARE PE PRODUS'!AE85</f>
        <v>0.37493333333333334</v>
      </c>
      <c r="N83" s="59">
        <v>0</v>
      </c>
      <c r="O83" s="59">
        <v>0</v>
      </c>
      <c r="P83" s="61">
        <f>'SIMULARE PE PRODUS'!AK85</f>
        <v>0.37493333333333334</v>
      </c>
      <c r="Q83" s="61">
        <f>'SIMULARE PE PRODUS'!AL85</f>
        <v>0.3749333333333334</v>
      </c>
      <c r="R83" s="61">
        <f>'SIMULARE PE PRODUS'!AM85</f>
        <v>0.37493333333333334</v>
      </c>
      <c r="S83" s="59">
        <v>0</v>
      </c>
      <c r="T83" s="59">
        <v>0</v>
      </c>
      <c r="U83" s="62">
        <f>'SIMULARE PE PRODUS'!AS85</f>
        <v>0.37493333333333334</v>
      </c>
      <c r="V83" s="62">
        <f>'SIMULARE PE PRODUS'!AT85</f>
        <v>0.3749333333333334</v>
      </c>
      <c r="W83" s="62">
        <f>'SIMULARE PE PRODUS'!AU85</f>
        <v>0.37493333333333334</v>
      </c>
      <c r="X83" s="59">
        <v>0</v>
      </c>
      <c r="Y83" s="59">
        <v>0</v>
      </c>
      <c r="Z83" s="63">
        <f>'SIMULARE PE PRODUS'!BA85</f>
        <v>0.36395685670261946</v>
      </c>
      <c r="AA83" s="63">
        <f>'SIMULARE PE PRODUS'!BB85</f>
        <v>0.36395685670261946</v>
      </c>
      <c r="AB83" s="63">
        <f>'SIMULARE PE PRODUS'!BC85</f>
        <v>0.36395685670261951</v>
      </c>
    </row>
    <row r="84" spans="1:28" x14ac:dyDescent="0.2">
      <c r="A84" s="26">
        <v>79</v>
      </c>
      <c r="B84" s="26" t="s">
        <v>217</v>
      </c>
      <c r="C84" s="26" t="s">
        <v>102</v>
      </c>
      <c r="D84" s="41">
        <f>'SIMULARE PE PRODUS'!P84</f>
        <v>3.1</v>
      </c>
      <c r="E84" s="41">
        <f>'SIMULARE PE PRODUS'!Q84</f>
        <v>3.6</v>
      </c>
      <c r="F84" s="28">
        <f>'SIMULARE PE PRODUS'!U84</f>
        <v>0.15900325954938754</v>
      </c>
      <c r="G84" s="28">
        <f>'SIMULARE PE PRODUS'!V84</f>
        <v>0.16184516129032261</v>
      </c>
      <c r="H84" s="28">
        <f>'SIMULARE PE PRODUS'!W84</f>
        <v>0.13936666666666669</v>
      </c>
      <c r="I84" s="59">
        <v>0</v>
      </c>
      <c r="J84" s="59">
        <v>0</v>
      </c>
      <c r="K84" s="60">
        <f>'SIMULARE PE PRODUS'!AC84</f>
        <v>0.14952582453095814</v>
      </c>
      <c r="L84" s="60">
        <f>'SIMULARE PE PRODUS'!AD84</f>
        <v>0.15203636363636366</v>
      </c>
      <c r="M84" s="60">
        <f>'SIMULARE PE PRODUS'!AE84</f>
        <v>0.13203157894736844</v>
      </c>
      <c r="N84" s="59">
        <v>0</v>
      </c>
      <c r="O84" s="59">
        <v>0</v>
      </c>
      <c r="P84" s="61">
        <f>'SIMULARE PE PRODUS'!AK84</f>
        <v>0.14952582453095814</v>
      </c>
      <c r="Q84" s="61">
        <f>'SIMULARE PE PRODUS'!AL84</f>
        <v>0.15203636363636366</v>
      </c>
      <c r="R84" s="61">
        <f>'SIMULARE PE PRODUS'!AM84</f>
        <v>0.13203157894736844</v>
      </c>
      <c r="S84" s="59">
        <v>0</v>
      </c>
      <c r="T84" s="59">
        <v>0</v>
      </c>
      <c r="U84" s="62">
        <f>'SIMULARE PE PRODUS'!AS84</f>
        <v>0.14952582453095814</v>
      </c>
      <c r="V84" s="62">
        <f>'SIMULARE PE PRODUS'!AT84</f>
        <v>0.15203636363636366</v>
      </c>
      <c r="W84" s="62">
        <f>'SIMULARE PE PRODUS'!AU84</f>
        <v>0.13203157894736844</v>
      </c>
      <c r="X84" s="59">
        <v>0</v>
      </c>
      <c r="Y84" s="59">
        <v>0</v>
      </c>
      <c r="Z84" s="63">
        <f>'SIMULARE PE PRODUS'!BA84</f>
        <v>0.14151266650131059</v>
      </c>
      <c r="AA84" s="63">
        <f>'SIMULARE PE PRODUS'!BB84</f>
        <v>0.1437593123209169</v>
      </c>
      <c r="AB84" s="63">
        <f>'SIMULARE PE PRODUS'!BC84</f>
        <v>0.12574436090225566</v>
      </c>
    </row>
    <row r="85" spans="1:28" x14ac:dyDescent="0.2">
      <c r="A85" s="26">
        <v>80</v>
      </c>
      <c r="B85" s="26" t="s">
        <v>224</v>
      </c>
      <c r="C85" s="26" t="s">
        <v>103</v>
      </c>
      <c r="D85" s="41">
        <f>'SIMULARE PE PRODUS'!P103</f>
        <v>13.99</v>
      </c>
      <c r="E85" s="41">
        <f>'SIMULARE PE PRODUS'!Q103</f>
        <v>0</v>
      </c>
      <c r="F85" s="28">
        <f>'SIMULARE PE PRODUS'!U103</f>
        <v>0.29136430727719798</v>
      </c>
      <c r="G85" s="28">
        <f>'SIMULARE PE PRODUS'!V103</f>
        <v>0.29136430727719798</v>
      </c>
      <c r="H85" s="28" t="str">
        <f>'SIMULARE PE PRODUS'!W103</f>
        <v/>
      </c>
      <c r="I85" s="59">
        <v>0</v>
      </c>
      <c r="J85" s="59">
        <v>0</v>
      </c>
      <c r="K85" s="60">
        <f>'SIMULARE PE PRODUS'!AC103</f>
        <v>0.29136430727719798</v>
      </c>
      <c r="L85" s="60">
        <f>'SIMULARE PE PRODUS'!AD103</f>
        <v>0.29136430727719798</v>
      </c>
      <c r="M85" s="60" t="str">
        <f>'SIMULARE PE PRODUS'!AE103</f>
        <v/>
      </c>
      <c r="N85" s="59">
        <v>0</v>
      </c>
      <c r="O85" s="59">
        <v>0</v>
      </c>
      <c r="P85" s="61">
        <f>'SIMULARE PE PRODUS'!AK103</f>
        <v>0.27192706196184124</v>
      </c>
      <c r="Q85" s="61">
        <f>'SIMULARE PE PRODUS'!AL103</f>
        <v>0.27192706196184124</v>
      </c>
      <c r="R85" s="61" t="str">
        <f>'SIMULARE PE PRODUS'!AM103</f>
        <v/>
      </c>
      <c r="S85" s="59">
        <v>0</v>
      </c>
      <c r="T85" s="59">
        <v>0</v>
      </c>
      <c r="U85" s="62">
        <f>'SIMULARE PE PRODUS'!AS103</f>
        <v>0.26314955834783732</v>
      </c>
      <c r="V85" s="62">
        <f>'SIMULARE PE PRODUS'!AT103</f>
        <v>0.26314955834783732</v>
      </c>
      <c r="W85" s="62" t="str">
        <f>'SIMULARE PE PRODUS'!AU103</f>
        <v/>
      </c>
      <c r="X85" s="59">
        <v>0</v>
      </c>
      <c r="Y85" s="59">
        <v>0</v>
      </c>
      <c r="Z85" s="63">
        <f>'SIMULARE PE PRODUS'!BA103</f>
        <v>0.25492099179537214</v>
      </c>
      <c r="AA85" s="63">
        <f>'SIMULARE PE PRODUS'!BB103</f>
        <v>0.25492099179537214</v>
      </c>
      <c r="AB85" s="63" t="str">
        <f>'SIMULARE PE PRODUS'!BC103</f>
        <v/>
      </c>
    </row>
    <row r="86" spans="1:28" x14ac:dyDescent="0.2">
      <c r="A86" s="26">
        <v>81</v>
      </c>
      <c r="B86" s="26" t="s">
        <v>225</v>
      </c>
      <c r="C86" s="26" t="s">
        <v>103</v>
      </c>
      <c r="D86" s="41">
        <f>'SIMULARE PE PRODUS'!P104</f>
        <v>10.99</v>
      </c>
      <c r="E86" s="41">
        <f>'SIMULARE PE PRODUS'!Q104</f>
        <v>0</v>
      </c>
      <c r="F86" s="28">
        <f>'SIMULARE PE PRODUS'!U104</f>
        <v>0.52746293606806183</v>
      </c>
      <c r="G86" s="28">
        <f>'SIMULARE PE PRODUS'!V104</f>
        <v>0.52746293606806183</v>
      </c>
      <c r="H86" s="28" t="str">
        <f>'SIMULARE PE PRODUS'!W104</f>
        <v/>
      </c>
      <c r="I86" s="59">
        <v>0</v>
      </c>
      <c r="J86" s="59">
        <v>0</v>
      </c>
      <c r="K86" s="60">
        <f>'SIMULARE PE PRODUS'!AC104</f>
        <v>0.50450980569086157</v>
      </c>
      <c r="L86" s="60">
        <f>'SIMULARE PE PRODUS'!AD104</f>
        <v>0.50450980569086157</v>
      </c>
      <c r="M86" s="60" t="str">
        <f>'SIMULARE PE PRODUS'!AE104</f>
        <v/>
      </c>
      <c r="N86" s="59">
        <v>0</v>
      </c>
      <c r="O86" s="59">
        <v>0</v>
      </c>
      <c r="P86" s="61">
        <f>'SIMULARE PE PRODUS'!AK104</f>
        <v>0.46411670675644512</v>
      </c>
      <c r="Q86" s="61">
        <f>'SIMULARE PE PRODUS'!AL104</f>
        <v>0.46411670675644512</v>
      </c>
      <c r="R86" s="61" t="str">
        <f>'SIMULARE PE PRODUS'!AM104</f>
        <v/>
      </c>
      <c r="S86" s="59">
        <v>0</v>
      </c>
      <c r="T86" s="59">
        <v>0</v>
      </c>
      <c r="U86" s="62">
        <f>'SIMULARE PE PRODUS'!AS104</f>
        <v>0.44625232235473439</v>
      </c>
      <c r="V86" s="62">
        <f>'SIMULARE PE PRODUS'!AT104</f>
        <v>0.44625232235473439</v>
      </c>
      <c r="W86" s="62" t="str">
        <f>'SIMULARE PE PRODUS'!AU104</f>
        <v/>
      </c>
      <c r="X86" s="59">
        <v>0</v>
      </c>
      <c r="Y86" s="59">
        <v>0</v>
      </c>
      <c r="Z86" s="63">
        <f>'SIMULARE PE PRODUS'!BA104</f>
        <v>0.4297122066262416</v>
      </c>
      <c r="AA86" s="63">
        <f>'SIMULARE PE PRODUS'!BB104</f>
        <v>0.4297122066262416</v>
      </c>
      <c r="AB86" s="63" t="str">
        <f>'SIMULARE PE PRODUS'!BC104</f>
        <v/>
      </c>
    </row>
    <row r="87" spans="1:28" x14ac:dyDescent="0.2">
      <c r="A87" s="26">
        <v>82</v>
      </c>
      <c r="B87" s="26" t="s">
        <v>227</v>
      </c>
      <c r="C87" s="26" t="s">
        <v>103</v>
      </c>
      <c r="D87" s="41">
        <f>'SIMULARE PE PRODUS'!P105</f>
        <v>15</v>
      </c>
      <c r="E87" s="41">
        <f>'SIMULARE PE PRODUS'!Q105</f>
        <v>0</v>
      </c>
      <c r="F87" s="28">
        <f>'SIMULARE PE PRODUS'!U105</f>
        <v>0.27156905272053339</v>
      </c>
      <c r="G87" s="28">
        <f>'SIMULARE PE PRODUS'!V105</f>
        <v>0.27156905272053339</v>
      </c>
      <c r="H87" s="28" t="str">
        <f>'SIMULARE PE PRODUS'!W105</f>
        <v/>
      </c>
      <c r="I87" s="59">
        <v>0</v>
      </c>
      <c r="J87" s="59">
        <v>0</v>
      </c>
      <c r="K87" s="60">
        <f>'SIMULARE PE PRODUS'!AC105</f>
        <v>0.27156905272053339</v>
      </c>
      <c r="L87" s="60">
        <f>'SIMULARE PE PRODUS'!AD105</f>
        <v>0.27156905272053339</v>
      </c>
      <c r="M87" s="60" t="str">
        <f>'SIMULARE PE PRODUS'!AE105</f>
        <v/>
      </c>
      <c r="N87" s="59">
        <v>0</v>
      </c>
      <c r="O87" s="59">
        <v>0</v>
      </c>
      <c r="P87" s="61">
        <f>'SIMULARE PE PRODUS'!AK105</f>
        <v>0.27156905272053339</v>
      </c>
      <c r="Q87" s="61">
        <f>'SIMULARE PE PRODUS'!AL105</f>
        <v>0.27156905272053339</v>
      </c>
      <c r="R87" s="61" t="str">
        <f>'SIMULARE PE PRODUS'!AM105</f>
        <v/>
      </c>
      <c r="S87" s="59">
        <v>0</v>
      </c>
      <c r="T87" s="59">
        <v>0</v>
      </c>
      <c r="U87" s="62">
        <f>'SIMULARE PE PRODUS'!AS105</f>
        <v>0.27156905272053339</v>
      </c>
      <c r="V87" s="62">
        <f>'SIMULARE PE PRODUS'!AT105</f>
        <v>0.27156905272053339</v>
      </c>
      <c r="W87" s="62" t="str">
        <f>'SIMULARE PE PRODUS'!AU105</f>
        <v/>
      </c>
      <c r="X87" s="59">
        <v>0</v>
      </c>
      <c r="Y87" s="59">
        <v>0</v>
      </c>
      <c r="Z87" s="63">
        <f>'SIMULARE PE PRODUS'!BA105</f>
        <v>0.27156905272053339</v>
      </c>
      <c r="AA87" s="63">
        <f>'SIMULARE PE PRODUS'!BB105</f>
        <v>0.27156905272053339</v>
      </c>
      <c r="AB87" s="63" t="str">
        <f>'SIMULARE PE PRODUS'!BC105</f>
        <v/>
      </c>
    </row>
    <row r="88" spans="1:28" x14ac:dyDescent="0.2">
      <c r="A88" s="26">
        <v>83</v>
      </c>
      <c r="B88" s="26" t="s">
        <v>223</v>
      </c>
      <c r="C88" s="26" t="s">
        <v>100</v>
      </c>
      <c r="D88" s="41">
        <f>'SIMULARE PE PRODUS'!P64</f>
        <v>101.24</v>
      </c>
      <c r="E88" s="41">
        <f>'SIMULARE PE PRODUS'!Q64</f>
        <v>121.24</v>
      </c>
      <c r="F88" s="28">
        <f>'SIMULARE PE PRODUS'!U64</f>
        <v>0.47941747929046952</v>
      </c>
      <c r="G88" s="28">
        <f>'SIMULARE PE PRODUS'!V64</f>
        <v>0.50459331679178199</v>
      </c>
      <c r="H88" s="28">
        <f>'SIMULARE PE PRODUS'!W64</f>
        <v>0.42135456443418018</v>
      </c>
      <c r="I88" s="59">
        <v>3.5</v>
      </c>
      <c r="J88" s="59">
        <v>0</v>
      </c>
      <c r="K88" s="60">
        <f>'SIMULARE PE PRODUS'!AC64</f>
        <v>0.46705851301200946</v>
      </c>
      <c r="L88" s="60">
        <f>'SIMULARE PE PRODUS'!AD64</f>
        <v>0.4865704104390895</v>
      </c>
      <c r="M88" s="60">
        <f>'SIMULARE PE PRODUS'!AE64</f>
        <v>0.42048750837105942</v>
      </c>
      <c r="N88" s="59">
        <v>0</v>
      </c>
      <c r="O88" s="59">
        <v>0</v>
      </c>
      <c r="P88" s="61">
        <f>'SIMULARE PE PRODUS'!AK64</f>
        <v>0.46705851301200946</v>
      </c>
      <c r="Q88" s="61">
        <f>'SIMULARE PE PRODUS'!AL64</f>
        <v>0.4865704104390895</v>
      </c>
      <c r="R88" s="61">
        <f>'SIMULARE PE PRODUS'!AM64</f>
        <v>0.42048750837105942</v>
      </c>
      <c r="S88" s="59">
        <v>0</v>
      </c>
      <c r="T88" s="59">
        <v>0</v>
      </c>
      <c r="U88" s="62">
        <f>'SIMULARE PE PRODUS'!AS64</f>
        <v>0.4649331253469674</v>
      </c>
      <c r="V88" s="62">
        <f>'SIMULARE PE PRODUS'!AT64</f>
        <v>0.48426417093563379</v>
      </c>
      <c r="W88" s="62">
        <f>'SIMULARE PE PRODUS'!AU64</f>
        <v>0.41876405764406921</v>
      </c>
      <c r="X88" s="59">
        <v>4.5</v>
      </c>
      <c r="Y88" s="59">
        <v>0</v>
      </c>
      <c r="Z88" s="63">
        <f>'SIMULARE PE PRODUS'!BA64</f>
        <v>0.45136141125954998</v>
      </c>
      <c r="AA88" s="63">
        <f>'SIMULARE PE PRODUS'!BB64</f>
        <v>0.46445156279661803</v>
      </c>
      <c r="AB88" s="63">
        <f>'SIMULARE PE PRODUS'!BC64</f>
        <v>0.41876405764406921</v>
      </c>
    </row>
    <row r="89" spans="1:28" x14ac:dyDescent="0.2">
      <c r="A89" s="26">
        <v>84</v>
      </c>
      <c r="B89" s="26" t="s">
        <v>214</v>
      </c>
      <c r="C89" s="26" t="s">
        <v>109</v>
      </c>
      <c r="D89" s="41">
        <f>'SIMULARE PE PRODUS'!P220</f>
        <v>39</v>
      </c>
      <c r="E89" s="41">
        <f>'SIMULARE PE PRODUS'!Q220</f>
        <v>39</v>
      </c>
      <c r="F89" s="28">
        <f>'SIMULARE PE PRODUS'!U220</f>
        <v>0.67714803090463482</v>
      </c>
      <c r="G89" s="28">
        <f>'SIMULARE PE PRODUS'!V220</f>
        <v>0.67087512560123097</v>
      </c>
      <c r="H89" s="28">
        <f>'SIMULARE PE PRODUS'!W220</f>
        <v>0.71493846041538467</v>
      </c>
      <c r="I89" s="59">
        <v>0</v>
      </c>
      <c r="J89" s="59">
        <v>0</v>
      </c>
      <c r="K89" s="60">
        <f>'SIMULARE PE PRODUS'!AC220</f>
        <v>0.67714803090463482</v>
      </c>
      <c r="L89" s="60">
        <f>'SIMULARE PE PRODUS'!AD220</f>
        <v>0.67087512560123097</v>
      </c>
      <c r="M89" s="60">
        <f>'SIMULARE PE PRODUS'!AE220</f>
        <v>0.71493846041538467</v>
      </c>
      <c r="N89" s="59">
        <v>0</v>
      </c>
      <c r="O89" s="59">
        <v>0</v>
      </c>
      <c r="P89" s="61">
        <f>'SIMULARE PE PRODUS'!AK220</f>
        <v>0.67714803090463482</v>
      </c>
      <c r="Q89" s="61">
        <f>'SIMULARE PE PRODUS'!AL220</f>
        <v>0.67087512560123097</v>
      </c>
      <c r="R89" s="61">
        <f>'SIMULARE PE PRODUS'!AM220</f>
        <v>0.71493846041538467</v>
      </c>
      <c r="S89" s="59">
        <v>0</v>
      </c>
      <c r="T89" s="59">
        <v>0</v>
      </c>
      <c r="U89" s="62">
        <f>'SIMULARE PE PRODUS'!AS220</f>
        <v>0.67714803090463482</v>
      </c>
      <c r="V89" s="62">
        <f>'SIMULARE PE PRODUS'!AT220</f>
        <v>0.67087512560123097</v>
      </c>
      <c r="W89" s="62">
        <f>'SIMULARE PE PRODUS'!AU220</f>
        <v>0.71493846041538467</v>
      </c>
      <c r="X89" s="59">
        <v>0</v>
      </c>
      <c r="Y89" s="59">
        <v>0</v>
      </c>
      <c r="Z89" s="63">
        <f>'SIMULARE PE PRODUS'!BA220</f>
        <v>0.67714803090463482</v>
      </c>
      <c r="AA89" s="63">
        <f>'SIMULARE PE PRODUS'!BB220</f>
        <v>0.67087512560123097</v>
      </c>
      <c r="AB89" s="63">
        <f>'SIMULARE PE PRODUS'!BC220</f>
        <v>0.71493846041538467</v>
      </c>
    </row>
    <row r="90" spans="1:28" x14ac:dyDescent="0.2">
      <c r="A90" s="26">
        <v>85</v>
      </c>
      <c r="B90" s="26" t="s">
        <v>229</v>
      </c>
      <c r="C90" s="26" t="s">
        <v>104</v>
      </c>
      <c r="D90" s="41">
        <f>'SIMULARE PE PRODUS'!P129</f>
        <v>17</v>
      </c>
      <c r="E90" s="41">
        <f>'SIMULARE PE PRODUS'!Q129</f>
        <v>0</v>
      </c>
      <c r="F90" s="28">
        <f>'SIMULARE PE PRODUS'!U129</f>
        <v>0.45046159723529411</v>
      </c>
      <c r="G90" s="28">
        <f>'SIMULARE PE PRODUS'!V129</f>
        <v>0.45046159723529411</v>
      </c>
      <c r="H90" s="28" t="str">
        <f>'SIMULARE PE PRODUS'!W129</f>
        <v/>
      </c>
      <c r="I90" s="59">
        <v>0</v>
      </c>
      <c r="J90" s="59">
        <v>0</v>
      </c>
      <c r="K90" s="60">
        <f>'SIMULARE PE PRODUS'!AC129</f>
        <v>0.45046159723529411</v>
      </c>
      <c r="L90" s="60">
        <f>'SIMULARE PE PRODUS'!AD129</f>
        <v>0.45046159723529411</v>
      </c>
      <c r="M90" s="60" t="str">
        <f>'SIMULARE PE PRODUS'!AE129</f>
        <v/>
      </c>
      <c r="N90" s="59">
        <v>0</v>
      </c>
      <c r="O90" s="59">
        <v>0</v>
      </c>
      <c r="P90" s="61">
        <f>'SIMULARE PE PRODUS'!AK129</f>
        <v>0.45046159723529411</v>
      </c>
      <c r="Q90" s="61">
        <f>'SIMULARE PE PRODUS'!AL129</f>
        <v>0.45046159723529411</v>
      </c>
      <c r="R90" s="61" t="str">
        <f>'SIMULARE PE PRODUS'!AM129</f>
        <v/>
      </c>
      <c r="S90" s="59">
        <v>0</v>
      </c>
      <c r="T90" s="59">
        <v>0</v>
      </c>
      <c r="U90" s="62">
        <f>'SIMULARE PE PRODUS'!AS129</f>
        <v>0.45046159723529411</v>
      </c>
      <c r="V90" s="62">
        <f>'SIMULARE PE PRODUS'!AT129</f>
        <v>0.45046159723529411</v>
      </c>
      <c r="W90" s="62" t="str">
        <f>'SIMULARE PE PRODUS'!AU129</f>
        <v/>
      </c>
      <c r="X90" s="59">
        <v>0</v>
      </c>
      <c r="Y90" s="59">
        <v>0</v>
      </c>
      <c r="Z90" s="63">
        <f>'SIMULARE PE PRODUS'!BA129</f>
        <v>0.45046159723529411</v>
      </c>
      <c r="AA90" s="63">
        <f>'SIMULARE PE PRODUS'!BB129</f>
        <v>0.45046159723529411</v>
      </c>
      <c r="AB90" s="63" t="str">
        <f>'SIMULARE PE PRODUS'!BC129</f>
        <v/>
      </c>
    </row>
    <row r="91" spans="1:28" x14ac:dyDescent="0.2">
      <c r="A91" s="26">
        <v>86</v>
      </c>
      <c r="B91" s="26" t="s">
        <v>226</v>
      </c>
      <c r="C91" s="26" t="s">
        <v>105</v>
      </c>
      <c r="D91" s="41">
        <f>'SIMULARE PE PRODUS'!P169</f>
        <v>18</v>
      </c>
      <c r="E91" s="41">
        <f>'SIMULARE PE PRODUS'!Q169</f>
        <v>0</v>
      </c>
      <c r="F91" s="28">
        <f>'SIMULARE PE PRODUS'!U169</f>
        <v>0.31764500000000001</v>
      </c>
      <c r="G91" s="28">
        <f>'SIMULARE PE PRODUS'!V169</f>
        <v>0.31764500000000001</v>
      </c>
      <c r="H91" s="28" t="str">
        <f>'SIMULARE PE PRODUS'!W169</f>
        <v/>
      </c>
      <c r="I91" s="59">
        <v>0</v>
      </c>
      <c r="J91" s="59">
        <v>0</v>
      </c>
      <c r="K91" s="60">
        <f>'SIMULARE PE PRODUS'!AC169</f>
        <v>0.31764500000000001</v>
      </c>
      <c r="L91" s="60">
        <f>'SIMULARE PE PRODUS'!AD169</f>
        <v>0.31764500000000001</v>
      </c>
      <c r="M91" s="60" t="str">
        <f>'SIMULARE PE PRODUS'!AE169</f>
        <v/>
      </c>
      <c r="N91" s="59">
        <v>0</v>
      </c>
      <c r="O91" s="59">
        <v>0</v>
      </c>
      <c r="P91" s="61">
        <f>'SIMULARE PE PRODUS'!AK169</f>
        <v>0.30922714981070853</v>
      </c>
      <c r="Q91" s="61">
        <f>'SIMULARE PE PRODUS'!AL169</f>
        <v>0.30922714981070853</v>
      </c>
      <c r="R91" s="61" t="str">
        <f>'SIMULARE PE PRODUS'!AM169</f>
        <v/>
      </c>
      <c r="S91" s="59">
        <v>0</v>
      </c>
      <c r="T91" s="59">
        <v>0</v>
      </c>
      <c r="U91" s="62">
        <f>'SIMULARE PE PRODUS'!AS169</f>
        <v>0.30108530805687206</v>
      </c>
      <c r="V91" s="62">
        <f>'SIMULARE PE PRODUS'!AT169</f>
        <v>0.30108530805687206</v>
      </c>
      <c r="W91" s="62" t="str">
        <f>'SIMULARE PE PRODUS'!AU169</f>
        <v/>
      </c>
      <c r="X91" s="59">
        <v>0</v>
      </c>
      <c r="Y91" s="59">
        <v>0</v>
      </c>
      <c r="Z91" s="63">
        <f>'SIMULARE PE PRODUS'!BA169</f>
        <v>0.30108530805687206</v>
      </c>
      <c r="AA91" s="63">
        <f>'SIMULARE PE PRODUS'!BB169</f>
        <v>0.30108530805687206</v>
      </c>
      <c r="AB91" s="63" t="str">
        <f>'SIMULARE PE PRODUS'!BC169</f>
        <v/>
      </c>
    </row>
    <row r="92" spans="1:28" x14ac:dyDescent="0.2">
      <c r="A92" s="26">
        <v>87</v>
      </c>
      <c r="B92" s="26" t="s">
        <v>231</v>
      </c>
      <c r="C92" s="26" t="s">
        <v>100</v>
      </c>
      <c r="D92" s="41">
        <f>'SIMULARE PE PRODUS'!P65</f>
        <v>15</v>
      </c>
      <c r="E92" s="41">
        <f>'SIMULARE PE PRODUS'!Q65</f>
        <v>17.5</v>
      </c>
      <c r="F92" s="28">
        <f>'SIMULARE PE PRODUS'!U65</f>
        <v>0.34566209562751954</v>
      </c>
      <c r="G92" s="28">
        <f>'SIMULARE PE PRODUS'!V65</f>
        <v>0.36026564928000004</v>
      </c>
      <c r="H92" s="28">
        <f>'SIMULARE PE PRODUS'!W65</f>
        <v>0.30879912795428577</v>
      </c>
      <c r="I92" s="59">
        <v>0</v>
      </c>
      <c r="J92" s="59">
        <v>0</v>
      </c>
      <c r="K92" s="60">
        <f>'SIMULARE PE PRODUS'!AC65</f>
        <v>0.33494968473600001</v>
      </c>
      <c r="L92" s="60">
        <f>'SIMULARE PE PRODUS'!AD65</f>
        <v>0.34864417672258069</v>
      </c>
      <c r="M92" s="60">
        <f>'SIMULARE PE PRODUS'!AE65</f>
        <v>0.30022137440000007</v>
      </c>
      <c r="N92" s="59">
        <v>0</v>
      </c>
      <c r="O92" s="59">
        <v>0</v>
      </c>
      <c r="P92" s="61">
        <f>'SIMULARE PE PRODUS'!AK65</f>
        <v>0.33494968473600001</v>
      </c>
      <c r="Q92" s="61">
        <f>'SIMULARE PE PRODUS'!AL65</f>
        <v>0.34864417672258069</v>
      </c>
      <c r="R92" s="61">
        <f>'SIMULARE PE PRODUS'!AM65</f>
        <v>0.30022137440000007</v>
      </c>
      <c r="S92" s="59">
        <v>0</v>
      </c>
      <c r="T92" s="59">
        <v>0</v>
      </c>
      <c r="U92" s="62">
        <f>'SIMULARE PE PRODUS'!AS65</f>
        <v>0.32488129155623913</v>
      </c>
      <c r="V92" s="62">
        <f>'SIMULARE PE PRODUS'!AT65</f>
        <v>0.33774904620000001</v>
      </c>
      <c r="W92" s="62">
        <f>'SIMULARE PE PRODUS'!AU65</f>
        <v>0.29210728320000007</v>
      </c>
      <c r="X92" s="59">
        <v>0</v>
      </c>
      <c r="Y92" s="59">
        <v>0</v>
      </c>
      <c r="Z92" s="63">
        <f>'SIMULARE PE PRODUS'!BA65</f>
        <v>0.31558472374185143</v>
      </c>
      <c r="AA92" s="63">
        <f>'SIMULARE PE PRODUS'!BB65</f>
        <v>0.32771284046088539</v>
      </c>
      <c r="AB92" s="63">
        <f>'SIMULARE PE PRODUS'!BC65</f>
        <v>0.28457002312796215</v>
      </c>
    </row>
    <row r="93" spans="1:28" x14ac:dyDescent="0.2">
      <c r="A93" s="26">
        <v>88</v>
      </c>
      <c r="B93" s="26" t="s">
        <v>232</v>
      </c>
      <c r="C93" s="26" t="s">
        <v>104</v>
      </c>
      <c r="D93" s="41">
        <f>'SIMULARE PE PRODUS'!P130</f>
        <v>13.99</v>
      </c>
      <c r="E93" s="41">
        <f>'SIMULARE PE PRODUS'!Q130</f>
        <v>0</v>
      </c>
      <c r="F93" s="28">
        <f>'SIMULARE PE PRODUS'!U130</f>
        <v>0.43452695746962106</v>
      </c>
      <c r="G93" s="28">
        <f>'SIMULARE PE PRODUS'!V130</f>
        <v>0.43452695746962106</v>
      </c>
      <c r="H93" s="28" t="str">
        <f>'SIMULARE PE PRODUS'!W130</f>
        <v/>
      </c>
      <c r="I93" s="59">
        <v>0</v>
      </c>
      <c r="J93" s="59">
        <v>0</v>
      </c>
      <c r="K93" s="60">
        <f>'SIMULARE PE PRODUS'!AC130</f>
        <v>0.43452695746962106</v>
      </c>
      <c r="L93" s="60">
        <f>'SIMULARE PE PRODUS'!AD130</f>
        <v>0.43452695746962106</v>
      </c>
      <c r="M93" s="60" t="str">
        <f>'SIMULARE PE PRODUS'!AE130</f>
        <v/>
      </c>
      <c r="N93" s="59">
        <v>0</v>
      </c>
      <c r="O93" s="59">
        <v>0</v>
      </c>
      <c r="P93" s="61">
        <f>'SIMULARE PE PRODUS'!AK130</f>
        <v>0.43452695746962106</v>
      </c>
      <c r="Q93" s="61">
        <f>'SIMULARE PE PRODUS'!AL130</f>
        <v>0.43452695746962106</v>
      </c>
      <c r="R93" s="61" t="str">
        <f>'SIMULARE PE PRODUS'!AM130</f>
        <v/>
      </c>
      <c r="S93" s="59">
        <v>0</v>
      </c>
      <c r="T93" s="59">
        <v>0</v>
      </c>
      <c r="U93" s="62">
        <f>'SIMULARE PE PRODUS'!AS130</f>
        <v>0.43452695746962106</v>
      </c>
      <c r="V93" s="62">
        <f>'SIMULARE PE PRODUS'!AT130</f>
        <v>0.43452695746962106</v>
      </c>
      <c r="W93" s="62" t="str">
        <f>'SIMULARE PE PRODUS'!AU130</f>
        <v/>
      </c>
      <c r="X93" s="59">
        <v>0</v>
      </c>
      <c r="Y93" s="59">
        <v>0</v>
      </c>
      <c r="Z93" s="63">
        <f>'SIMULARE PE PRODUS'!BA130</f>
        <v>0.43452695746962106</v>
      </c>
      <c r="AA93" s="63">
        <f>'SIMULARE PE PRODUS'!BB130</f>
        <v>0.43452695746962106</v>
      </c>
      <c r="AB93" s="63" t="str">
        <f>'SIMULARE PE PRODUS'!BC130</f>
        <v/>
      </c>
    </row>
    <row r="94" spans="1:28" x14ac:dyDescent="0.2">
      <c r="A94" s="26">
        <v>89</v>
      </c>
      <c r="B94" s="26" t="s">
        <v>235</v>
      </c>
      <c r="C94" s="26" t="s">
        <v>103</v>
      </c>
      <c r="D94" s="41">
        <f>'SIMULARE PE PRODUS'!P106</f>
        <v>10.99</v>
      </c>
      <c r="E94" s="41">
        <f>'SIMULARE PE PRODUS'!Q106</f>
        <v>11.99</v>
      </c>
      <c r="F94" s="28">
        <f>'SIMULARE PE PRODUS'!U106</f>
        <v>0.30126952482224895</v>
      </c>
      <c r="G94" s="28">
        <f>'SIMULARE PE PRODUS'!V106</f>
        <v>0.30277525022747953</v>
      </c>
      <c r="H94" s="28">
        <f>'SIMULARE PE PRODUS'!W106</f>
        <v>0.27752293577981652</v>
      </c>
      <c r="I94" s="59">
        <v>0</v>
      </c>
      <c r="J94" s="59">
        <v>0</v>
      </c>
      <c r="K94" s="60">
        <f>'SIMULARE PE PRODUS'!AC106</f>
        <v>0.30126952482224895</v>
      </c>
      <c r="L94" s="60">
        <f>'SIMULARE PE PRODUS'!AD106</f>
        <v>0.30277525022747953</v>
      </c>
      <c r="M94" s="60">
        <f>'SIMULARE PE PRODUS'!AE106</f>
        <v>0.27752293577981652</v>
      </c>
      <c r="N94" s="59">
        <v>0</v>
      </c>
      <c r="O94" s="59">
        <v>0</v>
      </c>
      <c r="P94" s="61">
        <f>'SIMULARE PE PRODUS'!AK106</f>
        <v>0.27625737512087889</v>
      </c>
      <c r="Q94" s="61">
        <f>'SIMULARE PE PRODUS'!AL106</f>
        <v>0.27752293577981652</v>
      </c>
      <c r="R94" s="61">
        <f>'SIMULARE PE PRODUS'!AM106</f>
        <v>0.25615858352578902</v>
      </c>
      <c r="S94" s="59">
        <v>0</v>
      </c>
      <c r="T94" s="59">
        <v>0</v>
      </c>
      <c r="U94" s="62">
        <f>'SIMULARE PE PRODUS'!AS106</f>
        <v>0.26524665467315534</v>
      </c>
      <c r="V94" s="62">
        <f>'SIMULARE PE PRODUS'!AT106</f>
        <v>0.26641313050440352</v>
      </c>
      <c r="W94" s="62">
        <f>'SIMULARE PE PRODUS'!AU106</f>
        <v>0.2466641957005189</v>
      </c>
      <c r="X94" s="59">
        <v>0</v>
      </c>
      <c r="Y94" s="59">
        <v>0</v>
      </c>
      <c r="Z94" s="63">
        <f>'SIMULARE PE PRODUS'!BA106</f>
        <v>0.25507999569030104</v>
      </c>
      <c r="AA94" s="63">
        <f>'SIMULARE PE PRODUS'!BB106</f>
        <v>0.25615858352578907</v>
      </c>
      <c r="AB94" s="63">
        <f>'SIMULARE PE PRODUS'!BC106</f>
        <v>0.23784846318799141</v>
      </c>
    </row>
    <row r="95" spans="1:28" x14ac:dyDescent="0.2">
      <c r="A95" s="26">
        <v>90</v>
      </c>
      <c r="B95" s="26" t="s">
        <v>230</v>
      </c>
      <c r="C95" s="26" t="s">
        <v>105</v>
      </c>
      <c r="D95" s="41">
        <f>'SIMULARE PE PRODUS'!P170</f>
        <v>14</v>
      </c>
      <c r="E95" s="41">
        <f>'SIMULARE PE PRODUS'!Q170</f>
        <v>16</v>
      </c>
      <c r="F95" s="28">
        <f>'SIMULARE PE PRODUS'!U170</f>
        <v>0.37677828867965368</v>
      </c>
      <c r="G95" s="28">
        <f>'SIMULARE PE PRODUS'!V170</f>
        <v>0.3222278464285715</v>
      </c>
      <c r="H95" s="28">
        <f>'SIMULARE PE PRODUS'!W170</f>
        <v>0.42770624062500001</v>
      </c>
      <c r="I95" s="59">
        <v>0</v>
      </c>
      <c r="J95" s="59">
        <v>0</v>
      </c>
      <c r="K95" s="60">
        <f>'SIMULARE PE PRODUS'!AC170</f>
        <v>0.37677828867965368</v>
      </c>
      <c r="L95" s="60">
        <f>'SIMULARE PE PRODUS'!AD170</f>
        <v>0.3222278464285715</v>
      </c>
      <c r="M95" s="60">
        <f>'SIMULARE PE PRODUS'!AE170</f>
        <v>0.42770624062500001</v>
      </c>
      <c r="N95" s="59">
        <v>0</v>
      </c>
      <c r="O95" s="59">
        <v>0</v>
      </c>
      <c r="P95" s="61">
        <f>'SIMULARE PE PRODUS'!AK170</f>
        <v>0.36483456323085373</v>
      </c>
      <c r="Q95" s="61">
        <f>'SIMULARE PE PRODUS'!AL170</f>
        <v>0.31133125258799177</v>
      </c>
      <c r="R95" s="61">
        <f>'SIMULARE PE PRODUS'!AM170</f>
        <v>0.41499695876288661</v>
      </c>
      <c r="S95" s="59">
        <v>0</v>
      </c>
      <c r="T95" s="59">
        <v>0</v>
      </c>
      <c r="U95" s="62">
        <f>'SIMULARE PE PRODUS'!AS170</f>
        <v>0.35340319184745761</v>
      </c>
      <c r="V95" s="62">
        <f>'SIMULARE PE PRODUS'!AT170</f>
        <v>0.30094662108072051</v>
      </c>
      <c r="W95" s="62">
        <f>'SIMULARE PE PRODUS'!AU170</f>
        <v>0.40278398175397295</v>
      </c>
      <c r="X95" s="59">
        <v>0</v>
      </c>
      <c r="Y95" s="59">
        <v>0</v>
      </c>
      <c r="Z95" s="63">
        <f>'SIMULARE PE PRODUS'!BA170</f>
        <v>0.35340319184745761</v>
      </c>
      <c r="AA95" s="63">
        <f>'SIMULARE PE PRODUS'!BB170</f>
        <v>0.30094662108072051</v>
      </c>
      <c r="AB95" s="63">
        <f>'SIMULARE PE PRODUS'!BC170</f>
        <v>0.40278398175397295</v>
      </c>
    </row>
    <row r="96" spans="1:28" x14ac:dyDescent="0.2">
      <c r="A96" s="26">
        <v>91</v>
      </c>
      <c r="B96" s="26" t="s">
        <v>233</v>
      </c>
      <c r="C96" s="26" t="s">
        <v>102</v>
      </c>
      <c r="D96" s="41">
        <f>'SIMULARE PE PRODUS'!P86</f>
        <v>35.1</v>
      </c>
      <c r="E96" s="41">
        <f>'SIMULARE PE PRODUS'!Q86</f>
        <v>35.1</v>
      </c>
      <c r="F96" s="28">
        <f>'SIMULARE PE PRODUS'!U86</f>
        <v>0.34465405128205134</v>
      </c>
      <c r="G96" s="28">
        <f>'SIMULARE PE PRODUS'!V86</f>
        <v>0.34465405128205134</v>
      </c>
      <c r="H96" s="28">
        <f>'SIMULARE PE PRODUS'!W86</f>
        <v>0.34465405128205134</v>
      </c>
      <c r="I96" s="59">
        <v>0</v>
      </c>
      <c r="J96" s="59">
        <v>0</v>
      </c>
      <c r="K96" s="60">
        <f>'SIMULARE PE PRODUS'!AC86</f>
        <v>0.34270133711048167</v>
      </c>
      <c r="L96" s="60">
        <f>'SIMULARE PE PRODUS'!AD86</f>
        <v>0.34270133711048167</v>
      </c>
      <c r="M96" s="60">
        <f>'SIMULARE PE PRODUS'!AE86</f>
        <v>0.34270133711048167</v>
      </c>
      <c r="N96" s="59">
        <v>0</v>
      </c>
      <c r="O96" s="59">
        <v>0</v>
      </c>
      <c r="P96" s="61">
        <f>'SIMULARE PE PRODUS'!AK86</f>
        <v>0.34270133711048167</v>
      </c>
      <c r="Q96" s="61">
        <f>'SIMULARE PE PRODUS'!AL86</f>
        <v>0.34270133711048167</v>
      </c>
      <c r="R96" s="61">
        <f>'SIMULARE PE PRODUS'!AM86</f>
        <v>0.34270133711048167</v>
      </c>
      <c r="S96" s="59">
        <v>0</v>
      </c>
      <c r="T96" s="59">
        <v>0</v>
      </c>
      <c r="U96" s="62">
        <f>'SIMULARE PE PRODUS'!AS86</f>
        <v>0.34270133711048167</v>
      </c>
      <c r="V96" s="62">
        <f>'SIMULARE PE PRODUS'!AT86</f>
        <v>0.34270133711048167</v>
      </c>
      <c r="W96" s="62">
        <f>'SIMULARE PE PRODUS'!AU86</f>
        <v>0.34270133711048167</v>
      </c>
      <c r="X96" s="59">
        <v>0</v>
      </c>
      <c r="Y96" s="59">
        <v>0</v>
      </c>
      <c r="Z96" s="63">
        <f>'SIMULARE PE PRODUS'!BA86</f>
        <v>0.34086664412510576</v>
      </c>
      <c r="AA96" s="63">
        <f>'SIMULARE PE PRODUS'!BB86</f>
        <v>0.3408666441251057</v>
      </c>
      <c r="AB96" s="63">
        <f>'SIMULARE PE PRODUS'!BC86</f>
        <v>0.3408666441251057</v>
      </c>
    </row>
    <row r="97" spans="1:28" x14ac:dyDescent="0.2">
      <c r="A97" s="26">
        <v>92</v>
      </c>
      <c r="B97" s="26" t="s">
        <v>234</v>
      </c>
      <c r="C97" s="26" t="s">
        <v>105</v>
      </c>
      <c r="D97" s="41">
        <f>'SIMULARE PE PRODUS'!P171</f>
        <v>18</v>
      </c>
      <c r="E97" s="41">
        <f>'SIMULARE PE PRODUS'!Q171</f>
        <v>0</v>
      </c>
      <c r="F97" s="28">
        <f>'SIMULARE PE PRODUS'!U171</f>
        <v>0.37413999166666667</v>
      </c>
      <c r="G97" s="28">
        <f>'SIMULARE PE PRODUS'!V171</f>
        <v>0.37413999166666667</v>
      </c>
      <c r="H97" s="28" t="str">
        <f>'SIMULARE PE PRODUS'!W171</f>
        <v/>
      </c>
      <c r="I97" s="59">
        <v>0</v>
      </c>
      <c r="J97" s="59">
        <v>0</v>
      </c>
      <c r="K97" s="60">
        <f>'SIMULARE PE PRODUS'!AC171</f>
        <v>0.37413999166666667</v>
      </c>
      <c r="L97" s="60">
        <f>'SIMULARE PE PRODUS'!AD171</f>
        <v>0.37413999166666667</v>
      </c>
      <c r="M97" s="60" t="str">
        <f>'SIMULARE PE PRODUS'!AE171</f>
        <v/>
      </c>
      <c r="N97" s="59">
        <v>0</v>
      </c>
      <c r="O97" s="59">
        <v>0</v>
      </c>
      <c r="P97" s="61">
        <f>'SIMULARE PE PRODUS'!AK171</f>
        <v>0.36422497836668472</v>
      </c>
      <c r="Q97" s="61">
        <f>'SIMULARE PE PRODUS'!AL171</f>
        <v>0.36422497836668472</v>
      </c>
      <c r="R97" s="61" t="str">
        <f>'SIMULARE PE PRODUS'!AM171</f>
        <v/>
      </c>
      <c r="S97" s="59">
        <v>0</v>
      </c>
      <c r="T97" s="59">
        <v>0</v>
      </c>
      <c r="U97" s="62">
        <f>'SIMULARE PE PRODUS'!AS171</f>
        <v>0.35463506319115329</v>
      </c>
      <c r="V97" s="62">
        <f>'SIMULARE PE PRODUS'!AT171</f>
        <v>0.35463506319115329</v>
      </c>
      <c r="W97" s="62" t="str">
        <f>'SIMULARE PE PRODUS'!AU171</f>
        <v/>
      </c>
      <c r="X97" s="59">
        <v>0</v>
      </c>
      <c r="Y97" s="59">
        <v>0</v>
      </c>
      <c r="Z97" s="63">
        <f>'SIMULARE PE PRODUS'!BA171</f>
        <v>0.35463506319115329</v>
      </c>
      <c r="AA97" s="63">
        <f>'SIMULARE PE PRODUS'!BB171</f>
        <v>0.35463506319115329</v>
      </c>
      <c r="AB97" s="63" t="str">
        <f>'SIMULARE PE PRODUS'!BC171</f>
        <v/>
      </c>
    </row>
    <row r="98" spans="1:28" x14ac:dyDescent="0.2">
      <c r="A98" s="26">
        <v>93</v>
      </c>
      <c r="B98" s="26" t="s">
        <v>236</v>
      </c>
      <c r="C98" s="26" t="s">
        <v>106</v>
      </c>
      <c r="D98" s="41">
        <f>'SIMULARE PE PRODUS'!P199</f>
        <v>5</v>
      </c>
      <c r="E98" s="41">
        <f>'SIMULARE PE PRODUS'!Q199</f>
        <v>5</v>
      </c>
      <c r="F98" s="28">
        <f>'SIMULARE PE PRODUS'!U199</f>
        <v>0.16983000000000001</v>
      </c>
      <c r="G98" s="28">
        <f>'SIMULARE PE PRODUS'!V199</f>
        <v>0.16983000000000004</v>
      </c>
      <c r="H98" s="28">
        <f>'SIMULARE PE PRODUS'!W199</f>
        <v>0.16983000000000001</v>
      </c>
      <c r="I98" s="59">
        <v>0</v>
      </c>
      <c r="J98" s="59">
        <v>0</v>
      </c>
      <c r="K98" s="60">
        <f>'SIMULARE PE PRODUS'!AC199</f>
        <v>0.16983000000000001</v>
      </c>
      <c r="L98" s="60">
        <f>'SIMULARE PE PRODUS'!AD199</f>
        <v>0.16983000000000004</v>
      </c>
      <c r="M98" s="60">
        <f>'SIMULARE PE PRODUS'!AE199</f>
        <v>0.16983000000000001</v>
      </c>
      <c r="N98" s="59">
        <v>0</v>
      </c>
      <c r="O98" s="59">
        <v>0</v>
      </c>
      <c r="P98" s="61">
        <f>'SIMULARE PE PRODUS'!AK199</f>
        <v>0.16983000000000001</v>
      </c>
      <c r="Q98" s="61">
        <f>'SIMULARE PE PRODUS'!AL199</f>
        <v>0.16983000000000004</v>
      </c>
      <c r="R98" s="61">
        <f>'SIMULARE PE PRODUS'!AM199</f>
        <v>0.16983000000000001</v>
      </c>
      <c r="S98" s="59">
        <v>0</v>
      </c>
      <c r="T98" s="59">
        <v>0</v>
      </c>
      <c r="U98" s="62">
        <f>'SIMULARE PE PRODUS'!AS199</f>
        <v>0.16983000000000001</v>
      </c>
      <c r="V98" s="62">
        <f>'SIMULARE PE PRODUS'!AT199</f>
        <v>0.16983000000000004</v>
      </c>
      <c r="W98" s="62">
        <f>'SIMULARE PE PRODUS'!AU199</f>
        <v>0.16983000000000001</v>
      </c>
      <c r="X98" s="59">
        <v>0</v>
      </c>
      <c r="Y98" s="59">
        <v>0</v>
      </c>
      <c r="Z98" s="63">
        <f>'SIMULARE PE PRODUS'!BA199</f>
        <v>0.16983000000000001</v>
      </c>
      <c r="AA98" s="63">
        <f>'SIMULARE PE PRODUS'!BB199</f>
        <v>0.16983000000000004</v>
      </c>
      <c r="AB98" s="63">
        <f>'SIMULARE PE PRODUS'!BC199</f>
        <v>0.16983000000000001</v>
      </c>
    </row>
    <row r="99" spans="1:28" x14ac:dyDescent="0.2">
      <c r="A99" s="26">
        <v>94</v>
      </c>
      <c r="B99" s="26" t="s">
        <v>240</v>
      </c>
      <c r="C99" s="26" t="s">
        <v>103</v>
      </c>
      <c r="D99" s="41">
        <f>'SIMULARE PE PRODUS'!P107</f>
        <v>13.99</v>
      </c>
      <c r="E99" s="41">
        <f>'SIMULARE PE PRODUS'!Q107</f>
        <v>0</v>
      </c>
      <c r="F99" s="28">
        <f>'SIMULARE PE PRODUS'!U107</f>
        <v>0.2872559637461044</v>
      </c>
      <c r="G99" s="28">
        <f>'SIMULARE PE PRODUS'!V107</f>
        <v>0.2872559637461044</v>
      </c>
      <c r="H99" s="28" t="str">
        <f>'SIMULARE PE PRODUS'!W107</f>
        <v/>
      </c>
      <c r="I99" s="59">
        <v>0</v>
      </c>
      <c r="J99" s="59">
        <v>0</v>
      </c>
      <c r="K99" s="60">
        <f>'SIMULARE PE PRODUS'!AC107</f>
        <v>0.2872559637461044</v>
      </c>
      <c r="L99" s="60">
        <f>'SIMULARE PE PRODUS'!AD107</f>
        <v>0.2872559637461044</v>
      </c>
      <c r="M99" s="60" t="str">
        <f>'SIMULARE PE PRODUS'!AE107</f>
        <v/>
      </c>
      <c r="N99" s="59">
        <v>0</v>
      </c>
      <c r="O99" s="59">
        <v>0</v>
      </c>
      <c r="P99" s="61">
        <f>'SIMULARE PE PRODUS'!AK107</f>
        <v>0.26809279071434294</v>
      </c>
      <c r="Q99" s="61">
        <f>'SIMULARE PE PRODUS'!AL107</f>
        <v>0.26809279071434294</v>
      </c>
      <c r="R99" s="61" t="str">
        <f>'SIMULARE PE PRODUS'!AM107</f>
        <v/>
      </c>
      <c r="S99" s="59">
        <v>0</v>
      </c>
      <c r="T99" s="59">
        <v>0</v>
      </c>
      <c r="U99" s="62">
        <f>'SIMULARE PE PRODUS'!AS107</f>
        <v>0.25943905311865723</v>
      </c>
      <c r="V99" s="62">
        <f>'SIMULARE PE PRODUS'!AT107</f>
        <v>0.25943905311865723</v>
      </c>
      <c r="W99" s="62" t="str">
        <f>'SIMULARE PE PRODUS'!AU107</f>
        <v/>
      </c>
      <c r="X99" s="59">
        <v>0</v>
      </c>
      <c r="Y99" s="59">
        <v>0</v>
      </c>
      <c r="Z99" s="63">
        <f>'SIMULARE PE PRODUS'!BA107</f>
        <v>0.25132651237073173</v>
      </c>
      <c r="AA99" s="63">
        <f>'SIMULARE PE PRODUS'!BB107</f>
        <v>0.25132651237073173</v>
      </c>
      <c r="AB99" s="63" t="str">
        <f>'SIMULARE PE PRODUS'!BC107</f>
        <v/>
      </c>
    </row>
    <row r="100" spans="1:28" x14ac:dyDescent="0.2">
      <c r="A100" s="26">
        <v>95</v>
      </c>
      <c r="B100" s="26" t="s">
        <v>238</v>
      </c>
      <c r="C100" s="26" t="s">
        <v>105</v>
      </c>
      <c r="D100" s="41">
        <f>'SIMULARE PE PRODUS'!P172</f>
        <v>12</v>
      </c>
      <c r="E100" s="41">
        <f>'SIMULARE PE PRODUS'!Q172</f>
        <v>14</v>
      </c>
      <c r="F100" s="28">
        <f>'SIMULARE PE PRODUS'!U172</f>
        <v>0.35055583928571432</v>
      </c>
      <c r="G100" s="28">
        <f>'SIMULARE PE PRODUS'!V172</f>
        <v>0.29119</v>
      </c>
      <c r="H100" s="28">
        <f>'SIMULARE PE PRODUS'!W172</f>
        <v>0.41617071428571434</v>
      </c>
      <c r="I100" s="59">
        <v>0</v>
      </c>
      <c r="J100" s="59">
        <v>0</v>
      </c>
      <c r="K100" s="60">
        <f>'SIMULARE PE PRODUS'!AC172</f>
        <v>0.35055583928571432</v>
      </c>
      <c r="L100" s="60">
        <f>'SIMULARE PE PRODUS'!AD172</f>
        <v>0.29119</v>
      </c>
      <c r="M100" s="60">
        <f>'SIMULARE PE PRODUS'!AE172</f>
        <v>0.41617071428571434</v>
      </c>
      <c r="N100" s="59">
        <v>0</v>
      </c>
      <c r="O100" s="59">
        <v>0</v>
      </c>
      <c r="P100" s="61">
        <f>'SIMULARE PE PRODUS'!AK172</f>
        <v>0.33770205482397675</v>
      </c>
      <c r="Q100" s="61">
        <f>'SIMULARE PE PRODUS'!AL172</f>
        <v>0.27976621297037635</v>
      </c>
      <c r="R100" s="61">
        <f>'SIMULARE PE PRODUS'!AM172</f>
        <v>0.40209730848861286</v>
      </c>
      <c r="S100" s="59">
        <v>0</v>
      </c>
      <c r="T100" s="59">
        <v>0</v>
      </c>
      <c r="U100" s="62">
        <f>'SIMULARE PE PRODUS'!AS172</f>
        <v>0.32552257219371045</v>
      </c>
      <c r="V100" s="62">
        <f>'SIMULARE PE PRODUS'!AT172</f>
        <v>0.26899769053117784</v>
      </c>
      <c r="W100" s="62">
        <f>'SIMULARE PE PRODUS'!AU172</f>
        <v>0.3886851234156104</v>
      </c>
      <c r="X100" s="59">
        <v>0</v>
      </c>
      <c r="Y100" s="59">
        <v>0</v>
      </c>
      <c r="Z100" s="63">
        <f>'SIMULARE PE PRODUS'!BA172</f>
        <v>0.32552257219371045</v>
      </c>
      <c r="AA100" s="63">
        <f>'SIMULARE PE PRODUS'!BB172</f>
        <v>0.26899769053117784</v>
      </c>
      <c r="AB100" s="63">
        <f>'SIMULARE PE PRODUS'!BC172</f>
        <v>0.3886851234156104</v>
      </c>
    </row>
    <row r="101" spans="1:28" x14ac:dyDescent="0.2">
      <c r="A101" s="26">
        <v>96</v>
      </c>
      <c r="B101" s="26" t="s">
        <v>241</v>
      </c>
      <c r="C101" s="26" t="s">
        <v>103</v>
      </c>
      <c r="D101" s="41">
        <f>'SIMULARE PE PRODUS'!P108</f>
        <v>0</v>
      </c>
      <c r="E101" s="41">
        <f>'SIMULARE PE PRODUS'!Q108</f>
        <v>10.49</v>
      </c>
      <c r="F101" s="28">
        <f>'SIMULARE PE PRODUS'!U108</f>
        <v>0.45274070543374634</v>
      </c>
      <c r="G101" s="28" t="str">
        <f>'SIMULARE PE PRODUS'!V108</f>
        <v/>
      </c>
      <c r="H101" s="28">
        <f>'SIMULARE PE PRODUS'!W108</f>
        <v>0.45274070543374634</v>
      </c>
      <c r="I101" s="59">
        <v>0</v>
      </c>
      <c r="J101" s="59">
        <v>0</v>
      </c>
      <c r="K101" s="60">
        <f>'SIMULARE PE PRODUS'!AC108</f>
        <v>0.45274070543374634</v>
      </c>
      <c r="L101" s="60" t="str">
        <f>'SIMULARE PE PRODUS'!AD108</f>
        <v/>
      </c>
      <c r="M101" s="60">
        <f>'SIMULARE PE PRODUS'!AE108</f>
        <v>0.45274070543374634</v>
      </c>
      <c r="N101" s="59">
        <v>0</v>
      </c>
      <c r="O101" s="59">
        <v>0</v>
      </c>
      <c r="P101" s="61">
        <f>'SIMULARE PE PRODUS'!AK108</f>
        <v>0.41333768494342898</v>
      </c>
      <c r="Q101" s="61" t="str">
        <f>'SIMULARE PE PRODUS'!AL108</f>
        <v/>
      </c>
      <c r="R101" s="61">
        <f>'SIMULARE PE PRODUS'!AM108</f>
        <v>0.41333768494342898</v>
      </c>
      <c r="S101" s="59">
        <v>0</v>
      </c>
      <c r="T101" s="59">
        <v>0</v>
      </c>
      <c r="U101" s="62">
        <f>'SIMULARE PE PRODUS'!AS108</f>
        <v>0.39610091743119258</v>
      </c>
      <c r="V101" s="62" t="str">
        <f>'SIMULARE PE PRODUS'!AT108</f>
        <v/>
      </c>
      <c r="W101" s="62">
        <f>'SIMULARE PE PRODUS'!AU108</f>
        <v>0.39610091743119258</v>
      </c>
      <c r="X101" s="59">
        <v>0</v>
      </c>
      <c r="Y101" s="59">
        <v>0</v>
      </c>
      <c r="Z101" s="63">
        <f>'SIMULARE PE PRODUS'!BA108</f>
        <v>0.38024419535628495</v>
      </c>
      <c r="AA101" s="63" t="str">
        <f>'SIMULARE PE PRODUS'!BB108</f>
        <v/>
      </c>
      <c r="AB101" s="63">
        <f>'SIMULARE PE PRODUS'!BC108</f>
        <v>0.38024419535628495</v>
      </c>
    </row>
    <row r="102" spans="1:28" x14ac:dyDescent="0.2">
      <c r="A102" s="26">
        <v>97</v>
      </c>
      <c r="B102" s="26" t="s">
        <v>260</v>
      </c>
      <c r="C102" s="26" t="s">
        <v>103</v>
      </c>
      <c r="D102" s="41">
        <f>'SIMULARE PE PRODUS'!P114</f>
        <v>4.99</v>
      </c>
      <c r="E102" s="41">
        <f>'SIMULARE PE PRODUS'!Q114</f>
        <v>4.99</v>
      </c>
      <c r="F102" s="28">
        <f>'SIMULARE PE PRODUS'!U114</f>
        <v>0.15591783567134265</v>
      </c>
      <c r="G102" s="28" t="str">
        <f>'SIMULARE PE PRODUS'!V114</f>
        <v/>
      </c>
      <c r="H102" s="28">
        <f>'SIMULARE PE PRODUS'!W114</f>
        <v>0.15591783567134265</v>
      </c>
      <c r="I102" s="59">
        <v>0</v>
      </c>
      <c r="J102" s="59">
        <v>0</v>
      </c>
      <c r="K102" s="60">
        <f>'SIMULARE PE PRODUS'!AC114</f>
        <v>0.15591783567134265</v>
      </c>
      <c r="L102" s="60" t="str">
        <f>'SIMULARE PE PRODUS'!AD114</f>
        <v/>
      </c>
      <c r="M102" s="60">
        <f>'SIMULARE PE PRODUS'!AE114</f>
        <v>0.15591783567134265</v>
      </c>
      <c r="N102" s="59">
        <v>0</v>
      </c>
      <c r="O102" s="59">
        <v>0</v>
      </c>
      <c r="P102" s="61">
        <f>'SIMULARE PE PRODUS'!AK114</f>
        <v>0.15591783567134265</v>
      </c>
      <c r="Q102" s="61" t="str">
        <f>'SIMULARE PE PRODUS'!AL114</f>
        <v/>
      </c>
      <c r="R102" s="61">
        <f>'SIMULARE PE PRODUS'!AM114</f>
        <v>0.15591783567134265</v>
      </c>
      <c r="S102" s="59">
        <v>0</v>
      </c>
      <c r="T102" s="59">
        <v>0</v>
      </c>
      <c r="U102" s="62">
        <f>'SIMULARE PE PRODUS'!AS114</f>
        <v>0.15591783567134265</v>
      </c>
      <c r="V102" s="62" t="str">
        <f>'SIMULARE PE PRODUS'!AT114</f>
        <v/>
      </c>
      <c r="W102" s="62">
        <f>'SIMULARE PE PRODUS'!AU114</f>
        <v>0.15591783567134265</v>
      </c>
      <c r="X102" s="59">
        <v>0</v>
      </c>
      <c r="Y102" s="59">
        <v>0</v>
      </c>
      <c r="Z102" s="63">
        <f>'SIMULARE PE PRODUS'!BA114</f>
        <v>0.15591783567134265</v>
      </c>
      <c r="AA102" s="63" t="str">
        <f>'SIMULARE PE PRODUS'!BB114</f>
        <v/>
      </c>
      <c r="AB102" s="63">
        <f>'SIMULARE PE PRODUS'!BC114</f>
        <v>0.15591783567134265</v>
      </c>
    </row>
    <row r="103" spans="1:28" x14ac:dyDescent="0.2">
      <c r="A103" s="26">
        <v>98</v>
      </c>
      <c r="B103" s="26" t="s">
        <v>251</v>
      </c>
      <c r="C103" s="26" t="s">
        <v>108</v>
      </c>
      <c r="D103" s="41">
        <f>'SIMULARE PE PRODUS'!P212</f>
        <v>17</v>
      </c>
      <c r="E103" s="41">
        <f>'SIMULARE PE PRODUS'!Q212</f>
        <v>20</v>
      </c>
      <c r="F103" s="28">
        <f>'SIMULARE PE PRODUS'!U212</f>
        <v>0.40000833550637865</v>
      </c>
      <c r="G103" s="28">
        <f>'SIMULARE PE PRODUS'!V212</f>
        <v>0.4518917696117648</v>
      </c>
      <c r="H103" s="28">
        <f>'SIMULARE PE PRODUS'!W212</f>
        <v>0.38410800417000007</v>
      </c>
      <c r="I103" s="59">
        <v>0</v>
      </c>
      <c r="J103" s="59">
        <v>0</v>
      </c>
      <c r="K103" s="60">
        <f>'SIMULARE PE PRODUS'!AC212</f>
        <v>0.40000833550637865</v>
      </c>
      <c r="L103" s="60">
        <f>'SIMULARE PE PRODUS'!AD212</f>
        <v>0.4518917696117648</v>
      </c>
      <c r="M103" s="60">
        <f>'SIMULARE PE PRODUS'!AE212</f>
        <v>0.38410800417000007</v>
      </c>
      <c r="N103" s="59">
        <v>0</v>
      </c>
      <c r="O103" s="59">
        <v>0</v>
      </c>
      <c r="P103" s="61">
        <f>'SIMULARE PE PRODUS'!AK212</f>
        <v>0.40000833550637865</v>
      </c>
      <c r="Q103" s="61">
        <f>'SIMULARE PE PRODUS'!AL212</f>
        <v>0.4518917696117648</v>
      </c>
      <c r="R103" s="61">
        <f>'SIMULARE PE PRODUS'!AM212</f>
        <v>0.38410800417000007</v>
      </c>
      <c r="S103" s="59">
        <v>0</v>
      </c>
      <c r="T103" s="59">
        <v>0</v>
      </c>
      <c r="U103" s="62">
        <f>'SIMULARE PE PRODUS'!AS212</f>
        <v>0.40000833550637865</v>
      </c>
      <c r="V103" s="62">
        <f>'SIMULARE PE PRODUS'!AT212</f>
        <v>0.4518917696117648</v>
      </c>
      <c r="W103" s="62">
        <f>'SIMULARE PE PRODUS'!AU212</f>
        <v>0.38410800417000007</v>
      </c>
      <c r="X103" s="59">
        <v>0</v>
      </c>
      <c r="Y103" s="59">
        <v>0</v>
      </c>
      <c r="Z103" s="63">
        <f>'SIMULARE PE PRODUS'!BA212</f>
        <v>0.40000833550637865</v>
      </c>
      <c r="AA103" s="63">
        <f>'SIMULARE PE PRODUS'!BB212</f>
        <v>0.4518917696117648</v>
      </c>
      <c r="AB103" s="63">
        <f>'SIMULARE PE PRODUS'!BC212</f>
        <v>0.38410800417000007</v>
      </c>
    </row>
    <row r="104" spans="1:28" x14ac:dyDescent="0.2">
      <c r="A104" s="26">
        <v>99</v>
      </c>
      <c r="B104" s="26" t="s">
        <v>246</v>
      </c>
      <c r="C104" s="26" t="s">
        <v>103</v>
      </c>
      <c r="D104" s="41">
        <f>'SIMULARE PE PRODUS'!P109</f>
        <v>29.9</v>
      </c>
      <c r="E104" s="41">
        <f>'SIMULARE PE PRODUS'!Q109</f>
        <v>0</v>
      </c>
      <c r="F104" s="28">
        <f>'SIMULARE PE PRODUS'!U109</f>
        <v>0.64295919732441476</v>
      </c>
      <c r="G104" s="28">
        <f>'SIMULARE PE PRODUS'!V109</f>
        <v>0.64295919732441476</v>
      </c>
      <c r="H104" s="28" t="str">
        <f>'SIMULARE PE PRODUS'!W109</f>
        <v/>
      </c>
      <c r="I104" s="59">
        <v>0</v>
      </c>
      <c r="J104" s="59">
        <v>0</v>
      </c>
      <c r="K104" s="60">
        <f>'SIMULARE PE PRODUS'!AC109</f>
        <v>0.64295919732441476</v>
      </c>
      <c r="L104" s="60">
        <f>'SIMULARE PE PRODUS'!AD109</f>
        <v>0.64295919732441476</v>
      </c>
      <c r="M104" s="60" t="str">
        <f>'SIMULARE PE PRODUS'!AE109</f>
        <v/>
      </c>
      <c r="N104" s="59">
        <v>0</v>
      </c>
      <c r="O104" s="59">
        <v>0</v>
      </c>
      <c r="P104" s="61">
        <f>'SIMULARE PE PRODUS'!AK109</f>
        <v>0.64295919732441476</v>
      </c>
      <c r="Q104" s="61">
        <f>'SIMULARE PE PRODUS'!AL109</f>
        <v>0.64295919732441476</v>
      </c>
      <c r="R104" s="61" t="str">
        <f>'SIMULARE PE PRODUS'!AM109</f>
        <v/>
      </c>
      <c r="S104" s="59">
        <v>0</v>
      </c>
      <c r="T104" s="59">
        <v>0</v>
      </c>
      <c r="U104" s="62">
        <f>'SIMULARE PE PRODUS'!AS109</f>
        <v>0.64295919732441476</v>
      </c>
      <c r="V104" s="62">
        <f>'SIMULARE PE PRODUS'!AT109</f>
        <v>0.64295919732441476</v>
      </c>
      <c r="W104" s="62" t="str">
        <f>'SIMULARE PE PRODUS'!AU109</f>
        <v/>
      </c>
      <c r="X104" s="59">
        <v>0</v>
      </c>
      <c r="Y104" s="59">
        <v>0</v>
      </c>
      <c r="Z104" s="63">
        <f>'SIMULARE PE PRODUS'!BA109</f>
        <v>0.64295919732441476</v>
      </c>
      <c r="AA104" s="63">
        <f>'SIMULARE PE PRODUS'!BB109</f>
        <v>0.64295919732441476</v>
      </c>
      <c r="AB104" s="63" t="str">
        <f>'SIMULARE PE PRODUS'!BC109</f>
        <v/>
      </c>
    </row>
    <row r="105" spans="1:28" x14ac:dyDescent="0.2">
      <c r="A105" s="26">
        <v>100</v>
      </c>
      <c r="B105" s="26" t="s">
        <v>242</v>
      </c>
      <c r="C105" s="26" t="s">
        <v>105</v>
      </c>
      <c r="D105" s="41">
        <f>'SIMULARE PE PRODUS'!P173</f>
        <v>14</v>
      </c>
      <c r="E105" s="41">
        <f>'SIMULARE PE PRODUS'!Q173</f>
        <v>16</v>
      </c>
      <c r="F105" s="28">
        <f>'SIMULARE PE PRODUS'!U173</f>
        <v>0.41025366958825943</v>
      </c>
      <c r="G105" s="28">
        <f>'SIMULARE PE PRODUS'!V173</f>
        <v>0.35361825000000013</v>
      </c>
      <c r="H105" s="28">
        <f>'SIMULARE PE PRODUS'!W173</f>
        <v>0.45517284375000006</v>
      </c>
      <c r="I105" s="59">
        <v>0</v>
      </c>
      <c r="J105" s="59">
        <v>0</v>
      </c>
      <c r="K105" s="60">
        <f>'SIMULARE PE PRODUS'!AC173</f>
        <v>0.41025366958825943</v>
      </c>
      <c r="L105" s="60">
        <f>'SIMULARE PE PRODUS'!AD173</f>
        <v>0.35361825000000013</v>
      </c>
      <c r="M105" s="60">
        <f>'SIMULARE PE PRODUS'!AE173</f>
        <v>0.45517284375000006</v>
      </c>
      <c r="N105" s="59">
        <v>0</v>
      </c>
      <c r="O105" s="59">
        <v>0</v>
      </c>
      <c r="P105" s="61">
        <f>'SIMULARE PE PRODUS'!AK173</f>
        <v>0.39731697698658053</v>
      </c>
      <c r="Q105" s="61">
        <f>'SIMULARE PE PRODUS'!AL173</f>
        <v>0.34166014492753638</v>
      </c>
      <c r="R105" s="61">
        <f>'SIMULARE PE PRODUS'!AM173</f>
        <v>0.44164739235900558</v>
      </c>
      <c r="S105" s="59">
        <v>0</v>
      </c>
      <c r="T105" s="59">
        <v>0</v>
      </c>
      <c r="U105" s="62">
        <f>'SIMULARE PE PRODUS'!AS173</f>
        <v>0.3849310738342317</v>
      </c>
      <c r="V105" s="62">
        <f>'SIMULARE PE PRODUS'!AT173</f>
        <v>0.33026387591727829</v>
      </c>
      <c r="W105" s="62">
        <f>'SIMULARE PE PRODUS'!AU173</f>
        <v>0.42865011771630379</v>
      </c>
      <c r="X105" s="59">
        <v>0</v>
      </c>
      <c r="Y105" s="59">
        <v>0</v>
      </c>
      <c r="Z105" s="63">
        <f>'SIMULARE PE PRODUS'!BA173</f>
        <v>0.3849310738342317</v>
      </c>
      <c r="AA105" s="63">
        <f>'SIMULARE PE PRODUS'!BB173</f>
        <v>0.33026387591727829</v>
      </c>
      <c r="AB105" s="63">
        <f>'SIMULARE PE PRODUS'!BC173</f>
        <v>0.42865011771630379</v>
      </c>
    </row>
    <row r="106" spans="1:28" x14ac:dyDescent="0.2">
      <c r="A106" s="26">
        <v>101</v>
      </c>
      <c r="B106" s="26" t="s">
        <v>243</v>
      </c>
      <c r="C106" s="26" t="s">
        <v>100</v>
      </c>
      <c r="D106" s="41">
        <f>'SIMULARE PE PRODUS'!P66</f>
        <v>101.24</v>
      </c>
      <c r="E106" s="41">
        <f>'SIMULARE PE PRODUS'!Q66</f>
        <v>121.24</v>
      </c>
      <c r="F106" s="28">
        <f>'SIMULARE PE PRODUS'!U66</f>
        <v>0.51527269943312703</v>
      </c>
      <c r="G106" s="28">
        <f>'SIMULARE PE PRODUS'!V66</f>
        <v>0.54182721643619136</v>
      </c>
      <c r="H106" s="28">
        <f>'SIMULARE PE PRODUS'!W66</f>
        <v>0.45244628333883213</v>
      </c>
      <c r="I106" s="59">
        <v>3.5</v>
      </c>
      <c r="J106" s="59">
        <v>0</v>
      </c>
      <c r="K106" s="60">
        <f>'SIMULARE PE PRODUS'!AC66</f>
        <v>0.50189775119282998</v>
      </c>
      <c r="L106" s="60">
        <f>'SIMULARE PE PRODUS'!AD66</f>
        <v>0.5224744012953616</v>
      </c>
      <c r="M106" s="60">
        <f>'SIMULARE PE PRODUS'!AE66</f>
        <v>0.45151524727961151</v>
      </c>
      <c r="N106" s="59">
        <v>0</v>
      </c>
      <c r="O106" s="59">
        <v>0</v>
      </c>
      <c r="P106" s="61">
        <f>'SIMULARE PE PRODUS'!AK66</f>
        <v>0.50189775119282998</v>
      </c>
      <c r="Q106" s="61">
        <f>'SIMULARE PE PRODUS'!AL66</f>
        <v>0.5224744012953616</v>
      </c>
      <c r="R106" s="61">
        <f>'SIMULARE PE PRODUS'!AM66</f>
        <v>0.45151524727961151</v>
      </c>
      <c r="S106" s="59">
        <v>0</v>
      </c>
      <c r="T106" s="59">
        <v>0</v>
      </c>
      <c r="U106" s="62">
        <f>'SIMULARE PE PRODUS'!AS66</f>
        <v>0.49961212465043348</v>
      </c>
      <c r="V106" s="62">
        <f>'SIMULARE PE PRODUS'!AT66</f>
        <v>0.51999798456725765</v>
      </c>
      <c r="W106" s="62">
        <f>'SIMULARE PE PRODUS'!AU66</f>
        <v>0.44966462326420192</v>
      </c>
      <c r="X106" s="59">
        <v>4.5</v>
      </c>
      <c r="Y106" s="59">
        <v>0</v>
      </c>
      <c r="Z106" s="63">
        <f>'SIMULARE PE PRODUS'!BA66</f>
        <v>0.48492199926050344</v>
      </c>
      <c r="AA106" s="63">
        <f>'SIMULARE PE PRODUS'!BB66</f>
        <v>0.49872340569142659</v>
      </c>
      <c r="AB106" s="63">
        <f>'SIMULARE PE PRODUS'!BC66</f>
        <v>0.44966462326420192</v>
      </c>
    </row>
    <row r="107" spans="1:28" x14ac:dyDescent="0.2">
      <c r="A107" s="26">
        <v>102</v>
      </c>
      <c r="B107" s="26" t="s">
        <v>247</v>
      </c>
      <c r="C107" s="26" t="s">
        <v>103</v>
      </c>
      <c r="D107" s="41">
        <f>'SIMULARE PE PRODUS'!P110</f>
        <v>13.99</v>
      </c>
      <c r="E107" s="41">
        <f>'SIMULARE PE PRODUS'!Q110</f>
        <v>0</v>
      </c>
      <c r="F107" s="28">
        <f>'SIMULARE PE PRODUS'!U110</f>
        <v>0.28936160591908511</v>
      </c>
      <c r="G107" s="28">
        <f>'SIMULARE PE PRODUS'!V110</f>
        <v>0.28936160591908511</v>
      </c>
      <c r="H107" s="28" t="str">
        <f>'SIMULARE PE PRODUS'!W110</f>
        <v/>
      </c>
      <c r="I107" s="59">
        <v>0</v>
      </c>
      <c r="J107" s="59">
        <v>0</v>
      </c>
      <c r="K107" s="60">
        <f>'SIMULARE PE PRODUS'!AC110</f>
        <v>0.28936160591908511</v>
      </c>
      <c r="L107" s="60">
        <f>'SIMULARE PE PRODUS'!AD110</f>
        <v>0.28936160591908511</v>
      </c>
      <c r="M107" s="60" t="str">
        <f>'SIMULARE PE PRODUS'!AE110</f>
        <v/>
      </c>
      <c r="N107" s="59">
        <v>0</v>
      </c>
      <c r="O107" s="59">
        <v>0</v>
      </c>
      <c r="P107" s="61">
        <f>'SIMULARE PE PRODUS'!AK110</f>
        <v>0.27005796309593061</v>
      </c>
      <c r="Q107" s="61">
        <f>'SIMULARE PE PRODUS'!AL110</f>
        <v>0.27005796309593061</v>
      </c>
      <c r="R107" s="61" t="str">
        <f>'SIMULARE PE PRODUS'!AM110</f>
        <v/>
      </c>
      <c r="S107" s="59">
        <v>0</v>
      </c>
      <c r="T107" s="59">
        <v>0</v>
      </c>
      <c r="U107" s="62">
        <f>'SIMULARE PE PRODUS'!AS110</f>
        <v>0.26134079191788251</v>
      </c>
      <c r="V107" s="62">
        <f>'SIMULARE PE PRODUS'!AT110</f>
        <v>0.26134079191788251</v>
      </c>
      <c r="W107" s="62" t="str">
        <f>'SIMULARE PE PRODUS'!AU110</f>
        <v/>
      </c>
      <c r="X107" s="59">
        <v>0</v>
      </c>
      <c r="Y107" s="59">
        <v>0</v>
      </c>
      <c r="Z107" s="63">
        <f>'SIMULARE PE PRODUS'!BA110</f>
        <v>0.25316878466591619</v>
      </c>
      <c r="AA107" s="63">
        <f>'SIMULARE PE PRODUS'!BB110</f>
        <v>0.25316878466591619</v>
      </c>
      <c r="AB107" s="63" t="str">
        <f>'SIMULARE PE PRODUS'!BC110</f>
        <v/>
      </c>
    </row>
    <row r="108" spans="1:28" x14ac:dyDescent="0.2">
      <c r="A108" s="26">
        <v>103</v>
      </c>
      <c r="B108" s="26" t="s">
        <v>244</v>
      </c>
      <c r="C108" s="26" t="s">
        <v>105</v>
      </c>
      <c r="D108" s="41">
        <f>'SIMULARE PE PRODUS'!P174</f>
        <v>18</v>
      </c>
      <c r="E108" s="41">
        <f>'SIMULARE PE PRODUS'!Q174</f>
        <v>0</v>
      </c>
      <c r="F108" s="28">
        <f>'SIMULARE PE PRODUS'!U174</f>
        <v>0.39855475000000007</v>
      </c>
      <c r="G108" s="28">
        <f>'SIMULARE PE PRODUS'!V174</f>
        <v>0.39855475000000007</v>
      </c>
      <c r="H108" s="28" t="str">
        <f>'SIMULARE PE PRODUS'!W174</f>
        <v/>
      </c>
      <c r="I108" s="59">
        <v>0</v>
      </c>
      <c r="J108" s="59">
        <v>0</v>
      </c>
      <c r="K108" s="60">
        <f>'SIMULARE PE PRODUS'!AC174</f>
        <v>0.39855475000000007</v>
      </c>
      <c r="L108" s="60">
        <f>'SIMULARE PE PRODUS'!AD174</f>
        <v>0.39855475000000007</v>
      </c>
      <c r="M108" s="60" t="str">
        <f>'SIMULARE PE PRODUS'!AE174</f>
        <v/>
      </c>
      <c r="N108" s="59">
        <v>0</v>
      </c>
      <c r="O108" s="59">
        <v>0</v>
      </c>
      <c r="P108" s="61">
        <f>'SIMULARE PE PRODUS'!AK174</f>
        <v>0.38799272579772853</v>
      </c>
      <c r="Q108" s="61">
        <f>'SIMULARE PE PRODUS'!AL174</f>
        <v>0.38799272579772853</v>
      </c>
      <c r="R108" s="61" t="str">
        <f>'SIMULARE PE PRODUS'!AM174</f>
        <v/>
      </c>
      <c r="S108" s="59">
        <v>0</v>
      </c>
      <c r="T108" s="59">
        <v>0</v>
      </c>
      <c r="U108" s="62">
        <f>'SIMULARE PE PRODUS'!AS174</f>
        <v>0.37777701421800952</v>
      </c>
      <c r="V108" s="62">
        <f>'SIMULARE PE PRODUS'!AT174</f>
        <v>0.37777701421800952</v>
      </c>
      <c r="W108" s="62" t="str">
        <f>'SIMULARE PE PRODUS'!AU174</f>
        <v/>
      </c>
      <c r="X108" s="59">
        <v>0</v>
      </c>
      <c r="Y108" s="59">
        <v>0</v>
      </c>
      <c r="Z108" s="63">
        <f>'SIMULARE PE PRODUS'!BA174</f>
        <v>0.37777701421800952</v>
      </c>
      <c r="AA108" s="63">
        <f>'SIMULARE PE PRODUS'!BB174</f>
        <v>0.37777701421800952</v>
      </c>
      <c r="AB108" s="63" t="str">
        <f>'SIMULARE PE PRODUS'!BC174</f>
        <v/>
      </c>
    </row>
    <row r="109" spans="1:28" x14ac:dyDescent="0.2">
      <c r="A109" s="26">
        <v>104</v>
      </c>
      <c r="B109" s="26" t="s">
        <v>245</v>
      </c>
      <c r="C109" s="26" t="s">
        <v>105</v>
      </c>
      <c r="D109" s="41">
        <f>'SIMULARE PE PRODUS'!P175</f>
        <v>18</v>
      </c>
      <c r="E109" s="41">
        <f>'SIMULARE PE PRODUS'!Q175</f>
        <v>0</v>
      </c>
      <c r="F109" s="28">
        <f>'SIMULARE PE PRODUS'!U175</f>
        <v>0.39855475000000012</v>
      </c>
      <c r="G109" s="28">
        <f>'SIMULARE PE PRODUS'!V175</f>
        <v>0.39855475000000012</v>
      </c>
      <c r="H109" s="28" t="str">
        <f>'SIMULARE PE PRODUS'!W175</f>
        <v/>
      </c>
      <c r="I109" s="59">
        <v>0</v>
      </c>
      <c r="J109" s="59">
        <v>0</v>
      </c>
      <c r="K109" s="60">
        <f>'SIMULARE PE PRODUS'!AC175</f>
        <v>0.39855475000000012</v>
      </c>
      <c r="L109" s="60">
        <f>'SIMULARE PE PRODUS'!AD175</f>
        <v>0.39855475000000012</v>
      </c>
      <c r="M109" s="60" t="str">
        <f>'SIMULARE PE PRODUS'!AE175</f>
        <v/>
      </c>
      <c r="N109" s="59">
        <v>0</v>
      </c>
      <c r="O109" s="59">
        <v>0</v>
      </c>
      <c r="P109" s="61">
        <f>'SIMULARE PE PRODUS'!AK175</f>
        <v>0.38799272579772853</v>
      </c>
      <c r="Q109" s="61">
        <f>'SIMULARE PE PRODUS'!AL175</f>
        <v>0.38799272579772853</v>
      </c>
      <c r="R109" s="61" t="str">
        <f>'SIMULARE PE PRODUS'!AM175</f>
        <v/>
      </c>
      <c r="S109" s="59">
        <v>0</v>
      </c>
      <c r="T109" s="59">
        <v>0</v>
      </c>
      <c r="U109" s="62">
        <f>'SIMULARE PE PRODUS'!AS175</f>
        <v>0.37777701421800952</v>
      </c>
      <c r="V109" s="62">
        <f>'SIMULARE PE PRODUS'!AT175</f>
        <v>0.37777701421800952</v>
      </c>
      <c r="W109" s="62" t="str">
        <f>'SIMULARE PE PRODUS'!AU175</f>
        <v/>
      </c>
      <c r="X109" s="59">
        <v>0</v>
      </c>
      <c r="Y109" s="59">
        <v>0</v>
      </c>
      <c r="Z109" s="63">
        <f>'SIMULARE PE PRODUS'!BA175</f>
        <v>0.37777701421800952</v>
      </c>
      <c r="AA109" s="63">
        <f>'SIMULARE PE PRODUS'!BB175</f>
        <v>0.37777701421800952</v>
      </c>
      <c r="AB109" s="63" t="str">
        <f>'SIMULARE PE PRODUS'!BC175</f>
        <v/>
      </c>
    </row>
    <row r="110" spans="1:28" x14ac:dyDescent="0.2">
      <c r="A110" s="26">
        <v>105</v>
      </c>
      <c r="B110" s="26" t="s">
        <v>237</v>
      </c>
      <c r="C110" s="26" t="s">
        <v>106</v>
      </c>
      <c r="D110" s="41">
        <f>'SIMULARE PE PRODUS'!P200</f>
        <v>5</v>
      </c>
      <c r="E110" s="41">
        <f>'SIMULARE PE PRODUS'!Q200</f>
        <v>5</v>
      </c>
      <c r="F110" s="28">
        <f>'SIMULARE PE PRODUS'!U200</f>
        <v>0.31560764087999998</v>
      </c>
      <c r="G110" s="28">
        <f>'SIMULARE PE PRODUS'!V200</f>
        <v>0.31560764088000004</v>
      </c>
      <c r="H110" s="28">
        <f>'SIMULARE PE PRODUS'!W200</f>
        <v>0.31560764088000004</v>
      </c>
      <c r="I110" s="59">
        <v>0</v>
      </c>
      <c r="J110" s="59">
        <v>0</v>
      </c>
      <c r="K110" s="60">
        <f>'SIMULARE PE PRODUS'!AC200</f>
        <v>0.31560764087999998</v>
      </c>
      <c r="L110" s="60">
        <f>'SIMULARE PE PRODUS'!AD200</f>
        <v>0.31560764088000004</v>
      </c>
      <c r="M110" s="60">
        <f>'SIMULARE PE PRODUS'!AE200</f>
        <v>0.31560764088000004</v>
      </c>
      <c r="N110" s="59">
        <v>0</v>
      </c>
      <c r="O110" s="59">
        <v>0</v>
      </c>
      <c r="P110" s="61">
        <f>'SIMULARE PE PRODUS'!AK200</f>
        <v>0.31560764087999998</v>
      </c>
      <c r="Q110" s="61">
        <f>'SIMULARE PE PRODUS'!AL200</f>
        <v>0.31560764088000004</v>
      </c>
      <c r="R110" s="61">
        <f>'SIMULARE PE PRODUS'!AM200</f>
        <v>0.31560764088000004</v>
      </c>
      <c r="S110" s="59">
        <v>0</v>
      </c>
      <c r="T110" s="59">
        <v>0</v>
      </c>
      <c r="U110" s="62">
        <f>'SIMULARE PE PRODUS'!AS200</f>
        <v>0.31560764087999998</v>
      </c>
      <c r="V110" s="62">
        <f>'SIMULARE PE PRODUS'!AT200</f>
        <v>0.31560764088000004</v>
      </c>
      <c r="W110" s="62">
        <f>'SIMULARE PE PRODUS'!AU200</f>
        <v>0.31560764088000004</v>
      </c>
      <c r="X110" s="59">
        <v>0</v>
      </c>
      <c r="Y110" s="59">
        <v>0</v>
      </c>
      <c r="Z110" s="63">
        <f>'SIMULARE PE PRODUS'!BA200</f>
        <v>0.31560764087999998</v>
      </c>
      <c r="AA110" s="63">
        <f>'SIMULARE PE PRODUS'!BB200</f>
        <v>0.31560764088000004</v>
      </c>
      <c r="AB110" s="63">
        <f>'SIMULARE PE PRODUS'!BC200</f>
        <v>0.31560764088000004</v>
      </c>
    </row>
    <row r="111" spans="1:28" x14ac:dyDescent="0.2">
      <c r="A111" s="26">
        <v>106</v>
      </c>
      <c r="B111" s="26" t="s">
        <v>275</v>
      </c>
      <c r="C111" s="26" t="s">
        <v>106</v>
      </c>
      <c r="D111" s="41">
        <f>'SIMULARE PE PRODUS'!P203</f>
        <v>2</v>
      </c>
      <c r="E111" s="41">
        <f>'SIMULARE PE PRODUS'!Q203</f>
        <v>2</v>
      </c>
      <c r="F111" s="28">
        <f>'SIMULARE PE PRODUS'!U203</f>
        <v>0.13692853440000002</v>
      </c>
      <c r="G111" s="28">
        <f>'SIMULARE PE PRODUS'!V203</f>
        <v>0.13692853440000002</v>
      </c>
      <c r="H111" s="28">
        <f>'SIMULARE PE PRODUS'!W203</f>
        <v>0.13692853440000002</v>
      </c>
      <c r="I111" s="59">
        <v>0</v>
      </c>
      <c r="J111" s="59">
        <v>0</v>
      </c>
      <c r="K111" s="60">
        <f>'SIMULARE PE PRODUS'!AC203</f>
        <v>0.13692853440000002</v>
      </c>
      <c r="L111" s="60">
        <f>'SIMULARE PE PRODUS'!AD203</f>
        <v>0.13692853440000002</v>
      </c>
      <c r="M111" s="60">
        <f>'SIMULARE PE PRODUS'!AE203</f>
        <v>0.13692853440000002</v>
      </c>
      <c r="N111" s="59">
        <v>0</v>
      </c>
      <c r="O111" s="59">
        <v>0</v>
      </c>
      <c r="P111" s="61">
        <f>'SIMULARE PE PRODUS'!AK203</f>
        <v>0.13692853440000002</v>
      </c>
      <c r="Q111" s="61">
        <f>'SIMULARE PE PRODUS'!AL203</f>
        <v>0.13692853440000002</v>
      </c>
      <c r="R111" s="61">
        <f>'SIMULARE PE PRODUS'!AM203</f>
        <v>0.13692853440000002</v>
      </c>
      <c r="S111" s="59">
        <v>0</v>
      </c>
      <c r="T111" s="59">
        <v>0</v>
      </c>
      <c r="U111" s="62">
        <f>'SIMULARE PE PRODUS'!AS203</f>
        <v>0.13692853440000002</v>
      </c>
      <c r="V111" s="62">
        <f>'SIMULARE PE PRODUS'!AT203</f>
        <v>0.13692853440000002</v>
      </c>
      <c r="W111" s="62">
        <f>'SIMULARE PE PRODUS'!AU203</f>
        <v>0.13692853440000002</v>
      </c>
      <c r="X111" s="59">
        <v>0</v>
      </c>
      <c r="Y111" s="59">
        <v>0</v>
      </c>
      <c r="Z111" s="63">
        <f>'SIMULARE PE PRODUS'!BA203</f>
        <v>0.13692853440000002</v>
      </c>
      <c r="AA111" s="63">
        <f>'SIMULARE PE PRODUS'!BB203</f>
        <v>0.13692853440000002</v>
      </c>
      <c r="AB111" s="63">
        <f>'SIMULARE PE PRODUS'!BC203</f>
        <v>0.13692853440000002</v>
      </c>
    </row>
    <row r="112" spans="1:28" x14ac:dyDescent="0.2">
      <c r="A112" s="26">
        <v>107</v>
      </c>
      <c r="B112" s="26" t="s">
        <v>248</v>
      </c>
      <c r="C112" s="26" t="s">
        <v>102</v>
      </c>
      <c r="D112" s="41">
        <f>'SIMULARE PE PRODUS'!P87</f>
        <v>5.0999999999999996</v>
      </c>
      <c r="E112" s="41">
        <f>'SIMULARE PE PRODUS'!Q87</f>
        <v>5.3</v>
      </c>
      <c r="F112" s="28">
        <f>'SIMULARE PE PRODUS'!U87</f>
        <v>0.3065774641043707</v>
      </c>
      <c r="G112" s="28">
        <f>'SIMULARE PE PRODUS'!V87</f>
        <v>0.31123529411764711</v>
      </c>
      <c r="H112" s="28">
        <f>'SIMULARE PE PRODUS'!W87</f>
        <v>0.29949056603773588</v>
      </c>
      <c r="I112" s="59">
        <v>0</v>
      </c>
      <c r="J112" s="59">
        <v>0</v>
      </c>
      <c r="K112" s="60">
        <f>'SIMULARE PE PRODUS'!AC87</f>
        <v>0.29517520058010344</v>
      </c>
      <c r="L112" s="60">
        <f>'SIMULARE PE PRODUS'!AD87</f>
        <v>0.29949056603773588</v>
      </c>
      <c r="M112" s="60">
        <f>'SIMULARE PE PRODUS'!AE87</f>
        <v>0.28860000000000002</v>
      </c>
      <c r="N112" s="59">
        <v>0</v>
      </c>
      <c r="O112" s="59">
        <v>0</v>
      </c>
      <c r="P112" s="61">
        <f>'SIMULARE PE PRODUS'!AK87</f>
        <v>0.29517520058010344</v>
      </c>
      <c r="Q112" s="61">
        <f>'SIMULARE PE PRODUS'!AL87</f>
        <v>0.29949056603773588</v>
      </c>
      <c r="R112" s="61">
        <f>'SIMULARE PE PRODUS'!AM87</f>
        <v>0.28860000000000002</v>
      </c>
      <c r="S112" s="59">
        <v>0</v>
      </c>
      <c r="T112" s="59">
        <v>0</v>
      </c>
      <c r="U112" s="62">
        <f>'SIMULARE PE PRODUS'!AS87</f>
        <v>0.29517520058010344</v>
      </c>
      <c r="V112" s="62">
        <f>'SIMULARE PE PRODUS'!AT87</f>
        <v>0.29949056603773588</v>
      </c>
      <c r="W112" s="62">
        <f>'SIMULARE PE PRODUS'!AU87</f>
        <v>0.28860000000000002</v>
      </c>
      <c r="X112" s="59">
        <v>0</v>
      </c>
      <c r="Y112" s="59">
        <v>0</v>
      </c>
      <c r="Z112" s="63">
        <f>'SIMULARE PE PRODUS'!BA87</f>
        <v>0.28490358369287666</v>
      </c>
      <c r="AA112" s="63">
        <f>'SIMULARE PE PRODUS'!BB87</f>
        <v>0.28912568306010933</v>
      </c>
      <c r="AB112" s="63">
        <f>'SIMULARE PE PRODUS'!BC87</f>
        <v>0.27847368421052632</v>
      </c>
    </row>
    <row r="113" spans="1:28" x14ac:dyDescent="0.2">
      <c r="A113" s="26">
        <v>108</v>
      </c>
      <c r="B113" s="26" t="s">
        <v>249</v>
      </c>
      <c r="C113" s="26" t="s">
        <v>97</v>
      </c>
      <c r="D113" s="41">
        <f>'SIMULARE PE PRODUS'!P40</f>
        <v>18</v>
      </c>
      <c r="E113" s="41">
        <f>'SIMULARE PE PRODUS'!Q40</f>
        <v>0</v>
      </c>
      <c r="F113" s="28">
        <f>'SIMULARE PE PRODUS'!U40</f>
        <v>0.30286732333333338</v>
      </c>
      <c r="G113" s="28">
        <f>'SIMULARE PE PRODUS'!V40</f>
        <v>0.30286732333333338</v>
      </c>
      <c r="H113" s="28" t="str">
        <f>'SIMULARE PE PRODUS'!W40</f>
        <v/>
      </c>
      <c r="I113" s="59">
        <v>0</v>
      </c>
      <c r="J113" s="59">
        <v>0</v>
      </c>
      <c r="K113" s="60">
        <f>'SIMULARE PE PRODUS'!AC40</f>
        <v>0.29468172000000004</v>
      </c>
      <c r="L113" s="60">
        <f>'SIMULARE PE PRODUS'!AD40</f>
        <v>0.29468172000000004</v>
      </c>
      <c r="M113" s="60" t="str">
        <f>'SIMULARE PE PRODUS'!AE40</f>
        <v/>
      </c>
      <c r="N113" s="59">
        <v>0</v>
      </c>
      <c r="O113" s="59">
        <v>0</v>
      </c>
      <c r="P113" s="61">
        <f>'SIMULARE PE PRODUS'!AK40</f>
        <v>0.29468172000000004</v>
      </c>
      <c r="Q113" s="61">
        <f>'SIMULARE PE PRODUS'!AL40</f>
        <v>0.29468172000000004</v>
      </c>
      <c r="R113" s="61" t="str">
        <f>'SIMULARE PE PRODUS'!AM40</f>
        <v/>
      </c>
      <c r="S113" s="59">
        <v>0</v>
      </c>
      <c r="T113" s="59">
        <v>0</v>
      </c>
      <c r="U113" s="62">
        <f>'SIMULARE PE PRODUS'!AS40</f>
        <v>0.28692693789473689</v>
      </c>
      <c r="V113" s="62">
        <f>'SIMULARE PE PRODUS'!AT40</f>
        <v>0.28692693789473689</v>
      </c>
      <c r="W113" s="62" t="str">
        <f>'SIMULARE PE PRODUS'!AU40</f>
        <v/>
      </c>
      <c r="X113" s="59">
        <v>0</v>
      </c>
      <c r="Y113" s="59">
        <v>0</v>
      </c>
      <c r="Z113" s="63">
        <f>'SIMULARE PE PRODUS'!BA40</f>
        <v>0.27956983692307696</v>
      </c>
      <c r="AA113" s="63">
        <f>'SIMULARE PE PRODUS'!BB40</f>
        <v>0.27956983692307696</v>
      </c>
      <c r="AB113" s="63" t="str">
        <f>'SIMULARE PE PRODUS'!BC40</f>
        <v/>
      </c>
    </row>
    <row r="114" spans="1:28" x14ac:dyDescent="0.2">
      <c r="A114" s="26">
        <v>109</v>
      </c>
      <c r="B114" s="26" t="s">
        <v>253</v>
      </c>
      <c r="C114" s="26" t="s">
        <v>103</v>
      </c>
      <c r="D114" s="41">
        <f>'SIMULARE PE PRODUS'!P111</f>
        <v>15.99</v>
      </c>
      <c r="E114" s="41">
        <f>'SIMULARE PE PRODUS'!Q111</f>
        <v>19.989999999999998</v>
      </c>
      <c r="F114" s="28">
        <f>'SIMULARE PE PRODUS'!U111</f>
        <v>0.5138630869880042</v>
      </c>
      <c r="G114" s="28">
        <f>'SIMULARE PE PRODUS'!V111</f>
        <v>0.56164128830519078</v>
      </c>
      <c r="H114" s="28">
        <f>'SIMULARE PE PRODUS'!W111</f>
        <v>0.4492568384192096</v>
      </c>
      <c r="I114" s="59">
        <v>0</v>
      </c>
      <c r="J114" s="59">
        <v>0</v>
      </c>
      <c r="K114" s="60">
        <f>'SIMULARE PE PRODUS'!AC111</f>
        <v>0.5138630869880042</v>
      </c>
      <c r="L114" s="60">
        <f>'SIMULARE PE PRODUS'!AD111</f>
        <v>0.56164128830519078</v>
      </c>
      <c r="M114" s="60">
        <f>'SIMULARE PE PRODUS'!AE111</f>
        <v>0.4492568384192096</v>
      </c>
      <c r="N114" s="59">
        <v>0</v>
      </c>
      <c r="O114" s="59">
        <v>0</v>
      </c>
      <c r="P114" s="61">
        <f>'SIMULARE PE PRODUS'!AK111</f>
        <v>0.48605171519299578</v>
      </c>
      <c r="Q114" s="61">
        <f>'SIMULARE PE PRODUS'!AL111</f>
        <v>0.52858412007062994</v>
      </c>
      <c r="R114" s="61">
        <f>'SIMULARE PE PRODUS'!AM111</f>
        <v>0.42785346355407333</v>
      </c>
      <c r="S114" s="59">
        <v>0</v>
      </c>
      <c r="T114" s="59">
        <v>0</v>
      </c>
      <c r="U114" s="62">
        <f>'SIMULARE PE PRODUS'!AS111</f>
        <v>0.47324519304038021</v>
      </c>
      <c r="V114" s="62">
        <f>'SIMULARE PE PRODUS'!AT111</f>
        <v>0.51347308176100637</v>
      </c>
      <c r="W114" s="62">
        <f>'SIMULARE PE PRODUS'!AU111</f>
        <v>0.41789875290832951</v>
      </c>
      <c r="X114" s="59">
        <v>0</v>
      </c>
      <c r="Y114" s="59">
        <v>0</v>
      </c>
      <c r="Z114" s="63">
        <f>'SIMULARE PE PRODUS'!BA111</f>
        <v>0.46109620041165544</v>
      </c>
      <c r="AA114" s="63">
        <f>'SIMULARE PE PRODUS'!BB111</f>
        <v>0.49920201222901622</v>
      </c>
      <c r="AB114" s="63">
        <f>'SIMULARE PE PRODUS'!BC111</f>
        <v>0.40839673487949069</v>
      </c>
    </row>
    <row r="115" spans="1:28" x14ac:dyDescent="0.2">
      <c r="A115" s="26">
        <v>110</v>
      </c>
      <c r="B115" s="26" t="s">
        <v>259</v>
      </c>
      <c r="C115" s="26" t="s">
        <v>103</v>
      </c>
      <c r="D115" s="41">
        <f>'SIMULARE PE PRODUS'!P113</f>
        <v>10.99</v>
      </c>
      <c r="E115" s="41">
        <f>'SIMULARE PE PRODUS'!Q113</f>
        <v>12.99</v>
      </c>
      <c r="F115" s="28">
        <f>'SIMULARE PE PRODUS'!U113</f>
        <v>0.46575988283915409</v>
      </c>
      <c r="G115" s="28">
        <f>'SIMULARE PE PRODUS'!V113</f>
        <v>0.48543130118289346</v>
      </c>
      <c r="H115" s="28">
        <f>'SIMULARE PE PRODUS'!W113</f>
        <v>0.41069207082371051</v>
      </c>
      <c r="I115" s="59">
        <v>0</v>
      </c>
      <c r="J115" s="59">
        <v>0</v>
      </c>
      <c r="K115" s="60">
        <f>'SIMULARE PE PRODUS'!AC113</f>
        <v>0.46575988283915409</v>
      </c>
      <c r="L115" s="60">
        <f>'SIMULARE PE PRODUS'!AD113</f>
        <v>0.48543130118289346</v>
      </c>
      <c r="M115" s="60">
        <f>'SIMULARE PE PRODUS'!AE113</f>
        <v>0.41069207082371051</v>
      </c>
      <c r="N115" s="59">
        <v>0</v>
      </c>
      <c r="O115" s="59">
        <v>0</v>
      </c>
      <c r="P115" s="61">
        <f>'SIMULARE PE PRODUS'!AK113</f>
        <v>0.42836195797833415</v>
      </c>
      <c r="Q115" s="61">
        <f>'SIMULARE PE PRODUS'!AL113</f>
        <v>0.44494495412844026</v>
      </c>
      <c r="R115" s="61">
        <f>'SIMULARE PE PRODUS'!AM113</f>
        <v>0.3813359542530379</v>
      </c>
      <c r="S115" s="59">
        <v>0</v>
      </c>
      <c r="T115" s="59">
        <v>0</v>
      </c>
      <c r="U115" s="62">
        <f>'SIMULARE PE PRODUS'!AS113</f>
        <v>0.41182820235168888</v>
      </c>
      <c r="V115" s="62">
        <f>'SIMULARE PE PRODUS'!AT113</f>
        <v>0.42713290632505996</v>
      </c>
      <c r="W115" s="62">
        <f>'SIMULARE PE PRODUS'!AU113</f>
        <v>0.36817736369910281</v>
      </c>
      <c r="X115" s="59">
        <v>0</v>
      </c>
      <c r="Y115" s="59">
        <v>0</v>
      </c>
      <c r="Z115" s="63">
        <f>'SIMULARE PE PRODUS'!BA113</f>
        <v>0.39652334179758342</v>
      </c>
      <c r="AA115" s="63">
        <f>'SIMULARE PE PRODUS'!BB113</f>
        <v>0.41069207082371045</v>
      </c>
      <c r="AB115" s="63">
        <f>'SIMULARE PE PRODUS'!BC113</f>
        <v>0.3558965977318212</v>
      </c>
    </row>
    <row r="116" spans="1:28" x14ac:dyDescent="0.2">
      <c r="A116" s="26">
        <v>111</v>
      </c>
      <c r="B116" s="26" t="s">
        <v>250</v>
      </c>
      <c r="C116" s="26" t="s">
        <v>105</v>
      </c>
      <c r="D116" s="41">
        <f>'SIMULARE PE PRODUS'!P176</f>
        <v>14</v>
      </c>
      <c r="E116" s="41">
        <f>'SIMULARE PE PRODUS'!Q176</f>
        <v>16</v>
      </c>
      <c r="F116" s="28">
        <f>'SIMULARE PE PRODUS'!U176</f>
        <v>0.4089454838709678</v>
      </c>
      <c r="G116" s="28">
        <f>'SIMULARE PE PRODUS'!V176</f>
        <v>0.35361825000000008</v>
      </c>
      <c r="H116" s="28">
        <f>'SIMULARE PE PRODUS'!W176</f>
        <v>0.45517284375</v>
      </c>
      <c r="I116" s="59">
        <v>0</v>
      </c>
      <c r="J116" s="59">
        <v>0</v>
      </c>
      <c r="K116" s="60">
        <f>'SIMULARE PE PRODUS'!AC176</f>
        <v>0.4089454838709678</v>
      </c>
      <c r="L116" s="60">
        <f>'SIMULARE PE PRODUS'!AD176</f>
        <v>0.35361825000000008</v>
      </c>
      <c r="M116" s="60">
        <f>'SIMULARE PE PRODUS'!AE176</f>
        <v>0.45517284375</v>
      </c>
      <c r="N116" s="59">
        <v>0</v>
      </c>
      <c r="O116" s="59">
        <v>0</v>
      </c>
      <c r="P116" s="61">
        <f>'SIMULARE PE PRODUS'!AK176</f>
        <v>0.39602842762929541</v>
      </c>
      <c r="Q116" s="61">
        <f>'SIMULARE PE PRODUS'!AL176</f>
        <v>0.34166014492753627</v>
      </c>
      <c r="R116" s="61">
        <f>'SIMULARE PE PRODUS'!AM176</f>
        <v>0.44164739235900552</v>
      </c>
      <c r="S116" s="59">
        <v>0</v>
      </c>
      <c r="T116" s="59">
        <v>0</v>
      </c>
      <c r="U116" s="62">
        <f>'SIMULARE PE PRODUS'!AS176</f>
        <v>0.38366264591439697</v>
      </c>
      <c r="V116" s="62">
        <f>'SIMULARE PE PRODUS'!AT176</f>
        <v>0.33026387591727824</v>
      </c>
      <c r="W116" s="62">
        <f>'SIMULARE PE PRODUS'!AU176</f>
        <v>0.42865011771630374</v>
      </c>
      <c r="X116" s="59">
        <v>0</v>
      </c>
      <c r="Y116" s="59">
        <v>0</v>
      </c>
      <c r="Z116" s="63">
        <f>'SIMULARE PE PRODUS'!BA176</f>
        <v>0.38366264591439697</v>
      </c>
      <c r="AA116" s="63">
        <f>'SIMULARE PE PRODUS'!BB176</f>
        <v>0.33026387591727824</v>
      </c>
      <c r="AB116" s="63">
        <f>'SIMULARE PE PRODUS'!BC176</f>
        <v>0.42865011771630374</v>
      </c>
    </row>
    <row r="117" spans="1:28" x14ac:dyDescent="0.2">
      <c r="A117" s="26">
        <v>112</v>
      </c>
      <c r="B117" s="26" t="s">
        <v>255</v>
      </c>
      <c r="C117" s="26" t="s">
        <v>103</v>
      </c>
      <c r="D117" s="41">
        <f>'SIMULARE PE PRODUS'!P112</f>
        <v>11.99</v>
      </c>
      <c r="E117" s="41">
        <f>'SIMULARE PE PRODUS'!Q112</f>
        <v>12.99</v>
      </c>
      <c r="F117" s="28">
        <f>'SIMULARE PE PRODUS'!U112</f>
        <v>0.34907209125238936</v>
      </c>
      <c r="G117" s="28">
        <f>'SIMULARE PE PRODUS'!V112</f>
        <v>0.36733944954128439</v>
      </c>
      <c r="H117" s="28">
        <f>'SIMULARE PE PRODUS'!W112</f>
        <v>0.33906081601231713</v>
      </c>
      <c r="I117" s="59">
        <v>0</v>
      </c>
      <c r="J117" s="59">
        <v>0</v>
      </c>
      <c r="K117" s="60">
        <f>'SIMULARE PE PRODUS'!AC112</f>
        <v>0.34907209125238936</v>
      </c>
      <c r="L117" s="60">
        <f>'SIMULARE PE PRODUS'!AD112</f>
        <v>0.36733944954128439</v>
      </c>
      <c r="M117" s="60">
        <f>'SIMULARE PE PRODUS'!AE112</f>
        <v>0.33906081601231713</v>
      </c>
      <c r="N117" s="59">
        <v>0</v>
      </c>
      <c r="O117" s="59">
        <v>0</v>
      </c>
      <c r="P117" s="61">
        <f>'SIMULARE PE PRODUS'!AK112</f>
        <v>0.32343791847254827</v>
      </c>
      <c r="Q117" s="61">
        <f>'SIMULARE PE PRODUS'!AL112</f>
        <v>0.33906081601231719</v>
      </c>
      <c r="R117" s="61">
        <f>'SIMULARE PE PRODUS'!AM112</f>
        <v>0.31482487491065048</v>
      </c>
      <c r="S117" s="59">
        <v>0</v>
      </c>
      <c r="T117" s="59">
        <v>0</v>
      </c>
      <c r="U117" s="62">
        <f>'SIMULARE PE PRODUS'!AS112</f>
        <v>0.31198266642592259</v>
      </c>
      <c r="V117" s="62">
        <f>'SIMULARE PE PRODUS'!AT112</f>
        <v>0.32649369903632319</v>
      </c>
      <c r="W117" s="62">
        <f>'SIMULARE PE PRODUS'!AU112</f>
        <v>0.3039613526570048</v>
      </c>
      <c r="X117" s="59">
        <v>0</v>
      </c>
      <c r="Y117" s="59">
        <v>0</v>
      </c>
      <c r="Z117" s="63">
        <f>'SIMULARE PE PRODUS'!BA112</f>
        <v>0.30131108398502998</v>
      </c>
      <c r="AA117" s="63">
        <f>'SIMULARE PE PRODUS'!BB112</f>
        <v>0.31482487491065048</v>
      </c>
      <c r="AB117" s="63">
        <f>'SIMULARE PE PRODUS'!BC112</f>
        <v>0.29382254836557703</v>
      </c>
    </row>
    <row r="118" spans="1:28" x14ac:dyDescent="0.2">
      <c r="A118" s="26">
        <v>113</v>
      </c>
      <c r="B118" s="26" t="s">
        <v>252</v>
      </c>
      <c r="C118" s="26" t="s">
        <v>102</v>
      </c>
      <c r="D118" s="41">
        <f>'SIMULARE PE PRODUS'!P88</f>
        <v>5.0999999999999996</v>
      </c>
      <c r="E118" s="41">
        <f>'SIMULARE PE PRODUS'!Q88</f>
        <v>5.3</v>
      </c>
      <c r="F118" s="28">
        <f>'SIMULARE PE PRODUS'!U88</f>
        <v>0.2329799686321988</v>
      </c>
      <c r="G118" s="28">
        <f>'SIMULARE PE PRODUS'!V88</f>
        <v>0.23549411764705888</v>
      </c>
      <c r="H118" s="28">
        <f>'SIMULARE PE PRODUS'!W88</f>
        <v>0.22660754716981138</v>
      </c>
      <c r="I118" s="59">
        <v>0</v>
      </c>
      <c r="J118" s="59">
        <v>0</v>
      </c>
      <c r="K118" s="60">
        <f>'SIMULARE PE PRODUS'!AC88</f>
        <v>0.22427862686409034</v>
      </c>
      <c r="L118" s="60">
        <f>'SIMULARE PE PRODUS'!AD88</f>
        <v>0.22660754716981138</v>
      </c>
      <c r="M118" s="60">
        <f>'SIMULARE PE PRODUS'!AE88</f>
        <v>0.21836727272727277</v>
      </c>
      <c r="N118" s="59">
        <v>0</v>
      </c>
      <c r="O118" s="59">
        <v>0</v>
      </c>
      <c r="P118" s="61">
        <f>'SIMULARE PE PRODUS'!AK88</f>
        <v>0.22427862686409034</v>
      </c>
      <c r="Q118" s="61">
        <f>'SIMULARE PE PRODUS'!AL88</f>
        <v>0.22660754716981138</v>
      </c>
      <c r="R118" s="61">
        <f>'SIMULARE PE PRODUS'!AM88</f>
        <v>0.21836727272727277</v>
      </c>
      <c r="S118" s="59">
        <v>0</v>
      </c>
      <c r="T118" s="59">
        <v>0</v>
      </c>
      <c r="U118" s="62">
        <f>'SIMULARE PE PRODUS'!AS88</f>
        <v>0.22427862686409034</v>
      </c>
      <c r="V118" s="62">
        <f>'SIMULARE PE PRODUS'!AT88</f>
        <v>0.22660754716981138</v>
      </c>
      <c r="W118" s="62">
        <f>'SIMULARE PE PRODUS'!AU88</f>
        <v>0.21836727272727277</v>
      </c>
      <c r="X118" s="59">
        <v>0</v>
      </c>
      <c r="Y118" s="59">
        <v>0</v>
      </c>
      <c r="Z118" s="63">
        <f>'SIMULARE PE PRODUS'!BA88</f>
        <v>0.21648631234994978</v>
      </c>
      <c r="AA118" s="63">
        <f>'SIMULARE PE PRODUS'!BB88</f>
        <v>0.21876502732240438</v>
      </c>
      <c r="AB118" s="63">
        <f>'SIMULARE PE PRODUS'!BC88</f>
        <v>0.21070526315789476</v>
      </c>
    </row>
    <row r="119" spans="1:28" x14ac:dyDescent="0.2">
      <c r="A119" s="26">
        <v>114</v>
      </c>
      <c r="B119" s="26" t="s">
        <v>254</v>
      </c>
      <c r="C119" s="26" t="s">
        <v>104</v>
      </c>
      <c r="D119" s="41">
        <f>'SIMULARE PE PRODUS'!P131</f>
        <v>17</v>
      </c>
      <c r="E119" s="41">
        <f>'SIMULARE PE PRODUS'!Q131</f>
        <v>18</v>
      </c>
      <c r="F119" s="28">
        <f>'SIMULARE PE PRODUS'!U131</f>
        <v>0.47733658842579557</v>
      </c>
      <c r="G119" s="28">
        <f>'SIMULARE PE PRODUS'!V131</f>
        <v>0.48637653529411767</v>
      </c>
      <c r="H119" s="28">
        <f>'SIMULARE PE PRODUS'!W131</f>
        <v>0.45935561666666663</v>
      </c>
      <c r="I119" s="59">
        <v>0</v>
      </c>
      <c r="J119" s="59">
        <v>0</v>
      </c>
      <c r="K119" s="60">
        <f>'SIMULARE PE PRODUS'!AC131</f>
        <v>0.47733658842579557</v>
      </c>
      <c r="L119" s="60">
        <f>'SIMULARE PE PRODUS'!AD131</f>
        <v>0.48637653529411767</v>
      </c>
      <c r="M119" s="60">
        <f>'SIMULARE PE PRODUS'!AE131</f>
        <v>0.45935561666666663</v>
      </c>
      <c r="N119" s="59">
        <v>0</v>
      </c>
      <c r="O119" s="59">
        <v>0</v>
      </c>
      <c r="P119" s="61">
        <f>'SIMULARE PE PRODUS'!AK131</f>
        <v>0.47054541619820944</v>
      </c>
      <c r="Q119" s="61">
        <f>'SIMULARE PE PRODUS'!AL131</f>
        <v>0.47932760000000002</v>
      </c>
      <c r="R119" s="61">
        <f>'SIMULARE PE PRODUS'!AM131</f>
        <v>0.45306307397260276</v>
      </c>
      <c r="S119" s="59">
        <v>0</v>
      </c>
      <c r="T119" s="59">
        <v>0</v>
      </c>
      <c r="U119" s="62">
        <f>'SIMULARE PE PRODUS'!AS131</f>
        <v>0.46394477227316272</v>
      </c>
      <c r="V119" s="62">
        <f>'SIMULARE PE PRODUS'!AT131</f>
        <v>0.47248006285714284</v>
      </c>
      <c r="W119" s="62">
        <f>'SIMULARE PE PRODUS'!AU131</f>
        <v>0.44694060000000002</v>
      </c>
      <c r="X119" s="59">
        <v>0</v>
      </c>
      <c r="Y119" s="59">
        <v>0</v>
      </c>
      <c r="Z119" s="63">
        <f>'SIMULARE PE PRODUS'!BA131</f>
        <v>0.46394477227316272</v>
      </c>
      <c r="AA119" s="63">
        <f>'SIMULARE PE PRODUS'!BB131</f>
        <v>0.47248006285714284</v>
      </c>
      <c r="AB119" s="63">
        <f>'SIMULARE PE PRODUS'!BC131</f>
        <v>0.44694060000000002</v>
      </c>
    </row>
    <row r="120" spans="1:28" x14ac:dyDescent="0.2">
      <c r="A120" s="26">
        <v>115</v>
      </c>
      <c r="B120" s="26" t="s">
        <v>256</v>
      </c>
      <c r="C120" s="26" t="s">
        <v>106</v>
      </c>
      <c r="D120" s="41">
        <f>'SIMULARE PE PRODUS'!P201</f>
        <v>3</v>
      </c>
      <c r="E120" s="41">
        <f>'SIMULARE PE PRODUS'!Q201</f>
        <v>3</v>
      </c>
      <c r="F120" s="28">
        <f>'SIMULARE PE PRODUS'!U201</f>
        <v>0.23310000000000003</v>
      </c>
      <c r="G120" s="28">
        <f>'SIMULARE PE PRODUS'!V201</f>
        <v>0.23310000000000003</v>
      </c>
      <c r="H120" s="28">
        <f>'SIMULARE PE PRODUS'!W201</f>
        <v>0.23310000000000003</v>
      </c>
      <c r="I120" s="59">
        <v>0</v>
      </c>
      <c r="J120" s="59">
        <v>0</v>
      </c>
      <c r="K120" s="60">
        <f>'SIMULARE PE PRODUS'!AC201</f>
        <v>0.23310000000000003</v>
      </c>
      <c r="L120" s="60">
        <f>'SIMULARE PE PRODUS'!AD201</f>
        <v>0.23310000000000003</v>
      </c>
      <c r="M120" s="60">
        <f>'SIMULARE PE PRODUS'!AE201</f>
        <v>0.23310000000000003</v>
      </c>
      <c r="N120" s="59">
        <v>0</v>
      </c>
      <c r="O120" s="59">
        <v>0</v>
      </c>
      <c r="P120" s="61">
        <f>'SIMULARE PE PRODUS'!AK201</f>
        <v>0.23310000000000003</v>
      </c>
      <c r="Q120" s="61">
        <f>'SIMULARE PE PRODUS'!AL201</f>
        <v>0.23310000000000003</v>
      </c>
      <c r="R120" s="61">
        <f>'SIMULARE PE PRODUS'!AM201</f>
        <v>0.23310000000000003</v>
      </c>
      <c r="S120" s="59">
        <v>0</v>
      </c>
      <c r="T120" s="59">
        <v>0</v>
      </c>
      <c r="U120" s="62">
        <f>'SIMULARE PE PRODUS'!AS201</f>
        <v>0.23310000000000003</v>
      </c>
      <c r="V120" s="62">
        <f>'SIMULARE PE PRODUS'!AT201</f>
        <v>0.23310000000000003</v>
      </c>
      <c r="W120" s="62">
        <f>'SIMULARE PE PRODUS'!AU201</f>
        <v>0.23310000000000003</v>
      </c>
      <c r="X120" s="59">
        <v>0</v>
      </c>
      <c r="Y120" s="59">
        <v>0</v>
      </c>
      <c r="Z120" s="63">
        <f>'SIMULARE PE PRODUS'!BA201</f>
        <v>0.23310000000000003</v>
      </c>
      <c r="AA120" s="63">
        <f>'SIMULARE PE PRODUS'!BB201</f>
        <v>0.23310000000000003</v>
      </c>
      <c r="AB120" s="63">
        <f>'SIMULARE PE PRODUS'!BC201</f>
        <v>0.23310000000000003</v>
      </c>
    </row>
    <row r="121" spans="1:28" x14ac:dyDescent="0.2">
      <c r="A121" s="26">
        <v>116</v>
      </c>
      <c r="B121" s="26" t="s">
        <v>257</v>
      </c>
      <c r="C121" s="26" t="s">
        <v>102</v>
      </c>
      <c r="D121" s="41">
        <f>'SIMULARE PE PRODUS'!P89</f>
        <v>5.0999999999999996</v>
      </c>
      <c r="E121" s="41">
        <f>'SIMULARE PE PRODUS'!Q89</f>
        <v>0</v>
      </c>
      <c r="F121" s="28">
        <f>'SIMULARE PE PRODUS'!U89</f>
        <v>0.19675294117647063</v>
      </c>
      <c r="G121" s="28">
        <f>'SIMULARE PE PRODUS'!V89</f>
        <v>0.19675294117647063</v>
      </c>
      <c r="H121" s="28" t="str">
        <f>'SIMULARE PE PRODUS'!W89</f>
        <v/>
      </c>
      <c r="I121" s="59">
        <v>0</v>
      </c>
      <c r="J121" s="59">
        <v>0</v>
      </c>
      <c r="K121" s="60">
        <f>'SIMULARE PE PRODUS'!AC89</f>
        <v>0.1893283018867925</v>
      </c>
      <c r="L121" s="60">
        <f>'SIMULARE PE PRODUS'!AD89</f>
        <v>0.1893283018867925</v>
      </c>
      <c r="M121" s="60" t="str">
        <f>'SIMULARE PE PRODUS'!AE89</f>
        <v/>
      </c>
      <c r="N121" s="59">
        <v>0</v>
      </c>
      <c r="O121" s="59">
        <v>0</v>
      </c>
      <c r="P121" s="61">
        <f>'SIMULARE PE PRODUS'!AK89</f>
        <v>0.1893283018867925</v>
      </c>
      <c r="Q121" s="61">
        <f>'SIMULARE PE PRODUS'!AL89</f>
        <v>0.1893283018867925</v>
      </c>
      <c r="R121" s="61" t="str">
        <f>'SIMULARE PE PRODUS'!AM89</f>
        <v/>
      </c>
      <c r="S121" s="59">
        <v>0</v>
      </c>
      <c r="T121" s="59">
        <v>0</v>
      </c>
      <c r="U121" s="62">
        <f>'SIMULARE PE PRODUS'!AS89</f>
        <v>0.1893283018867925</v>
      </c>
      <c r="V121" s="62">
        <f>'SIMULARE PE PRODUS'!AT89</f>
        <v>0.1893283018867925</v>
      </c>
      <c r="W121" s="62" t="str">
        <f>'SIMULARE PE PRODUS'!AU89</f>
        <v/>
      </c>
      <c r="X121" s="59">
        <v>0</v>
      </c>
      <c r="Y121" s="59">
        <v>0</v>
      </c>
      <c r="Z121" s="63">
        <f>'SIMULARE PE PRODUS'!BA89</f>
        <v>0.18277595628415302</v>
      </c>
      <c r="AA121" s="63">
        <f>'SIMULARE PE PRODUS'!BB89</f>
        <v>0.18277595628415302</v>
      </c>
      <c r="AB121" s="63" t="str">
        <f>'SIMULARE PE PRODUS'!BC89</f>
        <v/>
      </c>
    </row>
    <row r="122" spans="1:28" x14ac:dyDescent="0.2">
      <c r="A122" s="26">
        <v>117</v>
      </c>
      <c r="B122" s="26" t="s">
        <v>268</v>
      </c>
      <c r="C122" s="26" t="s">
        <v>108</v>
      </c>
      <c r="D122" s="41">
        <f>'SIMULARE PE PRODUS'!P213</f>
        <v>20</v>
      </c>
      <c r="E122" s="41">
        <f>'SIMULARE PE PRODUS'!Q213</f>
        <v>23</v>
      </c>
      <c r="F122" s="28">
        <f>'SIMULARE PE PRODUS'!U213</f>
        <v>0.37534963264623028</v>
      </c>
      <c r="G122" s="28">
        <f>'SIMULARE PE PRODUS'!V213</f>
        <v>0.41563945560000004</v>
      </c>
      <c r="H122" s="28">
        <f>'SIMULARE PE PRODUS'!W213</f>
        <v>0.36142561356521741</v>
      </c>
      <c r="I122" s="59">
        <v>0</v>
      </c>
      <c r="J122" s="59">
        <v>0</v>
      </c>
      <c r="K122" s="60">
        <f>'SIMULARE PE PRODUS'!AC213</f>
        <v>0.37534963264623028</v>
      </c>
      <c r="L122" s="60">
        <f>'SIMULARE PE PRODUS'!AD213</f>
        <v>0.41563945560000004</v>
      </c>
      <c r="M122" s="60">
        <f>'SIMULARE PE PRODUS'!AE213</f>
        <v>0.36142561356521741</v>
      </c>
      <c r="N122" s="59">
        <v>0</v>
      </c>
      <c r="O122" s="59">
        <v>0</v>
      </c>
      <c r="P122" s="61">
        <f>'SIMULARE PE PRODUS'!AK213</f>
        <v>0.37534963264623028</v>
      </c>
      <c r="Q122" s="61">
        <f>'SIMULARE PE PRODUS'!AL213</f>
        <v>0.41563945560000004</v>
      </c>
      <c r="R122" s="61">
        <f>'SIMULARE PE PRODUS'!AM213</f>
        <v>0.36142561356521741</v>
      </c>
      <c r="S122" s="59">
        <v>0</v>
      </c>
      <c r="T122" s="59">
        <v>0</v>
      </c>
      <c r="U122" s="62">
        <f>'SIMULARE PE PRODUS'!AS213</f>
        <v>0.37534963264623028</v>
      </c>
      <c r="V122" s="62">
        <f>'SIMULARE PE PRODUS'!AT213</f>
        <v>0.41563945560000004</v>
      </c>
      <c r="W122" s="62">
        <f>'SIMULARE PE PRODUS'!AU213</f>
        <v>0.36142561356521741</v>
      </c>
      <c r="X122" s="59">
        <v>0</v>
      </c>
      <c r="Y122" s="59">
        <v>0</v>
      </c>
      <c r="Z122" s="63">
        <f>'SIMULARE PE PRODUS'!BA213</f>
        <v>0.37534963264623028</v>
      </c>
      <c r="AA122" s="63">
        <f>'SIMULARE PE PRODUS'!BB213</f>
        <v>0.41563945560000004</v>
      </c>
      <c r="AB122" s="63">
        <f>'SIMULARE PE PRODUS'!BC213</f>
        <v>0.36142561356521741</v>
      </c>
    </row>
    <row r="123" spans="1:28" x14ac:dyDescent="0.2">
      <c r="A123" s="26">
        <v>118</v>
      </c>
      <c r="B123" s="26" t="s">
        <v>258</v>
      </c>
      <c r="C123" s="26" t="s">
        <v>105</v>
      </c>
      <c r="D123" s="41">
        <f>'SIMULARE PE PRODUS'!P177</f>
        <v>16</v>
      </c>
      <c r="E123" s="41">
        <f>'SIMULARE PE PRODUS'!Q177</f>
        <v>16</v>
      </c>
      <c r="F123" s="28">
        <f>'SIMULARE PE PRODUS'!U177</f>
        <v>0.45615105206250006</v>
      </c>
      <c r="G123" s="28">
        <f>'SIMULARE PE PRODUS'!V177</f>
        <v>0.45615105206250006</v>
      </c>
      <c r="H123" s="28" t="str">
        <f>'SIMULARE PE PRODUS'!W177</f>
        <v/>
      </c>
      <c r="I123" s="59">
        <v>0</v>
      </c>
      <c r="J123" s="59">
        <v>0</v>
      </c>
      <c r="K123" s="60">
        <f>'SIMULARE PE PRODUS'!AC177</f>
        <v>0.45615105206250006</v>
      </c>
      <c r="L123" s="60">
        <f>'SIMULARE PE PRODUS'!AD177</f>
        <v>0.45615105206250006</v>
      </c>
      <c r="M123" s="60" t="str">
        <f>'SIMULARE PE PRODUS'!AE177</f>
        <v/>
      </c>
      <c r="N123" s="59">
        <v>0</v>
      </c>
      <c r="O123" s="59">
        <v>0</v>
      </c>
      <c r="P123" s="61">
        <f>'SIMULARE PE PRODUS'!AK177</f>
        <v>0.4295713262507358</v>
      </c>
      <c r="Q123" s="61">
        <f>'SIMULARE PE PRODUS'!AL177</f>
        <v>0.4295713262507358</v>
      </c>
      <c r="R123" s="61" t="str">
        <f>'SIMULARE PE PRODUS'!AM177</f>
        <v/>
      </c>
      <c r="S123" s="59">
        <v>0</v>
      </c>
      <c r="T123" s="59">
        <v>0</v>
      </c>
      <c r="U123" s="62">
        <f>'SIMULARE PE PRODUS'!AS177</f>
        <v>0.41729084236706693</v>
      </c>
      <c r="V123" s="62">
        <f>'SIMULARE PE PRODUS'!AT177</f>
        <v>0.41729084236706693</v>
      </c>
      <c r="W123" s="62" t="str">
        <f>'SIMULARE PE PRODUS'!AU177</f>
        <v/>
      </c>
      <c r="X123" s="59">
        <v>0</v>
      </c>
      <c r="Y123" s="59">
        <v>0</v>
      </c>
      <c r="Z123" s="63">
        <f>'SIMULARE PE PRODUS'!BA177</f>
        <v>0.41729084236706693</v>
      </c>
      <c r="AA123" s="63">
        <f>'SIMULARE PE PRODUS'!BB177</f>
        <v>0.41729084236706693</v>
      </c>
      <c r="AB123" s="63" t="str">
        <f>'SIMULARE PE PRODUS'!BC177</f>
        <v/>
      </c>
    </row>
    <row r="124" spans="1:28" x14ac:dyDescent="0.2">
      <c r="A124" s="26">
        <v>119</v>
      </c>
      <c r="B124" s="26" t="s">
        <v>261</v>
      </c>
      <c r="C124" s="26" t="s">
        <v>106</v>
      </c>
      <c r="D124" s="41">
        <f>'SIMULARE PE PRODUS'!P202</f>
        <v>5</v>
      </c>
      <c r="E124" s="41">
        <f>'SIMULARE PE PRODUS'!Q202</f>
        <v>5</v>
      </c>
      <c r="F124" s="28">
        <f>'SIMULARE PE PRODUS'!U202</f>
        <v>0.109224</v>
      </c>
      <c r="G124" s="28">
        <f>'SIMULARE PE PRODUS'!V202</f>
        <v>0.109224</v>
      </c>
      <c r="H124" s="28">
        <f>'SIMULARE PE PRODUS'!W202</f>
        <v>0.10922400000000003</v>
      </c>
      <c r="I124" s="59">
        <v>0</v>
      </c>
      <c r="J124" s="59">
        <v>0</v>
      </c>
      <c r="K124" s="60">
        <f>'SIMULARE PE PRODUS'!AC202</f>
        <v>0.109224</v>
      </c>
      <c r="L124" s="60">
        <f>'SIMULARE PE PRODUS'!AD202</f>
        <v>0.109224</v>
      </c>
      <c r="M124" s="60">
        <f>'SIMULARE PE PRODUS'!AE202</f>
        <v>0.10922400000000003</v>
      </c>
      <c r="N124" s="59">
        <v>0</v>
      </c>
      <c r="O124" s="59">
        <v>0</v>
      </c>
      <c r="P124" s="61">
        <f>'SIMULARE PE PRODUS'!AK202</f>
        <v>0.109224</v>
      </c>
      <c r="Q124" s="61">
        <f>'SIMULARE PE PRODUS'!AL202</f>
        <v>0.109224</v>
      </c>
      <c r="R124" s="61">
        <f>'SIMULARE PE PRODUS'!AM202</f>
        <v>0.10922400000000003</v>
      </c>
      <c r="S124" s="59">
        <v>0</v>
      </c>
      <c r="T124" s="59">
        <v>0</v>
      </c>
      <c r="U124" s="62">
        <f>'SIMULARE PE PRODUS'!AS202</f>
        <v>0.109224</v>
      </c>
      <c r="V124" s="62">
        <f>'SIMULARE PE PRODUS'!AT202</f>
        <v>0.109224</v>
      </c>
      <c r="W124" s="62">
        <f>'SIMULARE PE PRODUS'!AU202</f>
        <v>0.10922400000000003</v>
      </c>
      <c r="X124" s="59">
        <v>0</v>
      </c>
      <c r="Y124" s="59">
        <v>0</v>
      </c>
      <c r="Z124" s="63">
        <f>'SIMULARE PE PRODUS'!BA202</f>
        <v>0.109224</v>
      </c>
      <c r="AA124" s="63">
        <f>'SIMULARE PE PRODUS'!BB202</f>
        <v>0.109224</v>
      </c>
      <c r="AB124" s="63">
        <f>'SIMULARE PE PRODUS'!BC202</f>
        <v>0.10922400000000003</v>
      </c>
    </row>
    <row r="125" spans="1:28" x14ac:dyDescent="0.2">
      <c r="A125" s="26">
        <v>120</v>
      </c>
      <c r="B125" s="26" t="s">
        <v>262</v>
      </c>
      <c r="C125" s="26" t="s">
        <v>105</v>
      </c>
      <c r="D125" s="41">
        <f>'SIMULARE PE PRODUS'!P178</f>
        <v>16</v>
      </c>
      <c r="E125" s="41">
        <f>'SIMULARE PE PRODUS'!Q178</f>
        <v>16</v>
      </c>
      <c r="F125" s="28">
        <f>'SIMULARE PE PRODUS'!U178</f>
        <v>0.45783564703125007</v>
      </c>
      <c r="G125" s="28">
        <f>'SIMULARE PE PRODUS'!V178</f>
        <v>0.45783564703125007</v>
      </c>
      <c r="H125" s="28" t="str">
        <f>'SIMULARE PE PRODUS'!W178</f>
        <v/>
      </c>
      <c r="I125" s="59">
        <v>0</v>
      </c>
      <c r="J125" s="59">
        <v>0</v>
      </c>
      <c r="K125" s="60">
        <f>'SIMULARE PE PRODUS'!AC178</f>
        <v>0.45783564703125007</v>
      </c>
      <c r="L125" s="60">
        <f>'SIMULARE PE PRODUS'!AD178</f>
        <v>0.45783564703125007</v>
      </c>
      <c r="M125" s="60" t="str">
        <f>'SIMULARE PE PRODUS'!AE178</f>
        <v/>
      </c>
      <c r="N125" s="59">
        <v>0</v>
      </c>
      <c r="O125" s="59">
        <v>0</v>
      </c>
      <c r="P125" s="61">
        <f>'SIMULARE PE PRODUS'!AK178</f>
        <v>0.43115776059446742</v>
      </c>
      <c r="Q125" s="61">
        <f>'SIMULARE PE PRODUS'!AL178</f>
        <v>0.43115776059446742</v>
      </c>
      <c r="R125" s="61" t="str">
        <f>'SIMULARE PE PRODUS'!AM178</f>
        <v/>
      </c>
      <c r="S125" s="59">
        <v>0</v>
      </c>
      <c r="T125" s="59">
        <v>0</v>
      </c>
      <c r="U125" s="62">
        <f>'SIMULARE PE PRODUS'!AS178</f>
        <v>0.41883192409948555</v>
      </c>
      <c r="V125" s="62">
        <f>'SIMULARE PE PRODUS'!AT178</f>
        <v>0.41883192409948555</v>
      </c>
      <c r="W125" s="62" t="str">
        <f>'SIMULARE PE PRODUS'!AU178</f>
        <v/>
      </c>
      <c r="X125" s="59">
        <v>0</v>
      </c>
      <c r="Y125" s="59">
        <v>0</v>
      </c>
      <c r="Z125" s="63">
        <f>'SIMULARE PE PRODUS'!BA178</f>
        <v>0.41883192409948555</v>
      </c>
      <c r="AA125" s="63">
        <f>'SIMULARE PE PRODUS'!BB178</f>
        <v>0.41883192409948555</v>
      </c>
      <c r="AB125" s="63" t="str">
        <f>'SIMULARE PE PRODUS'!BC178</f>
        <v/>
      </c>
    </row>
    <row r="126" spans="1:28" x14ac:dyDescent="0.2">
      <c r="A126" s="26">
        <v>121</v>
      </c>
      <c r="B126" s="26" t="s">
        <v>266</v>
      </c>
      <c r="C126" s="26" t="s">
        <v>103</v>
      </c>
      <c r="D126" s="41">
        <f>'SIMULARE PE PRODUS'!P115</f>
        <v>13.99</v>
      </c>
      <c r="E126" s="41">
        <f>'SIMULARE PE PRODUS'!Q115</f>
        <v>0</v>
      </c>
      <c r="F126" s="28">
        <f>'SIMULARE PE PRODUS'!U115</f>
        <v>0.28238577861386704</v>
      </c>
      <c r="G126" s="28">
        <f>'SIMULARE PE PRODUS'!V115</f>
        <v>0.28238577861386704</v>
      </c>
      <c r="H126" s="28" t="str">
        <f>'SIMULARE PE PRODUS'!W115</f>
        <v/>
      </c>
      <c r="I126" s="59">
        <v>0</v>
      </c>
      <c r="J126" s="59">
        <v>0</v>
      </c>
      <c r="K126" s="60">
        <f>'SIMULARE PE PRODUS'!AC115</f>
        <v>0.28238577861386704</v>
      </c>
      <c r="L126" s="60">
        <f>'SIMULARE PE PRODUS'!AD115</f>
        <v>0.28238577861386704</v>
      </c>
      <c r="M126" s="60" t="str">
        <f>'SIMULARE PE PRODUS'!AE115</f>
        <v/>
      </c>
      <c r="N126" s="59">
        <v>0</v>
      </c>
      <c r="O126" s="59">
        <v>0</v>
      </c>
      <c r="P126" s="61">
        <f>'SIMULARE PE PRODUS'!AK115</f>
        <v>0.26354750118799197</v>
      </c>
      <c r="Q126" s="61">
        <f>'SIMULARE PE PRODUS'!AL115</f>
        <v>0.26354750118799197</v>
      </c>
      <c r="R126" s="61" t="str">
        <f>'SIMULARE PE PRODUS'!AM115</f>
        <v/>
      </c>
      <c r="S126" s="59">
        <v>0</v>
      </c>
      <c r="T126" s="59">
        <v>0</v>
      </c>
      <c r="U126" s="62">
        <f>'SIMULARE PE PRODUS'!AS115</f>
        <v>0.25504048049115557</v>
      </c>
      <c r="V126" s="62">
        <f>'SIMULARE PE PRODUS'!AT115</f>
        <v>0.25504048049115557</v>
      </c>
      <c r="W126" s="62" t="str">
        <f>'SIMULARE PE PRODUS'!AU115</f>
        <v/>
      </c>
      <c r="X126" s="59">
        <v>0</v>
      </c>
      <c r="Y126" s="59">
        <v>0</v>
      </c>
      <c r="Z126" s="63">
        <f>'SIMULARE PE PRODUS'!BA115</f>
        <v>0.24706548110118826</v>
      </c>
      <c r="AA126" s="63">
        <f>'SIMULARE PE PRODUS'!BB115</f>
        <v>0.24706548110118826</v>
      </c>
      <c r="AB126" s="63" t="str">
        <f>'SIMULARE PE PRODUS'!BC115</f>
        <v/>
      </c>
    </row>
    <row r="127" spans="1:28" x14ac:dyDescent="0.2">
      <c r="A127" s="26">
        <v>122</v>
      </c>
      <c r="B127" s="26" t="s">
        <v>263</v>
      </c>
      <c r="C127" s="26" t="s">
        <v>97</v>
      </c>
      <c r="D127" s="41">
        <f>'SIMULARE PE PRODUS'!P41</f>
        <v>24.49</v>
      </c>
      <c r="E127" s="41">
        <f>'SIMULARE PE PRODUS'!Q41</f>
        <v>0</v>
      </c>
      <c r="F127" s="28">
        <f>'SIMULARE PE PRODUS'!U41</f>
        <v>0.44598675042874647</v>
      </c>
      <c r="G127" s="28">
        <f>'SIMULARE PE PRODUS'!V41</f>
        <v>0.44598675042874647</v>
      </c>
      <c r="H127" s="28" t="str">
        <f>'SIMULARE PE PRODUS'!W41</f>
        <v/>
      </c>
      <c r="I127" s="59">
        <v>0</v>
      </c>
      <c r="J127" s="59">
        <v>0</v>
      </c>
      <c r="K127" s="60">
        <f>'SIMULARE PE PRODUS'!AC41</f>
        <v>0.43706344609843945</v>
      </c>
      <c r="L127" s="60">
        <f>'SIMULARE PE PRODUS'!AD41</f>
        <v>0.43706344609843945</v>
      </c>
      <c r="M127" s="60" t="str">
        <f>'SIMULARE PE PRODUS'!AE41</f>
        <v/>
      </c>
      <c r="N127" s="59">
        <v>0</v>
      </c>
      <c r="O127" s="59">
        <v>0</v>
      </c>
      <c r="P127" s="61">
        <f>'SIMULARE PE PRODUS'!AK41</f>
        <v>0.43706344609843945</v>
      </c>
      <c r="Q127" s="61">
        <f>'SIMULARE PE PRODUS'!AL41</f>
        <v>0.43706344609843945</v>
      </c>
      <c r="R127" s="61" t="str">
        <f>'SIMULARE PE PRODUS'!AM41</f>
        <v/>
      </c>
      <c r="S127" s="59">
        <v>0</v>
      </c>
      <c r="T127" s="59">
        <v>0</v>
      </c>
      <c r="U127" s="62">
        <f>'SIMULARE PE PRODUS'!AS41</f>
        <v>0.42849021255394282</v>
      </c>
      <c r="V127" s="62">
        <f>'SIMULARE PE PRODUS'!AT41</f>
        <v>0.42849021255394282</v>
      </c>
      <c r="W127" s="62" t="str">
        <f>'SIMULARE PE PRODUS'!AU41</f>
        <v/>
      </c>
      <c r="X127" s="59">
        <v>0</v>
      </c>
      <c r="Y127" s="59">
        <v>0</v>
      </c>
      <c r="Z127" s="63">
        <f>'SIMULARE PE PRODUS'!BA41</f>
        <v>0.42024684563293585</v>
      </c>
      <c r="AA127" s="63">
        <f>'SIMULARE PE PRODUS'!BB41</f>
        <v>0.42024684563293585</v>
      </c>
      <c r="AB127" s="63" t="str">
        <f>'SIMULARE PE PRODUS'!BC41</f>
        <v/>
      </c>
    </row>
    <row r="128" spans="1:28" x14ac:dyDescent="0.2">
      <c r="A128" s="26">
        <v>123</v>
      </c>
      <c r="B128" s="26" t="s">
        <v>267</v>
      </c>
      <c r="C128" s="26" t="s">
        <v>103</v>
      </c>
      <c r="D128" s="41">
        <f>'SIMULARE PE PRODUS'!P116</f>
        <v>15.99</v>
      </c>
      <c r="E128" s="41">
        <f>'SIMULARE PE PRODUS'!Q116</f>
        <v>18.989999999999998</v>
      </c>
      <c r="F128" s="28">
        <f>'SIMULARE PE PRODUS'!U116</f>
        <v>0.44287581699346412</v>
      </c>
      <c r="G128" s="28">
        <f>'SIMULARE PE PRODUS'!V116</f>
        <v>0.47143839899937467</v>
      </c>
      <c r="H128" s="28">
        <f>'SIMULARE PE PRODUS'!W116</f>
        <v>0.39696155871511329</v>
      </c>
      <c r="I128" s="59">
        <v>0</v>
      </c>
      <c r="J128" s="59">
        <v>0</v>
      </c>
      <c r="K128" s="60">
        <f>'SIMULARE PE PRODUS'!AC116</f>
        <v>0.44287581699346412</v>
      </c>
      <c r="L128" s="60">
        <f>'SIMULARE PE PRODUS'!AD116</f>
        <v>0.47143839899937467</v>
      </c>
      <c r="M128" s="60">
        <f>'SIMULARE PE PRODUS'!AE116</f>
        <v>0.39696155871511329</v>
      </c>
      <c r="N128" s="59">
        <v>0</v>
      </c>
      <c r="O128" s="59">
        <v>0</v>
      </c>
      <c r="P128" s="61">
        <f>'SIMULARE PE PRODUS'!AK116</f>
        <v>0.4183006173267671</v>
      </c>
      <c r="Q128" s="61">
        <f>'SIMULARE PE PRODUS'!AL116</f>
        <v>0.44369040612124788</v>
      </c>
      <c r="R128" s="61">
        <f>'SIMULARE PE PRODUS'!AM116</f>
        <v>0.377103551775888</v>
      </c>
      <c r="S128" s="59">
        <v>0</v>
      </c>
      <c r="T128" s="59">
        <v>0</v>
      </c>
      <c r="U128" s="62">
        <f>'SIMULARE PE PRODUS'!AS116</f>
        <v>0.40700816629547149</v>
      </c>
      <c r="V128" s="62">
        <f>'SIMULARE PE PRODUS'!AT116</f>
        <v>0.43100628930817619</v>
      </c>
      <c r="W128" s="62">
        <f>'SIMULARE PE PRODUS'!AU116</f>
        <v>0.36790141532454862</v>
      </c>
      <c r="X128" s="59">
        <v>0</v>
      </c>
      <c r="Y128" s="59">
        <v>0</v>
      </c>
      <c r="Z128" s="63">
        <f>'SIMULARE PE PRODUS'!BA116</f>
        <v>0.39630939081290673</v>
      </c>
      <c r="AA128" s="63">
        <f>'SIMULARE PE PRODUS'!BB116</f>
        <v>0.4190272373540857</v>
      </c>
      <c r="AB128" s="63">
        <f>'SIMULARE PE PRODUS'!BC116</f>
        <v>0.35913768461171991</v>
      </c>
    </row>
    <row r="129" spans="1:28" x14ac:dyDescent="0.2">
      <c r="A129" s="26">
        <v>124</v>
      </c>
      <c r="B129" s="26" t="s">
        <v>264</v>
      </c>
      <c r="C129" s="26" t="s">
        <v>104</v>
      </c>
      <c r="D129" s="41">
        <f>'SIMULARE PE PRODUS'!P132</f>
        <v>17</v>
      </c>
      <c r="E129" s="41">
        <f>'SIMULARE PE PRODUS'!Q132</f>
        <v>18</v>
      </c>
      <c r="F129" s="28">
        <f>'SIMULARE PE PRODUS'!U132</f>
        <v>0.55790860468750003</v>
      </c>
      <c r="G129" s="28">
        <f>'SIMULARE PE PRODUS'!V132</f>
        <v>0.57282594705882361</v>
      </c>
      <c r="H129" s="28">
        <f>'SIMULARE PE PRODUS'!W132</f>
        <v>0.54100228333333333</v>
      </c>
      <c r="I129" s="59">
        <v>0</v>
      </c>
      <c r="J129" s="59">
        <v>0</v>
      </c>
      <c r="K129" s="60">
        <f>'SIMULARE PE PRODUS'!AC132</f>
        <v>0.55790860468750003</v>
      </c>
      <c r="L129" s="60">
        <f>'SIMULARE PE PRODUS'!AD132</f>
        <v>0.57282594705882361</v>
      </c>
      <c r="M129" s="60">
        <f>'SIMULARE PE PRODUS'!AE132</f>
        <v>0.54100228333333333</v>
      </c>
      <c r="N129" s="59">
        <v>0</v>
      </c>
      <c r="O129" s="59">
        <v>0</v>
      </c>
      <c r="P129" s="61">
        <f>'SIMULARE PE PRODUS'!AK132</f>
        <v>0.55003056277278561</v>
      </c>
      <c r="Q129" s="61">
        <f>'SIMULARE PE PRODUS'!AL132</f>
        <v>0.56452412173913047</v>
      </c>
      <c r="R129" s="61">
        <f>'SIMULARE PE PRODUS'!AM132</f>
        <v>0.53359129315068488</v>
      </c>
      <c r="S129" s="59">
        <v>0</v>
      </c>
      <c r="T129" s="59">
        <v>0</v>
      </c>
      <c r="U129" s="62">
        <f>'SIMULARE PE PRODUS'!AS132</f>
        <v>0.54237190936708868</v>
      </c>
      <c r="V129" s="62">
        <f>'SIMULARE PE PRODUS'!AT132</f>
        <v>0.55645949142857143</v>
      </c>
      <c r="W129" s="62">
        <f>'SIMULARE PE PRODUS'!AU132</f>
        <v>0.52638059999999998</v>
      </c>
      <c r="X129" s="59">
        <v>0</v>
      </c>
      <c r="Y129" s="59">
        <v>0</v>
      </c>
      <c r="Z129" s="63">
        <f>'SIMULARE PE PRODUS'!BA132</f>
        <v>0.54237190936708868</v>
      </c>
      <c r="AA129" s="63">
        <f>'SIMULARE PE PRODUS'!BB132</f>
        <v>0.55645949142857143</v>
      </c>
      <c r="AB129" s="63">
        <f>'SIMULARE PE PRODUS'!BC132</f>
        <v>0.52638059999999998</v>
      </c>
    </row>
    <row r="130" spans="1:28" x14ac:dyDescent="0.2">
      <c r="A130" s="26">
        <v>125</v>
      </c>
      <c r="B130" s="26" t="s">
        <v>265</v>
      </c>
      <c r="C130" s="26" t="s">
        <v>104</v>
      </c>
      <c r="D130" s="41">
        <f>'SIMULARE PE PRODUS'!P133</f>
        <v>20</v>
      </c>
      <c r="E130" s="41">
        <f>'SIMULARE PE PRODUS'!Q133</f>
        <v>21</v>
      </c>
      <c r="F130" s="28">
        <f>'SIMULARE PE PRODUS'!U133</f>
        <v>0.51475847458832347</v>
      </c>
      <c r="G130" s="28">
        <f>'SIMULARE PE PRODUS'!V133</f>
        <v>0.52497505500000008</v>
      </c>
      <c r="H130" s="28">
        <f>'SIMULARE PE PRODUS'!W133</f>
        <v>0.49997624285714293</v>
      </c>
      <c r="I130" s="59">
        <v>0</v>
      </c>
      <c r="J130" s="59">
        <v>0</v>
      </c>
      <c r="K130" s="60">
        <f>'SIMULARE PE PRODUS'!AC133</f>
        <v>0.51475847458832347</v>
      </c>
      <c r="L130" s="60">
        <f>'SIMULARE PE PRODUS'!AD133</f>
        <v>0.52497505500000008</v>
      </c>
      <c r="M130" s="60">
        <f>'SIMULARE PE PRODUS'!AE133</f>
        <v>0.49997624285714293</v>
      </c>
      <c r="N130" s="59">
        <v>0</v>
      </c>
      <c r="O130" s="59">
        <v>0</v>
      </c>
      <c r="P130" s="61">
        <f>'SIMULARE PE PRODUS'!AK133</f>
        <v>0.50852561016729836</v>
      </c>
      <c r="Q130" s="61">
        <f>'SIMULARE PE PRODUS'!AL133</f>
        <v>0.51849388148148146</v>
      </c>
      <c r="R130" s="61">
        <f>'SIMULARE PE PRODUS'!AM133</f>
        <v>0.49409416941176471</v>
      </c>
      <c r="S130" s="59">
        <v>0</v>
      </c>
      <c r="T130" s="59">
        <v>0</v>
      </c>
      <c r="U130" s="62">
        <f>'SIMULARE PE PRODUS'!AS133</f>
        <v>0.50244187912328775</v>
      </c>
      <c r="V130" s="62">
        <f>'SIMULARE PE PRODUS'!AT133</f>
        <v>0.51217078536585359</v>
      </c>
      <c r="W130" s="62">
        <f>'SIMULARE PE PRODUS'!AU133</f>
        <v>0.48834888837209312</v>
      </c>
      <c r="X130" s="59">
        <v>0</v>
      </c>
      <c r="Y130" s="59">
        <v>0</v>
      </c>
      <c r="Z130" s="63">
        <f>'SIMULARE PE PRODUS'!BA133</f>
        <v>0.50244187912328775</v>
      </c>
      <c r="AA130" s="63">
        <f>'SIMULARE PE PRODUS'!BB133</f>
        <v>0.51217078536585359</v>
      </c>
      <c r="AB130" s="63">
        <f>'SIMULARE PE PRODUS'!BC133</f>
        <v>0.48834888837209312</v>
      </c>
    </row>
    <row r="131" spans="1:28" x14ac:dyDescent="0.2">
      <c r="A131" s="26">
        <v>126</v>
      </c>
      <c r="B131" s="26" t="s">
        <v>276</v>
      </c>
      <c r="C131" s="26" t="s">
        <v>103</v>
      </c>
      <c r="D131" s="41">
        <f>'SIMULARE PE PRODUS'!P118</f>
        <v>10.99</v>
      </c>
      <c r="E131" s="41">
        <f>'SIMULARE PE PRODUS'!Q118</f>
        <v>12.99</v>
      </c>
      <c r="F131" s="28">
        <f>'SIMULARE PE PRODUS'!U118</f>
        <v>0.44723881848453628</v>
      </c>
      <c r="G131" s="28">
        <f>'SIMULARE PE PRODUS'!V118</f>
        <v>0.45911737943585074</v>
      </c>
      <c r="H131" s="28">
        <f>'SIMULARE PE PRODUS'!W118</f>
        <v>0.38842956120092376</v>
      </c>
      <c r="I131" s="59">
        <v>0</v>
      </c>
      <c r="J131" s="59">
        <v>0</v>
      </c>
      <c r="K131" s="60">
        <f>'SIMULARE PE PRODUS'!AC118</f>
        <v>0.44723881848453628</v>
      </c>
      <c r="L131" s="60">
        <f>'SIMULARE PE PRODUS'!AD118</f>
        <v>0.45911737943585074</v>
      </c>
      <c r="M131" s="60">
        <f>'SIMULARE PE PRODUS'!AE118</f>
        <v>0.38842956120092376</v>
      </c>
      <c r="N131" s="59">
        <v>0</v>
      </c>
      <c r="O131" s="59">
        <v>0</v>
      </c>
      <c r="P131" s="61">
        <f>'SIMULARE PE PRODUS'!AK118</f>
        <v>0.41082432937966246</v>
      </c>
      <c r="Q131" s="61">
        <f>'SIMULARE PE PRODUS'!AL118</f>
        <v>0.42082568807339449</v>
      </c>
      <c r="R131" s="61">
        <f>'SIMULARE PE PRODUS'!AM118</f>
        <v>0.36066476054324514</v>
      </c>
      <c r="S131" s="59">
        <v>0</v>
      </c>
      <c r="T131" s="59">
        <v>0</v>
      </c>
      <c r="U131" s="62">
        <f>'SIMULARE PE PRODUS'!AS118</f>
        <v>0.39475376905673143</v>
      </c>
      <c r="V131" s="62">
        <f>'SIMULARE PE PRODUS'!AT118</f>
        <v>0.40397918334667732</v>
      </c>
      <c r="W131" s="62">
        <f>'SIMULARE PE PRODUS'!AU118</f>
        <v>0.34821946169772255</v>
      </c>
      <c r="X131" s="59">
        <v>0</v>
      </c>
      <c r="Y131" s="59">
        <v>0</v>
      </c>
      <c r="Z131" s="63">
        <f>'SIMULARE PE PRODUS'!BA118</f>
        <v>0.37989316891520664</v>
      </c>
      <c r="AA131" s="63">
        <f>'SIMULARE PE PRODUS'!BB118</f>
        <v>0.38842956120092376</v>
      </c>
      <c r="AB131" s="63">
        <f>'SIMULARE PE PRODUS'!BC118</f>
        <v>0.3366044029352902</v>
      </c>
    </row>
    <row r="132" spans="1:28" x14ac:dyDescent="0.2">
      <c r="A132" s="26">
        <v>127</v>
      </c>
      <c r="B132" s="26" t="s">
        <v>270</v>
      </c>
      <c r="C132" s="26" t="s">
        <v>103</v>
      </c>
      <c r="D132" s="41">
        <f>'SIMULARE PE PRODUS'!P117</f>
        <v>0</v>
      </c>
      <c r="E132" s="41">
        <f>'SIMULARE PE PRODUS'!Q117</f>
        <v>10.49</v>
      </c>
      <c r="F132" s="28">
        <f>'SIMULARE PE PRODUS'!U117</f>
        <v>0.43093994280266917</v>
      </c>
      <c r="G132" s="28" t="str">
        <f>'SIMULARE PE PRODUS'!V117</f>
        <v/>
      </c>
      <c r="H132" s="28">
        <f>'SIMULARE PE PRODUS'!W117</f>
        <v>0.43093994280266917</v>
      </c>
      <c r="I132" s="59">
        <v>0</v>
      </c>
      <c r="J132" s="59">
        <v>0</v>
      </c>
      <c r="K132" s="60">
        <f>'SIMULARE PE PRODUS'!AC117</f>
        <v>0.43093994280266917</v>
      </c>
      <c r="L132" s="60" t="str">
        <f>'SIMULARE PE PRODUS'!AD117</f>
        <v/>
      </c>
      <c r="M132" s="60">
        <f>'SIMULARE PE PRODUS'!AE117</f>
        <v>0.43093994280266917</v>
      </c>
      <c r="N132" s="59">
        <v>0</v>
      </c>
      <c r="O132" s="59">
        <v>0</v>
      </c>
      <c r="P132" s="61">
        <f>'SIMULARE PE PRODUS'!AK117</f>
        <v>0.39343429068755437</v>
      </c>
      <c r="Q132" s="61" t="str">
        <f>'SIMULARE PE PRODUS'!AL117</f>
        <v/>
      </c>
      <c r="R132" s="61">
        <f>'SIMULARE PE PRODUS'!AM117</f>
        <v>0.39343429068755437</v>
      </c>
      <c r="S132" s="59">
        <v>0</v>
      </c>
      <c r="T132" s="59">
        <v>0</v>
      </c>
      <c r="U132" s="62">
        <f>'SIMULARE PE PRODUS'!AS117</f>
        <v>0.37702752293577979</v>
      </c>
      <c r="V132" s="62" t="str">
        <f>'SIMULARE PE PRODUS'!AT117</f>
        <v/>
      </c>
      <c r="W132" s="62">
        <f>'SIMULARE PE PRODUS'!AU117</f>
        <v>0.37702752293577979</v>
      </c>
      <c r="X132" s="59">
        <v>0</v>
      </c>
      <c r="Y132" s="59">
        <v>0</v>
      </c>
      <c r="Z132" s="63">
        <f>'SIMULARE PE PRODUS'!BA117</f>
        <v>0.36193434747798237</v>
      </c>
      <c r="AA132" s="63" t="str">
        <f>'SIMULARE PE PRODUS'!BB117</f>
        <v/>
      </c>
      <c r="AB132" s="63">
        <f>'SIMULARE PE PRODUS'!BC117</f>
        <v>0.36193434747798237</v>
      </c>
    </row>
    <row r="133" spans="1:28" x14ac:dyDescent="0.2">
      <c r="A133" s="26">
        <v>128</v>
      </c>
      <c r="B133" s="26" t="s">
        <v>269</v>
      </c>
      <c r="C133" s="26" t="s">
        <v>104</v>
      </c>
      <c r="D133" s="41">
        <f>'SIMULARE PE PRODUS'!P134</f>
        <v>20</v>
      </c>
      <c r="E133" s="41">
        <f>'SIMULARE PE PRODUS'!Q134</f>
        <v>21</v>
      </c>
      <c r="F133" s="28">
        <f>'SIMULARE PE PRODUS'!U134</f>
        <v>0.51841501503957788</v>
      </c>
      <c r="G133" s="28">
        <f>'SIMULARE PE PRODUS'!V134</f>
        <v>0.53102511000000008</v>
      </c>
      <c r="H133" s="28">
        <f>'SIMULARE PE PRODUS'!W134</f>
        <v>0.50573820000000003</v>
      </c>
      <c r="I133" s="59">
        <v>0</v>
      </c>
      <c r="J133" s="59">
        <v>0</v>
      </c>
      <c r="K133" s="60">
        <f>'SIMULARE PE PRODUS'!AC134</f>
        <v>0.51841501503957788</v>
      </c>
      <c r="L133" s="60">
        <f>'SIMULARE PE PRODUS'!AD134</f>
        <v>0.53102511000000008</v>
      </c>
      <c r="M133" s="60">
        <f>'SIMULARE PE PRODUS'!AE134</f>
        <v>0.50573820000000003</v>
      </c>
      <c r="N133" s="59">
        <v>0</v>
      </c>
      <c r="O133" s="59">
        <v>0</v>
      </c>
      <c r="P133" s="61">
        <f>'SIMULARE PE PRODUS'!AK134</f>
        <v>0.51216498064516125</v>
      </c>
      <c r="Q133" s="61">
        <f>'SIMULARE PE PRODUS'!AL134</f>
        <v>0.52446924444444443</v>
      </c>
      <c r="R133" s="61">
        <f>'SIMULARE PE PRODUS'!AM134</f>
        <v>0.49978833882352935</v>
      </c>
      <c r="S133" s="59">
        <v>0</v>
      </c>
      <c r="T133" s="59">
        <v>0</v>
      </c>
      <c r="U133" s="62">
        <f>'SIMULARE PE PRODUS'!AS134</f>
        <v>0.50606385241468133</v>
      </c>
      <c r="V133" s="62">
        <f>'SIMULARE PE PRODUS'!AT134</f>
        <v>0.51807327804878056</v>
      </c>
      <c r="W133" s="62">
        <f>'SIMULARE PE PRODUS'!AU134</f>
        <v>0.49397684651162788</v>
      </c>
      <c r="X133" s="59">
        <v>0</v>
      </c>
      <c r="Y133" s="59">
        <v>0</v>
      </c>
      <c r="Z133" s="63">
        <f>'SIMULARE PE PRODUS'!BA134</f>
        <v>0.50606385241468133</v>
      </c>
      <c r="AA133" s="63">
        <f>'SIMULARE PE PRODUS'!BB134</f>
        <v>0.51807327804878056</v>
      </c>
      <c r="AB133" s="63">
        <f>'SIMULARE PE PRODUS'!BC134</f>
        <v>0.49397684651162788</v>
      </c>
    </row>
    <row r="134" spans="1:28" x14ac:dyDescent="0.2">
      <c r="A134" s="26">
        <v>129</v>
      </c>
      <c r="B134" s="26" t="s">
        <v>271</v>
      </c>
      <c r="C134" s="26" t="s">
        <v>105</v>
      </c>
      <c r="D134" s="41">
        <f>'SIMULARE PE PRODUS'!P179</f>
        <v>18</v>
      </c>
      <c r="E134" s="41">
        <f>'SIMULARE PE PRODUS'!Q179</f>
        <v>0</v>
      </c>
      <c r="F134" s="28">
        <f>'SIMULARE PE PRODUS'!U179</f>
        <v>0.40971057066666672</v>
      </c>
      <c r="G134" s="28">
        <f>'SIMULARE PE PRODUS'!V179</f>
        <v>0.40971057066666672</v>
      </c>
      <c r="H134" s="28" t="str">
        <f>'SIMULARE PE PRODUS'!W179</f>
        <v/>
      </c>
      <c r="I134" s="59">
        <v>0</v>
      </c>
      <c r="J134" s="59">
        <v>0</v>
      </c>
      <c r="K134" s="60">
        <f>'SIMULARE PE PRODUS'!AC179</f>
        <v>0.40971057066666672</v>
      </c>
      <c r="L134" s="60">
        <f>'SIMULARE PE PRODUS'!AD179</f>
        <v>0.40971057066666672</v>
      </c>
      <c r="M134" s="60" t="str">
        <f>'SIMULARE PE PRODUS'!AE179</f>
        <v/>
      </c>
      <c r="N134" s="59">
        <v>0</v>
      </c>
      <c r="O134" s="59">
        <v>0</v>
      </c>
      <c r="P134" s="61">
        <f>'SIMULARE PE PRODUS'!AK179</f>
        <v>0.39885290816657659</v>
      </c>
      <c r="Q134" s="61">
        <f>'SIMULARE PE PRODUS'!AL179</f>
        <v>0.39885290816657659</v>
      </c>
      <c r="R134" s="61" t="str">
        <f>'SIMULARE PE PRODUS'!AM179</f>
        <v/>
      </c>
      <c r="S134" s="59">
        <v>0</v>
      </c>
      <c r="T134" s="59">
        <v>0</v>
      </c>
      <c r="U134" s="62">
        <f>'SIMULARE PE PRODUS'!AS179</f>
        <v>0.38835125181674574</v>
      </c>
      <c r="V134" s="62">
        <f>'SIMULARE PE PRODUS'!AT179</f>
        <v>0.38835125181674574</v>
      </c>
      <c r="W134" s="62" t="str">
        <f>'SIMULARE PE PRODUS'!AU179</f>
        <v/>
      </c>
      <c r="X134" s="59">
        <v>0</v>
      </c>
      <c r="Y134" s="59">
        <v>0</v>
      </c>
      <c r="Z134" s="63">
        <f>'SIMULARE PE PRODUS'!BA179</f>
        <v>0.38835125181674574</v>
      </c>
      <c r="AA134" s="63">
        <f>'SIMULARE PE PRODUS'!BB179</f>
        <v>0.38835125181674574</v>
      </c>
      <c r="AB134" s="63" t="str">
        <f>'SIMULARE PE PRODUS'!BC179</f>
        <v/>
      </c>
    </row>
    <row r="135" spans="1:28" x14ac:dyDescent="0.2">
      <c r="A135" s="26">
        <v>130</v>
      </c>
      <c r="B135" s="26" t="s">
        <v>272</v>
      </c>
      <c r="C135" s="26" t="s">
        <v>105</v>
      </c>
      <c r="D135" s="41">
        <f>'SIMULARE PE PRODUS'!P180</f>
        <v>18</v>
      </c>
      <c r="E135" s="41">
        <f>'SIMULARE PE PRODUS'!Q180</f>
        <v>0</v>
      </c>
      <c r="F135" s="28">
        <f>'SIMULARE PE PRODUS'!U180</f>
        <v>0.40092168625000008</v>
      </c>
      <c r="G135" s="28">
        <f>'SIMULARE PE PRODUS'!V180</f>
        <v>0.40092168625000008</v>
      </c>
      <c r="H135" s="28" t="str">
        <f>'SIMULARE PE PRODUS'!W180</f>
        <v/>
      </c>
      <c r="I135" s="59">
        <v>0</v>
      </c>
      <c r="J135" s="59">
        <v>0</v>
      </c>
      <c r="K135" s="60">
        <f>'SIMULARE PE PRODUS'!AC180</f>
        <v>0.40092168625000008</v>
      </c>
      <c r="L135" s="60">
        <f>'SIMULARE PE PRODUS'!AD180</f>
        <v>0.40092168625000008</v>
      </c>
      <c r="M135" s="60" t="str">
        <f>'SIMULARE PE PRODUS'!AE180</f>
        <v/>
      </c>
      <c r="N135" s="59">
        <v>0</v>
      </c>
      <c r="O135" s="59">
        <v>0</v>
      </c>
      <c r="P135" s="61">
        <f>'SIMULARE PE PRODUS'!AK180</f>
        <v>0.38002055568720389</v>
      </c>
      <c r="Q135" s="61">
        <f>'SIMULARE PE PRODUS'!AL180</f>
        <v>0.38002055568720389</v>
      </c>
      <c r="R135" s="61" t="str">
        <f>'SIMULARE PE PRODUS'!AM180</f>
        <v/>
      </c>
      <c r="S135" s="59">
        <v>0</v>
      </c>
      <c r="T135" s="59">
        <v>0</v>
      </c>
      <c r="U135" s="62">
        <f>'SIMULARE PE PRODUS'!AS180</f>
        <v>0.37027143932786055</v>
      </c>
      <c r="V135" s="62">
        <f>'SIMULARE PE PRODUS'!AT180</f>
        <v>0.37027143932786055</v>
      </c>
      <c r="W135" s="62" t="str">
        <f>'SIMULARE PE PRODUS'!AU180</f>
        <v/>
      </c>
      <c r="X135" s="59">
        <v>0</v>
      </c>
      <c r="Y135" s="59">
        <v>0</v>
      </c>
      <c r="Z135" s="63">
        <f>'SIMULARE PE PRODUS'!BA180</f>
        <v>0.37027143932786055</v>
      </c>
      <c r="AA135" s="63">
        <f>'SIMULARE PE PRODUS'!BB180</f>
        <v>0.37027143932786055</v>
      </c>
      <c r="AB135" s="63" t="str">
        <f>'SIMULARE PE PRODUS'!BC180</f>
        <v/>
      </c>
    </row>
    <row r="136" spans="1:28" x14ac:dyDescent="0.2">
      <c r="A136" s="26">
        <v>131</v>
      </c>
      <c r="B136" s="26" t="s">
        <v>273</v>
      </c>
      <c r="C136" s="26" t="s">
        <v>105</v>
      </c>
      <c r="D136" s="41">
        <f>'SIMULARE PE PRODUS'!P181</f>
        <v>19.899999999999999</v>
      </c>
      <c r="E136" s="41">
        <f>'SIMULARE PE PRODUS'!Q181</f>
        <v>0</v>
      </c>
      <c r="F136" s="28">
        <f>'SIMULARE PE PRODUS'!U181</f>
        <v>0.29034364824120606</v>
      </c>
      <c r="G136" s="28">
        <f>'SIMULARE PE PRODUS'!V181</f>
        <v>0.29034364824120606</v>
      </c>
      <c r="H136" s="28" t="str">
        <f>'SIMULARE PE PRODUS'!W181</f>
        <v/>
      </c>
      <c r="I136" s="59">
        <v>0</v>
      </c>
      <c r="J136" s="59">
        <v>0</v>
      </c>
      <c r="K136" s="60">
        <f>'SIMULARE PE PRODUS'!AC181</f>
        <v>0.29034364824120606</v>
      </c>
      <c r="L136" s="60">
        <f>'SIMULARE PE PRODUS'!AD181</f>
        <v>0.29034364824120606</v>
      </c>
      <c r="M136" s="60" t="str">
        <f>'SIMULARE PE PRODUS'!AE181</f>
        <v/>
      </c>
      <c r="N136" s="59">
        <v>0</v>
      </c>
      <c r="O136" s="59">
        <v>0</v>
      </c>
      <c r="P136" s="61">
        <f>'SIMULARE PE PRODUS'!AK181</f>
        <v>0.28198333821376281</v>
      </c>
      <c r="Q136" s="61">
        <f>'SIMULARE PE PRODUS'!AL181</f>
        <v>0.28198333821376281</v>
      </c>
      <c r="R136" s="61" t="str">
        <f>'SIMULARE PE PRODUS'!AM181</f>
        <v/>
      </c>
      <c r="S136" s="59">
        <v>0</v>
      </c>
      <c r="T136" s="59">
        <v>0</v>
      </c>
      <c r="U136" s="62">
        <f>'SIMULARE PE PRODUS'!AS181</f>
        <v>0.27526625059552168</v>
      </c>
      <c r="V136" s="62">
        <f>'SIMULARE PE PRODUS'!AT181</f>
        <v>0.27526625059552168</v>
      </c>
      <c r="W136" s="62" t="str">
        <f>'SIMULARE PE PRODUS'!AU181</f>
        <v/>
      </c>
      <c r="X136" s="59">
        <v>0</v>
      </c>
      <c r="Y136" s="59">
        <v>0</v>
      </c>
      <c r="Z136" s="63">
        <f>'SIMULARE PE PRODUS'!BA181</f>
        <v>0.27526625059552168</v>
      </c>
      <c r="AA136" s="63">
        <f>'SIMULARE PE PRODUS'!BB181</f>
        <v>0.27526625059552168</v>
      </c>
      <c r="AB136" s="63" t="str">
        <f>'SIMULARE PE PRODUS'!BC181</f>
        <v/>
      </c>
    </row>
    <row r="137" spans="1:28" x14ac:dyDescent="0.2">
      <c r="A137" s="26">
        <v>132</v>
      </c>
      <c r="B137" s="26" t="s">
        <v>277</v>
      </c>
      <c r="C137" s="26" t="s">
        <v>104</v>
      </c>
      <c r="D137" s="41">
        <f>'SIMULARE PE PRODUS'!P135</f>
        <v>12.99</v>
      </c>
      <c r="E137" s="41">
        <f>'SIMULARE PE PRODUS'!Q135</f>
        <v>14.99</v>
      </c>
      <c r="F137" s="28">
        <f>'SIMULARE PE PRODUS'!U135</f>
        <v>0.59360377694838906</v>
      </c>
      <c r="G137" s="28">
        <f>'SIMULARE PE PRODUS'!V135</f>
        <v>0.59591754811393371</v>
      </c>
      <c r="H137" s="28">
        <f>'SIMULARE PE PRODUS'!W135</f>
        <v>0.51640886924616414</v>
      </c>
      <c r="I137" s="59">
        <v>0</v>
      </c>
      <c r="J137" s="59">
        <v>0</v>
      </c>
      <c r="K137" s="60">
        <f>'SIMULARE PE PRODUS'!AC135</f>
        <v>0.59360377694838906</v>
      </c>
      <c r="L137" s="60">
        <f>'SIMULARE PE PRODUS'!AD135</f>
        <v>0.59591754811393371</v>
      </c>
      <c r="M137" s="60">
        <f>'SIMULARE PE PRODUS'!AE135</f>
        <v>0.51640886924616414</v>
      </c>
      <c r="N137" s="59">
        <v>0</v>
      </c>
      <c r="O137" s="59">
        <v>0</v>
      </c>
      <c r="P137" s="61">
        <f>'SIMULARE PE PRODUS'!AK135</f>
        <v>0.59360377694838906</v>
      </c>
      <c r="Q137" s="61">
        <f>'SIMULARE PE PRODUS'!AL135</f>
        <v>0.59591754811393371</v>
      </c>
      <c r="R137" s="61">
        <f>'SIMULARE PE PRODUS'!AM135</f>
        <v>0.51640886924616414</v>
      </c>
      <c r="S137" s="59">
        <v>0</v>
      </c>
      <c r="T137" s="59">
        <v>0</v>
      </c>
      <c r="U137" s="62">
        <f>'SIMULARE PE PRODUS'!AS135</f>
        <v>0.59360377694838906</v>
      </c>
      <c r="V137" s="62">
        <f>'SIMULARE PE PRODUS'!AT135</f>
        <v>0.59591754811393371</v>
      </c>
      <c r="W137" s="62">
        <f>'SIMULARE PE PRODUS'!AU135</f>
        <v>0.51640886924616414</v>
      </c>
      <c r="X137" s="59">
        <v>0</v>
      </c>
      <c r="Y137" s="59">
        <v>0</v>
      </c>
      <c r="Z137" s="63">
        <f>'SIMULARE PE PRODUS'!BA135</f>
        <v>0.59360377694838906</v>
      </c>
      <c r="AA137" s="63">
        <f>'SIMULARE PE PRODUS'!BB135</f>
        <v>0.59591754811393371</v>
      </c>
      <c r="AB137" s="63">
        <f>'SIMULARE PE PRODUS'!BC135</f>
        <v>0.51640886924616414</v>
      </c>
    </row>
    <row r="138" spans="1:28" x14ac:dyDescent="0.2">
      <c r="A138" s="26">
        <v>133</v>
      </c>
      <c r="B138" s="26" t="s">
        <v>278</v>
      </c>
      <c r="C138" s="26" t="s">
        <v>104</v>
      </c>
      <c r="D138" s="41">
        <f>'SIMULARE PE PRODUS'!P136</f>
        <v>10</v>
      </c>
      <c r="E138" s="41">
        <f>'SIMULARE PE PRODUS'!Q136</f>
        <v>13</v>
      </c>
      <c r="F138" s="28">
        <f>'SIMULARE PE PRODUS'!U136</f>
        <v>0.14724765898615383</v>
      </c>
      <c r="G138" s="28" t="str">
        <f>'SIMULARE PE PRODUS'!V136</f>
        <v/>
      </c>
      <c r="H138" s="28">
        <f>'SIMULARE PE PRODUS'!W136</f>
        <v>0.14724765898615383</v>
      </c>
      <c r="I138" s="59">
        <v>0</v>
      </c>
      <c r="J138" s="59">
        <v>0</v>
      </c>
      <c r="K138" s="60">
        <f>'SIMULARE PE PRODUS'!AC136</f>
        <v>0.14724765898615383</v>
      </c>
      <c r="L138" s="60" t="str">
        <f>'SIMULARE PE PRODUS'!AD136</f>
        <v/>
      </c>
      <c r="M138" s="60">
        <f>'SIMULARE PE PRODUS'!AE136</f>
        <v>0.14724765898615383</v>
      </c>
      <c r="N138" s="59">
        <v>0</v>
      </c>
      <c r="O138" s="59">
        <v>0</v>
      </c>
      <c r="P138" s="61">
        <f>'SIMULARE PE PRODUS'!AK136</f>
        <v>0.14724765898615383</v>
      </c>
      <c r="Q138" s="61" t="str">
        <f>'SIMULARE PE PRODUS'!AL136</f>
        <v/>
      </c>
      <c r="R138" s="61">
        <f>'SIMULARE PE PRODUS'!AM136</f>
        <v>0.14724765898615383</v>
      </c>
      <c r="S138" s="59">
        <v>0</v>
      </c>
      <c r="T138" s="59">
        <v>0</v>
      </c>
      <c r="U138" s="62">
        <f>'SIMULARE PE PRODUS'!AS136</f>
        <v>0.14724765898615383</v>
      </c>
      <c r="V138" s="62" t="str">
        <f>'SIMULARE PE PRODUS'!AT136</f>
        <v/>
      </c>
      <c r="W138" s="62">
        <f>'SIMULARE PE PRODUS'!AU136</f>
        <v>0.14724765898615383</v>
      </c>
      <c r="X138" s="59">
        <v>0</v>
      </c>
      <c r="Y138" s="59">
        <v>0</v>
      </c>
      <c r="Z138" s="63">
        <f>'SIMULARE PE PRODUS'!BA136</f>
        <v>0.14724765898615383</v>
      </c>
      <c r="AA138" s="63" t="str">
        <f>'SIMULARE PE PRODUS'!BB136</f>
        <v/>
      </c>
      <c r="AB138" s="63">
        <f>'SIMULARE PE PRODUS'!BC136</f>
        <v>0.14724765898615383</v>
      </c>
    </row>
    <row r="139" spans="1:28" x14ac:dyDescent="0.2">
      <c r="A139" s="26">
        <v>134</v>
      </c>
      <c r="B139" s="26" t="s">
        <v>274</v>
      </c>
      <c r="C139" s="26" t="s">
        <v>105</v>
      </c>
      <c r="D139" s="41">
        <f>'SIMULARE PE PRODUS'!P182</f>
        <v>18</v>
      </c>
      <c r="E139" s="41">
        <f>'SIMULARE PE PRODUS'!Q182</f>
        <v>0</v>
      </c>
      <c r="F139" s="28">
        <f>'SIMULARE PE PRODUS'!U182</f>
        <v>0.39942426850000001</v>
      </c>
      <c r="G139" s="28">
        <f>'SIMULARE PE PRODUS'!V182</f>
        <v>0.39942426850000001</v>
      </c>
      <c r="H139" s="28" t="str">
        <f>'SIMULARE PE PRODUS'!W182</f>
        <v/>
      </c>
      <c r="I139" s="59">
        <v>0</v>
      </c>
      <c r="J139" s="59">
        <v>0</v>
      </c>
      <c r="K139" s="60">
        <f>'SIMULARE PE PRODUS'!AC182</f>
        <v>0.39942426850000001</v>
      </c>
      <c r="L139" s="60">
        <f>'SIMULARE PE PRODUS'!AD182</f>
        <v>0.39942426850000001</v>
      </c>
      <c r="M139" s="60" t="str">
        <f>'SIMULARE PE PRODUS'!AE182</f>
        <v/>
      </c>
      <c r="N139" s="59">
        <v>0</v>
      </c>
      <c r="O139" s="59">
        <v>0</v>
      </c>
      <c r="P139" s="61">
        <f>'SIMULARE PE PRODUS'!AK182</f>
        <v>0.37860120236966832</v>
      </c>
      <c r="Q139" s="61">
        <f>'SIMULARE PE PRODUS'!AL182</f>
        <v>0.37860120236966832</v>
      </c>
      <c r="R139" s="61" t="str">
        <f>'SIMULARE PE PRODUS'!AM182</f>
        <v/>
      </c>
      <c r="S139" s="59">
        <v>0</v>
      </c>
      <c r="T139" s="59">
        <v>0</v>
      </c>
      <c r="U139" s="62">
        <f>'SIMULARE PE PRODUS'!AS182</f>
        <v>0.36888849835813242</v>
      </c>
      <c r="V139" s="62">
        <f>'SIMULARE PE PRODUS'!AT182</f>
        <v>0.36888849835813242</v>
      </c>
      <c r="W139" s="62" t="str">
        <f>'SIMULARE PE PRODUS'!AU182</f>
        <v/>
      </c>
      <c r="X139" s="59">
        <v>0</v>
      </c>
      <c r="Y139" s="59">
        <v>0</v>
      </c>
      <c r="Z139" s="63">
        <f>'SIMULARE PE PRODUS'!BA182</f>
        <v>0.36888849835813242</v>
      </c>
      <c r="AA139" s="63">
        <f>'SIMULARE PE PRODUS'!BB182</f>
        <v>0.36888849835813242</v>
      </c>
      <c r="AB139" s="63" t="str">
        <f>'SIMULARE PE PRODUS'!BC182</f>
        <v/>
      </c>
    </row>
    <row r="140" spans="1:28" x14ac:dyDescent="0.2">
      <c r="A140" s="26">
        <v>135</v>
      </c>
      <c r="B140" s="26" t="s">
        <v>280</v>
      </c>
      <c r="C140" s="26" t="s">
        <v>104</v>
      </c>
      <c r="D140" s="41">
        <f>'SIMULARE PE PRODUS'!P138</f>
        <v>12.99</v>
      </c>
      <c r="E140" s="41">
        <f>'SIMULARE PE PRODUS'!Q138</f>
        <v>13.99</v>
      </c>
      <c r="F140" s="28">
        <f>'SIMULARE PE PRODUS'!U138</f>
        <v>0.4812982856588584</v>
      </c>
      <c r="G140" s="28">
        <f>'SIMULARE PE PRODUS'!V138</f>
        <v>0.48371994880677438</v>
      </c>
      <c r="H140" s="28">
        <f>'SIMULARE PE PRODUS'!W138</f>
        <v>0.44914382666190128</v>
      </c>
      <c r="I140" s="59">
        <v>0</v>
      </c>
      <c r="J140" s="59">
        <v>0</v>
      </c>
      <c r="K140" s="60">
        <f>'SIMULARE PE PRODUS'!AC138</f>
        <v>0.4812982856588584</v>
      </c>
      <c r="L140" s="60">
        <f>'SIMULARE PE PRODUS'!AD138</f>
        <v>0.48371994880677438</v>
      </c>
      <c r="M140" s="60">
        <f>'SIMULARE PE PRODUS'!AE138</f>
        <v>0.44914382666190128</v>
      </c>
      <c r="N140" s="59">
        <v>0</v>
      </c>
      <c r="O140" s="59">
        <v>0</v>
      </c>
      <c r="P140" s="61">
        <f>'SIMULARE PE PRODUS'!AK138</f>
        <v>0.4812982856588584</v>
      </c>
      <c r="Q140" s="61">
        <f>'SIMULARE PE PRODUS'!AL138</f>
        <v>0.48371994880677438</v>
      </c>
      <c r="R140" s="61">
        <f>'SIMULARE PE PRODUS'!AM138</f>
        <v>0.44914382666190128</v>
      </c>
      <c r="S140" s="59">
        <v>0</v>
      </c>
      <c r="T140" s="59">
        <v>0</v>
      </c>
      <c r="U140" s="62">
        <f>'SIMULARE PE PRODUS'!AS138</f>
        <v>0.4812982856588584</v>
      </c>
      <c r="V140" s="62">
        <f>'SIMULARE PE PRODUS'!AT138</f>
        <v>0.48371994880677438</v>
      </c>
      <c r="W140" s="62">
        <f>'SIMULARE PE PRODUS'!AU138</f>
        <v>0.44914382666190128</v>
      </c>
      <c r="X140" s="59">
        <v>0</v>
      </c>
      <c r="Y140" s="59">
        <v>0</v>
      </c>
      <c r="Z140" s="63">
        <f>'SIMULARE PE PRODUS'!BA138</f>
        <v>0.4812982856588584</v>
      </c>
      <c r="AA140" s="63">
        <f>'SIMULARE PE PRODUS'!BB138</f>
        <v>0.48371994880677438</v>
      </c>
      <c r="AB140" s="63">
        <f>'SIMULARE PE PRODUS'!BC138</f>
        <v>0.44914382666190128</v>
      </c>
    </row>
    <row r="141" spans="1:28" x14ac:dyDescent="0.2">
      <c r="A141" s="26">
        <v>136</v>
      </c>
      <c r="B141" s="26" t="s">
        <v>281</v>
      </c>
      <c r="C141" s="26" t="s">
        <v>104</v>
      </c>
      <c r="D141" s="41">
        <f>'SIMULARE PE PRODUS'!P139</f>
        <v>8.99</v>
      </c>
      <c r="E141" s="41">
        <f>'SIMULARE PE PRODUS'!Q139</f>
        <v>9.99</v>
      </c>
      <c r="F141" s="28">
        <f>'SIMULARE PE PRODUS'!U139</f>
        <v>0.44101726450517975</v>
      </c>
      <c r="G141" s="28">
        <f>'SIMULARE PE PRODUS'!V139</f>
        <v>0.44348128587319241</v>
      </c>
      <c r="H141" s="28">
        <f>'SIMULARE PE PRODUS'!W139</f>
        <v>0.39908876476476468</v>
      </c>
      <c r="I141" s="59">
        <v>0</v>
      </c>
      <c r="J141" s="59">
        <v>0</v>
      </c>
      <c r="K141" s="60">
        <f>'SIMULARE PE PRODUS'!AC139</f>
        <v>0.44101726450517975</v>
      </c>
      <c r="L141" s="60">
        <f>'SIMULARE PE PRODUS'!AD139</f>
        <v>0.44348128587319241</v>
      </c>
      <c r="M141" s="60">
        <f>'SIMULARE PE PRODUS'!AE139</f>
        <v>0.39908876476476468</v>
      </c>
      <c r="N141" s="59">
        <v>0</v>
      </c>
      <c r="O141" s="59">
        <v>0</v>
      </c>
      <c r="P141" s="61">
        <f>'SIMULARE PE PRODUS'!AK139</f>
        <v>0.44101726450517975</v>
      </c>
      <c r="Q141" s="61">
        <f>'SIMULARE PE PRODUS'!AL139</f>
        <v>0.44348128587319241</v>
      </c>
      <c r="R141" s="61">
        <f>'SIMULARE PE PRODUS'!AM139</f>
        <v>0.39908876476476468</v>
      </c>
      <c r="S141" s="59">
        <v>0</v>
      </c>
      <c r="T141" s="59">
        <v>0</v>
      </c>
      <c r="U141" s="62">
        <f>'SIMULARE PE PRODUS'!AS139</f>
        <v>0.44101726450517975</v>
      </c>
      <c r="V141" s="62">
        <f>'SIMULARE PE PRODUS'!AT139</f>
        <v>0.44348128587319241</v>
      </c>
      <c r="W141" s="62">
        <f>'SIMULARE PE PRODUS'!AU139</f>
        <v>0.39908876476476468</v>
      </c>
      <c r="X141" s="59">
        <v>0</v>
      </c>
      <c r="Y141" s="59">
        <v>0</v>
      </c>
      <c r="Z141" s="63">
        <f>'SIMULARE PE PRODUS'!BA139</f>
        <v>0.44101726450517975</v>
      </c>
      <c r="AA141" s="63">
        <f>'SIMULARE PE PRODUS'!BB139</f>
        <v>0.44348128587319241</v>
      </c>
      <c r="AB141" s="63">
        <f>'SIMULARE PE PRODUS'!BC139</f>
        <v>0.39908876476476468</v>
      </c>
    </row>
    <row r="142" spans="1:28" x14ac:dyDescent="0.2">
      <c r="A142" s="26">
        <v>137</v>
      </c>
      <c r="B142" s="26" t="s">
        <v>284</v>
      </c>
      <c r="C142" s="26" t="s">
        <v>103</v>
      </c>
      <c r="D142" s="41">
        <f>'SIMULARE PE PRODUS'!P119</f>
        <v>15.99</v>
      </c>
      <c r="E142" s="41">
        <f>'SIMULARE PE PRODUS'!Q119</f>
        <v>17.989999999999998</v>
      </c>
      <c r="F142" s="28">
        <f>'SIMULARE PE PRODUS'!U119</f>
        <v>0.43346323807920545</v>
      </c>
      <c r="G142" s="28">
        <f>'SIMULARE PE PRODUS'!V119</f>
        <v>0.46008755472170104</v>
      </c>
      <c r="H142" s="28">
        <f>'SIMULARE PE PRODUS'!W119</f>
        <v>0.4089382990550306</v>
      </c>
      <c r="I142" s="59">
        <v>0</v>
      </c>
      <c r="J142" s="59">
        <v>0</v>
      </c>
      <c r="K142" s="60">
        <f>'SIMULARE PE PRODUS'!AC119</f>
        <v>0.43346323807920545</v>
      </c>
      <c r="L142" s="60">
        <f>'SIMULARE PE PRODUS'!AD119</f>
        <v>0.46008755472170104</v>
      </c>
      <c r="M142" s="60">
        <f>'SIMULARE PE PRODUS'!AE119</f>
        <v>0.4089382990550306</v>
      </c>
      <c r="N142" s="59">
        <v>0</v>
      </c>
      <c r="O142" s="59">
        <v>0</v>
      </c>
      <c r="P142" s="61">
        <f>'SIMULARE PE PRODUS'!AK119</f>
        <v>0.40934462064305877</v>
      </c>
      <c r="Q142" s="61">
        <f>'SIMULARE PE PRODUS'!AL119</f>
        <v>0.43300765155974102</v>
      </c>
      <c r="R142" s="61">
        <f>'SIMULARE PE PRODUS'!AM119</f>
        <v>0.38740389678778303</v>
      </c>
      <c r="S142" s="59">
        <v>0</v>
      </c>
      <c r="T142" s="59">
        <v>0</v>
      </c>
      <c r="U142" s="62">
        <f>'SIMULARE PE PRODUS'!AS119</f>
        <v>0.39826456826882184</v>
      </c>
      <c r="V142" s="62">
        <f>'SIMULARE PE PRODUS'!AT119</f>
        <v>0.4206289308176101</v>
      </c>
      <c r="W142" s="62">
        <f>'SIMULARE PE PRODUS'!AU119</f>
        <v>0.37746536685479731</v>
      </c>
      <c r="X142" s="59">
        <v>0</v>
      </c>
      <c r="Y142" s="59">
        <v>0</v>
      </c>
      <c r="Z142" s="63">
        <f>'SIMULARE PE PRODUS'!BA119</f>
        <v>0.38776853281126467</v>
      </c>
      <c r="AA142" s="63">
        <f>'SIMULARE PE PRODUS'!BB119</f>
        <v>0.4089382990550306</v>
      </c>
      <c r="AB142" s="63">
        <f>'SIMULARE PE PRODUS'!BC119</f>
        <v>0.36802401200600299</v>
      </c>
    </row>
    <row r="143" spans="1:28" x14ac:dyDescent="0.2">
      <c r="A143" s="26">
        <v>138</v>
      </c>
      <c r="B143" s="26" t="s">
        <v>294</v>
      </c>
      <c r="C143" s="26" t="s">
        <v>111</v>
      </c>
      <c r="D143" s="41">
        <f>'SIMULARE PE PRODUS'!P228</f>
        <v>200</v>
      </c>
      <c r="E143" s="41">
        <f>'SIMULARE PE PRODUS'!Q228</f>
        <v>0</v>
      </c>
      <c r="F143" s="28">
        <f>'SIMULARE PE PRODUS'!U228</f>
        <v>0.59598549999999995</v>
      </c>
      <c r="G143" s="28">
        <f>'SIMULARE PE PRODUS'!V228</f>
        <v>0.59598549999999995</v>
      </c>
      <c r="H143" s="28" t="str">
        <f>'SIMULARE PE PRODUS'!W228</f>
        <v/>
      </c>
      <c r="I143" s="59">
        <v>0</v>
      </c>
      <c r="J143" s="59">
        <v>0</v>
      </c>
      <c r="K143" s="60">
        <f>'SIMULARE PE PRODUS'!AC228</f>
        <v>0.59598549999999995</v>
      </c>
      <c r="L143" s="60">
        <f>'SIMULARE PE PRODUS'!AD228</f>
        <v>0.59598549999999995</v>
      </c>
      <c r="M143" s="60" t="str">
        <f>'SIMULARE PE PRODUS'!AE228</f>
        <v/>
      </c>
      <c r="N143" s="59">
        <v>0</v>
      </c>
      <c r="O143" s="59">
        <v>0</v>
      </c>
      <c r="P143" s="61">
        <f>'SIMULARE PE PRODUS'!AK228</f>
        <v>0.59598549999999995</v>
      </c>
      <c r="Q143" s="61">
        <f>'SIMULARE PE PRODUS'!AL228</f>
        <v>0.59598549999999995</v>
      </c>
      <c r="R143" s="61" t="str">
        <f>'SIMULARE PE PRODUS'!AM228</f>
        <v/>
      </c>
      <c r="S143" s="59">
        <v>0</v>
      </c>
      <c r="T143" s="59">
        <v>0</v>
      </c>
      <c r="U143" s="62">
        <f>'SIMULARE PE PRODUS'!AS228</f>
        <v>0.59598549999999995</v>
      </c>
      <c r="V143" s="62">
        <f>'SIMULARE PE PRODUS'!AT228</f>
        <v>0.59598549999999995</v>
      </c>
      <c r="W143" s="62" t="str">
        <f>'SIMULARE PE PRODUS'!AU228</f>
        <v/>
      </c>
      <c r="X143" s="59">
        <v>0</v>
      </c>
      <c r="Y143" s="59">
        <v>0</v>
      </c>
      <c r="Z143" s="63">
        <f>'SIMULARE PE PRODUS'!BA228</f>
        <v>0.59598549999999995</v>
      </c>
      <c r="AA143" s="63">
        <f>'SIMULARE PE PRODUS'!BB228</f>
        <v>0.59598549999999995</v>
      </c>
      <c r="AB143" s="63" t="str">
        <f>'SIMULARE PE PRODUS'!BC228</f>
        <v/>
      </c>
    </row>
    <row r="144" spans="1:28" x14ac:dyDescent="0.2">
      <c r="A144" s="26">
        <v>139</v>
      </c>
      <c r="B144" s="26" t="s">
        <v>292</v>
      </c>
      <c r="C144" s="26" t="s">
        <v>108</v>
      </c>
      <c r="D144" s="41">
        <f>'SIMULARE PE PRODUS'!P214</f>
        <v>17</v>
      </c>
      <c r="E144" s="41">
        <f>'SIMULARE PE PRODUS'!Q214</f>
        <v>20</v>
      </c>
      <c r="F144" s="28">
        <f>'SIMULARE PE PRODUS'!U214</f>
        <v>0.45877328409355939</v>
      </c>
      <c r="G144" s="28">
        <f>'SIMULARE PE PRODUS'!V214</f>
        <v>0.5038649248235294</v>
      </c>
      <c r="H144" s="28">
        <f>'SIMULARE PE PRODUS'!W214</f>
        <v>0.4282851861000001</v>
      </c>
      <c r="I144" s="59">
        <v>0</v>
      </c>
      <c r="J144" s="59">
        <v>0</v>
      </c>
      <c r="K144" s="60">
        <f>'SIMULARE PE PRODUS'!AC214</f>
        <v>0.45877328409355939</v>
      </c>
      <c r="L144" s="60">
        <f>'SIMULARE PE PRODUS'!AD214</f>
        <v>0.5038649248235294</v>
      </c>
      <c r="M144" s="60">
        <f>'SIMULARE PE PRODUS'!AE214</f>
        <v>0.4282851861000001</v>
      </c>
      <c r="N144" s="59">
        <v>0</v>
      </c>
      <c r="O144" s="59">
        <v>0</v>
      </c>
      <c r="P144" s="61">
        <f>'SIMULARE PE PRODUS'!AK214</f>
        <v>0.45877328409355939</v>
      </c>
      <c r="Q144" s="61">
        <f>'SIMULARE PE PRODUS'!AL214</f>
        <v>0.5038649248235294</v>
      </c>
      <c r="R144" s="61">
        <f>'SIMULARE PE PRODUS'!AM214</f>
        <v>0.4282851861000001</v>
      </c>
      <c r="S144" s="59">
        <v>0</v>
      </c>
      <c r="T144" s="59">
        <v>0</v>
      </c>
      <c r="U144" s="62">
        <f>'SIMULARE PE PRODUS'!AS214</f>
        <v>0.45877328409355939</v>
      </c>
      <c r="V144" s="62">
        <f>'SIMULARE PE PRODUS'!AT214</f>
        <v>0.5038649248235294</v>
      </c>
      <c r="W144" s="62">
        <f>'SIMULARE PE PRODUS'!AU214</f>
        <v>0.4282851861000001</v>
      </c>
      <c r="X144" s="59">
        <v>0</v>
      </c>
      <c r="Y144" s="59">
        <v>0</v>
      </c>
      <c r="Z144" s="63">
        <f>'SIMULARE PE PRODUS'!BA214</f>
        <v>0.45877328409355939</v>
      </c>
      <c r="AA144" s="63">
        <f>'SIMULARE PE PRODUS'!BB214</f>
        <v>0.5038649248235294</v>
      </c>
      <c r="AB144" s="63">
        <f>'SIMULARE PE PRODUS'!BC214</f>
        <v>0.4282851861000001</v>
      </c>
    </row>
    <row r="145" spans="1:28" x14ac:dyDescent="0.2">
      <c r="A145" s="26">
        <v>140</v>
      </c>
      <c r="B145" s="26" t="s">
        <v>279</v>
      </c>
      <c r="C145" s="26" t="s">
        <v>104</v>
      </c>
      <c r="D145" s="41">
        <f>'SIMULARE PE PRODUS'!P137</f>
        <v>17</v>
      </c>
      <c r="E145" s="41">
        <f>'SIMULARE PE PRODUS'!Q137</f>
        <v>18</v>
      </c>
      <c r="F145" s="28">
        <f>'SIMULARE PE PRODUS'!U137</f>
        <v>0.60171400651465812</v>
      </c>
      <c r="G145" s="28">
        <f>'SIMULARE PE PRODUS'!V137</f>
        <v>0.61507058823529415</v>
      </c>
      <c r="H145" s="28">
        <f>'SIMULARE PE PRODUS'!W137</f>
        <v>0.58090000000000008</v>
      </c>
      <c r="I145" s="59">
        <v>0</v>
      </c>
      <c r="J145" s="59">
        <v>0</v>
      </c>
      <c r="K145" s="60">
        <f>'SIMULARE PE PRODUS'!AC137</f>
        <v>0.60171400651465812</v>
      </c>
      <c r="L145" s="60">
        <f>'SIMULARE PE PRODUS'!AD137</f>
        <v>0.61507058823529415</v>
      </c>
      <c r="M145" s="60">
        <f>'SIMULARE PE PRODUS'!AE137</f>
        <v>0.58090000000000008</v>
      </c>
      <c r="N145" s="59">
        <v>0</v>
      </c>
      <c r="O145" s="59">
        <v>0</v>
      </c>
      <c r="P145" s="61">
        <f>'SIMULARE PE PRODUS'!AK137</f>
        <v>0.59318019801980204</v>
      </c>
      <c r="Q145" s="61">
        <f>'SIMULARE PE PRODUS'!AL137</f>
        <v>0.60615652173913048</v>
      </c>
      <c r="R145" s="61">
        <f>'SIMULARE PE PRODUS'!AM137</f>
        <v>0.57294246575342467</v>
      </c>
      <c r="S145" s="59">
        <v>0</v>
      </c>
      <c r="T145" s="59">
        <v>0</v>
      </c>
      <c r="U145" s="62">
        <f>'SIMULARE PE PRODUS'!AS137</f>
        <v>0.58488506596306078</v>
      </c>
      <c r="V145" s="62">
        <f>'SIMULARE PE PRODUS'!AT137</f>
        <v>0.59749714285714295</v>
      </c>
      <c r="W145" s="62">
        <f>'SIMULARE PE PRODUS'!AU137</f>
        <v>0.56520000000000015</v>
      </c>
      <c r="X145" s="59">
        <v>0</v>
      </c>
      <c r="Y145" s="59">
        <v>0</v>
      </c>
      <c r="Z145" s="63">
        <f>'SIMULARE PE PRODUS'!BA137</f>
        <v>0.58488506596306078</v>
      </c>
      <c r="AA145" s="63">
        <f>'SIMULARE PE PRODUS'!BB137</f>
        <v>0.59749714285714295</v>
      </c>
      <c r="AB145" s="63">
        <f>'SIMULARE PE PRODUS'!BC137</f>
        <v>0.56520000000000015</v>
      </c>
    </row>
    <row r="146" spans="1:28" x14ac:dyDescent="0.2">
      <c r="A146" s="26">
        <v>141</v>
      </c>
      <c r="B146" s="26" t="s">
        <v>282</v>
      </c>
      <c r="C146" s="26" t="s">
        <v>112</v>
      </c>
      <c r="D146" s="41">
        <f>'SIMULARE PE PRODUS'!P236</f>
        <v>2</v>
      </c>
      <c r="E146" s="41">
        <f>'SIMULARE PE PRODUS'!Q236</f>
        <v>2</v>
      </c>
      <c r="F146" s="28">
        <f>'SIMULARE PE PRODUS'!U236</f>
        <v>0.42180000000000001</v>
      </c>
      <c r="G146" s="28">
        <f>'SIMULARE PE PRODUS'!V236</f>
        <v>0.42180000000000006</v>
      </c>
      <c r="H146" s="28">
        <f>'SIMULARE PE PRODUS'!W236</f>
        <v>0.42180000000000006</v>
      </c>
      <c r="I146" s="59">
        <v>0</v>
      </c>
      <c r="J146" s="59">
        <v>0</v>
      </c>
      <c r="K146" s="60">
        <f>'SIMULARE PE PRODUS'!AC236</f>
        <v>0.42180000000000001</v>
      </c>
      <c r="L146" s="60">
        <f>'SIMULARE PE PRODUS'!AD236</f>
        <v>0.42180000000000006</v>
      </c>
      <c r="M146" s="60">
        <f>'SIMULARE PE PRODUS'!AE236</f>
        <v>0.42180000000000006</v>
      </c>
      <c r="N146" s="59">
        <v>0</v>
      </c>
      <c r="O146" s="59">
        <v>0</v>
      </c>
      <c r="P146" s="61">
        <f>'SIMULARE PE PRODUS'!AK236</f>
        <v>0.42180000000000001</v>
      </c>
      <c r="Q146" s="61">
        <f>'SIMULARE PE PRODUS'!AL236</f>
        <v>0.42180000000000006</v>
      </c>
      <c r="R146" s="61">
        <f>'SIMULARE PE PRODUS'!AM236</f>
        <v>0.42180000000000006</v>
      </c>
      <c r="S146" s="59">
        <v>0</v>
      </c>
      <c r="T146" s="59">
        <v>0</v>
      </c>
      <c r="U146" s="62">
        <f>'SIMULARE PE PRODUS'!AS236</f>
        <v>0.42180000000000001</v>
      </c>
      <c r="V146" s="62">
        <f>'SIMULARE PE PRODUS'!AT236</f>
        <v>0.42180000000000006</v>
      </c>
      <c r="W146" s="62">
        <f>'SIMULARE PE PRODUS'!AU236</f>
        <v>0.42180000000000006</v>
      </c>
      <c r="X146" s="59">
        <v>0</v>
      </c>
      <c r="Y146" s="59">
        <v>0</v>
      </c>
      <c r="Z146" s="63">
        <f>'SIMULARE PE PRODUS'!BA236</f>
        <v>0.42180000000000001</v>
      </c>
      <c r="AA146" s="63">
        <f>'SIMULARE PE PRODUS'!BB236</f>
        <v>0.42180000000000006</v>
      </c>
      <c r="AB146" s="63">
        <f>'SIMULARE PE PRODUS'!BC236</f>
        <v>0.42180000000000006</v>
      </c>
    </row>
    <row r="147" spans="1:28" x14ac:dyDescent="0.2">
      <c r="A147" s="26">
        <v>142</v>
      </c>
      <c r="B147" s="26" t="s">
        <v>283</v>
      </c>
      <c r="C147" s="26" t="s">
        <v>102</v>
      </c>
      <c r="D147" s="41">
        <f>'SIMULARE PE PRODUS'!P90</f>
        <v>5.0999999999999996</v>
      </c>
      <c r="E147" s="41">
        <f>'SIMULARE PE PRODUS'!Q90</f>
        <v>5.3</v>
      </c>
      <c r="F147" s="28">
        <f>'SIMULARE PE PRODUS'!U90</f>
        <v>0.30575299732939376</v>
      </c>
      <c r="G147" s="28">
        <f>'SIMULARE PE PRODUS'!V90</f>
        <v>0.31123529411764711</v>
      </c>
      <c r="H147" s="28">
        <f>'SIMULARE PE PRODUS'!W90</f>
        <v>0.29949056603773588</v>
      </c>
      <c r="I147" s="59">
        <v>0</v>
      </c>
      <c r="J147" s="59">
        <v>0</v>
      </c>
      <c r="K147" s="60">
        <f>'SIMULARE PE PRODUS'!AC90</f>
        <v>0.29441084423045361</v>
      </c>
      <c r="L147" s="60">
        <f>'SIMULARE PE PRODUS'!AD90</f>
        <v>0.29949056603773594</v>
      </c>
      <c r="M147" s="60">
        <f>'SIMULARE PE PRODUS'!AE90</f>
        <v>0.28860000000000002</v>
      </c>
      <c r="N147" s="59">
        <v>0</v>
      </c>
      <c r="O147" s="59">
        <v>0</v>
      </c>
      <c r="P147" s="61">
        <f>'SIMULARE PE PRODUS'!AK90</f>
        <v>0.29441084423045361</v>
      </c>
      <c r="Q147" s="61">
        <f>'SIMULARE PE PRODUS'!AL90</f>
        <v>0.29949056603773594</v>
      </c>
      <c r="R147" s="61">
        <f>'SIMULARE PE PRODUS'!AM90</f>
        <v>0.28860000000000002</v>
      </c>
      <c r="S147" s="59">
        <v>0</v>
      </c>
      <c r="T147" s="59">
        <v>0</v>
      </c>
      <c r="U147" s="62">
        <f>'SIMULARE PE PRODUS'!AS90</f>
        <v>0.29441084423045361</v>
      </c>
      <c r="V147" s="62">
        <f>'SIMULARE PE PRODUS'!AT90</f>
        <v>0.29949056603773594</v>
      </c>
      <c r="W147" s="62">
        <f>'SIMULARE PE PRODUS'!AU90</f>
        <v>0.28860000000000002</v>
      </c>
      <c r="X147" s="59">
        <v>0</v>
      </c>
      <c r="Y147" s="59">
        <v>0</v>
      </c>
      <c r="Z147" s="63">
        <f>'SIMULARE PE PRODUS'!BA90</f>
        <v>0.28415592028135989</v>
      </c>
      <c r="AA147" s="63">
        <f>'SIMULARE PE PRODUS'!BB90</f>
        <v>0.28912568306010933</v>
      </c>
      <c r="AB147" s="63">
        <f>'SIMULARE PE PRODUS'!BC90</f>
        <v>0.27847368421052632</v>
      </c>
    </row>
    <row r="148" spans="1:28" x14ac:dyDescent="0.2">
      <c r="A148" s="26">
        <v>143</v>
      </c>
      <c r="B148" s="26" t="s">
        <v>287</v>
      </c>
      <c r="C148" s="26" t="s">
        <v>113</v>
      </c>
      <c r="D148" s="41">
        <f>'SIMULARE PE PRODUS'!P240</f>
        <v>0</v>
      </c>
      <c r="E148" s="41">
        <f>'SIMULARE PE PRODUS'!Q240</f>
        <v>0.5</v>
      </c>
      <c r="F148" s="28">
        <f>'SIMULARE PE PRODUS'!U240</f>
        <v>1.21</v>
      </c>
      <c r="G148" s="28" t="str">
        <f>'SIMULARE PE PRODUS'!V240</f>
        <v/>
      </c>
      <c r="H148" s="28">
        <f>'SIMULARE PE PRODUS'!W240</f>
        <v>1.21</v>
      </c>
      <c r="I148" s="59">
        <v>0</v>
      </c>
      <c r="J148" s="59">
        <v>0</v>
      </c>
      <c r="K148" s="60">
        <f>'SIMULARE PE PRODUS'!AC240</f>
        <v>1.21</v>
      </c>
      <c r="L148" s="60" t="str">
        <f>'SIMULARE PE PRODUS'!AD240</f>
        <v/>
      </c>
      <c r="M148" s="60">
        <f>'SIMULARE PE PRODUS'!AE240</f>
        <v>1.21</v>
      </c>
      <c r="N148" s="59">
        <v>0</v>
      </c>
      <c r="O148" s="59">
        <v>0</v>
      </c>
      <c r="P148" s="61">
        <f>'SIMULARE PE PRODUS'!AK240</f>
        <v>1.21</v>
      </c>
      <c r="Q148" s="61" t="str">
        <f>'SIMULARE PE PRODUS'!AL240</f>
        <v/>
      </c>
      <c r="R148" s="61">
        <f>'SIMULARE PE PRODUS'!AM240</f>
        <v>1.21</v>
      </c>
      <c r="S148" s="59">
        <v>0</v>
      </c>
      <c r="T148" s="59">
        <v>0</v>
      </c>
      <c r="U148" s="62">
        <f>'SIMULARE PE PRODUS'!AS240</f>
        <v>1.21</v>
      </c>
      <c r="V148" s="62" t="str">
        <f>'SIMULARE PE PRODUS'!AT240</f>
        <v/>
      </c>
      <c r="W148" s="62">
        <f>'SIMULARE PE PRODUS'!AU240</f>
        <v>1.21</v>
      </c>
      <c r="X148" s="59">
        <v>0</v>
      </c>
      <c r="Y148" s="59">
        <v>0</v>
      </c>
      <c r="Z148" s="63">
        <f>'SIMULARE PE PRODUS'!BA240</f>
        <v>1.21</v>
      </c>
      <c r="AA148" s="63" t="str">
        <f>'SIMULARE PE PRODUS'!BB240</f>
        <v/>
      </c>
      <c r="AB148" s="63">
        <f>'SIMULARE PE PRODUS'!BC240</f>
        <v>1.21</v>
      </c>
    </row>
    <row r="149" spans="1:28" x14ac:dyDescent="0.2">
      <c r="A149" s="26">
        <v>144</v>
      </c>
      <c r="B149" s="26" t="s">
        <v>288</v>
      </c>
      <c r="C149" s="26" t="s">
        <v>104</v>
      </c>
      <c r="D149" s="41">
        <f>'SIMULARE PE PRODUS'!P142</f>
        <v>17</v>
      </c>
      <c r="E149" s="41">
        <f>'SIMULARE PE PRODUS'!Q142</f>
        <v>0</v>
      </c>
      <c r="F149" s="28">
        <f>'SIMULARE PE PRODUS'!U142</f>
        <v>0.4503723134705882</v>
      </c>
      <c r="G149" s="28">
        <f>'SIMULARE PE PRODUS'!V142</f>
        <v>0.4503723134705882</v>
      </c>
      <c r="H149" s="28" t="str">
        <f>'SIMULARE PE PRODUS'!W142</f>
        <v/>
      </c>
      <c r="I149" s="59">
        <v>0</v>
      </c>
      <c r="J149" s="59">
        <v>0</v>
      </c>
      <c r="K149" s="60">
        <f>'SIMULARE PE PRODUS'!AC142</f>
        <v>0.4503723134705882</v>
      </c>
      <c r="L149" s="60">
        <f>'SIMULARE PE PRODUS'!AD142</f>
        <v>0.4503723134705882</v>
      </c>
      <c r="M149" s="60" t="str">
        <f>'SIMULARE PE PRODUS'!AE142</f>
        <v/>
      </c>
      <c r="N149" s="59">
        <v>0</v>
      </c>
      <c r="O149" s="59">
        <v>0</v>
      </c>
      <c r="P149" s="61">
        <f>'SIMULARE PE PRODUS'!AK142</f>
        <v>0.4503723134705882</v>
      </c>
      <c r="Q149" s="61">
        <f>'SIMULARE PE PRODUS'!AL142</f>
        <v>0.4503723134705882</v>
      </c>
      <c r="R149" s="61" t="str">
        <f>'SIMULARE PE PRODUS'!AM142</f>
        <v/>
      </c>
      <c r="S149" s="59">
        <v>0</v>
      </c>
      <c r="T149" s="59">
        <v>0</v>
      </c>
      <c r="U149" s="62">
        <f>'SIMULARE PE PRODUS'!AS142</f>
        <v>0.4503723134705882</v>
      </c>
      <c r="V149" s="62">
        <f>'SIMULARE PE PRODUS'!AT142</f>
        <v>0.4503723134705882</v>
      </c>
      <c r="W149" s="62" t="str">
        <f>'SIMULARE PE PRODUS'!AU142</f>
        <v/>
      </c>
      <c r="X149" s="59">
        <v>0</v>
      </c>
      <c r="Y149" s="59">
        <v>0</v>
      </c>
      <c r="Z149" s="63">
        <f>'SIMULARE PE PRODUS'!BA142</f>
        <v>0.4503723134705882</v>
      </c>
      <c r="AA149" s="63">
        <f>'SIMULARE PE PRODUS'!BB142</f>
        <v>0.4503723134705882</v>
      </c>
      <c r="AB149" s="63" t="str">
        <f>'SIMULARE PE PRODUS'!BC142</f>
        <v/>
      </c>
    </row>
    <row r="150" spans="1:28" x14ac:dyDescent="0.2">
      <c r="A150" s="26">
        <v>145</v>
      </c>
      <c r="B150" s="26" t="s">
        <v>285</v>
      </c>
      <c r="C150" s="26" t="s">
        <v>104</v>
      </c>
      <c r="D150" s="41">
        <f>'SIMULARE PE PRODUS'!P140</f>
        <v>15</v>
      </c>
      <c r="E150" s="41">
        <f>'SIMULARE PE PRODUS'!Q140</f>
        <v>16</v>
      </c>
      <c r="F150" s="28">
        <f>'SIMULARE PE PRODUS'!U140</f>
        <v>0.38499209016990293</v>
      </c>
      <c r="G150" s="28">
        <f>'SIMULARE PE PRODUS'!V140</f>
        <v>0.39530651999999999</v>
      </c>
      <c r="H150" s="28">
        <f>'SIMULARE PE PRODUS'!W140</f>
        <v>0.37059986250000004</v>
      </c>
      <c r="I150" s="59">
        <v>0</v>
      </c>
      <c r="J150" s="59">
        <v>0</v>
      </c>
      <c r="K150" s="60">
        <f>'SIMULARE PE PRODUS'!AC140</f>
        <v>0.38499209016990293</v>
      </c>
      <c r="L150" s="60">
        <f>'SIMULARE PE PRODUS'!AD140</f>
        <v>0.39530651999999999</v>
      </c>
      <c r="M150" s="60">
        <f>'SIMULARE PE PRODUS'!AE140</f>
        <v>0.37059986250000004</v>
      </c>
      <c r="N150" s="59">
        <v>0</v>
      </c>
      <c r="O150" s="59">
        <v>0</v>
      </c>
      <c r="P150" s="61">
        <f>'SIMULARE PE PRODUS'!AK140</f>
        <v>0.37884279122257053</v>
      </c>
      <c r="Q150" s="61">
        <f>'SIMULARE PE PRODUS'!AL140</f>
        <v>0.38882608524590162</v>
      </c>
      <c r="R150" s="61">
        <f>'SIMULARE PE PRODUS'!AM140</f>
        <v>0.36489832615384615</v>
      </c>
      <c r="S150" s="59">
        <v>0</v>
      </c>
      <c r="T150" s="59">
        <v>0</v>
      </c>
      <c r="U150" s="62">
        <f>'SIMULARE PE PRODUS'!AS140</f>
        <v>0.37288684372612402</v>
      </c>
      <c r="V150" s="62">
        <f>'SIMULARE PE PRODUS'!AT140</f>
        <v>0.38255469677419357</v>
      </c>
      <c r="W150" s="62">
        <f>'SIMULARE PE PRODUS'!AU140</f>
        <v>0.35936956363636363</v>
      </c>
      <c r="X150" s="59">
        <v>0</v>
      </c>
      <c r="Y150" s="59">
        <v>0</v>
      </c>
      <c r="Z150" s="63">
        <f>'SIMULARE PE PRODUS'!BA140</f>
        <v>0.37288684372612402</v>
      </c>
      <c r="AA150" s="63">
        <f>'SIMULARE PE PRODUS'!BB140</f>
        <v>0.38255469677419357</v>
      </c>
      <c r="AB150" s="63">
        <f>'SIMULARE PE PRODUS'!BC140</f>
        <v>0.35936956363636363</v>
      </c>
    </row>
    <row r="151" spans="1:28" x14ac:dyDescent="0.2">
      <c r="A151" s="26">
        <v>146</v>
      </c>
      <c r="B151" s="26" t="s">
        <v>298</v>
      </c>
      <c r="C151" s="26" t="s">
        <v>108</v>
      </c>
      <c r="D151" s="41">
        <f>'SIMULARE PE PRODUS'!P215</f>
        <v>17</v>
      </c>
      <c r="E151" s="41">
        <f>'SIMULARE PE PRODUS'!Q215</f>
        <v>20</v>
      </c>
      <c r="F151" s="28">
        <f>'SIMULARE PE PRODUS'!U215</f>
        <v>0.44668199147865173</v>
      </c>
      <c r="G151" s="28">
        <f>'SIMULARE PE PRODUS'!V215</f>
        <v>0.4871899171764707</v>
      </c>
      <c r="H151" s="28">
        <f>'SIMULARE PE PRODUS'!W215</f>
        <v>0.41411142960000008</v>
      </c>
      <c r="I151" s="59">
        <v>0</v>
      </c>
      <c r="J151" s="59">
        <v>0</v>
      </c>
      <c r="K151" s="60">
        <f>'SIMULARE PE PRODUS'!AC215</f>
        <v>0.44668199147865173</v>
      </c>
      <c r="L151" s="60">
        <f>'SIMULARE PE PRODUS'!AD215</f>
        <v>0.4871899171764707</v>
      </c>
      <c r="M151" s="60">
        <f>'SIMULARE PE PRODUS'!AE215</f>
        <v>0.41411142960000008</v>
      </c>
      <c r="N151" s="59">
        <v>0</v>
      </c>
      <c r="O151" s="59">
        <v>0</v>
      </c>
      <c r="P151" s="61">
        <f>'SIMULARE PE PRODUS'!AK215</f>
        <v>0.44668199147865173</v>
      </c>
      <c r="Q151" s="61">
        <f>'SIMULARE PE PRODUS'!AL215</f>
        <v>0.4871899171764707</v>
      </c>
      <c r="R151" s="61">
        <f>'SIMULARE PE PRODUS'!AM215</f>
        <v>0.41411142960000008</v>
      </c>
      <c r="S151" s="59">
        <v>0</v>
      </c>
      <c r="T151" s="59">
        <v>0</v>
      </c>
      <c r="U151" s="62">
        <f>'SIMULARE PE PRODUS'!AS215</f>
        <v>0.44668199147865173</v>
      </c>
      <c r="V151" s="62">
        <f>'SIMULARE PE PRODUS'!AT215</f>
        <v>0.4871899171764707</v>
      </c>
      <c r="W151" s="62">
        <f>'SIMULARE PE PRODUS'!AU215</f>
        <v>0.41411142960000008</v>
      </c>
      <c r="X151" s="59">
        <v>0</v>
      </c>
      <c r="Y151" s="59">
        <v>0</v>
      </c>
      <c r="Z151" s="63">
        <f>'SIMULARE PE PRODUS'!BA215</f>
        <v>0.44668199147865173</v>
      </c>
      <c r="AA151" s="63">
        <f>'SIMULARE PE PRODUS'!BB215</f>
        <v>0.4871899171764707</v>
      </c>
      <c r="AB151" s="63">
        <f>'SIMULARE PE PRODUS'!BC215</f>
        <v>0.41411142960000008</v>
      </c>
    </row>
    <row r="152" spans="1:28" x14ac:dyDescent="0.2">
      <c r="A152" s="26">
        <v>147</v>
      </c>
      <c r="B152" s="26" t="s">
        <v>286</v>
      </c>
      <c r="C152" s="26" t="s">
        <v>104</v>
      </c>
      <c r="D152" s="41">
        <f>'SIMULARE PE PRODUS'!P141</f>
        <v>15</v>
      </c>
      <c r="E152" s="41">
        <f>'SIMULARE PE PRODUS'!Q141</f>
        <v>16</v>
      </c>
      <c r="F152" s="28">
        <f>'SIMULARE PE PRODUS'!U141</f>
        <v>0.37745691148148164</v>
      </c>
      <c r="G152" s="28">
        <f>'SIMULARE PE PRODUS'!V141</f>
        <v>0.38457874000000009</v>
      </c>
      <c r="H152" s="28">
        <f>'SIMULARE PE PRODUS'!W141</f>
        <v>0.36054256875000007</v>
      </c>
      <c r="I152" s="59">
        <v>0</v>
      </c>
      <c r="J152" s="59">
        <v>0</v>
      </c>
      <c r="K152" s="60">
        <f>'SIMULARE PE PRODUS'!AC141</f>
        <v>0.37745691148148164</v>
      </c>
      <c r="L152" s="60">
        <f>'SIMULARE PE PRODUS'!AD141</f>
        <v>0.38457874000000009</v>
      </c>
      <c r="M152" s="60">
        <f>'SIMULARE PE PRODUS'!AE141</f>
        <v>0.36054256875000007</v>
      </c>
      <c r="N152" s="59">
        <v>0</v>
      </c>
      <c r="O152" s="59">
        <v>0</v>
      </c>
      <c r="P152" s="61">
        <f>'SIMULARE PE PRODUS'!AK141</f>
        <v>0.37138183820224729</v>
      </c>
      <c r="Q152" s="61">
        <f>'SIMULARE PE PRODUS'!AL141</f>
        <v>0.37827417049180334</v>
      </c>
      <c r="R152" s="61">
        <f>'SIMULARE PE PRODUS'!AM141</f>
        <v>0.35499576000000005</v>
      </c>
      <c r="S152" s="59">
        <v>0</v>
      </c>
      <c r="T152" s="59">
        <v>0</v>
      </c>
      <c r="U152" s="62">
        <f>'SIMULARE PE PRODUS'!AS141</f>
        <v>0.36549922092050224</v>
      </c>
      <c r="V152" s="62">
        <f>'SIMULARE PE PRODUS'!AT141</f>
        <v>0.3721729741935485</v>
      </c>
      <c r="W152" s="62">
        <f>'SIMULARE PE PRODUS'!AU141</f>
        <v>0.34961703636363645</v>
      </c>
      <c r="X152" s="59">
        <v>0</v>
      </c>
      <c r="Y152" s="59">
        <v>0</v>
      </c>
      <c r="Z152" s="63">
        <f>'SIMULARE PE PRODUS'!BA141</f>
        <v>0.36549922092050224</v>
      </c>
      <c r="AA152" s="63">
        <f>'SIMULARE PE PRODUS'!BB141</f>
        <v>0.3721729741935485</v>
      </c>
      <c r="AB152" s="63">
        <f>'SIMULARE PE PRODUS'!BC141</f>
        <v>0.34961703636363645</v>
      </c>
    </row>
    <row r="153" spans="1:28" x14ac:dyDescent="0.2">
      <c r="A153" s="26">
        <v>148</v>
      </c>
      <c r="B153" s="26" t="s">
        <v>295</v>
      </c>
      <c r="C153" s="26" t="s">
        <v>103</v>
      </c>
      <c r="D153" s="41">
        <f>'SIMULARE PE PRODUS'!P120</f>
        <v>0</v>
      </c>
      <c r="E153" s="41">
        <f>'SIMULARE PE PRODUS'!Q120</f>
        <v>12.99</v>
      </c>
      <c r="F153" s="28">
        <f>'SIMULARE PE PRODUS'!U120</f>
        <v>0.62791548113933793</v>
      </c>
      <c r="G153" s="28" t="str">
        <f>'SIMULARE PE PRODUS'!V120</f>
        <v/>
      </c>
      <c r="H153" s="28">
        <f>'SIMULARE PE PRODUS'!W120</f>
        <v>0.62791548113933793</v>
      </c>
      <c r="I153" s="59">
        <v>0</v>
      </c>
      <c r="J153" s="59">
        <v>0</v>
      </c>
      <c r="K153" s="60">
        <f>'SIMULARE PE PRODUS'!AC120</f>
        <v>0.62791548113933793</v>
      </c>
      <c r="L153" s="60" t="str">
        <f>'SIMULARE PE PRODUS'!AD120</f>
        <v/>
      </c>
      <c r="M153" s="60">
        <f>'SIMULARE PE PRODUS'!AE120</f>
        <v>0.62791548113933793</v>
      </c>
      <c r="N153" s="59">
        <v>0</v>
      </c>
      <c r="O153" s="59">
        <v>0</v>
      </c>
      <c r="P153" s="61">
        <f>'SIMULARE PE PRODUS'!AK120</f>
        <v>0.58303231593995708</v>
      </c>
      <c r="Q153" s="61" t="str">
        <f>'SIMULARE PE PRODUS'!AL120</f>
        <v/>
      </c>
      <c r="R153" s="61">
        <f>'SIMULARE PE PRODUS'!AM120</f>
        <v>0.58303231593995708</v>
      </c>
      <c r="S153" s="59">
        <v>0</v>
      </c>
      <c r="T153" s="59">
        <v>0</v>
      </c>
      <c r="U153" s="62">
        <f>'SIMULARE PE PRODUS'!AS120</f>
        <v>0.56291387853692199</v>
      </c>
      <c r="V153" s="62" t="str">
        <f>'SIMULARE PE PRODUS'!AT120</f>
        <v/>
      </c>
      <c r="W153" s="62">
        <f>'SIMULARE PE PRODUS'!AU120</f>
        <v>0.56291387853692199</v>
      </c>
      <c r="X153" s="59">
        <v>0</v>
      </c>
      <c r="Y153" s="59">
        <v>0</v>
      </c>
      <c r="Z153" s="63">
        <f>'SIMULARE PE PRODUS'!BA120</f>
        <v>0.54413756504336219</v>
      </c>
      <c r="AA153" s="63" t="str">
        <f>'SIMULARE PE PRODUS'!BB120</f>
        <v/>
      </c>
      <c r="AB153" s="63">
        <f>'SIMULARE PE PRODUS'!BC120</f>
        <v>0.54413756504336219</v>
      </c>
    </row>
    <row r="154" spans="1:28" x14ac:dyDescent="0.2">
      <c r="A154" s="26">
        <v>149</v>
      </c>
      <c r="B154" s="26" t="s">
        <v>289</v>
      </c>
      <c r="C154" s="26" t="s">
        <v>105</v>
      </c>
      <c r="D154" s="41">
        <f>'SIMULARE PE PRODUS'!P183</f>
        <v>14</v>
      </c>
      <c r="E154" s="41">
        <f>'SIMULARE PE PRODUS'!Q183</f>
        <v>16</v>
      </c>
      <c r="F154" s="28">
        <f>'SIMULARE PE PRODUS'!U183</f>
        <v>0.36180397818556703</v>
      </c>
      <c r="G154" s="28">
        <f>'SIMULARE PE PRODUS'!V183</f>
        <v>0.30877643828571427</v>
      </c>
      <c r="H154" s="28">
        <f>'SIMULARE PE PRODUS'!W183</f>
        <v>0.41593625849999999</v>
      </c>
      <c r="I154" s="59">
        <v>0</v>
      </c>
      <c r="J154" s="59">
        <v>0</v>
      </c>
      <c r="K154" s="60">
        <f>'SIMULARE PE PRODUS'!AC183</f>
        <v>0.36180397818556703</v>
      </c>
      <c r="L154" s="60">
        <f>'SIMULARE PE PRODUS'!AD183</f>
        <v>0.30877643828571427</v>
      </c>
      <c r="M154" s="60">
        <f>'SIMULARE PE PRODUS'!AE183</f>
        <v>0.41593625849999999</v>
      </c>
      <c r="N154" s="59">
        <v>0</v>
      </c>
      <c r="O154" s="59">
        <v>0</v>
      </c>
      <c r="P154" s="61">
        <f>'SIMULARE PE PRODUS'!AK183</f>
        <v>0.35030180050905829</v>
      </c>
      <c r="Q154" s="61">
        <f>'SIMULARE PE PRODUS'!AL183</f>
        <v>0.29833472298136648</v>
      </c>
      <c r="R154" s="61">
        <f>'SIMULARE PE PRODUS'!AM183</f>
        <v>0.40357672140691331</v>
      </c>
      <c r="S154" s="59">
        <v>0</v>
      </c>
      <c r="T154" s="59">
        <v>0</v>
      </c>
      <c r="U154" s="62">
        <f>'SIMULARE PE PRODUS'!AS183</f>
        <v>0.33929507307971196</v>
      </c>
      <c r="V154" s="62">
        <f>'SIMULARE PE PRODUS'!AT183</f>
        <v>0.28838359813208808</v>
      </c>
      <c r="W154" s="62">
        <f>'SIMULARE PE PRODUS'!AU183</f>
        <v>0.39169983143025311</v>
      </c>
      <c r="X154" s="59">
        <v>0</v>
      </c>
      <c r="Y154" s="59">
        <v>0</v>
      </c>
      <c r="Z154" s="63">
        <f>'SIMULARE PE PRODUS'!BA183</f>
        <v>0.33929507307971196</v>
      </c>
      <c r="AA154" s="63">
        <f>'SIMULARE PE PRODUS'!BB183</f>
        <v>0.28838359813208808</v>
      </c>
      <c r="AB154" s="63">
        <f>'SIMULARE PE PRODUS'!BC183</f>
        <v>0.39169983143025311</v>
      </c>
    </row>
    <row r="155" spans="1:28" x14ac:dyDescent="0.2">
      <c r="A155" s="26">
        <v>150</v>
      </c>
      <c r="B155" s="26" t="s">
        <v>290</v>
      </c>
      <c r="C155" s="26" t="s">
        <v>104</v>
      </c>
      <c r="D155" s="41">
        <f>'SIMULARE PE PRODUS'!P143</f>
        <v>17</v>
      </c>
      <c r="E155" s="41">
        <f>'SIMULARE PE PRODUS'!Q143</f>
        <v>18</v>
      </c>
      <c r="F155" s="28">
        <f>'SIMULARE PE PRODUS'!U143</f>
        <v>0.53760576230922352</v>
      </c>
      <c r="G155" s="28">
        <f>'SIMULARE PE PRODUS'!V143</f>
        <v>0.55415313529411769</v>
      </c>
      <c r="H155" s="28">
        <f>'SIMULARE PE PRODUS'!W143</f>
        <v>0.52336684999999994</v>
      </c>
      <c r="I155" s="59">
        <v>0</v>
      </c>
      <c r="J155" s="59">
        <v>0</v>
      </c>
      <c r="K155" s="60">
        <f>'SIMULARE PE PRODUS'!AC143</f>
        <v>0.53760576230922352</v>
      </c>
      <c r="L155" s="60">
        <f>'SIMULARE PE PRODUS'!AD143</f>
        <v>0.55415313529411769</v>
      </c>
      <c r="M155" s="60">
        <f>'SIMULARE PE PRODUS'!AE143</f>
        <v>0.52336684999999994</v>
      </c>
      <c r="N155" s="59">
        <v>0</v>
      </c>
      <c r="O155" s="59">
        <v>0</v>
      </c>
      <c r="P155" s="61">
        <f>'SIMULARE PE PRODUS'!AK143</f>
        <v>0.53004375780176649</v>
      </c>
      <c r="Q155" s="61">
        <f>'SIMULARE PE PRODUS'!AL143</f>
        <v>0.54612193043478263</v>
      </c>
      <c r="R155" s="61">
        <f>'SIMULARE PE PRODUS'!AM143</f>
        <v>0.51619744109589039</v>
      </c>
      <c r="S155" s="59">
        <v>0</v>
      </c>
      <c r="T155" s="59">
        <v>0</v>
      </c>
      <c r="U155" s="62">
        <f>'SIMULARE PE PRODUS'!AS143</f>
        <v>0.52269153793548395</v>
      </c>
      <c r="V155" s="62">
        <f>'SIMULARE PE PRODUS'!AT143</f>
        <v>0.5383201885714286</v>
      </c>
      <c r="W155" s="62">
        <f>'SIMULARE PE PRODUS'!AU143</f>
        <v>0.50922180000000006</v>
      </c>
      <c r="X155" s="59">
        <v>0</v>
      </c>
      <c r="Y155" s="59">
        <v>0</v>
      </c>
      <c r="Z155" s="63">
        <f>'SIMULARE PE PRODUS'!BA143</f>
        <v>0.52269153793548395</v>
      </c>
      <c r="AA155" s="63">
        <f>'SIMULARE PE PRODUS'!BB143</f>
        <v>0.5383201885714286</v>
      </c>
      <c r="AB155" s="63">
        <f>'SIMULARE PE PRODUS'!BC143</f>
        <v>0.50922180000000006</v>
      </c>
    </row>
    <row r="156" spans="1:28" x14ac:dyDescent="0.2">
      <c r="A156" s="26">
        <v>151</v>
      </c>
      <c r="B156" s="26" t="s">
        <v>296</v>
      </c>
      <c r="C156" s="26" t="s">
        <v>104</v>
      </c>
      <c r="D156" s="41">
        <f>'SIMULARE PE PRODUS'!P144</f>
        <v>10.99</v>
      </c>
      <c r="E156" s="41">
        <f>'SIMULARE PE PRODUS'!Q144</f>
        <v>11.99</v>
      </c>
      <c r="F156" s="28">
        <f>'SIMULARE PE PRODUS'!U144</f>
        <v>0.41218496182354342</v>
      </c>
      <c r="G156" s="28">
        <f>'SIMULARE PE PRODUS'!V144</f>
        <v>0.41521849135577793</v>
      </c>
      <c r="H156" s="28">
        <f>'SIMULARE PE PRODUS'!W144</f>
        <v>0.38058809174311919</v>
      </c>
      <c r="I156" s="59">
        <v>0</v>
      </c>
      <c r="J156" s="59">
        <v>0</v>
      </c>
      <c r="K156" s="60">
        <f>'SIMULARE PE PRODUS'!AC144</f>
        <v>0.41218496182354342</v>
      </c>
      <c r="L156" s="60">
        <f>'SIMULARE PE PRODUS'!AD144</f>
        <v>0.41521849135577793</v>
      </c>
      <c r="M156" s="60">
        <f>'SIMULARE PE PRODUS'!AE144</f>
        <v>0.38058809174311919</v>
      </c>
      <c r="N156" s="59">
        <v>0</v>
      </c>
      <c r="O156" s="59">
        <v>0</v>
      </c>
      <c r="P156" s="61">
        <f>'SIMULARE PE PRODUS'!AK144</f>
        <v>0.41218496182354342</v>
      </c>
      <c r="Q156" s="61">
        <f>'SIMULARE PE PRODUS'!AL144</f>
        <v>0.41521849135577793</v>
      </c>
      <c r="R156" s="61">
        <f>'SIMULARE PE PRODUS'!AM144</f>
        <v>0.38058809174311919</v>
      </c>
      <c r="S156" s="59">
        <v>0</v>
      </c>
      <c r="T156" s="59">
        <v>0</v>
      </c>
      <c r="U156" s="62">
        <f>'SIMULARE PE PRODUS'!AS144</f>
        <v>0.41218496182354342</v>
      </c>
      <c r="V156" s="62">
        <f>'SIMULARE PE PRODUS'!AT144</f>
        <v>0.41521849135577793</v>
      </c>
      <c r="W156" s="62">
        <f>'SIMULARE PE PRODUS'!AU144</f>
        <v>0.38058809174311919</v>
      </c>
      <c r="X156" s="59">
        <v>0</v>
      </c>
      <c r="Y156" s="59">
        <v>0</v>
      </c>
      <c r="Z156" s="63">
        <f>'SIMULARE PE PRODUS'!BA144</f>
        <v>0.41218496182354342</v>
      </c>
      <c r="AA156" s="63">
        <f>'SIMULARE PE PRODUS'!BB144</f>
        <v>0.41521849135577793</v>
      </c>
      <c r="AB156" s="63">
        <f>'SIMULARE PE PRODUS'!BC144</f>
        <v>0.38058809174311919</v>
      </c>
    </row>
    <row r="157" spans="1:28" x14ac:dyDescent="0.2">
      <c r="A157" s="26">
        <v>152</v>
      </c>
      <c r="B157" s="26" t="s">
        <v>291</v>
      </c>
      <c r="C157" s="26" t="s">
        <v>105</v>
      </c>
      <c r="D157" s="41">
        <f>'SIMULARE PE PRODUS'!P184</f>
        <v>14</v>
      </c>
      <c r="E157" s="41">
        <f>'SIMULARE PE PRODUS'!Q184</f>
        <v>0</v>
      </c>
      <c r="F157" s="28">
        <f>'SIMULARE PE PRODUS'!U184</f>
        <v>0.35666145374999997</v>
      </c>
      <c r="G157" s="28">
        <f>'SIMULARE PE PRODUS'!V184</f>
        <v>0.35666145374999997</v>
      </c>
      <c r="H157" s="28" t="str">
        <f>'SIMULARE PE PRODUS'!W184</f>
        <v/>
      </c>
      <c r="I157" s="59">
        <v>0</v>
      </c>
      <c r="J157" s="59">
        <v>0</v>
      </c>
      <c r="K157" s="60">
        <f>'SIMULARE PE PRODUS'!AC184</f>
        <v>0.35666145374999997</v>
      </c>
      <c r="L157" s="60">
        <f>'SIMULARE PE PRODUS'!AD184</f>
        <v>0.35666145374999997</v>
      </c>
      <c r="M157" s="60" t="str">
        <f>'SIMULARE PE PRODUS'!AE184</f>
        <v/>
      </c>
      <c r="N157" s="59">
        <v>0</v>
      </c>
      <c r="O157" s="59">
        <v>0</v>
      </c>
      <c r="P157" s="61">
        <f>'SIMULARE PE PRODUS'!AK184</f>
        <v>0.34460043840579713</v>
      </c>
      <c r="Q157" s="61">
        <f>'SIMULARE PE PRODUS'!AL184</f>
        <v>0.34460043840579713</v>
      </c>
      <c r="R157" s="61" t="str">
        <f>'SIMULARE PE PRODUS'!AM184</f>
        <v/>
      </c>
      <c r="S157" s="59">
        <v>0</v>
      </c>
      <c r="T157" s="59">
        <v>0</v>
      </c>
      <c r="U157" s="62">
        <f>'SIMULARE PE PRODUS'!AS184</f>
        <v>0.33310609422948634</v>
      </c>
      <c r="V157" s="62">
        <f>'SIMULARE PE PRODUS'!AT184</f>
        <v>0.33310609422948634</v>
      </c>
      <c r="W157" s="62" t="str">
        <f>'SIMULARE PE PRODUS'!AU184</f>
        <v/>
      </c>
      <c r="X157" s="59">
        <v>0</v>
      </c>
      <c r="Y157" s="59">
        <v>0</v>
      </c>
      <c r="Z157" s="63">
        <f>'SIMULARE PE PRODUS'!BA184</f>
        <v>0.33310609422948634</v>
      </c>
      <c r="AA157" s="63">
        <f>'SIMULARE PE PRODUS'!BB184</f>
        <v>0.33310609422948634</v>
      </c>
      <c r="AB157" s="63" t="str">
        <f>'SIMULARE PE PRODUS'!BC184</f>
        <v/>
      </c>
    </row>
    <row r="158" spans="1:28" x14ac:dyDescent="0.2">
      <c r="A158" s="26">
        <v>153</v>
      </c>
      <c r="B158" s="26" t="s">
        <v>297</v>
      </c>
      <c r="C158" s="26" t="s">
        <v>103</v>
      </c>
      <c r="D158" s="41">
        <f>'SIMULARE PE PRODUS'!P121</f>
        <v>10.49</v>
      </c>
      <c r="E158" s="41">
        <f>'SIMULARE PE PRODUS'!Q121</f>
        <v>0</v>
      </c>
      <c r="F158" s="28">
        <f>'SIMULARE PE PRODUS'!U121</f>
        <v>0.42574928503336501</v>
      </c>
      <c r="G158" s="28">
        <f>'SIMULARE PE PRODUS'!V121</f>
        <v>0.42574928503336501</v>
      </c>
      <c r="H158" s="28" t="str">
        <f>'SIMULARE PE PRODUS'!W121</f>
        <v/>
      </c>
      <c r="I158" s="59">
        <v>0</v>
      </c>
      <c r="J158" s="59">
        <v>0</v>
      </c>
      <c r="K158" s="60">
        <f>'SIMULARE PE PRODUS'!AC121</f>
        <v>0.42574928503336501</v>
      </c>
      <c r="L158" s="60">
        <f>'SIMULARE PE PRODUS'!AD121</f>
        <v>0.42574928503336501</v>
      </c>
      <c r="M158" s="60" t="str">
        <f>'SIMULARE PE PRODUS'!AE121</f>
        <v/>
      </c>
      <c r="N158" s="59">
        <v>0</v>
      </c>
      <c r="O158" s="59">
        <v>0</v>
      </c>
      <c r="P158" s="61">
        <f>'SIMULARE PE PRODUS'!AK121</f>
        <v>0.38869538729329839</v>
      </c>
      <c r="Q158" s="61">
        <f>'SIMULARE PE PRODUS'!AL121</f>
        <v>0.38869538729329839</v>
      </c>
      <c r="R158" s="61" t="str">
        <f>'SIMULARE PE PRODUS'!AM121</f>
        <v/>
      </c>
      <c r="S158" s="59">
        <v>0</v>
      </c>
      <c r="T158" s="59">
        <v>0</v>
      </c>
      <c r="U158" s="62">
        <f>'SIMULARE PE PRODUS'!AS121</f>
        <v>0.37248623853211005</v>
      </c>
      <c r="V158" s="62">
        <f>'SIMULARE PE PRODUS'!AT121</f>
        <v>0.37248623853211005</v>
      </c>
      <c r="W158" s="62" t="str">
        <f>'SIMULARE PE PRODUS'!AU121</f>
        <v/>
      </c>
      <c r="X158" s="59">
        <v>0</v>
      </c>
      <c r="Y158" s="59">
        <v>0</v>
      </c>
      <c r="Z158" s="63">
        <f>'SIMULARE PE PRODUS'!BA121</f>
        <v>0.35757485988791027</v>
      </c>
      <c r="AA158" s="63">
        <f>'SIMULARE PE PRODUS'!BB121</f>
        <v>0.35757485988791027</v>
      </c>
      <c r="AB158" s="63" t="str">
        <f>'SIMULARE PE PRODUS'!BC121</f>
        <v/>
      </c>
    </row>
    <row r="159" spans="1:28" x14ac:dyDescent="0.2">
      <c r="A159" s="26">
        <v>154</v>
      </c>
      <c r="B159" s="26" t="s">
        <v>293</v>
      </c>
      <c r="C159" s="26" t="s">
        <v>95</v>
      </c>
      <c r="D159" s="41">
        <f>'SIMULARE PE PRODUS'!P18</f>
        <v>20.99</v>
      </c>
      <c r="E159" s="41">
        <f>'SIMULARE PE PRODUS'!Q18</f>
        <v>0</v>
      </c>
      <c r="F159" s="28">
        <f>'SIMULARE PE PRODUS'!U18</f>
        <v>0.41252103987613153</v>
      </c>
      <c r="G159" s="28">
        <f>'SIMULARE PE PRODUS'!V18</f>
        <v>0.41252103987613153</v>
      </c>
      <c r="H159" s="28" t="str">
        <f>'SIMULARE PE PRODUS'!W18</f>
        <v/>
      </c>
      <c r="I159" s="59">
        <v>0</v>
      </c>
      <c r="J159" s="59">
        <v>0</v>
      </c>
      <c r="K159" s="60">
        <f>'SIMULARE PE PRODUS'!AC18</f>
        <v>0.40292306314564919</v>
      </c>
      <c r="L159" s="60">
        <f>'SIMULARE PE PRODUS'!AD18</f>
        <v>0.40292306314564919</v>
      </c>
      <c r="M159" s="60" t="str">
        <f>'SIMULARE PE PRODUS'!AE18</f>
        <v/>
      </c>
      <c r="N159" s="59">
        <v>0</v>
      </c>
      <c r="O159" s="59">
        <v>0</v>
      </c>
      <c r="P159" s="61">
        <f>'SIMULARE PE PRODUS'!AK18</f>
        <v>0.40292306314564919</v>
      </c>
      <c r="Q159" s="61">
        <f>'SIMULARE PE PRODUS'!AL18</f>
        <v>0.40292306314564919</v>
      </c>
      <c r="R159" s="61" t="str">
        <f>'SIMULARE PE PRODUS'!AM18</f>
        <v/>
      </c>
      <c r="S159" s="59">
        <v>0</v>
      </c>
      <c r="T159" s="59">
        <v>0</v>
      </c>
      <c r="U159" s="62">
        <f>'SIMULARE PE PRODUS'!AS18</f>
        <v>0.40292306314564919</v>
      </c>
      <c r="V159" s="62">
        <f>'SIMULARE PE PRODUS'!AT18</f>
        <v>0.40292306314564919</v>
      </c>
      <c r="W159" s="62" t="str">
        <f>'SIMULARE PE PRODUS'!AU18</f>
        <v/>
      </c>
      <c r="X159" s="59">
        <v>0</v>
      </c>
      <c r="Y159" s="59">
        <v>0</v>
      </c>
      <c r="Z159" s="63">
        <f>'SIMULARE PE PRODUS'!BA18</f>
        <v>0.39376155648021832</v>
      </c>
      <c r="AA159" s="63">
        <f>'SIMULARE PE PRODUS'!BB18</f>
        <v>0.39376155648021832</v>
      </c>
      <c r="AB159" s="63" t="str">
        <f>'SIMULARE PE PRODUS'!BC18</f>
        <v/>
      </c>
    </row>
    <row r="160" spans="1:28" x14ac:dyDescent="0.2">
      <c r="A160" s="26">
        <v>155</v>
      </c>
      <c r="B160" s="26" t="s">
        <v>299</v>
      </c>
      <c r="C160" s="26" t="s">
        <v>103</v>
      </c>
      <c r="D160" s="41">
        <f>'SIMULARE PE PRODUS'!P122</f>
        <v>10.49</v>
      </c>
      <c r="E160" s="41">
        <f>'SIMULARE PE PRODUS'!Q122</f>
        <v>10.49</v>
      </c>
      <c r="F160" s="28">
        <f>'SIMULARE PE PRODUS'!U122</f>
        <v>0.42736530981887505</v>
      </c>
      <c r="G160" s="28">
        <f>'SIMULARE PE PRODUS'!V122</f>
        <v>0.42736530981887511</v>
      </c>
      <c r="H160" s="28">
        <f>'SIMULARE PE PRODUS'!W122</f>
        <v>0.42736530981887511</v>
      </c>
      <c r="I160" s="59">
        <v>0</v>
      </c>
      <c r="J160" s="59">
        <v>0</v>
      </c>
      <c r="K160" s="60">
        <f>'SIMULARE PE PRODUS'!AC122</f>
        <v>0.42736530981887505</v>
      </c>
      <c r="L160" s="60">
        <f>'SIMULARE PE PRODUS'!AD122</f>
        <v>0.42736530981887511</v>
      </c>
      <c r="M160" s="60">
        <f>'SIMULARE PE PRODUS'!AE122</f>
        <v>0.42736530981887511</v>
      </c>
      <c r="N160" s="59">
        <v>0</v>
      </c>
      <c r="O160" s="59">
        <v>0</v>
      </c>
      <c r="P160" s="61">
        <f>'SIMULARE PE PRODUS'!AK122</f>
        <v>0.39017076588337679</v>
      </c>
      <c r="Q160" s="61">
        <f>'SIMULARE PE PRODUS'!AL122</f>
        <v>0.39017076588337679</v>
      </c>
      <c r="R160" s="61">
        <f>'SIMULARE PE PRODUS'!AM122</f>
        <v>0.39017076588337685</v>
      </c>
      <c r="S160" s="59">
        <v>0</v>
      </c>
      <c r="T160" s="59">
        <v>0</v>
      </c>
      <c r="U160" s="62">
        <f>'SIMULARE PE PRODUS'!AS122</f>
        <v>0.37390009174311922</v>
      </c>
      <c r="V160" s="62">
        <f>'SIMULARE PE PRODUS'!AT122</f>
        <v>0.37390009174311922</v>
      </c>
      <c r="W160" s="62">
        <f>'SIMULARE PE PRODUS'!AU122</f>
        <v>0.37390009174311922</v>
      </c>
      <c r="X160" s="59">
        <v>0</v>
      </c>
      <c r="Y160" s="59">
        <v>0</v>
      </c>
      <c r="Z160" s="63">
        <f>'SIMULARE PE PRODUS'!BA122</f>
        <v>0.35893211369095274</v>
      </c>
      <c r="AA160" s="63">
        <f>'SIMULARE PE PRODUS'!BB122</f>
        <v>0.35893211369095268</v>
      </c>
      <c r="AB160" s="63">
        <f>'SIMULARE PE PRODUS'!BC122</f>
        <v>0.35893211369095274</v>
      </c>
    </row>
    <row r="161" spans="1:28" x14ac:dyDescent="0.2">
      <c r="A161" s="26">
        <v>156</v>
      </c>
      <c r="B161" s="26" t="s">
        <v>300</v>
      </c>
      <c r="C161" s="26" t="s">
        <v>104</v>
      </c>
      <c r="D161" s="41">
        <f>'SIMULARE PE PRODUS'!P145</f>
        <v>15.99</v>
      </c>
      <c r="E161" s="41">
        <f>'SIMULARE PE PRODUS'!Q145</f>
        <v>16.989999999999998</v>
      </c>
      <c r="F161" s="28">
        <f>'SIMULARE PE PRODUS'!U145</f>
        <v>0.5192446886767188</v>
      </c>
      <c r="G161" s="28">
        <f>'SIMULARE PE PRODUS'!V145</f>
        <v>0.53122880475297052</v>
      </c>
      <c r="H161" s="28">
        <f>'SIMULARE PE PRODUS'!W145</f>
        <v>0.49996165909358448</v>
      </c>
      <c r="I161" s="59">
        <v>0</v>
      </c>
      <c r="J161" s="59">
        <v>0</v>
      </c>
      <c r="K161" s="60">
        <f>'SIMULARE PE PRODUS'!AC145</f>
        <v>0.5192446886767188</v>
      </c>
      <c r="L161" s="60">
        <f>'SIMULARE PE PRODUS'!AD145</f>
        <v>0.53122880475297052</v>
      </c>
      <c r="M161" s="60">
        <f>'SIMULARE PE PRODUS'!AE145</f>
        <v>0.49996165909358448</v>
      </c>
      <c r="N161" s="59">
        <v>0</v>
      </c>
      <c r="O161" s="59">
        <v>0</v>
      </c>
      <c r="P161" s="61">
        <f>'SIMULARE PE PRODUS'!AK145</f>
        <v>0.5192446886767188</v>
      </c>
      <c r="Q161" s="61">
        <f>'SIMULARE PE PRODUS'!AL145</f>
        <v>0.53122880475297052</v>
      </c>
      <c r="R161" s="61">
        <f>'SIMULARE PE PRODUS'!AM145</f>
        <v>0.49996165909358448</v>
      </c>
      <c r="S161" s="59">
        <v>0</v>
      </c>
      <c r="T161" s="59">
        <v>0</v>
      </c>
      <c r="U161" s="62">
        <f>'SIMULARE PE PRODUS'!AS145</f>
        <v>0.5192446886767188</v>
      </c>
      <c r="V161" s="62">
        <f>'SIMULARE PE PRODUS'!AT145</f>
        <v>0.53122880475297052</v>
      </c>
      <c r="W161" s="62">
        <f>'SIMULARE PE PRODUS'!AU145</f>
        <v>0.49996165909358448</v>
      </c>
      <c r="X161" s="59">
        <v>0</v>
      </c>
      <c r="Y161" s="59">
        <v>0</v>
      </c>
      <c r="Z161" s="63">
        <f>'SIMULARE PE PRODUS'!BA145</f>
        <v>0.5192446886767188</v>
      </c>
      <c r="AA161" s="63">
        <f>'SIMULARE PE PRODUS'!BB145</f>
        <v>0.53122880475297052</v>
      </c>
      <c r="AB161" s="63">
        <f>'SIMULARE PE PRODUS'!BC145</f>
        <v>0.49996165909358448</v>
      </c>
    </row>
    <row r="162" spans="1:28" x14ac:dyDescent="0.2">
      <c r="A162" s="26">
        <v>157</v>
      </c>
      <c r="B162" s="26" t="s">
        <v>302</v>
      </c>
      <c r="C162" s="26" t="s">
        <v>103</v>
      </c>
      <c r="D162" s="41">
        <f>'SIMULARE PE PRODUS'!P123</f>
        <v>10.49</v>
      </c>
      <c r="E162" s="41">
        <f>'SIMULARE PE PRODUS'!Q123</f>
        <v>10.49</v>
      </c>
      <c r="F162" s="28">
        <f>'SIMULARE PE PRODUS'!U123</f>
        <v>0.42701811248808391</v>
      </c>
      <c r="G162" s="28">
        <f>'SIMULARE PE PRODUS'!V123</f>
        <v>0.42701811248808386</v>
      </c>
      <c r="H162" s="28">
        <f>'SIMULARE PE PRODUS'!W123</f>
        <v>0.42701811248808391</v>
      </c>
      <c r="I162" s="59">
        <v>0</v>
      </c>
      <c r="J162" s="59">
        <v>0</v>
      </c>
      <c r="K162" s="60">
        <f>'SIMULARE PE PRODUS'!AC123</f>
        <v>0.42701811248808391</v>
      </c>
      <c r="L162" s="60">
        <f>'SIMULARE PE PRODUS'!AD123</f>
        <v>0.42701811248808386</v>
      </c>
      <c r="M162" s="60">
        <f>'SIMULARE PE PRODUS'!AE123</f>
        <v>0.42701811248808391</v>
      </c>
      <c r="N162" s="59">
        <v>0</v>
      </c>
      <c r="O162" s="59">
        <v>0</v>
      </c>
      <c r="P162" s="61">
        <f>'SIMULARE PE PRODUS'!AK123</f>
        <v>0.38985378590078329</v>
      </c>
      <c r="Q162" s="61">
        <f>'SIMULARE PE PRODUS'!AL123</f>
        <v>0.38985378590078318</v>
      </c>
      <c r="R162" s="61">
        <f>'SIMULARE PE PRODUS'!AM123</f>
        <v>0.38985378590078329</v>
      </c>
      <c r="S162" s="59">
        <v>0</v>
      </c>
      <c r="T162" s="59">
        <v>0</v>
      </c>
      <c r="U162" s="62">
        <f>'SIMULARE PE PRODUS'!AS123</f>
        <v>0.37359633027522932</v>
      </c>
      <c r="V162" s="62">
        <f>'SIMULARE PE PRODUS'!AT123</f>
        <v>0.37359633027522932</v>
      </c>
      <c r="W162" s="62">
        <f>'SIMULARE PE PRODUS'!AU123</f>
        <v>0.37359633027522932</v>
      </c>
      <c r="X162" s="59">
        <v>0</v>
      </c>
      <c r="Y162" s="59">
        <v>0</v>
      </c>
      <c r="Z162" s="63">
        <f>'SIMULARE PE PRODUS'!BA123</f>
        <v>0.35864051240992789</v>
      </c>
      <c r="AA162" s="63">
        <f>'SIMULARE PE PRODUS'!BB123</f>
        <v>0.35864051240992789</v>
      </c>
      <c r="AB162" s="63">
        <f>'SIMULARE PE PRODUS'!BC123</f>
        <v>0.35864051240992789</v>
      </c>
    </row>
    <row r="163" spans="1:28" x14ac:dyDescent="0.2">
      <c r="A163" s="26">
        <v>158</v>
      </c>
      <c r="B163" s="26" t="s">
        <v>303</v>
      </c>
      <c r="C163" s="26" t="s">
        <v>103</v>
      </c>
      <c r="D163" s="41">
        <f>'SIMULARE PE PRODUS'!P124</f>
        <v>15.99</v>
      </c>
      <c r="E163" s="41">
        <f>'SIMULARE PE PRODUS'!Q124</f>
        <v>17.989999999999998</v>
      </c>
      <c r="F163" s="28">
        <f>'SIMULARE PE PRODUS'!U124</f>
        <v>0.47319257160637368</v>
      </c>
      <c r="G163" s="28">
        <f>'SIMULARE PE PRODUS'!V124</f>
        <v>0.48838899312070039</v>
      </c>
      <c r="H163" s="28">
        <f>'SIMULARE PE PRODUS'!W124</f>
        <v>0.43409338521400775</v>
      </c>
      <c r="I163" s="59">
        <v>0</v>
      </c>
      <c r="J163" s="59">
        <v>0</v>
      </c>
      <c r="K163" s="60">
        <f>'SIMULARE PE PRODUS'!AC124</f>
        <v>0.47319257160637368</v>
      </c>
      <c r="L163" s="60">
        <f>'SIMULARE PE PRODUS'!AD124</f>
        <v>0.48838899312070039</v>
      </c>
      <c r="M163" s="60">
        <f>'SIMULARE PE PRODUS'!AE124</f>
        <v>0.43409338521400775</v>
      </c>
      <c r="N163" s="59">
        <v>0</v>
      </c>
      <c r="O163" s="59">
        <v>0</v>
      </c>
      <c r="P163" s="61">
        <f>'SIMULARE PE PRODUS'!AK124</f>
        <v>0.44615842379136234</v>
      </c>
      <c r="Q163" s="61">
        <f>'SIMULARE PE PRODUS'!AL124</f>
        <v>0.45964331959976457</v>
      </c>
      <c r="R163" s="61">
        <f>'SIMULARE PE PRODUS'!AM124</f>
        <v>0.41123433385992625</v>
      </c>
      <c r="S163" s="59">
        <v>0</v>
      </c>
      <c r="T163" s="59">
        <v>0</v>
      </c>
      <c r="U163" s="62">
        <f>'SIMULARE PE PRODUS'!AS124</f>
        <v>0.43376755288006846</v>
      </c>
      <c r="V163" s="62">
        <f>'SIMULARE PE PRODUS'!AT124</f>
        <v>0.44650314465408808</v>
      </c>
      <c r="W163" s="62">
        <f>'SIMULARE PE PRODUS'!AU124</f>
        <v>0.40068445356593124</v>
      </c>
      <c r="X163" s="59">
        <v>0</v>
      </c>
      <c r="Y163" s="59">
        <v>0</v>
      </c>
      <c r="Z163" s="63">
        <f>'SIMULARE PE PRODUS'!BA124</f>
        <v>0.42204633159516813</v>
      </c>
      <c r="AA163" s="63">
        <f>'SIMULARE PE PRODUS'!BB124</f>
        <v>0.43409338521400781</v>
      </c>
      <c r="AB163" s="63">
        <f>'SIMULARE PE PRODUS'!BC124</f>
        <v>0.39066233116558274</v>
      </c>
    </row>
    <row r="164" spans="1:28" x14ac:dyDescent="0.2">
      <c r="A164" s="26">
        <v>159</v>
      </c>
      <c r="B164" s="26" t="s">
        <v>304</v>
      </c>
      <c r="C164" s="26" t="s">
        <v>104</v>
      </c>
      <c r="D164" s="41">
        <f>'SIMULARE PE PRODUS'!P147</f>
        <v>10.99</v>
      </c>
      <c r="E164" s="41">
        <f>'SIMULARE PE PRODUS'!Q147</f>
        <v>11.99</v>
      </c>
      <c r="F164" s="28">
        <f>'SIMULARE PE PRODUS'!U147</f>
        <v>0.48814798174063034</v>
      </c>
      <c r="G164" s="28">
        <f>'SIMULARE PE PRODUS'!V147</f>
        <v>0.48856309827115563</v>
      </c>
      <c r="H164" s="28">
        <f>'SIMULARE PE PRODUS'!W147</f>
        <v>0.44781555045871557</v>
      </c>
      <c r="I164" s="59">
        <v>0</v>
      </c>
      <c r="J164" s="59">
        <v>0</v>
      </c>
      <c r="K164" s="60">
        <f>'SIMULARE PE PRODUS'!AC147</f>
        <v>0.48814798174063034</v>
      </c>
      <c r="L164" s="60">
        <f>'SIMULARE PE PRODUS'!AD147</f>
        <v>0.48856309827115563</v>
      </c>
      <c r="M164" s="60">
        <f>'SIMULARE PE PRODUS'!AE147</f>
        <v>0.44781555045871557</v>
      </c>
      <c r="N164" s="59">
        <v>0</v>
      </c>
      <c r="O164" s="59">
        <v>0</v>
      </c>
      <c r="P164" s="61">
        <f>'SIMULARE PE PRODUS'!AK147</f>
        <v>0.48814798174063034</v>
      </c>
      <c r="Q164" s="61">
        <f>'SIMULARE PE PRODUS'!AL147</f>
        <v>0.48856309827115563</v>
      </c>
      <c r="R164" s="61">
        <f>'SIMULARE PE PRODUS'!AM147</f>
        <v>0.44781555045871557</v>
      </c>
      <c r="S164" s="59">
        <v>0</v>
      </c>
      <c r="T164" s="59">
        <v>0</v>
      </c>
      <c r="U164" s="62">
        <f>'SIMULARE PE PRODUS'!AS147</f>
        <v>0.48814798174063034</v>
      </c>
      <c r="V164" s="62">
        <f>'SIMULARE PE PRODUS'!AT147</f>
        <v>0.48856309827115563</v>
      </c>
      <c r="W164" s="62">
        <f>'SIMULARE PE PRODUS'!AU147</f>
        <v>0.44781555045871557</v>
      </c>
      <c r="X164" s="59">
        <v>0</v>
      </c>
      <c r="Y164" s="59">
        <v>0</v>
      </c>
      <c r="Z164" s="63">
        <f>'SIMULARE PE PRODUS'!BA147</f>
        <v>0.48814798174063034</v>
      </c>
      <c r="AA164" s="63">
        <f>'SIMULARE PE PRODUS'!BB147</f>
        <v>0.48856309827115563</v>
      </c>
      <c r="AB164" s="63">
        <f>'SIMULARE PE PRODUS'!BC147</f>
        <v>0.44781555045871557</v>
      </c>
    </row>
    <row r="165" spans="1:28" x14ac:dyDescent="0.2">
      <c r="A165" s="26">
        <v>160</v>
      </c>
      <c r="B165" s="26" t="s">
        <v>301</v>
      </c>
      <c r="C165" s="26" t="s">
        <v>104</v>
      </c>
      <c r="D165" s="41">
        <f>'SIMULARE PE PRODUS'!P146</f>
        <v>22</v>
      </c>
      <c r="E165" s="41">
        <f>'SIMULARE PE PRODUS'!Q146</f>
        <v>21</v>
      </c>
      <c r="F165" s="28">
        <f>'SIMULARE PE PRODUS'!U146</f>
        <v>0.58819858636363642</v>
      </c>
      <c r="G165" s="28">
        <f>'SIMULARE PE PRODUS'!V146</f>
        <v>0.58819858636363642</v>
      </c>
      <c r="H165" s="28" t="str">
        <f>'SIMULARE PE PRODUS'!W146</f>
        <v/>
      </c>
      <c r="I165" s="59">
        <v>0</v>
      </c>
      <c r="J165" s="59">
        <v>0</v>
      </c>
      <c r="K165" s="60">
        <f>'SIMULARE PE PRODUS'!AC146</f>
        <v>0.58819858636363642</v>
      </c>
      <c r="L165" s="60">
        <f>'SIMULARE PE PRODUS'!AD146</f>
        <v>0.58819858636363642</v>
      </c>
      <c r="M165" s="60" t="str">
        <f>'SIMULARE PE PRODUS'!AE146</f>
        <v/>
      </c>
      <c r="N165" s="59">
        <v>0</v>
      </c>
      <c r="O165" s="59">
        <v>0</v>
      </c>
      <c r="P165" s="61">
        <f>'SIMULARE PE PRODUS'!AK146</f>
        <v>0.58158961348314619</v>
      </c>
      <c r="Q165" s="61">
        <f>'SIMULARE PE PRODUS'!AL146</f>
        <v>0.58158961348314619</v>
      </c>
      <c r="R165" s="61" t="str">
        <f>'SIMULARE PE PRODUS'!AM146</f>
        <v/>
      </c>
      <c r="S165" s="59">
        <v>0</v>
      </c>
      <c r="T165" s="59">
        <v>0</v>
      </c>
      <c r="U165" s="62">
        <f>'SIMULARE PE PRODUS'!AS146</f>
        <v>0.57512750666666668</v>
      </c>
      <c r="V165" s="62">
        <f>'SIMULARE PE PRODUS'!AT146</f>
        <v>0.57512750666666668</v>
      </c>
      <c r="W165" s="62" t="str">
        <f>'SIMULARE PE PRODUS'!AU146</f>
        <v/>
      </c>
      <c r="X165" s="59">
        <v>0</v>
      </c>
      <c r="Y165" s="59">
        <v>0</v>
      </c>
      <c r="Z165" s="63">
        <f>'SIMULARE PE PRODUS'!BA146</f>
        <v>0.57512750666666668</v>
      </c>
      <c r="AA165" s="63">
        <f>'SIMULARE PE PRODUS'!BB146</f>
        <v>0.57512750666666668</v>
      </c>
      <c r="AB165" s="63" t="str">
        <f>'SIMULARE PE PRODUS'!BC146</f>
        <v/>
      </c>
    </row>
    <row r="166" spans="1:28" x14ac:dyDescent="0.2">
      <c r="A166" s="26">
        <v>161</v>
      </c>
      <c r="B166" s="26" t="s">
        <v>305</v>
      </c>
      <c r="C166" s="26" t="s">
        <v>113</v>
      </c>
      <c r="D166" s="41">
        <f>'SIMULARE PE PRODUS'!P241</f>
        <v>0</v>
      </c>
      <c r="E166" s="41">
        <f>'SIMULARE PE PRODUS'!Q241</f>
        <v>0.5</v>
      </c>
      <c r="F166" s="28">
        <f>'SIMULARE PE PRODUS'!U241</f>
        <v>1.21</v>
      </c>
      <c r="G166" s="28" t="str">
        <f>'SIMULARE PE PRODUS'!V241</f>
        <v/>
      </c>
      <c r="H166" s="28">
        <f>'SIMULARE PE PRODUS'!W241</f>
        <v>1.21</v>
      </c>
      <c r="I166" s="59">
        <v>0</v>
      </c>
      <c r="J166" s="59">
        <v>0</v>
      </c>
      <c r="K166" s="60">
        <f>'SIMULARE PE PRODUS'!AC241</f>
        <v>1.21</v>
      </c>
      <c r="L166" s="60" t="str">
        <f>'SIMULARE PE PRODUS'!AD241</f>
        <v/>
      </c>
      <c r="M166" s="60">
        <f>'SIMULARE PE PRODUS'!AE241</f>
        <v>1.21</v>
      </c>
      <c r="N166" s="59">
        <v>0</v>
      </c>
      <c r="O166" s="59">
        <v>0</v>
      </c>
      <c r="P166" s="61">
        <f>'SIMULARE PE PRODUS'!AK241</f>
        <v>1.21</v>
      </c>
      <c r="Q166" s="61" t="str">
        <f>'SIMULARE PE PRODUS'!AL241</f>
        <v/>
      </c>
      <c r="R166" s="61">
        <f>'SIMULARE PE PRODUS'!AM241</f>
        <v>1.21</v>
      </c>
      <c r="S166" s="59">
        <v>0</v>
      </c>
      <c r="T166" s="59">
        <v>0</v>
      </c>
      <c r="U166" s="62">
        <f>'SIMULARE PE PRODUS'!AS241</f>
        <v>1.21</v>
      </c>
      <c r="V166" s="62" t="str">
        <f>'SIMULARE PE PRODUS'!AT241</f>
        <v/>
      </c>
      <c r="W166" s="62">
        <f>'SIMULARE PE PRODUS'!AU241</f>
        <v>1.21</v>
      </c>
      <c r="X166" s="59">
        <v>0</v>
      </c>
      <c r="Y166" s="59">
        <v>0</v>
      </c>
      <c r="Z166" s="63">
        <f>'SIMULARE PE PRODUS'!BA241</f>
        <v>1.21</v>
      </c>
      <c r="AA166" s="63" t="str">
        <f>'SIMULARE PE PRODUS'!BB241</f>
        <v/>
      </c>
      <c r="AB166" s="63">
        <f>'SIMULARE PE PRODUS'!BC241</f>
        <v>1.21</v>
      </c>
    </row>
    <row r="167" spans="1:28" x14ac:dyDescent="0.2">
      <c r="A167" s="26">
        <v>162</v>
      </c>
      <c r="B167" s="26" t="s">
        <v>306</v>
      </c>
      <c r="C167" s="26" t="s">
        <v>105</v>
      </c>
      <c r="D167" s="41">
        <f>'SIMULARE PE PRODUS'!P185</f>
        <v>14</v>
      </c>
      <c r="E167" s="41">
        <f>'SIMULARE PE PRODUS'!Q185</f>
        <v>0</v>
      </c>
      <c r="F167" s="28">
        <f>'SIMULARE PE PRODUS'!U185</f>
        <v>0.35473620235714287</v>
      </c>
      <c r="G167" s="28">
        <f>'SIMULARE PE PRODUS'!V185</f>
        <v>0.35473620235714287</v>
      </c>
      <c r="H167" s="28" t="str">
        <f>'SIMULARE PE PRODUS'!W185</f>
        <v/>
      </c>
      <c r="I167" s="59">
        <v>0</v>
      </c>
      <c r="J167" s="59">
        <v>0</v>
      </c>
      <c r="K167" s="60">
        <f>'SIMULARE PE PRODUS'!AC185</f>
        <v>0.35473620235714287</v>
      </c>
      <c r="L167" s="60">
        <f>'SIMULARE PE PRODUS'!AD185</f>
        <v>0.35473620235714287</v>
      </c>
      <c r="M167" s="60" t="str">
        <f>'SIMULARE PE PRODUS'!AE185</f>
        <v/>
      </c>
      <c r="N167" s="59">
        <v>0</v>
      </c>
      <c r="O167" s="59">
        <v>0</v>
      </c>
      <c r="P167" s="61">
        <f>'SIMULARE PE PRODUS'!AK185</f>
        <v>0.34274029213250523</v>
      </c>
      <c r="Q167" s="61">
        <f>'SIMULARE PE PRODUS'!AL185</f>
        <v>0.34274029213250523</v>
      </c>
      <c r="R167" s="61" t="str">
        <f>'SIMULARE PE PRODUS'!AM185</f>
        <v/>
      </c>
      <c r="S167" s="59">
        <v>0</v>
      </c>
      <c r="T167" s="59">
        <v>0</v>
      </c>
      <c r="U167" s="62">
        <f>'SIMULARE PE PRODUS'!AS185</f>
        <v>0.33130799419613077</v>
      </c>
      <c r="V167" s="62">
        <f>'SIMULARE PE PRODUS'!AT185</f>
        <v>0.33130799419613077</v>
      </c>
      <c r="W167" s="62" t="str">
        <f>'SIMULARE PE PRODUS'!AU185</f>
        <v/>
      </c>
      <c r="X167" s="59">
        <v>0</v>
      </c>
      <c r="Y167" s="59">
        <v>0</v>
      </c>
      <c r="Z167" s="63">
        <f>'SIMULARE PE PRODUS'!BA185</f>
        <v>0.33130799419613077</v>
      </c>
      <c r="AA167" s="63">
        <f>'SIMULARE PE PRODUS'!BB185</f>
        <v>0.33130799419613077</v>
      </c>
      <c r="AB167" s="63" t="str">
        <f>'SIMULARE PE PRODUS'!BC185</f>
        <v/>
      </c>
    </row>
    <row r="168" spans="1:28" x14ac:dyDescent="0.2">
      <c r="A168" s="26">
        <v>163</v>
      </c>
      <c r="B168" s="26" t="s">
        <v>309</v>
      </c>
      <c r="C168" s="26" t="s">
        <v>104</v>
      </c>
      <c r="D168" s="41">
        <f>'SIMULARE PE PRODUS'!P149</f>
        <v>13.99</v>
      </c>
      <c r="E168" s="41">
        <f>'SIMULARE PE PRODUS'!Q149</f>
        <v>14.99</v>
      </c>
      <c r="F168" s="28">
        <f>'SIMULARE PE PRODUS'!U149</f>
        <v>0.45970189298812947</v>
      </c>
      <c r="G168" s="28">
        <f>'SIMULARE PE PRODUS'!V149</f>
        <v>0.46289654914224437</v>
      </c>
      <c r="H168" s="28">
        <f>'SIMULARE PE PRODUS'!W149</f>
        <v>0.43201619229486321</v>
      </c>
      <c r="I168" s="59">
        <v>0</v>
      </c>
      <c r="J168" s="59">
        <v>0</v>
      </c>
      <c r="K168" s="60">
        <f>'SIMULARE PE PRODUS'!AC149</f>
        <v>0.45970189298812947</v>
      </c>
      <c r="L168" s="60">
        <f>'SIMULARE PE PRODUS'!AD149</f>
        <v>0.46289654914224437</v>
      </c>
      <c r="M168" s="60">
        <f>'SIMULARE PE PRODUS'!AE149</f>
        <v>0.43201619229486321</v>
      </c>
      <c r="N168" s="59">
        <v>0</v>
      </c>
      <c r="O168" s="59">
        <v>0</v>
      </c>
      <c r="P168" s="61">
        <f>'SIMULARE PE PRODUS'!AK149</f>
        <v>0.45970189298812947</v>
      </c>
      <c r="Q168" s="61">
        <f>'SIMULARE PE PRODUS'!AL149</f>
        <v>0.46289654914224437</v>
      </c>
      <c r="R168" s="61">
        <f>'SIMULARE PE PRODUS'!AM149</f>
        <v>0.43201619229486321</v>
      </c>
      <c r="S168" s="59">
        <v>0</v>
      </c>
      <c r="T168" s="59">
        <v>0</v>
      </c>
      <c r="U168" s="62">
        <f>'SIMULARE PE PRODUS'!AS149</f>
        <v>0.45970189298812947</v>
      </c>
      <c r="V168" s="62">
        <f>'SIMULARE PE PRODUS'!AT149</f>
        <v>0.46289654914224437</v>
      </c>
      <c r="W168" s="62">
        <f>'SIMULARE PE PRODUS'!AU149</f>
        <v>0.43201619229486321</v>
      </c>
      <c r="X168" s="59">
        <v>0</v>
      </c>
      <c r="Y168" s="59">
        <v>0</v>
      </c>
      <c r="Z168" s="63">
        <f>'SIMULARE PE PRODUS'!BA149</f>
        <v>0.45970189298812947</v>
      </c>
      <c r="AA168" s="63">
        <f>'SIMULARE PE PRODUS'!BB149</f>
        <v>0.46289654914224437</v>
      </c>
      <c r="AB168" s="63">
        <f>'SIMULARE PE PRODUS'!BC149</f>
        <v>0.43201619229486321</v>
      </c>
    </row>
    <row r="169" spans="1:28" x14ac:dyDescent="0.2">
      <c r="A169" s="26">
        <v>164</v>
      </c>
      <c r="B169" s="26" t="s">
        <v>307</v>
      </c>
      <c r="C169" s="26" t="s">
        <v>104</v>
      </c>
      <c r="D169" s="41">
        <f>'SIMULARE PE PRODUS'!P148</f>
        <v>17</v>
      </c>
      <c r="E169" s="41">
        <f>'SIMULARE PE PRODUS'!Q148</f>
        <v>18</v>
      </c>
      <c r="F169" s="28">
        <f>'SIMULARE PE PRODUS'!U148</f>
        <v>0.49557332015810279</v>
      </c>
      <c r="G169" s="28">
        <f>'SIMULARE PE PRODUS'!V148</f>
        <v>0.50864117647058826</v>
      </c>
      <c r="H169" s="28">
        <f>'SIMULARE PE PRODUS'!W148</f>
        <v>0.48038333333333333</v>
      </c>
      <c r="I169" s="59">
        <v>0</v>
      </c>
      <c r="J169" s="59">
        <v>0</v>
      </c>
      <c r="K169" s="60">
        <f>'SIMULARE PE PRODUS'!AC148</f>
        <v>0.49557332015810279</v>
      </c>
      <c r="L169" s="60">
        <f>'SIMULARE PE PRODUS'!AD148</f>
        <v>0.50864117647058826</v>
      </c>
      <c r="M169" s="60">
        <f>'SIMULARE PE PRODUS'!AE148</f>
        <v>0.48038333333333333</v>
      </c>
      <c r="N169" s="59">
        <v>0</v>
      </c>
      <c r="O169" s="59">
        <v>0</v>
      </c>
      <c r="P169" s="61">
        <f>'SIMULARE PE PRODUS'!AK148</f>
        <v>0.48857301509985385</v>
      </c>
      <c r="Q169" s="61">
        <f>'SIMULARE PE PRODUS'!AL148</f>
        <v>0.5012695652173913</v>
      </c>
      <c r="R169" s="61">
        <f>'SIMULARE PE PRODUS'!AM148</f>
        <v>0.47380273972602732</v>
      </c>
      <c r="S169" s="59">
        <v>0</v>
      </c>
      <c r="T169" s="59">
        <v>0</v>
      </c>
      <c r="U169" s="62">
        <f>'SIMULARE PE PRODUS'!AS148</f>
        <v>0.48176772334293949</v>
      </c>
      <c r="V169" s="62">
        <f>'SIMULARE PE PRODUS'!AT148</f>
        <v>0.49410857142857145</v>
      </c>
      <c r="W169" s="62">
        <f>'SIMULARE PE PRODUS'!AU148</f>
        <v>0.46739999999999998</v>
      </c>
      <c r="X169" s="59">
        <v>0</v>
      </c>
      <c r="Y169" s="59">
        <v>0</v>
      </c>
      <c r="Z169" s="63">
        <f>'SIMULARE PE PRODUS'!BA148</f>
        <v>0.48176772334293949</v>
      </c>
      <c r="AA169" s="63">
        <f>'SIMULARE PE PRODUS'!BB148</f>
        <v>0.49410857142857145</v>
      </c>
      <c r="AB169" s="63">
        <f>'SIMULARE PE PRODUS'!BC148</f>
        <v>0.46739999999999998</v>
      </c>
    </row>
    <row r="170" spans="1:28" x14ac:dyDescent="0.2">
      <c r="A170" s="26">
        <v>165</v>
      </c>
      <c r="B170" s="26" t="s">
        <v>310</v>
      </c>
      <c r="C170" s="26" t="s">
        <v>103</v>
      </c>
      <c r="D170" s="41">
        <f>'SIMULARE PE PRODUS'!P125</f>
        <v>0</v>
      </c>
      <c r="E170" s="41">
        <f>'SIMULARE PE PRODUS'!Q125</f>
        <v>10.49</v>
      </c>
      <c r="F170" s="28">
        <f>'SIMULARE PE PRODUS'!U125</f>
        <v>0.43866825548141075</v>
      </c>
      <c r="G170" s="28" t="str">
        <f>'SIMULARE PE PRODUS'!V125</f>
        <v/>
      </c>
      <c r="H170" s="28">
        <f>'SIMULARE PE PRODUS'!W125</f>
        <v>0.43866825548141075</v>
      </c>
      <c r="I170" s="59">
        <v>0</v>
      </c>
      <c r="J170" s="59">
        <v>0</v>
      </c>
      <c r="K170" s="60">
        <f>'SIMULARE PE PRODUS'!AC125</f>
        <v>0.43866825548141075</v>
      </c>
      <c r="L170" s="60" t="str">
        <f>'SIMULARE PE PRODUS'!AD125</f>
        <v/>
      </c>
      <c r="M170" s="60">
        <f>'SIMULARE PE PRODUS'!AE125</f>
        <v>0.43866825548141075</v>
      </c>
      <c r="N170" s="59">
        <v>0</v>
      </c>
      <c r="O170" s="59">
        <v>0</v>
      </c>
      <c r="P170" s="61">
        <f>'SIMULARE PE PRODUS'!AK125</f>
        <v>0.40048999129677976</v>
      </c>
      <c r="Q170" s="61" t="str">
        <f>'SIMULARE PE PRODUS'!AL125</f>
        <v/>
      </c>
      <c r="R170" s="61">
        <f>'SIMULARE PE PRODUS'!AM125</f>
        <v>0.40048999129677976</v>
      </c>
      <c r="S170" s="59">
        <v>0</v>
      </c>
      <c r="T170" s="59">
        <v>0</v>
      </c>
      <c r="U170" s="62">
        <f>'SIMULARE PE PRODUS'!AS125</f>
        <v>0.38378899082568801</v>
      </c>
      <c r="V170" s="62" t="str">
        <f>'SIMULARE PE PRODUS'!AT125</f>
        <v/>
      </c>
      <c r="W170" s="62">
        <f>'SIMULARE PE PRODUS'!AU125</f>
        <v>0.38378899082568801</v>
      </c>
      <c r="X170" s="59">
        <v>0</v>
      </c>
      <c r="Y170" s="59">
        <v>0</v>
      </c>
      <c r="Z170" s="63">
        <f>'SIMULARE PE PRODUS'!BA125</f>
        <v>0.3684251401120896</v>
      </c>
      <c r="AA170" s="63" t="str">
        <f>'SIMULARE PE PRODUS'!BB125</f>
        <v/>
      </c>
      <c r="AB170" s="63">
        <f>'SIMULARE PE PRODUS'!BC125</f>
        <v>0.3684251401120896</v>
      </c>
    </row>
    <row r="171" spans="1:28" x14ac:dyDescent="0.2">
      <c r="A171" s="26">
        <v>166</v>
      </c>
      <c r="B171" s="26" t="s">
        <v>311</v>
      </c>
      <c r="C171" s="26" t="s">
        <v>104</v>
      </c>
      <c r="D171" s="41">
        <f>'SIMULARE PE PRODUS'!P150</f>
        <v>17</v>
      </c>
      <c r="E171" s="41">
        <f>'SIMULARE PE PRODUS'!Q150</f>
        <v>18</v>
      </c>
      <c r="F171" s="28">
        <f>'SIMULARE PE PRODUS'!U150</f>
        <v>0.51977105725190842</v>
      </c>
      <c r="G171" s="28">
        <f>'SIMULARE PE PRODUS'!V150</f>
        <v>0.53403928235294118</v>
      </c>
      <c r="H171" s="28">
        <f>'SIMULARE PE PRODUS'!W150</f>
        <v>0.50437043333333331</v>
      </c>
      <c r="I171" s="59">
        <v>0</v>
      </c>
      <c r="J171" s="59">
        <v>0</v>
      </c>
      <c r="K171" s="60">
        <f>'SIMULARE PE PRODUS'!AC150</f>
        <v>0.51977105725190842</v>
      </c>
      <c r="L171" s="60">
        <f>'SIMULARE PE PRODUS'!AD150</f>
        <v>0.53403928235294118</v>
      </c>
      <c r="M171" s="60">
        <f>'SIMULARE PE PRODUS'!AE150</f>
        <v>0.50437043333333331</v>
      </c>
      <c r="N171" s="59">
        <v>0</v>
      </c>
      <c r="O171" s="59">
        <v>0</v>
      </c>
      <c r="P171" s="61">
        <f>'SIMULARE PE PRODUS'!AK150</f>
        <v>0.51243656444026342</v>
      </c>
      <c r="Q171" s="61">
        <f>'SIMULARE PE PRODUS'!AL150</f>
        <v>0.52629958260869569</v>
      </c>
      <c r="R171" s="61">
        <f>'SIMULARE PE PRODUS'!AM150</f>
        <v>0.49746124931506852</v>
      </c>
      <c r="S171" s="59">
        <v>0</v>
      </c>
      <c r="T171" s="59">
        <v>0</v>
      </c>
      <c r="U171" s="62">
        <f>'SIMULARE PE PRODUS'!AS150</f>
        <v>0.50530618552875695</v>
      </c>
      <c r="V171" s="62">
        <f>'SIMULARE PE PRODUS'!AT150</f>
        <v>0.51878101714285718</v>
      </c>
      <c r="W171" s="62">
        <f>'SIMULARE PE PRODUS'!AU150</f>
        <v>0.49073880000000009</v>
      </c>
      <c r="X171" s="59">
        <v>0</v>
      </c>
      <c r="Y171" s="59">
        <v>0</v>
      </c>
      <c r="Z171" s="63">
        <f>'SIMULARE PE PRODUS'!BA150</f>
        <v>0.50530618552875695</v>
      </c>
      <c r="AA171" s="63">
        <f>'SIMULARE PE PRODUS'!BB150</f>
        <v>0.51878101714285718</v>
      </c>
      <c r="AB171" s="63">
        <f>'SIMULARE PE PRODUS'!BC150</f>
        <v>0.49073880000000009</v>
      </c>
    </row>
    <row r="172" spans="1:28" x14ac:dyDescent="0.2">
      <c r="A172" s="26">
        <v>167</v>
      </c>
      <c r="B172" s="26" t="s">
        <v>312</v>
      </c>
      <c r="C172" s="26" t="s">
        <v>104</v>
      </c>
      <c r="D172" s="41">
        <f>'SIMULARE PE PRODUS'!P151</f>
        <v>14.99</v>
      </c>
      <c r="E172" s="41">
        <f>'SIMULARE PE PRODUS'!Q151</f>
        <v>15.99</v>
      </c>
      <c r="F172" s="28">
        <f>'SIMULARE PE PRODUS'!U151</f>
        <v>0.44596648265895955</v>
      </c>
      <c r="G172" s="28">
        <f>'SIMULARE PE PRODUS'!V151</f>
        <v>0.45464383805870573</v>
      </c>
      <c r="H172" s="28">
        <f>'SIMULARE PE PRODUS'!W151</f>
        <v>0.42621082754846773</v>
      </c>
      <c r="I172" s="59">
        <v>0</v>
      </c>
      <c r="J172" s="59">
        <v>0</v>
      </c>
      <c r="K172" s="60">
        <f>'SIMULARE PE PRODUS'!AC151</f>
        <v>0.44596648265895955</v>
      </c>
      <c r="L172" s="60">
        <f>'SIMULARE PE PRODUS'!AD151</f>
        <v>0.45464383805870573</v>
      </c>
      <c r="M172" s="60">
        <f>'SIMULARE PE PRODUS'!AE151</f>
        <v>0.42621082754846773</v>
      </c>
      <c r="N172" s="59">
        <v>0</v>
      </c>
      <c r="O172" s="59">
        <v>0</v>
      </c>
      <c r="P172" s="61">
        <f>'SIMULARE PE PRODUS'!AK151</f>
        <v>0.44596648265895955</v>
      </c>
      <c r="Q172" s="61">
        <f>'SIMULARE PE PRODUS'!AL151</f>
        <v>0.45464383805870573</v>
      </c>
      <c r="R172" s="61">
        <f>'SIMULARE PE PRODUS'!AM151</f>
        <v>0.42621082754846773</v>
      </c>
      <c r="S172" s="59">
        <v>0</v>
      </c>
      <c r="T172" s="59">
        <v>0</v>
      </c>
      <c r="U172" s="62">
        <f>'SIMULARE PE PRODUS'!AS151</f>
        <v>0.44596648265895955</v>
      </c>
      <c r="V172" s="62">
        <f>'SIMULARE PE PRODUS'!AT151</f>
        <v>0.45464383805870573</v>
      </c>
      <c r="W172" s="62">
        <f>'SIMULARE PE PRODUS'!AU151</f>
        <v>0.42621082754846773</v>
      </c>
      <c r="X172" s="59">
        <v>0</v>
      </c>
      <c r="Y172" s="59">
        <v>0</v>
      </c>
      <c r="Z172" s="63">
        <f>'SIMULARE PE PRODUS'!BA151</f>
        <v>0.44596648265895955</v>
      </c>
      <c r="AA172" s="63">
        <f>'SIMULARE PE PRODUS'!BB151</f>
        <v>0.45464383805870573</v>
      </c>
      <c r="AB172" s="63">
        <f>'SIMULARE PE PRODUS'!BC151</f>
        <v>0.42621082754846773</v>
      </c>
    </row>
    <row r="173" spans="1:28" x14ac:dyDescent="0.2">
      <c r="A173" s="26">
        <v>168</v>
      </c>
      <c r="B173" s="26" t="s">
        <v>313</v>
      </c>
      <c r="C173" s="26" t="s">
        <v>104</v>
      </c>
      <c r="D173" s="41">
        <f>'SIMULARE PE PRODUS'!P152</f>
        <v>14.99</v>
      </c>
      <c r="E173" s="41">
        <f>'SIMULARE PE PRODUS'!Q152</f>
        <v>15.99</v>
      </c>
      <c r="F173" s="28">
        <f>'SIMULARE PE PRODUS'!U152</f>
        <v>0.44997432464602738</v>
      </c>
      <c r="G173" s="28">
        <f>'SIMULARE PE PRODUS'!V152</f>
        <v>0.45464383805870573</v>
      </c>
      <c r="H173" s="28">
        <f>'SIMULARE PE PRODUS'!W152</f>
        <v>0.42621082754846773</v>
      </c>
      <c r="I173" s="59">
        <v>0</v>
      </c>
      <c r="J173" s="59">
        <v>0</v>
      </c>
      <c r="K173" s="60">
        <f>'SIMULARE PE PRODUS'!AC152</f>
        <v>0.44997432464602738</v>
      </c>
      <c r="L173" s="60">
        <f>'SIMULARE PE PRODUS'!AD152</f>
        <v>0.45464383805870573</v>
      </c>
      <c r="M173" s="60">
        <f>'SIMULARE PE PRODUS'!AE152</f>
        <v>0.42621082754846773</v>
      </c>
      <c r="N173" s="59">
        <v>0</v>
      </c>
      <c r="O173" s="59">
        <v>0</v>
      </c>
      <c r="P173" s="61">
        <f>'SIMULARE PE PRODUS'!AK152</f>
        <v>0.44997432464602738</v>
      </c>
      <c r="Q173" s="61">
        <f>'SIMULARE PE PRODUS'!AL152</f>
        <v>0.45464383805870573</v>
      </c>
      <c r="R173" s="61">
        <f>'SIMULARE PE PRODUS'!AM152</f>
        <v>0.42621082754846773</v>
      </c>
      <c r="S173" s="59">
        <v>0</v>
      </c>
      <c r="T173" s="59">
        <v>0</v>
      </c>
      <c r="U173" s="62">
        <f>'SIMULARE PE PRODUS'!AS152</f>
        <v>0.44997432464602738</v>
      </c>
      <c r="V173" s="62">
        <f>'SIMULARE PE PRODUS'!AT152</f>
        <v>0.45464383805870573</v>
      </c>
      <c r="W173" s="62">
        <f>'SIMULARE PE PRODUS'!AU152</f>
        <v>0.42621082754846773</v>
      </c>
      <c r="X173" s="59">
        <v>0</v>
      </c>
      <c r="Y173" s="59">
        <v>0</v>
      </c>
      <c r="Z173" s="63">
        <f>'SIMULARE PE PRODUS'!BA152</f>
        <v>0.44997432464602738</v>
      </c>
      <c r="AA173" s="63">
        <f>'SIMULARE PE PRODUS'!BB152</f>
        <v>0.45464383805870573</v>
      </c>
      <c r="AB173" s="63">
        <f>'SIMULARE PE PRODUS'!BC152</f>
        <v>0.42621082754846773</v>
      </c>
    </row>
    <row r="174" spans="1:28" x14ac:dyDescent="0.2">
      <c r="A174" s="26">
        <v>169</v>
      </c>
      <c r="B174" s="26" t="s">
        <v>315</v>
      </c>
      <c r="C174" s="26" t="s">
        <v>104</v>
      </c>
      <c r="D174" s="41">
        <f>'SIMULARE PE PRODUS'!P154</f>
        <v>12.99</v>
      </c>
      <c r="E174" s="41">
        <f>'SIMULARE PE PRODUS'!Q154</f>
        <v>14.99</v>
      </c>
      <c r="F174" s="28">
        <f>'SIMULARE PE PRODUS'!U154</f>
        <v>0.41308682645046868</v>
      </c>
      <c r="G174" s="28">
        <f>'SIMULARE PE PRODUS'!V154</f>
        <v>0.41838688837567362</v>
      </c>
      <c r="H174" s="28">
        <f>'SIMULARE PE PRODUS'!W154</f>
        <v>0.36256475517011338</v>
      </c>
      <c r="I174" s="59">
        <v>0</v>
      </c>
      <c r="J174" s="59">
        <v>0</v>
      </c>
      <c r="K174" s="60">
        <f>'SIMULARE PE PRODUS'!AC154</f>
        <v>0.41308682645046868</v>
      </c>
      <c r="L174" s="60">
        <f>'SIMULARE PE PRODUS'!AD154</f>
        <v>0.41838688837567362</v>
      </c>
      <c r="M174" s="60">
        <f>'SIMULARE PE PRODUS'!AE154</f>
        <v>0.36256475517011338</v>
      </c>
      <c r="N174" s="59">
        <v>0</v>
      </c>
      <c r="O174" s="59">
        <v>0</v>
      </c>
      <c r="P174" s="61">
        <f>'SIMULARE PE PRODUS'!AK154</f>
        <v>0.41308682645046868</v>
      </c>
      <c r="Q174" s="61">
        <f>'SIMULARE PE PRODUS'!AL154</f>
        <v>0.41838688837567362</v>
      </c>
      <c r="R174" s="61">
        <f>'SIMULARE PE PRODUS'!AM154</f>
        <v>0.36256475517011338</v>
      </c>
      <c r="S174" s="59">
        <v>0</v>
      </c>
      <c r="T174" s="59">
        <v>0</v>
      </c>
      <c r="U174" s="62">
        <f>'SIMULARE PE PRODUS'!AS154</f>
        <v>0.41308682645046868</v>
      </c>
      <c r="V174" s="62">
        <f>'SIMULARE PE PRODUS'!AT154</f>
        <v>0.41838688837567362</v>
      </c>
      <c r="W174" s="62">
        <f>'SIMULARE PE PRODUS'!AU154</f>
        <v>0.36256475517011338</v>
      </c>
      <c r="X174" s="59">
        <v>0</v>
      </c>
      <c r="Y174" s="59">
        <v>0</v>
      </c>
      <c r="Z174" s="63">
        <f>'SIMULARE PE PRODUS'!BA154</f>
        <v>0.41308682645046868</v>
      </c>
      <c r="AA174" s="63">
        <f>'SIMULARE PE PRODUS'!BB154</f>
        <v>0.41838688837567362</v>
      </c>
      <c r="AB174" s="63">
        <f>'SIMULARE PE PRODUS'!BC154</f>
        <v>0.36256475517011338</v>
      </c>
    </row>
    <row r="175" spans="1:28" x14ac:dyDescent="0.2">
      <c r="A175" s="26">
        <v>170</v>
      </c>
      <c r="B175" s="26" t="s">
        <v>314</v>
      </c>
      <c r="C175" s="26" t="s">
        <v>104</v>
      </c>
      <c r="D175" s="41">
        <f>'SIMULARE PE PRODUS'!P153</f>
        <v>17</v>
      </c>
      <c r="E175" s="41">
        <f>'SIMULARE PE PRODUS'!Q153</f>
        <v>18</v>
      </c>
      <c r="F175" s="28">
        <f>'SIMULARE PE PRODUS'!U153</f>
        <v>0.60594502500000014</v>
      </c>
      <c r="G175" s="28">
        <f>'SIMULARE PE PRODUS'!V153</f>
        <v>0.62062189411764712</v>
      </c>
      <c r="H175" s="28">
        <f>'SIMULARE PE PRODUS'!W153</f>
        <v>0.58614290000000002</v>
      </c>
      <c r="I175" s="59">
        <v>0</v>
      </c>
      <c r="J175" s="59">
        <v>0</v>
      </c>
      <c r="K175" s="60">
        <f>'SIMULARE PE PRODUS'!AC153</f>
        <v>0.60594502500000014</v>
      </c>
      <c r="L175" s="60">
        <f>'SIMULARE PE PRODUS'!AD153</f>
        <v>0.62062189411764712</v>
      </c>
      <c r="M175" s="60">
        <f>'SIMULARE PE PRODUS'!AE153</f>
        <v>0.58614290000000002</v>
      </c>
      <c r="N175" s="59">
        <v>0</v>
      </c>
      <c r="O175" s="59">
        <v>0</v>
      </c>
      <c r="P175" s="61">
        <f>'SIMULARE PE PRODUS'!AK153</f>
        <v>0.59736795137385523</v>
      </c>
      <c r="Q175" s="61">
        <f>'SIMULARE PE PRODUS'!AL153</f>
        <v>0.61162737391304356</v>
      </c>
      <c r="R175" s="61">
        <f>'SIMULARE PE PRODUS'!AM153</f>
        <v>0.57811354520547942</v>
      </c>
      <c r="S175" s="59">
        <v>0</v>
      </c>
      <c r="T175" s="59">
        <v>0</v>
      </c>
      <c r="U175" s="62">
        <f>'SIMULARE PE PRODUS'!AS153</f>
        <v>0.589030303448276</v>
      </c>
      <c r="V175" s="62">
        <f>'SIMULARE PE PRODUS'!AT153</f>
        <v>0.60288984000000012</v>
      </c>
      <c r="W175" s="62">
        <f>'SIMULARE PE PRODUS'!AU153</f>
        <v>0.57030120000000006</v>
      </c>
      <c r="X175" s="59">
        <v>0</v>
      </c>
      <c r="Y175" s="59">
        <v>0</v>
      </c>
      <c r="Z175" s="63">
        <f>'SIMULARE PE PRODUS'!BA153</f>
        <v>0.589030303448276</v>
      </c>
      <c r="AA175" s="63">
        <f>'SIMULARE PE PRODUS'!BB153</f>
        <v>0.60288984000000012</v>
      </c>
      <c r="AB175" s="63">
        <f>'SIMULARE PE PRODUS'!BC153</f>
        <v>0.57030120000000006</v>
      </c>
    </row>
    <row r="176" spans="1:28" x14ac:dyDescent="0.2">
      <c r="A176" s="26">
        <v>171</v>
      </c>
      <c r="B176" s="26" t="s">
        <v>316</v>
      </c>
      <c r="C176" s="26" t="s">
        <v>104</v>
      </c>
      <c r="D176" s="41">
        <f>'SIMULARE PE PRODUS'!P155</f>
        <v>15.99</v>
      </c>
      <c r="E176" s="41">
        <f>'SIMULARE PE PRODUS'!Q155</f>
        <v>16.989999999999998</v>
      </c>
      <c r="F176" s="28">
        <f>'SIMULARE PE PRODUS'!U155</f>
        <v>0.45497543867160739</v>
      </c>
      <c r="G176" s="28">
        <f>'SIMULARE PE PRODUS'!V155</f>
        <v>0.47263638602251407</v>
      </c>
      <c r="H176" s="28">
        <f>'SIMULARE PE PRODUS'!W155</f>
        <v>0.44481788184226023</v>
      </c>
      <c r="I176" s="59">
        <v>0</v>
      </c>
      <c r="J176" s="59">
        <v>0</v>
      </c>
      <c r="K176" s="60">
        <f>'SIMULARE PE PRODUS'!AC155</f>
        <v>0.45497543867160739</v>
      </c>
      <c r="L176" s="60">
        <f>'SIMULARE PE PRODUS'!AD155</f>
        <v>0.47263638602251407</v>
      </c>
      <c r="M176" s="60">
        <f>'SIMULARE PE PRODUS'!AE155</f>
        <v>0.44481788184226023</v>
      </c>
      <c r="N176" s="59">
        <v>0</v>
      </c>
      <c r="O176" s="59">
        <v>0</v>
      </c>
      <c r="P176" s="61">
        <f>'SIMULARE PE PRODUS'!AK155</f>
        <v>0.45497543867160739</v>
      </c>
      <c r="Q176" s="61">
        <f>'SIMULARE PE PRODUS'!AL155</f>
        <v>0.47263638602251407</v>
      </c>
      <c r="R176" s="61">
        <f>'SIMULARE PE PRODUS'!AM155</f>
        <v>0.44481788184226023</v>
      </c>
      <c r="S176" s="59">
        <v>0</v>
      </c>
      <c r="T176" s="59">
        <v>0</v>
      </c>
      <c r="U176" s="62">
        <f>'SIMULARE PE PRODUS'!AS155</f>
        <v>0.45497543867160739</v>
      </c>
      <c r="V176" s="62">
        <f>'SIMULARE PE PRODUS'!AT155</f>
        <v>0.47263638602251407</v>
      </c>
      <c r="W176" s="62">
        <f>'SIMULARE PE PRODUS'!AU155</f>
        <v>0.44481788184226023</v>
      </c>
      <c r="X176" s="59">
        <v>0</v>
      </c>
      <c r="Y176" s="59">
        <v>0</v>
      </c>
      <c r="Z176" s="63">
        <f>'SIMULARE PE PRODUS'!BA155</f>
        <v>0.45497543867160739</v>
      </c>
      <c r="AA176" s="63">
        <f>'SIMULARE PE PRODUS'!BB155</f>
        <v>0.47263638602251407</v>
      </c>
      <c r="AB176" s="63">
        <f>'SIMULARE PE PRODUS'!BC155</f>
        <v>0.44481788184226023</v>
      </c>
    </row>
    <row r="177" spans="1:28" x14ac:dyDescent="0.2">
      <c r="A177" s="26">
        <v>172</v>
      </c>
      <c r="B177" s="26" t="s">
        <v>317</v>
      </c>
      <c r="C177" s="26" t="s">
        <v>106</v>
      </c>
      <c r="D177" s="41">
        <f>'SIMULARE PE PRODUS'!P204</f>
        <v>7</v>
      </c>
      <c r="E177" s="41">
        <f>'SIMULARE PE PRODUS'!Q204</f>
        <v>7</v>
      </c>
      <c r="F177" s="28">
        <f>'SIMULARE PE PRODUS'!U204</f>
        <v>0.4521477742285715</v>
      </c>
      <c r="G177" s="28">
        <f>'SIMULARE PE PRODUS'!V204</f>
        <v>0.4521477742285715</v>
      </c>
      <c r="H177" s="28">
        <f>'SIMULARE PE PRODUS'!W204</f>
        <v>0.4521477742285715</v>
      </c>
      <c r="I177" s="59">
        <v>0</v>
      </c>
      <c r="J177" s="59">
        <v>0</v>
      </c>
      <c r="K177" s="60">
        <f>'SIMULARE PE PRODUS'!AC204</f>
        <v>0.4521477742285715</v>
      </c>
      <c r="L177" s="60">
        <f>'SIMULARE PE PRODUS'!AD204</f>
        <v>0.4521477742285715</v>
      </c>
      <c r="M177" s="60">
        <f>'SIMULARE PE PRODUS'!AE204</f>
        <v>0.4521477742285715</v>
      </c>
      <c r="N177" s="59">
        <v>0</v>
      </c>
      <c r="O177" s="59">
        <v>0</v>
      </c>
      <c r="P177" s="61">
        <f>'SIMULARE PE PRODUS'!AK204</f>
        <v>0.4521477742285715</v>
      </c>
      <c r="Q177" s="61">
        <f>'SIMULARE PE PRODUS'!AL204</f>
        <v>0.4521477742285715</v>
      </c>
      <c r="R177" s="61">
        <f>'SIMULARE PE PRODUS'!AM204</f>
        <v>0.4521477742285715</v>
      </c>
      <c r="S177" s="59">
        <v>0</v>
      </c>
      <c r="T177" s="59">
        <v>0</v>
      </c>
      <c r="U177" s="62">
        <f>'SIMULARE PE PRODUS'!AS204</f>
        <v>0.4521477742285715</v>
      </c>
      <c r="V177" s="62">
        <f>'SIMULARE PE PRODUS'!AT204</f>
        <v>0.4521477742285715</v>
      </c>
      <c r="W177" s="62">
        <f>'SIMULARE PE PRODUS'!AU204</f>
        <v>0.4521477742285715</v>
      </c>
      <c r="X177" s="59">
        <v>0</v>
      </c>
      <c r="Y177" s="59">
        <v>0</v>
      </c>
      <c r="Z177" s="63">
        <f>'SIMULARE PE PRODUS'!BA204</f>
        <v>0.4521477742285715</v>
      </c>
      <c r="AA177" s="63">
        <f>'SIMULARE PE PRODUS'!BB204</f>
        <v>0.4521477742285715</v>
      </c>
      <c r="AB177" s="63">
        <f>'SIMULARE PE PRODUS'!BC204</f>
        <v>0.4521477742285715</v>
      </c>
    </row>
    <row r="178" spans="1:28" x14ac:dyDescent="0.2">
      <c r="A178" s="26">
        <v>173</v>
      </c>
      <c r="B178" s="26" t="s">
        <v>319</v>
      </c>
      <c r="C178" s="26" t="s">
        <v>104</v>
      </c>
      <c r="D178" s="41">
        <f>'SIMULARE PE PRODUS'!P156</f>
        <v>13.99</v>
      </c>
      <c r="E178" s="41">
        <f>'SIMULARE PE PRODUS'!Q156</f>
        <v>14.99</v>
      </c>
      <c r="F178" s="28">
        <f>'SIMULARE PE PRODUS'!U156</f>
        <v>0.47841443023255809</v>
      </c>
      <c r="G178" s="28">
        <f>'SIMULARE PE PRODUS'!V156</f>
        <v>0.48525380736240165</v>
      </c>
      <c r="H178" s="28">
        <f>'SIMULARE PE PRODUS'!W156</f>
        <v>0.45288197231487654</v>
      </c>
      <c r="I178" s="59">
        <v>0</v>
      </c>
      <c r="J178" s="59">
        <v>0</v>
      </c>
      <c r="K178" s="60">
        <f>'SIMULARE PE PRODUS'!AC156</f>
        <v>0.47841443023255809</v>
      </c>
      <c r="L178" s="60">
        <f>'SIMULARE PE PRODUS'!AD156</f>
        <v>0.48525380736240165</v>
      </c>
      <c r="M178" s="60">
        <f>'SIMULARE PE PRODUS'!AE156</f>
        <v>0.45288197231487654</v>
      </c>
      <c r="N178" s="59">
        <v>0</v>
      </c>
      <c r="O178" s="59">
        <v>0</v>
      </c>
      <c r="P178" s="61">
        <f>'SIMULARE PE PRODUS'!AK156</f>
        <v>0.47841443023255809</v>
      </c>
      <c r="Q178" s="61">
        <f>'SIMULARE PE PRODUS'!AL156</f>
        <v>0.48525380736240165</v>
      </c>
      <c r="R178" s="61">
        <f>'SIMULARE PE PRODUS'!AM156</f>
        <v>0.45288197231487654</v>
      </c>
      <c r="S178" s="59">
        <v>0</v>
      </c>
      <c r="T178" s="59">
        <v>0</v>
      </c>
      <c r="U178" s="62">
        <f>'SIMULARE PE PRODUS'!AS156</f>
        <v>0.47841443023255809</v>
      </c>
      <c r="V178" s="62">
        <f>'SIMULARE PE PRODUS'!AT156</f>
        <v>0.48525380736240165</v>
      </c>
      <c r="W178" s="62">
        <f>'SIMULARE PE PRODUS'!AU156</f>
        <v>0.45288197231487654</v>
      </c>
      <c r="X178" s="59">
        <v>0</v>
      </c>
      <c r="Y178" s="59">
        <v>0</v>
      </c>
      <c r="Z178" s="63">
        <f>'SIMULARE PE PRODUS'!BA156</f>
        <v>0.47841443023255809</v>
      </c>
      <c r="AA178" s="63">
        <f>'SIMULARE PE PRODUS'!BB156</f>
        <v>0.48525380736240165</v>
      </c>
      <c r="AB178" s="63">
        <f>'SIMULARE PE PRODUS'!BC156</f>
        <v>0.45288197231487654</v>
      </c>
    </row>
    <row r="179" spans="1:28" x14ac:dyDescent="0.2">
      <c r="A179" s="26">
        <v>174</v>
      </c>
      <c r="B179" s="26" t="s">
        <v>318</v>
      </c>
      <c r="C179" s="26" t="s">
        <v>110</v>
      </c>
      <c r="D179" s="41">
        <f>'SIMULARE PE PRODUS'!P225</f>
        <v>168</v>
      </c>
      <c r="E179" s="41">
        <f>'SIMULARE PE PRODUS'!Q225</f>
        <v>0</v>
      </c>
      <c r="F179" s="28">
        <f>'SIMULARE PE PRODUS'!U225</f>
        <v>0.6833199642857144</v>
      </c>
      <c r="G179" s="28">
        <f>'SIMULARE PE PRODUS'!V225</f>
        <v>0.6833199642857144</v>
      </c>
      <c r="H179" s="28" t="str">
        <f>'SIMULARE PE PRODUS'!W225</f>
        <v/>
      </c>
      <c r="I179" s="59">
        <v>0</v>
      </c>
      <c r="J179" s="59">
        <v>0</v>
      </c>
      <c r="K179" s="60">
        <f>'SIMULARE PE PRODUS'!AC225</f>
        <v>0.6833199642857144</v>
      </c>
      <c r="L179" s="60">
        <f>'SIMULARE PE PRODUS'!AD225</f>
        <v>0.6833199642857144</v>
      </c>
      <c r="M179" s="60" t="str">
        <f>'SIMULARE PE PRODUS'!AE225</f>
        <v/>
      </c>
      <c r="N179" s="59">
        <v>0</v>
      </c>
      <c r="O179" s="59">
        <v>0</v>
      </c>
      <c r="P179" s="61">
        <f>'SIMULARE PE PRODUS'!AK225</f>
        <v>0.6833199642857144</v>
      </c>
      <c r="Q179" s="61">
        <f>'SIMULARE PE PRODUS'!AL225</f>
        <v>0.6833199642857144</v>
      </c>
      <c r="R179" s="61" t="str">
        <f>'SIMULARE PE PRODUS'!AM225</f>
        <v/>
      </c>
      <c r="S179" s="59">
        <v>0</v>
      </c>
      <c r="T179" s="59">
        <v>0</v>
      </c>
      <c r="U179" s="62">
        <f>'SIMULARE PE PRODUS'!AS225</f>
        <v>0.6833199642857144</v>
      </c>
      <c r="V179" s="62">
        <f>'SIMULARE PE PRODUS'!AT225</f>
        <v>0.6833199642857144</v>
      </c>
      <c r="W179" s="62" t="str">
        <f>'SIMULARE PE PRODUS'!AU225</f>
        <v/>
      </c>
      <c r="X179" s="59">
        <v>0</v>
      </c>
      <c r="Y179" s="59">
        <v>0</v>
      </c>
      <c r="Z179" s="63">
        <f>'SIMULARE PE PRODUS'!BA225</f>
        <v>0.6833199642857144</v>
      </c>
      <c r="AA179" s="63">
        <f>'SIMULARE PE PRODUS'!BB225</f>
        <v>0.6833199642857144</v>
      </c>
      <c r="AB179" s="63" t="str">
        <f>'SIMULARE PE PRODUS'!BC225</f>
        <v/>
      </c>
    </row>
    <row r="180" spans="1:28" x14ac:dyDescent="0.2">
      <c r="A180" s="26">
        <v>175</v>
      </c>
      <c r="B180" s="26" t="s">
        <v>320</v>
      </c>
      <c r="C180" s="26" t="s">
        <v>105</v>
      </c>
      <c r="D180" s="41">
        <f>'SIMULARE PE PRODUS'!P186</f>
        <v>4</v>
      </c>
      <c r="E180" s="41">
        <f>'SIMULARE PE PRODUS'!Q186</f>
        <v>0</v>
      </c>
      <c r="F180" s="28">
        <f>'SIMULARE PE PRODUS'!U186</f>
        <v>0.53448692250000007</v>
      </c>
      <c r="G180" s="28">
        <f>'SIMULARE PE PRODUS'!V186</f>
        <v>0.53448692250000007</v>
      </c>
      <c r="H180" s="28" t="str">
        <f>'SIMULARE PE PRODUS'!W186</f>
        <v/>
      </c>
      <c r="I180" s="59">
        <v>0</v>
      </c>
      <c r="J180" s="59">
        <v>0</v>
      </c>
      <c r="K180" s="60">
        <f>'SIMULARE PE PRODUS'!AC186</f>
        <v>0.53448692250000007</v>
      </c>
      <c r="L180" s="60">
        <f>'SIMULARE PE PRODUS'!AD186</f>
        <v>0.53448692250000007</v>
      </c>
      <c r="M180" s="60" t="str">
        <f>'SIMULARE PE PRODUS'!AE186</f>
        <v/>
      </c>
      <c r="N180" s="59">
        <v>0</v>
      </c>
      <c r="O180" s="59">
        <v>0</v>
      </c>
      <c r="P180" s="61">
        <f>'SIMULARE PE PRODUS'!AK186</f>
        <v>0.47615761469933182</v>
      </c>
      <c r="Q180" s="61">
        <f>'SIMULARE PE PRODUS'!AL186</f>
        <v>0.47615761469933182</v>
      </c>
      <c r="R180" s="61" t="str">
        <f>'SIMULARE PE PRODUS'!AM186</f>
        <v/>
      </c>
      <c r="S180" s="59">
        <v>0</v>
      </c>
      <c r="T180" s="59">
        <v>0</v>
      </c>
      <c r="U180" s="62">
        <f>'SIMULARE PE PRODUS'!AS186</f>
        <v>0.42844643086172346</v>
      </c>
      <c r="V180" s="62">
        <f>'SIMULARE PE PRODUS'!AT186</f>
        <v>0.42844643086172346</v>
      </c>
      <c r="W180" s="62" t="str">
        <f>'SIMULARE PE PRODUS'!AU186</f>
        <v/>
      </c>
      <c r="X180" s="59">
        <v>0</v>
      </c>
      <c r="Y180" s="59">
        <v>0</v>
      </c>
      <c r="Z180" s="63">
        <f>'SIMULARE PE PRODUS'!BA186</f>
        <v>0.42844643086172346</v>
      </c>
      <c r="AA180" s="63">
        <f>'SIMULARE PE PRODUS'!BB186</f>
        <v>0.42844643086172346</v>
      </c>
      <c r="AB180" s="63" t="str">
        <f>'SIMULARE PE PRODUS'!BC186</f>
        <v/>
      </c>
    </row>
    <row r="181" spans="1:28" x14ac:dyDescent="0.2">
      <c r="A181" s="26">
        <v>176</v>
      </c>
      <c r="B181" s="26" t="s">
        <v>321</v>
      </c>
      <c r="C181" s="26" t="s">
        <v>104</v>
      </c>
      <c r="D181" s="41">
        <f>'SIMULARE PE PRODUS'!P157</f>
        <v>15.99</v>
      </c>
      <c r="E181" s="41">
        <f>'SIMULARE PE PRODUS'!Q157</f>
        <v>16.989999999999998</v>
      </c>
      <c r="F181" s="28">
        <f>'SIMULARE PE PRODUS'!U157</f>
        <v>0.50207307127787826</v>
      </c>
      <c r="G181" s="28">
        <f>'SIMULARE PE PRODUS'!V157</f>
        <v>0.52091258614759228</v>
      </c>
      <c r="H181" s="28">
        <f>'SIMULARE PE PRODUS'!W157</f>
        <v>0.49025263404944092</v>
      </c>
      <c r="I181" s="59">
        <v>0</v>
      </c>
      <c r="J181" s="59">
        <v>0</v>
      </c>
      <c r="K181" s="60">
        <f>'SIMULARE PE PRODUS'!AC157</f>
        <v>0.50207307127787826</v>
      </c>
      <c r="L181" s="60">
        <f>'SIMULARE PE PRODUS'!AD157</f>
        <v>0.52091258614759228</v>
      </c>
      <c r="M181" s="60">
        <f>'SIMULARE PE PRODUS'!AE157</f>
        <v>0.49025263404944092</v>
      </c>
      <c r="N181" s="59">
        <v>0</v>
      </c>
      <c r="O181" s="59">
        <v>0</v>
      </c>
      <c r="P181" s="61">
        <f>'SIMULARE PE PRODUS'!AK157</f>
        <v>0.50207307127787826</v>
      </c>
      <c r="Q181" s="61">
        <f>'SIMULARE PE PRODUS'!AL157</f>
        <v>0.52091258614759228</v>
      </c>
      <c r="R181" s="61">
        <f>'SIMULARE PE PRODUS'!AM157</f>
        <v>0.49025263404944092</v>
      </c>
      <c r="S181" s="59">
        <v>0</v>
      </c>
      <c r="T181" s="59">
        <v>0</v>
      </c>
      <c r="U181" s="62">
        <f>'SIMULARE PE PRODUS'!AS157</f>
        <v>0.50207307127787826</v>
      </c>
      <c r="V181" s="62">
        <f>'SIMULARE PE PRODUS'!AT157</f>
        <v>0.52091258614759228</v>
      </c>
      <c r="W181" s="62">
        <f>'SIMULARE PE PRODUS'!AU157</f>
        <v>0.49025263404944092</v>
      </c>
      <c r="X181" s="59">
        <v>0</v>
      </c>
      <c r="Y181" s="59">
        <v>0</v>
      </c>
      <c r="Z181" s="63">
        <f>'SIMULARE PE PRODUS'!BA157</f>
        <v>0.50207307127787826</v>
      </c>
      <c r="AA181" s="63">
        <f>'SIMULARE PE PRODUS'!BB157</f>
        <v>0.52091258614759228</v>
      </c>
      <c r="AB181" s="63">
        <f>'SIMULARE PE PRODUS'!BC157</f>
        <v>0.49025263404944092</v>
      </c>
    </row>
    <row r="182" spans="1:28" x14ac:dyDescent="0.2">
      <c r="A182" s="26">
        <v>177</v>
      </c>
      <c r="B182" s="26" t="s">
        <v>322</v>
      </c>
      <c r="C182" s="26" t="s">
        <v>104</v>
      </c>
      <c r="D182" s="41">
        <f>'SIMULARE PE PRODUS'!P158</f>
        <v>13.99</v>
      </c>
      <c r="E182" s="41">
        <f>'SIMULARE PE PRODUS'!Q158</f>
        <v>14.99</v>
      </c>
      <c r="F182" s="28">
        <f>'SIMULARE PE PRODUS'!U158</f>
        <v>0.52930376182926331</v>
      </c>
      <c r="G182" s="28">
        <f>'SIMULARE PE PRODUS'!V158</f>
        <v>0.54043153716940673</v>
      </c>
      <c r="H182" s="28">
        <f>'SIMULARE PE PRODUS'!W158</f>
        <v>0.50437873282188128</v>
      </c>
      <c r="I182" s="59">
        <v>0</v>
      </c>
      <c r="J182" s="59">
        <v>0</v>
      </c>
      <c r="K182" s="60">
        <f>'SIMULARE PE PRODUS'!AC158</f>
        <v>0.52930376182926331</v>
      </c>
      <c r="L182" s="60">
        <f>'SIMULARE PE PRODUS'!AD158</f>
        <v>0.54043153716940673</v>
      </c>
      <c r="M182" s="60">
        <f>'SIMULARE PE PRODUS'!AE158</f>
        <v>0.50437873282188128</v>
      </c>
      <c r="N182" s="59">
        <v>0</v>
      </c>
      <c r="O182" s="59">
        <v>0</v>
      </c>
      <c r="P182" s="61">
        <f>'SIMULARE PE PRODUS'!AK158</f>
        <v>0.52930376182926331</v>
      </c>
      <c r="Q182" s="61">
        <f>'SIMULARE PE PRODUS'!AL158</f>
        <v>0.54043153716940673</v>
      </c>
      <c r="R182" s="61">
        <f>'SIMULARE PE PRODUS'!AM158</f>
        <v>0.50437873282188128</v>
      </c>
      <c r="S182" s="59">
        <v>0</v>
      </c>
      <c r="T182" s="59">
        <v>0</v>
      </c>
      <c r="U182" s="62">
        <f>'SIMULARE PE PRODUS'!AS158</f>
        <v>0.52930376182926331</v>
      </c>
      <c r="V182" s="62">
        <f>'SIMULARE PE PRODUS'!AT158</f>
        <v>0.54043153716940673</v>
      </c>
      <c r="W182" s="62">
        <f>'SIMULARE PE PRODUS'!AU158</f>
        <v>0.50437873282188128</v>
      </c>
      <c r="X182" s="59">
        <v>0</v>
      </c>
      <c r="Y182" s="59">
        <v>0</v>
      </c>
      <c r="Z182" s="63">
        <f>'SIMULARE PE PRODUS'!BA158</f>
        <v>0.52930376182926331</v>
      </c>
      <c r="AA182" s="63">
        <f>'SIMULARE PE PRODUS'!BB158</f>
        <v>0.54043153716940673</v>
      </c>
      <c r="AB182" s="63">
        <f>'SIMULARE PE PRODUS'!BC158</f>
        <v>0.50437873282188128</v>
      </c>
    </row>
    <row r="183" spans="1:28" x14ac:dyDescent="0.2">
      <c r="A183" s="26">
        <v>178</v>
      </c>
      <c r="B183" s="26" t="s">
        <v>324</v>
      </c>
      <c r="C183" s="26" t="s">
        <v>113</v>
      </c>
      <c r="D183" s="41">
        <f>'SIMULARE PE PRODUS'!P242</f>
        <v>0</v>
      </c>
      <c r="E183" s="41">
        <f>'SIMULARE PE PRODUS'!Q242</f>
        <v>0.5</v>
      </c>
      <c r="F183" s="28">
        <f>'SIMULARE PE PRODUS'!U242</f>
        <v>1.21</v>
      </c>
      <c r="G183" s="28" t="str">
        <f>'SIMULARE PE PRODUS'!V242</f>
        <v/>
      </c>
      <c r="H183" s="28">
        <f>'SIMULARE PE PRODUS'!W242</f>
        <v>1.21</v>
      </c>
      <c r="I183" s="59">
        <v>0</v>
      </c>
      <c r="J183" s="59">
        <v>0</v>
      </c>
      <c r="K183" s="60">
        <f>'SIMULARE PE PRODUS'!AC242</f>
        <v>1.21</v>
      </c>
      <c r="L183" s="60" t="str">
        <f>'SIMULARE PE PRODUS'!AD242</f>
        <v/>
      </c>
      <c r="M183" s="60">
        <f>'SIMULARE PE PRODUS'!AE242</f>
        <v>1.21</v>
      </c>
      <c r="N183" s="59">
        <v>0</v>
      </c>
      <c r="O183" s="59">
        <v>0</v>
      </c>
      <c r="P183" s="61">
        <f>'SIMULARE PE PRODUS'!AK242</f>
        <v>1.21</v>
      </c>
      <c r="Q183" s="61" t="str">
        <f>'SIMULARE PE PRODUS'!AL242</f>
        <v/>
      </c>
      <c r="R183" s="61">
        <f>'SIMULARE PE PRODUS'!AM242</f>
        <v>1.21</v>
      </c>
      <c r="S183" s="59">
        <v>0</v>
      </c>
      <c r="T183" s="59">
        <v>0</v>
      </c>
      <c r="U183" s="62">
        <f>'SIMULARE PE PRODUS'!AS242</f>
        <v>1.21</v>
      </c>
      <c r="V183" s="62" t="str">
        <f>'SIMULARE PE PRODUS'!AT242</f>
        <v/>
      </c>
      <c r="W183" s="62">
        <f>'SIMULARE PE PRODUS'!AU242</f>
        <v>1.21</v>
      </c>
      <c r="X183" s="59">
        <v>0</v>
      </c>
      <c r="Y183" s="59">
        <v>0</v>
      </c>
      <c r="Z183" s="63">
        <f>'SIMULARE PE PRODUS'!BA242</f>
        <v>1.21</v>
      </c>
      <c r="AA183" s="63" t="str">
        <f>'SIMULARE PE PRODUS'!BB242</f>
        <v/>
      </c>
      <c r="AB183" s="63">
        <f>'SIMULARE PE PRODUS'!BC242</f>
        <v>1.21</v>
      </c>
    </row>
    <row r="184" spans="1:28" x14ac:dyDescent="0.2">
      <c r="A184" s="26">
        <v>179</v>
      </c>
      <c r="B184" s="26" t="s">
        <v>323</v>
      </c>
      <c r="C184" s="26" t="s">
        <v>112</v>
      </c>
      <c r="D184" s="41">
        <f>'SIMULARE PE PRODUS'!P237</f>
        <v>2</v>
      </c>
      <c r="E184" s="41">
        <f>'SIMULARE PE PRODUS'!Q237</f>
        <v>0</v>
      </c>
      <c r="F184" s="28">
        <f>'SIMULARE PE PRODUS'!U237</f>
        <v>0.92019000000000006</v>
      </c>
      <c r="G184" s="28">
        <f>'SIMULARE PE PRODUS'!V237</f>
        <v>0.92019000000000006</v>
      </c>
      <c r="H184" s="28" t="str">
        <f>'SIMULARE PE PRODUS'!W237</f>
        <v/>
      </c>
      <c r="I184" s="59">
        <v>0.49</v>
      </c>
      <c r="J184" s="59">
        <v>0</v>
      </c>
      <c r="K184" s="60">
        <f>'SIMULARE PE PRODUS'!AC237</f>
        <v>0.73910843373493973</v>
      </c>
      <c r="L184" s="60">
        <f>'SIMULARE PE PRODUS'!AD237</f>
        <v>0.73910843373493973</v>
      </c>
      <c r="M184" s="60" t="str">
        <f>'SIMULARE PE PRODUS'!AE237</f>
        <v/>
      </c>
      <c r="N184" s="59">
        <v>0</v>
      </c>
      <c r="O184" s="59">
        <v>0</v>
      </c>
      <c r="P184" s="61">
        <f>'SIMULARE PE PRODUS'!AK237</f>
        <v>0.73910843373493973</v>
      </c>
      <c r="Q184" s="61">
        <f>'SIMULARE PE PRODUS'!AL237</f>
        <v>0.73910843373493973</v>
      </c>
      <c r="R184" s="61" t="str">
        <f>'SIMULARE PE PRODUS'!AM237</f>
        <v/>
      </c>
      <c r="S184" s="59">
        <v>0</v>
      </c>
      <c r="T184" s="59">
        <v>0</v>
      </c>
      <c r="U184" s="62">
        <f>'SIMULARE PE PRODUS'!AS237</f>
        <v>0.73910843373493973</v>
      </c>
      <c r="V184" s="62">
        <f>'SIMULARE PE PRODUS'!AT237</f>
        <v>0.73910843373493973</v>
      </c>
      <c r="W184" s="62" t="str">
        <f>'SIMULARE PE PRODUS'!AU237</f>
        <v/>
      </c>
      <c r="X184" s="59">
        <v>0.5</v>
      </c>
      <c r="Y184" s="59">
        <v>0</v>
      </c>
      <c r="Z184" s="63">
        <f>'SIMULARE PE PRODUS'!BA237</f>
        <v>0.61551170568561875</v>
      </c>
      <c r="AA184" s="63">
        <f>'SIMULARE PE PRODUS'!BB237</f>
        <v>0.61551170568561875</v>
      </c>
      <c r="AB184" s="63" t="str">
        <f>'SIMULARE PE PRODUS'!BC237</f>
        <v/>
      </c>
    </row>
    <row r="185" spans="1:28" x14ac:dyDescent="0.2">
      <c r="A185" s="26">
        <v>180</v>
      </c>
      <c r="B185" s="26" t="s">
        <v>325</v>
      </c>
      <c r="C185" s="26" t="s">
        <v>105</v>
      </c>
      <c r="D185" s="41">
        <f>'SIMULARE PE PRODUS'!P187</f>
        <v>4</v>
      </c>
      <c r="E185" s="41">
        <f>'SIMULARE PE PRODUS'!Q187</f>
        <v>0</v>
      </c>
      <c r="F185" s="28">
        <f>'SIMULARE PE PRODUS'!U187</f>
        <v>0.38036519850000011</v>
      </c>
      <c r="G185" s="28">
        <f>'SIMULARE PE PRODUS'!V187</f>
        <v>0.38036519850000011</v>
      </c>
      <c r="H185" s="28" t="str">
        <f>'SIMULARE PE PRODUS'!W187</f>
        <v/>
      </c>
      <c r="I185" s="59">
        <v>0</v>
      </c>
      <c r="J185" s="59">
        <v>0</v>
      </c>
      <c r="K185" s="60">
        <f>'SIMULARE PE PRODUS'!AC187</f>
        <v>0.38036519850000011</v>
      </c>
      <c r="L185" s="60">
        <f>'SIMULARE PE PRODUS'!AD187</f>
        <v>0.38036519850000011</v>
      </c>
      <c r="M185" s="60" t="str">
        <f>'SIMULARE PE PRODUS'!AE187</f>
        <v/>
      </c>
      <c r="N185" s="59">
        <v>0</v>
      </c>
      <c r="O185" s="59">
        <v>0</v>
      </c>
      <c r="P185" s="61">
        <f>'SIMULARE PE PRODUS'!AK187</f>
        <v>0.33885541069042324</v>
      </c>
      <c r="Q185" s="61">
        <f>'SIMULARE PE PRODUS'!AL187</f>
        <v>0.33885541069042324</v>
      </c>
      <c r="R185" s="61" t="str">
        <f>'SIMULARE PE PRODUS'!AM187</f>
        <v/>
      </c>
      <c r="S185" s="59">
        <v>0</v>
      </c>
      <c r="T185" s="59">
        <v>0</v>
      </c>
      <c r="U185" s="62">
        <f>'SIMULARE PE PRODUS'!AS187</f>
        <v>0.30490196272545095</v>
      </c>
      <c r="V185" s="62">
        <f>'SIMULARE PE PRODUS'!AT187</f>
        <v>0.30490196272545095</v>
      </c>
      <c r="W185" s="62" t="str">
        <f>'SIMULARE PE PRODUS'!AU187</f>
        <v/>
      </c>
      <c r="X185" s="59">
        <v>0</v>
      </c>
      <c r="Y185" s="59">
        <v>0</v>
      </c>
      <c r="Z185" s="63">
        <f>'SIMULARE PE PRODUS'!BA187</f>
        <v>0.30490196272545095</v>
      </c>
      <c r="AA185" s="63">
        <f>'SIMULARE PE PRODUS'!BB187</f>
        <v>0.30490196272545095</v>
      </c>
      <c r="AB185" s="63" t="str">
        <f>'SIMULARE PE PRODUS'!BC187</f>
        <v/>
      </c>
    </row>
    <row r="186" spans="1:28" x14ac:dyDescent="0.2">
      <c r="A186" s="26">
        <v>181</v>
      </c>
      <c r="B186" s="26" t="s">
        <v>326</v>
      </c>
      <c r="C186" s="26" t="s">
        <v>111</v>
      </c>
      <c r="D186" s="41">
        <f>'SIMULARE PE PRODUS'!P230</f>
        <v>149</v>
      </c>
      <c r="E186" s="41">
        <f>'SIMULARE PE PRODUS'!Q230</f>
        <v>0</v>
      </c>
      <c r="F186" s="28">
        <f>'SIMULARE PE PRODUS'!U230</f>
        <v>0.74963154362416107</v>
      </c>
      <c r="G186" s="28">
        <f>'SIMULARE PE PRODUS'!V230</f>
        <v>0.74963154362416107</v>
      </c>
      <c r="H186" s="28" t="str">
        <f>'SIMULARE PE PRODUS'!W230</f>
        <v/>
      </c>
      <c r="I186" s="59">
        <v>0</v>
      </c>
      <c r="J186" s="59">
        <v>0</v>
      </c>
      <c r="K186" s="60">
        <f>'SIMULARE PE PRODUS'!AC230</f>
        <v>0.74963154362416107</v>
      </c>
      <c r="L186" s="60">
        <f>'SIMULARE PE PRODUS'!AD230</f>
        <v>0.74963154362416107</v>
      </c>
      <c r="M186" s="60" t="str">
        <f>'SIMULARE PE PRODUS'!AE230</f>
        <v/>
      </c>
      <c r="N186" s="59">
        <v>0</v>
      </c>
      <c r="O186" s="59">
        <v>0</v>
      </c>
      <c r="P186" s="61">
        <f>'SIMULARE PE PRODUS'!AK230</f>
        <v>0.74963154362416107</v>
      </c>
      <c r="Q186" s="61">
        <f>'SIMULARE PE PRODUS'!AL230</f>
        <v>0.74963154362416107</v>
      </c>
      <c r="R186" s="61" t="str">
        <f>'SIMULARE PE PRODUS'!AM230</f>
        <v/>
      </c>
      <c r="S186" s="59">
        <v>0</v>
      </c>
      <c r="T186" s="59">
        <v>0</v>
      </c>
      <c r="U186" s="62">
        <f>'SIMULARE PE PRODUS'!AS230</f>
        <v>0.74963154362416107</v>
      </c>
      <c r="V186" s="62">
        <f>'SIMULARE PE PRODUS'!AT230</f>
        <v>0.74963154362416107</v>
      </c>
      <c r="W186" s="62" t="str">
        <f>'SIMULARE PE PRODUS'!AU230</f>
        <v/>
      </c>
      <c r="X186" s="59">
        <v>0</v>
      </c>
      <c r="Y186" s="59">
        <v>0</v>
      </c>
      <c r="Z186" s="63">
        <f>'SIMULARE PE PRODUS'!BA230</f>
        <v>0.74963154362416107</v>
      </c>
      <c r="AA186" s="63">
        <f>'SIMULARE PE PRODUS'!BB230</f>
        <v>0.74963154362416107</v>
      </c>
      <c r="AB186" s="63" t="str">
        <f>'SIMULARE PE PRODUS'!BC230</f>
        <v/>
      </c>
    </row>
    <row r="187" spans="1:28" x14ac:dyDescent="0.2">
      <c r="A187" s="26">
        <v>182</v>
      </c>
      <c r="B187" s="26" t="s">
        <v>327</v>
      </c>
      <c r="C187" s="26" t="s">
        <v>104</v>
      </c>
      <c r="D187" s="41">
        <f>'SIMULARE PE PRODUS'!P159</f>
        <v>3.5</v>
      </c>
      <c r="E187" s="41">
        <f>'SIMULARE PE PRODUS'!Q159</f>
        <v>0</v>
      </c>
      <c r="F187" s="28">
        <f>'SIMULARE PE PRODUS'!U159</f>
        <v>0.20640662485714287</v>
      </c>
      <c r="G187" s="28">
        <f>'SIMULARE PE PRODUS'!V159</f>
        <v>0.20640662485714287</v>
      </c>
      <c r="H187" s="28" t="str">
        <f>'SIMULARE PE PRODUS'!W159</f>
        <v/>
      </c>
      <c r="I187" s="59">
        <v>0</v>
      </c>
      <c r="J187" s="59">
        <v>0</v>
      </c>
      <c r="K187" s="60">
        <f>'SIMULARE PE PRODUS'!AC159</f>
        <v>0.20640662485714287</v>
      </c>
      <c r="L187" s="60">
        <f>'SIMULARE PE PRODUS'!AD159</f>
        <v>0.20640662485714287</v>
      </c>
      <c r="M187" s="60" t="str">
        <f>'SIMULARE PE PRODUS'!AE159</f>
        <v/>
      </c>
      <c r="N187" s="59">
        <v>0</v>
      </c>
      <c r="O187" s="59">
        <v>0</v>
      </c>
      <c r="P187" s="61">
        <f>'SIMULARE PE PRODUS'!AK159</f>
        <v>0.20640662485714287</v>
      </c>
      <c r="Q187" s="61">
        <f>'SIMULARE PE PRODUS'!AL159</f>
        <v>0.20640662485714287</v>
      </c>
      <c r="R187" s="61" t="str">
        <f>'SIMULARE PE PRODUS'!AM159</f>
        <v/>
      </c>
      <c r="S187" s="59">
        <v>0</v>
      </c>
      <c r="T187" s="59">
        <v>0</v>
      </c>
      <c r="U187" s="62">
        <f>'SIMULARE PE PRODUS'!AS159</f>
        <v>0.20640662485714287</v>
      </c>
      <c r="V187" s="62">
        <f>'SIMULARE PE PRODUS'!AT159</f>
        <v>0.20640662485714287</v>
      </c>
      <c r="W187" s="62" t="str">
        <f>'SIMULARE PE PRODUS'!AU159</f>
        <v/>
      </c>
      <c r="X187" s="59">
        <v>0</v>
      </c>
      <c r="Y187" s="59">
        <v>0</v>
      </c>
      <c r="Z187" s="63">
        <f>'SIMULARE PE PRODUS'!BA159</f>
        <v>0.20640662485714287</v>
      </c>
      <c r="AA187" s="63">
        <f>'SIMULARE PE PRODUS'!BB159</f>
        <v>0.20640662485714287</v>
      </c>
      <c r="AB187" s="63" t="str">
        <f>'SIMULARE PE PRODUS'!BC159</f>
        <v/>
      </c>
    </row>
    <row r="188" spans="1:28" x14ac:dyDescent="0.2">
      <c r="A188" s="26">
        <v>183</v>
      </c>
      <c r="B188" s="26" t="s">
        <v>328</v>
      </c>
      <c r="C188" s="26" t="s">
        <v>105</v>
      </c>
      <c r="D188" s="41">
        <f>'SIMULARE PE PRODUS'!P188</f>
        <v>3</v>
      </c>
      <c r="E188" s="41">
        <f>'SIMULARE PE PRODUS'!Q188</f>
        <v>0</v>
      </c>
      <c r="F188" s="28">
        <f>'SIMULARE PE PRODUS'!U188</f>
        <v>0.10360000000000001</v>
      </c>
      <c r="G188" s="28">
        <f>'SIMULARE PE PRODUS'!V188</f>
        <v>0.10360000000000001</v>
      </c>
      <c r="H188" s="28" t="str">
        <f>'SIMULARE PE PRODUS'!W188</f>
        <v/>
      </c>
      <c r="I188" s="59">
        <v>0</v>
      </c>
      <c r="J188" s="59">
        <v>0</v>
      </c>
      <c r="K188" s="60">
        <f>'SIMULARE PE PRODUS'!AC188</f>
        <v>0.10360000000000001</v>
      </c>
      <c r="L188" s="60">
        <f>'SIMULARE PE PRODUS'!AD188</f>
        <v>0.10360000000000001</v>
      </c>
      <c r="M188" s="60" t="str">
        <f>'SIMULARE PE PRODUS'!AE188</f>
        <v/>
      </c>
      <c r="N188" s="59">
        <v>0</v>
      </c>
      <c r="O188" s="59">
        <v>0</v>
      </c>
      <c r="P188" s="61">
        <f>'SIMULARE PE PRODUS'!AK188</f>
        <v>8.9054441260744993E-2</v>
      </c>
      <c r="Q188" s="61">
        <f>'SIMULARE PE PRODUS'!AL188</f>
        <v>8.9054441260744993E-2</v>
      </c>
      <c r="R188" s="61" t="str">
        <f>'SIMULARE PE PRODUS'!AM188</f>
        <v/>
      </c>
      <c r="S188" s="59">
        <v>0</v>
      </c>
      <c r="T188" s="59">
        <v>0</v>
      </c>
      <c r="U188" s="62">
        <f>'SIMULARE PE PRODUS'!AS188</f>
        <v>7.789473684210528E-2</v>
      </c>
      <c r="V188" s="62">
        <f>'SIMULARE PE PRODUS'!AT188</f>
        <v>7.789473684210528E-2</v>
      </c>
      <c r="W188" s="62" t="str">
        <f>'SIMULARE PE PRODUS'!AU188</f>
        <v/>
      </c>
      <c r="X188" s="59">
        <v>0</v>
      </c>
      <c r="Y188" s="59">
        <v>0</v>
      </c>
      <c r="Z188" s="63">
        <f>'SIMULARE PE PRODUS'!BA188</f>
        <v>7.789473684210528E-2</v>
      </c>
      <c r="AA188" s="63">
        <f>'SIMULARE PE PRODUS'!BB188</f>
        <v>7.789473684210528E-2</v>
      </c>
      <c r="AB188" s="63" t="str">
        <f>'SIMULARE PE PRODUS'!BC188</f>
        <v/>
      </c>
    </row>
    <row r="189" spans="1:28" x14ac:dyDescent="0.2">
      <c r="A189" s="26">
        <v>184</v>
      </c>
      <c r="B189" s="26" t="s">
        <v>329</v>
      </c>
      <c r="C189" s="26" t="s">
        <v>105</v>
      </c>
      <c r="D189" s="41">
        <f>'SIMULARE PE PRODUS'!P189</f>
        <v>14</v>
      </c>
      <c r="E189" s="41">
        <f>'SIMULARE PE PRODUS'!Q189</f>
        <v>16</v>
      </c>
      <c r="F189" s="28">
        <f>'SIMULARE PE PRODUS'!U189</f>
        <v>0.36928114285714286</v>
      </c>
      <c r="G189" s="28">
        <f>'SIMULARE PE PRODUS'!V189</f>
        <v>0.36928114285714286</v>
      </c>
      <c r="H189" s="28" t="str">
        <f>'SIMULARE PE PRODUS'!W189</f>
        <v/>
      </c>
      <c r="I189" s="59">
        <v>0</v>
      </c>
      <c r="J189" s="59">
        <v>0</v>
      </c>
      <c r="K189" s="60">
        <f>'SIMULARE PE PRODUS'!AC189</f>
        <v>0.36928114285714286</v>
      </c>
      <c r="L189" s="60">
        <f>'SIMULARE PE PRODUS'!AD189</f>
        <v>0.36928114285714286</v>
      </c>
      <c r="M189" s="60" t="str">
        <f>'SIMULARE PE PRODUS'!AE189</f>
        <v/>
      </c>
      <c r="N189" s="59">
        <v>0</v>
      </c>
      <c r="O189" s="59">
        <v>0</v>
      </c>
      <c r="P189" s="61">
        <f>'SIMULARE PE PRODUS'!AK189</f>
        <v>0.35679337474120087</v>
      </c>
      <c r="Q189" s="61">
        <f>'SIMULARE PE PRODUS'!AL189</f>
        <v>0.35679337474120087</v>
      </c>
      <c r="R189" s="61" t="str">
        <f>'SIMULARE PE PRODUS'!AM189</f>
        <v/>
      </c>
      <c r="S189" s="59">
        <v>0</v>
      </c>
      <c r="T189" s="59">
        <v>0</v>
      </c>
      <c r="U189" s="62">
        <f>'SIMULARE PE PRODUS'!AS189</f>
        <v>0.3448923282188126</v>
      </c>
      <c r="V189" s="62">
        <f>'SIMULARE PE PRODUS'!AT189</f>
        <v>0.3448923282188126</v>
      </c>
      <c r="W189" s="62" t="str">
        <f>'SIMULARE PE PRODUS'!AU189</f>
        <v/>
      </c>
      <c r="X189" s="59">
        <v>0</v>
      </c>
      <c r="Y189" s="59">
        <v>0</v>
      </c>
      <c r="Z189" s="63">
        <f>'SIMULARE PE PRODUS'!BA189</f>
        <v>0.3448923282188126</v>
      </c>
      <c r="AA189" s="63">
        <f>'SIMULARE PE PRODUS'!BB189</f>
        <v>0.3448923282188126</v>
      </c>
      <c r="AB189" s="63" t="str">
        <f>'SIMULARE PE PRODUS'!BC189</f>
        <v/>
      </c>
    </row>
    <row r="190" spans="1:28" x14ac:dyDescent="0.2">
      <c r="A190" s="26">
        <v>185</v>
      </c>
      <c r="B190" s="26" t="s">
        <v>330</v>
      </c>
      <c r="C190" s="26" t="s">
        <v>105</v>
      </c>
      <c r="D190" s="41">
        <f>'SIMULARE PE PRODUS'!P190</f>
        <v>3</v>
      </c>
      <c r="E190" s="41">
        <f>'SIMULARE PE PRODUS'!Q190</f>
        <v>0</v>
      </c>
      <c r="F190" s="28">
        <f>'SIMULARE PE PRODUS'!U190</f>
        <v>0.30507295499999998</v>
      </c>
      <c r="G190" s="28">
        <f>'SIMULARE PE PRODUS'!V190</f>
        <v>0.30507295499999998</v>
      </c>
      <c r="H190" s="28" t="str">
        <f>'SIMULARE PE PRODUS'!W190</f>
        <v/>
      </c>
      <c r="I190" s="59">
        <v>0</v>
      </c>
      <c r="J190" s="59">
        <v>0</v>
      </c>
      <c r="K190" s="60">
        <f>'SIMULARE PE PRODUS'!AC190</f>
        <v>0.30507295499999998</v>
      </c>
      <c r="L190" s="60">
        <f>'SIMULARE PE PRODUS'!AD190</f>
        <v>0.30507295499999998</v>
      </c>
      <c r="M190" s="60" t="str">
        <f>'SIMULARE PE PRODUS'!AE190</f>
        <v/>
      </c>
      <c r="N190" s="59">
        <v>0</v>
      </c>
      <c r="O190" s="59">
        <v>0</v>
      </c>
      <c r="P190" s="61">
        <f>'SIMULARE PE PRODUS'!AK190</f>
        <v>0.26224036246418342</v>
      </c>
      <c r="Q190" s="61">
        <f>'SIMULARE PE PRODUS'!AL190</f>
        <v>0.26224036246418342</v>
      </c>
      <c r="R190" s="61" t="str">
        <f>'SIMULARE PE PRODUS'!AM190</f>
        <v/>
      </c>
      <c r="S190" s="59">
        <v>0</v>
      </c>
      <c r="T190" s="59">
        <v>0</v>
      </c>
      <c r="U190" s="62">
        <f>'SIMULARE PE PRODUS'!AS190</f>
        <v>0.22937816165413535</v>
      </c>
      <c r="V190" s="62">
        <f>'SIMULARE PE PRODUS'!AT190</f>
        <v>0.22937816165413535</v>
      </c>
      <c r="W190" s="62" t="str">
        <f>'SIMULARE PE PRODUS'!AU190</f>
        <v/>
      </c>
      <c r="X190" s="59">
        <v>0</v>
      </c>
      <c r="Y190" s="59">
        <v>0</v>
      </c>
      <c r="Z190" s="63">
        <f>'SIMULARE PE PRODUS'!BA190</f>
        <v>0.22937816165413535</v>
      </c>
      <c r="AA190" s="63">
        <f>'SIMULARE PE PRODUS'!BB190</f>
        <v>0.22937816165413535</v>
      </c>
      <c r="AB190" s="63" t="str">
        <f>'SIMULARE PE PRODUS'!BC190</f>
        <v/>
      </c>
    </row>
    <row r="191" spans="1:28" x14ac:dyDescent="0.2">
      <c r="A191" s="26">
        <v>186</v>
      </c>
      <c r="B191" s="26" t="s">
        <v>331</v>
      </c>
      <c r="C191" s="26" t="s">
        <v>105</v>
      </c>
      <c r="D191" s="41">
        <f>'SIMULARE PE PRODUS'!P191</f>
        <v>4</v>
      </c>
      <c r="E191" s="41">
        <f>'SIMULARE PE PRODUS'!Q191</f>
        <v>3</v>
      </c>
      <c r="F191" s="28">
        <f>'SIMULARE PE PRODUS'!U191</f>
        <v>0.36409387500000007</v>
      </c>
      <c r="G191" s="28">
        <f>'SIMULARE PE PRODUS'!V191</f>
        <v>0.36409387500000007</v>
      </c>
      <c r="H191" s="28" t="str">
        <f>'SIMULARE PE PRODUS'!W191</f>
        <v/>
      </c>
      <c r="I191" s="59">
        <v>0</v>
      </c>
      <c r="J191" s="59">
        <v>0</v>
      </c>
      <c r="K191" s="60">
        <f>'SIMULARE PE PRODUS'!AC191</f>
        <v>0.36409387500000007</v>
      </c>
      <c r="L191" s="60">
        <f>'SIMULARE PE PRODUS'!AD191</f>
        <v>0.36409387500000007</v>
      </c>
      <c r="M191" s="60" t="str">
        <f>'SIMULARE PE PRODUS'!AE191</f>
        <v/>
      </c>
      <c r="N191" s="59">
        <v>0</v>
      </c>
      <c r="O191" s="59">
        <v>0</v>
      </c>
      <c r="P191" s="61">
        <f>'SIMULARE PE PRODUS'!AK191</f>
        <v>0.32435979955456573</v>
      </c>
      <c r="Q191" s="61">
        <f>'SIMULARE PE PRODUS'!AL191</f>
        <v>0.32435979955456573</v>
      </c>
      <c r="R191" s="61" t="str">
        <f>'SIMULARE PE PRODUS'!AM191</f>
        <v/>
      </c>
      <c r="S191" s="59">
        <v>0</v>
      </c>
      <c r="T191" s="59">
        <v>0</v>
      </c>
      <c r="U191" s="62">
        <f>'SIMULARE PE PRODUS'!AS191</f>
        <v>0.32435979955456573</v>
      </c>
      <c r="V191" s="62">
        <f>'SIMULARE PE PRODUS'!AT191</f>
        <v>0.32435979955456573</v>
      </c>
      <c r="W191" s="62" t="str">
        <f>'SIMULARE PE PRODUS'!AU191</f>
        <v/>
      </c>
      <c r="X191" s="59">
        <v>0</v>
      </c>
      <c r="Y191" s="59">
        <v>0</v>
      </c>
      <c r="Z191" s="63">
        <f>'SIMULARE PE PRODUS'!BA191</f>
        <v>0.32435979955456573</v>
      </c>
      <c r="AA191" s="63">
        <f>'SIMULARE PE PRODUS'!BB191</f>
        <v>0.32435979955456573</v>
      </c>
      <c r="AB191" s="63" t="str">
        <f>'SIMULARE PE PRODUS'!BC191</f>
        <v/>
      </c>
    </row>
    <row r="192" spans="1:28" x14ac:dyDescent="0.2">
      <c r="A192" s="26">
        <v>187</v>
      </c>
      <c r="B192" s="26" t="s">
        <v>332</v>
      </c>
      <c r="C192" s="26" t="s">
        <v>105</v>
      </c>
      <c r="D192" s="41">
        <f>'SIMULARE PE PRODUS'!P192</f>
        <v>3</v>
      </c>
      <c r="E192" s="41">
        <f>'SIMULARE PE PRODUS'!Q192</f>
        <v>0</v>
      </c>
      <c r="F192" s="28">
        <f>'SIMULARE PE PRODUS'!U192</f>
        <v>0.25159999999999999</v>
      </c>
      <c r="G192" s="28">
        <f>'SIMULARE PE PRODUS'!V192</f>
        <v>0.25159999999999999</v>
      </c>
      <c r="H192" s="28" t="str">
        <f>'SIMULARE PE PRODUS'!W192</f>
        <v/>
      </c>
      <c r="I192" s="59">
        <v>0</v>
      </c>
      <c r="J192" s="59">
        <v>0</v>
      </c>
      <c r="K192" s="60">
        <f>'SIMULARE PE PRODUS'!AC192</f>
        <v>0.25159999999999999</v>
      </c>
      <c r="L192" s="60">
        <f>'SIMULARE PE PRODUS'!AD192</f>
        <v>0.25159999999999999</v>
      </c>
      <c r="M192" s="60" t="str">
        <f>'SIMULARE PE PRODUS'!AE192</f>
        <v/>
      </c>
      <c r="N192" s="59">
        <v>0</v>
      </c>
      <c r="O192" s="59">
        <v>0</v>
      </c>
      <c r="P192" s="61">
        <f>'SIMULARE PE PRODUS'!AK192</f>
        <v>0.21627507163323784</v>
      </c>
      <c r="Q192" s="61">
        <f>'SIMULARE PE PRODUS'!AL192</f>
        <v>0.21627507163323784</v>
      </c>
      <c r="R192" s="61" t="str">
        <f>'SIMULARE PE PRODUS'!AM192</f>
        <v/>
      </c>
      <c r="S192" s="59">
        <v>0</v>
      </c>
      <c r="T192" s="59">
        <v>0</v>
      </c>
      <c r="U192" s="62">
        <f>'SIMULARE PE PRODUS'!AS192</f>
        <v>0.18917293233082708</v>
      </c>
      <c r="V192" s="62">
        <f>'SIMULARE PE PRODUS'!AT192</f>
        <v>0.18917293233082708</v>
      </c>
      <c r="W192" s="62" t="str">
        <f>'SIMULARE PE PRODUS'!AU192</f>
        <v/>
      </c>
      <c r="X192" s="59">
        <v>0</v>
      </c>
      <c r="Y192" s="59">
        <v>0</v>
      </c>
      <c r="Z192" s="63">
        <f>'SIMULARE PE PRODUS'!BA192</f>
        <v>0.18917293233082708</v>
      </c>
      <c r="AA192" s="63">
        <f>'SIMULARE PE PRODUS'!BB192</f>
        <v>0.18917293233082708</v>
      </c>
      <c r="AB192" s="63" t="str">
        <f>'SIMULARE PE PRODUS'!BC192</f>
        <v/>
      </c>
    </row>
    <row r="193" spans="1:28" x14ac:dyDescent="0.2">
      <c r="A193" s="26">
        <v>188</v>
      </c>
      <c r="B193" s="26" t="s">
        <v>333</v>
      </c>
      <c r="C193" s="26" t="s">
        <v>104</v>
      </c>
      <c r="D193" s="41">
        <f>'SIMULARE PE PRODUS'!P160</f>
        <v>3.5</v>
      </c>
      <c r="E193" s="41">
        <f>'SIMULARE PE PRODUS'!Q160</f>
        <v>0</v>
      </c>
      <c r="F193" s="28">
        <f>'SIMULARE PE PRODUS'!U160</f>
        <v>0.19456968000000002</v>
      </c>
      <c r="G193" s="28">
        <f>'SIMULARE PE PRODUS'!V160</f>
        <v>0.19456968000000002</v>
      </c>
      <c r="H193" s="28" t="str">
        <f>'SIMULARE PE PRODUS'!W160</f>
        <v/>
      </c>
      <c r="I193" s="59">
        <v>0</v>
      </c>
      <c r="J193" s="59">
        <v>0</v>
      </c>
      <c r="K193" s="60">
        <f>'SIMULARE PE PRODUS'!AC160</f>
        <v>0.19456968000000002</v>
      </c>
      <c r="L193" s="60">
        <f>'SIMULARE PE PRODUS'!AD160</f>
        <v>0.19456968000000002</v>
      </c>
      <c r="M193" s="60" t="str">
        <f>'SIMULARE PE PRODUS'!AE160</f>
        <v/>
      </c>
      <c r="N193" s="59">
        <v>0</v>
      </c>
      <c r="O193" s="59">
        <v>0</v>
      </c>
      <c r="P193" s="61">
        <f>'SIMULARE PE PRODUS'!AK160</f>
        <v>0.19456968000000002</v>
      </c>
      <c r="Q193" s="61">
        <f>'SIMULARE PE PRODUS'!AL160</f>
        <v>0.19456968000000002</v>
      </c>
      <c r="R193" s="61" t="str">
        <f>'SIMULARE PE PRODUS'!AM160</f>
        <v/>
      </c>
      <c r="S193" s="59">
        <v>0</v>
      </c>
      <c r="T193" s="59">
        <v>0</v>
      </c>
      <c r="U193" s="62">
        <f>'SIMULARE PE PRODUS'!AS160</f>
        <v>0.19456968000000002</v>
      </c>
      <c r="V193" s="62">
        <f>'SIMULARE PE PRODUS'!AT160</f>
        <v>0.19456968000000002</v>
      </c>
      <c r="W193" s="62" t="str">
        <f>'SIMULARE PE PRODUS'!AU160</f>
        <v/>
      </c>
      <c r="X193" s="59">
        <v>0</v>
      </c>
      <c r="Y193" s="59">
        <v>0</v>
      </c>
      <c r="Z193" s="63">
        <f>'SIMULARE PE PRODUS'!BA160</f>
        <v>0.19456968000000002</v>
      </c>
      <c r="AA193" s="63">
        <f>'SIMULARE PE PRODUS'!BB160</f>
        <v>0.19456968000000002</v>
      </c>
      <c r="AB193" s="63" t="str">
        <f>'SIMULARE PE PRODUS'!BC160</f>
        <v/>
      </c>
    </row>
    <row r="194" spans="1:28" x14ac:dyDescent="0.2">
      <c r="A194" s="26">
        <v>189</v>
      </c>
      <c r="B194" s="26" t="s">
        <v>334</v>
      </c>
      <c r="C194" s="26" t="s">
        <v>105</v>
      </c>
      <c r="D194" s="41">
        <f>'SIMULARE PE PRODUS'!P193</f>
        <v>4</v>
      </c>
      <c r="E194" s="41">
        <f>'SIMULARE PE PRODUS'!Q193</f>
        <v>0</v>
      </c>
      <c r="F194" s="28">
        <f>'SIMULARE PE PRODUS'!U193</f>
        <v>0.36409387500000007</v>
      </c>
      <c r="G194" s="28">
        <f>'SIMULARE PE PRODUS'!V193</f>
        <v>0.36409387500000007</v>
      </c>
      <c r="H194" s="28" t="str">
        <f>'SIMULARE PE PRODUS'!W193</f>
        <v/>
      </c>
      <c r="I194" s="59">
        <v>0</v>
      </c>
      <c r="J194" s="59">
        <v>0</v>
      </c>
      <c r="K194" s="60">
        <f>'SIMULARE PE PRODUS'!AC193</f>
        <v>0.36409387500000007</v>
      </c>
      <c r="L194" s="60">
        <f>'SIMULARE PE PRODUS'!AD193</f>
        <v>0.36409387500000007</v>
      </c>
      <c r="M194" s="60" t="str">
        <f>'SIMULARE PE PRODUS'!AE193</f>
        <v/>
      </c>
      <c r="N194" s="59">
        <v>0</v>
      </c>
      <c r="O194" s="59">
        <v>0</v>
      </c>
      <c r="P194" s="61">
        <f>'SIMULARE PE PRODUS'!AK193</f>
        <v>0.32435979955456573</v>
      </c>
      <c r="Q194" s="61">
        <f>'SIMULARE PE PRODUS'!AL193</f>
        <v>0.32435979955456573</v>
      </c>
      <c r="R194" s="61" t="str">
        <f>'SIMULARE PE PRODUS'!AM193</f>
        <v/>
      </c>
      <c r="S194" s="59">
        <v>0</v>
      </c>
      <c r="T194" s="59">
        <v>0</v>
      </c>
      <c r="U194" s="62">
        <f>'SIMULARE PE PRODUS'!AS193</f>
        <v>0.32435979955456573</v>
      </c>
      <c r="V194" s="62">
        <f>'SIMULARE PE PRODUS'!AT193</f>
        <v>0.32435979955456573</v>
      </c>
      <c r="W194" s="62" t="str">
        <f>'SIMULARE PE PRODUS'!AU193</f>
        <v/>
      </c>
      <c r="X194" s="59">
        <v>0</v>
      </c>
      <c r="Y194" s="59">
        <v>0</v>
      </c>
      <c r="Z194" s="63">
        <f>'SIMULARE PE PRODUS'!BA193</f>
        <v>0.32435979955456573</v>
      </c>
      <c r="AA194" s="63">
        <f>'SIMULARE PE PRODUS'!BB193</f>
        <v>0.32435979955456573</v>
      </c>
      <c r="AB194" s="63" t="str">
        <f>'SIMULARE PE PRODUS'!BC193</f>
        <v/>
      </c>
    </row>
    <row r="195" spans="1:28" x14ac:dyDescent="0.2">
      <c r="A195" s="26">
        <v>190</v>
      </c>
      <c r="B195" s="26" t="s">
        <v>335</v>
      </c>
      <c r="C195" s="26" t="s">
        <v>111</v>
      </c>
      <c r="D195" s="41">
        <f>'SIMULARE PE PRODUS'!P231</f>
        <v>19.899999999999999</v>
      </c>
      <c r="E195" s="41">
        <f>'SIMULARE PE PRODUS'!Q231</f>
        <v>0</v>
      </c>
      <c r="F195" s="28">
        <f>'SIMULARE PE PRODUS'!U231</f>
        <v>0.35023115577889447</v>
      </c>
      <c r="G195" s="28">
        <f>'SIMULARE PE PRODUS'!V231</f>
        <v>0.35023115577889447</v>
      </c>
      <c r="H195" s="28" t="str">
        <f>'SIMULARE PE PRODUS'!W231</f>
        <v/>
      </c>
      <c r="I195" s="59">
        <v>0</v>
      </c>
      <c r="J195" s="59">
        <v>0</v>
      </c>
      <c r="K195" s="60">
        <f>'SIMULARE PE PRODUS'!AC231</f>
        <v>0.35023115577889447</v>
      </c>
      <c r="L195" s="60">
        <f>'SIMULARE PE PRODUS'!AD231</f>
        <v>0.35023115577889447</v>
      </c>
      <c r="M195" s="60" t="str">
        <f>'SIMULARE PE PRODUS'!AE231</f>
        <v/>
      </c>
      <c r="N195" s="59">
        <v>0</v>
      </c>
      <c r="O195" s="59">
        <v>0</v>
      </c>
      <c r="P195" s="61">
        <f>'SIMULARE PE PRODUS'!AK231</f>
        <v>0.35023115577889447</v>
      </c>
      <c r="Q195" s="61">
        <f>'SIMULARE PE PRODUS'!AL231</f>
        <v>0.35023115577889447</v>
      </c>
      <c r="R195" s="61" t="str">
        <f>'SIMULARE PE PRODUS'!AM231</f>
        <v/>
      </c>
      <c r="S195" s="59">
        <v>0</v>
      </c>
      <c r="T195" s="59">
        <v>0</v>
      </c>
      <c r="U195" s="62">
        <f>'SIMULARE PE PRODUS'!AS231</f>
        <v>0.35023115577889447</v>
      </c>
      <c r="V195" s="62">
        <f>'SIMULARE PE PRODUS'!AT231</f>
        <v>0.35023115577889447</v>
      </c>
      <c r="W195" s="62" t="str">
        <f>'SIMULARE PE PRODUS'!AU231</f>
        <v/>
      </c>
      <c r="X195" s="59">
        <v>0</v>
      </c>
      <c r="Y195" s="59">
        <v>0</v>
      </c>
      <c r="Z195" s="63">
        <f>'SIMULARE PE PRODUS'!BA231</f>
        <v>0.35023115577889447</v>
      </c>
      <c r="AA195" s="63">
        <f>'SIMULARE PE PRODUS'!BB231</f>
        <v>0.35023115577889447</v>
      </c>
      <c r="AB195" s="63" t="str">
        <f>'SIMULARE PE PRODUS'!BC231</f>
        <v/>
      </c>
    </row>
    <row r="196" spans="1:28" x14ac:dyDescent="0.2">
      <c r="A196" s="26">
        <v>191</v>
      </c>
      <c r="B196" s="26" t="s">
        <v>336</v>
      </c>
      <c r="C196" s="26" t="s">
        <v>104</v>
      </c>
      <c r="D196" s="41">
        <f>'SIMULARE PE PRODUS'!P161</f>
        <v>3.5</v>
      </c>
      <c r="E196" s="41">
        <f>'SIMULARE PE PRODUS'!Q161</f>
        <v>0</v>
      </c>
      <c r="F196" s="28">
        <f>'SIMULARE PE PRODUS'!U161</f>
        <v>0.19844770285714289</v>
      </c>
      <c r="G196" s="28">
        <f>'SIMULARE PE PRODUS'!V161</f>
        <v>0.19844770285714289</v>
      </c>
      <c r="H196" s="28" t="str">
        <f>'SIMULARE PE PRODUS'!W161</f>
        <v/>
      </c>
      <c r="I196" s="59">
        <v>0</v>
      </c>
      <c r="J196" s="59">
        <v>0</v>
      </c>
      <c r="K196" s="60">
        <f>'SIMULARE PE PRODUS'!AC161</f>
        <v>0.19844770285714289</v>
      </c>
      <c r="L196" s="60">
        <f>'SIMULARE PE PRODUS'!AD161</f>
        <v>0.19844770285714289</v>
      </c>
      <c r="M196" s="60" t="str">
        <f>'SIMULARE PE PRODUS'!AE161</f>
        <v/>
      </c>
      <c r="N196" s="59">
        <v>0</v>
      </c>
      <c r="O196" s="59">
        <v>0</v>
      </c>
      <c r="P196" s="61">
        <f>'SIMULARE PE PRODUS'!AK161</f>
        <v>0.19844770285714289</v>
      </c>
      <c r="Q196" s="61">
        <f>'SIMULARE PE PRODUS'!AL161</f>
        <v>0.19844770285714289</v>
      </c>
      <c r="R196" s="61" t="str">
        <f>'SIMULARE PE PRODUS'!AM161</f>
        <v/>
      </c>
      <c r="S196" s="59">
        <v>0</v>
      </c>
      <c r="T196" s="59">
        <v>0</v>
      </c>
      <c r="U196" s="62">
        <f>'SIMULARE PE PRODUS'!AS161</f>
        <v>0.19844770285714289</v>
      </c>
      <c r="V196" s="62">
        <f>'SIMULARE PE PRODUS'!AT161</f>
        <v>0.19844770285714289</v>
      </c>
      <c r="W196" s="62" t="str">
        <f>'SIMULARE PE PRODUS'!AU161</f>
        <v/>
      </c>
      <c r="X196" s="59">
        <v>0</v>
      </c>
      <c r="Y196" s="59">
        <v>0</v>
      </c>
      <c r="Z196" s="63">
        <f>'SIMULARE PE PRODUS'!BA161</f>
        <v>0.19844770285714289</v>
      </c>
      <c r="AA196" s="63">
        <f>'SIMULARE PE PRODUS'!BB161</f>
        <v>0.19844770285714289</v>
      </c>
      <c r="AB196" s="63" t="str">
        <f>'SIMULARE PE PRODUS'!BC161</f>
        <v/>
      </c>
    </row>
    <row r="197" spans="1:28" x14ac:dyDescent="0.2">
      <c r="A197" s="26">
        <v>192</v>
      </c>
      <c r="B197" s="26" t="s">
        <v>337</v>
      </c>
      <c r="C197" s="26" t="s">
        <v>105</v>
      </c>
      <c r="D197" s="41">
        <f>'SIMULARE PE PRODUS'!P194</f>
        <v>4</v>
      </c>
      <c r="E197" s="41">
        <f>'SIMULARE PE PRODUS'!Q194</f>
        <v>0</v>
      </c>
      <c r="F197" s="28">
        <f>'SIMULARE PE PRODUS'!U194</f>
        <v>0.36800670825000009</v>
      </c>
      <c r="G197" s="28">
        <f>'SIMULARE PE PRODUS'!V194</f>
        <v>0.36800670825000009</v>
      </c>
      <c r="H197" s="28" t="str">
        <f>'SIMULARE PE PRODUS'!W194</f>
        <v/>
      </c>
      <c r="I197" s="59">
        <v>0</v>
      </c>
      <c r="J197" s="59">
        <v>0</v>
      </c>
      <c r="K197" s="60">
        <f>'SIMULARE PE PRODUS'!AC194</f>
        <v>0.36800670825000009</v>
      </c>
      <c r="L197" s="60">
        <f>'SIMULARE PE PRODUS'!AD194</f>
        <v>0.36800670825000009</v>
      </c>
      <c r="M197" s="60" t="str">
        <f>'SIMULARE PE PRODUS'!AE194</f>
        <v/>
      </c>
      <c r="N197" s="59">
        <v>0</v>
      </c>
      <c r="O197" s="59">
        <v>0</v>
      </c>
      <c r="P197" s="61">
        <f>'SIMULARE PE PRODUS'!AK194</f>
        <v>0.32784561982182631</v>
      </c>
      <c r="Q197" s="61">
        <f>'SIMULARE PE PRODUS'!AL194</f>
        <v>0.32784561982182631</v>
      </c>
      <c r="R197" s="61" t="str">
        <f>'SIMULARE PE PRODUS'!AM194</f>
        <v/>
      </c>
      <c r="S197" s="59">
        <v>0</v>
      </c>
      <c r="T197" s="59">
        <v>0</v>
      </c>
      <c r="U197" s="62">
        <f>'SIMULARE PE PRODUS'!AS194</f>
        <v>0.32784561982182631</v>
      </c>
      <c r="V197" s="62">
        <f>'SIMULARE PE PRODUS'!AT194</f>
        <v>0.32784561982182631</v>
      </c>
      <c r="W197" s="62" t="str">
        <f>'SIMULARE PE PRODUS'!AU194</f>
        <v/>
      </c>
      <c r="X197" s="59">
        <v>0</v>
      </c>
      <c r="Y197" s="59">
        <v>0</v>
      </c>
      <c r="Z197" s="63">
        <f>'SIMULARE PE PRODUS'!BA194</f>
        <v>0.32784561982182631</v>
      </c>
      <c r="AA197" s="63">
        <f>'SIMULARE PE PRODUS'!BB194</f>
        <v>0.32784561982182631</v>
      </c>
      <c r="AB197" s="63" t="str">
        <f>'SIMULARE PE PRODUS'!BC194</f>
        <v/>
      </c>
    </row>
    <row r="198" spans="1:28" x14ac:dyDescent="0.2">
      <c r="A198" s="26">
        <v>193</v>
      </c>
      <c r="B198" s="26" t="s">
        <v>338</v>
      </c>
      <c r="C198" s="26" t="s">
        <v>105</v>
      </c>
      <c r="D198" s="41">
        <f>'SIMULARE PE PRODUS'!P195</f>
        <v>4</v>
      </c>
      <c r="E198" s="41">
        <f>'SIMULARE PE PRODUS'!Q195</f>
        <v>0</v>
      </c>
      <c r="F198" s="28">
        <f>'SIMULARE PE PRODUS'!U195</f>
        <v>0.37474508812500007</v>
      </c>
      <c r="G198" s="28">
        <f>'SIMULARE PE PRODUS'!V195</f>
        <v>0.37474508812500007</v>
      </c>
      <c r="H198" s="28" t="str">
        <f>'SIMULARE PE PRODUS'!W195</f>
        <v/>
      </c>
      <c r="I198" s="59">
        <v>0</v>
      </c>
      <c r="J198" s="59">
        <v>0</v>
      </c>
      <c r="K198" s="60">
        <f>'SIMULARE PE PRODUS'!AC195</f>
        <v>0.37474508812500007</v>
      </c>
      <c r="L198" s="60">
        <f>'SIMULARE PE PRODUS'!AD195</f>
        <v>0.37474508812500007</v>
      </c>
      <c r="M198" s="60" t="str">
        <f>'SIMULARE PE PRODUS'!AE195</f>
        <v/>
      </c>
      <c r="N198" s="59">
        <v>0</v>
      </c>
      <c r="O198" s="59">
        <v>0</v>
      </c>
      <c r="P198" s="61">
        <f>'SIMULARE PE PRODUS'!AK195</f>
        <v>0.33384863084632521</v>
      </c>
      <c r="Q198" s="61">
        <f>'SIMULARE PE PRODUS'!AL195</f>
        <v>0.33384863084632521</v>
      </c>
      <c r="R198" s="61" t="str">
        <f>'SIMULARE PE PRODUS'!AM195</f>
        <v/>
      </c>
      <c r="S198" s="59">
        <v>0</v>
      </c>
      <c r="T198" s="59">
        <v>0</v>
      </c>
      <c r="U198" s="62">
        <f>'SIMULARE PE PRODUS'!AS195</f>
        <v>0.33384863084632521</v>
      </c>
      <c r="V198" s="62">
        <f>'SIMULARE PE PRODUS'!AT195</f>
        <v>0.33384863084632521</v>
      </c>
      <c r="W198" s="62" t="str">
        <f>'SIMULARE PE PRODUS'!AU195</f>
        <v/>
      </c>
      <c r="X198" s="59">
        <v>0</v>
      </c>
      <c r="Y198" s="59">
        <v>0</v>
      </c>
      <c r="Z198" s="63">
        <f>'SIMULARE PE PRODUS'!BA195</f>
        <v>0.33384863084632521</v>
      </c>
      <c r="AA198" s="63">
        <f>'SIMULARE PE PRODUS'!BB195</f>
        <v>0.33384863084632521</v>
      </c>
      <c r="AB198" s="63" t="str">
        <f>'SIMULARE PE PRODUS'!BC195</f>
        <v/>
      </c>
    </row>
    <row r="199" spans="1:28" x14ac:dyDescent="0.2">
      <c r="A199" s="26">
        <v>194</v>
      </c>
      <c r="B199" s="26" t="s">
        <v>339</v>
      </c>
      <c r="C199" s="26" t="s">
        <v>105</v>
      </c>
      <c r="D199" s="41">
        <f>'SIMULARE PE PRODUS'!P196</f>
        <v>3</v>
      </c>
      <c r="E199" s="41">
        <f>'SIMULARE PE PRODUS'!Q196</f>
        <v>0</v>
      </c>
      <c r="F199" s="28">
        <f>'SIMULARE PE PRODUS'!U196</f>
        <v>0.27619671200000001</v>
      </c>
      <c r="G199" s="28">
        <f>'SIMULARE PE PRODUS'!V196</f>
        <v>0.27619671200000001</v>
      </c>
      <c r="H199" s="28" t="str">
        <f>'SIMULARE PE PRODUS'!W196</f>
        <v/>
      </c>
      <c r="I199" s="59">
        <v>0</v>
      </c>
      <c r="J199" s="59">
        <v>0</v>
      </c>
      <c r="K199" s="60">
        <f>'SIMULARE PE PRODUS'!AC196</f>
        <v>0.27619671200000001</v>
      </c>
      <c r="L199" s="60">
        <f>'SIMULARE PE PRODUS'!AD196</f>
        <v>0.27619671200000001</v>
      </c>
      <c r="M199" s="60" t="str">
        <f>'SIMULARE PE PRODUS'!AE196</f>
        <v/>
      </c>
      <c r="N199" s="59">
        <v>0</v>
      </c>
      <c r="O199" s="59">
        <v>0</v>
      </c>
      <c r="P199" s="61">
        <f>'SIMULARE PE PRODUS'!AK196</f>
        <v>0.23741837707736393</v>
      </c>
      <c r="Q199" s="61">
        <f>'SIMULARE PE PRODUS'!AL196</f>
        <v>0.23741837707736393</v>
      </c>
      <c r="R199" s="61" t="str">
        <f>'SIMULARE PE PRODUS'!AM196</f>
        <v/>
      </c>
      <c r="S199" s="59">
        <v>0</v>
      </c>
      <c r="T199" s="59">
        <v>0</v>
      </c>
      <c r="U199" s="62">
        <f>'SIMULARE PE PRODUS'!AS196</f>
        <v>0.20766670075187973</v>
      </c>
      <c r="V199" s="62">
        <f>'SIMULARE PE PRODUS'!AT196</f>
        <v>0.20766670075187973</v>
      </c>
      <c r="W199" s="62" t="str">
        <f>'SIMULARE PE PRODUS'!AU196</f>
        <v/>
      </c>
      <c r="X199" s="59">
        <v>0</v>
      </c>
      <c r="Y199" s="59">
        <v>0</v>
      </c>
      <c r="Z199" s="63">
        <f>'SIMULARE PE PRODUS'!BA196</f>
        <v>0.20766670075187973</v>
      </c>
      <c r="AA199" s="63">
        <f>'SIMULARE PE PRODUS'!BB196</f>
        <v>0.20766670075187973</v>
      </c>
      <c r="AB199" s="63" t="str">
        <f>'SIMULARE PE PRODUS'!BC196</f>
        <v/>
      </c>
    </row>
    <row r="200" spans="1:28" x14ac:dyDescent="0.2">
      <c r="A200" s="26">
        <v>195</v>
      </c>
      <c r="B200" s="26" t="s">
        <v>190</v>
      </c>
      <c r="C200" s="26" t="s">
        <v>110</v>
      </c>
      <c r="D200" s="41">
        <f>'SIMULARE PE PRODUS'!P223</f>
        <v>29.99</v>
      </c>
      <c r="E200" s="41">
        <f>'SIMULARE PE PRODUS'!Q223</f>
        <v>0</v>
      </c>
      <c r="F200" s="28">
        <f>'SIMULARE PE PRODUS'!U223</f>
        <v>0.57968352784261423</v>
      </c>
      <c r="G200" s="28">
        <f>'SIMULARE PE PRODUS'!V223</f>
        <v>0.57968352784261423</v>
      </c>
      <c r="H200" s="28" t="str">
        <f>'SIMULARE PE PRODUS'!W223</f>
        <v/>
      </c>
      <c r="I200" s="64">
        <v>0</v>
      </c>
      <c r="J200" s="64">
        <v>0</v>
      </c>
      <c r="K200" s="60" t="str">
        <f>'SIMULARE PE PRODUS'!AC223</f>
        <v/>
      </c>
      <c r="L200" s="60" t="str">
        <f>'SIMULARE PE PRODUS'!AD223</f>
        <v/>
      </c>
      <c r="M200" s="60" t="str">
        <f>'SIMULARE PE PRODUS'!AE223</f>
        <v/>
      </c>
      <c r="N200" s="64">
        <v>0</v>
      </c>
      <c r="O200" s="64">
        <v>0</v>
      </c>
      <c r="P200" s="61" t="str">
        <f>'SIMULARE PE PRODUS'!AK223</f>
        <v/>
      </c>
      <c r="Q200" s="61" t="str">
        <f>'SIMULARE PE PRODUS'!AL223</f>
        <v/>
      </c>
      <c r="R200" s="61" t="str">
        <f>'SIMULARE PE PRODUS'!AM223</f>
        <v/>
      </c>
      <c r="S200" s="64">
        <v>0</v>
      </c>
      <c r="T200" s="64">
        <v>0</v>
      </c>
      <c r="U200" s="62" t="str">
        <f>'SIMULARE PE PRODUS'!AS223</f>
        <v/>
      </c>
      <c r="V200" s="62" t="str">
        <f>'SIMULARE PE PRODUS'!AT223</f>
        <v/>
      </c>
      <c r="W200" s="62" t="str">
        <f>'SIMULARE PE PRODUS'!AU223</f>
        <v/>
      </c>
      <c r="X200" s="64">
        <v>0</v>
      </c>
      <c r="Y200" s="64">
        <v>0</v>
      </c>
      <c r="Z200" s="63" t="str">
        <f>'SIMULARE PE PRODUS'!BA223</f>
        <v/>
      </c>
      <c r="AA200" s="63" t="str">
        <f>'SIMULARE PE PRODUS'!BB223</f>
        <v/>
      </c>
      <c r="AB200" s="63" t="str">
        <f>'SIMULARE PE PRODUS'!BC223</f>
        <v/>
      </c>
    </row>
    <row r="201" spans="1:28" x14ac:dyDescent="0.2">
      <c r="A201" s="26">
        <v>196</v>
      </c>
      <c r="B201" s="26" t="s">
        <v>239</v>
      </c>
      <c r="C201" s="26" t="s">
        <v>110</v>
      </c>
      <c r="D201" s="41">
        <f>'SIMULARE PE PRODUS'!P224</f>
        <v>29.99</v>
      </c>
      <c r="E201" s="41">
        <f>'SIMULARE PE PRODUS'!Q224</f>
        <v>0</v>
      </c>
      <c r="F201" s="28">
        <f>'SIMULARE PE PRODUS'!U224</f>
        <v>0.3954028009336446</v>
      </c>
      <c r="G201" s="28">
        <f>'SIMULARE PE PRODUS'!V224</f>
        <v>0.3954028009336446</v>
      </c>
      <c r="H201" s="28" t="str">
        <f>'SIMULARE PE PRODUS'!W224</f>
        <v/>
      </c>
      <c r="I201" s="64">
        <v>0</v>
      </c>
      <c r="J201" s="64">
        <v>0</v>
      </c>
      <c r="K201" s="60" t="str">
        <f>'SIMULARE PE PRODUS'!AC224</f>
        <v/>
      </c>
      <c r="L201" s="60" t="str">
        <f>'SIMULARE PE PRODUS'!AD224</f>
        <v/>
      </c>
      <c r="M201" s="60" t="str">
        <f>'SIMULARE PE PRODUS'!AE224</f>
        <v/>
      </c>
      <c r="N201" s="64">
        <v>0</v>
      </c>
      <c r="O201" s="64">
        <v>0</v>
      </c>
      <c r="P201" s="61" t="str">
        <f>'SIMULARE PE PRODUS'!AK224</f>
        <v/>
      </c>
      <c r="Q201" s="61" t="str">
        <f>'SIMULARE PE PRODUS'!AL224</f>
        <v/>
      </c>
      <c r="R201" s="61" t="str">
        <f>'SIMULARE PE PRODUS'!AM224</f>
        <v/>
      </c>
      <c r="S201" s="64">
        <v>0</v>
      </c>
      <c r="T201" s="64">
        <v>0</v>
      </c>
      <c r="U201" s="62" t="str">
        <f>'SIMULARE PE PRODUS'!AS224</f>
        <v/>
      </c>
      <c r="V201" s="62" t="str">
        <f>'SIMULARE PE PRODUS'!AT224</f>
        <v/>
      </c>
      <c r="W201" s="62" t="str">
        <f>'SIMULARE PE PRODUS'!AU224</f>
        <v/>
      </c>
      <c r="X201" s="64">
        <v>0</v>
      </c>
      <c r="Y201" s="64">
        <v>0</v>
      </c>
      <c r="Z201" s="63" t="str">
        <f>'SIMULARE PE PRODUS'!BA224</f>
        <v/>
      </c>
      <c r="AA201" s="63" t="str">
        <f>'SIMULARE PE PRODUS'!BB224</f>
        <v/>
      </c>
      <c r="AB201" s="63" t="str">
        <f>'SIMULARE PE PRODUS'!BC224</f>
        <v/>
      </c>
    </row>
    <row r="202" spans="1:28" x14ac:dyDescent="0.2">
      <c r="A202" s="26">
        <v>197</v>
      </c>
      <c r="B202" s="26" t="s">
        <v>159</v>
      </c>
      <c r="C202" s="26" t="s">
        <v>101</v>
      </c>
      <c r="D202" s="41">
        <f>'SIMULARE PE PRODUS'!P72</f>
        <v>0</v>
      </c>
      <c r="E202" s="41">
        <f>'SIMULARE PE PRODUS'!Q72</f>
        <v>14.99</v>
      </c>
      <c r="F202" s="28">
        <f>'SIMULARE PE PRODUS'!U72</f>
        <v>0.27599841486644433</v>
      </c>
      <c r="G202" s="28" t="str">
        <f>'SIMULARE PE PRODUS'!V72</f>
        <v/>
      </c>
      <c r="H202" s="28">
        <f>'SIMULARE PE PRODUS'!W72</f>
        <v>0.27599841486644433</v>
      </c>
      <c r="I202" s="59">
        <v>0</v>
      </c>
      <c r="J202" s="59">
        <v>0</v>
      </c>
      <c r="K202" s="60">
        <f>'SIMULARE PE PRODUS'!AC72</f>
        <v>0.26708949250148489</v>
      </c>
      <c r="L202" s="60" t="str">
        <f>'SIMULARE PE PRODUS'!AD72</f>
        <v/>
      </c>
      <c r="M202" s="60">
        <f>'SIMULARE PE PRODUS'!AE72</f>
        <v>0.26708949250148489</v>
      </c>
      <c r="N202" s="59">
        <v>0</v>
      </c>
      <c r="O202" s="59">
        <v>0</v>
      </c>
      <c r="P202" s="61">
        <f>'SIMULARE PE PRODUS'!AK72</f>
        <v>0.26708949250148489</v>
      </c>
      <c r="Q202" s="61" t="str">
        <f>'SIMULARE PE PRODUS'!AL72</f>
        <v/>
      </c>
      <c r="R202" s="61">
        <f>'SIMULARE PE PRODUS'!AM72</f>
        <v>0.26708949250148489</v>
      </c>
      <c r="S202" s="59">
        <v>0</v>
      </c>
      <c r="T202" s="59">
        <v>0</v>
      </c>
      <c r="U202" s="62">
        <f>'SIMULARE PE PRODUS'!AS72</f>
        <v>0.26708949250148489</v>
      </c>
      <c r="V202" s="62" t="str">
        <f>'SIMULARE PE PRODUS'!AT72</f>
        <v/>
      </c>
      <c r="W202" s="62">
        <f>'SIMULARE PE PRODUS'!AU72</f>
        <v>0.26708949250148489</v>
      </c>
      <c r="X202" s="59">
        <v>0</v>
      </c>
      <c r="Y202" s="59">
        <v>0</v>
      </c>
      <c r="Z202" s="63">
        <f>'SIMULARE PE PRODUS'!BA72</f>
        <v>0.25089243413268653</v>
      </c>
      <c r="AA202" s="63" t="str">
        <f>'SIMULARE PE PRODUS'!BB72</f>
        <v/>
      </c>
      <c r="AB202" s="63">
        <f>'SIMULARE PE PRODUS'!BC72</f>
        <v>0.25089243413268653</v>
      </c>
    </row>
    <row r="203" spans="1:28" x14ac:dyDescent="0.2">
      <c r="A203" s="26">
        <v>198</v>
      </c>
      <c r="B203" s="26" t="s">
        <v>153</v>
      </c>
      <c r="C203" s="26" t="s">
        <v>101</v>
      </c>
      <c r="D203" s="41">
        <f>'SIMULARE PE PRODUS'!P71</f>
        <v>0</v>
      </c>
      <c r="E203" s="41">
        <f>'SIMULARE PE PRODUS'!Q71</f>
        <v>14.99</v>
      </c>
      <c r="F203" s="28">
        <f>'SIMULARE PE PRODUS'!U71</f>
        <v>0.27599841486644433</v>
      </c>
      <c r="G203" s="28" t="str">
        <f>'SIMULARE PE PRODUS'!V71</f>
        <v/>
      </c>
      <c r="H203" s="28">
        <f>'SIMULARE PE PRODUS'!W71</f>
        <v>0.27599841486644433</v>
      </c>
      <c r="I203" s="64">
        <v>0</v>
      </c>
      <c r="J203" s="64">
        <v>0</v>
      </c>
      <c r="K203" s="60" t="str">
        <f>'SIMULARE PE PRODUS'!AC71</f>
        <v/>
      </c>
      <c r="L203" s="60" t="str">
        <f>'SIMULARE PE PRODUS'!AD71</f>
        <v/>
      </c>
      <c r="M203" s="60" t="str">
        <f>'SIMULARE PE PRODUS'!AE71</f>
        <v/>
      </c>
      <c r="N203" s="64">
        <v>0</v>
      </c>
      <c r="O203" s="64">
        <v>0</v>
      </c>
      <c r="P203" s="61" t="str">
        <f>'SIMULARE PE PRODUS'!AK71</f>
        <v/>
      </c>
      <c r="Q203" s="61" t="str">
        <f>'SIMULARE PE PRODUS'!AL71</f>
        <v/>
      </c>
      <c r="R203" s="61" t="str">
        <f>'SIMULARE PE PRODUS'!AM71</f>
        <v/>
      </c>
      <c r="S203" s="64">
        <v>0</v>
      </c>
      <c r="T203" s="64">
        <v>0</v>
      </c>
      <c r="U203" s="62" t="str">
        <f>'SIMULARE PE PRODUS'!AS71</f>
        <v/>
      </c>
      <c r="V203" s="62" t="str">
        <f>'SIMULARE PE PRODUS'!AT71</f>
        <v/>
      </c>
      <c r="W203" s="62" t="str">
        <f>'SIMULARE PE PRODUS'!AU71</f>
        <v/>
      </c>
      <c r="X203" s="64">
        <v>0</v>
      </c>
      <c r="Y203" s="64">
        <v>0</v>
      </c>
      <c r="Z203" s="63" t="str">
        <f>'SIMULARE PE PRODUS'!BA71</f>
        <v/>
      </c>
      <c r="AA203" s="63" t="str">
        <f>'SIMULARE PE PRODUS'!BB71</f>
        <v/>
      </c>
      <c r="AB203" s="63" t="str">
        <f>'SIMULARE PE PRODUS'!BC71</f>
        <v/>
      </c>
    </row>
  </sheetData>
  <autoFilter ref="A5:AB203" xr:uid="{00000000-0001-0000-0700-000000000000}"/>
  <mergeCells count="7">
    <mergeCell ref="A1:AB1"/>
    <mergeCell ref="B2:AB2"/>
    <mergeCell ref="D4:H4"/>
    <mergeCell ref="I4:M4"/>
    <mergeCell ref="N4:R4"/>
    <mergeCell ref="S4:W4"/>
    <mergeCell ref="X4:AB4"/>
  </mergeCells>
  <conditionalFormatting sqref="F6:H203">
    <cfRule type="cellIs" dxfId="29" priority="2" operator="greaterThan">
      <formula>0.55</formula>
    </cfRule>
    <cfRule type="cellIs" dxfId="28" priority="3" operator="between">
      <formula>0.45</formula>
      <formula>0.55</formula>
    </cfRule>
    <cfRule type="cellIs" dxfId="27" priority="4" operator="lessThan">
      <formula>0.45</formula>
    </cfRule>
  </conditionalFormatting>
  <conditionalFormatting sqref="K6:M203">
    <cfRule type="cellIs" dxfId="26" priority="11" operator="greaterThan">
      <formula>0.55</formula>
    </cfRule>
    <cfRule type="cellIs" dxfId="25" priority="12" operator="between">
      <formula>0.45</formula>
      <formula>0.55</formula>
    </cfRule>
    <cfRule type="cellIs" dxfId="24" priority="13" operator="lessThan">
      <formula>0.45</formula>
    </cfRule>
  </conditionalFormatting>
  <conditionalFormatting sqref="P6:R203">
    <cfRule type="cellIs" dxfId="23" priority="20" operator="greaterThan">
      <formula>0.55</formula>
    </cfRule>
    <cfRule type="cellIs" dxfId="22" priority="21" operator="between">
      <formula>0.45</formula>
      <formula>0.55</formula>
    </cfRule>
    <cfRule type="cellIs" dxfId="21" priority="22" operator="lessThan">
      <formula>0.45</formula>
    </cfRule>
  </conditionalFormatting>
  <conditionalFormatting sqref="U6:W203">
    <cfRule type="cellIs" dxfId="20" priority="29" operator="greaterThan">
      <formula>0.55</formula>
    </cfRule>
    <cfRule type="cellIs" dxfId="19" priority="30" operator="between">
      <formula>0.45</formula>
      <formula>0.55</formula>
    </cfRule>
    <cfRule type="cellIs" dxfId="18" priority="31" operator="lessThan">
      <formula>0.45</formula>
    </cfRule>
  </conditionalFormatting>
  <conditionalFormatting sqref="Z6:AB203">
    <cfRule type="cellIs" dxfId="17" priority="38" operator="greaterThan">
      <formula>0.55</formula>
    </cfRule>
    <cfRule type="cellIs" dxfId="16" priority="39" operator="between">
      <formula>0.45</formula>
      <formula>0.55</formula>
    </cfRule>
    <cfRule type="cellIs" dxfId="15" priority="40" operator="lessThan">
      <formula>0.45</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Z243"/>
  <sheetViews>
    <sheetView tabSelected="1" zoomScale="175" zoomScaleNormal="100" workbookViewId="0">
      <pane xSplit="2" ySplit="5" topLeftCell="AR232" activePane="bottomRight" state="frozen"/>
      <selection pane="topRight" activeCell="C1" sqref="C1"/>
      <selection pane="bottomLeft" activeCell="A6" sqref="A6"/>
      <selection pane="bottomRight" activeCell="BB64" sqref="BB64"/>
    </sheetView>
  </sheetViews>
  <sheetFormatPr baseColWidth="10" defaultColWidth="8.6640625" defaultRowHeight="15" x14ac:dyDescent="0.2"/>
  <cols>
    <col min="1" max="1" width="5" customWidth="1"/>
    <col min="2" max="2" width="38" customWidth="1"/>
    <col min="3" max="3" width="20" customWidth="1"/>
    <col min="4" max="4" width="9" customWidth="1"/>
    <col min="5" max="5" width="6" customWidth="1"/>
    <col min="6" max="7" width="10" customWidth="1"/>
    <col min="8" max="9" width="11" customWidth="1"/>
    <col min="10" max="11" width="12" customWidth="1"/>
    <col min="12" max="12" width="13" customWidth="1"/>
    <col min="13" max="13" width="26" hidden="1" customWidth="1"/>
    <col min="14" max="15" width="11" customWidth="1"/>
    <col min="16" max="17" width="10" customWidth="1"/>
    <col min="18" max="19" width="12" customWidth="1"/>
    <col min="20" max="20" width="13" customWidth="1"/>
    <col min="21" max="21" width="9" customWidth="1"/>
    <col min="22" max="23" width="8" customWidth="1"/>
    <col min="24" max="25" width="10" customWidth="1"/>
    <col min="26" max="27" width="12" customWidth="1"/>
    <col min="28" max="28" width="13" customWidth="1"/>
    <col min="29" max="29" width="9" customWidth="1"/>
    <col min="30" max="31" width="8" customWidth="1"/>
    <col min="32" max="33" width="10" customWidth="1"/>
    <col min="34" max="35" width="12" customWidth="1"/>
    <col min="36" max="36" width="13" customWidth="1"/>
    <col min="37" max="37" width="9" customWidth="1"/>
    <col min="38" max="39" width="8" customWidth="1"/>
    <col min="40" max="41" width="10" customWidth="1"/>
    <col min="42" max="43" width="12" customWidth="1"/>
    <col min="44" max="44" width="13" customWidth="1"/>
    <col min="45" max="45" width="9" customWidth="1"/>
    <col min="46" max="47" width="8" customWidth="1"/>
    <col min="48" max="49" width="10" customWidth="1"/>
    <col min="50" max="51" width="12" customWidth="1"/>
    <col min="52" max="52" width="13" customWidth="1"/>
    <col min="53" max="53" width="9" customWidth="1"/>
    <col min="54" max="55" width="8" customWidth="1"/>
    <col min="56" max="67" width="10" customWidth="1"/>
    <col min="69" max="78" width="13" hidden="1" customWidth="1"/>
  </cols>
  <sheetData>
    <row r="1" spans="1:78" ht="19" x14ac:dyDescent="0.2">
      <c r="A1" s="107" t="s">
        <v>393</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107"/>
      <c r="BD1" s="107"/>
      <c r="BE1" s="107"/>
      <c r="BF1" s="107"/>
      <c r="BG1" s="107"/>
      <c r="BH1" s="107"/>
      <c r="BI1" s="107"/>
      <c r="BJ1" s="107"/>
      <c r="BK1" s="107"/>
      <c r="BL1" s="107"/>
      <c r="BM1" s="107"/>
      <c r="BN1" s="107"/>
      <c r="BO1" s="107"/>
    </row>
    <row r="2" spans="1:78" ht="25.5" customHeight="1" x14ac:dyDescent="0.2">
      <c r="A2" s="108" t="s">
        <v>394</v>
      </c>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row>
    <row r="4" spans="1:78" x14ac:dyDescent="0.2">
      <c r="A4" s="65"/>
      <c r="B4" s="66" t="s">
        <v>395</v>
      </c>
      <c r="C4" s="65"/>
      <c r="D4" s="67">
        <f>SUMPRODUCT(ISNUMBER($A$6:$A$243)*($D$6:$D$243&lt;2)*$D$6:$D$243)</f>
        <v>194</v>
      </c>
      <c r="E4" s="65"/>
      <c r="F4" s="67">
        <f>SUMPRODUCT(ISNUMBER($A$6:$A$243)*($D$6:$D$243&lt;2)*$F$6:$F$243)</f>
        <v>269792</v>
      </c>
      <c r="G4" s="67">
        <f>SUMPRODUCT(ISNUMBER($A$6:$A$243)*($D$6:$D$243&lt;2)*$G$6:$G$243)</f>
        <v>167363</v>
      </c>
      <c r="H4" s="65"/>
      <c r="I4" s="65"/>
      <c r="J4" s="68">
        <f>SUMPRODUCT(ISNUMBER($A$6:$A$243)*($D$6:$D$243&lt;2)*$J$6:$J$243)</f>
        <v>1502962.1969658423</v>
      </c>
      <c r="K4" s="68">
        <f>SUMPRODUCT(ISNUMBER($A$6:$A$243)*($D$6:$D$243&lt;2)*$K$6:$K$243)</f>
        <v>672860.66602131817</v>
      </c>
      <c r="L4" s="68">
        <f>SUMPRODUCT(ISNUMBER($A$6:$A$243)*($D$6:$D$243&lt;2)*$L$6:$L$243)</f>
        <v>2175822.8629871611</v>
      </c>
      <c r="M4" s="65"/>
      <c r="N4" s="65"/>
      <c r="O4" s="65"/>
      <c r="P4" s="65"/>
      <c r="Q4" s="65"/>
      <c r="R4" s="68">
        <f>SUMPRODUCT(ISNUMBER($A$6:$A$243)*($D$6:$D$243&lt;2)*R$6:R$243)</f>
        <v>3209348.6736653997</v>
      </c>
      <c r="S4" s="68">
        <f>SUMPRODUCT(ISNUMBER($A$6:$A$243)*($D$6:$D$243&lt;2)*S$6:S$243)</f>
        <v>1538334.9228650148</v>
      </c>
      <c r="T4" s="68">
        <f>SUMPRODUCT(ISNUMBER($A$6:$A$243)*($D$6:$D$243&lt;2)*T$6:T$243)</f>
        <v>4747683.5965304142</v>
      </c>
      <c r="U4" s="69">
        <f>IFERROR(SUMPRODUCT(ISNUMBER($A$6:$A$243)*($D$6:$D$243&lt;2)*$L$6:$L$243)/T4,"")</f>
        <v>0.45829146335220039</v>
      </c>
      <c r="V4" s="65">
        <f>IFERROR(SUMPRODUCT(ISNUMBER($A$6:$A$243)*($D$6:$D$243&lt;2)*$J$6:$J$243)/R4,"")</f>
        <v>0.46830754454900281</v>
      </c>
      <c r="W4" s="65">
        <f>IFERROR(SUMPRODUCT(ISNUMBER($A$6:$A$243)*($D$6:$D$243&lt;2)*$K$6:$K$243)/S4,"")</f>
        <v>0.4373954306180437</v>
      </c>
      <c r="X4" s="65"/>
      <c r="Y4" s="65"/>
      <c r="Z4" s="68">
        <f>SUMPRODUCT(ISNUMBER($A$6:$A$243)*($D$6:$D$243&gt;0)*Z$6:Z$243)</f>
        <v>3266717.596009234</v>
      </c>
      <c r="AA4" s="68">
        <f>SUMPRODUCT(ISNUMBER($A$6:$A$243)*($D$6:$D$243&gt;0)*AA$6:AA$243)</f>
        <v>1568567.7246668169</v>
      </c>
      <c r="AB4" s="68">
        <f>SUMPRODUCT(ISNUMBER($A$6:$A$243)*($D$6:$D$243&gt;0)*AB$6:AB$243)</f>
        <v>4835285.3206760464</v>
      </c>
      <c r="AC4" s="69">
        <f>IFERROR(SUMPRODUCT(ISNUMBER($A$6:$A$243)*($D$6:$D$243&gt;0)*$L$6:$L$243)/AB4,"")</f>
        <v>0.44581832165377311</v>
      </c>
      <c r="AD4" s="65">
        <f>IFERROR(SUMPRODUCT(ISNUMBER($A$6:$A$243)*($D$6:$D$243&gt;0)*$J$6:$J$243)/Z4,"")</f>
        <v>0.45596445847828709</v>
      </c>
      <c r="AE4" s="65">
        <f>IFERROR(SUMPRODUCT(ISNUMBER($A$6:$A$243)*($D$6:$D$243&gt;0)*$K$6:$K$243)/AA4,"")</f>
        <v>0.42468785774396639</v>
      </c>
      <c r="AF4" s="65"/>
      <c r="AG4" s="65"/>
      <c r="AH4" s="68">
        <f>SUMPRODUCT(ISNUMBER($A$6:$A$243)*($D$6:$D$243&gt;0)*AH$6:AH$243)</f>
        <v>3307464.2201623144</v>
      </c>
      <c r="AI4" s="68">
        <f>SUMPRODUCT(ISNUMBER($A$6:$A$243)*($D$6:$D$243&gt;0)*AI$6:AI$243)</f>
        <v>1571621.2945424768</v>
      </c>
      <c r="AJ4" s="68">
        <f>SUMPRODUCT(ISNUMBER($A$6:$A$243)*($D$6:$D$243&gt;0)*AJ$6:AJ$243)</f>
        <v>4879085.5147047881</v>
      </c>
      <c r="AK4" s="69">
        <f>IFERROR(SUMPRODUCT(ISNUMBER($A$6:$A$243)*($D$6:$D$243&gt;0)*$L$6:$L$243)/AJ4,"")</f>
        <v>0.44181615179404177</v>
      </c>
      <c r="AL4" s="65">
        <f>IFERROR(SUMPRODUCT(ISNUMBER($A$6:$A$243)*($D$6:$D$243&gt;0)*$J$6:$J$243)/AH4,"")</f>
        <v>0.45034716039732231</v>
      </c>
      <c r="AM4" s="65">
        <f>IFERROR(SUMPRODUCT(ISNUMBER($A$6:$A$243)*($D$6:$D$243&gt;0)*$K$6:$K$243)/AI4,"")</f>
        <v>0.42386271363738759</v>
      </c>
      <c r="AN4" s="65"/>
      <c r="AO4" s="65"/>
      <c r="AP4" s="68">
        <f>SUMPRODUCT(ISNUMBER($A$6:$A$243)*($D$6:$D$243&gt;0)*AP$6:AP$243)</f>
        <v>3363766.4556622738</v>
      </c>
      <c r="AQ4" s="68">
        <f>SUMPRODUCT(ISNUMBER($A$6:$A$243)*($D$6:$D$243&gt;0)*AQ$6:AQ$243)</f>
        <v>1585166.2281289569</v>
      </c>
      <c r="AR4" s="68">
        <f>SUMPRODUCT(ISNUMBER($A$6:$A$243)*($D$6:$D$243&gt;0)*AR$6:AR$243)</f>
        <v>4948932.6837912332</v>
      </c>
      <c r="AS4" s="69">
        <f>IFERROR(SUMPRODUCT(ISNUMBER($A$6:$A$243)*($D$6:$D$243&gt;0)*$L$6:$L$243)/AR4,"")</f>
        <v>0.43558054314239197</v>
      </c>
      <c r="AT4" s="65">
        <f>IFERROR(SUMPRODUCT(ISNUMBER($A$6:$A$243)*($D$6:$D$243&gt;0)*$J$6:$J$243)/AP4,"")</f>
        <v>0.44280931488526343</v>
      </c>
      <c r="AU4" s="65">
        <f>IFERROR(SUMPRODUCT(ISNUMBER($A$6:$A$243)*($D$6:$D$243&gt;0)*$K$6:$K$243)/AQ4,"")</f>
        <v>0.42024089013135674</v>
      </c>
      <c r="AV4" s="65"/>
      <c r="AW4" s="65"/>
      <c r="AX4" s="68">
        <f>SUMPRODUCT(ISNUMBER($A$6:$A$243)*($D$6:$D$243&gt;0)*AX$6:AX$243)</f>
        <v>3474767.4208919657</v>
      </c>
      <c r="AY4" s="68">
        <f>SUMPRODUCT(ISNUMBER($A$6:$A$243)*($D$6:$D$243&gt;0)*AY$6:AY$243)</f>
        <v>1617854.7833370571</v>
      </c>
      <c r="AZ4" s="68">
        <f>SUMPRODUCT(ISNUMBER($A$6:$A$243)*($D$6:$D$243&gt;0)*AZ$6:AZ$243)</f>
        <v>5092622.2042290214</v>
      </c>
      <c r="BA4" s="69">
        <f>IFERROR(SUMPRODUCT(ISNUMBER($A$6:$A$243)*($D$6:$D$243&gt;0)*$L$6:$L$243)/AZ4,"")</f>
        <v>0.42329053676725054</v>
      </c>
      <c r="BB4" s="65">
        <f>IFERROR(SUMPRODUCT(ISNUMBER($A$6:$A$243)*($D$6:$D$243&gt;0)*$J$6:$J$243)/AX4,"")</f>
        <v>0.42866383249428786</v>
      </c>
      <c r="BC4" s="65">
        <f>IFERROR(SUMPRODUCT(ISNUMBER($A$6:$A$243)*($D$6:$D$243&gt;0)*$K$6:$K$243)/AY4,"")</f>
        <v>0.41174997507566469</v>
      </c>
      <c r="BD4" s="65"/>
      <c r="BE4" s="65"/>
      <c r="BF4" s="65"/>
      <c r="BG4" s="65"/>
      <c r="BH4" s="65"/>
      <c r="BI4" s="65"/>
      <c r="BJ4" s="65"/>
      <c r="BK4" s="65"/>
      <c r="BL4" s="65"/>
      <c r="BM4" s="65"/>
      <c r="BN4" s="65"/>
      <c r="BO4" s="65"/>
    </row>
    <row r="5" spans="1:78" ht="43.5" customHeight="1" x14ac:dyDescent="0.2">
      <c r="A5" s="25" t="s">
        <v>139</v>
      </c>
      <c r="B5" s="25" t="s">
        <v>140</v>
      </c>
      <c r="C5" s="25" t="s">
        <v>84</v>
      </c>
      <c r="D5" s="25" t="s">
        <v>396</v>
      </c>
      <c r="E5" s="25" t="s">
        <v>397</v>
      </c>
      <c r="F5" s="25" t="s">
        <v>85</v>
      </c>
      <c r="G5" s="25" t="s">
        <v>86</v>
      </c>
      <c r="H5" s="25" t="s">
        <v>398</v>
      </c>
      <c r="I5" s="25" t="s">
        <v>399</v>
      </c>
      <c r="J5" s="25" t="s">
        <v>400</v>
      </c>
      <c r="K5" s="25" t="s">
        <v>401</v>
      </c>
      <c r="L5" s="25" t="s">
        <v>402</v>
      </c>
      <c r="M5" s="25" t="s">
        <v>403</v>
      </c>
      <c r="N5" s="25" t="s">
        <v>404</v>
      </c>
      <c r="O5" s="25" t="s">
        <v>405</v>
      </c>
      <c r="P5" s="25" t="s">
        <v>406</v>
      </c>
      <c r="Q5" s="25" t="s">
        <v>407</v>
      </c>
      <c r="R5" s="25" t="s">
        <v>408</v>
      </c>
      <c r="S5" s="25" t="s">
        <v>409</v>
      </c>
      <c r="T5" s="25" t="s">
        <v>91</v>
      </c>
      <c r="U5" s="25" t="s">
        <v>390</v>
      </c>
      <c r="V5" s="25" t="s">
        <v>391</v>
      </c>
      <c r="W5" s="25" t="s">
        <v>392</v>
      </c>
      <c r="X5" s="25" t="s">
        <v>410</v>
      </c>
      <c r="Y5" s="25" t="s">
        <v>407</v>
      </c>
      <c r="Z5" s="25" t="s">
        <v>408</v>
      </c>
      <c r="AA5" s="25" t="s">
        <v>409</v>
      </c>
      <c r="AB5" s="25" t="s">
        <v>91</v>
      </c>
      <c r="AC5" s="25" t="s">
        <v>390</v>
      </c>
      <c r="AD5" s="25" t="s">
        <v>391</v>
      </c>
      <c r="AE5" s="25" t="s">
        <v>392</v>
      </c>
      <c r="AF5" s="25" t="s">
        <v>411</v>
      </c>
      <c r="AG5" s="25" t="s">
        <v>407</v>
      </c>
      <c r="AH5" s="25" t="s">
        <v>408</v>
      </c>
      <c r="AI5" s="25" t="s">
        <v>409</v>
      </c>
      <c r="AJ5" s="25" t="s">
        <v>91</v>
      </c>
      <c r="AK5" s="25" t="s">
        <v>390</v>
      </c>
      <c r="AL5" s="25" t="s">
        <v>391</v>
      </c>
      <c r="AM5" s="25" t="s">
        <v>392</v>
      </c>
      <c r="AN5" s="25" t="s">
        <v>412</v>
      </c>
      <c r="AO5" s="25" t="s">
        <v>407</v>
      </c>
      <c r="AP5" s="25" t="s">
        <v>408</v>
      </c>
      <c r="AQ5" s="25" t="s">
        <v>409</v>
      </c>
      <c r="AR5" s="25" t="s">
        <v>91</v>
      </c>
      <c r="AS5" s="25" t="s">
        <v>390</v>
      </c>
      <c r="AT5" s="25" t="s">
        <v>391</v>
      </c>
      <c r="AU5" s="25" t="s">
        <v>392</v>
      </c>
      <c r="AV5" s="25" t="s">
        <v>413</v>
      </c>
      <c r="AW5" s="25" t="s">
        <v>407</v>
      </c>
      <c r="AX5" s="25" t="s">
        <v>408</v>
      </c>
      <c r="AY5" s="25" t="s">
        <v>409</v>
      </c>
      <c r="AZ5" s="25" t="s">
        <v>91</v>
      </c>
      <c r="BA5" s="25" t="s">
        <v>390</v>
      </c>
      <c r="BB5" s="25" t="s">
        <v>391</v>
      </c>
      <c r="BC5" s="25" t="s">
        <v>392</v>
      </c>
      <c r="BD5" s="70" t="s">
        <v>414</v>
      </c>
      <c r="BE5" s="70" t="s">
        <v>415</v>
      </c>
      <c r="BF5" s="70" t="s">
        <v>416</v>
      </c>
      <c r="BG5" s="70" t="s">
        <v>417</v>
      </c>
      <c r="BH5" s="70" t="s">
        <v>418</v>
      </c>
      <c r="BI5" s="70" t="s">
        <v>419</v>
      </c>
      <c r="BJ5" s="70" t="s">
        <v>420</v>
      </c>
      <c r="BK5" s="70" t="s">
        <v>421</v>
      </c>
      <c r="BL5" s="70" t="s">
        <v>422</v>
      </c>
      <c r="BM5" s="70" t="s">
        <v>423</v>
      </c>
      <c r="BN5" s="70" t="s">
        <v>424</v>
      </c>
      <c r="BO5" s="70" t="s">
        <v>425</v>
      </c>
      <c r="BQ5" s="71" t="s">
        <v>426</v>
      </c>
      <c r="BR5" s="71" t="s">
        <v>426</v>
      </c>
      <c r="BS5" s="71" t="s">
        <v>427</v>
      </c>
      <c r="BT5" s="71" t="s">
        <v>427</v>
      </c>
      <c r="BU5" s="71" t="s">
        <v>428</v>
      </c>
      <c r="BV5" s="71" t="s">
        <v>428</v>
      </c>
      <c r="BW5" s="71" t="s">
        <v>429</v>
      </c>
      <c r="BX5" s="71" t="s">
        <v>429</v>
      </c>
      <c r="BY5" s="71" t="s">
        <v>430</v>
      </c>
      <c r="BZ5" s="71" t="s">
        <v>430</v>
      </c>
    </row>
    <row r="6" spans="1:78" x14ac:dyDescent="0.2">
      <c r="A6" s="72" t="s">
        <v>94</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row>
    <row r="7" spans="1:78" x14ac:dyDescent="0.2">
      <c r="A7" s="26">
        <v>1</v>
      </c>
      <c r="B7" s="26" t="s">
        <v>146</v>
      </c>
      <c r="C7" s="26" t="s">
        <v>94</v>
      </c>
      <c r="D7" s="74">
        <v>1</v>
      </c>
      <c r="E7" s="75">
        <v>11</v>
      </c>
      <c r="F7" s="76">
        <v>5150</v>
      </c>
      <c r="G7" s="76">
        <v>6698</v>
      </c>
      <c r="H7" s="77">
        <f>SUMIFS(RETETAR!$I$4:$I$967,RETETAR!$A$4:$A$967,$M7,RETETAR!$C$4:$C$967,"AMBELE")+SUMIFS(RETETAR!$I$4:$I$967,RETETAR!$A$4:$A$967,$M7,RETETAR!$C$4:$C$967,"INSTORE")</f>
        <v>11.2917171</v>
      </c>
      <c r="I7" s="77">
        <f>SUMIFS(RETETAR!$I$4:$I$967,RETETAR!$A$4:$A$967,$M7,RETETAR!$C$4:$C$967,"AMBELE")+SUMIFS(RETETAR!$I$4:$I$967,RETETAR!$A$4:$A$967,$M7,RETETAR!$C$4:$C$967,"DELIVERY")</f>
        <v>11.2917171</v>
      </c>
      <c r="J7" s="78">
        <f t="shared" ref="J7:J13" si="0">$H7*$F7</f>
        <v>58152.343065000001</v>
      </c>
      <c r="K7" s="78">
        <f t="shared" ref="K7:K13" si="1">$I7*$G7</f>
        <v>75631.921135800003</v>
      </c>
      <c r="L7" s="78">
        <f t="shared" ref="L7:L13" si="2">$J7+$K7</f>
        <v>133784.26420080001</v>
      </c>
      <c r="M7" t="s">
        <v>146</v>
      </c>
      <c r="N7" s="79">
        <v>17</v>
      </c>
      <c r="O7" s="79">
        <v>19</v>
      </c>
      <c r="P7" s="80">
        <v>17.989999999999998</v>
      </c>
      <c r="Q7" s="80">
        <v>19.989999999999998</v>
      </c>
      <c r="R7" s="81">
        <f t="shared" ref="R7:R13" si="3">IF(P7="",0,P7/(1+$E7/100)*$F7)</f>
        <v>83467.117117117101</v>
      </c>
      <c r="S7" s="81">
        <f t="shared" ref="S7:S13" si="4">IF(Q7="",0,Q7/(1+$E7/100)*$G7)</f>
        <v>120624.34234234232</v>
      </c>
      <c r="T7" s="81">
        <f t="shared" ref="T7:T13" si="5">R7+S7</f>
        <v>204091.45945945941</v>
      </c>
      <c r="U7" s="82">
        <f t="shared" ref="U7:U13" si="6">IF(OR(T7=0,$L7=0),"",$L7/T7)</f>
        <v>0.65551133082751478</v>
      </c>
      <c r="V7" s="82">
        <f t="shared" ref="V7:V13" si="7">IF(OR(R7=0,$J7=0),"",$J7/R7)</f>
        <v>0.69670961539744314</v>
      </c>
      <c r="W7" s="82">
        <f t="shared" ref="W7:W13" si="8">IF(OR(S7=0,$K7=0),"",$K7/S7)</f>
        <v>0.62700380095047537</v>
      </c>
      <c r="X7" s="83">
        <f>BS7+SCENARIU!$C$19+'AJUSTĂRI PE PRODUS'!$I$8</f>
        <v>17.989999999999998</v>
      </c>
      <c r="Y7" s="83">
        <f>BT7+SCENARIU!$C$19+'AJUSTĂRI PE PRODUS'!$J$8</f>
        <v>19.989999999999998</v>
      </c>
      <c r="Z7" s="84">
        <f t="shared" ref="Z7:Z13" si="9">IF(X7="",0,X7/(1+$E7/100)*$F7)</f>
        <v>83467.117117117101</v>
      </c>
      <c r="AA7" s="84">
        <f t="shared" ref="AA7:AA13" si="10">IF(Y7="",0,Y7/(1+$E7/100)*$G7)</f>
        <v>120624.34234234232</v>
      </c>
      <c r="AB7" s="84">
        <f t="shared" ref="AB7:AB13" si="11">Z7+AA7</f>
        <v>204091.45945945941</v>
      </c>
      <c r="AC7" s="85">
        <f t="shared" ref="AC7:AC13" si="12">IF(OR(AB7=0,$L7=0),"",$L7/AB7)</f>
        <v>0.65551133082751478</v>
      </c>
      <c r="AD7" s="85">
        <f t="shared" ref="AD7:AD13" si="13">IF(OR(Z7=0,$J7=0),"",$J7/Z7)</f>
        <v>0.69670961539744314</v>
      </c>
      <c r="AE7" s="85">
        <f t="shared" ref="AE7:AE13" si="14">IF(OR(AA7=0,$K7=0),"",$K7/AA7)</f>
        <v>0.62700380095047537</v>
      </c>
      <c r="AF7" s="83">
        <f>BU7+SCENARIU!$C$19+SCENARIU!$D$19+'AJUSTĂRI PE PRODUS'!$I$8+'AJUSTĂRI PE PRODUS'!$N$8</f>
        <v>17.989999999999998</v>
      </c>
      <c r="AG7" s="83">
        <f>BV7+SCENARIU!$C$19+SCENARIU!$D$19+'AJUSTĂRI PE PRODUS'!$J$8+'AJUSTĂRI PE PRODUS'!$O$8</f>
        <v>19.989999999999998</v>
      </c>
      <c r="AH7" s="86">
        <f t="shared" ref="AH7:AH13" si="15">IF(AF7="",0,AF7/(1+$E7/100)*$F7)</f>
        <v>83467.117117117101</v>
      </c>
      <c r="AI7" s="86">
        <f t="shared" ref="AI7:AI13" si="16">IF(AG7="",0,AG7/(1+$E7/100)*$G7)</f>
        <v>120624.34234234232</v>
      </c>
      <c r="AJ7" s="86">
        <f t="shared" ref="AJ7:AJ13" si="17">AH7+AI7</f>
        <v>204091.45945945941</v>
      </c>
      <c r="AK7" s="87">
        <f t="shared" ref="AK7:AK13" si="18">IF(OR(AJ7=0,$L7=0),"",$L7/AJ7)</f>
        <v>0.65551133082751478</v>
      </c>
      <c r="AL7" s="87">
        <f t="shared" ref="AL7:AL13" si="19">IF(OR(AH7=0,$J7=0),"",$J7/AH7)</f>
        <v>0.69670961539744314</v>
      </c>
      <c r="AM7" s="87">
        <f t="shared" ref="AM7:AM13" si="20">IF(OR(AI7=0,$K7=0),"",$K7/AI7)</f>
        <v>0.62700380095047537</v>
      </c>
      <c r="AN7" s="83">
        <f>BW7+SCENARIU!$C$19+SCENARIU!$D$19+SCENARIU!$E$19+'AJUSTĂRI PE PRODUS'!$I$8+'AJUSTĂRI PE PRODUS'!$N$8+'AJUSTĂRI PE PRODUS'!$S$8</f>
        <v>17.989999999999998</v>
      </c>
      <c r="AO7" s="83">
        <f>BX7+SCENARIU!$C$19+SCENARIU!$D$19+SCENARIU!$E$19+'AJUSTĂRI PE PRODUS'!$J$8+'AJUSTĂRI PE PRODUS'!$O$8+'AJUSTĂRI PE PRODUS'!$T$8</f>
        <v>19.989999999999998</v>
      </c>
      <c r="AP7" s="88">
        <f t="shared" ref="AP7:AP13" si="21">IF(AN7="",0,AN7/(1+$E7/100)*$F7)</f>
        <v>83467.117117117101</v>
      </c>
      <c r="AQ7" s="88">
        <f t="shared" ref="AQ7:AQ13" si="22">IF(AO7="",0,AO7/(1+$E7/100)*$G7)</f>
        <v>120624.34234234232</v>
      </c>
      <c r="AR7" s="88">
        <f t="shared" ref="AR7:AR13" si="23">AP7+AQ7</f>
        <v>204091.45945945941</v>
      </c>
      <c r="AS7" s="89">
        <f t="shared" ref="AS7:AS13" si="24">IF(OR(AR7=0,$L7=0),"",$L7/AR7)</f>
        <v>0.65551133082751478</v>
      </c>
      <c r="AT7" s="89">
        <f t="shared" ref="AT7:AT13" si="25">IF(OR(AP7=0,$J7=0),"",$J7/AP7)</f>
        <v>0.69670961539744314</v>
      </c>
      <c r="AU7" s="89">
        <f t="shared" ref="AU7:AU13" si="26">IF(OR(AQ7=0,$K7=0),"",$K7/AQ7)</f>
        <v>0.62700380095047537</v>
      </c>
      <c r="AV7" s="83">
        <f>BY7+SCENARIU!$C$19+SCENARIU!$D$19+SCENARIU!$E$19+SCENARIU!$F$19+'AJUSTĂRI PE PRODUS'!$I$8+'AJUSTĂRI PE PRODUS'!$N$8+'AJUSTĂRI PE PRODUS'!$S$8+'AJUSTĂRI PE PRODUS'!$X$8</f>
        <v>18.489999999999998</v>
      </c>
      <c r="AW7" s="83">
        <f>BZ7+SCENARIU!$C$19+SCENARIU!$D$19+SCENARIU!$E$19+SCENARIU!$F$19+'AJUSTĂRI PE PRODUS'!$J$8+'AJUSTĂRI PE PRODUS'!$O$8+'AJUSTĂRI PE PRODUS'!$T$8+'AJUSTĂRI PE PRODUS'!$Y$8</f>
        <v>20.49</v>
      </c>
      <c r="AX7" s="90">
        <f t="shared" ref="AX7:AX13" si="27">IF(AV7="",0,AV7/(1+$E7/100)*$F7)</f>
        <v>85786.936936936923</v>
      </c>
      <c r="AY7" s="90">
        <f t="shared" ref="AY7:AY13" si="28">IF(AW7="",0,AW7/(1+$E7/100)*$G7)</f>
        <v>123641.45945945944</v>
      </c>
      <c r="AZ7" s="90">
        <f t="shared" ref="AZ7:AZ13" si="29">AX7+AY7</f>
        <v>209428.39639639636</v>
      </c>
      <c r="BA7" s="91">
        <f t="shared" ref="BA7:BA13" si="30">IF(OR(AZ7=0,$L7=0),"",$L7/AZ7)</f>
        <v>0.63880670674467355</v>
      </c>
      <c r="BB7" s="91">
        <f t="shared" ref="BB7:BB13" si="31">IF(OR(AX7=0,$J7=0),"",$J7/AX7)</f>
        <v>0.67786944191454857</v>
      </c>
      <c r="BC7" s="91">
        <f t="shared" ref="BC7:BC13" si="32">IF(OR(AY7=0,$K7=0),"",$K7/AY7)</f>
        <v>0.6117035617862373</v>
      </c>
      <c r="BD7" s="92">
        <f t="shared" ref="BD7:BD13" si="33">IF(OR($N7="",P7=""),"",P7-$N7)</f>
        <v>0.98999999999999844</v>
      </c>
      <c r="BE7" s="92">
        <f t="shared" ref="BE7:BE13" si="34">IF(OR(P7="",X7=""),"",X7-P7)</f>
        <v>0</v>
      </c>
      <c r="BF7" s="92">
        <f t="shared" ref="BF7:BF13" si="35">IF(OR(X7="",AF7=""),"",AF7-X7)</f>
        <v>0</v>
      </c>
      <c r="BG7" s="92">
        <f t="shared" ref="BG7:BG13" si="36">IF(OR(AF7="",AN7=""),"",AN7-AF7)</f>
        <v>0</v>
      </c>
      <c r="BH7" s="92">
        <f t="shared" ref="BH7:BH13" si="37">IF(OR(AN7="",AV7=""),"",AV7-AN7)</f>
        <v>0.5</v>
      </c>
      <c r="BI7" s="93">
        <f t="shared" ref="BI7:BI13" si="38">IF(OR($N7="",AV7=""),"",AV7-$N7)</f>
        <v>1.4899999999999984</v>
      </c>
      <c r="BJ7" s="92">
        <f t="shared" ref="BJ7:BJ13" si="39">IF(OR($O7="",Q7=""),"",Q7-$O7)</f>
        <v>0.98999999999999844</v>
      </c>
      <c r="BK7" s="92">
        <f t="shared" ref="BK7:BK13" si="40">IF(OR(Q7="",Y7=""),"",Y7-Q7)</f>
        <v>0</v>
      </c>
      <c r="BL7" s="92">
        <f t="shared" ref="BL7:BL13" si="41">IF(OR(Y7="",AG7=""),"",AG7-Y7)</f>
        <v>0</v>
      </c>
      <c r="BM7" s="92">
        <f t="shared" ref="BM7:BM13" si="42">IF(OR(AG7="",AO7=""),"",AO7-AG7)</f>
        <v>0</v>
      </c>
      <c r="BN7" s="92">
        <f t="shared" ref="BN7:BN13" si="43">IF(OR(AO7="",AW7=""),"",AW7-AO7)</f>
        <v>0.5</v>
      </c>
      <c r="BO7" s="93">
        <f t="shared" ref="BO7:BO13" si="44">IF(OR($O7="",AW7=""),"",AW7-$O7)</f>
        <v>1.4899999999999984</v>
      </c>
      <c r="BQ7">
        <v>17.989999999999998</v>
      </c>
      <c r="BR7">
        <v>19.989999999999998</v>
      </c>
      <c r="BS7">
        <v>17.989999999999998</v>
      </c>
      <c r="BT7">
        <v>19.989999999999998</v>
      </c>
      <c r="BU7">
        <v>17.989999999999998</v>
      </c>
      <c r="BV7">
        <v>19.989999999999998</v>
      </c>
      <c r="BW7">
        <v>17.989999999999998</v>
      </c>
      <c r="BX7">
        <v>19.989999999999998</v>
      </c>
      <c r="BY7">
        <v>18.489999999999998</v>
      </c>
      <c r="BZ7">
        <v>20.49</v>
      </c>
    </row>
    <row r="8" spans="1:78" x14ac:dyDescent="0.2">
      <c r="A8" s="26">
        <v>2</v>
      </c>
      <c r="B8" s="26" t="s">
        <v>147</v>
      </c>
      <c r="C8" s="26" t="s">
        <v>94</v>
      </c>
      <c r="D8" s="74">
        <v>1</v>
      </c>
      <c r="E8" s="75">
        <v>11</v>
      </c>
      <c r="F8" s="76">
        <v>4896</v>
      </c>
      <c r="G8" s="76">
        <v>4666</v>
      </c>
      <c r="H8" s="77">
        <f>SUMIFS(RETETAR!$I$4:$I$967,RETETAR!$A$4:$A$967,$M8,RETETAR!$C$4:$C$967,"AMBELE")+SUMIFS(RETETAR!$I$4:$I$967,RETETAR!$A$4:$A$967,$M8,RETETAR!$C$4:$C$967,"INSTORE")</f>
        <v>15.066999999999998</v>
      </c>
      <c r="I8" s="77">
        <f>SUMIFS(RETETAR!$I$4:$I$967,RETETAR!$A$4:$A$967,$M8,RETETAR!$C$4:$C$967,"AMBELE")+SUMIFS(RETETAR!$I$4:$I$967,RETETAR!$A$4:$A$967,$M8,RETETAR!$C$4:$C$967,"DELIVERY")</f>
        <v>15.066999999999998</v>
      </c>
      <c r="J8" s="78">
        <f t="shared" si="0"/>
        <v>73768.031999999992</v>
      </c>
      <c r="K8" s="78">
        <f t="shared" si="1"/>
        <v>70302.621999999988</v>
      </c>
      <c r="L8" s="78">
        <f t="shared" si="2"/>
        <v>144070.65399999998</v>
      </c>
      <c r="M8" t="s">
        <v>147</v>
      </c>
      <c r="N8" s="79">
        <v>22</v>
      </c>
      <c r="O8" s="79">
        <v>25</v>
      </c>
      <c r="P8" s="80">
        <v>22</v>
      </c>
      <c r="Q8" s="80">
        <v>25</v>
      </c>
      <c r="R8" s="81">
        <f t="shared" si="3"/>
        <v>97037.837837837826</v>
      </c>
      <c r="S8" s="81">
        <f t="shared" si="4"/>
        <v>105090.09009009009</v>
      </c>
      <c r="T8" s="81">
        <f t="shared" si="5"/>
        <v>202127.92792792793</v>
      </c>
      <c r="U8" s="82">
        <f t="shared" si="6"/>
        <v>0.71276965769604472</v>
      </c>
      <c r="V8" s="82">
        <f t="shared" si="7"/>
        <v>0.76019863636363638</v>
      </c>
      <c r="W8" s="82">
        <f t="shared" si="8"/>
        <v>0.66897479999999987</v>
      </c>
      <c r="X8" s="83">
        <f>BS8+SCENARIU!$C$19+'AJUSTĂRI PE PRODUS'!$I$11</f>
        <v>23.49</v>
      </c>
      <c r="Y8" s="83">
        <f>BT8+SCENARIU!$C$19+'AJUSTĂRI PE PRODUS'!$J$11</f>
        <v>26.49</v>
      </c>
      <c r="Z8" s="84">
        <f t="shared" si="9"/>
        <v>103609.94594594592</v>
      </c>
      <c r="AA8" s="84">
        <f t="shared" si="10"/>
        <v>111353.45945945944</v>
      </c>
      <c r="AB8" s="84">
        <f t="shared" si="11"/>
        <v>214963.40540540536</v>
      </c>
      <c r="AC8" s="85">
        <f t="shared" si="12"/>
        <v>0.67021013985284239</v>
      </c>
      <c r="AD8" s="85">
        <f t="shared" si="13"/>
        <v>0.71197828863346113</v>
      </c>
      <c r="AE8" s="85">
        <f t="shared" si="14"/>
        <v>0.63134654586636463</v>
      </c>
      <c r="AF8" s="83">
        <f>BU8+SCENARIU!$C$19+SCENARIU!$D$19+'AJUSTĂRI PE PRODUS'!$I$11+'AJUSTĂRI PE PRODUS'!$N$11</f>
        <v>23.49</v>
      </c>
      <c r="AG8" s="83">
        <f>BV8+SCENARIU!$C$19+SCENARIU!$D$19+'AJUSTĂRI PE PRODUS'!$J$11+'AJUSTĂRI PE PRODUS'!$O$11</f>
        <v>26.49</v>
      </c>
      <c r="AH8" s="86">
        <f t="shared" si="15"/>
        <v>103609.94594594592</v>
      </c>
      <c r="AI8" s="86">
        <f t="shared" si="16"/>
        <v>111353.45945945944</v>
      </c>
      <c r="AJ8" s="86">
        <f t="shared" si="17"/>
        <v>214963.40540540536</v>
      </c>
      <c r="AK8" s="87">
        <f t="shared" si="18"/>
        <v>0.67021013985284239</v>
      </c>
      <c r="AL8" s="87">
        <f t="shared" si="19"/>
        <v>0.71197828863346113</v>
      </c>
      <c r="AM8" s="87">
        <f t="shared" si="20"/>
        <v>0.63134654586636463</v>
      </c>
      <c r="AN8" s="83">
        <f>BW8+SCENARIU!$C$19+SCENARIU!$D$19+SCENARIU!$E$19+'AJUSTĂRI PE PRODUS'!$I$11+'AJUSTĂRI PE PRODUS'!$N$11+'AJUSTĂRI PE PRODUS'!$S$11</f>
        <v>23.49</v>
      </c>
      <c r="AO8" s="83">
        <f>BX8+SCENARIU!$C$19+SCENARIU!$D$19+SCENARIU!$E$19+'AJUSTĂRI PE PRODUS'!$J$11+'AJUSTĂRI PE PRODUS'!$O$11+'AJUSTĂRI PE PRODUS'!$T$11</f>
        <v>26.49</v>
      </c>
      <c r="AP8" s="88">
        <f t="shared" si="21"/>
        <v>103609.94594594592</v>
      </c>
      <c r="AQ8" s="88">
        <f t="shared" si="22"/>
        <v>111353.45945945944</v>
      </c>
      <c r="AR8" s="88">
        <f t="shared" si="23"/>
        <v>214963.40540540536</v>
      </c>
      <c r="AS8" s="89">
        <f t="shared" si="24"/>
        <v>0.67021013985284239</v>
      </c>
      <c r="AT8" s="89">
        <f t="shared" si="25"/>
        <v>0.71197828863346113</v>
      </c>
      <c r="AU8" s="89">
        <f t="shared" si="26"/>
        <v>0.63134654586636463</v>
      </c>
      <c r="AV8" s="83">
        <f>BY8+SCENARIU!$C$19+SCENARIU!$D$19+SCENARIU!$E$19+SCENARIU!$F$19+'AJUSTĂRI PE PRODUS'!$I$11+'AJUSTĂRI PE PRODUS'!$N$11+'AJUSTĂRI PE PRODUS'!$S$11+'AJUSTĂRI PE PRODUS'!$X$11</f>
        <v>23.99</v>
      </c>
      <c r="AW8" s="83">
        <f>BZ8+SCENARIU!$C$19+SCENARIU!$D$19+SCENARIU!$E$19+SCENARIU!$F$19+'AJUSTĂRI PE PRODUS'!$J$11+'AJUSTĂRI PE PRODUS'!$O$11+'AJUSTĂRI PE PRODUS'!$T$11+'AJUSTĂRI PE PRODUS'!$Y$11</f>
        <v>26.99</v>
      </c>
      <c r="AX8" s="90">
        <f t="shared" si="27"/>
        <v>105815.35135135133</v>
      </c>
      <c r="AY8" s="90">
        <f t="shared" si="28"/>
        <v>113455.26126126126</v>
      </c>
      <c r="AZ8" s="90">
        <f t="shared" si="29"/>
        <v>219270.6126126126</v>
      </c>
      <c r="BA8" s="91">
        <f t="shared" si="30"/>
        <v>0.65704497416865848</v>
      </c>
      <c r="BB8" s="91">
        <f t="shared" si="31"/>
        <v>0.69713922467694878</v>
      </c>
      <c r="BC8" s="91">
        <f t="shared" si="32"/>
        <v>0.6196506113375323</v>
      </c>
      <c r="BD8" s="92">
        <f t="shared" si="33"/>
        <v>0</v>
      </c>
      <c r="BE8" s="92">
        <f t="shared" si="34"/>
        <v>1.4899999999999984</v>
      </c>
      <c r="BF8" s="92">
        <f t="shared" si="35"/>
        <v>0</v>
      </c>
      <c r="BG8" s="92">
        <f t="shared" si="36"/>
        <v>0</v>
      </c>
      <c r="BH8" s="92">
        <f t="shared" si="37"/>
        <v>0.5</v>
      </c>
      <c r="BI8" s="93">
        <f t="shared" si="38"/>
        <v>1.9899999999999984</v>
      </c>
      <c r="BJ8" s="92">
        <f t="shared" si="39"/>
        <v>0</v>
      </c>
      <c r="BK8" s="92">
        <f t="shared" si="40"/>
        <v>1.4899999999999984</v>
      </c>
      <c r="BL8" s="92">
        <f t="shared" si="41"/>
        <v>0</v>
      </c>
      <c r="BM8" s="92">
        <f t="shared" si="42"/>
        <v>0</v>
      </c>
      <c r="BN8" s="92">
        <f t="shared" si="43"/>
        <v>0.5</v>
      </c>
      <c r="BO8" s="93">
        <f t="shared" si="44"/>
        <v>1.9899999999999984</v>
      </c>
      <c r="BQ8">
        <v>22</v>
      </c>
      <c r="BR8">
        <v>25</v>
      </c>
      <c r="BS8">
        <v>23.49</v>
      </c>
      <c r="BT8">
        <v>26.49</v>
      </c>
      <c r="BU8">
        <v>23.49</v>
      </c>
      <c r="BV8">
        <v>26.49</v>
      </c>
      <c r="BW8">
        <v>23.49</v>
      </c>
      <c r="BX8">
        <v>26.49</v>
      </c>
      <c r="BY8">
        <v>23.99</v>
      </c>
      <c r="BZ8">
        <v>26.99</v>
      </c>
    </row>
    <row r="9" spans="1:78" x14ac:dyDescent="0.2">
      <c r="A9" s="26">
        <v>3</v>
      </c>
      <c r="B9" s="26" t="s">
        <v>150</v>
      </c>
      <c r="C9" s="26" t="s">
        <v>94</v>
      </c>
      <c r="D9" s="74">
        <v>1</v>
      </c>
      <c r="E9" s="75">
        <v>11</v>
      </c>
      <c r="F9" s="76">
        <v>6649</v>
      </c>
      <c r="G9" s="76">
        <v>1326</v>
      </c>
      <c r="H9" s="77">
        <f>SUMIFS(RETETAR!$I$4:$I$967,RETETAR!$A$4:$A$967,$M9,RETETAR!$C$4:$C$967,"AMBELE")+SUMIFS(RETETAR!$I$4:$I$967,RETETAR!$A$4:$A$967,$M9,RETETAR!$C$4:$C$967,"INSTORE")</f>
        <v>10.866999999999999</v>
      </c>
      <c r="I9" s="77">
        <f>SUMIFS(RETETAR!$I$4:$I$967,RETETAR!$A$4:$A$967,$M9,RETETAR!$C$4:$C$967,"AMBELE")+SUMIFS(RETETAR!$I$4:$I$967,RETETAR!$A$4:$A$967,$M9,RETETAR!$C$4:$C$967,"DELIVERY")</f>
        <v>10.866999999999999</v>
      </c>
      <c r="J9" s="78">
        <f t="shared" si="0"/>
        <v>72254.68299999999</v>
      </c>
      <c r="K9" s="78">
        <f t="shared" si="1"/>
        <v>14409.641999999998</v>
      </c>
      <c r="L9" s="78">
        <f t="shared" si="2"/>
        <v>86664.324999999983</v>
      </c>
      <c r="M9" t="s">
        <v>150</v>
      </c>
      <c r="N9" s="79">
        <v>16</v>
      </c>
      <c r="O9" s="79">
        <v>19</v>
      </c>
      <c r="P9" s="80">
        <v>16</v>
      </c>
      <c r="Q9" s="80">
        <v>19</v>
      </c>
      <c r="R9" s="81">
        <f t="shared" si="3"/>
        <v>95841.441441441435</v>
      </c>
      <c r="S9" s="81">
        <f t="shared" si="4"/>
        <v>22697.297297297293</v>
      </c>
      <c r="T9" s="81">
        <f t="shared" si="5"/>
        <v>118538.73873873873</v>
      </c>
      <c r="U9" s="82">
        <f t="shared" si="6"/>
        <v>0.73110550965966947</v>
      </c>
      <c r="V9" s="82">
        <f t="shared" si="7"/>
        <v>0.75389812499999997</v>
      </c>
      <c r="W9" s="82">
        <f t="shared" si="8"/>
        <v>0.6348615789473685</v>
      </c>
      <c r="X9" s="83">
        <f>BS9+SCENARIU!$C$19+'AJUSTĂRI PE PRODUS'!$I$14</f>
        <v>16.989999999999998</v>
      </c>
      <c r="Y9" s="83">
        <f>BT9+SCENARIU!$C$19+'AJUSTĂRI PE PRODUS'!$J$14</f>
        <v>19.989999999999998</v>
      </c>
      <c r="Z9" s="84">
        <f t="shared" si="9"/>
        <v>101771.63063063062</v>
      </c>
      <c r="AA9" s="84">
        <f t="shared" si="10"/>
        <v>23879.945945945943</v>
      </c>
      <c r="AB9" s="84">
        <f t="shared" si="11"/>
        <v>125651.57657657657</v>
      </c>
      <c r="AC9" s="85">
        <f t="shared" si="12"/>
        <v>0.68971936016404567</v>
      </c>
      <c r="AD9" s="85">
        <f t="shared" si="13"/>
        <v>0.70996880517951733</v>
      </c>
      <c r="AE9" s="85">
        <f t="shared" si="14"/>
        <v>0.60342021010505253</v>
      </c>
      <c r="AF9" s="83">
        <f>BU9+SCENARIU!$C$19+SCENARIU!$D$19+'AJUSTĂRI PE PRODUS'!$I$14+'AJUSTĂRI PE PRODUS'!$N$14</f>
        <v>16.989999999999998</v>
      </c>
      <c r="AG9" s="83">
        <f>BV9+SCENARIU!$C$19+SCENARIU!$D$19+'AJUSTĂRI PE PRODUS'!$J$14+'AJUSTĂRI PE PRODUS'!$O$14</f>
        <v>19.989999999999998</v>
      </c>
      <c r="AH9" s="86">
        <f t="shared" si="15"/>
        <v>101771.63063063062</v>
      </c>
      <c r="AI9" s="86">
        <f t="shared" si="16"/>
        <v>23879.945945945943</v>
      </c>
      <c r="AJ9" s="86">
        <f t="shared" si="17"/>
        <v>125651.57657657657</v>
      </c>
      <c r="AK9" s="87">
        <f t="shared" si="18"/>
        <v>0.68971936016404567</v>
      </c>
      <c r="AL9" s="87">
        <f t="shared" si="19"/>
        <v>0.70996880517951733</v>
      </c>
      <c r="AM9" s="87">
        <f t="shared" si="20"/>
        <v>0.60342021010505253</v>
      </c>
      <c r="AN9" s="83">
        <f>BW9+SCENARIU!$C$19+SCENARIU!$D$19+SCENARIU!$E$19+'AJUSTĂRI PE PRODUS'!$I$14+'AJUSTĂRI PE PRODUS'!$N$14+'AJUSTĂRI PE PRODUS'!$S$14</f>
        <v>16.989999999999998</v>
      </c>
      <c r="AO9" s="83">
        <f>BX9+SCENARIU!$C$19+SCENARIU!$D$19+SCENARIU!$E$19+'AJUSTĂRI PE PRODUS'!$J$14+'AJUSTĂRI PE PRODUS'!$O$14+'AJUSTĂRI PE PRODUS'!$T$14</f>
        <v>19.989999999999998</v>
      </c>
      <c r="AP9" s="88">
        <f t="shared" si="21"/>
        <v>101771.63063063062</v>
      </c>
      <c r="AQ9" s="88">
        <f t="shared" si="22"/>
        <v>23879.945945945943</v>
      </c>
      <c r="AR9" s="88">
        <f t="shared" si="23"/>
        <v>125651.57657657657</v>
      </c>
      <c r="AS9" s="89">
        <f t="shared" si="24"/>
        <v>0.68971936016404567</v>
      </c>
      <c r="AT9" s="89">
        <f t="shared" si="25"/>
        <v>0.70996880517951733</v>
      </c>
      <c r="AU9" s="89">
        <f t="shared" si="26"/>
        <v>0.60342021010505253</v>
      </c>
      <c r="AV9" s="83">
        <f>BY9+SCENARIU!$C$19+SCENARIU!$D$19+SCENARIU!$E$19+SCENARIU!$F$19+'AJUSTĂRI PE PRODUS'!$I$14+'AJUSTĂRI PE PRODUS'!$N$14+'AJUSTĂRI PE PRODUS'!$S$14+'AJUSTĂRI PE PRODUS'!$X$14</f>
        <v>17.489999999999998</v>
      </c>
      <c r="AW9" s="83">
        <f>BZ9+SCENARIU!$C$19+SCENARIU!$D$19+SCENARIU!$E$19+SCENARIU!$F$19+'AJUSTĂRI PE PRODUS'!$J$14+'AJUSTĂRI PE PRODUS'!$O$14+'AJUSTĂRI PE PRODUS'!$T$14+'AJUSTĂRI PE PRODUS'!$Y$14</f>
        <v>20.49</v>
      </c>
      <c r="AX9" s="90">
        <f t="shared" si="27"/>
        <v>104766.67567567567</v>
      </c>
      <c r="AY9" s="90">
        <f t="shared" si="28"/>
        <v>24477.24324324324</v>
      </c>
      <c r="AZ9" s="90">
        <f t="shared" si="29"/>
        <v>129243.91891891891</v>
      </c>
      <c r="BA9" s="91">
        <f t="shared" si="30"/>
        <v>0.67054856990500877</v>
      </c>
      <c r="BB9" s="91">
        <f t="shared" si="31"/>
        <v>0.68967238421955401</v>
      </c>
      <c r="BC9" s="91">
        <f t="shared" si="32"/>
        <v>0.58869546120058569</v>
      </c>
      <c r="BD9" s="92">
        <f t="shared" si="33"/>
        <v>0</v>
      </c>
      <c r="BE9" s="92">
        <f t="shared" si="34"/>
        <v>0.98999999999999844</v>
      </c>
      <c r="BF9" s="92">
        <f t="shared" si="35"/>
        <v>0</v>
      </c>
      <c r="BG9" s="92">
        <f t="shared" si="36"/>
        <v>0</v>
      </c>
      <c r="BH9" s="92">
        <f t="shared" si="37"/>
        <v>0.5</v>
      </c>
      <c r="BI9" s="93">
        <f t="shared" si="38"/>
        <v>1.4899999999999984</v>
      </c>
      <c r="BJ9" s="92">
        <f t="shared" si="39"/>
        <v>0</v>
      </c>
      <c r="BK9" s="92">
        <f t="shared" si="40"/>
        <v>0.98999999999999844</v>
      </c>
      <c r="BL9" s="92">
        <f t="shared" si="41"/>
        <v>0</v>
      </c>
      <c r="BM9" s="92">
        <f t="shared" si="42"/>
        <v>0</v>
      </c>
      <c r="BN9" s="92">
        <f t="shared" si="43"/>
        <v>0.5</v>
      </c>
      <c r="BO9" s="93">
        <f t="shared" si="44"/>
        <v>1.4899999999999984</v>
      </c>
      <c r="BQ9">
        <v>16</v>
      </c>
      <c r="BR9">
        <v>19</v>
      </c>
      <c r="BS9">
        <v>16.989999999999998</v>
      </c>
      <c r="BT9">
        <v>19.989999999999998</v>
      </c>
      <c r="BU9">
        <v>16.989999999999998</v>
      </c>
      <c r="BV9">
        <v>19.989999999999998</v>
      </c>
      <c r="BW9">
        <v>16.989999999999998</v>
      </c>
      <c r="BX9">
        <v>19.989999999999998</v>
      </c>
      <c r="BY9">
        <v>17.489999999999998</v>
      </c>
      <c r="BZ9">
        <v>20.49</v>
      </c>
    </row>
    <row r="10" spans="1:78" x14ac:dyDescent="0.2">
      <c r="A10" s="26">
        <v>4</v>
      </c>
      <c r="B10" s="26" t="s">
        <v>155</v>
      </c>
      <c r="C10" s="26" t="s">
        <v>94</v>
      </c>
      <c r="D10" s="74">
        <v>1</v>
      </c>
      <c r="E10" s="75">
        <v>11</v>
      </c>
      <c r="F10" s="76">
        <v>9314</v>
      </c>
      <c r="G10" s="76">
        <v>1557</v>
      </c>
      <c r="H10" s="77">
        <f>SUMIFS(RETETAR!$I$4:$I$967,RETETAR!$A$4:$A$967,$M10,RETETAR!$C$4:$C$967,"AMBELE")+SUMIFS(RETETAR!$I$4:$I$967,RETETAR!$A$4:$A$967,$M10,RETETAR!$C$4:$C$967,"INSTORE")</f>
        <v>6.6669999999999998</v>
      </c>
      <c r="I10" s="77">
        <f>SUMIFS(RETETAR!$I$4:$I$967,RETETAR!$A$4:$A$967,$M10,RETETAR!$C$4:$C$967,"AMBELE")+SUMIFS(RETETAR!$I$4:$I$967,RETETAR!$A$4:$A$967,$M10,RETETAR!$C$4:$C$967,"DELIVERY")</f>
        <v>6.6669999999999998</v>
      </c>
      <c r="J10" s="78">
        <f t="shared" si="0"/>
        <v>62096.437999999995</v>
      </c>
      <c r="K10" s="78">
        <f t="shared" si="1"/>
        <v>10380.519</v>
      </c>
      <c r="L10" s="78">
        <f t="shared" si="2"/>
        <v>72476.956999999995</v>
      </c>
      <c r="M10" t="s">
        <v>155</v>
      </c>
      <c r="N10" s="79">
        <v>10</v>
      </c>
      <c r="O10" s="79">
        <v>13</v>
      </c>
      <c r="P10" s="80">
        <v>10</v>
      </c>
      <c r="Q10" s="80">
        <v>13</v>
      </c>
      <c r="R10" s="81">
        <f t="shared" si="3"/>
        <v>83909.909909909897</v>
      </c>
      <c r="S10" s="81">
        <f t="shared" si="4"/>
        <v>18235.135135135133</v>
      </c>
      <c r="T10" s="81">
        <f t="shared" si="5"/>
        <v>102145.04504504503</v>
      </c>
      <c r="U10" s="82">
        <f t="shared" si="6"/>
        <v>0.70954941542233718</v>
      </c>
      <c r="V10" s="82">
        <f t="shared" si="7"/>
        <v>0.74003700000000006</v>
      </c>
      <c r="W10" s="82">
        <f t="shared" si="8"/>
        <v>0.5692592307692308</v>
      </c>
      <c r="X10" s="83">
        <f>BS10+SCENARIU!$C$19+'AJUSTĂRI PE PRODUS'!$I$20</f>
        <v>10.49</v>
      </c>
      <c r="Y10" s="83">
        <f>BT10+SCENARIU!$C$19+'AJUSTĂRI PE PRODUS'!$J$20</f>
        <v>13.49</v>
      </c>
      <c r="Z10" s="84">
        <f t="shared" si="9"/>
        <v>88021.495495495488</v>
      </c>
      <c r="AA10" s="84">
        <f t="shared" si="10"/>
        <v>18922.459459459456</v>
      </c>
      <c r="AB10" s="84">
        <f t="shared" si="11"/>
        <v>106943.95495495494</v>
      </c>
      <c r="AC10" s="85">
        <f t="shared" si="12"/>
        <v>0.67770971281665682</v>
      </c>
      <c r="AD10" s="85">
        <f t="shared" si="13"/>
        <v>0.70546901811248808</v>
      </c>
      <c r="AE10" s="85">
        <f t="shared" si="14"/>
        <v>0.54858191252779842</v>
      </c>
      <c r="AF10" s="83">
        <f>BU10+SCENARIU!$C$19+SCENARIU!$D$19+'AJUSTĂRI PE PRODUS'!$I$20+'AJUSTĂRI PE PRODUS'!$N$20</f>
        <v>10.49</v>
      </c>
      <c r="AG10" s="83">
        <f>BV10+SCENARIU!$C$19+SCENARIU!$D$19+'AJUSTĂRI PE PRODUS'!$J$20+'AJUSTĂRI PE PRODUS'!$O$20</f>
        <v>13.49</v>
      </c>
      <c r="AH10" s="86">
        <f t="shared" si="15"/>
        <v>88021.495495495488</v>
      </c>
      <c r="AI10" s="86">
        <f t="shared" si="16"/>
        <v>18922.459459459456</v>
      </c>
      <c r="AJ10" s="86">
        <f t="shared" si="17"/>
        <v>106943.95495495494</v>
      </c>
      <c r="AK10" s="87">
        <f t="shared" si="18"/>
        <v>0.67770971281665682</v>
      </c>
      <c r="AL10" s="87">
        <f t="shared" si="19"/>
        <v>0.70546901811248808</v>
      </c>
      <c r="AM10" s="87">
        <f t="shared" si="20"/>
        <v>0.54858191252779842</v>
      </c>
      <c r="AN10" s="83">
        <f>BW10+SCENARIU!$C$19+SCENARIU!$D$19+SCENARIU!$E$19+'AJUSTĂRI PE PRODUS'!$I$20+'AJUSTĂRI PE PRODUS'!$N$20+'AJUSTĂRI PE PRODUS'!$S$20</f>
        <v>10.49</v>
      </c>
      <c r="AO10" s="83">
        <f>BX10+SCENARIU!$C$19+SCENARIU!$D$19+SCENARIU!$E$19+'AJUSTĂRI PE PRODUS'!$J$20+'AJUSTĂRI PE PRODUS'!$O$20+'AJUSTĂRI PE PRODUS'!$T$20</f>
        <v>13.49</v>
      </c>
      <c r="AP10" s="88">
        <f t="shared" si="21"/>
        <v>88021.495495495488</v>
      </c>
      <c r="AQ10" s="88">
        <f t="shared" si="22"/>
        <v>18922.459459459456</v>
      </c>
      <c r="AR10" s="88">
        <f t="shared" si="23"/>
        <v>106943.95495495494</v>
      </c>
      <c r="AS10" s="89">
        <f t="shared" si="24"/>
        <v>0.67770971281665682</v>
      </c>
      <c r="AT10" s="89">
        <f t="shared" si="25"/>
        <v>0.70546901811248808</v>
      </c>
      <c r="AU10" s="89">
        <f t="shared" si="26"/>
        <v>0.54858191252779842</v>
      </c>
      <c r="AV10" s="83">
        <f>BY10+SCENARIU!$C$19+SCENARIU!$D$19+SCENARIU!$E$19+SCENARIU!$F$19+'AJUSTĂRI PE PRODUS'!$I$20+'AJUSTĂRI PE PRODUS'!$N$20+'AJUSTĂRI PE PRODUS'!$S$20+'AJUSTĂRI PE PRODUS'!$X$20</f>
        <v>10.99</v>
      </c>
      <c r="AW10" s="83">
        <f>BZ10+SCENARIU!$C$19+SCENARIU!$D$19+SCENARIU!$E$19+SCENARIU!$F$19+'AJUSTĂRI PE PRODUS'!$J$20+'AJUSTĂRI PE PRODUS'!$O$20+'AJUSTĂRI PE PRODUS'!$T$20+'AJUSTĂRI PE PRODUS'!$Y$20</f>
        <v>13.99</v>
      </c>
      <c r="AX10" s="90">
        <f t="shared" si="27"/>
        <v>92216.990990990991</v>
      </c>
      <c r="AY10" s="90">
        <f t="shared" si="28"/>
        <v>19623.81081081081</v>
      </c>
      <c r="AZ10" s="90">
        <f t="shared" si="29"/>
        <v>111840.8018018018</v>
      </c>
      <c r="BA10" s="91">
        <f t="shared" si="30"/>
        <v>0.64803681511904498</v>
      </c>
      <c r="BB10" s="91">
        <f t="shared" si="31"/>
        <v>0.67337306642402173</v>
      </c>
      <c r="BC10" s="91">
        <f t="shared" si="32"/>
        <v>0.52897569692637603</v>
      </c>
      <c r="BD10" s="92">
        <f t="shared" si="33"/>
        <v>0</v>
      </c>
      <c r="BE10" s="92">
        <f t="shared" si="34"/>
        <v>0.49000000000000021</v>
      </c>
      <c r="BF10" s="92">
        <f t="shared" si="35"/>
        <v>0</v>
      </c>
      <c r="BG10" s="92">
        <f t="shared" si="36"/>
        <v>0</v>
      </c>
      <c r="BH10" s="92">
        <f t="shared" si="37"/>
        <v>0.5</v>
      </c>
      <c r="BI10" s="93">
        <f t="shared" si="38"/>
        <v>0.99000000000000021</v>
      </c>
      <c r="BJ10" s="92">
        <f t="shared" si="39"/>
        <v>0</v>
      </c>
      <c r="BK10" s="92">
        <f t="shared" si="40"/>
        <v>0.49000000000000021</v>
      </c>
      <c r="BL10" s="92">
        <f t="shared" si="41"/>
        <v>0</v>
      </c>
      <c r="BM10" s="92">
        <f t="shared" si="42"/>
        <v>0</v>
      </c>
      <c r="BN10" s="92">
        <f t="shared" si="43"/>
        <v>0.5</v>
      </c>
      <c r="BO10" s="93">
        <f t="shared" si="44"/>
        <v>0.99000000000000021</v>
      </c>
      <c r="BQ10">
        <v>10</v>
      </c>
      <c r="BR10">
        <v>13</v>
      </c>
      <c r="BS10">
        <v>10.49</v>
      </c>
      <c r="BT10">
        <v>13.49</v>
      </c>
      <c r="BU10">
        <v>10.49</v>
      </c>
      <c r="BV10">
        <v>13.49</v>
      </c>
      <c r="BW10">
        <v>10.49</v>
      </c>
      <c r="BX10">
        <v>13.49</v>
      </c>
      <c r="BY10">
        <v>10.99</v>
      </c>
      <c r="BZ10">
        <v>13.99</v>
      </c>
    </row>
    <row r="11" spans="1:78" x14ac:dyDescent="0.2">
      <c r="A11" s="26">
        <v>5</v>
      </c>
      <c r="B11" s="26" t="s">
        <v>157</v>
      </c>
      <c r="C11" s="26" t="s">
        <v>94</v>
      </c>
      <c r="D11" s="74">
        <v>1</v>
      </c>
      <c r="E11" s="75">
        <v>11</v>
      </c>
      <c r="F11" s="76">
        <v>6953</v>
      </c>
      <c r="G11" s="76">
        <v>1987</v>
      </c>
      <c r="H11" s="77">
        <f>SUMIFS(RETETAR!$I$4:$I$967,RETETAR!$A$4:$A$967,$M11,RETETAR!$C$4:$C$967,"AMBELE")+SUMIFS(RETETAR!$I$4:$I$967,RETETAR!$A$4:$A$967,$M11,RETETAR!$C$4:$C$967,"INSTORE")</f>
        <v>6.9941050999999996</v>
      </c>
      <c r="I11" s="77">
        <f>SUMIFS(RETETAR!$I$4:$I$967,RETETAR!$A$4:$A$967,$M11,RETETAR!$C$4:$C$967,"AMBELE")+SUMIFS(RETETAR!$I$4:$I$967,RETETAR!$A$4:$A$967,$M11,RETETAR!$C$4:$C$967,"DELIVERY")</f>
        <v>6.9941050999999996</v>
      </c>
      <c r="J11" s="78">
        <f t="shared" si="0"/>
        <v>48630.0127603</v>
      </c>
      <c r="K11" s="78">
        <f t="shared" si="1"/>
        <v>13897.2868337</v>
      </c>
      <c r="L11" s="78">
        <f t="shared" si="2"/>
        <v>62527.299593999996</v>
      </c>
      <c r="M11" t="s">
        <v>157</v>
      </c>
      <c r="N11" s="79">
        <v>11</v>
      </c>
      <c r="O11" s="79">
        <v>13</v>
      </c>
      <c r="P11" s="80">
        <v>11.49</v>
      </c>
      <c r="Q11" s="80">
        <v>13.49</v>
      </c>
      <c r="R11" s="81">
        <f t="shared" si="3"/>
        <v>71972.945945945947</v>
      </c>
      <c r="S11" s="81">
        <f t="shared" si="4"/>
        <v>24148.315315315314</v>
      </c>
      <c r="T11" s="81">
        <f t="shared" si="5"/>
        <v>96121.261261261257</v>
      </c>
      <c r="U11" s="82">
        <f t="shared" si="6"/>
        <v>0.6505043605706381</v>
      </c>
      <c r="V11" s="82">
        <f t="shared" si="7"/>
        <v>0.67567072767624026</v>
      </c>
      <c r="W11" s="82">
        <f t="shared" si="8"/>
        <v>0.5754971579688658</v>
      </c>
      <c r="X11" s="83">
        <f>BS11+SCENARIU!$C$19+'AJUSTĂRI PE PRODUS'!$I$18</f>
        <v>11.49</v>
      </c>
      <c r="Y11" s="83">
        <f>BT11+SCENARIU!$C$19+'AJUSTĂRI PE PRODUS'!$J$18</f>
        <v>13.49</v>
      </c>
      <c r="Z11" s="84">
        <f t="shared" si="9"/>
        <v>71972.945945945947</v>
      </c>
      <c r="AA11" s="84">
        <f t="shared" si="10"/>
        <v>24148.315315315314</v>
      </c>
      <c r="AB11" s="84">
        <f t="shared" si="11"/>
        <v>96121.261261261257</v>
      </c>
      <c r="AC11" s="85">
        <f t="shared" si="12"/>
        <v>0.6505043605706381</v>
      </c>
      <c r="AD11" s="85">
        <f t="shared" si="13"/>
        <v>0.67567072767624026</v>
      </c>
      <c r="AE11" s="85">
        <f t="shared" si="14"/>
        <v>0.5754971579688658</v>
      </c>
      <c r="AF11" s="83">
        <f>BU11+SCENARIU!$C$19+SCENARIU!$D$19+'AJUSTĂRI PE PRODUS'!$I$18+'AJUSTĂRI PE PRODUS'!$N$18</f>
        <v>11.49</v>
      </c>
      <c r="AG11" s="83">
        <f>BV11+SCENARIU!$C$19+SCENARIU!$D$19+'AJUSTĂRI PE PRODUS'!$J$18+'AJUSTĂRI PE PRODUS'!$O$18</f>
        <v>13.49</v>
      </c>
      <c r="AH11" s="86">
        <f t="shared" si="15"/>
        <v>71972.945945945947</v>
      </c>
      <c r="AI11" s="86">
        <f t="shared" si="16"/>
        <v>24148.315315315314</v>
      </c>
      <c r="AJ11" s="86">
        <f t="shared" si="17"/>
        <v>96121.261261261257</v>
      </c>
      <c r="AK11" s="87">
        <f t="shared" si="18"/>
        <v>0.6505043605706381</v>
      </c>
      <c r="AL11" s="87">
        <f t="shared" si="19"/>
        <v>0.67567072767624026</v>
      </c>
      <c r="AM11" s="87">
        <f t="shared" si="20"/>
        <v>0.5754971579688658</v>
      </c>
      <c r="AN11" s="83">
        <f>BW11+SCENARIU!$C$19+SCENARIU!$D$19+SCENARIU!$E$19+'AJUSTĂRI PE PRODUS'!$I$18+'AJUSTĂRI PE PRODUS'!$N$18+'AJUSTĂRI PE PRODUS'!$S$18</f>
        <v>11.49</v>
      </c>
      <c r="AO11" s="83">
        <f>BX11+SCENARIU!$C$19+SCENARIU!$D$19+SCENARIU!$E$19+'AJUSTĂRI PE PRODUS'!$J$18+'AJUSTĂRI PE PRODUS'!$O$18+'AJUSTĂRI PE PRODUS'!$T$18</f>
        <v>13.49</v>
      </c>
      <c r="AP11" s="88">
        <f t="shared" si="21"/>
        <v>71972.945945945947</v>
      </c>
      <c r="AQ11" s="88">
        <f t="shared" si="22"/>
        <v>24148.315315315314</v>
      </c>
      <c r="AR11" s="88">
        <f t="shared" si="23"/>
        <v>96121.261261261257</v>
      </c>
      <c r="AS11" s="89">
        <f t="shared" si="24"/>
        <v>0.6505043605706381</v>
      </c>
      <c r="AT11" s="89">
        <f t="shared" si="25"/>
        <v>0.67567072767624026</v>
      </c>
      <c r="AU11" s="89">
        <f t="shared" si="26"/>
        <v>0.5754971579688658</v>
      </c>
      <c r="AV11" s="83">
        <f>BY11+SCENARIU!$C$19+SCENARIU!$D$19+SCENARIU!$E$19+SCENARIU!$F$19+'AJUSTĂRI PE PRODUS'!$I$18+'AJUSTĂRI PE PRODUS'!$N$18+'AJUSTĂRI PE PRODUS'!$S$18+'AJUSTĂRI PE PRODUS'!$X$18</f>
        <v>11.99</v>
      </c>
      <c r="AW11" s="83">
        <f>BZ11+SCENARIU!$C$19+SCENARIU!$D$19+SCENARIU!$E$19+SCENARIU!$F$19+'AJUSTĂRI PE PRODUS'!$J$18+'AJUSTĂRI PE PRODUS'!$O$18+'AJUSTĂRI PE PRODUS'!$T$18+'AJUSTĂRI PE PRODUS'!$Y$18</f>
        <v>13.99</v>
      </c>
      <c r="AX11" s="90">
        <f t="shared" si="27"/>
        <v>75104.927927927929</v>
      </c>
      <c r="AY11" s="90">
        <f t="shared" si="28"/>
        <v>25043.360360360359</v>
      </c>
      <c r="AZ11" s="90">
        <f t="shared" si="29"/>
        <v>100148.28828828828</v>
      </c>
      <c r="BA11" s="91">
        <f t="shared" si="30"/>
        <v>0.62434716222016717</v>
      </c>
      <c r="BB11" s="91">
        <f t="shared" si="31"/>
        <v>0.64749430033361133</v>
      </c>
      <c r="BC11" s="91">
        <f t="shared" si="32"/>
        <v>0.55492899649749827</v>
      </c>
      <c r="BD11" s="92">
        <f t="shared" si="33"/>
        <v>0.49000000000000021</v>
      </c>
      <c r="BE11" s="92">
        <f t="shared" si="34"/>
        <v>0</v>
      </c>
      <c r="BF11" s="92">
        <f t="shared" si="35"/>
        <v>0</v>
      </c>
      <c r="BG11" s="92">
        <f t="shared" si="36"/>
        <v>0</v>
      </c>
      <c r="BH11" s="92">
        <f t="shared" si="37"/>
        <v>0.5</v>
      </c>
      <c r="BI11" s="93">
        <f t="shared" si="38"/>
        <v>0.99000000000000021</v>
      </c>
      <c r="BJ11" s="92">
        <f t="shared" si="39"/>
        <v>0.49000000000000021</v>
      </c>
      <c r="BK11" s="92">
        <f t="shared" si="40"/>
        <v>0</v>
      </c>
      <c r="BL11" s="92">
        <f t="shared" si="41"/>
        <v>0</v>
      </c>
      <c r="BM11" s="92">
        <f t="shared" si="42"/>
        <v>0</v>
      </c>
      <c r="BN11" s="92">
        <f t="shared" si="43"/>
        <v>0.5</v>
      </c>
      <c r="BO11" s="93">
        <f t="shared" si="44"/>
        <v>0.99000000000000021</v>
      </c>
      <c r="BQ11">
        <v>11.49</v>
      </c>
      <c r="BR11">
        <v>13.49</v>
      </c>
      <c r="BS11">
        <v>11.49</v>
      </c>
      <c r="BT11">
        <v>13.49</v>
      </c>
      <c r="BU11">
        <v>11.49</v>
      </c>
      <c r="BV11">
        <v>13.49</v>
      </c>
      <c r="BW11">
        <v>11.49</v>
      </c>
      <c r="BX11">
        <v>13.49</v>
      </c>
      <c r="BY11">
        <v>11.99</v>
      </c>
      <c r="BZ11">
        <v>13.99</v>
      </c>
    </row>
    <row r="12" spans="1:78" x14ac:dyDescent="0.2">
      <c r="A12" s="26">
        <v>6</v>
      </c>
      <c r="B12" s="26" t="s">
        <v>165</v>
      </c>
      <c r="C12" s="26" t="s">
        <v>94</v>
      </c>
      <c r="D12" s="74">
        <v>1</v>
      </c>
      <c r="E12" s="75">
        <v>11</v>
      </c>
      <c r="F12" s="76">
        <v>5302</v>
      </c>
      <c r="G12" s="76">
        <v>1141</v>
      </c>
      <c r="H12" s="77">
        <f>SUMIFS(RETETAR!$I$4:$I$967,RETETAR!$A$4:$A$967,$M12,RETETAR!$C$4:$C$967,"AMBELE")+SUMIFS(RETETAR!$I$4:$I$967,RETETAR!$A$4:$A$967,$M12,RETETAR!$C$4:$C$967,"INSTORE")</f>
        <v>6.3641050999999997</v>
      </c>
      <c r="I12" s="77">
        <f>SUMIFS(RETETAR!$I$4:$I$967,RETETAR!$A$4:$A$967,$M12,RETETAR!$C$4:$C$967,"AMBELE")+SUMIFS(RETETAR!$I$4:$I$967,RETETAR!$A$4:$A$967,$M12,RETETAR!$C$4:$C$967,"DELIVERY")</f>
        <v>6.3641050999999997</v>
      </c>
      <c r="J12" s="78">
        <f t="shared" si="0"/>
        <v>33742.485240199996</v>
      </c>
      <c r="K12" s="78">
        <f t="shared" si="1"/>
        <v>7261.4439191000001</v>
      </c>
      <c r="L12" s="78">
        <f t="shared" si="2"/>
        <v>41003.929159299994</v>
      </c>
      <c r="M12" t="s">
        <v>165</v>
      </c>
      <c r="N12" s="79">
        <v>8</v>
      </c>
      <c r="O12" s="79">
        <v>10</v>
      </c>
      <c r="P12" s="80">
        <v>8</v>
      </c>
      <c r="Q12" s="80">
        <v>10</v>
      </c>
      <c r="R12" s="81">
        <f t="shared" si="3"/>
        <v>38212.612612612611</v>
      </c>
      <c r="S12" s="81">
        <f t="shared" si="4"/>
        <v>10279.279279279277</v>
      </c>
      <c r="T12" s="81">
        <f t="shared" si="5"/>
        <v>48491.891891891886</v>
      </c>
      <c r="U12" s="82">
        <f t="shared" si="6"/>
        <v>0.8455832008104448</v>
      </c>
      <c r="V12" s="82">
        <f t="shared" si="7"/>
        <v>0.88301958262499991</v>
      </c>
      <c r="W12" s="82">
        <f t="shared" si="8"/>
        <v>0.70641566610000017</v>
      </c>
      <c r="X12" s="83">
        <f>BS12+SCENARIU!$C$19+'AJUSTĂRI PE PRODUS'!$I$27</f>
        <v>8.49</v>
      </c>
      <c r="Y12" s="83">
        <f>BT12+SCENARIU!$C$19+'AJUSTĂRI PE PRODUS'!$J$27</f>
        <v>10.49</v>
      </c>
      <c r="Z12" s="84">
        <f t="shared" si="9"/>
        <v>40553.135135135133</v>
      </c>
      <c r="AA12" s="84">
        <f t="shared" si="10"/>
        <v>10782.963963963964</v>
      </c>
      <c r="AB12" s="84">
        <f t="shared" si="11"/>
        <v>51336.099099099098</v>
      </c>
      <c r="AC12" s="85">
        <f t="shared" si="12"/>
        <v>0.79873480608929981</v>
      </c>
      <c r="AD12" s="85">
        <f t="shared" si="13"/>
        <v>0.83205614381625437</v>
      </c>
      <c r="AE12" s="85">
        <f t="shared" si="14"/>
        <v>0.67341817550047667</v>
      </c>
      <c r="AF12" s="83">
        <f>BU12+SCENARIU!$C$19+SCENARIU!$D$19+'AJUSTĂRI PE PRODUS'!$I$27+'AJUSTĂRI PE PRODUS'!$N$27</f>
        <v>8.49</v>
      </c>
      <c r="AG12" s="83">
        <f>BV12+SCENARIU!$C$19+SCENARIU!$D$19+'AJUSTĂRI PE PRODUS'!$J$27+'AJUSTĂRI PE PRODUS'!$O$27</f>
        <v>10.49</v>
      </c>
      <c r="AH12" s="86">
        <f t="shared" si="15"/>
        <v>40553.135135135133</v>
      </c>
      <c r="AI12" s="86">
        <f t="shared" si="16"/>
        <v>10782.963963963964</v>
      </c>
      <c r="AJ12" s="86">
        <f t="shared" si="17"/>
        <v>51336.099099099098</v>
      </c>
      <c r="AK12" s="87">
        <f t="shared" si="18"/>
        <v>0.79873480608929981</v>
      </c>
      <c r="AL12" s="87">
        <f t="shared" si="19"/>
        <v>0.83205614381625437</v>
      </c>
      <c r="AM12" s="87">
        <f t="shared" si="20"/>
        <v>0.67341817550047667</v>
      </c>
      <c r="AN12" s="83">
        <f>BW12+SCENARIU!$C$19+SCENARIU!$D$19+SCENARIU!$E$19+'AJUSTĂRI PE PRODUS'!$I$27+'AJUSTĂRI PE PRODUS'!$N$27+'AJUSTĂRI PE PRODUS'!$S$27</f>
        <v>8.49</v>
      </c>
      <c r="AO12" s="83">
        <f>BX12+SCENARIU!$C$19+SCENARIU!$D$19+SCENARIU!$E$19+'AJUSTĂRI PE PRODUS'!$J$27+'AJUSTĂRI PE PRODUS'!$O$27+'AJUSTĂRI PE PRODUS'!$T$27</f>
        <v>10.49</v>
      </c>
      <c r="AP12" s="88">
        <f t="shared" si="21"/>
        <v>40553.135135135133</v>
      </c>
      <c r="AQ12" s="88">
        <f t="shared" si="22"/>
        <v>10782.963963963964</v>
      </c>
      <c r="AR12" s="88">
        <f t="shared" si="23"/>
        <v>51336.099099099098</v>
      </c>
      <c r="AS12" s="89">
        <f t="shared" si="24"/>
        <v>0.79873480608929981</v>
      </c>
      <c r="AT12" s="89">
        <f t="shared" si="25"/>
        <v>0.83205614381625437</v>
      </c>
      <c r="AU12" s="89">
        <f t="shared" si="26"/>
        <v>0.67341817550047667</v>
      </c>
      <c r="AV12" s="83">
        <f>BY12+SCENARIU!$C$19+SCENARIU!$D$19+SCENARIU!$E$19+SCENARIU!$F$19+'AJUSTĂRI PE PRODUS'!$I$27+'AJUSTĂRI PE PRODUS'!$N$27+'AJUSTĂRI PE PRODUS'!$S$27+'AJUSTĂRI PE PRODUS'!$X$27</f>
        <v>8.99</v>
      </c>
      <c r="AW12" s="83">
        <f>BZ12+SCENARIU!$C$19+SCENARIU!$D$19+SCENARIU!$E$19+SCENARIU!$F$19+'AJUSTĂRI PE PRODUS'!$J$27+'AJUSTĂRI PE PRODUS'!$O$27+'AJUSTĂRI PE PRODUS'!$T$27+'AJUSTĂRI PE PRODUS'!$Y$27</f>
        <v>10.99</v>
      </c>
      <c r="AX12" s="90">
        <f t="shared" si="27"/>
        <v>42941.423423423425</v>
      </c>
      <c r="AY12" s="90">
        <f t="shared" si="28"/>
        <v>11296.927927927927</v>
      </c>
      <c r="AZ12" s="90">
        <f t="shared" si="29"/>
        <v>54238.351351351354</v>
      </c>
      <c r="BA12" s="91">
        <f t="shared" si="30"/>
        <v>0.75599512407152802</v>
      </c>
      <c r="BB12" s="91">
        <f t="shared" si="31"/>
        <v>0.78577938387096768</v>
      </c>
      <c r="BC12" s="91">
        <f t="shared" si="32"/>
        <v>0.64278040591446772</v>
      </c>
      <c r="BD12" s="92">
        <f t="shared" si="33"/>
        <v>0</v>
      </c>
      <c r="BE12" s="92">
        <f t="shared" si="34"/>
        <v>0.49000000000000021</v>
      </c>
      <c r="BF12" s="92">
        <f t="shared" si="35"/>
        <v>0</v>
      </c>
      <c r="BG12" s="92">
        <f t="shared" si="36"/>
        <v>0</v>
      </c>
      <c r="BH12" s="92">
        <f t="shared" si="37"/>
        <v>0.5</v>
      </c>
      <c r="BI12" s="93">
        <f t="shared" si="38"/>
        <v>0.99000000000000021</v>
      </c>
      <c r="BJ12" s="92">
        <f t="shared" si="39"/>
        <v>0</v>
      </c>
      <c r="BK12" s="92">
        <f t="shared" si="40"/>
        <v>0.49000000000000021</v>
      </c>
      <c r="BL12" s="92">
        <f t="shared" si="41"/>
        <v>0</v>
      </c>
      <c r="BM12" s="92">
        <f t="shared" si="42"/>
        <v>0</v>
      </c>
      <c r="BN12" s="92">
        <f t="shared" si="43"/>
        <v>0.5</v>
      </c>
      <c r="BO12" s="93">
        <f t="shared" si="44"/>
        <v>0.99000000000000021</v>
      </c>
      <c r="BQ12">
        <v>8</v>
      </c>
      <c r="BR12">
        <v>10</v>
      </c>
      <c r="BS12">
        <v>8.49</v>
      </c>
      <c r="BT12">
        <v>10.49</v>
      </c>
      <c r="BU12">
        <v>8.49</v>
      </c>
      <c r="BV12">
        <v>10.49</v>
      </c>
      <c r="BW12">
        <v>8.49</v>
      </c>
      <c r="BX12">
        <v>10.49</v>
      </c>
      <c r="BY12">
        <v>8.99</v>
      </c>
      <c r="BZ12">
        <v>10.99</v>
      </c>
    </row>
    <row r="13" spans="1:78" x14ac:dyDescent="0.2">
      <c r="A13" s="26">
        <v>7</v>
      </c>
      <c r="B13" s="26" t="s">
        <v>200</v>
      </c>
      <c r="C13" s="26" t="s">
        <v>94</v>
      </c>
      <c r="D13" s="74">
        <v>1</v>
      </c>
      <c r="E13" s="75">
        <v>11</v>
      </c>
      <c r="F13" s="76">
        <v>695</v>
      </c>
      <c r="G13" s="76">
        <v>428</v>
      </c>
      <c r="H13" s="77">
        <f>SUMIFS(RETETAR!$I$4:$I$967,RETETAR!$A$4:$A$967,$M13,RETETAR!$C$4:$C$967,"AMBELE")+SUMIFS(RETETAR!$I$4:$I$967,RETETAR!$A$4:$A$967,$M13,RETETAR!$C$4:$C$967,"INSTORE")</f>
        <v>10.0317171</v>
      </c>
      <c r="I13" s="77">
        <f>SUMIFS(RETETAR!$I$4:$I$967,RETETAR!$A$4:$A$967,$M13,RETETAR!$C$4:$C$967,"AMBELE")+SUMIFS(RETETAR!$I$4:$I$967,RETETAR!$A$4:$A$967,$M13,RETETAR!$C$4:$C$967,"DELIVERY")</f>
        <v>10.0317171</v>
      </c>
      <c r="J13" s="78">
        <f t="shared" si="0"/>
        <v>6972.0433844999998</v>
      </c>
      <c r="K13" s="78">
        <f t="shared" si="1"/>
        <v>4293.5749188</v>
      </c>
      <c r="L13" s="78">
        <f t="shared" si="2"/>
        <v>11265.6183033</v>
      </c>
      <c r="M13" t="s">
        <v>200</v>
      </c>
      <c r="N13" s="79">
        <v>14</v>
      </c>
      <c r="O13" s="79">
        <v>16</v>
      </c>
      <c r="P13" s="80">
        <v>14.99</v>
      </c>
      <c r="Q13" s="80">
        <v>16.989999999999998</v>
      </c>
      <c r="R13" s="81">
        <f t="shared" si="3"/>
        <v>9385.6306306306287</v>
      </c>
      <c r="S13" s="81">
        <f t="shared" si="4"/>
        <v>6551.0990990990986</v>
      </c>
      <c r="T13" s="81">
        <f t="shared" si="5"/>
        <v>15936.729729729726</v>
      </c>
      <c r="U13" s="82">
        <f t="shared" si="6"/>
        <v>0.70689648970354069</v>
      </c>
      <c r="V13" s="82">
        <f t="shared" si="7"/>
        <v>0.74284229359573062</v>
      </c>
      <c r="W13" s="82">
        <f t="shared" si="8"/>
        <v>0.655397644555621</v>
      </c>
      <c r="X13" s="83">
        <f>BS13+SCENARIU!$C$19+'AJUSTĂRI PE PRODUS'!$I$59</f>
        <v>14.99</v>
      </c>
      <c r="Y13" s="83">
        <f>BT13+SCENARIU!$C$19+'AJUSTĂRI PE PRODUS'!$J$59</f>
        <v>16.989999999999998</v>
      </c>
      <c r="Z13" s="84">
        <f t="shared" si="9"/>
        <v>9385.6306306306287</v>
      </c>
      <c r="AA13" s="84">
        <f t="shared" si="10"/>
        <v>6551.0990990990986</v>
      </c>
      <c r="AB13" s="84">
        <f t="shared" si="11"/>
        <v>15936.729729729726</v>
      </c>
      <c r="AC13" s="85">
        <f t="shared" si="12"/>
        <v>0.70689648970354069</v>
      </c>
      <c r="AD13" s="85">
        <f t="shared" si="13"/>
        <v>0.74284229359573062</v>
      </c>
      <c r="AE13" s="85">
        <f t="shared" si="14"/>
        <v>0.655397644555621</v>
      </c>
      <c r="AF13" s="83">
        <f>BU13+SCENARIU!$C$19+SCENARIU!$D$19+'AJUSTĂRI PE PRODUS'!$I$59+'AJUSTĂRI PE PRODUS'!$N$59</f>
        <v>14.99</v>
      </c>
      <c r="AG13" s="83">
        <f>BV13+SCENARIU!$C$19+SCENARIU!$D$19+'AJUSTĂRI PE PRODUS'!$J$59+'AJUSTĂRI PE PRODUS'!$O$59</f>
        <v>16.989999999999998</v>
      </c>
      <c r="AH13" s="86">
        <f t="shared" si="15"/>
        <v>9385.6306306306287</v>
      </c>
      <c r="AI13" s="86">
        <f t="shared" si="16"/>
        <v>6551.0990990990986</v>
      </c>
      <c r="AJ13" s="86">
        <f t="shared" si="17"/>
        <v>15936.729729729726</v>
      </c>
      <c r="AK13" s="87">
        <f t="shared" si="18"/>
        <v>0.70689648970354069</v>
      </c>
      <c r="AL13" s="87">
        <f t="shared" si="19"/>
        <v>0.74284229359573062</v>
      </c>
      <c r="AM13" s="87">
        <f t="shared" si="20"/>
        <v>0.655397644555621</v>
      </c>
      <c r="AN13" s="83">
        <f>BW13+SCENARIU!$C$19+SCENARIU!$D$19+SCENARIU!$E$19+'AJUSTĂRI PE PRODUS'!$I$59+'AJUSTĂRI PE PRODUS'!$N$59+'AJUSTĂRI PE PRODUS'!$S$59</f>
        <v>14.99</v>
      </c>
      <c r="AO13" s="83">
        <f>BX13+SCENARIU!$C$19+SCENARIU!$D$19+SCENARIU!$E$19+'AJUSTĂRI PE PRODUS'!$J$59+'AJUSTĂRI PE PRODUS'!$O$59+'AJUSTĂRI PE PRODUS'!$T$59</f>
        <v>16.989999999999998</v>
      </c>
      <c r="AP13" s="88">
        <f t="shared" si="21"/>
        <v>9385.6306306306287</v>
      </c>
      <c r="AQ13" s="88">
        <f t="shared" si="22"/>
        <v>6551.0990990990986</v>
      </c>
      <c r="AR13" s="88">
        <f t="shared" si="23"/>
        <v>15936.729729729726</v>
      </c>
      <c r="AS13" s="89">
        <f t="shared" si="24"/>
        <v>0.70689648970354069</v>
      </c>
      <c r="AT13" s="89">
        <f t="shared" si="25"/>
        <v>0.74284229359573062</v>
      </c>
      <c r="AU13" s="89">
        <f t="shared" si="26"/>
        <v>0.655397644555621</v>
      </c>
      <c r="AV13" s="83">
        <f>BY13+SCENARIU!$C$19+SCENARIU!$D$19+SCENARIU!$E$19+SCENARIU!$F$19+'AJUSTĂRI PE PRODUS'!$I$59+'AJUSTĂRI PE PRODUS'!$N$59+'AJUSTĂRI PE PRODUS'!$S$59+'AJUSTĂRI PE PRODUS'!$X$59</f>
        <v>15.49</v>
      </c>
      <c r="AW13" s="83">
        <f>BZ13+SCENARIU!$C$19+SCENARIU!$D$19+SCENARIU!$E$19+SCENARIU!$F$19+'AJUSTĂRI PE PRODUS'!$J$59+'AJUSTĂRI PE PRODUS'!$O$59+'AJUSTĂRI PE PRODUS'!$T$59+'AJUSTĂRI PE PRODUS'!$Y$59</f>
        <v>17.489999999999998</v>
      </c>
      <c r="AX13" s="90">
        <f t="shared" si="27"/>
        <v>9698.6936936936927</v>
      </c>
      <c r="AY13" s="90">
        <f t="shared" si="28"/>
        <v>6743.8918918918907</v>
      </c>
      <c r="AZ13" s="90">
        <f t="shared" si="29"/>
        <v>16442.585585585584</v>
      </c>
      <c r="BA13" s="91">
        <f t="shared" si="30"/>
        <v>0.68514883165187956</v>
      </c>
      <c r="BB13" s="91">
        <f t="shared" si="31"/>
        <v>0.71886416920593932</v>
      </c>
      <c r="BC13" s="91">
        <f t="shared" si="32"/>
        <v>0.63666129108061764</v>
      </c>
      <c r="BD13" s="92">
        <f t="shared" si="33"/>
        <v>0.99000000000000021</v>
      </c>
      <c r="BE13" s="92">
        <f t="shared" si="34"/>
        <v>0</v>
      </c>
      <c r="BF13" s="92">
        <f t="shared" si="35"/>
        <v>0</v>
      </c>
      <c r="BG13" s="92">
        <f t="shared" si="36"/>
        <v>0</v>
      </c>
      <c r="BH13" s="92">
        <f t="shared" si="37"/>
        <v>0.5</v>
      </c>
      <c r="BI13" s="93">
        <f t="shared" si="38"/>
        <v>1.4900000000000002</v>
      </c>
      <c r="BJ13" s="92">
        <f t="shared" si="39"/>
        <v>0.98999999999999844</v>
      </c>
      <c r="BK13" s="92">
        <f t="shared" si="40"/>
        <v>0</v>
      </c>
      <c r="BL13" s="92">
        <f t="shared" si="41"/>
        <v>0</v>
      </c>
      <c r="BM13" s="92">
        <f t="shared" si="42"/>
        <v>0</v>
      </c>
      <c r="BN13" s="92">
        <f t="shared" si="43"/>
        <v>0.5</v>
      </c>
      <c r="BO13" s="93">
        <f t="shared" si="44"/>
        <v>1.4899999999999984</v>
      </c>
      <c r="BQ13">
        <v>14.99</v>
      </c>
      <c r="BR13">
        <v>16.989999999999998</v>
      </c>
      <c r="BS13">
        <v>14.99</v>
      </c>
      <c r="BT13">
        <v>16.989999999999998</v>
      </c>
      <c r="BU13">
        <v>14.99</v>
      </c>
      <c r="BV13">
        <v>16.989999999999998</v>
      </c>
      <c r="BW13">
        <v>14.99</v>
      </c>
      <c r="BX13">
        <v>16.989999999999998</v>
      </c>
      <c r="BY13">
        <v>15.49</v>
      </c>
      <c r="BZ13">
        <v>17.489999999999998</v>
      </c>
    </row>
    <row r="14" spans="1:78" x14ac:dyDescent="0.2">
      <c r="A14" s="94" t="s">
        <v>431</v>
      </c>
      <c r="B14" s="95"/>
      <c r="C14" s="95"/>
      <c r="D14" s="95"/>
      <c r="E14" s="95"/>
      <c r="F14" s="95"/>
      <c r="G14" s="95"/>
      <c r="H14" s="95"/>
      <c r="I14" s="95"/>
      <c r="J14" s="95"/>
      <c r="K14" s="95"/>
      <c r="L14" s="96">
        <f>SUM(L7:L13)</f>
        <v>551793.04725739988</v>
      </c>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row>
    <row r="15" spans="1:78" x14ac:dyDescent="0.2">
      <c r="A15" s="72" t="s">
        <v>95</v>
      </c>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row>
    <row r="16" spans="1:78" x14ac:dyDescent="0.2">
      <c r="A16" s="26">
        <v>1</v>
      </c>
      <c r="B16" s="26" t="s">
        <v>160</v>
      </c>
      <c r="C16" s="26" t="s">
        <v>95</v>
      </c>
      <c r="D16" s="74">
        <v>1</v>
      </c>
      <c r="E16" s="75">
        <v>11</v>
      </c>
      <c r="F16" s="76">
        <v>8484</v>
      </c>
      <c r="G16" s="76">
        <v>1972</v>
      </c>
      <c r="H16" s="77">
        <f>SUMIFS(RETETAR!$I$4:$I$967,RETETAR!$A$4:$A$967,$M16,RETETAR!$C$4:$C$967,"AMBELE")+SUMIFS(RETETAR!$I$4:$I$967,RETETAR!$A$4:$A$967,$M16,RETETAR!$C$4:$C$967,"INSTORE")</f>
        <v>4.2759633999999993</v>
      </c>
      <c r="I16" s="77">
        <f>SUMIFS(RETETAR!$I$4:$I$967,RETETAR!$A$4:$A$967,$M16,RETETAR!$C$4:$C$967,"AMBELE")+SUMIFS(RETETAR!$I$4:$I$967,RETETAR!$A$4:$A$967,$M16,RETETAR!$C$4:$C$967,"DELIVERY")</f>
        <v>4.2759633999999993</v>
      </c>
      <c r="J16" s="78">
        <f>$H16*$F16</f>
        <v>36277.273485599995</v>
      </c>
      <c r="K16" s="78">
        <f>$I16*$G16</f>
        <v>8432.1998247999982</v>
      </c>
      <c r="L16" s="78">
        <f>$J16+$K16</f>
        <v>44709.47331039999</v>
      </c>
      <c r="M16" t="s">
        <v>160</v>
      </c>
      <c r="N16" s="79">
        <v>7</v>
      </c>
      <c r="O16" s="79">
        <v>10</v>
      </c>
      <c r="P16" s="80">
        <v>7</v>
      </c>
      <c r="Q16" s="80">
        <v>10</v>
      </c>
      <c r="R16" s="81">
        <f>IF(P16="",0,P16/(1+$E16/100)*$F16)</f>
        <v>53502.7027027027</v>
      </c>
      <c r="S16" s="81">
        <f>IF(Q16="",0,Q16/(1+$E16/100)*$G16)</f>
        <v>17765.765765765762</v>
      </c>
      <c r="T16" s="81">
        <f>R16+S16</f>
        <v>71268.468468468462</v>
      </c>
      <c r="U16" s="82">
        <f>IF(OR(T16=0,$L16=0),"",$L16/T16)</f>
        <v>0.6273387694612933</v>
      </c>
      <c r="V16" s="82">
        <f>IF(OR(R16=0,$J16=0),"",$J16/R16)</f>
        <v>0.67804562485714281</v>
      </c>
      <c r="W16" s="82">
        <f>IF(OR(S16=0,$K16=0),"",$K16/S16)</f>
        <v>0.47463193739999998</v>
      </c>
      <c r="X16" s="83">
        <f>BS16+SCENARIU!$C$20+'AJUSTĂRI PE PRODUS'!$I$22</f>
        <v>7.49</v>
      </c>
      <c r="Y16" s="83">
        <f>BT16+SCENARIU!$C$20+'AJUSTĂRI PE PRODUS'!$J$22</f>
        <v>10.49</v>
      </c>
      <c r="Z16" s="84">
        <f>IF(X16="",0,X16/(1+$E16/100)*$F16)</f>
        <v>57247.891891891893</v>
      </c>
      <c r="AA16" s="84">
        <f>IF(Y16="",0,Y16/(1+$E16/100)*$G16)</f>
        <v>18636.288288288288</v>
      </c>
      <c r="AB16" s="84">
        <f>Z16+AA16</f>
        <v>75884.180180180178</v>
      </c>
      <c r="AC16" s="85">
        <f>IF(OR(AB16=0,$L16=0),"",$L16/AB16)</f>
        <v>0.58918042211487764</v>
      </c>
      <c r="AD16" s="85">
        <f>IF(OR(Z16=0,$J16=0),"",$J16/Z16)</f>
        <v>0.63368749986648854</v>
      </c>
      <c r="AE16" s="85">
        <f>IF(OR(AA16=0,$K16=0),"",$K16/AA16)</f>
        <v>0.45246133212583406</v>
      </c>
      <c r="AF16" s="83">
        <f>BU16+SCENARIU!$C$20+SCENARIU!$D$20+'AJUSTĂRI PE PRODUS'!$I$22+'AJUSTĂRI PE PRODUS'!$N$22</f>
        <v>7.49</v>
      </c>
      <c r="AG16" s="83">
        <f>BV16+SCENARIU!$C$20+SCENARIU!$D$20+'AJUSTĂRI PE PRODUS'!$J$22+'AJUSTĂRI PE PRODUS'!$O$22</f>
        <v>10.49</v>
      </c>
      <c r="AH16" s="86">
        <f>IF(AF16="",0,AF16/(1+$E16/100)*$F16)</f>
        <v>57247.891891891893</v>
      </c>
      <c r="AI16" s="86">
        <f>IF(AG16="",0,AG16/(1+$E16/100)*$G16)</f>
        <v>18636.288288288288</v>
      </c>
      <c r="AJ16" s="86">
        <f>AH16+AI16</f>
        <v>75884.180180180178</v>
      </c>
      <c r="AK16" s="87">
        <f>IF(OR(AJ16=0,$L16=0),"",$L16/AJ16)</f>
        <v>0.58918042211487764</v>
      </c>
      <c r="AL16" s="87">
        <f>IF(OR(AH16=0,$J16=0),"",$J16/AH16)</f>
        <v>0.63368749986648854</v>
      </c>
      <c r="AM16" s="87">
        <f>IF(OR(AI16=0,$K16=0),"",$K16/AI16)</f>
        <v>0.45246133212583406</v>
      </c>
      <c r="AN16" s="83">
        <f>BW16+SCENARIU!$C$20+SCENARIU!$D$20+SCENARIU!$E$20+'AJUSTĂRI PE PRODUS'!$I$22+'AJUSTĂRI PE PRODUS'!$N$22+'AJUSTĂRI PE PRODUS'!$S$22</f>
        <v>7.49</v>
      </c>
      <c r="AO16" s="83">
        <f>BX16+SCENARIU!$C$20+SCENARIU!$D$20+SCENARIU!$E$20+'AJUSTĂRI PE PRODUS'!$J$22+'AJUSTĂRI PE PRODUS'!$O$22+'AJUSTĂRI PE PRODUS'!$T$22</f>
        <v>10.49</v>
      </c>
      <c r="AP16" s="88">
        <f>IF(AN16="",0,AN16/(1+$E16/100)*$F16)</f>
        <v>57247.891891891893</v>
      </c>
      <c r="AQ16" s="88">
        <f>IF(AO16="",0,AO16/(1+$E16/100)*$G16)</f>
        <v>18636.288288288288</v>
      </c>
      <c r="AR16" s="88">
        <f>AP16+AQ16</f>
        <v>75884.180180180178</v>
      </c>
      <c r="AS16" s="89">
        <f>IF(OR(AR16=0,$L16=0),"",$L16/AR16)</f>
        <v>0.58918042211487764</v>
      </c>
      <c r="AT16" s="89">
        <f>IF(OR(AP16=0,$J16=0),"",$J16/AP16)</f>
        <v>0.63368749986648854</v>
      </c>
      <c r="AU16" s="89">
        <f>IF(OR(AQ16=0,$K16=0),"",$K16/AQ16)</f>
        <v>0.45246133212583406</v>
      </c>
      <c r="AV16" s="83">
        <f>BY16+SCENARIU!$C$20+SCENARIU!$D$20+SCENARIU!$E$20+SCENARIU!$F$20+'AJUSTĂRI PE PRODUS'!$I$22+'AJUSTĂRI PE PRODUS'!$N$22+'AJUSTĂRI PE PRODUS'!$S$22+'AJUSTĂRI PE PRODUS'!$X$22</f>
        <v>7.99</v>
      </c>
      <c r="AW16" s="83">
        <f>BZ16+SCENARIU!$C$20+SCENARIU!$D$20+SCENARIU!$E$20+SCENARIU!$F$20+'AJUSTĂRI PE PRODUS'!$J$22+'AJUSTĂRI PE PRODUS'!$O$22+'AJUSTĂRI PE PRODUS'!$T$22+'AJUSTĂRI PE PRODUS'!$Y$22</f>
        <v>10.99</v>
      </c>
      <c r="AX16" s="90">
        <f>IF(AV16="",0,AV16/(1+$E16/100)*$F16)</f>
        <v>61069.513513513513</v>
      </c>
      <c r="AY16" s="90">
        <f>IF(AW16="",0,AW16/(1+$E16/100)*$G16)</f>
        <v>19524.576576576575</v>
      </c>
      <c r="AZ16" s="90">
        <f>AX16+AY16</f>
        <v>80594.090090090089</v>
      </c>
      <c r="BA16" s="91">
        <f>IF(OR(AZ16=0,$L16=0),"",$L16/AZ16)</f>
        <v>0.55474878195687327</v>
      </c>
      <c r="BB16" s="91">
        <f>IF(OR(AX16=0,$J16=0),"",$J16/AX16)</f>
        <v>0.59403246232790985</v>
      </c>
      <c r="BC16" s="91">
        <f>IF(OR(AY16=0,$K16=0),"",$K16/AY16)</f>
        <v>0.43187619417652406</v>
      </c>
      <c r="BD16" s="92">
        <f>IF(OR($N16="",P16=""),"",P16-$N16)</f>
        <v>0</v>
      </c>
      <c r="BE16" s="92">
        <f>IF(OR(P16="",X16=""),"",X16-P16)</f>
        <v>0.49000000000000021</v>
      </c>
      <c r="BF16" s="92">
        <f>IF(OR(X16="",AF16=""),"",AF16-X16)</f>
        <v>0</v>
      </c>
      <c r="BG16" s="92">
        <f>IF(OR(AF16="",AN16=""),"",AN16-AF16)</f>
        <v>0</v>
      </c>
      <c r="BH16" s="92">
        <f>IF(OR(AN16="",AV16=""),"",AV16-AN16)</f>
        <v>0.5</v>
      </c>
      <c r="BI16" s="93">
        <f>IF(OR($N16="",AV16=""),"",AV16-$N16)</f>
        <v>0.99000000000000021</v>
      </c>
      <c r="BJ16" s="92">
        <f>IF(OR($O16="",Q16=""),"",Q16-$O16)</f>
        <v>0</v>
      </c>
      <c r="BK16" s="92">
        <f>IF(OR(Q16="",Y16=""),"",Y16-Q16)</f>
        <v>0.49000000000000021</v>
      </c>
      <c r="BL16" s="92">
        <f>IF(OR(Y16="",AG16=""),"",AG16-Y16)</f>
        <v>0</v>
      </c>
      <c r="BM16" s="92">
        <f>IF(OR(AG16="",AO16=""),"",AO16-AG16)</f>
        <v>0</v>
      </c>
      <c r="BN16" s="92">
        <f>IF(OR(AO16="",AW16=""),"",AW16-AO16)</f>
        <v>0.5</v>
      </c>
      <c r="BO16" s="93">
        <f>IF(OR($O16="",AW16=""),"",AW16-$O16)</f>
        <v>0.99000000000000021</v>
      </c>
      <c r="BQ16">
        <v>7</v>
      </c>
      <c r="BR16">
        <v>10</v>
      </c>
      <c r="BS16">
        <v>7.49</v>
      </c>
      <c r="BT16">
        <v>10.49</v>
      </c>
      <c r="BU16">
        <v>7.49</v>
      </c>
      <c r="BV16">
        <v>10.49</v>
      </c>
      <c r="BW16">
        <v>7.49</v>
      </c>
      <c r="BX16">
        <v>10.49</v>
      </c>
      <c r="BY16">
        <v>7.99</v>
      </c>
      <c r="BZ16">
        <v>10.99</v>
      </c>
    </row>
    <row r="17" spans="1:78" x14ac:dyDescent="0.2">
      <c r="A17" s="26">
        <v>2</v>
      </c>
      <c r="B17" s="26" t="s">
        <v>180</v>
      </c>
      <c r="C17" s="26" t="s">
        <v>95</v>
      </c>
      <c r="D17" s="74">
        <v>1</v>
      </c>
      <c r="E17" s="75">
        <v>11</v>
      </c>
      <c r="F17" s="76">
        <v>1030</v>
      </c>
      <c r="G17" s="76">
        <v>820</v>
      </c>
      <c r="H17" s="77">
        <f>SUMIFS(RETETAR!$I$4:$I$967,RETETAR!$A$4:$A$967,$M17,RETETAR!$C$4:$C$967,"AMBELE")+SUMIFS(RETETAR!$I$4:$I$967,RETETAR!$A$4:$A$967,$M17,RETETAR!$C$4:$C$967,"INSTORE")</f>
        <v>6.312794499999999</v>
      </c>
      <c r="I17" s="77">
        <f>SUMIFS(RETETAR!$I$4:$I$967,RETETAR!$A$4:$A$967,$M17,RETETAR!$C$4:$C$967,"AMBELE")+SUMIFS(RETETAR!$I$4:$I$967,RETETAR!$A$4:$A$967,$M17,RETETAR!$C$4:$C$967,"DELIVERY")</f>
        <v>6.312794499999999</v>
      </c>
      <c r="J17" s="78">
        <f>$H17*$F17</f>
        <v>6502.1783349999987</v>
      </c>
      <c r="K17" s="78">
        <f>$I17*$G17</f>
        <v>5176.4914899999994</v>
      </c>
      <c r="L17" s="78">
        <f>$J17+$K17</f>
        <v>11678.669824999997</v>
      </c>
      <c r="M17" t="s">
        <v>180</v>
      </c>
      <c r="N17" s="79">
        <v>15</v>
      </c>
      <c r="O17" s="79">
        <v>18</v>
      </c>
      <c r="P17" s="80">
        <v>15.49</v>
      </c>
      <c r="Q17" s="80">
        <v>18.489999999999998</v>
      </c>
      <c r="R17" s="81">
        <f>IF(P17="",0,P17/(1+$E17/100)*$F17)</f>
        <v>14373.603603603602</v>
      </c>
      <c r="S17" s="81">
        <f>IF(Q17="",0,Q17/(1+$E17/100)*$G17)</f>
        <v>13659.279279279277</v>
      </c>
      <c r="T17" s="81">
        <f>R17+S17</f>
        <v>28032.882882882877</v>
      </c>
      <c r="U17" s="82">
        <f>IF(OR(T17=0,$L17=0),"",$L17/T17)</f>
        <v>0.41660609341506916</v>
      </c>
      <c r="V17" s="82">
        <f>IF(OR(R17=0,$J17=0),"",$J17/R17)</f>
        <v>0.45236939283408645</v>
      </c>
      <c r="W17" s="82">
        <f>IF(OR(S17=0,$K17=0),"",$K17/S17)</f>
        <v>0.37897252001081666</v>
      </c>
      <c r="X17" s="83">
        <f>BS17+SCENARIU!$C$20+'AJUSTĂRI PE PRODUS'!$I$40</f>
        <v>15.99</v>
      </c>
      <c r="Y17" s="83">
        <f>BT17+SCENARIU!$C$20+'AJUSTĂRI PE PRODUS'!$J$40</f>
        <v>18.989999999999998</v>
      </c>
      <c r="Z17" s="84">
        <f>IF(X17="",0,X17/(1+$E17/100)*$F17)</f>
        <v>14837.567567567565</v>
      </c>
      <c r="AA17" s="84">
        <f>IF(Y17="",0,Y17/(1+$E17/100)*$G17)</f>
        <v>14028.648648648646</v>
      </c>
      <c r="AB17" s="84">
        <f>Z17+AA17</f>
        <v>28866.216216216213</v>
      </c>
      <c r="AC17" s="85">
        <f>IF(OR(AB17=0,$L17=0),"",$L17/AB17)</f>
        <v>0.40457917094237156</v>
      </c>
      <c r="AD17" s="85">
        <f>IF(OR(Z17=0,$J17=0),"",$J17/Z17)</f>
        <v>0.43822400844277676</v>
      </c>
      <c r="AE17" s="85">
        <f>IF(OR(AA17=0,$K17=0),"",$K17/AA17)</f>
        <v>0.36899430726698262</v>
      </c>
      <c r="AF17" s="83">
        <f>BU17+SCENARIU!$C$20+SCENARIU!$D$20+'AJUSTĂRI PE PRODUS'!$I$40+'AJUSTĂRI PE PRODUS'!$N$40</f>
        <v>15.99</v>
      </c>
      <c r="AG17" s="83">
        <f>BV17+SCENARIU!$C$20+SCENARIU!$D$20+'AJUSTĂRI PE PRODUS'!$J$40+'AJUSTĂRI PE PRODUS'!$O$40</f>
        <v>18.989999999999998</v>
      </c>
      <c r="AH17" s="86">
        <f>IF(AF17="",0,AF17/(1+$E17/100)*$F17)</f>
        <v>14837.567567567565</v>
      </c>
      <c r="AI17" s="86">
        <f>IF(AG17="",0,AG17/(1+$E17/100)*$G17)</f>
        <v>14028.648648648646</v>
      </c>
      <c r="AJ17" s="86">
        <f>AH17+AI17</f>
        <v>28866.216216216213</v>
      </c>
      <c r="AK17" s="87">
        <f>IF(OR(AJ17=0,$L17=0),"",$L17/AJ17)</f>
        <v>0.40457917094237156</v>
      </c>
      <c r="AL17" s="87">
        <f>IF(OR(AH17=0,$J17=0),"",$J17/AH17)</f>
        <v>0.43822400844277676</v>
      </c>
      <c r="AM17" s="87">
        <f>IF(OR(AI17=0,$K17=0),"",$K17/AI17)</f>
        <v>0.36899430726698262</v>
      </c>
      <c r="AN17" s="83">
        <f>BW17+SCENARIU!$C$20+SCENARIU!$D$20+SCENARIU!$E$20+'AJUSTĂRI PE PRODUS'!$I$40+'AJUSTĂRI PE PRODUS'!$N$40+'AJUSTĂRI PE PRODUS'!$S$40</f>
        <v>15.99</v>
      </c>
      <c r="AO17" s="83">
        <f>BX17+SCENARIU!$C$20+SCENARIU!$D$20+SCENARIU!$E$20+'AJUSTĂRI PE PRODUS'!$J$40+'AJUSTĂRI PE PRODUS'!$O$40+'AJUSTĂRI PE PRODUS'!$T$40</f>
        <v>18.989999999999998</v>
      </c>
      <c r="AP17" s="88">
        <f>IF(AN17="",0,AN17/(1+$E17/100)*$F17)</f>
        <v>14837.567567567565</v>
      </c>
      <c r="AQ17" s="88">
        <f>IF(AO17="",0,AO17/(1+$E17/100)*$G17)</f>
        <v>14028.648648648646</v>
      </c>
      <c r="AR17" s="88">
        <f>AP17+AQ17</f>
        <v>28866.216216216213</v>
      </c>
      <c r="AS17" s="89">
        <f>IF(OR(AR17=0,$L17=0),"",$L17/AR17)</f>
        <v>0.40457917094237156</v>
      </c>
      <c r="AT17" s="89">
        <f>IF(OR(AP17=0,$J17=0),"",$J17/AP17)</f>
        <v>0.43822400844277676</v>
      </c>
      <c r="AU17" s="89">
        <f>IF(OR(AQ17=0,$K17=0),"",$K17/AQ17)</f>
        <v>0.36899430726698262</v>
      </c>
      <c r="AV17" s="83">
        <f>BY17+SCENARIU!$C$20+SCENARIU!$D$20+SCENARIU!$E$20+SCENARIU!$F$20+'AJUSTĂRI PE PRODUS'!$I$40+'AJUSTĂRI PE PRODUS'!$N$40+'AJUSTĂRI PE PRODUS'!$S$40+'AJUSTĂRI PE PRODUS'!$X$40</f>
        <v>16.489999999999998</v>
      </c>
      <c r="AW17" s="83">
        <f>BZ17+SCENARIU!$C$20+SCENARIU!$D$20+SCENARIU!$E$20+SCENARIU!$F$20+'AJUSTĂRI PE PRODUS'!$J$40+'AJUSTĂRI PE PRODUS'!$O$40+'AJUSTĂRI PE PRODUS'!$T$40+'AJUSTĂRI PE PRODUS'!$Y$40</f>
        <v>19.489999999999998</v>
      </c>
      <c r="AX17" s="90">
        <f>IF(AV17="",0,AV17/(1+$E17/100)*$F17)</f>
        <v>15301.531531531529</v>
      </c>
      <c r="AY17" s="90">
        <f>IF(AW17="",0,AW17/(1+$E17/100)*$G17)</f>
        <v>14398.018018018016</v>
      </c>
      <c r="AZ17" s="90">
        <f>AX17+AY17</f>
        <v>29699.549549549545</v>
      </c>
      <c r="BA17" s="91">
        <f>IF(OR(AZ17=0,$L17=0),"",$L17/AZ17)</f>
        <v>0.39322717018033454</v>
      </c>
      <c r="BB17" s="91">
        <f>IF(OR(AX17=0,$J17=0),"",$J17/AX17)</f>
        <v>0.4249364399636143</v>
      </c>
      <c r="BC17" s="91">
        <f>IF(OR(AY17=0,$K17=0),"",$K17/AY17)</f>
        <v>0.35952806028732687</v>
      </c>
      <c r="BD17" s="92">
        <f>IF(OR($N17="",P17=""),"",P17-$N17)</f>
        <v>0.49000000000000021</v>
      </c>
      <c r="BE17" s="92">
        <f>IF(OR(P17="",X17=""),"",X17-P17)</f>
        <v>0.5</v>
      </c>
      <c r="BF17" s="92">
        <f>IF(OR(X17="",AF17=""),"",AF17-X17)</f>
        <v>0</v>
      </c>
      <c r="BG17" s="92">
        <f>IF(OR(AF17="",AN17=""),"",AN17-AF17)</f>
        <v>0</v>
      </c>
      <c r="BH17" s="92">
        <f>IF(OR(AN17="",AV17=""),"",AV17-AN17)</f>
        <v>0.49999999999999822</v>
      </c>
      <c r="BI17" s="93">
        <f>IF(OR($N17="",AV17=""),"",AV17-$N17)</f>
        <v>1.4899999999999984</v>
      </c>
      <c r="BJ17" s="92">
        <f>IF(OR($O17="",Q17=""),"",Q17-$O17)</f>
        <v>0.48999999999999844</v>
      </c>
      <c r="BK17" s="92">
        <f>IF(OR(Q17="",Y17=""),"",Y17-Q17)</f>
        <v>0.5</v>
      </c>
      <c r="BL17" s="92">
        <f>IF(OR(Y17="",AG17=""),"",AG17-Y17)</f>
        <v>0</v>
      </c>
      <c r="BM17" s="92">
        <f>IF(OR(AG17="",AO17=""),"",AO17-AG17)</f>
        <v>0</v>
      </c>
      <c r="BN17" s="92">
        <f>IF(OR(AO17="",AW17=""),"",AW17-AO17)</f>
        <v>0.5</v>
      </c>
      <c r="BO17" s="93">
        <f>IF(OR($O17="",AW17=""),"",AW17-$O17)</f>
        <v>1.4899999999999984</v>
      </c>
      <c r="BQ17">
        <v>15.49</v>
      </c>
      <c r="BR17">
        <v>18.489999999999998</v>
      </c>
      <c r="BS17">
        <v>15.99</v>
      </c>
      <c r="BT17">
        <v>18.989999999999998</v>
      </c>
      <c r="BU17">
        <v>15.99</v>
      </c>
      <c r="BV17">
        <v>18.989999999999998</v>
      </c>
      <c r="BW17">
        <v>15.99</v>
      </c>
      <c r="BX17">
        <v>18.989999999999998</v>
      </c>
      <c r="BY17">
        <v>16.489999999999998</v>
      </c>
      <c r="BZ17">
        <v>19.489999999999998</v>
      </c>
    </row>
    <row r="18" spans="1:78" x14ac:dyDescent="0.2">
      <c r="A18" s="26">
        <v>3</v>
      </c>
      <c r="B18" s="26" t="s">
        <v>293</v>
      </c>
      <c r="C18" s="26" t="s">
        <v>95</v>
      </c>
      <c r="D18" s="74">
        <v>1</v>
      </c>
      <c r="E18" s="75">
        <v>11</v>
      </c>
      <c r="F18" s="76">
        <v>70</v>
      </c>
      <c r="G18" s="76">
        <v>0</v>
      </c>
      <c r="H18" s="77">
        <f>SUMIFS(RETETAR!$I$4:$I$967,RETETAR!$A$4:$A$967,$M18,RETETAR!$C$4:$C$967,"AMBELE")+SUMIFS(RETETAR!$I$4:$I$967,RETETAR!$A$4:$A$967,$M18,RETETAR!$C$4:$C$967,"INSTORE")</f>
        <v>7.8007356999999988</v>
      </c>
      <c r="I18" s="77">
        <f>SUMIFS(RETETAR!$I$4:$I$967,RETETAR!$A$4:$A$967,$M18,RETETAR!$C$4:$C$967,"AMBELE")+SUMIFS(RETETAR!$I$4:$I$967,RETETAR!$A$4:$A$967,$M18,RETETAR!$C$4:$C$967,"DELIVERY")</f>
        <v>7.8007356999999988</v>
      </c>
      <c r="J18" s="78">
        <f>$H18*$F18</f>
        <v>546.05149899999992</v>
      </c>
      <c r="K18" s="78">
        <f>$I18*$G18</f>
        <v>0</v>
      </c>
      <c r="L18" s="78">
        <f>$J18+$K18</f>
        <v>546.05149899999992</v>
      </c>
      <c r="M18" t="s">
        <v>293</v>
      </c>
      <c r="N18" s="79">
        <v>20</v>
      </c>
      <c r="O18" s="79"/>
      <c r="P18" s="80">
        <v>20.99</v>
      </c>
      <c r="Q18" s="80"/>
      <c r="R18" s="81">
        <f>IF(P18="",0,P18/(1+$E18/100)*$F18)</f>
        <v>1323.6936936936934</v>
      </c>
      <c r="S18" s="81">
        <f>IF(Q18="",0,Q18/(1+$E18/100)*$G18)</f>
        <v>0</v>
      </c>
      <c r="T18" s="81">
        <f>R18+S18</f>
        <v>1323.6936936936934</v>
      </c>
      <c r="U18" s="82">
        <f>IF(OR(T18=0,$L18=0),"",$L18/T18)</f>
        <v>0.41252103987613153</v>
      </c>
      <c r="V18" s="82">
        <f>IF(OR(R18=0,$J18=0),"",$J18/R18)</f>
        <v>0.41252103987613153</v>
      </c>
      <c r="W18" s="82" t="str">
        <f>IF(OR(S18=0,$K18=0),"",$K18/S18)</f>
        <v/>
      </c>
      <c r="X18" s="83">
        <f>BS18+SCENARIU!$C$20+'AJUSTĂRI PE PRODUS'!$I$159</f>
        <v>21.49</v>
      </c>
      <c r="Y18" s="83"/>
      <c r="Z18" s="84">
        <f>IF(X18="",0,X18/(1+$E18/100)*$F18)</f>
        <v>1355.2252252252249</v>
      </c>
      <c r="AA18" s="84">
        <f>IF(Y18="",0,Y18/(1+$E18/100)*$G18)</f>
        <v>0</v>
      </c>
      <c r="AB18" s="84">
        <f>Z18+AA18</f>
        <v>1355.2252252252249</v>
      </c>
      <c r="AC18" s="85">
        <f>IF(OR(AB18=0,$L18=0),"",$L18/AB18)</f>
        <v>0.40292306314564919</v>
      </c>
      <c r="AD18" s="85">
        <f>IF(OR(Z18=0,$J18=0),"",$J18/Z18)</f>
        <v>0.40292306314564919</v>
      </c>
      <c r="AE18" s="85" t="str">
        <f>IF(OR(AA18=0,$K18=0),"",$K18/AA18)</f>
        <v/>
      </c>
      <c r="AF18" s="83">
        <f>BU18+SCENARIU!$C$20+SCENARIU!$D$20+'AJUSTĂRI PE PRODUS'!$I$159+'AJUSTĂRI PE PRODUS'!$N$159</f>
        <v>21.49</v>
      </c>
      <c r="AG18" s="83"/>
      <c r="AH18" s="86">
        <f>IF(AF18="",0,AF18/(1+$E18/100)*$F18)</f>
        <v>1355.2252252252249</v>
      </c>
      <c r="AI18" s="86">
        <f>IF(AG18="",0,AG18/(1+$E18/100)*$G18)</f>
        <v>0</v>
      </c>
      <c r="AJ18" s="86">
        <f>AH18+AI18</f>
        <v>1355.2252252252249</v>
      </c>
      <c r="AK18" s="87">
        <f>IF(OR(AJ18=0,$L18=0),"",$L18/AJ18)</f>
        <v>0.40292306314564919</v>
      </c>
      <c r="AL18" s="87">
        <f>IF(OR(AH18=0,$J18=0),"",$J18/AH18)</f>
        <v>0.40292306314564919</v>
      </c>
      <c r="AM18" s="87" t="str">
        <f>IF(OR(AI18=0,$K18=0),"",$K18/AI18)</f>
        <v/>
      </c>
      <c r="AN18" s="83">
        <f>BW18+SCENARIU!$C$20+SCENARIU!$D$20+SCENARIU!$E$20+'AJUSTĂRI PE PRODUS'!$I$159+'AJUSTĂRI PE PRODUS'!$N$159+'AJUSTĂRI PE PRODUS'!$S$159</f>
        <v>21.49</v>
      </c>
      <c r="AO18" s="83"/>
      <c r="AP18" s="88">
        <f>IF(AN18="",0,AN18/(1+$E18/100)*$F18)</f>
        <v>1355.2252252252249</v>
      </c>
      <c r="AQ18" s="88">
        <f>IF(AO18="",0,AO18/(1+$E18/100)*$G18)</f>
        <v>0</v>
      </c>
      <c r="AR18" s="88">
        <f>AP18+AQ18</f>
        <v>1355.2252252252249</v>
      </c>
      <c r="AS18" s="89">
        <f>IF(OR(AR18=0,$L18=0),"",$L18/AR18)</f>
        <v>0.40292306314564919</v>
      </c>
      <c r="AT18" s="89">
        <f>IF(OR(AP18=0,$J18=0),"",$J18/AP18)</f>
        <v>0.40292306314564919</v>
      </c>
      <c r="AU18" s="89" t="str">
        <f>IF(OR(AQ18=0,$K18=0),"",$K18/AQ18)</f>
        <v/>
      </c>
      <c r="AV18" s="83">
        <f>BY18+SCENARIU!$C$20+SCENARIU!$D$20+SCENARIU!$E$20+SCENARIU!$F$20+'AJUSTĂRI PE PRODUS'!$I$159+'AJUSTĂRI PE PRODUS'!$N$159+'AJUSTĂRI PE PRODUS'!$S$159+'AJUSTĂRI PE PRODUS'!$X$159</f>
        <v>21.99</v>
      </c>
      <c r="AW18" s="83"/>
      <c r="AX18" s="90">
        <f>IF(AV18="",0,AV18/(1+$E18/100)*$F18)</f>
        <v>1386.7567567567564</v>
      </c>
      <c r="AY18" s="90">
        <f>IF(AW18="",0,AW18/(1+$E18/100)*$G18)</f>
        <v>0</v>
      </c>
      <c r="AZ18" s="90">
        <f>AX18+AY18</f>
        <v>1386.7567567567564</v>
      </c>
      <c r="BA18" s="91">
        <f>IF(OR(AZ18=0,$L18=0),"",$L18/AZ18)</f>
        <v>0.39376155648021832</v>
      </c>
      <c r="BB18" s="91">
        <f>IF(OR(AX18=0,$J18=0),"",$J18/AX18)</f>
        <v>0.39376155648021832</v>
      </c>
      <c r="BC18" s="91" t="str">
        <f>IF(OR(AY18=0,$K18=0),"",$K18/AY18)</f>
        <v/>
      </c>
      <c r="BD18" s="92">
        <f>IF(OR($N18="",P18=""),"",P18-$N18)</f>
        <v>0.98999999999999844</v>
      </c>
      <c r="BE18" s="92">
        <f>IF(OR(P18="",X18=""),"",X18-P18)</f>
        <v>0.5</v>
      </c>
      <c r="BF18" s="92">
        <f>IF(OR(X18="",AF18=""),"",AF18-X18)</f>
        <v>0</v>
      </c>
      <c r="BG18" s="92">
        <f>IF(OR(AF18="",AN18=""),"",AN18-AF18)</f>
        <v>0</v>
      </c>
      <c r="BH18" s="92">
        <f>IF(OR(AN18="",AV18=""),"",AV18-AN18)</f>
        <v>0.5</v>
      </c>
      <c r="BI18" s="93">
        <f>IF(OR($N18="",AV18=""),"",AV18-$N18)</f>
        <v>1.9899999999999984</v>
      </c>
      <c r="BJ18" s="92" t="str">
        <f>IF(OR($O18="",Q18=""),"",Q18-$O18)</f>
        <v/>
      </c>
      <c r="BK18" s="92" t="str">
        <f>IF(OR(Q18="",Y18=""),"",Y18-Q18)</f>
        <v/>
      </c>
      <c r="BL18" s="92" t="str">
        <f>IF(OR(Y18="",AG18=""),"",AG18-Y18)</f>
        <v/>
      </c>
      <c r="BM18" s="92" t="str">
        <f>IF(OR(AG18="",AO18=""),"",AO18-AG18)</f>
        <v/>
      </c>
      <c r="BN18" s="92" t="str">
        <f>IF(OR(AO18="",AW18=""),"",AW18-AO18)</f>
        <v/>
      </c>
      <c r="BO18" s="93" t="str">
        <f>IF(OR($O18="",AW18=""),"",AW18-$O18)</f>
        <v/>
      </c>
      <c r="BQ18">
        <v>20.99</v>
      </c>
      <c r="BS18">
        <v>21.49</v>
      </c>
      <c r="BU18">
        <v>21.49</v>
      </c>
      <c r="BW18">
        <v>21.49</v>
      </c>
      <c r="BY18">
        <v>21.99</v>
      </c>
    </row>
    <row r="19" spans="1:78" x14ac:dyDescent="0.2">
      <c r="A19" s="94" t="s">
        <v>432</v>
      </c>
      <c r="B19" s="95"/>
      <c r="C19" s="95"/>
      <c r="D19" s="95"/>
      <c r="E19" s="95"/>
      <c r="F19" s="95"/>
      <c r="G19" s="95"/>
      <c r="H19" s="95"/>
      <c r="I19" s="95"/>
      <c r="J19" s="95"/>
      <c r="K19" s="95"/>
      <c r="L19" s="96">
        <f>SUM(L16:L18)</f>
        <v>56934.194634399988</v>
      </c>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row>
    <row r="20" spans="1:78" x14ac:dyDescent="0.2">
      <c r="A20" s="72" t="s">
        <v>96</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78" x14ac:dyDescent="0.2">
      <c r="A21" s="26">
        <v>1</v>
      </c>
      <c r="B21" s="26" t="s">
        <v>143</v>
      </c>
      <c r="C21" s="26" t="s">
        <v>96</v>
      </c>
      <c r="D21" s="74">
        <v>1</v>
      </c>
      <c r="E21" s="75">
        <v>11</v>
      </c>
      <c r="F21" s="76">
        <v>6175</v>
      </c>
      <c r="G21" s="76">
        <v>3718</v>
      </c>
      <c r="H21" s="77">
        <f>SUMIFS(RETETAR!$I$4:$I$967,RETETAR!$A$4:$A$967,$M21,RETETAR!$C$4:$C$967,"AMBELE")+SUMIFS(RETETAR!$I$4:$I$967,RETETAR!$A$4:$A$967,$M21,RETETAR!$C$4:$C$967,"INSTORE")</f>
        <v>12.687890400000001</v>
      </c>
      <c r="I21" s="77">
        <f>SUMIFS(RETETAR!$I$4:$I$967,RETETAR!$A$4:$A$967,$M21,RETETAR!$C$4:$C$967,"AMBELE")+SUMIFS(RETETAR!$I$4:$I$967,RETETAR!$A$4:$A$967,$M21,RETETAR!$C$4:$C$967,"DELIVERY")</f>
        <v>12.687890400000001</v>
      </c>
      <c r="J21" s="78">
        <f t="shared" ref="J21:J27" si="45">$H21*$F21</f>
        <v>78347.72322</v>
      </c>
      <c r="K21" s="78">
        <f t="shared" ref="K21:K27" si="46">$I21*$G21</f>
        <v>47173.576507199999</v>
      </c>
      <c r="L21" s="78">
        <f t="shared" ref="L21:L27" si="47">$J21+$K21</f>
        <v>125521.29972720001</v>
      </c>
      <c r="M21" t="s">
        <v>143</v>
      </c>
      <c r="N21" s="79">
        <v>26.99</v>
      </c>
      <c r="O21" s="79">
        <v>30.5</v>
      </c>
      <c r="P21" s="80">
        <v>28.99</v>
      </c>
      <c r="Q21" s="80">
        <v>32.49</v>
      </c>
      <c r="R21" s="81">
        <f t="shared" ref="R21:R27" si="48">IF(P21="",0,P21/(1+$E21/100)*$F21)</f>
        <v>161273.1981981982</v>
      </c>
      <c r="S21" s="81">
        <f t="shared" ref="S21:S27" si="49">IF(Q21="",0,Q21/(1+$E21/100)*$G21)</f>
        <v>108826.86486486487</v>
      </c>
      <c r="T21" s="81">
        <f t="shared" ref="T21:T27" si="50">R21+S21</f>
        <v>270100.06306306308</v>
      </c>
      <c r="U21" s="82">
        <f t="shared" ref="U21:U27" si="51">IF(OR(T21=0,$L21=0),"",$L21/T21)</f>
        <v>0.46472147508493267</v>
      </c>
      <c r="V21" s="82">
        <f t="shared" ref="V21:V27" si="52">IF(OR(R21=0,$J21=0),"",$J21/R21)</f>
        <v>0.48580746271127978</v>
      </c>
      <c r="W21" s="82">
        <f t="shared" ref="W21:W27" si="53">IF(OR(S21=0,$K21=0),"",$K21/S21)</f>
        <v>0.43347363324099719</v>
      </c>
      <c r="X21" s="83">
        <f>BS21+SCENARIU!$C$21+'AJUSTĂRI PE PRODUS'!$I$7</f>
        <v>29.49</v>
      </c>
      <c r="Y21" s="83">
        <f>BT21+SCENARIU!$C$21+'AJUSTĂRI PE PRODUS'!$J$7</f>
        <v>32.99</v>
      </c>
      <c r="Z21" s="84">
        <f t="shared" ref="Z21:Z27" si="54">IF(X21="",0,X21/(1+$E21/100)*$F21)</f>
        <v>164054.7297297297</v>
      </c>
      <c r="AA21" s="84">
        <f t="shared" ref="AA21:AA27" si="55">IF(Y21="",0,Y21/(1+$E21/100)*$G21)</f>
        <v>110501.63963963964</v>
      </c>
      <c r="AB21" s="84">
        <f t="shared" ref="AB21:AB27" si="56">Z21+AA21</f>
        <v>274556.36936936935</v>
      </c>
      <c r="AC21" s="85">
        <f t="shared" ref="AC21:AC27" si="57">IF(OR(AB21=0,$L21=0),"",$L21/AB21)</f>
        <v>0.45717861150156835</v>
      </c>
      <c r="AD21" s="85">
        <f t="shared" ref="AD21:AD27" si="58">IF(OR(Z21=0,$J21=0),"",$J21/Z21)</f>
        <v>0.47757064577823</v>
      </c>
      <c r="AE21" s="85">
        <f t="shared" ref="AE21:AE27" si="59">IF(OR(AA21=0,$K21=0),"",$K21/AA21)</f>
        <v>0.42690386007881176</v>
      </c>
      <c r="AF21" s="83">
        <f>BU21+SCENARIU!$C$21+SCENARIU!$D$21+'AJUSTĂRI PE PRODUS'!$I$7+'AJUSTĂRI PE PRODUS'!$N$7</f>
        <v>29.49</v>
      </c>
      <c r="AG21" s="83">
        <f>BV21+SCENARIU!$C$21+SCENARIU!$D$21+'AJUSTĂRI PE PRODUS'!$J$7+'AJUSTĂRI PE PRODUS'!$O$7</f>
        <v>32.99</v>
      </c>
      <c r="AH21" s="86">
        <f t="shared" ref="AH21:AH27" si="60">IF(AF21="",0,AF21/(1+$E21/100)*$F21)</f>
        <v>164054.7297297297</v>
      </c>
      <c r="AI21" s="86">
        <f t="shared" ref="AI21:AI27" si="61">IF(AG21="",0,AG21/(1+$E21/100)*$G21)</f>
        <v>110501.63963963964</v>
      </c>
      <c r="AJ21" s="86">
        <f t="shared" ref="AJ21:AJ27" si="62">AH21+AI21</f>
        <v>274556.36936936935</v>
      </c>
      <c r="AK21" s="87">
        <f t="shared" ref="AK21:AK27" si="63">IF(OR(AJ21=0,$L21=0),"",$L21/AJ21)</f>
        <v>0.45717861150156835</v>
      </c>
      <c r="AL21" s="87">
        <f t="shared" ref="AL21:AL27" si="64">IF(OR(AH21=0,$J21=0),"",$J21/AH21)</f>
        <v>0.47757064577823</v>
      </c>
      <c r="AM21" s="87">
        <f t="shared" ref="AM21:AM27" si="65">IF(OR(AI21=0,$K21=0),"",$K21/AI21)</f>
        <v>0.42690386007881176</v>
      </c>
      <c r="AN21" s="83">
        <f>BW21+SCENARIU!$C$21+SCENARIU!$D$21+SCENARIU!$E$21+'AJUSTĂRI PE PRODUS'!$I$7+'AJUSTĂRI PE PRODUS'!$N$7+'AJUSTĂRI PE PRODUS'!$S$7</f>
        <v>29.99</v>
      </c>
      <c r="AO21" s="83">
        <f>BX21+SCENARIU!$C$21+SCENARIU!$D$21+SCENARIU!$E$21+'AJUSTĂRI PE PRODUS'!$J$7+'AJUSTĂRI PE PRODUS'!$O$7+'AJUSTĂRI PE PRODUS'!$T$7</f>
        <v>33.49</v>
      </c>
      <c r="AP21" s="88">
        <f t="shared" ref="AP21:AP27" si="66">IF(AN21="",0,AN21/(1+$E21/100)*$F21)</f>
        <v>166836.26126126124</v>
      </c>
      <c r="AQ21" s="88">
        <f t="shared" ref="AQ21:AQ27" si="67">IF(AO21="",0,AO21/(1+$E21/100)*$G21)</f>
        <v>112176.41441441441</v>
      </c>
      <c r="AR21" s="88">
        <f t="shared" ref="AR21:AR27" si="68">AP21+AQ21</f>
        <v>279012.67567567562</v>
      </c>
      <c r="AS21" s="89">
        <f t="shared" ref="AS21:AS27" si="69">IF(OR(AR21=0,$L21=0),"",$L21/AR21)</f>
        <v>0.44987669260269014</v>
      </c>
      <c r="AT21" s="89">
        <f t="shared" ref="AT21:AT27" si="70">IF(OR(AP21=0,$J21=0),"",$J21/AP21)</f>
        <v>0.46960848096032015</v>
      </c>
      <c r="AU21" s="89">
        <f t="shared" ref="AU21:AU27" si="71">IF(OR(AQ21=0,$K21=0),"",$K21/AQ21)</f>
        <v>0.42053025810689759</v>
      </c>
      <c r="AV21" s="83">
        <f>BY21+SCENARIU!$C$21+SCENARIU!$D$21+SCENARIU!$E$21+SCENARIU!$F$21+'AJUSTĂRI PE PRODUS'!$I$7+'AJUSTĂRI PE PRODUS'!$N$7+'AJUSTĂRI PE PRODUS'!$S$7+'AJUSTĂRI PE PRODUS'!$X$7</f>
        <v>29.99</v>
      </c>
      <c r="AW21" s="83">
        <f>BZ21+SCENARIU!$C$21+SCENARIU!$D$21+SCENARIU!$E$21+SCENARIU!$F$21+'AJUSTĂRI PE PRODUS'!$J$7+'AJUSTĂRI PE PRODUS'!$O$7+'AJUSTĂRI PE PRODUS'!$T$7+'AJUSTĂRI PE PRODUS'!$Y$7</f>
        <v>33.49</v>
      </c>
      <c r="AX21" s="90">
        <f t="shared" ref="AX21:AX27" si="72">IF(AV21="",0,AV21/(1+$E21/100)*$F21)</f>
        <v>166836.26126126124</v>
      </c>
      <c r="AY21" s="90">
        <f t="shared" ref="AY21:AY27" si="73">IF(AW21="",0,AW21/(1+$E21/100)*$G21)</f>
        <v>112176.41441441441</v>
      </c>
      <c r="AZ21" s="90">
        <f t="shared" ref="AZ21:AZ27" si="74">AX21+AY21</f>
        <v>279012.67567567562</v>
      </c>
      <c r="BA21" s="91">
        <f t="shared" ref="BA21:BA27" si="75">IF(OR(AZ21=0,$L21=0),"",$L21/AZ21)</f>
        <v>0.44987669260269014</v>
      </c>
      <c r="BB21" s="91">
        <f t="shared" ref="BB21:BB27" si="76">IF(OR(AX21=0,$J21=0),"",$J21/AX21)</f>
        <v>0.46960848096032015</v>
      </c>
      <c r="BC21" s="91">
        <f t="shared" ref="BC21:BC27" si="77">IF(OR(AY21=0,$K21=0),"",$K21/AY21)</f>
        <v>0.42053025810689759</v>
      </c>
      <c r="BD21" s="92">
        <f t="shared" ref="BD21:BD27" si="78">IF(OR($N21="",P21=""),"",P21-$N21)</f>
        <v>2</v>
      </c>
      <c r="BE21" s="92">
        <f t="shared" ref="BE21:BE27" si="79">IF(OR(P21="",X21=""),"",X21-P21)</f>
        <v>0.5</v>
      </c>
      <c r="BF21" s="92">
        <f t="shared" ref="BF21:BF27" si="80">IF(OR(X21="",AF21=""),"",AF21-X21)</f>
        <v>0</v>
      </c>
      <c r="BG21" s="92">
        <f t="shared" ref="BG21:BG27" si="81">IF(OR(AF21="",AN21=""),"",AN21-AF21)</f>
        <v>0.5</v>
      </c>
      <c r="BH21" s="92">
        <f t="shared" ref="BH21:BH27" si="82">IF(OR(AN21="",AV21=""),"",AV21-AN21)</f>
        <v>0</v>
      </c>
      <c r="BI21" s="93">
        <f t="shared" ref="BI21:BI27" si="83">IF(OR($N21="",AV21=""),"",AV21-$N21)</f>
        <v>3</v>
      </c>
      <c r="BJ21" s="92">
        <f t="shared" ref="BJ21:BJ27" si="84">IF(OR($O21="",Q21=""),"",Q21-$O21)</f>
        <v>1.990000000000002</v>
      </c>
      <c r="BK21" s="92">
        <f t="shared" ref="BK21:BK27" si="85">IF(OR(Q21="",Y21=""),"",Y21-Q21)</f>
        <v>0.5</v>
      </c>
      <c r="BL21" s="92">
        <f t="shared" ref="BL21:BL27" si="86">IF(OR(Y21="",AG21=""),"",AG21-Y21)</f>
        <v>0</v>
      </c>
      <c r="BM21" s="92">
        <f t="shared" ref="BM21:BM27" si="87">IF(OR(AG21="",AO21=""),"",AO21-AG21)</f>
        <v>0.5</v>
      </c>
      <c r="BN21" s="92">
        <f t="shared" ref="BN21:BN27" si="88">IF(OR(AO21="",AW21=""),"",AW21-AO21)</f>
        <v>0</v>
      </c>
      <c r="BO21" s="93">
        <f t="shared" ref="BO21:BO27" si="89">IF(OR($O21="",AW21=""),"",AW21-$O21)</f>
        <v>2.990000000000002</v>
      </c>
      <c r="BQ21">
        <v>28.99</v>
      </c>
      <c r="BR21">
        <v>32.49</v>
      </c>
      <c r="BS21">
        <v>29.49</v>
      </c>
      <c r="BT21">
        <v>32.99</v>
      </c>
      <c r="BU21">
        <v>29.49</v>
      </c>
      <c r="BV21">
        <v>32.99</v>
      </c>
      <c r="BW21">
        <v>29.99</v>
      </c>
      <c r="BX21">
        <v>33.49</v>
      </c>
      <c r="BY21">
        <v>29.99</v>
      </c>
      <c r="BZ21">
        <v>33.49</v>
      </c>
    </row>
    <row r="22" spans="1:78" x14ac:dyDescent="0.2">
      <c r="A22" s="26">
        <v>2</v>
      </c>
      <c r="B22" s="26" t="s">
        <v>145</v>
      </c>
      <c r="C22" s="26" t="s">
        <v>96</v>
      </c>
      <c r="D22" s="74">
        <v>1</v>
      </c>
      <c r="E22" s="75">
        <v>11</v>
      </c>
      <c r="F22" s="76">
        <v>5163</v>
      </c>
      <c r="G22" s="76">
        <v>2418</v>
      </c>
      <c r="H22" s="77">
        <f>SUMIFS(RETETAR!$I$4:$I$967,RETETAR!$A$4:$A$967,$M22,RETETAR!$C$4:$C$967,"AMBELE")+SUMIFS(RETETAR!$I$4:$I$967,RETETAR!$A$4:$A$967,$M22,RETETAR!$C$4:$C$967,"INSTORE")</f>
        <v>13.3660652</v>
      </c>
      <c r="I22" s="77">
        <f>SUMIFS(RETETAR!$I$4:$I$967,RETETAR!$A$4:$A$967,$M22,RETETAR!$C$4:$C$967,"AMBELE")+SUMIFS(RETETAR!$I$4:$I$967,RETETAR!$A$4:$A$967,$M22,RETETAR!$C$4:$C$967,"DELIVERY")</f>
        <v>13.3660652</v>
      </c>
      <c r="J22" s="78">
        <f t="shared" si="45"/>
        <v>69008.994627599997</v>
      </c>
      <c r="K22" s="78">
        <f t="shared" si="46"/>
        <v>32319.145653600001</v>
      </c>
      <c r="L22" s="78">
        <f t="shared" si="47"/>
        <v>101328.1402812</v>
      </c>
      <c r="M22" t="s">
        <v>145</v>
      </c>
      <c r="N22" s="79">
        <v>28</v>
      </c>
      <c r="O22" s="79">
        <v>31</v>
      </c>
      <c r="P22" s="80">
        <v>29.99</v>
      </c>
      <c r="Q22" s="80">
        <v>32.99</v>
      </c>
      <c r="R22" s="81">
        <f t="shared" si="48"/>
        <v>139494.02702702701</v>
      </c>
      <c r="S22" s="81">
        <f t="shared" si="49"/>
        <v>71864.702702702707</v>
      </c>
      <c r="T22" s="81">
        <f t="shared" si="50"/>
        <v>211358.7297297297</v>
      </c>
      <c r="U22" s="82">
        <f t="shared" si="51"/>
        <v>0.47941308320111081</v>
      </c>
      <c r="V22" s="82">
        <f t="shared" si="52"/>
        <v>0.49470931550516845</v>
      </c>
      <c r="W22" s="82">
        <f t="shared" si="53"/>
        <v>0.44972210888147923</v>
      </c>
      <c r="X22" s="83">
        <f>BS22+SCENARIU!$C$21+'AJUSTĂRI PE PRODUS'!$I$10</f>
        <v>30.49</v>
      </c>
      <c r="Y22" s="83">
        <f>BT22+SCENARIU!$C$21+'AJUSTĂRI PE PRODUS'!$J$10</f>
        <v>33.49</v>
      </c>
      <c r="Z22" s="84">
        <f t="shared" si="54"/>
        <v>141819.70270270269</v>
      </c>
      <c r="AA22" s="84">
        <f t="shared" si="55"/>
        <v>72953.891891891893</v>
      </c>
      <c r="AB22" s="84">
        <f t="shared" si="56"/>
        <v>214773.59459459459</v>
      </c>
      <c r="AC22" s="85">
        <f t="shared" si="57"/>
        <v>0.47179049394999617</v>
      </c>
      <c r="AD22" s="85">
        <f t="shared" si="58"/>
        <v>0.48659666684158742</v>
      </c>
      <c r="AE22" s="85">
        <f t="shared" si="59"/>
        <v>0.44300783433860852</v>
      </c>
      <c r="AF22" s="83">
        <f>BU22+SCENARIU!$C$21+SCENARIU!$D$21+'AJUSTĂRI PE PRODUS'!$I$10+'AJUSTĂRI PE PRODUS'!$N$10</f>
        <v>30.49</v>
      </c>
      <c r="AG22" s="83">
        <f>BV22+SCENARIU!$C$21+SCENARIU!$D$21+'AJUSTĂRI PE PRODUS'!$J$10+'AJUSTĂRI PE PRODUS'!$O$10</f>
        <v>33.49</v>
      </c>
      <c r="AH22" s="86">
        <f t="shared" si="60"/>
        <v>141819.70270270269</v>
      </c>
      <c r="AI22" s="86">
        <f t="shared" si="61"/>
        <v>72953.891891891893</v>
      </c>
      <c r="AJ22" s="86">
        <f t="shared" si="62"/>
        <v>214773.59459459459</v>
      </c>
      <c r="AK22" s="87">
        <f t="shared" si="63"/>
        <v>0.47179049394999617</v>
      </c>
      <c r="AL22" s="87">
        <f t="shared" si="64"/>
        <v>0.48659666684158742</v>
      </c>
      <c r="AM22" s="87">
        <f t="shared" si="65"/>
        <v>0.44300783433860852</v>
      </c>
      <c r="AN22" s="83">
        <f>BW22+SCENARIU!$C$21+SCENARIU!$D$21+SCENARIU!$E$21+'AJUSTĂRI PE PRODUS'!$I$10+'AJUSTĂRI PE PRODUS'!$N$10+'AJUSTĂRI PE PRODUS'!$S$10</f>
        <v>30.99</v>
      </c>
      <c r="AO22" s="83">
        <f>BX22+SCENARIU!$C$21+SCENARIU!$D$21+SCENARIU!$E$21+'AJUSTĂRI PE PRODUS'!$J$10+'AJUSTĂRI PE PRODUS'!$O$10+'AJUSTĂRI PE PRODUS'!$T$10</f>
        <v>33.99</v>
      </c>
      <c r="AP22" s="88">
        <f t="shared" si="66"/>
        <v>144145.37837837837</v>
      </c>
      <c r="AQ22" s="88">
        <f t="shared" si="67"/>
        <v>74043.08108108108</v>
      </c>
      <c r="AR22" s="88">
        <f t="shared" si="68"/>
        <v>218188.45945945947</v>
      </c>
      <c r="AS22" s="89">
        <f t="shared" si="69"/>
        <v>0.4644065067979789</v>
      </c>
      <c r="AT22" s="89">
        <f t="shared" si="70"/>
        <v>0.47874580096805419</v>
      </c>
      <c r="AU22" s="89">
        <f t="shared" si="71"/>
        <v>0.43649109655781115</v>
      </c>
      <c r="AV22" s="83">
        <f>BY22+SCENARIU!$C$21+SCENARIU!$D$21+SCENARIU!$E$21+SCENARIU!$F$21+'AJUSTĂRI PE PRODUS'!$I$10+'AJUSTĂRI PE PRODUS'!$N$10+'AJUSTĂRI PE PRODUS'!$S$10+'AJUSTĂRI PE PRODUS'!$X$10</f>
        <v>30.99</v>
      </c>
      <c r="AW22" s="83">
        <f>BZ22+SCENARIU!$C$21+SCENARIU!$D$21+SCENARIU!$E$21+SCENARIU!$F$21+'AJUSTĂRI PE PRODUS'!$J$10+'AJUSTĂRI PE PRODUS'!$O$10+'AJUSTĂRI PE PRODUS'!$T$10+'AJUSTĂRI PE PRODUS'!$Y$10</f>
        <v>33.99</v>
      </c>
      <c r="AX22" s="90">
        <f t="shared" si="72"/>
        <v>144145.37837837837</v>
      </c>
      <c r="AY22" s="90">
        <f t="shared" si="73"/>
        <v>74043.08108108108</v>
      </c>
      <c r="AZ22" s="90">
        <f t="shared" si="74"/>
        <v>218188.45945945947</v>
      </c>
      <c r="BA22" s="91">
        <f t="shared" si="75"/>
        <v>0.4644065067979789</v>
      </c>
      <c r="BB22" s="91">
        <f t="shared" si="76"/>
        <v>0.47874580096805419</v>
      </c>
      <c r="BC22" s="91">
        <f t="shared" si="77"/>
        <v>0.43649109655781115</v>
      </c>
      <c r="BD22" s="92">
        <f t="shared" si="78"/>
        <v>1.9899999999999984</v>
      </c>
      <c r="BE22" s="92">
        <f t="shared" si="79"/>
        <v>0.5</v>
      </c>
      <c r="BF22" s="92">
        <f t="shared" si="80"/>
        <v>0</v>
      </c>
      <c r="BG22" s="92">
        <f t="shared" si="81"/>
        <v>0.5</v>
      </c>
      <c r="BH22" s="92">
        <f t="shared" si="82"/>
        <v>0</v>
      </c>
      <c r="BI22" s="93">
        <f t="shared" si="83"/>
        <v>2.9899999999999984</v>
      </c>
      <c r="BJ22" s="92">
        <f t="shared" si="84"/>
        <v>1.990000000000002</v>
      </c>
      <c r="BK22" s="92">
        <f t="shared" si="85"/>
        <v>0.5</v>
      </c>
      <c r="BL22" s="92">
        <f t="shared" si="86"/>
        <v>0</v>
      </c>
      <c r="BM22" s="92">
        <f t="shared" si="87"/>
        <v>0.5</v>
      </c>
      <c r="BN22" s="92">
        <f t="shared" si="88"/>
        <v>0</v>
      </c>
      <c r="BO22" s="93">
        <f t="shared" si="89"/>
        <v>2.990000000000002</v>
      </c>
      <c r="BQ22">
        <v>29.99</v>
      </c>
      <c r="BR22">
        <v>32.99</v>
      </c>
      <c r="BS22">
        <v>30.49</v>
      </c>
      <c r="BT22">
        <v>33.49</v>
      </c>
      <c r="BU22">
        <v>30.49</v>
      </c>
      <c r="BV22">
        <v>33.49</v>
      </c>
      <c r="BW22">
        <v>30.99</v>
      </c>
      <c r="BX22">
        <v>33.99</v>
      </c>
      <c r="BY22">
        <v>30.99</v>
      </c>
      <c r="BZ22">
        <v>33.99</v>
      </c>
    </row>
    <row r="23" spans="1:78" x14ac:dyDescent="0.2">
      <c r="A23" s="26">
        <v>3</v>
      </c>
      <c r="B23" s="26" t="s">
        <v>148</v>
      </c>
      <c r="C23" s="26" t="s">
        <v>96</v>
      </c>
      <c r="D23" s="74">
        <v>1</v>
      </c>
      <c r="E23" s="75">
        <v>11</v>
      </c>
      <c r="F23" s="76">
        <v>4157</v>
      </c>
      <c r="G23" s="76">
        <v>2680</v>
      </c>
      <c r="H23" s="77">
        <f>SUMIFS(RETETAR!$I$4:$I$967,RETETAR!$A$4:$A$967,$M23,RETETAR!$C$4:$C$967,"AMBELE")+SUMIFS(RETETAR!$I$4:$I$967,RETETAR!$A$4:$A$967,$M23,RETETAR!$C$4:$C$967,"INSTORE")</f>
        <v>8.8149622000000001</v>
      </c>
      <c r="I23" s="77">
        <f>SUMIFS(RETETAR!$I$4:$I$967,RETETAR!$A$4:$A$967,$M23,RETETAR!$C$4:$C$967,"AMBELE")+SUMIFS(RETETAR!$I$4:$I$967,RETETAR!$A$4:$A$967,$M23,RETETAR!$C$4:$C$967,"DELIVERY")</f>
        <v>8.8149622000000001</v>
      </c>
      <c r="J23" s="78">
        <f t="shared" si="45"/>
        <v>36643.797865400004</v>
      </c>
      <c r="K23" s="78">
        <f t="shared" si="46"/>
        <v>23624.098696000001</v>
      </c>
      <c r="L23" s="78">
        <f t="shared" si="47"/>
        <v>60267.896561400004</v>
      </c>
      <c r="M23" t="s">
        <v>148</v>
      </c>
      <c r="N23" s="79">
        <v>22</v>
      </c>
      <c r="O23" s="79">
        <v>25</v>
      </c>
      <c r="P23" s="80">
        <v>22.99</v>
      </c>
      <c r="Q23" s="80">
        <v>25.99</v>
      </c>
      <c r="R23" s="81">
        <f t="shared" si="48"/>
        <v>86098.585585585563</v>
      </c>
      <c r="S23" s="81">
        <f t="shared" si="49"/>
        <v>62750.630630630614</v>
      </c>
      <c r="T23" s="81">
        <f t="shared" si="50"/>
        <v>148849.21621621618</v>
      </c>
      <c r="U23" s="82">
        <f t="shared" si="51"/>
        <v>0.40489226677455759</v>
      </c>
      <c r="V23" s="82">
        <f t="shared" si="52"/>
        <v>0.42560278564593318</v>
      </c>
      <c r="W23" s="82">
        <f t="shared" si="53"/>
        <v>0.3764758769526742</v>
      </c>
      <c r="X23" s="83">
        <f>BS23+SCENARIU!$C$21+'AJUSTĂRI PE PRODUS'!$I$12</f>
        <v>23.49</v>
      </c>
      <c r="Y23" s="83">
        <f>BT23+SCENARIU!$C$21+'AJUSTĂRI PE PRODUS'!$J$12</f>
        <v>26.49</v>
      </c>
      <c r="Z23" s="84">
        <f t="shared" si="54"/>
        <v>87971.108108108092</v>
      </c>
      <c r="AA23" s="84">
        <f t="shared" si="55"/>
        <v>63957.837837837826</v>
      </c>
      <c r="AB23" s="84">
        <f t="shared" si="56"/>
        <v>151928.94594594592</v>
      </c>
      <c r="AC23" s="85">
        <f t="shared" si="57"/>
        <v>0.39668475408789078</v>
      </c>
      <c r="AD23" s="85">
        <f t="shared" si="58"/>
        <v>0.41654355223499373</v>
      </c>
      <c r="AE23" s="85">
        <f t="shared" si="59"/>
        <v>0.36936987701019264</v>
      </c>
      <c r="AF23" s="83">
        <f>BU23+SCENARIU!$C$21+SCENARIU!$D$21+'AJUSTĂRI PE PRODUS'!$I$12+'AJUSTĂRI PE PRODUS'!$N$12</f>
        <v>23.49</v>
      </c>
      <c r="AG23" s="83">
        <f>BV23+SCENARIU!$C$21+SCENARIU!$D$21+'AJUSTĂRI PE PRODUS'!$J$12+'AJUSTĂRI PE PRODUS'!$O$12</f>
        <v>26.49</v>
      </c>
      <c r="AH23" s="86">
        <f t="shared" si="60"/>
        <v>87971.108108108092</v>
      </c>
      <c r="AI23" s="86">
        <f t="shared" si="61"/>
        <v>63957.837837837826</v>
      </c>
      <c r="AJ23" s="86">
        <f t="shared" si="62"/>
        <v>151928.94594594592</v>
      </c>
      <c r="AK23" s="87">
        <f t="shared" si="63"/>
        <v>0.39668475408789078</v>
      </c>
      <c r="AL23" s="87">
        <f t="shared" si="64"/>
        <v>0.41654355223499373</v>
      </c>
      <c r="AM23" s="87">
        <f t="shared" si="65"/>
        <v>0.36936987701019264</v>
      </c>
      <c r="AN23" s="83">
        <f>BW23+SCENARIU!$C$21+SCENARIU!$D$21+SCENARIU!$E$21+'AJUSTĂRI PE PRODUS'!$I$12+'AJUSTĂRI PE PRODUS'!$N$12+'AJUSTĂRI PE PRODUS'!$S$12</f>
        <v>23.99</v>
      </c>
      <c r="AO23" s="83">
        <f>BX23+SCENARIU!$C$21+SCENARIU!$D$21+SCENARIU!$E$21+'AJUSTĂRI PE PRODUS'!$J$12+'AJUSTĂRI PE PRODUS'!$O$12+'AJUSTĂRI PE PRODUS'!$T$12</f>
        <v>26.99</v>
      </c>
      <c r="AP23" s="88">
        <f t="shared" si="66"/>
        <v>89843.630630630607</v>
      </c>
      <c r="AQ23" s="88">
        <f t="shared" si="67"/>
        <v>65165.045045045037</v>
      </c>
      <c r="AR23" s="88">
        <f t="shared" si="68"/>
        <v>155008.67567567565</v>
      </c>
      <c r="AS23" s="89">
        <f t="shared" si="69"/>
        <v>0.38880337696387013</v>
      </c>
      <c r="AT23" s="89">
        <f t="shared" si="70"/>
        <v>0.40786194422676131</v>
      </c>
      <c r="AU23" s="89">
        <f t="shared" si="71"/>
        <v>0.3625271597628752</v>
      </c>
      <c r="AV23" s="83">
        <f>BY23+SCENARIU!$C$21+SCENARIU!$D$21+SCENARIU!$E$21+SCENARIU!$F$21+'AJUSTĂRI PE PRODUS'!$I$12+'AJUSTĂRI PE PRODUS'!$N$12+'AJUSTĂRI PE PRODUS'!$S$12+'AJUSTĂRI PE PRODUS'!$X$12</f>
        <v>23.99</v>
      </c>
      <c r="AW23" s="83">
        <f>BZ23+SCENARIU!$C$21+SCENARIU!$D$21+SCENARIU!$E$21+SCENARIU!$F$21+'AJUSTĂRI PE PRODUS'!$J$12+'AJUSTĂRI PE PRODUS'!$O$12+'AJUSTĂRI PE PRODUS'!$T$12+'AJUSTĂRI PE PRODUS'!$Y$12</f>
        <v>26.99</v>
      </c>
      <c r="AX23" s="90">
        <f t="shared" si="72"/>
        <v>89843.630630630607</v>
      </c>
      <c r="AY23" s="90">
        <f t="shared" si="73"/>
        <v>65165.045045045037</v>
      </c>
      <c r="AZ23" s="90">
        <f t="shared" si="74"/>
        <v>155008.67567567565</v>
      </c>
      <c r="BA23" s="91">
        <f t="shared" si="75"/>
        <v>0.38880337696387013</v>
      </c>
      <c r="BB23" s="91">
        <f t="shared" si="76"/>
        <v>0.40786194422676131</v>
      </c>
      <c r="BC23" s="91">
        <f t="shared" si="77"/>
        <v>0.3625271597628752</v>
      </c>
      <c r="BD23" s="92">
        <f t="shared" si="78"/>
        <v>0.98999999999999844</v>
      </c>
      <c r="BE23" s="92">
        <f t="shared" si="79"/>
        <v>0.5</v>
      </c>
      <c r="BF23" s="92">
        <f t="shared" si="80"/>
        <v>0</v>
      </c>
      <c r="BG23" s="92">
        <f t="shared" si="81"/>
        <v>0.5</v>
      </c>
      <c r="BH23" s="92">
        <f t="shared" si="82"/>
        <v>0</v>
      </c>
      <c r="BI23" s="93">
        <f t="shared" si="83"/>
        <v>1.9899999999999984</v>
      </c>
      <c r="BJ23" s="92">
        <f t="shared" si="84"/>
        <v>0.98999999999999844</v>
      </c>
      <c r="BK23" s="92">
        <f t="shared" si="85"/>
        <v>0.5</v>
      </c>
      <c r="BL23" s="92">
        <f t="shared" si="86"/>
        <v>0</v>
      </c>
      <c r="BM23" s="92">
        <f t="shared" si="87"/>
        <v>0.5</v>
      </c>
      <c r="BN23" s="92">
        <f t="shared" si="88"/>
        <v>0</v>
      </c>
      <c r="BO23" s="93">
        <f t="shared" si="89"/>
        <v>1.9899999999999984</v>
      </c>
      <c r="BQ23">
        <v>22.99</v>
      </c>
      <c r="BR23">
        <v>25.99</v>
      </c>
      <c r="BS23">
        <v>23.49</v>
      </c>
      <c r="BT23">
        <v>26.49</v>
      </c>
      <c r="BU23">
        <v>23.49</v>
      </c>
      <c r="BV23">
        <v>26.49</v>
      </c>
      <c r="BW23">
        <v>23.99</v>
      </c>
      <c r="BX23">
        <v>26.99</v>
      </c>
      <c r="BY23">
        <v>23.99</v>
      </c>
      <c r="BZ23">
        <v>26.99</v>
      </c>
    </row>
    <row r="24" spans="1:78" x14ac:dyDescent="0.2">
      <c r="A24" s="26">
        <v>4</v>
      </c>
      <c r="B24" s="26" t="s">
        <v>149</v>
      </c>
      <c r="C24" s="26" t="s">
        <v>96</v>
      </c>
      <c r="D24" s="74">
        <v>1</v>
      </c>
      <c r="E24" s="75">
        <v>11</v>
      </c>
      <c r="F24" s="76">
        <v>4656</v>
      </c>
      <c r="G24" s="76">
        <v>1173</v>
      </c>
      <c r="H24" s="77">
        <f>SUMIFS(RETETAR!$I$4:$I$967,RETETAR!$A$4:$A$967,$M24,RETETAR!$C$4:$C$967,"AMBELE")+SUMIFS(RETETAR!$I$4:$I$967,RETETAR!$A$4:$A$967,$M24,RETETAR!$C$4:$C$967,"INSTORE")</f>
        <v>8.2176095999999994</v>
      </c>
      <c r="I24" s="77">
        <f>SUMIFS(RETETAR!$I$4:$I$967,RETETAR!$A$4:$A$967,$M24,RETETAR!$C$4:$C$967,"AMBELE")+SUMIFS(RETETAR!$I$4:$I$967,RETETAR!$A$4:$A$967,$M24,RETETAR!$C$4:$C$967,"DELIVERY")</f>
        <v>8.2176095999999994</v>
      </c>
      <c r="J24" s="78">
        <f t="shared" si="45"/>
        <v>38261.190297599998</v>
      </c>
      <c r="K24" s="78">
        <f t="shared" si="46"/>
        <v>9639.2560607999985</v>
      </c>
      <c r="L24" s="78">
        <f t="shared" si="47"/>
        <v>47900.446358399997</v>
      </c>
      <c r="M24" t="s">
        <v>149</v>
      </c>
      <c r="N24" s="79">
        <v>20.99</v>
      </c>
      <c r="O24" s="79">
        <v>24.5</v>
      </c>
      <c r="P24" s="80">
        <v>21.99</v>
      </c>
      <c r="Q24" s="80">
        <v>25.49</v>
      </c>
      <c r="R24" s="81">
        <f t="shared" si="48"/>
        <v>92239.135135135119</v>
      </c>
      <c r="S24" s="81">
        <f t="shared" si="49"/>
        <v>26936.729729729723</v>
      </c>
      <c r="T24" s="81">
        <f t="shared" si="50"/>
        <v>119175.86486486484</v>
      </c>
      <c r="U24" s="82">
        <f t="shared" si="51"/>
        <v>0.40193076352091067</v>
      </c>
      <c r="V24" s="82">
        <f t="shared" si="52"/>
        <v>0.41480430450204642</v>
      </c>
      <c r="W24" s="82">
        <f t="shared" si="53"/>
        <v>0.35784804456649671</v>
      </c>
      <c r="X24" s="83">
        <f>BS24+SCENARIU!$C$21+'AJUSTĂRI PE PRODUS'!$I$13</f>
        <v>22.49</v>
      </c>
      <c r="Y24" s="83">
        <f>BT24+SCENARIU!$C$21+'AJUSTĂRI PE PRODUS'!$J$13</f>
        <v>25.99</v>
      </c>
      <c r="Z24" s="84">
        <f t="shared" si="54"/>
        <v>94336.432432432412</v>
      </c>
      <c r="AA24" s="84">
        <f t="shared" si="55"/>
        <v>27465.108108108103</v>
      </c>
      <c r="AB24" s="84">
        <f t="shared" si="56"/>
        <v>121801.54054054052</v>
      </c>
      <c r="AC24" s="85">
        <f t="shared" si="57"/>
        <v>0.39326634249307196</v>
      </c>
      <c r="AD24" s="85">
        <f t="shared" si="58"/>
        <v>0.4055823324144065</v>
      </c>
      <c r="AE24" s="85">
        <f t="shared" si="59"/>
        <v>0.35096370357829937</v>
      </c>
      <c r="AF24" s="83">
        <f>BU24+SCENARIU!$C$21+SCENARIU!$D$21+'AJUSTĂRI PE PRODUS'!$I$13+'AJUSTĂRI PE PRODUS'!$N$13</f>
        <v>22.49</v>
      </c>
      <c r="AG24" s="83">
        <f>BV24+SCENARIU!$C$21+SCENARIU!$D$21+'AJUSTĂRI PE PRODUS'!$J$13+'AJUSTĂRI PE PRODUS'!$O$13</f>
        <v>25.99</v>
      </c>
      <c r="AH24" s="86">
        <f t="shared" si="60"/>
        <v>94336.432432432412</v>
      </c>
      <c r="AI24" s="86">
        <f t="shared" si="61"/>
        <v>27465.108108108103</v>
      </c>
      <c r="AJ24" s="86">
        <f t="shared" si="62"/>
        <v>121801.54054054052</v>
      </c>
      <c r="AK24" s="87">
        <f t="shared" si="63"/>
        <v>0.39326634249307196</v>
      </c>
      <c r="AL24" s="87">
        <f t="shared" si="64"/>
        <v>0.4055823324144065</v>
      </c>
      <c r="AM24" s="87">
        <f t="shared" si="65"/>
        <v>0.35096370357829937</v>
      </c>
      <c r="AN24" s="83">
        <f>BW24+SCENARIU!$C$21+SCENARIU!$D$21+SCENARIU!$E$21+'AJUSTĂRI PE PRODUS'!$I$13+'AJUSTĂRI PE PRODUS'!$N$13+'AJUSTĂRI PE PRODUS'!$S$13</f>
        <v>22.99</v>
      </c>
      <c r="AO24" s="83">
        <f>BX24+SCENARIU!$C$21+SCENARIU!$D$21+SCENARIU!$E$21+'AJUSTĂRI PE PRODUS'!$J$13+'AJUSTĂRI PE PRODUS'!$O$13+'AJUSTĂRI PE PRODUS'!$T$13</f>
        <v>25.99</v>
      </c>
      <c r="AP24" s="88">
        <f t="shared" si="66"/>
        <v>96433.729729729705</v>
      </c>
      <c r="AQ24" s="88">
        <f t="shared" si="67"/>
        <v>27465.108108108103</v>
      </c>
      <c r="AR24" s="88">
        <f t="shared" si="68"/>
        <v>123898.83783783781</v>
      </c>
      <c r="AS24" s="89">
        <f t="shared" si="69"/>
        <v>0.38660932736990972</v>
      </c>
      <c r="AT24" s="89">
        <f t="shared" si="70"/>
        <v>0.39676149003914757</v>
      </c>
      <c r="AU24" s="89">
        <f t="shared" si="71"/>
        <v>0.35096370357829937</v>
      </c>
      <c r="AV24" s="83">
        <f>BY24+SCENARIU!$C$21+SCENARIU!$D$21+SCENARIU!$E$21+SCENARIU!$F$21+'AJUSTĂRI PE PRODUS'!$I$13+'AJUSTĂRI PE PRODUS'!$N$13+'AJUSTĂRI PE PRODUS'!$S$13+'AJUSTĂRI PE PRODUS'!$X$13</f>
        <v>22.99</v>
      </c>
      <c r="AW24" s="83">
        <f>BZ24+SCENARIU!$C$21+SCENARIU!$D$21+SCENARIU!$E$21+SCENARIU!$F$21+'AJUSTĂRI PE PRODUS'!$J$13+'AJUSTĂRI PE PRODUS'!$O$13+'AJUSTĂRI PE PRODUS'!$T$13+'AJUSTĂRI PE PRODUS'!$Y$13</f>
        <v>26.49</v>
      </c>
      <c r="AX24" s="90">
        <f t="shared" si="72"/>
        <v>96433.729729729705</v>
      </c>
      <c r="AY24" s="90">
        <f t="shared" si="73"/>
        <v>27993.486486486479</v>
      </c>
      <c r="AZ24" s="90">
        <f t="shared" si="74"/>
        <v>124427.21621621618</v>
      </c>
      <c r="BA24" s="91">
        <f t="shared" si="75"/>
        <v>0.38496759643938167</v>
      </c>
      <c r="BB24" s="91">
        <f t="shared" si="76"/>
        <v>0.39676149003914757</v>
      </c>
      <c r="BC24" s="91">
        <f t="shared" si="77"/>
        <v>0.34433924711211783</v>
      </c>
      <c r="BD24" s="92">
        <f t="shared" si="78"/>
        <v>1</v>
      </c>
      <c r="BE24" s="92">
        <f t="shared" si="79"/>
        <v>0.5</v>
      </c>
      <c r="BF24" s="92">
        <f t="shared" si="80"/>
        <v>0</v>
      </c>
      <c r="BG24" s="92">
        <f t="shared" si="81"/>
        <v>0.5</v>
      </c>
      <c r="BH24" s="92">
        <f t="shared" si="82"/>
        <v>0</v>
      </c>
      <c r="BI24" s="93">
        <f t="shared" si="83"/>
        <v>2</v>
      </c>
      <c r="BJ24" s="92">
        <f t="shared" si="84"/>
        <v>0.98999999999999844</v>
      </c>
      <c r="BK24" s="92">
        <f t="shared" si="85"/>
        <v>0.5</v>
      </c>
      <c r="BL24" s="92">
        <f t="shared" si="86"/>
        <v>0</v>
      </c>
      <c r="BM24" s="92">
        <f t="shared" si="87"/>
        <v>0</v>
      </c>
      <c r="BN24" s="92">
        <f t="shared" si="88"/>
        <v>0.5</v>
      </c>
      <c r="BO24" s="93">
        <f t="shared" si="89"/>
        <v>1.9899999999999984</v>
      </c>
      <c r="BQ24">
        <v>21.99</v>
      </c>
      <c r="BR24">
        <v>25.49</v>
      </c>
      <c r="BS24">
        <v>22.49</v>
      </c>
      <c r="BT24">
        <v>25.99</v>
      </c>
      <c r="BU24">
        <v>22.49</v>
      </c>
      <c r="BV24">
        <v>25.99</v>
      </c>
      <c r="BW24">
        <v>22.99</v>
      </c>
      <c r="BX24">
        <v>25.99</v>
      </c>
      <c r="BY24">
        <v>22.99</v>
      </c>
      <c r="BZ24">
        <v>26.49</v>
      </c>
    </row>
    <row r="25" spans="1:78" x14ac:dyDescent="0.2">
      <c r="A25" s="26">
        <v>5</v>
      </c>
      <c r="B25" s="26" t="s">
        <v>154</v>
      </c>
      <c r="C25" s="26" t="s">
        <v>96</v>
      </c>
      <c r="D25" s="74">
        <v>1</v>
      </c>
      <c r="E25" s="75">
        <v>11</v>
      </c>
      <c r="F25" s="76">
        <v>2652</v>
      </c>
      <c r="G25" s="76">
        <v>1759</v>
      </c>
      <c r="H25" s="77">
        <f>SUMIFS(RETETAR!$I$4:$I$967,RETETAR!$A$4:$A$967,$M25,RETETAR!$C$4:$C$967,"AMBELE")+SUMIFS(RETETAR!$I$4:$I$967,RETETAR!$A$4:$A$967,$M25,RETETAR!$C$4:$C$967,"INSTORE")</f>
        <v>15.179505199999999</v>
      </c>
      <c r="I25" s="77">
        <f>SUMIFS(RETETAR!$I$4:$I$967,RETETAR!$A$4:$A$967,$M25,RETETAR!$C$4:$C$967,"AMBELE")+SUMIFS(RETETAR!$I$4:$I$967,RETETAR!$A$4:$A$967,$M25,RETETAR!$C$4:$C$967,"DELIVERY")</f>
        <v>15.179505199999999</v>
      </c>
      <c r="J25" s="78">
        <f t="shared" si="45"/>
        <v>40256.0477904</v>
      </c>
      <c r="K25" s="78">
        <f t="shared" si="46"/>
        <v>26700.749646799999</v>
      </c>
      <c r="L25" s="78">
        <f t="shared" si="47"/>
        <v>66956.797437200003</v>
      </c>
      <c r="M25" t="s">
        <v>154</v>
      </c>
      <c r="N25" s="79">
        <v>22</v>
      </c>
      <c r="O25" s="79">
        <v>25</v>
      </c>
      <c r="P25" s="80">
        <v>24.99</v>
      </c>
      <c r="Q25" s="80">
        <v>27.99</v>
      </c>
      <c r="R25" s="81">
        <f t="shared" si="48"/>
        <v>59705.837837837826</v>
      </c>
      <c r="S25" s="81">
        <f t="shared" si="49"/>
        <v>44355.32432432432</v>
      </c>
      <c r="T25" s="81">
        <f t="shared" si="50"/>
        <v>104061.16216216215</v>
      </c>
      <c r="U25" s="82">
        <f t="shared" si="51"/>
        <v>0.64343695617063057</v>
      </c>
      <c r="V25" s="82">
        <f t="shared" si="52"/>
        <v>0.67423972677070843</v>
      </c>
      <c r="W25" s="82">
        <f t="shared" si="53"/>
        <v>0.60197394683815653</v>
      </c>
      <c r="X25" s="83">
        <f>BS25+SCENARIU!$C$21+'AJUSTĂRI PE PRODUS'!$I$19</f>
        <v>25.49</v>
      </c>
      <c r="Y25" s="83">
        <f>BT25+SCENARIU!$C$21+'AJUSTĂRI PE PRODUS'!$J$19</f>
        <v>28.49</v>
      </c>
      <c r="Z25" s="84">
        <f t="shared" si="54"/>
        <v>60900.432432432419</v>
      </c>
      <c r="AA25" s="84">
        <f t="shared" si="55"/>
        <v>45147.666666666664</v>
      </c>
      <c r="AB25" s="84">
        <f t="shared" si="56"/>
        <v>106048.09909909908</v>
      </c>
      <c r="AC25" s="85">
        <f t="shared" si="57"/>
        <v>0.63138140151508693</v>
      </c>
      <c r="AD25" s="85">
        <f t="shared" si="58"/>
        <v>0.66101415347194992</v>
      </c>
      <c r="AE25" s="85">
        <f t="shared" si="59"/>
        <v>0.59140929350649352</v>
      </c>
      <c r="AF25" s="83">
        <f>BU25+SCENARIU!$C$21+SCENARIU!$D$21+'AJUSTĂRI PE PRODUS'!$I$19+'AJUSTĂRI PE PRODUS'!$N$19</f>
        <v>25.49</v>
      </c>
      <c r="AG25" s="83">
        <f>BV25+SCENARIU!$C$21+SCENARIU!$D$21+'AJUSTĂRI PE PRODUS'!$J$19+'AJUSTĂRI PE PRODUS'!$O$19</f>
        <v>28.49</v>
      </c>
      <c r="AH25" s="86">
        <f t="shared" si="60"/>
        <v>60900.432432432419</v>
      </c>
      <c r="AI25" s="86">
        <f t="shared" si="61"/>
        <v>45147.666666666664</v>
      </c>
      <c r="AJ25" s="86">
        <f t="shared" si="62"/>
        <v>106048.09909909908</v>
      </c>
      <c r="AK25" s="87">
        <f t="shared" si="63"/>
        <v>0.63138140151508693</v>
      </c>
      <c r="AL25" s="87">
        <f t="shared" si="64"/>
        <v>0.66101415347194992</v>
      </c>
      <c r="AM25" s="87">
        <f t="shared" si="65"/>
        <v>0.59140929350649352</v>
      </c>
      <c r="AN25" s="83">
        <f>BW25+SCENARIU!$C$21+SCENARIU!$D$21+SCENARIU!$E$21+'AJUSTĂRI PE PRODUS'!$I$19+'AJUSTĂRI PE PRODUS'!$N$19+'AJUSTĂRI PE PRODUS'!$S$19</f>
        <v>25.99</v>
      </c>
      <c r="AO25" s="83">
        <f>BX25+SCENARIU!$C$21+SCENARIU!$D$21+SCENARIU!$E$21+'AJUSTĂRI PE PRODUS'!$J$19+'AJUSTĂRI PE PRODUS'!$O$19+'AJUSTĂRI PE PRODUS'!$T$19</f>
        <v>28.99</v>
      </c>
      <c r="AP25" s="88">
        <f t="shared" si="66"/>
        <v>62095.027027027012</v>
      </c>
      <c r="AQ25" s="88">
        <f t="shared" si="67"/>
        <v>45940.009009009002</v>
      </c>
      <c r="AR25" s="88">
        <f t="shared" si="68"/>
        <v>108035.03603603601</v>
      </c>
      <c r="AS25" s="89">
        <f t="shared" si="69"/>
        <v>0.61976928868581105</v>
      </c>
      <c r="AT25" s="89">
        <f t="shared" si="70"/>
        <v>0.64829745178914988</v>
      </c>
      <c r="AU25" s="89">
        <f t="shared" si="71"/>
        <v>0.58120906422904461</v>
      </c>
      <c r="AV25" s="83">
        <f>BY25+SCENARIU!$C$21+SCENARIU!$D$21+SCENARIU!$E$21+SCENARIU!$F$21+'AJUSTĂRI PE PRODUS'!$I$19+'AJUSTĂRI PE PRODUS'!$N$19+'AJUSTĂRI PE PRODUS'!$S$19+'AJUSTĂRI PE PRODUS'!$X$19</f>
        <v>25.99</v>
      </c>
      <c r="AW25" s="83">
        <f>BZ25+SCENARIU!$C$21+SCENARIU!$D$21+SCENARIU!$E$21+SCENARIU!$F$21+'AJUSTĂRI PE PRODUS'!$J$19+'AJUSTĂRI PE PRODUS'!$O$19+'AJUSTĂRI PE PRODUS'!$T$19+'AJUSTĂRI PE PRODUS'!$Y$19</f>
        <v>28.99</v>
      </c>
      <c r="AX25" s="90">
        <f t="shared" si="72"/>
        <v>62095.027027027012</v>
      </c>
      <c r="AY25" s="90">
        <f t="shared" si="73"/>
        <v>45940.009009009002</v>
      </c>
      <c r="AZ25" s="90">
        <f t="shared" si="74"/>
        <v>108035.03603603601</v>
      </c>
      <c r="BA25" s="91">
        <f t="shared" si="75"/>
        <v>0.61976928868581105</v>
      </c>
      <c r="BB25" s="91">
        <f t="shared" si="76"/>
        <v>0.64829745178914988</v>
      </c>
      <c r="BC25" s="91">
        <f t="shared" si="77"/>
        <v>0.58120906422904461</v>
      </c>
      <c r="BD25" s="92">
        <f t="shared" si="78"/>
        <v>2.9899999999999984</v>
      </c>
      <c r="BE25" s="92">
        <f t="shared" si="79"/>
        <v>0.5</v>
      </c>
      <c r="BF25" s="92">
        <f t="shared" si="80"/>
        <v>0</v>
      </c>
      <c r="BG25" s="92">
        <f t="shared" si="81"/>
        <v>0.5</v>
      </c>
      <c r="BH25" s="92">
        <f t="shared" si="82"/>
        <v>0</v>
      </c>
      <c r="BI25" s="93">
        <f t="shared" si="83"/>
        <v>3.9899999999999984</v>
      </c>
      <c r="BJ25" s="92">
        <f t="shared" si="84"/>
        <v>2.9899999999999984</v>
      </c>
      <c r="BK25" s="92">
        <f t="shared" si="85"/>
        <v>0.5</v>
      </c>
      <c r="BL25" s="92">
        <f t="shared" si="86"/>
        <v>0</v>
      </c>
      <c r="BM25" s="92">
        <f t="shared" si="87"/>
        <v>0.5</v>
      </c>
      <c r="BN25" s="92">
        <f t="shared" si="88"/>
        <v>0</v>
      </c>
      <c r="BO25" s="93">
        <f t="shared" si="89"/>
        <v>3.9899999999999984</v>
      </c>
      <c r="BQ25">
        <v>24.99</v>
      </c>
      <c r="BR25">
        <v>27.99</v>
      </c>
      <c r="BS25">
        <v>25.49</v>
      </c>
      <c r="BT25">
        <v>28.49</v>
      </c>
      <c r="BU25">
        <v>25.49</v>
      </c>
      <c r="BV25">
        <v>28.49</v>
      </c>
      <c r="BW25">
        <v>25.99</v>
      </c>
      <c r="BX25">
        <v>28.99</v>
      </c>
      <c r="BY25">
        <v>25.99</v>
      </c>
      <c r="BZ25">
        <v>28.99</v>
      </c>
    </row>
    <row r="26" spans="1:78" x14ac:dyDescent="0.2">
      <c r="A26" s="26">
        <v>6</v>
      </c>
      <c r="B26" s="26" t="s">
        <v>169</v>
      </c>
      <c r="C26" s="26" t="s">
        <v>96</v>
      </c>
      <c r="D26" s="74">
        <v>1</v>
      </c>
      <c r="E26" s="75">
        <v>11</v>
      </c>
      <c r="F26" s="76">
        <v>919</v>
      </c>
      <c r="G26" s="76">
        <v>398</v>
      </c>
      <c r="H26" s="77">
        <f>SUMIFS(RETETAR!$I$4:$I$967,RETETAR!$A$4:$A$967,$M26,RETETAR!$C$4:$C$967,"AMBELE")+SUMIFS(RETETAR!$I$4:$I$967,RETETAR!$A$4:$A$967,$M26,RETETAR!$C$4:$C$967,"INSTORE")</f>
        <v>14.869370189999998</v>
      </c>
      <c r="I26" s="77">
        <f>SUMIFS(RETETAR!$I$4:$I$967,RETETAR!$A$4:$A$967,$M26,RETETAR!$C$4:$C$967,"AMBELE")+SUMIFS(RETETAR!$I$4:$I$967,RETETAR!$A$4:$A$967,$M26,RETETAR!$C$4:$C$967,"DELIVERY")</f>
        <v>14.869370189999998</v>
      </c>
      <c r="J26" s="78">
        <f t="shared" si="45"/>
        <v>13664.951204609999</v>
      </c>
      <c r="K26" s="78">
        <f t="shared" si="46"/>
        <v>5918.0093356199995</v>
      </c>
      <c r="L26" s="78">
        <f t="shared" si="47"/>
        <v>19582.96054023</v>
      </c>
      <c r="M26" t="s">
        <v>169</v>
      </c>
      <c r="N26" s="79">
        <v>32</v>
      </c>
      <c r="O26" s="79">
        <v>35</v>
      </c>
      <c r="P26" s="80">
        <v>33.99</v>
      </c>
      <c r="Q26" s="80">
        <v>36.99</v>
      </c>
      <c r="R26" s="81">
        <f t="shared" si="48"/>
        <v>28141.27027027027</v>
      </c>
      <c r="S26" s="81">
        <f t="shared" si="49"/>
        <v>13263.08108108108</v>
      </c>
      <c r="T26" s="81">
        <f t="shared" si="50"/>
        <v>41404.351351351346</v>
      </c>
      <c r="U26" s="82">
        <f t="shared" si="51"/>
        <v>0.47296865911632874</v>
      </c>
      <c r="V26" s="82">
        <f t="shared" si="52"/>
        <v>0.48558402209179169</v>
      </c>
      <c r="W26" s="82">
        <f t="shared" si="53"/>
        <v>0.44620170075425791</v>
      </c>
      <c r="X26" s="83">
        <f>BS26+SCENARIU!$C$21+'AJUSTĂRI PE PRODUS'!$I$30</f>
        <v>34.49</v>
      </c>
      <c r="Y26" s="83">
        <f>BT26+SCENARIU!$C$21+'AJUSTĂRI PE PRODUS'!$J$30</f>
        <v>37.49</v>
      </c>
      <c r="Z26" s="84">
        <f t="shared" si="54"/>
        <v>28555.234234234234</v>
      </c>
      <c r="AA26" s="84">
        <f t="shared" si="55"/>
        <v>13442.360360360361</v>
      </c>
      <c r="AB26" s="84">
        <f t="shared" si="56"/>
        <v>41997.594594594593</v>
      </c>
      <c r="AC26" s="85">
        <f t="shared" si="57"/>
        <v>0.46628767026458401</v>
      </c>
      <c r="AD26" s="85">
        <f t="shared" si="58"/>
        <v>0.47854453206436642</v>
      </c>
      <c r="AE26" s="85">
        <f t="shared" si="59"/>
        <v>0.44025075782608691</v>
      </c>
      <c r="AF26" s="83">
        <f>BU26+SCENARIU!$C$21+SCENARIU!$D$21+'AJUSTĂRI PE PRODUS'!$I$30+'AJUSTĂRI PE PRODUS'!$N$30</f>
        <v>34.49</v>
      </c>
      <c r="AG26" s="83">
        <f>BV26+SCENARIU!$C$21+SCENARIU!$D$21+'AJUSTĂRI PE PRODUS'!$J$30+'AJUSTĂRI PE PRODUS'!$O$30</f>
        <v>37.49</v>
      </c>
      <c r="AH26" s="86">
        <f t="shared" si="60"/>
        <v>28555.234234234234</v>
      </c>
      <c r="AI26" s="86">
        <f t="shared" si="61"/>
        <v>13442.360360360361</v>
      </c>
      <c r="AJ26" s="86">
        <f t="shared" si="62"/>
        <v>41997.594594594593</v>
      </c>
      <c r="AK26" s="87">
        <f t="shared" si="63"/>
        <v>0.46628767026458401</v>
      </c>
      <c r="AL26" s="87">
        <f t="shared" si="64"/>
        <v>0.47854453206436642</v>
      </c>
      <c r="AM26" s="87">
        <f t="shared" si="65"/>
        <v>0.44025075782608691</v>
      </c>
      <c r="AN26" s="83">
        <f>BW26+SCENARIU!$C$21+SCENARIU!$D$21+SCENARIU!$E$21+'AJUSTĂRI PE PRODUS'!$I$30+'AJUSTĂRI PE PRODUS'!$N$30+'AJUSTĂRI PE PRODUS'!$S$30</f>
        <v>34.99</v>
      </c>
      <c r="AO26" s="83">
        <f>BX26+SCENARIU!$C$21+SCENARIU!$D$21+SCENARIU!$E$21+'AJUSTĂRI PE PRODUS'!$J$30+'AJUSTĂRI PE PRODUS'!$O$30+'AJUSTĂRI PE PRODUS'!$T$30</f>
        <v>37.99</v>
      </c>
      <c r="AP26" s="88">
        <f t="shared" si="66"/>
        <v>28969.198198198199</v>
      </c>
      <c r="AQ26" s="88">
        <f t="shared" si="67"/>
        <v>13621.639639639639</v>
      </c>
      <c r="AR26" s="88">
        <f t="shared" si="68"/>
        <v>42590.83783783784</v>
      </c>
      <c r="AS26" s="89">
        <f t="shared" si="69"/>
        <v>0.45979279897688308</v>
      </c>
      <c r="AT26" s="89">
        <f t="shared" si="70"/>
        <v>0.47170622780508714</v>
      </c>
      <c r="AU26" s="89">
        <f t="shared" si="71"/>
        <v>0.43445645988154774</v>
      </c>
      <c r="AV26" s="83">
        <f>BY26+SCENARIU!$C$21+SCENARIU!$D$21+SCENARIU!$E$21+SCENARIU!$F$21+'AJUSTĂRI PE PRODUS'!$I$30+'AJUSTĂRI PE PRODUS'!$N$30+'AJUSTĂRI PE PRODUS'!$S$30+'AJUSTĂRI PE PRODUS'!$X$30</f>
        <v>34.99</v>
      </c>
      <c r="AW26" s="83">
        <f>BZ26+SCENARIU!$C$21+SCENARIU!$D$21+SCENARIU!$E$21+SCENARIU!$F$21+'AJUSTĂRI PE PRODUS'!$J$30+'AJUSTĂRI PE PRODUS'!$O$30+'AJUSTĂRI PE PRODUS'!$T$30+'AJUSTĂRI PE PRODUS'!$Y$30</f>
        <v>37.99</v>
      </c>
      <c r="AX26" s="90">
        <f t="shared" si="72"/>
        <v>28969.198198198199</v>
      </c>
      <c r="AY26" s="90">
        <f t="shared" si="73"/>
        <v>13621.639639639639</v>
      </c>
      <c r="AZ26" s="90">
        <f t="shared" si="74"/>
        <v>42590.83783783784</v>
      </c>
      <c r="BA26" s="91">
        <f t="shared" si="75"/>
        <v>0.45979279897688308</v>
      </c>
      <c r="BB26" s="91">
        <f t="shared" si="76"/>
        <v>0.47170622780508714</v>
      </c>
      <c r="BC26" s="91">
        <f t="shared" si="77"/>
        <v>0.43445645988154774</v>
      </c>
      <c r="BD26" s="92">
        <f t="shared" si="78"/>
        <v>1.990000000000002</v>
      </c>
      <c r="BE26" s="92">
        <f t="shared" si="79"/>
        <v>0.5</v>
      </c>
      <c r="BF26" s="92">
        <f t="shared" si="80"/>
        <v>0</v>
      </c>
      <c r="BG26" s="92">
        <f t="shared" si="81"/>
        <v>0.5</v>
      </c>
      <c r="BH26" s="92">
        <f t="shared" si="82"/>
        <v>0</v>
      </c>
      <c r="BI26" s="93">
        <f t="shared" si="83"/>
        <v>2.990000000000002</v>
      </c>
      <c r="BJ26" s="92">
        <f t="shared" si="84"/>
        <v>1.990000000000002</v>
      </c>
      <c r="BK26" s="92">
        <f t="shared" si="85"/>
        <v>0.5</v>
      </c>
      <c r="BL26" s="92">
        <f t="shared" si="86"/>
        <v>0</v>
      </c>
      <c r="BM26" s="92">
        <f t="shared" si="87"/>
        <v>0.5</v>
      </c>
      <c r="BN26" s="92">
        <f t="shared" si="88"/>
        <v>0</v>
      </c>
      <c r="BO26" s="93">
        <f t="shared" si="89"/>
        <v>2.990000000000002</v>
      </c>
      <c r="BQ26">
        <v>33.99</v>
      </c>
      <c r="BR26">
        <v>36.99</v>
      </c>
      <c r="BS26">
        <v>34.49</v>
      </c>
      <c r="BT26">
        <v>37.49</v>
      </c>
      <c r="BU26">
        <v>34.49</v>
      </c>
      <c r="BV26">
        <v>37.49</v>
      </c>
      <c r="BW26">
        <v>34.99</v>
      </c>
      <c r="BX26">
        <v>37.99</v>
      </c>
      <c r="BY26">
        <v>34.99</v>
      </c>
      <c r="BZ26">
        <v>37.99</v>
      </c>
    </row>
    <row r="27" spans="1:78" x14ac:dyDescent="0.2">
      <c r="A27" s="26">
        <v>7</v>
      </c>
      <c r="B27" s="26" t="s">
        <v>179</v>
      </c>
      <c r="C27" s="26" t="s">
        <v>96</v>
      </c>
      <c r="D27" s="74">
        <v>1</v>
      </c>
      <c r="E27" s="75">
        <v>11</v>
      </c>
      <c r="F27" s="76">
        <v>966</v>
      </c>
      <c r="G27" s="76">
        <v>226</v>
      </c>
      <c r="H27" s="77">
        <f>SUMIFS(RETETAR!$I$4:$I$967,RETETAR!$A$4:$A$967,$M27,RETETAR!$C$4:$C$967,"AMBELE")+SUMIFS(RETETAR!$I$4:$I$967,RETETAR!$A$4:$A$967,$M27,RETETAR!$C$4:$C$967,"INSTORE")</f>
        <v>10.075058489999998</v>
      </c>
      <c r="I27" s="77">
        <f>SUMIFS(RETETAR!$I$4:$I$967,RETETAR!$A$4:$A$967,$M27,RETETAR!$C$4:$C$967,"AMBELE")+SUMIFS(RETETAR!$I$4:$I$967,RETETAR!$A$4:$A$967,$M27,RETETAR!$C$4:$C$967,"DELIVERY")</f>
        <v>10.075058489999998</v>
      </c>
      <c r="J27" s="78">
        <f t="shared" si="45"/>
        <v>9732.5065013399981</v>
      </c>
      <c r="K27" s="78">
        <f t="shared" si="46"/>
        <v>2276.9632187399998</v>
      </c>
      <c r="L27" s="78">
        <f t="shared" si="47"/>
        <v>12009.469720079998</v>
      </c>
      <c r="M27" t="s">
        <v>179</v>
      </c>
      <c r="N27" s="79">
        <v>26</v>
      </c>
      <c r="O27" s="79">
        <v>29</v>
      </c>
      <c r="P27" s="80">
        <v>26.99</v>
      </c>
      <c r="Q27" s="80">
        <v>29.99</v>
      </c>
      <c r="R27" s="81">
        <f t="shared" si="48"/>
        <v>23488.594594594593</v>
      </c>
      <c r="S27" s="81">
        <f t="shared" si="49"/>
        <v>6106.072072072071</v>
      </c>
      <c r="T27" s="81">
        <f t="shared" si="50"/>
        <v>29594.666666666664</v>
      </c>
      <c r="U27" s="82">
        <f t="shared" si="51"/>
        <v>0.4057984452180573</v>
      </c>
      <c r="V27" s="82">
        <f t="shared" si="52"/>
        <v>0.41435031211189322</v>
      </c>
      <c r="W27" s="82">
        <f t="shared" si="53"/>
        <v>0.37290146461820611</v>
      </c>
      <c r="X27" s="83">
        <f>BS27+SCENARIU!$C$21+'AJUSTĂRI PE PRODUS'!$I$43</f>
        <v>27.49</v>
      </c>
      <c r="Y27" s="83">
        <f>BT27+SCENARIU!$C$21+'AJUSTĂRI PE PRODUS'!$J$43</f>
        <v>30.49</v>
      </c>
      <c r="Z27" s="84">
        <f t="shared" si="54"/>
        <v>23923.729729729726</v>
      </c>
      <c r="AA27" s="84">
        <f t="shared" si="55"/>
        <v>6207.873873873873</v>
      </c>
      <c r="AB27" s="84">
        <f t="shared" si="56"/>
        <v>30131.603603603598</v>
      </c>
      <c r="AC27" s="85">
        <f t="shared" si="57"/>
        <v>0.39856722788705884</v>
      </c>
      <c r="AD27" s="85">
        <f t="shared" si="58"/>
        <v>0.40681392957075296</v>
      </c>
      <c r="AE27" s="85">
        <f t="shared" si="59"/>
        <v>0.36678632088881602</v>
      </c>
      <c r="AF27" s="83">
        <f>BU27+SCENARIU!$C$21+SCENARIU!$D$21+'AJUSTĂRI PE PRODUS'!$I$43+'AJUSTĂRI PE PRODUS'!$N$43</f>
        <v>27.49</v>
      </c>
      <c r="AG27" s="83">
        <f>BV27+SCENARIU!$C$21+SCENARIU!$D$21+'AJUSTĂRI PE PRODUS'!$J$43+'AJUSTĂRI PE PRODUS'!$O$43</f>
        <v>30.49</v>
      </c>
      <c r="AH27" s="86">
        <f t="shared" si="60"/>
        <v>23923.729729729726</v>
      </c>
      <c r="AI27" s="86">
        <f t="shared" si="61"/>
        <v>6207.873873873873</v>
      </c>
      <c r="AJ27" s="86">
        <f t="shared" si="62"/>
        <v>30131.603603603598</v>
      </c>
      <c r="AK27" s="87">
        <f t="shared" si="63"/>
        <v>0.39856722788705884</v>
      </c>
      <c r="AL27" s="87">
        <f t="shared" si="64"/>
        <v>0.40681392957075296</v>
      </c>
      <c r="AM27" s="87">
        <f t="shared" si="65"/>
        <v>0.36678632088881602</v>
      </c>
      <c r="AN27" s="83">
        <f>BW27+SCENARIU!$C$21+SCENARIU!$D$21+SCENARIU!$E$21+'AJUSTĂRI PE PRODUS'!$I$43+'AJUSTĂRI PE PRODUS'!$N$43+'AJUSTĂRI PE PRODUS'!$S$43</f>
        <v>27.99</v>
      </c>
      <c r="AO27" s="83">
        <f>BX27+SCENARIU!$C$21+SCENARIU!$D$21+SCENARIU!$E$21+'AJUSTĂRI PE PRODUS'!$J$43+'AJUSTĂRI PE PRODUS'!$O$43+'AJUSTĂRI PE PRODUS'!$T$43</f>
        <v>30.99</v>
      </c>
      <c r="AP27" s="88">
        <f t="shared" si="66"/>
        <v>24358.864864864863</v>
      </c>
      <c r="AQ27" s="88">
        <f t="shared" si="67"/>
        <v>6309.6756756756749</v>
      </c>
      <c r="AR27" s="88">
        <f t="shared" si="68"/>
        <v>30668.54054054054</v>
      </c>
      <c r="AS27" s="89">
        <f t="shared" si="69"/>
        <v>0.39158921515044903</v>
      </c>
      <c r="AT27" s="89">
        <f t="shared" si="70"/>
        <v>0.39954679971061086</v>
      </c>
      <c r="AU27" s="89">
        <f t="shared" si="71"/>
        <v>0.36086850351403682</v>
      </c>
      <c r="AV27" s="83">
        <f>BY27+SCENARIU!$C$21+SCENARIU!$D$21+SCENARIU!$E$21+SCENARIU!$F$21+'AJUSTĂRI PE PRODUS'!$I$43+'AJUSTĂRI PE PRODUS'!$N$43+'AJUSTĂRI PE PRODUS'!$S$43+'AJUSTĂRI PE PRODUS'!$X$43</f>
        <v>27.99</v>
      </c>
      <c r="AW27" s="83">
        <f>BZ27+SCENARIU!$C$21+SCENARIU!$D$21+SCENARIU!$E$21+SCENARIU!$F$21+'AJUSTĂRI PE PRODUS'!$J$43+'AJUSTĂRI PE PRODUS'!$O$43+'AJUSTĂRI PE PRODUS'!$T$43+'AJUSTĂRI PE PRODUS'!$Y$43</f>
        <v>30.99</v>
      </c>
      <c r="AX27" s="90">
        <f t="shared" si="72"/>
        <v>24358.864864864863</v>
      </c>
      <c r="AY27" s="90">
        <f t="shared" si="73"/>
        <v>6309.6756756756749</v>
      </c>
      <c r="AZ27" s="90">
        <f t="shared" si="74"/>
        <v>30668.54054054054</v>
      </c>
      <c r="BA27" s="91">
        <f t="shared" si="75"/>
        <v>0.39158921515044903</v>
      </c>
      <c r="BB27" s="91">
        <f t="shared" si="76"/>
        <v>0.39954679971061086</v>
      </c>
      <c r="BC27" s="91">
        <f t="shared" si="77"/>
        <v>0.36086850351403682</v>
      </c>
      <c r="BD27" s="92">
        <f t="shared" si="78"/>
        <v>0.98999999999999844</v>
      </c>
      <c r="BE27" s="92">
        <f t="shared" si="79"/>
        <v>0.5</v>
      </c>
      <c r="BF27" s="92">
        <f t="shared" si="80"/>
        <v>0</v>
      </c>
      <c r="BG27" s="92">
        <f t="shared" si="81"/>
        <v>0.5</v>
      </c>
      <c r="BH27" s="92">
        <f t="shared" si="82"/>
        <v>0</v>
      </c>
      <c r="BI27" s="93">
        <f t="shared" si="83"/>
        <v>1.9899999999999984</v>
      </c>
      <c r="BJ27" s="92">
        <f t="shared" si="84"/>
        <v>0.98999999999999844</v>
      </c>
      <c r="BK27" s="92">
        <f t="shared" si="85"/>
        <v>0.5</v>
      </c>
      <c r="BL27" s="92">
        <f t="shared" si="86"/>
        <v>0</v>
      </c>
      <c r="BM27" s="92">
        <f t="shared" si="87"/>
        <v>0.5</v>
      </c>
      <c r="BN27" s="92">
        <f t="shared" si="88"/>
        <v>0</v>
      </c>
      <c r="BO27" s="93">
        <f t="shared" si="89"/>
        <v>1.9899999999999984</v>
      </c>
      <c r="BQ27">
        <v>26.99</v>
      </c>
      <c r="BR27">
        <v>29.99</v>
      </c>
      <c r="BS27">
        <v>27.49</v>
      </c>
      <c r="BT27">
        <v>30.49</v>
      </c>
      <c r="BU27">
        <v>27.49</v>
      </c>
      <c r="BV27">
        <v>30.49</v>
      </c>
      <c r="BW27">
        <v>27.99</v>
      </c>
      <c r="BX27">
        <v>30.99</v>
      </c>
      <c r="BY27">
        <v>27.99</v>
      </c>
      <c r="BZ27">
        <v>30.99</v>
      </c>
    </row>
    <row r="28" spans="1:78" x14ac:dyDescent="0.2">
      <c r="A28" s="94" t="s">
        <v>433</v>
      </c>
      <c r="B28" s="95"/>
      <c r="C28" s="95"/>
      <c r="D28" s="95"/>
      <c r="E28" s="95"/>
      <c r="F28" s="95"/>
      <c r="G28" s="95"/>
      <c r="H28" s="95"/>
      <c r="I28" s="95"/>
      <c r="J28" s="95"/>
      <c r="K28" s="95"/>
      <c r="L28" s="96">
        <f>SUM(L21:L27)</f>
        <v>433567.01062571001</v>
      </c>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row>
    <row r="29" spans="1:78" x14ac:dyDescent="0.2">
      <c r="A29" s="72" t="s">
        <v>97</v>
      </c>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row>
    <row r="30" spans="1:78" x14ac:dyDescent="0.2">
      <c r="A30" s="26">
        <v>1</v>
      </c>
      <c r="B30" s="26" t="s">
        <v>162</v>
      </c>
      <c r="C30" s="26" t="s">
        <v>97</v>
      </c>
      <c r="D30" s="74">
        <v>1</v>
      </c>
      <c r="E30" s="75">
        <v>11</v>
      </c>
      <c r="F30" s="76">
        <v>2828</v>
      </c>
      <c r="G30" s="76">
        <v>1452</v>
      </c>
      <c r="H30" s="77">
        <f>SUMIFS(RETETAR!$I$4:$I$967,RETETAR!$A$4:$A$967,$M30,RETETAR!$C$4:$C$967,"AMBELE")+SUMIFS(RETETAR!$I$4:$I$967,RETETAR!$A$4:$A$967,$M30,RETETAR!$C$4:$C$967,"INSTORE")</f>
        <v>4.89941885</v>
      </c>
      <c r="I30" s="77">
        <f>SUMIFS(RETETAR!$I$4:$I$967,RETETAR!$A$4:$A$967,$M30,RETETAR!$C$4:$C$967,"AMBELE")+SUMIFS(RETETAR!$I$4:$I$967,RETETAR!$A$4:$A$967,$M30,RETETAR!$C$4:$C$967,"DELIVERY")</f>
        <v>4.89941885</v>
      </c>
      <c r="J30" s="78">
        <f t="shared" ref="J30:J41" si="90">$H30*$F30</f>
        <v>13855.5565078</v>
      </c>
      <c r="K30" s="78">
        <f t="shared" ref="K30:K41" si="91">$I30*$G30</f>
        <v>7113.9561702000001</v>
      </c>
      <c r="L30" s="78">
        <f t="shared" ref="L30:L41" si="92">$J30+$K30</f>
        <v>20969.512677999999</v>
      </c>
      <c r="M30" t="s">
        <v>162</v>
      </c>
      <c r="N30" s="79">
        <v>15.99</v>
      </c>
      <c r="O30" s="79">
        <v>17.989999999999998</v>
      </c>
      <c r="P30" s="80">
        <v>15.99</v>
      </c>
      <c r="Q30" s="80">
        <v>17.989999999999998</v>
      </c>
      <c r="R30" s="81">
        <f t="shared" ref="R30:R41" si="93">IF(P30="",0,P30/(1+$E30/100)*$F30)</f>
        <v>40738.486486486479</v>
      </c>
      <c r="S30" s="81">
        <f t="shared" ref="S30:S41" si="94">IF(Q30="",0,Q30/(1+$E30/100)*$G30)</f>
        <v>23532.86486486486</v>
      </c>
      <c r="T30" s="81">
        <f t="shared" ref="T30:T41" si="95">R30+S30</f>
        <v>64271.351351351339</v>
      </c>
      <c r="U30" s="82">
        <f t="shared" ref="U30:U41" si="96">IF(OR(T30=0,$L30=0),"",$L30/T30)</f>
        <v>0.32626531474912118</v>
      </c>
      <c r="V30" s="82">
        <f t="shared" ref="V30:V41" si="97">IF(OR(R30=0,$J30=0),"",$J30/R30)</f>
        <v>0.34010975131332088</v>
      </c>
      <c r="W30" s="82">
        <f t="shared" ref="W30:W41" si="98">IF(OR(S30=0,$K30=0),"",$K30/S30)</f>
        <v>0.30229877284602563</v>
      </c>
      <c r="X30" s="83">
        <f>BS30+SCENARIU!$C$22+'AJUSTĂRI PE PRODUS'!$I$23</f>
        <v>16.489999999999998</v>
      </c>
      <c r="Y30" s="83">
        <f>BT30+SCENARIU!$C$22+'AJUSTĂRI PE PRODUS'!$J$23</f>
        <v>18.489999999999998</v>
      </c>
      <c r="Z30" s="84">
        <f t="shared" ref="Z30:Z41" si="99">IF(X30="",0,X30/(1+$E30/100)*$F30)</f>
        <v>42012.360360360355</v>
      </c>
      <c r="AA30" s="84">
        <f t="shared" ref="AA30:AA41" si="100">IF(Y30="",0,Y30/(1+$E30/100)*$G30)</f>
        <v>24186.918918918916</v>
      </c>
      <c r="AB30" s="84">
        <f t="shared" ref="AB30:AB41" si="101">Z30+AA30</f>
        <v>66199.279279279275</v>
      </c>
      <c r="AC30" s="85">
        <f t="shared" ref="AC30:AC41" si="102">IF(OR(AB30=0,$L30=0),"",$L30/AB30)</f>
        <v>0.31676345885178797</v>
      </c>
      <c r="AD30" s="85">
        <f t="shared" ref="AD30:AD41" si="103">IF(OR(Z30=0,$J30=0),"",$J30/Z30)</f>
        <v>0.32979714514857494</v>
      </c>
      <c r="AE30" s="85">
        <f t="shared" ref="AE30:AE41" si="104">IF(OR(AA30=0,$K30=0),"",$K30/AA30)</f>
        <v>0.29412411700919422</v>
      </c>
      <c r="AF30" s="83">
        <f>BU30+SCENARIU!$C$22+SCENARIU!$D$22+'AJUSTĂRI PE PRODUS'!$I$23+'AJUSTĂRI PE PRODUS'!$N$23</f>
        <v>16.489999999999998</v>
      </c>
      <c r="AG30" s="83">
        <f>BV30+SCENARIU!$C$22+SCENARIU!$D$22+'AJUSTĂRI PE PRODUS'!$J$23+'AJUSTĂRI PE PRODUS'!$O$23</f>
        <v>18.489999999999998</v>
      </c>
      <c r="AH30" s="86">
        <f t="shared" ref="AH30:AH41" si="105">IF(AF30="",0,AF30/(1+$E30/100)*$F30)</f>
        <v>42012.360360360355</v>
      </c>
      <c r="AI30" s="86">
        <f t="shared" ref="AI30:AI41" si="106">IF(AG30="",0,AG30/(1+$E30/100)*$G30)</f>
        <v>24186.918918918916</v>
      </c>
      <c r="AJ30" s="86">
        <f t="shared" ref="AJ30:AJ41" si="107">AH30+AI30</f>
        <v>66199.279279279275</v>
      </c>
      <c r="AK30" s="87">
        <f t="shared" ref="AK30:AK41" si="108">IF(OR(AJ30=0,$L30=0),"",$L30/AJ30)</f>
        <v>0.31676345885178797</v>
      </c>
      <c r="AL30" s="87">
        <f t="shared" ref="AL30:AL41" si="109">IF(OR(AH30=0,$J30=0),"",$J30/AH30)</f>
        <v>0.32979714514857494</v>
      </c>
      <c r="AM30" s="87">
        <f t="shared" ref="AM30:AM41" si="110">IF(OR(AI30=0,$K30=0),"",$K30/AI30)</f>
        <v>0.29412411700919422</v>
      </c>
      <c r="AN30" s="83">
        <f>BW30+SCENARIU!$C$22+SCENARIU!$D$22+SCENARIU!$E$22+'AJUSTĂRI PE PRODUS'!$I$23+'AJUSTĂRI PE PRODUS'!$N$23+'AJUSTĂRI PE PRODUS'!$S$23</f>
        <v>16.989999999999998</v>
      </c>
      <c r="AO30" s="83">
        <f>BX30+SCENARIU!$C$22+SCENARIU!$D$22+SCENARIU!$E$22+'AJUSTĂRI PE PRODUS'!$J$23+'AJUSTĂRI PE PRODUS'!$O$23+'AJUSTĂRI PE PRODUS'!$T$23</f>
        <v>18.989999999999998</v>
      </c>
      <c r="AP30" s="88">
        <f t="shared" ref="AP30:AP41" si="111">IF(AN30="",0,AN30/(1+$E30/100)*$F30)</f>
        <v>43286.234234234231</v>
      </c>
      <c r="AQ30" s="88">
        <f t="shared" ref="AQ30:AQ41" si="112">IF(AO30="",0,AO30/(1+$E30/100)*$G30)</f>
        <v>24840.97297297297</v>
      </c>
      <c r="AR30" s="88">
        <f t="shared" ref="AR30:AR41" si="113">AP30+AQ30</f>
        <v>68127.207207207204</v>
      </c>
      <c r="AS30" s="89">
        <f t="shared" ref="AS30:AS41" si="114">IF(OR(AR30=0,$L30=0),"",$L30/AR30)</f>
        <v>0.3077993879041856</v>
      </c>
      <c r="AT30" s="89">
        <f t="shared" ref="AT30:AT41" si="115">IF(OR(AP30=0,$J30=0),"",$J30/AP30)</f>
        <v>0.32009151992348445</v>
      </c>
      <c r="AU30" s="89">
        <f t="shared" ref="AU30:AU41" si="116">IF(OR(AQ30=0,$K30=0),"",$K30/AQ30)</f>
        <v>0.2863799327804108</v>
      </c>
      <c r="AV30" s="83">
        <f>BY30+SCENARIU!$C$22+SCENARIU!$D$22+SCENARIU!$E$22+SCENARIU!$F$22+'AJUSTĂRI PE PRODUS'!$I$23+'AJUSTĂRI PE PRODUS'!$N$23+'AJUSTĂRI PE PRODUS'!$S$23+'AJUSTĂRI PE PRODUS'!$X$23</f>
        <v>17.489999999999998</v>
      </c>
      <c r="AW30" s="83">
        <f>BZ30+SCENARIU!$C$22+SCENARIU!$D$22+SCENARIU!$E$22+SCENARIU!$F$22+'AJUSTĂRI PE PRODUS'!$J$23+'AJUSTĂRI PE PRODUS'!$O$23+'AJUSTĂRI PE PRODUS'!$T$23+'AJUSTĂRI PE PRODUS'!$Y$23</f>
        <v>19.489999999999998</v>
      </c>
      <c r="AX30" s="90">
        <f t="shared" ref="AX30:AX41" si="117">IF(AV30="",0,AV30/(1+$E30/100)*$F30)</f>
        <v>44560.108108108099</v>
      </c>
      <c r="AY30" s="90">
        <f t="shared" ref="AY30:AY41" si="118">IF(AW30="",0,AW30/(1+$E30/100)*$G30)</f>
        <v>25495.027027027023</v>
      </c>
      <c r="AZ30" s="90">
        <f t="shared" ref="AZ30:AZ41" si="119">AX30+AY30</f>
        <v>70055.135135135119</v>
      </c>
      <c r="BA30" s="91">
        <f t="shared" ref="BA30:BA41" si="120">IF(OR(AZ30=0,$L30=0),"",$L30/AZ30)</f>
        <v>0.29932870213654117</v>
      </c>
      <c r="BB30" s="91">
        <f t="shared" ref="BB30:BB41" si="121">IF(OR(AX30=0,$J30=0),"",$J30/AX30)</f>
        <v>0.31094081895368786</v>
      </c>
      <c r="BC30" s="91">
        <f t="shared" ref="BC30:BC41" si="122">IF(OR(AY30=0,$K30=0),"",$K30/AY30)</f>
        <v>0.27903308996921505</v>
      </c>
      <c r="BD30" s="92">
        <f t="shared" ref="BD30:BD41" si="123">IF(OR($N30="",P30=""),"",P30-$N30)</f>
        <v>0</v>
      </c>
      <c r="BE30" s="92">
        <f t="shared" ref="BE30:BE41" si="124">IF(OR(P30="",X30=""),"",X30-P30)</f>
        <v>0.49999999999999822</v>
      </c>
      <c r="BF30" s="92">
        <f t="shared" ref="BF30:BF41" si="125">IF(OR(X30="",AF30=""),"",AF30-X30)</f>
        <v>0</v>
      </c>
      <c r="BG30" s="92">
        <f t="shared" ref="BG30:BG41" si="126">IF(OR(AF30="",AN30=""),"",AN30-AF30)</f>
        <v>0.5</v>
      </c>
      <c r="BH30" s="92">
        <f t="shared" ref="BH30:BH41" si="127">IF(OR(AN30="",AV30=""),"",AV30-AN30)</f>
        <v>0.5</v>
      </c>
      <c r="BI30" s="93">
        <f t="shared" ref="BI30:BI41" si="128">IF(OR($N30="",AV30=""),"",AV30-$N30)</f>
        <v>1.4999999999999982</v>
      </c>
      <c r="BJ30" s="92">
        <f t="shared" ref="BJ30:BJ41" si="129">IF(OR($O30="",Q30=""),"",Q30-$O30)</f>
        <v>0</v>
      </c>
      <c r="BK30" s="92">
        <f t="shared" ref="BK30:BK41" si="130">IF(OR(Q30="",Y30=""),"",Y30-Q30)</f>
        <v>0.5</v>
      </c>
      <c r="BL30" s="92">
        <f t="shared" ref="BL30:BL41" si="131">IF(OR(Y30="",AG30=""),"",AG30-Y30)</f>
        <v>0</v>
      </c>
      <c r="BM30" s="92">
        <f t="shared" ref="BM30:BM41" si="132">IF(OR(AG30="",AO30=""),"",AO30-AG30)</f>
        <v>0.5</v>
      </c>
      <c r="BN30" s="92">
        <f t="shared" ref="BN30:BN41" si="133">IF(OR(AO30="",AW30=""),"",AW30-AO30)</f>
        <v>0.5</v>
      </c>
      <c r="BO30" s="93">
        <f t="shared" ref="BO30:BO41" si="134">IF(OR($O30="",AW30=""),"",AW30-$O30)</f>
        <v>1.5</v>
      </c>
      <c r="BQ30">
        <v>15.99</v>
      </c>
      <c r="BR30">
        <v>17.989999999999998</v>
      </c>
      <c r="BS30">
        <v>16.489999999999998</v>
      </c>
      <c r="BT30">
        <v>18.489999999999998</v>
      </c>
      <c r="BU30">
        <v>16.489999999999998</v>
      </c>
      <c r="BV30">
        <v>18.489999999999998</v>
      </c>
      <c r="BW30">
        <v>16.989999999999998</v>
      </c>
      <c r="BX30">
        <v>18.989999999999998</v>
      </c>
      <c r="BY30">
        <v>17.489999999999998</v>
      </c>
      <c r="BZ30">
        <v>19.489999999999998</v>
      </c>
    </row>
    <row r="31" spans="1:78" x14ac:dyDescent="0.2">
      <c r="A31" s="26">
        <v>2</v>
      </c>
      <c r="B31" s="26" t="s">
        <v>163</v>
      </c>
      <c r="C31" s="26" t="s">
        <v>97</v>
      </c>
      <c r="D31" s="74">
        <v>1</v>
      </c>
      <c r="E31" s="75">
        <v>11</v>
      </c>
      <c r="F31" s="76">
        <v>1779</v>
      </c>
      <c r="G31" s="76">
        <v>751</v>
      </c>
      <c r="H31" s="77">
        <f>SUMIFS(RETETAR!$I$4:$I$967,RETETAR!$A$4:$A$967,$M31,RETETAR!$C$4:$C$967,"AMBELE")+SUMIFS(RETETAR!$I$4:$I$967,RETETAR!$A$4:$A$967,$M31,RETETAR!$C$4:$C$967,"INSTORE")</f>
        <v>10.146003200000001</v>
      </c>
      <c r="I31" s="77">
        <f>SUMIFS(RETETAR!$I$4:$I$967,RETETAR!$A$4:$A$967,$M31,RETETAR!$C$4:$C$967,"AMBELE")+SUMIFS(RETETAR!$I$4:$I$967,RETETAR!$A$4:$A$967,$M31,RETETAR!$C$4:$C$967,"DELIVERY")</f>
        <v>10.146003200000001</v>
      </c>
      <c r="J31" s="78">
        <f t="shared" si="90"/>
        <v>18049.739692800002</v>
      </c>
      <c r="K31" s="78">
        <f t="shared" si="91"/>
        <v>7619.6484032000008</v>
      </c>
      <c r="L31" s="78">
        <f t="shared" si="92"/>
        <v>25669.388096000002</v>
      </c>
      <c r="M31" t="s">
        <v>163</v>
      </c>
      <c r="N31" s="79">
        <v>26</v>
      </c>
      <c r="O31" s="79">
        <v>28</v>
      </c>
      <c r="P31" s="80">
        <v>26.99</v>
      </c>
      <c r="Q31" s="80">
        <v>28.99</v>
      </c>
      <c r="R31" s="81">
        <f t="shared" si="93"/>
        <v>43256.945945945939</v>
      </c>
      <c r="S31" s="81">
        <f t="shared" si="94"/>
        <v>19613.954954954952</v>
      </c>
      <c r="T31" s="81">
        <f t="shared" si="95"/>
        <v>62870.900900900888</v>
      </c>
      <c r="U31" s="82">
        <f t="shared" si="96"/>
        <v>0.40828726371299989</v>
      </c>
      <c r="V31" s="82">
        <f t="shared" si="97"/>
        <v>0.41726800859577634</v>
      </c>
      <c r="W31" s="82">
        <f t="shared" si="98"/>
        <v>0.38848097799241127</v>
      </c>
      <c r="X31" s="83">
        <f>BS31+SCENARIU!$C$22+'AJUSTĂRI PE PRODUS'!$I$24</f>
        <v>27.49</v>
      </c>
      <c r="Y31" s="83">
        <f>BT31+SCENARIU!$C$22+'AJUSTĂRI PE PRODUS'!$J$24</f>
        <v>29.49</v>
      </c>
      <c r="Z31" s="84">
        <f t="shared" si="99"/>
        <v>44058.297297297293</v>
      </c>
      <c r="AA31" s="84">
        <f t="shared" si="100"/>
        <v>19952.24324324324</v>
      </c>
      <c r="AB31" s="84">
        <f t="shared" si="101"/>
        <v>64010.540540540533</v>
      </c>
      <c r="AC31" s="85">
        <f t="shared" si="102"/>
        <v>0.40101814293760751</v>
      </c>
      <c r="AD31" s="85">
        <f t="shared" si="103"/>
        <v>0.40967855773008377</v>
      </c>
      <c r="AE31" s="85">
        <f t="shared" si="104"/>
        <v>0.38189432187182104</v>
      </c>
      <c r="AF31" s="83">
        <f>BU31+SCENARIU!$C$22+SCENARIU!$D$22+'AJUSTĂRI PE PRODUS'!$I$24+'AJUSTĂRI PE PRODUS'!$N$24</f>
        <v>27.49</v>
      </c>
      <c r="AG31" s="83">
        <f>BV31+SCENARIU!$C$22+SCENARIU!$D$22+'AJUSTĂRI PE PRODUS'!$J$24+'AJUSTĂRI PE PRODUS'!$O$24</f>
        <v>29.49</v>
      </c>
      <c r="AH31" s="86">
        <f t="shared" si="105"/>
        <v>44058.297297297293</v>
      </c>
      <c r="AI31" s="86">
        <f t="shared" si="106"/>
        <v>19952.24324324324</v>
      </c>
      <c r="AJ31" s="86">
        <f t="shared" si="107"/>
        <v>64010.540540540533</v>
      </c>
      <c r="AK31" s="87">
        <f t="shared" si="108"/>
        <v>0.40101814293760751</v>
      </c>
      <c r="AL31" s="87">
        <f t="shared" si="109"/>
        <v>0.40967855773008377</v>
      </c>
      <c r="AM31" s="87">
        <f t="shared" si="110"/>
        <v>0.38189432187182104</v>
      </c>
      <c r="AN31" s="83">
        <f>BW31+SCENARIU!$C$22+SCENARIU!$D$22+SCENARIU!$E$22+'AJUSTĂRI PE PRODUS'!$I$24+'AJUSTĂRI PE PRODUS'!$N$24+'AJUSTĂRI PE PRODUS'!$S$24</f>
        <v>27.99</v>
      </c>
      <c r="AO31" s="83">
        <f>BX31+SCENARIU!$C$22+SCENARIU!$D$22+SCENARIU!$E$22+'AJUSTĂRI PE PRODUS'!$J$24+'AJUSTĂRI PE PRODUS'!$O$24+'AJUSTĂRI PE PRODUS'!$T$24</f>
        <v>29.99</v>
      </c>
      <c r="AP31" s="88">
        <f t="shared" si="111"/>
        <v>44859.648648648646</v>
      </c>
      <c r="AQ31" s="88">
        <f t="shared" si="112"/>
        <v>20290.531531531531</v>
      </c>
      <c r="AR31" s="88">
        <f t="shared" si="113"/>
        <v>65150.180180180178</v>
      </c>
      <c r="AS31" s="89">
        <f t="shared" si="114"/>
        <v>0.39400333237772195</v>
      </c>
      <c r="AT31" s="89">
        <f t="shared" si="115"/>
        <v>0.40236025551982857</v>
      </c>
      <c r="AU31" s="89">
        <f t="shared" si="116"/>
        <v>0.37552729416472164</v>
      </c>
      <c r="AV31" s="83">
        <f>BY31+SCENARIU!$C$22+SCENARIU!$D$22+SCENARIU!$E$22+SCENARIU!$F$22+'AJUSTĂRI PE PRODUS'!$I$24+'AJUSTĂRI PE PRODUS'!$N$24+'AJUSTĂRI PE PRODUS'!$S$24+'AJUSTĂRI PE PRODUS'!$X$24</f>
        <v>28.49</v>
      </c>
      <c r="AW31" s="83">
        <f>BZ31+SCENARIU!$C$22+SCENARIU!$D$22+SCENARIU!$E$22+SCENARIU!$F$22+'AJUSTĂRI PE PRODUS'!$J$24+'AJUSTĂRI PE PRODUS'!$O$24+'AJUSTĂRI PE PRODUS'!$T$24+'AJUSTĂRI PE PRODUS'!$Y$24</f>
        <v>30.49</v>
      </c>
      <c r="AX31" s="90">
        <f t="shared" si="117"/>
        <v>45660.999999999993</v>
      </c>
      <c r="AY31" s="90">
        <f t="shared" si="118"/>
        <v>20628.819819819819</v>
      </c>
      <c r="AZ31" s="90">
        <f t="shared" si="119"/>
        <v>66289.819819819808</v>
      </c>
      <c r="BA31" s="91">
        <f t="shared" si="120"/>
        <v>0.38722971590164412</v>
      </c>
      <c r="BB31" s="91">
        <f t="shared" si="121"/>
        <v>0.39529882597402605</v>
      </c>
      <c r="BC31" s="91">
        <f t="shared" si="122"/>
        <v>0.36936908993112499</v>
      </c>
      <c r="BD31" s="92">
        <f t="shared" si="123"/>
        <v>0.98999999999999844</v>
      </c>
      <c r="BE31" s="92">
        <f t="shared" si="124"/>
        <v>0.5</v>
      </c>
      <c r="BF31" s="92">
        <f t="shared" si="125"/>
        <v>0</v>
      </c>
      <c r="BG31" s="92">
        <f t="shared" si="126"/>
        <v>0.5</v>
      </c>
      <c r="BH31" s="92">
        <f t="shared" si="127"/>
        <v>0.5</v>
      </c>
      <c r="BI31" s="93">
        <f t="shared" si="128"/>
        <v>2.4899999999999984</v>
      </c>
      <c r="BJ31" s="92">
        <f t="shared" si="129"/>
        <v>0.98999999999999844</v>
      </c>
      <c r="BK31" s="92">
        <f t="shared" si="130"/>
        <v>0.5</v>
      </c>
      <c r="BL31" s="92">
        <f t="shared" si="131"/>
        <v>0</v>
      </c>
      <c r="BM31" s="92">
        <f t="shared" si="132"/>
        <v>0.5</v>
      </c>
      <c r="BN31" s="92">
        <f t="shared" si="133"/>
        <v>0.5</v>
      </c>
      <c r="BO31" s="93">
        <f t="shared" si="134"/>
        <v>2.4899999999999984</v>
      </c>
      <c r="BQ31">
        <v>26.99</v>
      </c>
      <c r="BR31">
        <v>28.99</v>
      </c>
      <c r="BS31">
        <v>27.49</v>
      </c>
      <c r="BT31">
        <v>29.49</v>
      </c>
      <c r="BU31">
        <v>27.49</v>
      </c>
      <c r="BV31">
        <v>29.49</v>
      </c>
      <c r="BW31">
        <v>27.99</v>
      </c>
      <c r="BX31">
        <v>29.99</v>
      </c>
      <c r="BY31">
        <v>28.49</v>
      </c>
      <c r="BZ31">
        <v>30.49</v>
      </c>
    </row>
    <row r="32" spans="1:78" x14ac:dyDescent="0.2">
      <c r="A32" s="26">
        <v>3</v>
      </c>
      <c r="B32" s="26" t="s">
        <v>174</v>
      </c>
      <c r="C32" s="26" t="s">
        <v>97</v>
      </c>
      <c r="D32" s="74">
        <v>1</v>
      </c>
      <c r="E32" s="75">
        <v>11</v>
      </c>
      <c r="F32" s="76">
        <v>1599</v>
      </c>
      <c r="G32" s="76">
        <v>799</v>
      </c>
      <c r="H32" s="77">
        <f>SUMIFS(RETETAR!$I$4:$I$967,RETETAR!$A$4:$A$967,$M32,RETETAR!$C$4:$C$967,"AMBELE")+SUMIFS(RETETAR!$I$4:$I$967,RETETAR!$A$4:$A$967,$M32,RETETAR!$C$4:$C$967,"INSTORE")</f>
        <v>5.017055749999999</v>
      </c>
      <c r="I32" s="77">
        <f>SUMIFS(RETETAR!$I$4:$I$967,RETETAR!$A$4:$A$967,$M32,RETETAR!$C$4:$C$967,"AMBELE")+SUMIFS(RETETAR!$I$4:$I$967,RETETAR!$A$4:$A$967,$M32,RETETAR!$C$4:$C$967,"DELIVERY")</f>
        <v>5.017055749999999</v>
      </c>
      <c r="J32" s="78">
        <f t="shared" si="90"/>
        <v>8022.2721442499987</v>
      </c>
      <c r="K32" s="78">
        <f t="shared" si="91"/>
        <v>4008.6275442499991</v>
      </c>
      <c r="L32" s="78">
        <f t="shared" si="92"/>
        <v>12030.899688499998</v>
      </c>
      <c r="M32" t="s">
        <v>174</v>
      </c>
      <c r="N32" s="79">
        <v>15.99</v>
      </c>
      <c r="O32" s="79">
        <v>17.989999999999998</v>
      </c>
      <c r="P32" s="80">
        <v>15.99</v>
      </c>
      <c r="Q32" s="80">
        <v>17.989999999999998</v>
      </c>
      <c r="R32" s="81">
        <f t="shared" si="93"/>
        <v>23034.24324324324</v>
      </c>
      <c r="S32" s="81">
        <f t="shared" si="94"/>
        <v>12949.558558558556</v>
      </c>
      <c r="T32" s="81">
        <f t="shared" si="95"/>
        <v>35983.801801801797</v>
      </c>
      <c r="U32" s="82">
        <f t="shared" si="96"/>
        <v>0.33434209522290059</v>
      </c>
      <c r="V32" s="82">
        <f t="shared" si="97"/>
        <v>0.3482759151031895</v>
      </c>
      <c r="W32" s="82">
        <f t="shared" si="98"/>
        <v>0.30955708073929961</v>
      </c>
      <c r="X32" s="83">
        <f>BS32+SCENARIU!$C$22+'AJUSTĂRI PE PRODUS'!$I$34</f>
        <v>16.489999999999998</v>
      </c>
      <c r="Y32" s="83">
        <f>BT32+SCENARIU!$C$22+'AJUSTĂRI PE PRODUS'!$J$34</f>
        <v>18.489999999999998</v>
      </c>
      <c r="Z32" s="84">
        <f t="shared" si="99"/>
        <v>23754.51351351351</v>
      </c>
      <c r="AA32" s="84">
        <f t="shared" si="100"/>
        <v>13309.468468468467</v>
      </c>
      <c r="AB32" s="84">
        <f t="shared" si="101"/>
        <v>37063.981981981975</v>
      </c>
      <c r="AC32" s="85">
        <f t="shared" si="102"/>
        <v>0.32459814205469384</v>
      </c>
      <c r="AD32" s="85">
        <f t="shared" si="103"/>
        <v>0.33771569936325047</v>
      </c>
      <c r="AE32" s="85">
        <f t="shared" si="104"/>
        <v>0.301186148323418</v>
      </c>
      <c r="AF32" s="83">
        <f>BU32+SCENARIU!$C$22+SCENARIU!$D$22+'AJUSTĂRI PE PRODUS'!$I$34+'AJUSTĂRI PE PRODUS'!$N$34</f>
        <v>16.489999999999998</v>
      </c>
      <c r="AG32" s="83">
        <f>BV32+SCENARIU!$C$22+SCENARIU!$D$22+'AJUSTĂRI PE PRODUS'!$J$34+'AJUSTĂRI PE PRODUS'!$O$34</f>
        <v>18.489999999999998</v>
      </c>
      <c r="AH32" s="86">
        <f t="shared" si="105"/>
        <v>23754.51351351351</v>
      </c>
      <c r="AI32" s="86">
        <f t="shared" si="106"/>
        <v>13309.468468468467</v>
      </c>
      <c r="AJ32" s="86">
        <f t="shared" si="107"/>
        <v>37063.981981981975</v>
      </c>
      <c r="AK32" s="87">
        <f t="shared" si="108"/>
        <v>0.32459814205469384</v>
      </c>
      <c r="AL32" s="87">
        <f t="shared" si="109"/>
        <v>0.33771569936325047</v>
      </c>
      <c r="AM32" s="87">
        <f t="shared" si="110"/>
        <v>0.301186148323418</v>
      </c>
      <c r="AN32" s="83">
        <f>BW32+SCENARIU!$C$22+SCENARIU!$D$22+SCENARIU!$E$22+'AJUSTĂRI PE PRODUS'!$I$34+'AJUSTĂRI PE PRODUS'!$N$34+'AJUSTĂRI PE PRODUS'!$S$34</f>
        <v>16.989999999999998</v>
      </c>
      <c r="AO32" s="83">
        <f>BX32+SCENARIU!$C$22+SCENARIU!$D$22+SCENARIU!$E$22+'AJUSTĂRI PE PRODUS'!$J$34+'AJUSTĂRI PE PRODUS'!$O$34+'AJUSTĂRI PE PRODUS'!$T$34</f>
        <v>18.989999999999998</v>
      </c>
      <c r="AP32" s="88">
        <f t="shared" si="111"/>
        <v>24474.78378378378</v>
      </c>
      <c r="AQ32" s="88">
        <f t="shared" si="112"/>
        <v>13669.378378378377</v>
      </c>
      <c r="AR32" s="88">
        <f t="shared" si="113"/>
        <v>38144.16216216216</v>
      </c>
      <c r="AS32" s="89">
        <f t="shared" si="114"/>
        <v>0.31540605446655429</v>
      </c>
      <c r="AT32" s="89">
        <f t="shared" si="115"/>
        <v>0.3277770384049441</v>
      </c>
      <c r="AU32" s="89">
        <f t="shared" si="116"/>
        <v>0.29325602330173772</v>
      </c>
      <c r="AV32" s="83">
        <f>BY32+SCENARIU!$C$22+SCENARIU!$D$22+SCENARIU!$E$22+SCENARIU!$F$22+'AJUSTĂRI PE PRODUS'!$I$34+'AJUSTĂRI PE PRODUS'!$N$34+'AJUSTĂRI PE PRODUS'!$S$34+'AJUSTĂRI PE PRODUS'!$X$34</f>
        <v>17.489999999999998</v>
      </c>
      <c r="AW32" s="83">
        <f>BZ32+SCENARIU!$C$22+SCENARIU!$D$22+SCENARIU!$E$22+SCENARIU!$F$22+'AJUSTĂRI PE PRODUS'!$J$34+'AJUSTĂRI PE PRODUS'!$O$34+'AJUSTĂRI PE PRODUS'!$T$34+'AJUSTĂRI PE PRODUS'!$Y$34</f>
        <v>19.489999999999998</v>
      </c>
      <c r="AX32" s="90">
        <f t="shared" si="117"/>
        <v>25195.05405405405</v>
      </c>
      <c r="AY32" s="90">
        <f t="shared" si="118"/>
        <v>14029.288288288286</v>
      </c>
      <c r="AZ32" s="90">
        <f t="shared" si="119"/>
        <v>39224.342342342337</v>
      </c>
      <c r="BA32" s="91">
        <f t="shared" si="120"/>
        <v>0.30672023978112045</v>
      </c>
      <c r="BB32" s="91">
        <f t="shared" si="121"/>
        <v>0.31840662564322469</v>
      </c>
      <c r="BC32" s="91">
        <f t="shared" si="122"/>
        <v>0.28573278001539248</v>
      </c>
      <c r="BD32" s="92">
        <f t="shared" si="123"/>
        <v>0</v>
      </c>
      <c r="BE32" s="92">
        <f t="shared" si="124"/>
        <v>0.49999999999999822</v>
      </c>
      <c r="BF32" s="92">
        <f t="shared" si="125"/>
        <v>0</v>
      </c>
      <c r="BG32" s="92">
        <f t="shared" si="126"/>
        <v>0.5</v>
      </c>
      <c r="BH32" s="92">
        <f t="shared" si="127"/>
        <v>0.5</v>
      </c>
      <c r="BI32" s="93">
        <f t="shared" si="128"/>
        <v>1.4999999999999982</v>
      </c>
      <c r="BJ32" s="92">
        <f t="shared" si="129"/>
        <v>0</v>
      </c>
      <c r="BK32" s="92">
        <f t="shared" si="130"/>
        <v>0.5</v>
      </c>
      <c r="BL32" s="92">
        <f t="shared" si="131"/>
        <v>0</v>
      </c>
      <c r="BM32" s="92">
        <f t="shared" si="132"/>
        <v>0.5</v>
      </c>
      <c r="BN32" s="92">
        <f t="shared" si="133"/>
        <v>0.5</v>
      </c>
      <c r="BO32" s="93">
        <f t="shared" si="134"/>
        <v>1.5</v>
      </c>
      <c r="BQ32">
        <v>15.99</v>
      </c>
      <c r="BR32">
        <v>17.989999999999998</v>
      </c>
      <c r="BS32">
        <v>16.489999999999998</v>
      </c>
      <c r="BT32">
        <v>18.489999999999998</v>
      </c>
      <c r="BU32">
        <v>16.489999999999998</v>
      </c>
      <c r="BV32">
        <v>18.489999999999998</v>
      </c>
      <c r="BW32">
        <v>16.989999999999998</v>
      </c>
      <c r="BX32">
        <v>18.989999999999998</v>
      </c>
      <c r="BY32">
        <v>17.489999999999998</v>
      </c>
      <c r="BZ32">
        <v>19.489999999999998</v>
      </c>
    </row>
    <row r="33" spans="1:78" x14ac:dyDescent="0.2">
      <c r="A33" s="26">
        <v>4</v>
      </c>
      <c r="B33" s="26" t="s">
        <v>176</v>
      </c>
      <c r="C33" s="26" t="s">
        <v>97</v>
      </c>
      <c r="D33" s="74">
        <v>1</v>
      </c>
      <c r="E33" s="75">
        <v>11</v>
      </c>
      <c r="F33" s="76">
        <v>1943</v>
      </c>
      <c r="G33" s="76">
        <v>626</v>
      </c>
      <c r="H33" s="77">
        <f>SUMIFS(RETETAR!$I$4:$I$967,RETETAR!$A$4:$A$967,$M33,RETETAR!$C$4:$C$967,"AMBELE")+SUMIFS(RETETAR!$I$4:$I$967,RETETAR!$A$4:$A$967,$M33,RETETAR!$C$4:$C$967,"INSTORE")</f>
        <v>5.596497799999999</v>
      </c>
      <c r="I33" s="77">
        <f>SUMIFS(RETETAR!$I$4:$I$967,RETETAR!$A$4:$A$967,$M33,RETETAR!$C$4:$C$967,"AMBELE")+SUMIFS(RETETAR!$I$4:$I$967,RETETAR!$A$4:$A$967,$M33,RETETAR!$C$4:$C$967,"DELIVERY")</f>
        <v>5.596497799999999</v>
      </c>
      <c r="J33" s="78">
        <f t="shared" si="90"/>
        <v>10873.995225399998</v>
      </c>
      <c r="K33" s="78">
        <f t="shared" si="91"/>
        <v>3503.4076227999994</v>
      </c>
      <c r="L33" s="78">
        <f t="shared" si="92"/>
        <v>14377.402848199998</v>
      </c>
      <c r="M33" t="s">
        <v>176</v>
      </c>
      <c r="N33" s="79">
        <v>14</v>
      </c>
      <c r="O33" s="79">
        <v>16</v>
      </c>
      <c r="P33" s="80">
        <v>14.49</v>
      </c>
      <c r="Q33" s="80">
        <v>16.489999999999998</v>
      </c>
      <c r="R33" s="81">
        <f t="shared" si="93"/>
        <v>25364.027027027023</v>
      </c>
      <c r="S33" s="81">
        <f t="shared" si="94"/>
        <v>9299.7657657657637</v>
      </c>
      <c r="T33" s="81">
        <f t="shared" si="95"/>
        <v>34663.792792792789</v>
      </c>
      <c r="U33" s="82">
        <f t="shared" si="96"/>
        <v>0.41476715875099829</v>
      </c>
      <c r="V33" s="82">
        <f t="shared" si="97"/>
        <v>0.42871722277432711</v>
      </c>
      <c r="W33" s="82">
        <f t="shared" si="98"/>
        <v>0.37671998532443907</v>
      </c>
      <c r="X33" s="83">
        <f>BS33+SCENARIU!$C$22+'AJUSTĂRI PE PRODUS'!$I$37</f>
        <v>14.99</v>
      </c>
      <c r="Y33" s="83">
        <f>BT33+SCENARIU!$C$22+'AJUSTĂRI PE PRODUS'!$J$37</f>
        <v>16.989999999999998</v>
      </c>
      <c r="Z33" s="84">
        <f t="shared" si="99"/>
        <v>26239.252252252249</v>
      </c>
      <c r="AA33" s="84">
        <f t="shared" si="100"/>
        <v>9581.747747747746</v>
      </c>
      <c r="AB33" s="84">
        <f t="shared" si="101"/>
        <v>35820.999999999993</v>
      </c>
      <c r="AC33" s="85">
        <f t="shared" si="102"/>
        <v>0.40136799218893948</v>
      </c>
      <c r="AD33" s="85">
        <f t="shared" si="103"/>
        <v>0.41441711527685121</v>
      </c>
      <c r="AE33" s="85">
        <f t="shared" si="104"/>
        <v>0.36563346427310184</v>
      </c>
      <c r="AF33" s="83">
        <f>BU33+SCENARIU!$C$22+SCENARIU!$D$22+'AJUSTĂRI PE PRODUS'!$I$37+'AJUSTĂRI PE PRODUS'!$N$37</f>
        <v>14.99</v>
      </c>
      <c r="AG33" s="83">
        <f>BV33+SCENARIU!$C$22+SCENARIU!$D$22+'AJUSTĂRI PE PRODUS'!$J$37+'AJUSTĂRI PE PRODUS'!$O$37</f>
        <v>16.989999999999998</v>
      </c>
      <c r="AH33" s="86">
        <f t="shared" si="105"/>
        <v>26239.252252252249</v>
      </c>
      <c r="AI33" s="86">
        <f t="shared" si="106"/>
        <v>9581.747747747746</v>
      </c>
      <c r="AJ33" s="86">
        <f t="shared" si="107"/>
        <v>35820.999999999993</v>
      </c>
      <c r="AK33" s="87">
        <f t="shared" si="108"/>
        <v>0.40136799218893948</v>
      </c>
      <c r="AL33" s="87">
        <f t="shared" si="109"/>
        <v>0.41441711527685121</v>
      </c>
      <c r="AM33" s="87">
        <f t="shared" si="110"/>
        <v>0.36563346427310184</v>
      </c>
      <c r="AN33" s="83">
        <f>BW33+SCENARIU!$C$22+SCENARIU!$D$22+SCENARIU!$E$22+'AJUSTĂRI PE PRODUS'!$I$37+'AJUSTĂRI PE PRODUS'!$N$37+'AJUSTĂRI PE PRODUS'!$S$37</f>
        <v>15.49</v>
      </c>
      <c r="AO33" s="83">
        <f>BX33+SCENARIU!$C$22+SCENARIU!$D$22+SCENARIU!$E$22+'AJUSTĂRI PE PRODUS'!$J$37+'AJUSTĂRI PE PRODUS'!$O$37+'AJUSTĂRI PE PRODUS'!$T$37</f>
        <v>17.489999999999998</v>
      </c>
      <c r="AP33" s="88">
        <f t="shared" si="111"/>
        <v>27114.477477477474</v>
      </c>
      <c r="AQ33" s="88">
        <f t="shared" si="112"/>
        <v>9863.7297297297282</v>
      </c>
      <c r="AR33" s="88">
        <f t="shared" si="113"/>
        <v>36978.207207207204</v>
      </c>
      <c r="AS33" s="89">
        <f t="shared" si="114"/>
        <v>0.38880746077375494</v>
      </c>
      <c r="AT33" s="89">
        <f t="shared" si="115"/>
        <v>0.4010401909619109</v>
      </c>
      <c r="AU33" s="89">
        <f t="shared" si="116"/>
        <v>0.35518082092624359</v>
      </c>
      <c r="AV33" s="83">
        <f>BY33+SCENARIU!$C$22+SCENARIU!$D$22+SCENARIU!$E$22+SCENARIU!$F$22+'AJUSTĂRI PE PRODUS'!$I$37+'AJUSTĂRI PE PRODUS'!$N$37+'AJUSTĂRI PE PRODUS'!$S$37+'AJUSTĂRI PE PRODUS'!$X$37</f>
        <v>15.99</v>
      </c>
      <c r="AW33" s="83">
        <f>BZ33+SCENARIU!$C$22+SCENARIU!$D$22+SCENARIU!$E$22+SCENARIU!$F$22+'AJUSTĂRI PE PRODUS'!$J$37+'AJUSTĂRI PE PRODUS'!$O$37+'AJUSTĂRI PE PRODUS'!$T$37+'AJUSTĂRI PE PRODUS'!$Y$37</f>
        <v>17.989999999999998</v>
      </c>
      <c r="AX33" s="90">
        <f t="shared" si="117"/>
        <v>27989.7027027027</v>
      </c>
      <c r="AY33" s="90">
        <f t="shared" si="118"/>
        <v>10145.71171171171</v>
      </c>
      <c r="AZ33" s="90">
        <f t="shared" si="119"/>
        <v>38135.414414414408</v>
      </c>
      <c r="BA33" s="91">
        <f t="shared" si="120"/>
        <v>0.3770092201427771</v>
      </c>
      <c r="BB33" s="91">
        <f t="shared" si="121"/>
        <v>0.38849984727954967</v>
      </c>
      <c r="BC33" s="91">
        <f t="shared" si="122"/>
        <v>0.34530920277932181</v>
      </c>
      <c r="BD33" s="92">
        <f t="shared" si="123"/>
        <v>0.49000000000000021</v>
      </c>
      <c r="BE33" s="92">
        <f t="shared" si="124"/>
        <v>0.5</v>
      </c>
      <c r="BF33" s="92">
        <f t="shared" si="125"/>
        <v>0</v>
      </c>
      <c r="BG33" s="92">
        <f t="shared" si="126"/>
        <v>0.5</v>
      </c>
      <c r="BH33" s="92">
        <f t="shared" si="127"/>
        <v>0.5</v>
      </c>
      <c r="BI33" s="93">
        <f t="shared" si="128"/>
        <v>1.9900000000000002</v>
      </c>
      <c r="BJ33" s="92">
        <f t="shared" si="129"/>
        <v>0.48999999999999844</v>
      </c>
      <c r="BK33" s="92">
        <f t="shared" si="130"/>
        <v>0.5</v>
      </c>
      <c r="BL33" s="92">
        <f t="shared" si="131"/>
        <v>0</v>
      </c>
      <c r="BM33" s="92">
        <f t="shared" si="132"/>
        <v>0.5</v>
      </c>
      <c r="BN33" s="92">
        <f t="shared" si="133"/>
        <v>0.5</v>
      </c>
      <c r="BO33" s="93">
        <f t="shared" si="134"/>
        <v>1.9899999999999984</v>
      </c>
      <c r="BQ33">
        <v>14.49</v>
      </c>
      <c r="BR33">
        <v>16.489999999999998</v>
      </c>
      <c r="BS33">
        <v>14.99</v>
      </c>
      <c r="BT33">
        <v>16.989999999999998</v>
      </c>
      <c r="BU33">
        <v>14.99</v>
      </c>
      <c r="BV33">
        <v>16.989999999999998</v>
      </c>
      <c r="BW33">
        <v>15.49</v>
      </c>
      <c r="BX33">
        <v>17.489999999999998</v>
      </c>
      <c r="BY33">
        <v>15.99</v>
      </c>
      <c r="BZ33">
        <v>17.989999999999998</v>
      </c>
    </row>
    <row r="34" spans="1:78" x14ac:dyDescent="0.2">
      <c r="A34" s="26">
        <v>5</v>
      </c>
      <c r="B34" s="26" t="s">
        <v>178</v>
      </c>
      <c r="C34" s="26" t="s">
        <v>97</v>
      </c>
      <c r="D34" s="74">
        <v>1</v>
      </c>
      <c r="E34" s="75">
        <v>11</v>
      </c>
      <c r="F34" s="76">
        <v>725</v>
      </c>
      <c r="G34" s="76">
        <v>936</v>
      </c>
      <c r="H34" s="77">
        <f>SUMIFS(RETETAR!$I$4:$I$967,RETETAR!$A$4:$A$967,$M34,RETETAR!$C$4:$C$967,"AMBELE")+SUMIFS(RETETAR!$I$4:$I$967,RETETAR!$A$4:$A$967,$M34,RETETAR!$C$4:$C$967,"INSTORE")</f>
        <v>7.7218925999999994</v>
      </c>
      <c r="I34" s="77">
        <f>SUMIFS(RETETAR!$I$4:$I$967,RETETAR!$A$4:$A$967,$M34,RETETAR!$C$4:$C$967,"AMBELE")+SUMIFS(RETETAR!$I$4:$I$967,RETETAR!$A$4:$A$967,$M34,RETETAR!$C$4:$C$967,"DELIVERY")</f>
        <v>7.7218925999999994</v>
      </c>
      <c r="J34" s="78">
        <f t="shared" si="90"/>
        <v>5598.3721349999996</v>
      </c>
      <c r="K34" s="78">
        <f t="shared" si="91"/>
        <v>7227.6914735999999</v>
      </c>
      <c r="L34" s="78">
        <f t="shared" si="92"/>
        <v>12826.063608599999</v>
      </c>
      <c r="M34" t="s">
        <v>178</v>
      </c>
      <c r="N34" s="79">
        <v>19</v>
      </c>
      <c r="O34" s="79">
        <v>21</v>
      </c>
      <c r="P34" s="80">
        <v>19.989999999999998</v>
      </c>
      <c r="Q34" s="80">
        <v>21.99</v>
      </c>
      <c r="R34" s="81">
        <f t="shared" si="93"/>
        <v>13056.531531531529</v>
      </c>
      <c r="S34" s="81">
        <f t="shared" si="94"/>
        <v>18542.918918918916</v>
      </c>
      <c r="T34" s="81">
        <f t="shared" si="95"/>
        <v>31599.450450450444</v>
      </c>
      <c r="U34" s="82">
        <f t="shared" si="96"/>
        <v>0.40589514772454427</v>
      </c>
      <c r="V34" s="82">
        <f t="shared" si="97"/>
        <v>0.42877942901450727</v>
      </c>
      <c r="W34" s="82">
        <f t="shared" si="98"/>
        <v>0.38978175470668491</v>
      </c>
      <c r="X34" s="83">
        <f>BS34+SCENARIU!$C$22+'AJUSTĂRI PE PRODUS'!$I$35</f>
        <v>20.49</v>
      </c>
      <c r="Y34" s="83">
        <f>BT34+SCENARIU!$C$22+'AJUSTĂRI PE PRODUS'!$J$35</f>
        <v>22.49</v>
      </c>
      <c r="Z34" s="84">
        <f t="shared" si="99"/>
        <v>13383.108108108107</v>
      </c>
      <c r="AA34" s="84">
        <f t="shared" si="100"/>
        <v>18964.540540540536</v>
      </c>
      <c r="AB34" s="84">
        <f t="shared" si="101"/>
        <v>32347.648648648643</v>
      </c>
      <c r="AC34" s="85">
        <f t="shared" si="102"/>
        <v>0.39650682953537714</v>
      </c>
      <c r="AD34" s="85">
        <f t="shared" si="103"/>
        <v>0.41831629019033678</v>
      </c>
      <c r="AE34" s="85">
        <f t="shared" si="104"/>
        <v>0.38111608652734558</v>
      </c>
      <c r="AF34" s="83">
        <f>BU34+SCENARIU!$C$22+SCENARIU!$D$22+'AJUSTĂRI PE PRODUS'!$I$35+'AJUSTĂRI PE PRODUS'!$N$35</f>
        <v>20.49</v>
      </c>
      <c r="AG34" s="83">
        <f>BV34+SCENARIU!$C$22+SCENARIU!$D$22+'AJUSTĂRI PE PRODUS'!$J$35+'AJUSTĂRI PE PRODUS'!$O$35</f>
        <v>22.49</v>
      </c>
      <c r="AH34" s="86">
        <f t="shared" si="105"/>
        <v>13383.108108108107</v>
      </c>
      <c r="AI34" s="86">
        <f t="shared" si="106"/>
        <v>18964.540540540536</v>
      </c>
      <c r="AJ34" s="86">
        <f t="shared" si="107"/>
        <v>32347.648648648643</v>
      </c>
      <c r="AK34" s="87">
        <f t="shared" si="108"/>
        <v>0.39650682953537714</v>
      </c>
      <c r="AL34" s="87">
        <f t="shared" si="109"/>
        <v>0.41831629019033678</v>
      </c>
      <c r="AM34" s="87">
        <f t="shared" si="110"/>
        <v>0.38111608652734558</v>
      </c>
      <c r="AN34" s="83">
        <f>BW34+SCENARIU!$C$22+SCENARIU!$D$22+SCENARIU!$E$22+'AJUSTĂRI PE PRODUS'!$I$35+'AJUSTĂRI PE PRODUS'!$N$35+'AJUSTĂRI PE PRODUS'!$S$35</f>
        <v>20.99</v>
      </c>
      <c r="AO34" s="83">
        <f>BX34+SCENARIU!$C$22+SCENARIU!$D$22+SCENARIU!$E$22+'AJUSTĂRI PE PRODUS'!$J$35+'AJUSTĂRI PE PRODUS'!$O$35+'AJUSTĂRI PE PRODUS'!$T$35</f>
        <v>22.99</v>
      </c>
      <c r="AP34" s="88">
        <f t="shared" si="111"/>
        <v>13709.684684684682</v>
      </c>
      <c r="AQ34" s="88">
        <f t="shared" si="112"/>
        <v>19386.16216216216</v>
      </c>
      <c r="AR34" s="88">
        <f t="shared" si="113"/>
        <v>33095.846846846842</v>
      </c>
      <c r="AS34" s="89">
        <f t="shared" si="114"/>
        <v>0.38754299498524492</v>
      </c>
      <c r="AT34" s="89">
        <f t="shared" si="115"/>
        <v>0.40835163344449743</v>
      </c>
      <c r="AU34" s="89">
        <f t="shared" si="116"/>
        <v>0.37282735041322318</v>
      </c>
      <c r="AV34" s="83">
        <f>BY34+SCENARIU!$C$22+SCENARIU!$D$22+SCENARIU!$E$22+SCENARIU!$F$22+'AJUSTĂRI PE PRODUS'!$I$35+'AJUSTĂRI PE PRODUS'!$N$35+'AJUSTĂRI PE PRODUS'!$S$35+'AJUSTĂRI PE PRODUS'!$X$35</f>
        <v>21.49</v>
      </c>
      <c r="AW34" s="83">
        <f>BZ34+SCENARIU!$C$22+SCENARIU!$D$22+SCENARIU!$E$22+SCENARIU!$F$22+'AJUSTĂRI PE PRODUS'!$J$35+'AJUSTĂRI PE PRODUS'!$O$35+'AJUSTĂRI PE PRODUS'!$T$35+'AJUSTĂRI PE PRODUS'!$Y$35</f>
        <v>23.49</v>
      </c>
      <c r="AX34" s="90">
        <f t="shared" si="117"/>
        <v>14036.261261261259</v>
      </c>
      <c r="AY34" s="90">
        <f t="shared" si="118"/>
        <v>19807.78378378378</v>
      </c>
      <c r="AZ34" s="90">
        <f t="shared" si="119"/>
        <v>33844.045045045037</v>
      </c>
      <c r="BA34" s="91">
        <f t="shared" si="120"/>
        <v>0.3789754915976809</v>
      </c>
      <c r="BB34" s="91">
        <f t="shared" si="121"/>
        <v>0.39885066477431369</v>
      </c>
      <c r="BC34" s="91">
        <f t="shared" si="122"/>
        <v>0.36489147662835258</v>
      </c>
      <c r="BD34" s="92">
        <f t="shared" si="123"/>
        <v>0.98999999999999844</v>
      </c>
      <c r="BE34" s="92">
        <f t="shared" si="124"/>
        <v>0.5</v>
      </c>
      <c r="BF34" s="92">
        <f t="shared" si="125"/>
        <v>0</v>
      </c>
      <c r="BG34" s="92">
        <f t="shared" si="126"/>
        <v>0.5</v>
      </c>
      <c r="BH34" s="92">
        <f t="shared" si="127"/>
        <v>0.5</v>
      </c>
      <c r="BI34" s="93">
        <f t="shared" si="128"/>
        <v>2.4899999999999984</v>
      </c>
      <c r="BJ34" s="92">
        <f t="shared" si="129"/>
        <v>0.98999999999999844</v>
      </c>
      <c r="BK34" s="92">
        <f t="shared" si="130"/>
        <v>0.5</v>
      </c>
      <c r="BL34" s="92">
        <f t="shared" si="131"/>
        <v>0</v>
      </c>
      <c r="BM34" s="92">
        <f t="shared" si="132"/>
        <v>0.5</v>
      </c>
      <c r="BN34" s="92">
        <f t="shared" si="133"/>
        <v>0.5</v>
      </c>
      <c r="BO34" s="93">
        <f t="shared" si="134"/>
        <v>2.4899999999999984</v>
      </c>
      <c r="BQ34">
        <v>19.989999999999998</v>
      </c>
      <c r="BR34">
        <v>21.99</v>
      </c>
      <c r="BS34">
        <v>20.49</v>
      </c>
      <c r="BT34">
        <v>22.49</v>
      </c>
      <c r="BU34">
        <v>20.49</v>
      </c>
      <c r="BV34">
        <v>22.49</v>
      </c>
      <c r="BW34">
        <v>20.99</v>
      </c>
      <c r="BX34">
        <v>22.99</v>
      </c>
      <c r="BY34">
        <v>21.49</v>
      </c>
      <c r="BZ34">
        <v>23.49</v>
      </c>
    </row>
    <row r="35" spans="1:78" x14ac:dyDescent="0.2">
      <c r="A35" s="26">
        <v>6</v>
      </c>
      <c r="B35" s="26" t="s">
        <v>183</v>
      </c>
      <c r="C35" s="26" t="s">
        <v>97</v>
      </c>
      <c r="D35" s="74">
        <v>1</v>
      </c>
      <c r="E35" s="75">
        <v>11</v>
      </c>
      <c r="F35" s="76">
        <v>1219</v>
      </c>
      <c r="G35" s="76">
        <v>518</v>
      </c>
      <c r="H35" s="77">
        <f>SUMIFS(RETETAR!$I$4:$I$967,RETETAR!$A$4:$A$967,$M35,RETETAR!$C$4:$C$967,"AMBELE")+SUMIFS(RETETAR!$I$4:$I$967,RETETAR!$A$4:$A$967,$M35,RETETAR!$C$4:$C$967,"INSTORE")</f>
        <v>5.1109542499999989</v>
      </c>
      <c r="I35" s="77">
        <f>SUMIFS(RETETAR!$I$4:$I$967,RETETAR!$A$4:$A$967,$M35,RETETAR!$C$4:$C$967,"AMBELE")+SUMIFS(RETETAR!$I$4:$I$967,RETETAR!$A$4:$A$967,$M35,RETETAR!$C$4:$C$967,"DELIVERY")</f>
        <v>5.1109542499999989</v>
      </c>
      <c r="J35" s="78">
        <f t="shared" si="90"/>
        <v>6230.2532307499987</v>
      </c>
      <c r="K35" s="78">
        <f t="shared" si="91"/>
        <v>2647.4743014999995</v>
      </c>
      <c r="L35" s="78">
        <f t="shared" si="92"/>
        <v>8877.7275322499991</v>
      </c>
      <c r="M35" t="s">
        <v>183</v>
      </c>
      <c r="N35" s="79">
        <v>15.99</v>
      </c>
      <c r="O35" s="79">
        <v>17.989999999999998</v>
      </c>
      <c r="P35" s="80">
        <v>15.99</v>
      </c>
      <c r="Q35" s="80">
        <v>17.989999999999998</v>
      </c>
      <c r="R35" s="81">
        <f t="shared" si="93"/>
        <v>17560.189189189186</v>
      </c>
      <c r="S35" s="81">
        <f t="shared" si="94"/>
        <v>8395.3333333333321</v>
      </c>
      <c r="T35" s="81">
        <f t="shared" si="95"/>
        <v>25955.522522522519</v>
      </c>
      <c r="U35" s="82">
        <f t="shared" si="96"/>
        <v>0.34203617070496206</v>
      </c>
      <c r="V35" s="82">
        <f t="shared" si="97"/>
        <v>0.35479419746716695</v>
      </c>
      <c r="W35" s="82">
        <f t="shared" si="98"/>
        <v>0.31535070692051137</v>
      </c>
      <c r="X35" s="83">
        <f>BS35+SCENARIU!$C$22+'AJUSTĂRI PE PRODUS'!$I$45</f>
        <v>16.489999999999998</v>
      </c>
      <c r="Y35" s="83">
        <f>BT35+SCENARIU!$C$22+'AJUSTĂRI PE PRODUS'!$J$45</f>
        <v>18.489999999999998</v>
      </c>
      <c r="Z35" s="84">
        <f t="shared" si="99"/>
        <v>18109.288288288284</v>
      </c>
      <c r="AA35" s="84">
        <f t="shared" si="100"/>
        <v>8628.6666666666661</v>
      </c>
      <c r="AB35" s="84">
        <f t="shared" si="101"/>
        <v>26737.954954954948</v>
      </c>
      <c r="AC35" s="85">
        <f t="shared" si="102"/>
        <v>0.33202717063463455</v>
      </c>
      <c r="AD35" s="85">
        <f t="shared" si="103"/>
        <v>0.34403633823529411</v>
      </c>
      <c r="AE35" s="85">
        <f t="shared" si="104"/>
        <v>0.30682310532720386</v>
      </c>
      <c r="AF35" s="83">
        <f>BU35+SCENARIU!$C$22+SCENARIU!$D$22+'AJUSTĂRI PE PRODUS'!$I$45+'AJUSTĂRI PE PRODUS'!$N$45</f>
        <v>16.489999999999998</v>
      </c>
      <c r="AG35" s="83">
        <f>BV35+SCENARIU!$C$22+SCENARIU!$D$22+'AJUSTĂRI PE PRODUS'!$J$45+'AJUSTĂRI PE PRODUS'!$O$45</f>
        <v>18.489999999999998</v>
      </c>
      <c r="AH35" s="86">
        <f t="shared" si="105"/>
        <v>18109.288288288284</v>
      </c>
      <c r="AI35" s="86">
        <f t="shared" si="106"/>
        <v>8628.6666666666661</v>
      </c>
      <c r="AJ35" s="86">
        <f t="shared" si="107"/>
        <v>26737.954954954948</v>
      </c>
      <c r="AK35" s="87">
        <f t="shared" si="108"/>
        <v>0.33202717063463455</v>
      </c>
      <c r="AL35" s="87">
        <f t="shared" si="109"/>
        <v>0.34403633823529411</v>
      </c>
      <c r="AM35" s="87">
        <f t="shared" si="110"/>
        <v>0.30682310532720386</v>
      </c>
      <c r="AN35" s="83">
        <f>BW35+SCENARIU!$C$22+SCENARIU!$D$22+SCENARIU!$E$22+'AJUSTĂRI PE PRODUS'!$I$45+'AJUSTĂRI PE PRODUS'!$N$45+'AJUSTĂRI PE PRODUS'!$S$45</f>
        <v>16.989999999999998</v>
      </c>
      <c r="AO35" s="83">
        <f>BX35+SCENARIU!$C$22+SCENARIU!$D$22+SCENARIU!$E$22+'AJUSTĂRI PE PRODUS'!$J$45+'AJUSTĂRI PE PRODUS'!$O$45+'AJUSTĂRI PE PRODUS'!$T$45</f>
        <v>18.989999999999998</v>
      </c>
      <c r="AP35" s="88">
        <f t="shared" si="111"/>
        <v>18658.387387387385</v>
      </c>
      <c r="AQ35" s="88">
        <f t="shared" si="112"/>
        <v>8861.9999999999982</v>
      </c>
      <c r="AR35" s="88">
        <f t="shared" si="113"/>
        <v>27520.387387387382</v>
      </c>
      <c r="AS35" s="89">
        <f t="shared" si="114"/>
        <v>0.32258730254351975</v>
      </c>
      <c r="AT35" s="89">
        <f t="shared" si="115"/>
        <v>0.33391166671571509</v>
      </c>
      <c r="AU35" s="89">
        <f t="shared" si="116"/>
        <v>0.29874456121642973</v>
      </c>
      <c r="AV35" s="83">
        <f>BY35+SCENARIU!$C$22+SCENARIU!$D$22+SCENARIU!$E$22+SCENARIU!$F$22+'AJUSTĂRI PE PRODUS'!$I$45+'AJUSTĂRI PE PRODUS'!$N$45+'AJUSTĂRI PE PRODUS'!$S$45+'AJUSTĂRI PE PRODUS'!$X$45</f>
        <v>17.489999999999998</v>
      </c>
      <c r="AW35" s="83">
        <f>BZ35+SCENARIU!$C$22+SCENARIU!$D$22+SCENARIU!$E$22+SCENARIU!$F$22+'AJUSTĂRI PE PRODUS'!$J$45+'AJUSTĂRI PE PRODUS'!$O$45+'AJUSTĂRI PE PRODUS'!$T$45+'AJUSTĂRI PE PRODUS'!$Y$45</f>
        <v>19.489999999999998</v>
      </c>
      <c r="AX35" s="90">
        <f t="shared" si="117"/>
        <v>19207.486486486483</v>
      </c>
      <c r="AY35" s="90">
        <f t="shared" si="118"/>
        <v>9095.3333333333321</v>
      </c>
      <c r="AZ35" s="90">
        <f t="shared" si="119"/>
        <v>28302.819819819815</v>
      </c>
      <c r="BA35" s="91">
        <f t="shared" si="120"/>
        <v>0.31366936541189194</v>
      </c>
      <c r="BB35" s="91">
        <f t="shared" si="121"/>
        <v>0.32436587864493993</v>
      </c>
      <c r="BC35" s="91">
        <f t="shared" si="122"/>
        <v>0.29108051398152895</v>
      </c>
      <c r="BD35" s="92">
        <f t="shared" si="123"/>
        <v>0</v>
      </c>
      <c r="BE35" s="92">
        <f t="shared" si="124"/>
        <v>0.49999999999999822</v>
      </c>
      <c r="BF35" s="92">
        <f t="shared" si="125"/>
        <v>0</v>
      </c>
      <c r="BG35" s="92">
        <f t="shared" si="126"/>
        <v>0.5</v>
      </c>
      <c r="BH35" s="92">
        <f t="shared" si="127"/>
        <v>0.5</v>
      </c>
      <c r="BI35" s="93">
        <f t="shared" si="128"/>
        <v>1.4999999999999982</v>
      </c>
      <c r="BJ35" s="92">
        <f t="shared" si="129"/>
        <v>0</v>
      </c>
      <c r="BK35" s="92">
        <f t="shared" si="130"/>
        <v>0.5</v>
      </c>
      <c r="BL35" s="92">
        <f t="shared" si="131"/>
        <v>0</v>
      </c>
      <c r="BM35" s="92">
        <f t="shared" si="132"/>
        <v>0.5</v>
      </c>
      <c r="BN35" s="92">
        <f t="shared" si="133"/>
        <v>0.5</v>
      </c>
      <c r="BO35" s="93">
        <f t="shared" si="134"/>
        <v>1.5</v>
      </c>
      <c r="BQ35">
        <v>15.99</v>
      </c>
      <c r="BR35">
        <v>17.989999999999998</v>
      </c>
      <c r="BS35">
        <v>16.489999999999998</v>
      </c>
      <c r="BT35">
        <v>18.489999999999998</v>
      </c>
      <c r="BU35">
        <v>16.489999999999998</v>
      </c>
      <c r="BV35">
        <v>18.489999999999998</v>
      </c>
      <c r="BW35">
        <v>16.989999999999998</v>
      </c>
      <c r="BX35">
        <v>18.989999999999998</v>
      </c>
      <c r="BY35">
        <v>17.489999999999998</v>
      </c>
      <c r="BZ35">
        <v>19.489999999999998</v>
      </c>
    </row>
    <row r="36" spans="1:78" x14ac:dyDescent="0.2">
      <c r="A36" s="26">
        <v>7</v>
      </c>
      <c r="B36" s="26" t="s">
        <v>186</v>
      </c>
      <c r="C36" s="26" t="s">
        <v>97</v>
      </c>
      <c r="D36" s="74">
        <v>1</v>
      </c>
      <c r="E36" s="75">
        <v>11</v>
      </c>
      <c r="F36" s="76">
        <v>490</v>
      </c>
      <c r="G36" s="76">
        <v>462</v>
      </c>
      <c r="H36" s="77">
        <f>SUMIFS(RETETAR!$I$4:$I$967,RETETAR!$A$4:$A$967,$M36,RETETAR!$C$4:$C$967,"AMBELE")+SUMIFS(RETETAR!$I$4:$I$967,RETETAR!$A$4:$A$967,$M36,RETETAR!$C$4:$C$967,"INSTORE")</f>
        <v>10.258508400000002</v>
      </c>
      <c r="I36" s="77">
        <f>SUMIFS(RETETAR!$I$4:$I$967,RETETAR!$A$4:$A$967,$M36,RETETAR!$C$4:$C$967,"AMBELE")+SUMIFS(RETETAR!$I$4:$I$967,RETETAR!$A$4:$A$967,$M36,RETETAR!$C$4:$C$967,"DELIVERY")</f>
        <v>10.258508400000002</v>
      </c>
      <c r="J36" s="78">
        <f t="shared" si="90"/>
        <v>5026.6691160000009</v>
      </c>
      <c r="K36" s="78">
        <f t="shared" si="91"/>
        <v>4739.4308808000005</v>
      </c>
      <c r="L36" s="78">
        <f t="shared" si="92"/>
        <v>9766.0999968000015</v>
      </c>
      <c r="M36" t="s">
        <v>186</v>
      </c>
      <c r="N36" s="79">
        <v>26</v>
      </c>
      <c r="O36" s="79">
        <v>28</v>
      </c>
      <c r="P36" s="80">
        <v>26.99</v>
      </c>
      <c r="Q36" s="80">
        <v>28.99</v>
      </c>
      <c r="R36" s="81">
        <f t="shared" si="93"/>
        <v>11914.504504504504</v>
      </c>
      <c r="S36" s="81">
        <f t="shared" si="94"/>
        <v>12066.108108108107</v>
      </c>
      <c r="T36" s="81">
        <f t="shared" si="95"/>
        <v>23980.612612612611</v>
      </c>
      <c r="U36" s="82">
        <f t="shared" si="96"/>
        <v>0.40724981277849082</v>
      </c>
      <c r="V36" s="82">
        <f t="shared" si="97"/>
        <v>0.42189493605038914</v>
      </c>
      <c r="W36" s="82">
        <f t="shared" si="98"/>
        <v>0.39278869692997592</v>
      </c>
      <c r="X36" s="83">
        <f>BS36+SCENARIU!$C$22+'AJUSTĂRI PE PRODUS'!$I$50</f>
        <v>27.49</v>
      </c>
      <c r="Y36" s="83">
        <f>BT36+SCENARIU!$C$22+'AJUSTĂRI PE PRODUS'!$J$50</f>
        <v>29.49</v>
      </c>
      <c r="Z36" s="84">
        <f t="shared" si="99"/>
        <v>12135.225225225224</v>
      </c>
      <c r="AA36" s="84">
        <f t="shared" si="100"/>
        <v>12274.216216216215</v>
      </c>
      <c r="AB36" s="84">
        <f t="shared" si="101"/>
        <v>24409.441441441439</v>
      </c>
      <c r="AC36" s="85">
        <f t="shared" si="102"/>
        <v>0.4000951853088896</v>
      </c>
      <c r="AD36" s="85">
        <f t="shared" si="103"/>
        <v>0.41422132862859234</v>
      </c>
      <c r="AE36" s="85">
        <f t="shared" si="104"/>
        <v>0.3861290038657173</v>
      </c>
      <c r="AF36" s="83">
        <f>BU36+SCENARIU!$C$22+SCENARIU!$D$22+'AJUSTĂRI PE PRODUS'!$I$50+'AJUSTĂRI PE PRODUS'!$N$50</f>
        <v>27.49</v>
      </c>
      <c r="AG36" s="83">
        <f>BV36+SCENARIU!$C$22+SCENARIU!$D$22+'AJUSTĂRI PE PRODUS'!$J$50+'AJUSTĂRI PE PRODUS'!$O$50</f>
        <v>29.49</v>
      </c>
      <c r="AH36" s="86">
        <f t="shared" si="105"/>
        <v>12135.225225225224</v>
      </c>
      <c r="AI36" s="86">
        <f t="shared" si="106"/>
        <v>12274.216216216215</v>
      </c>
      <c r="AJ36" s="86">
        <f t="shared" si="107"/>
        <v>24409.441441441439</v>
      </c>
      <c r="AK36" s="87">
        <f t="shared" si="108"/>
        <v>0.4000951853088896</v>
      </c>
      <c r="AL36" s="87">
        <f t="shared" si="109"/>
        <v>0.41422132862859234</v>
      </c>
      <c r="AM36" s="87">
        <f t="shared" si="110"/>
        <v>0.3861290038657173</v>
      </c>
      <c r="AN36" s="83">
        <f>BW36+SCENARIU!$C$22+SCENARIU!$D$22+SCENARIU!$E$22+'AJUSTĂRI PE PRODUS'!$I$50+'AJUSTĂRI PE PRODUS'!$N$50+'AJUSTĂRI PE PRODUS'!$S$50</f>
        <v>27.99</v>
      </c>
      <c r="AO36" s="83">
        <f>BX36+SCENARIU!$C$22+SCENARIU!$D$22+SCENARIU!$E$22+'AJUSTĂRI PE PRODUS'!$J$50+'AJUSTĂRI PE PRODUS'!$O$50+'AJUSTĂRI PE PRODUS'!$T$50</f>
        <v>29.99</v>
      </c>
      <c r="AP36" s="88">
        <f t="shared" si="111"/>
        <v>12355.945945945945</v>
      </c>
      <c r="AQ36" s="88">
        <f t="shared" si="112"/>
        <v>12482.324324324323</v>
      </c>
      <c r="AR36" s="88">
        <f t="shared" si="113"/>
        <v>24838.270270270266</v>
      </c>
      <c r="AS36" s="89">
        <f t="shared" si="114"/>
        <v>0.39318760487477922</v>
      </c>
      <c r="AT36" s="89">
        <f t="shared" si="115"/>
        <v>0.40682187652733132</v>
      </c>
      <c r="AU36" s="89">
        <f t="shared" si="116"/>
        <v>0.37969137459153057</v>
      </c>
      <c r="AV36" s="83">
        <f>BY36+SCENARIU!$C$22+SCENARIU!$D$22+SCENARIU!$E$22+SCENARIU!$F$22+'AJUSTĂRI PE PRODUS'!$I$50+'AJUSTĂRI PE PRODUS'!$N$50+'AJUSTĂRI PE PRODUS'!$S$50+'AJUSTĂRI PE PRODUS'!$X$50</f>
        <v>28.49</v>
      </c>
      <c r="AW36" s="83">
        <f>BZ36+SCENARIU!$C$22+SCENARIU!$D$22+SCENARIU!$E$22+SCENARIU!$F$22+'AJUSTĂRI PE PRODUS'!$J$50+'AJUSTĂRI PE PRODUS'!$O$50+'AJUSTĂRI PE PRODUS'!$T$50+'AJUSTĂRI PE PRODUS'!$Y$50</f>
        <v>30.49</v>
      </c>
      <c r="AX36" s="90">
        <f t="shared" si="117"/>
        <v>12576.666666666666</v>
      </c>
      <c r="AY36" s="90">
        <f t="shared" si="118"/>
        <v>12690.432432432432</v>
      </c>
      <c r="AZ36" s="90">
        <f t="shared" si="119"/>
        <v>25267.099099099098</v>
      </c>
      <c r="BA36" s="91">
        <f t="shared" si="120"/>
        <v>0.3865144929576903</v>
      </c>
      <c r="BB36" s="91">
        <f t="shared" si="121"/>
        <v>0.39968214545454556</v>
      </c>
      <c r="BC36" s="91">
        <f t="shared" si="122"/>
        <v>0.37346488435552649</v>
      </c>
      <c r="BD36" s="92">
        <f t="shared" si="123"/>
        <v>0.98999999999999844</v>
      </c>
      <c r="BE36" s="92">
        <f t="shared" si="124"/>
        <v>0.5</v>
      </c>
      <c r="BF36" s="92">
        <f t="shared" si="125"/>
        <v>0</v>
      </c>
      <c r="BG36" s="92">
        <f t="shared" si="126"/>
        <v>0.5</v>
      </c>
      <c r="BH36" s="92">
        <f t="shared" si="127"/>
        <v>0.5</v>
      </c>
      <c r="BI36" s="93">
        <f t="shared" si="128"/>
        <v>2.4899999999999984</v>
      </c>
      <c r="BJ36" s="92">
        <f t="shared" si="129"/>
        <v>0.98999999999999844</v>
      </c>
      <c r="BK36" s="92">
        <f t="shared" si="130"/>
        <v>0.5</v>
      </c>
      <c r="BL36" s="92">
        <f t="shared" si="131"/>
        <v>0</v>
      </c>
      <c r="BM36" s="92">
        <f t="shared" si="132"/>
        <v>0.5</v>
      </c>
      <c r="BN36" s="92">
        <f t="shared" si="133"/>
        <v>0.5</v>
      </c>
      <c r="BO36" s="93">
        <f t="shared" si="134"/>
        <v>2.4899999999999984</v>
      </c>
      <c r="BQ36">
        <v>26.99</v>
      </c>
      <c r="BR36">
        <v>28.99</v>
      </c>
      <c r="BS36">
        <v>27.49</v>
      </c>
      <c r="BT36">
        <v>29.49</v>
      </c>
      <c r="BU36">
        <v>27.49</v>
      </c>
      <c r="BV36">
        <v>29.49</v>
      </c>
      <c r="BW36">
        <v>27.99</v>
      </c>
      <c r="BX36">
        <v>29.99</v>
      </c>
      <c r="BY36">
        <v>28.49</v>
      </c>
      <c r="BZ36">
        <v>30.49</v>
      </c>
    </row>
    <row r="37" spans="1:78" x14ac:dyDescent="0.2">
      <c r="A37" s="26">
        <v>8</v>
      </c>
      <c r="B37" s="26" t="s">
        <v>192</v>
      </c>
      <c r="C37" s="26" t="s">
        <v>97</v>
      </c>
      <c r="D37" s="74">
        <v>1</v>
      </c>
      <c r="E37" s="75">
        <v>11</v>
      </c>
      <c r="F37" s="76">
        <v>609</v>
      </c>
      <c r="G37" s="76">
        <v>193</v>
      </c>
      <c r="H37" s="77">
        <f>SUMIFS(RETETAR!$I$4:$I$967,RETETAR!$A$4:$A$967,$M37,RETETAR!$C$4:$C$967,"AMBELE")+SUMIFS(RETETAR!$I$4:$I$967,RETETAR!$A$4:$A$967,$M37,RETETAR!$C$4:$C$967,"INSTORE")</f>
        <v>10.357170299999998</v>
      </c>
      <c r="I37" s="77">
        <f>SUMIFS(RETETAR!$I$4:$I$967,RETETAR!$A$4:$A$967,$M37,RETETAR!$C$4:$C$967,"AMBELE")+SUMIFS(RETETAR!$I$4:$I$967,RETETAR!$A$4:$A$967,$M37,RETETAR!$C$4:$C$967,"DELIVERY")</f>
        <v>10.357170299999998</v>
      </c>
      <c r="J37" s="78">
        <f t="shared" si="90"/>
        <v>6307.5167126999986</v>
      </c>
      <c r="K37" s="78">
        <f t="shared" si="91"/>
        <v>1998.9338678999995</v>
      </c>
      <c r="L37" s="78">
        <f t="shared" si="92"/>
        <v>8306.4505805999979</v>
      </c>
      <c r="M37" t="s">
        <v>192</v>
      </c>
      <c r="N37" s="79">
        <v>26</v>
      </c>
      <c r="O37" s="79">
        <v>28</v>
      </c>
      <c r="P37" s="80">
        <v>26.99</v>
      </c>
      <c r="Q37" s="80">
        <v>28.99</v>
      </c>
      <c r="R37" s="81">
        <f t="shared" si="93"/>
        <v>14808.027027027027</v>
      </c>
      <c r="S37" s="81">
        <f t="shared" si="94"/>
        <v>5040.603603603603</v>
      </c>
      <c r="T37" s="81">
        <f t="shared" si="95"/>
        <v>19848.630630630629</v>
      </c>
      <c r="U37" s="82">
        <f t="shared" si="96"/>
        <v>0.41848985631187025</v>
      </c>
      <c r="V37" s="82">
        <f t="shared" si="97"/>
        <v>0.42595253919970349</v>
      </c>
      <c r="W37" s="82">
        <f t="shared" si="98"/>
        <v>0.39656636885132801</v>
      </c>
      <c r="X37" s="83">
        <f>BS37+SCENARIU!$C$22+'AJUSTĂRI PE PRODUS'!$I$53</f>
        <v>27.49</v>
      </c>
      <c r="Y37" s="83">
        <f>BT37+SCENARIU!$C$22+'AJUSTĂRI PE PRODUS'!$J$53</f>
        <v>29.49</v>
      </c>
      <c r="Z37" s="84">
        <f t="shared" si="99"/>
        <v>15082.35135135135</v>
      </c>
      <c r="AA37" s="84">
        <f t="shared" si="100"/>
        <v>5127.54054054054</v>
      </c>
      <c r="AB37" s="84">
        <f t="shared" si="101"/>
        <v>20209.89189189189</v>
      </c>
      <c r="AC37" s="85">
        <f t="shared" si="102"/>
        <v>0.41100915457803638</v>
      </c>
      <c r="AD37" s="85">
        <f t="shared" si="103"/>
        <v>0.41820513033830481</v>
      </c>
      <c r="AE37" s="85">
        <f t="shared" si="104"/>
        <v>0.38984262573753808</v>
      </c>
      <c r="AF37" s="83">
        <f>BU37+SCENARIU!$C$22+SCENARIU!$D$22+'AJUSTĂRI PE PRODUS'!$I$53+'AJUSTĂRI PE PRODUS'!$N$53</f>
        <v>27.49</v>
      </c>
      <c r="AG37" s="83">
        <f>BV37+SCENARIU!$C$22+SCENARIU!$D$22+'AJUSTĂRI PE PRODUS'!$J$53+'AJUSTĂRI PE PRODUS'!$O$53</f>
        <v>29.49</v>
      </c>
      <c r="AH37" s="86">
        <f t="shared" si="105"/>
        <v>15082.35135135135</v>
      </c>
      <c r="AI37" s="86">
        <f t="shared" si="106"/>
        <v>5127.54054054054</v>
      </c>
      <c r="AJ37" s="86">
        <f t="shared" si="107"/>
        <v>20209.89189189189</v>
      </c>
      <c r="AK37" s="87">
        <f t="shared" si="108"/>
        <v>0.41100915457803638</v>
      </c>
      <c r="AL37" s="87">
        <f t="shared" si="109"/>
        <v>0.41820513033830481</v>
      </c>
      <c r="AM37" s="87">
        <f t="shared" si="110"/>
        <v>0.38984262573753808</v>
      </c>
      <c r="AN37" s="83">
        <f>BW37+SCENARIU!$C$22+SCENARIU!$D$22+SCENARIU!$E$22+'AJUSTĂRI PE PRODUS'!$I$53+'AJUSTĂRI PE PRODUS'!$N$53+'AJUSTĂRI PE PRODUS'!$S$53</f>
        <v>27.99</v>
      </c>
      <c r="AO37" s="83">
        <f>BX37+SCENARIU!$C$22+SCENARIU!$D$22+SCENARIU!$E$22+'AJUSTĂRI PE PRODUS'!$J$53+'AJUSTĂRI PE PRODUS'!$O$53+'AJUSTĂRI PE PRODUS'!$T$53</f>
        <v>29.99</v>
      </c>
      <c r="AP37" s="88">
        <f t="shared" si="111"/>
        <v>15356.675675675675</v>
      </c>
      <c r="AQ37" s="88">
        <f t="shared" si="112"/>
        <v>5214.4774774774769</v>
      </c>
      <c r="AR37" s="88">
        <f t="shared" si="113"/>
        <v>20571.153153153151</v>
      </c>
      <c r="AS37" s="89">
        <f t="shared" si="114"/>
        <v>0.4037911982258896</v>
      </c>
      <c r="AT37" s="89">
        <f t="shared" si="115"/>
        <v>0.4107345135048231</v>
      </c>
      <c r="AU37" s="89">
        <f t="shared" si="116"/>
        <v>0.38334308212737572</v>
      </c>
      <c r="AV37" s="83">
        <f>BY37+SCENARIU!$C$22+SCENARIU!$D$22+SCENARIU!$E$22+SCENARIU!$F$22+'AJUSTĂRI PE PRODUS'!$I$53+'AJUSTĂRI PE PRODUS'!$N$53+'AJUSTĂRI PE PRODUS'!$S$53+'AJUSTĂRI PE PRODUS'!$X$53</f>
        <v>28.49</v>
      </c>
      <c r="AW37" s="83">
        <f>BZ37+SCENARIU!$C$22+SCENARIU!$D$22+SCENARIU!$E$22+SCENARIU!$F$22+'AJUSTĂRI PE PRODUS'!$J$53+'AJUSTĂRI PE PRODUS'!$O$53+'AJUSTĂRI PE PRODUS'!$T$53+'AJUSTĂRI PE PRODUS'!$Y$53</f>
        <v>30.49</v>
      </c>
      <c r="AX37" s="90">
        <f t="shared" si="117"/>
        <v>15630.999999999998</v>
      </c>
      <c r="AY37" s="90">
        <f t="shared" si="118"/>
        <v>5301.4144144144138</v>
      </c>
      <c r="AZ37" s="90">
        <f t="shared" si="119"/>
        <v>20932.414414414412</v>
      </c>
      <c r="BA37" s="91">
        <f t="shared" si="120"/>
        <v>0.39682238351253146</v>
      </c>
      <c r="BB37" s="91">
        <f t="shared" si="121"/>
        <v>0.40352611558441553</v>
      </c>
      <c r="BC37" s="91">
        <f t="shared" si="122"/>
        <v>0.37705670819940962</v>
      </c>
      <c r="BD37" s="92">
        <f t="shared" si="123"/>
        <v>0.98999999999999844</v>
      </c>
      <c r="BE37" s="92">
        <f t="shared" si="124"/>
        <v>0.5</v>
      </c>
      <c r="BF37" s="92">
        <f t="shared" si="125"/>
        <v>0</v>
      </c>
      <c r="BG37" s="92">
        <f t="shared" si="126"/>
        <v>0.5</v>
      </c>
      <c r="BH37" s="92">
        <f t="shared" si="127"/>
        <v>0.5</v>
      </c>
      <c r="BI37" s="93">
        <f t="shared" si="128"/>
        <v>2.4899999999999984</v>
      </c>
      <c r="BJ37" s="92">
        <f t="shared" si="129"/>
        <v>0.98999999999999844</v>
      </c>
      <c r="BK37" s="92">
        <f t="shared" si="130"/>
        <v>0.5</v>
      </c>
      <c r="BL37" s="92">
        <f t="shared" si="131"/>
        <v>0</v>
      </c>
      <c r="BM37" s="92">
        <f t="shared" si="132"/>
        <v>0.5</v>
      </c>
      <c r="BN37" s="92">
        <f t="shared" si="133"/>
        <v>0.5</v>
      </c>
      <c r="BO37" s="93">
        <f t="shared" si="134"/>
        <v>2.4899999999999984</v>
      </c>
      <c r="BQ37">
        <v>26.99</v>
      </c>
      <c r="BR37">
        <v>28.99</v>
      </c>
      <c r="BS37">
        <v>27.49</v>
      </c>
      <c r="BT37">
        <v>29.49</v>
      </c>
      <c r="BU37">
        <v>27.49</v>
      </c>
      <c r="BV37">
        <v>29.49</v>
      </c>
      <c r="BW37">
        <v>27.99</v>
      </c>
      <c r="BX37">
        <v>29.99</v>
      </c>
      <c r="BY37">
        <v>28.49</v>
      </c>
      <c r="BZ37">
        <v>30.49</v>
      </c>
    </row>
    <row r="38" spans="1:78" x14ac:dyDescent="0.2">
      <c r="A38" s="26">
        <v>9</v>
      </c>
      <c r="B38" s="26" t="s">
        <v>205</v>
      </c>
      <c r="C38" s="26" t="s">
        <v>97</v>
      </c>
      <c r="D38" s="74">
        <v>1</v>
      </c>
      <c r="E38" s="75">
        <v>11</v>
      </c>
      <c r="F38" s="76">
        <v>465</v>
      </c>
      <c r="G38" s="76">
        <v>134</v>
      </c>
      <c r="H38" s="77">
        <f>SUMIFS(RETETAR!$I$4:$I$967,RETETAR!$A$4:$A$967,$M38,RETETAR!$C$4:$C$967,"AMBELE")+SUMIFS(RETETAR!$I$4:$I$967,RETETAR!$A$4:$A$967,$M38,RETETAR!$C$4:$C$967,"INSTORE")</f>
        <v>10.544967299999998</v>
      </c>
      <c r="I38" s="77">
        <f>SUMIFS(RETETAR!$I$4:$I$967,RETETAR!$A$4:$A$967,$M38,RETETAR!$C$4:$C$967,"AMBELE")+SUMIFS(RETETAR!$I$4:$I$967,RETETAR!$A$4:$A$967,$M38,RETETAR!$C$4:$C$967,"DELIVERY")</f>
        <v>10.544967299999998</v>
      </c>
      <c r="J38" s="78">
        <f t="shared" si="90"/>
        <v>4903.4097944999994</v>
      </c>
      <c r="K38" s="78">
        <f t="shared" si="91"/>
        <v>1413.0256181999998</v>
      </c>
      <c r="L38" s="78">
        <f t="shared" si="92"/>
        <v>6316.4354126999988</v>
      </c>
      <c r="M38" t="s">
        <v>205</v>
      </c>
      <c r="N38" s="79">
        <v>26</v>
      </c>
      <c r="O38" s="79">
        <v>28</v>
      </c>
      <c r="P38" s="80">
        <v>26.99</v>
      </c>
      <c r="Q38" s="80">
        <v>28.99</v>
      </c>
      <c r="R38" s="81">
        <f t="shared" si="93"/>
        <v>11306.62162162162</v>
      </c>
      <c r="S38" s="81">
        <f t="shared" si="94"/>
        <v>3499.6936936936931</v>
      </c>
      <c r="T38" s="81">
        <f t="shared" si="95"/>
        <v>14806.315315315313</v>
      </c>
      <c r="U38" s="82">
        <f t="shared" si="96"/>
        <v>0.42660414007031333</v>
      </c>
      <c r="V38" s="82">
        <f t="shared" si="97"/>
        <v>0.43367594305298263</v>
      </c>
      <c r="W38" s="82">
        <f t="shared" si="98"/>
        <v>0.40375694042773369</v>
      </c>
      <c r="X38" s="83">
        <f>BS38+SCENARIU!$C$22+'AJUSTĂRI PE PRODUS'!$I$63</f>
        <v>27.49</v>
      </c>
      <c r="Y38" s="83">
        <f>BT38+SCENARIU!$C$22+'AJUSTĂRI PE PRODUS'!$J$63</f>
        <v>29.49</v>
      </c>
      <c r="Z38" s="84">
        <f t="shared" si="99"/>
        <v>11516.08108108108</v>
      </c>
      <c r="AA38" s="84">
        <f t="shared" si="100"/>
        <v>3560.0540540540537</v>
      </c>
      <c r="AB38" s="84">
        <f t="shared" si="101"/>
        <v>15076.135135135133</v>
      </c>
      <c r="AC38" s="85">
        <f t="shared" si="102"/>
        <v>0.41896914269357149</v>
      </c>
      <c r="AD38" s="85">
        <f t="shared" si="103"/>
        <v>0.42578805758457622</v>
      </c>
      <c r="AE38" s="85">
        <f t="shared" si="104"/>
        <v>0.39691128189216685</v>
      </c>
      <c r="AF38" s="83">
        <f>BU38+SCENARIU!$C$22+SCENARIU!$D$22+'AJUSTĂRI PE PRODUS'!$I$63+'AJUSTĂRI PE PRODUS'!$N$63</f>
        <v>27.49</v>
      </c>
      <c r="AG38" s="83">
        <f>BV38+SCENARIU!$C$22+SCENARIU!$D$22+'AJUSTĂRI PE PRODUS'!$J$63+'AJUSTĂRI PE PRODUS'!$O$63</f>
        <v>29.49</v>
      </c>
      <c r="AH38" s="86">
        <f t="shared" si="105"/>
        <v>11516.08108108108</v>
      </c>
      <c r="AI38" s="86">
        <f t="shared" si="106"/>
        <v>3560.0540540540537</v>
      </c>
      <c r="AJ38" s="86">
        <f t="shared" si="107"/>
        <v>15076.135135135133</v>
      </c>
      <c r="AK38" s="87">
        <f t="shared" si="108"/>
        <v>0.41896914269357149</v>
      </c>
      <c r="AL38" s="87">
        <f t="shared" si="109"/>
        <v>0.42578805758457622</v>
      </c>
      <c r="AM38" s="87">
        <f t="shared" si="110"/>
        <v>0.39691128189216685</v>
      </c>
      <c r="AN38" s="83">
        <f>BW38+SCENARIU!$C$22+SCENARIU!$D$22+SCENARIU!$E$22+'AJUSTĂRI PE PRODUS'!$I$63+'AJUSTĂRI PE PRODUS'!$N$63+'AJUSTĂRI PE PRODUS'!$S$63</f>
        <v>27.99</v>
      </c>
      <c r="AO38" s="83">
        <f>BX38+SCENARIU!$C$22+SCENARIU!$D$22+SCENARIU!$E$22+'AJUSTĂRI PE PRODUS'!$J$63+'AJUSTĂRI PE PRODUS'!$O$63+'AJUSTĂRI PE PRODUS'!$T$63</f>
        <v>29.99</v>
      </c>
      <c r="AP38" s="88">
        <f t="shared" si="111"/>
        <v>11725.54054054054</v>
      </c>
      <c r="AQ38" s="88">
        <f t="shared" si="112"/>
        <v>3620.4144144144138</v>
      </c>
      <c r="AR38" s="88">
        <f t="shared" si="113"/>
        <v>15345.954954954954</v>
      </c>
      <c r="AS38" s="89">
        <f t="shared" si="114"/>
        <v>0.41160262956855131</v>
      </c>
      <c r="AT38" s="89">
        <f t="shared" si="115"/>
        <v>0.41818198295819931</v>
      </c>
      <c r="AU38" s="89">
        <f t="shared" si="116"/>
        <v>0.39029388806268756</v>
      </c>
      <c r="AV38" s="83">
        <f>BY38+SCENARIU!$C$22+SCENARIU!$D$22+SCENARIU!$E$22+SCENARIU!$F$22+'AJUSTĂRI PE PRODUS'!$I$63+'AJUSTĂRI PE PRODUS'!$N$63+'AJUSTĂRI PE PRODUS'!$S$63+'AJUSTĂRI PE PRODUS'!$X$63</f>
        <v>28.49</v>
      </c>
      <c r="AW38" s="83">
        <f>BZ38+SCENARIU!$C$22+SCENARIU!$D$22+SCENARIU!$E$22+SCENARIU!$F$22+'AJUSTĂRI PE PRODUS'!$J$63+'AJUSTĂRI PE PRODUS'!$O$63+'AJUSTĂRI PE PRODUS'!$T$63+'AJUSTĂRI PE PRODUS'!$Y$63</f>
        <v>30.49</v>
      </c>
      <c r="AX38" s="90">
        <f t="shared" si="117"/>
        <v>11934.999999999998</v>
      </c>
      <c r="AY38" s="90">
        <f t="shared" si="118"/>
        <v>3680.7747747747744</v>
      </c>
      <c r="AZ38" s="90">
        <f t="shared" si="119"/>
        <v>15615.774774774773</v>
      </c>
      <c r="BA38" s="91">
        <f t="shared" si="120"/>
        <v>0.40449068354286</v>
      </c>
      <c r="BB38" s="91">
        <f t="shared" si="121"/>
        <v>0.41084288181818185</v>
      </c>
      <c r="BC38" s="91">
        <f t="shared" si="122"/>
        <v>0.38389352912430302</v>
      </c>
      <c r="BD38" s="92">
        <f t="shared" si="123"/>
        <v>0.98999999999999844</v>
      </c>
      <c r="BE38" s="92">
        <f t="shared" si="124"/>
        <v>0.5</v>
      </c>
      <c r="BF38" s="92">
        <f t="shared" si="125"/>
        <v>0</v>
      </c>
      <c r="BG38" s="92">
        <f t="shared" si="126"/>
        <v>0.5</v>
      </c>
      <c r="BH38" s="92">
        <f t="shared" si="127"/>
        <v>0.5</v>
      </c>
      <c r="BI38" s="93">
        <f t="shared" si="128"/>
        <v>2.4899999999999984</v>
      </c>
      <c r="BJ38" s="92">
        <f t="shared" si="129"/>
        <v>0.98999999999999844</v>
      </c>
      <c r="BK38" s="92">
        <f t="shared" si="130"/>
        <v>0.5</v>
      </c>
      <c r="BL38" s="92">
        <f t="shared" si="131"/>
        <v>0</v>
      </c>
      <c r="BM38" s="92">
        <f t="shared" si="132"/>
        <v>0.5</v>
      </c>
      <c r="BN38" s="92">
        <f t="shared" si="133"/>
        <v>0.5</v>
      </c>
      <c r="BO38" s="93">
        <f t="shared" si="134"/>
        <v>2.4899999999999984</v>
      </c>
      <c r="BQ38">
        <v>26.99</v>
      </c>
      <c r="BR38">
        <v>28.99</v>
      </c>
      <c r="BS38">
        <v>27.49</v>
      </c>
      <c r="BT38">
        <v>29.49</v>
      </c>
      <c r="BU38">
        <v>27.49</v>
      </c>
      <c r="BV38">
        <v>29.49</v>
      </c>
      <c r="BW38">
        <v>27.99</v>
      </c>
      <c r="BX38">
        <v>29.99</v>
      </c>
      <c r="BY38">
        <v>28.49</v>
      </c>
      <c r="BZ38">
        <v>30.49</v>
      </c>
    </row>
    <row r="39" spans="1:78" x14ac:dyDescent="0.2">
      <c r="A39" s="26">
        <v>10</v>
      </c>
      <c r="B39" s="26" t="s">
        <v>209</v>
      </c>
      <c r="C39" s="26" t="s">
        <v>97</v>
      </c>
      <c r="D39" s="74">
        <v>1</v>
      </c>
      <c r="E39" s="75">
        <v>11</v>
      </c>
      <c r="F39" s="76">
        <v>352</v>
      </c>
      <c r="G39" s="76">
        <v>167</v>
      </c>
      <c r="H39" s="77">
        <f>SUMIFS(RETETAR!$I$4:$I$967,RETETAR!$A$4:$A$967,$M39,RETETAR!$C$4:$C$967,"AMBELE")+SUMIFS(RETETAR!$I$4:$I$967,RETETAR!$A$4:$A$967,$M39,RETETAR!$C$4:$C$967,"INSTORE")</f>
        <v>10.469675499999999</v>
      </c>
      <c r="I39" s="77">
        <f>SUMIFS(RETETAR!$I$4:$I$967,RETETAR!$A$4:$A$967,$M39,RETETAR!$C$4:$C$967,"AMBELE")+SUMIFS(RETETAR!$I$4:$I$967,RETETAR!$A$4:$A$967,$M39,RETETAR!$C$4:$C$967,"DELIVERY")</f>
        <v>10.469675499999999</v>
      </c>
      <c r="J39" s="78">
        <f t="shared" si="90"/>
        <v>3685.3257759999997</v>
      </c>
      <c r="K39" s="78">
        <f t="shared" si="91"/>
        <v>1748.4358084999999</v>
      </c>
      <c r="L39" s="78">
        <f t="shared" si="92"/>
        <v>5433.7615845</v>
      </c>
      <c r="M39" t="s">
        <v>209</v>
      </c>
      <c r="N39" s="79">
        <v>26</v>
      </c>
      <c r="O39" s="79">
        <v>28</v>
      </c>
      <c r="P39" s="80">
        <v>26.99</v>
      </c>
      <c r="Q39" s="80">
        <v>28.99</v>
      </c>
      <c r="R39" s="81">
        <f t="shared" si="93"/>
        <v>8558.9909909909911</v>
      </c>
      <c r="S39" s="81">
        <f t="shared" si="94"/>
        <v>4361.5585585585577</v>
      </c>
      <c r="T39" s="81">
        <f t="shared" si="95"/>
        <v>12920.549549549549</v>
      </c>
      <c r="U39" s="82">
        <f t="shared" si="96"/>
        <v>0.42055189399350573</v>
      </c>
      <c r="V39" s="82">
        <f t="shared" si="97"/>
        <v>0.43057946665431635</v>
      </c>
      <c r="W39" s="82">
        <f t="shared" si="98"/>
        <v>0.40087408778889277</v>
      </c>
      <c r="X39" s="83">
        <f>BS39+SCENARIU!$C$22+'AJUSTĂRI PE PRODUS'!$I$72</f>
        <v>27.49</v>
      </c>
      <c r="Y39" s="83">
        <f>BT39+SCENARIU!$C$22+'AJUSTĂRI PE PRODUS'!$J$72</f>
        <v>29.49</v>
      </c>
      <c r="Z39" s="84">
        <f t="shared" si="99"/>
        <v>8717.5495495495488</v>
      </c>
      <c r="AA39" s="84">
        <f t="shared" si="100"/>
        <v>4436.7837837837833</v>
      </c>
      <c r="AB39" s="84">
        <f t="shared" si="101"/>
        <v>13154.333333333332</v>
      </c>
      <c r="AC39" s="85">
        <f t="shared" si="102"/>
        <v>0.41307768678255585</v>
      </c>
      <c r="AD39" s="85">
        <f t="shared" si="103"/>
        <v>0.42274790123681338</v>
      </c>
      <c r="AE39" s="85">
        <f t="shared" si="104"/>
        <v>0.3940773077314344</v>
      </c>
      <c r="AF39" s="83">
        <f>BU39+SCENARIU!$C$22+SCENARIU!$D$22+'AJUSTĂRI PE PRODUS'!$I$72+'AJUSTĂRI PE PRODUS'!$N$72</f>
        <v>27.49</v>
      </c>
      <c r="AG39" s="83">
        <f>BV39+SCENARIU!$C$22+SCENARIU!$D$22+'AJUSTĂRI PE PRODUS'!$J$72+'AJUSTĂRI PE PRODUS'!$O$72</f>
        <v>29.49</v>
      </c>
      <c r="AH39" s="86">
        <f t="shared" si="105"/>
        <v>8717.5495495495488</v>
      </c>
      <c r="AI39" s="86">
        <f t="shared" si="106"/>
        <v>4436.7837837837833</v>
      </c>
      <c r="AJ39" s="86">
        <f t="shared" si="107"/>
        <v>13154.333333333332</v>
      </c>
      <c r="AK39" s="87">
        <f t="shared" si="108"/>
        <v>0.41307768678255585</v>
      </c>
      <c r="AL39" s="87">
        <f t="shared" si="109"/>
        <v>0.42274790123681338</v>
      </c>
      <c r="AM39" s="87">
        <f t="shared" si="110"/>
        <v>0.3940773077314344</v>
      </c>
      <c r="AN39" s="83">
        <f>BW39+SCENARIU!$C$22+SCENARIU!$D$22+SCENARIU!$E$22+'AJUSTĂRI PE PRODUS'!$I$72+'AJUSTĂRI PE PRODUS'!$N$72+'AJUSTĂRI PE PRODUS'!$S$72</f>
        <v>27.99</v>
      </c>
      <c r="AO39" s="83">
        <f>BX39+SCENARIU!$C$22+SCENARIU!$D$22+SCENARIU!$E$22+'AJUSTĂRI PE PRODUS'!$J$72+'AJUSTĂRI PE PRODUS'!$O$72+'AJUSTĂRI PE PRODUS'!$T$72</f>
        <v>29.99</v>
      </c>
      <c r="AP39" s="88">
        <f t="shared" si="111"/>
        <v>8876.1081081081065</v>
      </c>
      <c r="AQ39" s="88">
        <f t="shared" si="112"/>
        <v>4512.0090090090089</v>
      </c>
      <c r="AR39" s="88">
        <f t="shared" si="113"/>
        <v>13388.117117117115</v>
      </c>
      <c r="AS39" s="89">
        <f t="shared" si="114"/>
        <v>0.40586450932317963</v>
      </c>
      <c r="AT39" s="89">
        <f t="shared" si="115"/>
        <v>0.41519613451232584</v>
      </c>
      <c r="AU39" s="89">
        <f t="shared" si="116"/>
        <v>0.38750716255418471</v>
      </c>
      <c r="AV39" s="83">
        <f>BY39+SCENARIU!$C$22+SCENARIU!$D$22+SCENARIU!$E$22+SCENARIU!$F$22+'AJUSTĂRI PE PRODUS'!$I$72+'AJUSTĂRI PE PRODUS'!$N$72+'AJUSTĂRI PE PRODUS'!$S$72+'AJUSTĂRI PE PRODUS'!$X$72</f>
        <v>28.49</v>
      </c>
      <c r="AW39" s="83">
        <f>BZ39+SCENARIU!$C$22+SCENARIU!$D$22+SCENARIU!$E$22+SCENARIU!$F$22+'AJUSTĂRI PE PRODUS'!$J$72+'AJUSTĂRI PE PRODUS'!$O$72+'AJUSTĂRI PE PRODUS'!$T$72+'AJUSTĂRI PE PRODUS'!$Y$72</f>
        <v>30.49</v>
      </c>
      <c r="AX39" s="90">
        <f t="shared" si="117"/>
        <v>9034.6666666666661</v>
      </c>
      <c r="AY39" s="90">
        <f t="shared" si="118"/>
        <v>4587.2342342342336</v>
      </c>
      <c r="AZ39" s="90">
        <f t="shared" si="119"/>
        <v>13621.900900900899</v>
      </c>
      <c r="BA39" s="91">
        <f t="shared" si="120"/>
        <v>0.39889892196621635</v>
      </c>
      <c r="BB39" s="91">
        <f t="shared" si="121"/>
        <v>0.40790943506493504</v>
      </c>
      <c r="BC39" s="91">
        <f t="shared" si="122"/>
        <v>0.38115250262381112</v>
      </c>
      <c r="BD39" s="92">
        <f t="shared" si="123"/>
        <v>0.98999999999999844</v>
      </c>
      <c r="BE39" s="92">
        <f t="shared" si="124"/>
        <v>0.5</v>
      </c>
      <c r="BF39" s="92">
        <f t="shared" si="125"/>
        <v>0</v>
      </c>
      <c r="BG39" s="92">
        <f t="shared" si="126"/>
        <v>0.5</v>
      </c>
      <c r="BH39" s="92">
        <f t="shared" si="127"/>
        <v>0.5</v>
      </c>
      <c r="BI39" s="93">
        <f t="shared" si="128"/>
        <v>2.4899999999999984</v>
      </c>
      <c r="BJ39" s="92">
        <f t="shared" si="129"/>
        <v>0.98999999999999844</v>
      </c>
      <c r="BK39" s="92">
        <f t="shared" si="130"/>
        <v>0.5</v>
      </c>
      <c r="BL39" s="92">
        <f t="shared" si="131"/>
        <v>0</v>
      </c>
      <c r="BM39" s="92">
        <f t="shared" si="132"/>
        <v>0.5</v>
      </c>
      <c r="BN39" s="92">
        <f t="shared" si="133"/>
        <v>0.5</v>
      </c>
      <c r="BO39" s="93">
        <f t="shared" si="134"/>
        <v>2.4899999999999984</v>
      </c>
      <c r="BQ39">
        <v>26.99</v>
      </c>
      <c r="BR39">
        <v>28.99</v>
      </c>
      <c r="BS39">
        <v>27.49</v>
      </c>
      <c r="BT39">
        <v>29.49</v>
      </c>
      <c r="BU39">
        <v>27.49</v>
      </c>
      <c r="BV39">
        <v>29.49</v>
      </c>
      <c r="BW39">
        <v>27.99</v>
      </c>
      <c r="BX39">
        <v>29.99</v>
      </c>
      <c r="BY39">
        <v>28.49</v>
      </c>
      <c r="BZ39">
        <v>30.49</v>
      </c>
    </row>
    <row r="40" spans="1:78" x14ac:dyDescent="0.2">
      <c r="A40" s="26">
        <v>11</v>
      </c>
      <c r="B40" s="26" t="s">
        <v>249</v>
      </c>
      <c r="C40" s="26" t="s">
        <v>97</v>
      </c>
      <c r="D40" s="74">
        <v>1</v>
      </c>
      <c r="E40" s="75">
        <v>11</v>
      </c>
      <c r="F40" s="76">
        <v>221</v>
      </c>
      <c r="G40" s="76">
        <v>0</v>
      </c>
      <c r="H40" s="77">
        <f>SUMIFS(RETETAR!$I$4:$I$967,RETETAR!$A$4:$A$967,$M40,RETETAR!$C$4:$C$967,"AMBELE")+SUMIFS(RETETAR!$I$4:$I$967,RETETAR!$A$4:$A$967,$M40,RETETAR!$C$4:$C$967,"INSTORE")</f>
        <v>4.9113620000000004</v>
      </c>
      <c r="I40" s="77">
        <f>SUMIFS(RETETAR!$I$4:$I$967,RETETAR!$A$4:$A$967,$M40,RETETAR!$C$4:$C$967,"AMBELE")+SUMIFS(RETETAR!$I$4:$I$967,RETETAR!$A$4:$A$967,$M40,RETETAR!$C$4:$C$967,"DELIVERY")</f>
        <v>0</v>
      </c>
      <c r="J40" s="78">
        <f t="shared" si="90"/>
        <v>1085.4110020000001</v>
      </c>
      <c r="K40" s="78">
        <f t="shared" si="91"/>
        <v>0</v>
      </c>
      <c r="L40" s="78">
        <f t="shared" si="92"/>
        <v>1085.4110020000001</v>
      </c>
      <c r="M40" t="s">
        <v>249</v>
      </c>
      <c r="N40" s="79">
        <v>18</v>
      </c>
      <c r="O40" s="79"/>
      <c r="P40" s="80">
        <v>18</v>
      </c>
      <c r="Q40" s="80"/>
      <c r="R40" s="81">
        <f t="shared" si="93"/>
        <v>3583.7837837837833</v>
      </c>
      <c r="S40" s="81">
        <f t="shared" si="94"/>
        <v>0</v>
      </c>
      <c r="T40" s="81">
        <f t="shared" si="95"/>
        <v>3583.7837837837833</v>
      </c>
      <c r="U40" s="82">
        <f t="shared" si="96"/>
        <v>0.30286732333333338</v>
      </c>
      <c r="V40" s="82">
        <f t="shared" si="97"/>
        <v>0.30286732333333338</v>
      </c>
      <c r="W40" s="82" t="str">
        <f t="shared" si="98"/>
        <v/>
      </c>
      <c r="X40" s="83">
        <f>BS40+SCENARIU!$C$22+'AJUSTĂRI PE PRODUS'!$I$113</f>
        <v>18.5</v>
      </c>
      <c r="Y40" s="83"/>
      <c r="Z40" s="84">
        <f t="shared" si="99"/>
        <v>3683.333333333333</v>
      </c>
      <c r="AA40" s="84">
        <f t="shared" si="100"/>
        <v>0</v>
      </c>
      <c r="AB40" s="84">
        <f t="shared" si="101"/>
        <v>3683.333333333333</v>
      </c>
      <c r="AC40" s="85">
        <f t="shared" si="102"/>
        <v>0.29468172000000004</v>
      </c>
      <c r="AD40" s="85">
        <f t="shared" si="103"/>
        <v>0.29468172000000004</v>
      </c>
      <c r="AE40" s="85" t="str">
        <f t="shared" si="104"/>
        <v/>
      </c>
      <c r="AF40" s="83">
        <f>BU40+SCENARIU!$C$22+SCENARIU!$D$22+'AJUSTĂRI PE PRODUS'!$I$113+'AJUSTĂRI PE PRODUS'!$N$113</f>
        <v>18.5</v>
      </c>
      <c r="AG40" s="83"/>
      <c r="AH40" s="86">
        <f t="shared" si="105"/>
        <v>3683.333333333333</v>
      </c>
      <c r="AI40" s="86">
        <f t="shared" si="106"/>
        <v>0</v>
      </c>
      <c r="AJ40" s="86">
        <f t="shared" si="107"/>
        <v>3683.333333333333</v>
      </c>
      <c r="AK40" s="87">
        <f t="shared" si="108"/>
        <v>0.29468172000000004</v>
      </c>
      <c r="AL40" s="87">
        <f t="shared" si="109"/>
        <v>0.29468172000000004</v>
      </c>
      <c r="AM40" s="87" t="str">
        <f t="shared" si="110"/>
        <v/>
      </c>
      <c r="AN40" s="83">
        <f>BW40+SCENARIU!$C$22+SCENARIU!$D$22+SCENARIU!$E$22+'AJUSTĂRI PE PRODUS'!$I$113+'AJUSTĂRI PE PRODUS'!$N$113+'AJUSTĂRI PE PRODUS'!$S$113</f>
        <v>19</v>
      </c>
      <c r="AO40" s="83"/>
      <c r="AP40" s="88">
        <f t="shared" si="111"/>
        <v>3782.8828828828823</v>
      </c>
      <c r="AQ40" s="88">
        <f t="shared" si="112"/>
        <v>0</v>
      </c>
      <c r="AR40" s="88">
        <f t="shared" si="113"/>
        <v>3782.8828828828823</v>
      </c>
      <c r="AS40" s="89">
        <f t="shared" si="114"/>
        <v>0.28692693789473689</v>
      </c>
      <c r="AT40" s="89">
        <f t="shared" si="115"/>
        <v>0.28692693789473689</v>
      </c>
      <c r="AU40" s="89" t="str">
        <f t="shared" si="116"/>
        <v/>
      </c>
      <c r="AV40" s="83">
        <f>BY40+SCENARIU!$C$22+SCENARIU!$D$22+SCENARIU!$E$22+SCENARIU!$F$22+'AJUSTĂRI PE PRODUS'!$I$113+'AJUSTĂRI PE PRODUS'!$N$113+'AJUSTĂRI PE PRODUS'!$S$113+'AJUSTĂRI PE PRODUS'!$X$113</f>
        <v>19.5</v>
      </c>
      <c r="AW40" s="83"/>
      <c r="AX40" s="90">
        <f t="shared" si="117"/>
        <v>3882.4324324324321</v>
      </c>
      <c r="AY40" s="90">
        <f t="shared" si="118"/>
        <v>0</v>
      </c>
      <c r="AZ40" s="90">
        <f t="shared" si="119"/>
        <v>3882.4324324324321</v>
      </c>
      <c r="BA40" s="91">
        <f t="shared" si="120"/>
        <v>0.27956983692307696</v>
      </c>
      <c r="BB40" s="91">
        <f t="shared" si="121"/>
        <v>0.27956983692307696</v>
      </c>
      <c r="BC40" s="91" t="str">
        <f t="shared" si="122"/>
        <v/>
      </c>
      <c r="BD40" s="92">
        <f t="shared" si="123"/>
        <v>0</v>
      </c>
      <c r="BE40" s="92">
        <f t="shared" si="124"/>
        <v>0.5</v>
      </c>
      <c r="BF40" s="92">
        <f t="shared" si="125"/>
        <v>0</v>
      </c>
      <c r="BG40" s="92">
        <f t="shared" si="126"/>
        <v>0.5</v>
      </c>
      <c r="BH40" s="92">
        <f t="shared" si="127"/>
        <v>0.5</v>
      </c>
      <c r="BI40" s="93">
        <f t="shared" si="128"/>
        <v>1.5</v>
      </c>
      <c r="BJ40" s="92" t="str">
        <f t="shared" si="129"/>
        <v/>
      </c>
      <c r="BK40" s="92" t="str">
        <f t="shared" si="130"/>
        <v/>
      </c>
      <c r="BL40" s="92" t="str">
        <f t="shared" si="131"/>
        <v/>
      </c>
      <c r="BM40" s="92" t="str">
        <f t="shared" si="132"/>
        <v/>
      </c>
      <c r="BN40" s="92" t="str">
        <f t="shared" si="133"/>
        <v/>
      </c>
      <c r="BO40" s="93" t="str">
        <f t="shared" si="134"/>
        <v/>
      </c>
      <c r="BQ40">
        <v>18</v>
      </c>
      <c r="BS40">
        <v>18.5</v>
      </c>
      <c r="BU40">
        <v>18.5</v>
      </c>
      <c r="BW40">
        <v>19</v>
      </c>
      <c r="BY40">
        <v>19.5</v>
      </c>
    </row>
    <row r="41" spans="1:78" x14ac:dyDescent="0.2">
      <c r="A41" s="26">
        <v>12</v>
      </c>
      <c r="B41" s="26" t="s">
        <v>263</v>
      </c>
      <c r="C41" s="26" t="s">
        <v>97</v>
      </c>
      <c r="D41" s="74">
        <v>1</v>
      </c>
      <c r="E41" s="75">
        <v>11</v>
      </c>
      <c r="F41" s="76">
        <v>114</v>
      </c>
      <c r="G41" s="76">
        <v>0</v>
      </c>
      <c r="H41" s="77">
        <f>SUMIFS(RETETAR!$I$4:$I$967,RETETAR!$A$4:$A$967,$M41,RETETAR!$C$4:$C$967,"AMBELE")+SUMIFS(RETETAR!$I$4:$I$967,RETETAR!$A$4:$A$967,$M41,RETETAR!$C$4:$C$967,"INSTORE")</f>
        <v>9.8398337999999992</v>
      </c>
      <c r="I41" s="77">
        <f>SUMIFS(RETETAR!$I$4:$I$967,RETETAR!$A$4:$A$967,$M41,RETETAR!$C$4:$C$967,"AMBELE")+SUMIFS(RETETAR!$I$4:$I$967,RETETAR!$A$4:$A$967,$M41,RETETAR!$C$4:$C$967,"DELIVERY")</f>
        <v>9.8398337999999992</v>
      </c>
      <c r="J41" s="78">
        <f t="shared" si="90"/>
        <v>1121.7410531999999</v>
      </c>
      <c r="K41" s="78">
        <f t="shared" si="91"/>
        <v>0</v>
      </c>
      <c r="L41" s="78">
        <f t="shared" si="92"/>
        <v>1121.7410531999999</v>
      </c>
      <c r="M41" t="s">
        <v>263</v>
      </c>
      <c r="N41" s="79">
        <v>24</v>
      </c>
      <c r="O41" s="79"/>
      <c r="P41" s="80">
        <v>24.49</v>
      </c>
      <c r="Q41" s="80"/>
      <c r="R41" s="81">
        <f t="shared" si="93"/>
        <v>2515.1891891891887</v>
      </c>
      <c r="S41" s="81">
        <f t="shared" si="94"/>
        <v>0</v>
      </c>
      <c r="T41" s="81">
        <f t="shared" si="95"/>
        <v>2515.1891891891887</v>
      </c>
      <c r="U41" s="82">
        <f t="shared" si="96"/>
        <v>0.44598675042874647</v>
      </c>
      <c r="V41" s="82">
        <f t="shared" si="97"/>
        <v>0.44598675042874647</v>
      </c>
      <c r="W41" s="82" t="str">
        <f t="shared" si="98"/>
        <v/>
      </c>
      <c r="X41" s="83">
        <f>BS41+SCENARIU!$C$22+'AJUSTĂRI PE PRODUS'!$I$127</f>
        <v>24.99</v>
      </c>
      <c r="Y41" s="83"/>
      <c r="Z41" s="84">
        <f t="shared" si="99"/>
        <v>2566.54054054054</v>
      </c>
      <c r="AA41" s="84">
        <f t="shared" si="100"/>
        <v>0</v>
      </c>
      <c r="AB41" s="84">
        <f t="shared" si="101"/>
        <v>2566.54054054054</v>
      </c>
      <c r="AC41" s="85">
        <f t="shared" si="102"/>
        <v>0.43706344609843945</v>
      </c>
      <c r="AD41" s="85">
        <f t="shared" si="103"/>
        <v>0.43706344609843945</v>
      </c>
      <c r="AE41" s="85" t="str">
        <f t="shared" si="104"/>
        <v/>
      </c>
      <c r="AF41" s="83">
        <f>BU41+SCENARIU!$C$22+SCENARIU!$D$22+'AJUSTĂRI PE PRODUS'!$I$127+'AJUSTĂRI PE PRODUS'!$N$127</f>
        <v>24.99</v>
      </c>
      <c r="AG41" s="83"/>
      <c r="AH41" s="86">
        <f t="shared" si="105"/>
        <v>2566.54054054054</v>
      </c>
      <c r="AI41" s="86">
        <f t="shared" si="106"/>
        <v>0</v>
      </c>
      <c r="AJ41" s="86">
        <f t="shared" si="107"/>
        <v>2566.54054054054</v>
      </c>
      <c r="AK41" s="87">
        <f t="shared" si="108"/>
        <v>0.43706344609843945</v>
      </c>
      <c r="AL41" s="87">
        <f t="shared" si="109"/>
        <v>0.43706344609843945</v>
      </c>
      <c r="AM41" s="87" t="str">
        <f t="shared" si="110"/>
        <v/>
      </c>
      <c r="AN41" s="83">
        <f>BW41+SCENARIU!$C$22+SCENARIU!$D$22+SCENARIU!$E$22+'AJUSTĂRI PE PRODUS'!$I$127+'AJUSTĂRI PE PRODUS'!$N$127+'AJUSTĂRI PE PRODUS'!$S$127</f>
        <v>25.49</v>
      </c>
      <c r="AO41" s="83"/>
      <c r="AP41" s="88">
        <f t="shared" si="111"/>
        <v>2617.8918918918912</v>
      </c>
      <c r="AQ41" s="88">
        <f t="shared" si="112"/>
        <v>0</v>
      </c>
      <c r="AR41" s="88">
        <f t="shared" si="113"/>
        <v>2617.8918918918912</v>
      </c>
      <c r="AS41" s="89">
        <f t="shared" si="114"/>
        <v>0.42849021255394282</v>
      </c>
      <c r="AT41" s="89">
        <f t="shared" si="115"/>
        <v>0.42849021255394282</v>
      </c>
      <c r="AU41" s="89" t="str">
        <f t="shared" si="116"/>
        <v/>
      </c>
      <c r="AV41" s="83">
        <f>BY41+SCENARIU!$C$22+SCENARIU!$D$22+SCENARIU!$E$22+SCENARIU!$F$22+'AJUSTĂRI PE PRODUS'!$I$127+'AJUSTĂRI PE PRODUS'!$N$127+'AJUSTĂRI PE PRODUS'!$S$127+'AJUSTĂRI PE PRODUS'!$X$127</f>
        <v>25.99</v>
      </c>
      <c r="AW41" s="83"/>
      <c r="AX41" s="90">
        <f t="shared" si="117"/>
        <v>2669.2432432432424</v>
      </c>
      <c r="AY41" s="90">
        <f t="shared" si="118"/>
        <v>0</v>
      </c>
      <c r="AZ41" s="90">
        <f t="shared" si="119"/>
        <v>2669.2432432432424</v>
      </c>
      <c r="BA41" s="91">
        <f t="shared" si="120"/>
        <v>0.42024684563293585</v>
      </c>
      <c r="BB41" s="91">
        <f t="shared" si="121"/>
        <v>0.42024684563293585</v>
      </c>
      <c r="BC41" s="91" t="str">
        <f t="shared" si="122"/>
        <v/>
      </c>
      <c r="BD41" s="92">
        <f t="shared" si="123"/>
        <v>0.48999999999999844</v>
      </c>
      <c r="BE41" s="92">
        <f t="shared" si="124"/>
        <v>0.5</v>
      </c>
      <c r="BF41" s="92">
        <f t="shared" si="125"/>
        <v>0</v>
      </c>
      <c r="BG41" s="92">
        <f t="shared" si="126"/>
        <v>0.5</v>
      </c>
      <c r="BH41" s="92">
        <f t="shared" si="127"/>
        <v>0.5</v>
      </c>
      <c r="BI41" s="93">
        <f t="shared" si="128"/>
        <v>1.9899999999999984</v>
      </c>
      <c r="BJ41" s="92" t="str">
        <f t="shared" si="129"/>
        <v/>
      </c>
      <c r="BK41" s="92" t="str">
        <f t="shared" si="130"/>
        <v/>
      </c>
      <c r="BL41" s="92" t="str">
        <f t="shared" si="131"/>
        <v/>
      </c>
      <c r="BM41" s="92" t="str">
        <f t="shared" si="132"/>
        <v/>
      </c>
      <c r="BN41" s="92" t="str">
        <f t="shared" si="133"/>
        <v/>
      </c>
      <c r="BO41" s="93" t="str">
        <f t="shared" si="134"/>
        <v/>
      </c>
      <c r="BQ41">
        <v>24.49</v>
      </c>
      <c r="BS41">
        <v>24.99</v>
      </c>
      <c r="BU41">
        <v>24.99</v>
      </c>
      <c r="BW41">
        <v>25.49</v>
      </c>
      <c r="BY41">
        <v>25.99</v>
      </c>
    </row>
    <row r="42" spans="1:78" x14ac:dyDescent="0.2">
      <c r="A42" s="94" t="s">
        <v>434</v>
      </c>
      <c r="B42" s="95"/>
      <c r="C42" s="95"/>
      <c r="D42" s="95"/>
      <c r="E42" s="95"/>
      <c r="F42" s="95"/>
      <c r="G42" s="95"/>
      <c r="H42" s="95"/>
      <c r="I42" s="95"/>
      <c r="J42" s="95"/>
      <c r="K42" s="95"/>
      <c r="L42" s="96">
        <f>SUM(L30:L41)</f>
        <v>126780.89408134999</v>
      </c>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row>
    <row r="43" spans="1:78" x14ac:dyDescent="0.2">
      <c r="A43" s="72" t="s">
        <v>98</v>
      </c>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row>
    <row r="44" spans="1:78" x14ac:dyDescent="0.2">
      <c r="A44" s="26">
        <v>1</v>
      </c>
      <c r="B44" s="26" t="s">
        <v>198</v>
      </c>
      <c r="C44" s="26" t="s">
        <v>98</v>
      </c>
      <c r="D44" s="74">
        <v>1</v>
      </c>
      <c r="E44" s="75">
        <v>11</v>
      </c>
      <c r="F44" s="76">
        <v>470</v>
      </c>
      <c r="G44" s="76">
        <v>268</v>
      </c>
      <c r="H44" s="77">
        <f>SUMIFS(RETETAR!$I$4:$I$967,RETETAR!$A$4:$A$967,$M44,RETETAR!$C$4:$C$967,"AMBELE")+SUMIFS(RETETAR!$I$4:$I$967,RETETAR!$A$4:$A$967,$M44,RETETAR!$C$4:$C$967,"INSTORE")</f>
        <v>10.7753692</v>
      </c>
      <c r="I44" s="77">
        <f>SUMIFS(RETETAR!$I$4:$I$967,RETETAR!$A$4:$A$967,$M44,RETETAR!$C$4:$C$967,"AMBELE")+SUMIFS(RETETAR!$I$4:$I$967,RETETAR!$A$4:$A$967,$M44,RETETAR!$C$4:$C$967,"DELIVERY")</f>
        <v>10.7753692</v>
      </c>
      <c r="J44" s="78">
        <f>$H44*$F44</f>
        <v>5064.4235239999998</v>
      </c>
      <c r="K44" s="78">
        <f>$I44*$G44</f>
        <v>2887.7989456</v>
      </c>
      <c r="L44" s="78">
        <f>$J44+$K44</f>
        <v>7952.2224695999994</v>
      </c>
      <c r="M44" t="s">
        <v>198</v>
      </c>
      <c r="N44" s="79">
        <v>25</v>
      </c>
      <c r="O44" s="79">
        <v>28</v>
      </c>
      <c r="P44" s="80">
        <v>25.99</v>
      </c>
      <c r="Q44" s="80">
        <v>28.99</v>
      </c>
      <c r="R44" s="81">
        <f>IF(P44="",0,P44/(1+$E44/100)*$F44)</f>
        <v>11004.774774774773</v>
      </c>
      <c r="S44" s="81">
        <f>IF(Q44="",0,Q44/(1+$E44/100)*$G44)</f>
        <v>6999.3873873873863</v>
      </c>
      <c r="T44" s="81">
        <f>R44+S44</f>
        <v>18004.16216216216</v>
      </c>
      <c r="U44" s="82">
        <f>IF(OR(T44=0,$L44=0),"",$L44/T44)</f>
        <v>0.44168800513875173</v>
      </c>
      <c r="V44" s="82">
        <f>IF(OR(R44=0,$J44=0),"",$J44/R44)</f>
        <v>0.46020237829934596</v>
      </c>
      <c r="W44" s="82">
        <f>IF(OR(S44=0,$K44=0),"",$K44/S44)</f>
        <v>0.41257881379786138</v>
      </c>
      <c r="X44" s="83">
        <f>BS44+SCENARIU!$C$23+'AJUSTĂRI PE PRODUS'!$I$56</f>
        <v>25.99</v>
      </c>
      <c r="Y44" s="83">
        <f>BT44+SCENARIU!$C$23+'AJUSTĂRI PE PRODUS'!$J$56</f>
        <v>28.99</v>
      </c>
      <c r="Z44" s="84">
        <f>IF(X44="",0,X44/(1+$E44/100)*$F44)</f>
        <v>11004.774774774773</v>
      </c>
      <c r="AA44" s="84">
        <f>IF(Y44="",0,Y44/(1+$E44/100)*$G44)</f>
        <v>6999.3873873873863</v>
      </c>
      <c r="AB44" s="84">
        <f>Z44+AA44</f>
        <v>18004.16216216216</v>
      </c>
      <c r="AC44" s="85">
        <f>IF(OR(AB44=0,$L44=0),"",$L44/AB44)</f>
        <v>0.44168800513875173</v>
      </c>
      <c r="AD44" s="85">
        <f>IF(OR(Z44=0,$J44=0),"",$J44/Z44)</f>
        <v>0.46020237829934596</v>
      </c>
      <c r="AE44" s="85">
        <f>IF(OR(AA44=0,$K44=0),"",$K44/AA44)</f>
        <v>0.41257881379786138</v>
      </c>
      <c r="AF44" s="83">
        <f>BU44+SCENARIU!$C$23+SCENARIU!$D$23+'AJUSTĂRI PE PRODUS'!$I$56+'AJUSTĂRI PE PRODUS'!$N$56</f>
        <v>26.49</v>
      </c>
      <c r="AG44" s="83">
        <f>BV44+SCENARIU!$C$23+SCENARIU!$D$23+'AJUSTĂRI PE PRODUS'!$J$56+'AJUSTĂRI PE PRODUS'!$O$56</f>
        <v>29.49</v>
      </c>
      <c r="AH44" s="86">
        <f>IF(AF44="",0,AF44/(1+$E44/100)*$F44)</f>
        <v>11216.486486486485</v>
      </c>
      <c r="AI44" s="86">
        <f>IF(AG44="",0,AG44/(1+$E44/100)*$G44)</f>
        <v>7120.1081081081074</v>
      </c>
      <c r="AJ44" s="86">
        <f>AH44+AI44</f>
        <v>18336.594594594593</v>
      </c>
      <c r="AK44" s="87">
        <f>IF(OR(AJ44=0,$L44=0),"",$L44/AJ44)</f>
        <v>0.43368044314750892</v>
      </c>
      <c r="AL44" s="87">
        <f>IF(OR(AH44=0,$J44=0),"",$J44/AH44)</f>
        <v>0.45151603669309176</v>
      </c>
      <c r="AM44" s="87">
        <f>IF(OR(AI44=0,$K44=0),"",$K44/AI44)</f>
        <v>0.40558358128179051</v>
      </c>
      <c r="AN44" s="83">
        <f>BW44+SCENARIU!$C$23+SCENARIU!$D$23+SCENARIU!$E$23+'AJUSTĂRI PE PRODUS'!$I$56+'AJUSTĂRI PE PRODUS'!$N$56+'AJUSTĂRI PE PRODUS'!$S$56</f>
        <v>26.49</v>
      </c>
      <c r="AO44" s="83">
        <f>BX44+SCENARIU!$C$23+SCENARIU!$D$23+SCENARIU!$E$23+'AJUSTĂRI PE PRODUS'!$J$56+'AJUSTĂRI PE PRODUS'!$O$56+'AJUSTĂRI PE PRODUS'!$T$56</f>
        <v>29.49</v>
      </c>
      <c r="AP44" s="88">
        <f>IF(AN44="",0,AN44/(1+$E44/100)*$F44)</f>
        <v>11216.486486486485</v>
      </c>
      <c r="AQ44" s="88">
        <f>IF(AO44="",0,AO44/(1+$E44/100)*$G44)</f>
        <v>7120.1081081081074</v>
      </c>
      <c r="AR44" s="88">
        <f>AP44+AQ44</f>
        <v>18336.594594594593</v>
      </c>
      <c r="AS44" s="89">
        <f>IF(OR(AR44=0,$L44=0),"",$L44/AR44)</f>
        <v>0.43368044314750892</v>
      </c>
      <c r="AT44" s="89">
        <f>IF(OR(AP44=0,$J44=0),"",$J44/AP44)</f>
        <v>0.45151603669309176</v>
      </c>
      <c r="AU44" s="89">
        <f>IF(OR(AQ44=0,$K44=0),"",$K44/AQ44)</f>
        <v>0.40558358128179051</v>
      </c>
      <c r="AV44" s="83">
        <f>BY44+SCENARIU!$C$23+SCENARIU!$D$23+SCENARIU!$E$23+SCENARIU!$F$23+'AJUSTĂRI PE PRODUS'!$I$56+'AJUSTĂRI PE PRODUS'!$N$56+'AJUSTĂRI PE PRODUS'!$S$56+'AJUSTĂRI PE PRODUS'!$X$56</f>
        <v>27.99</v>
      </c>
      <c r="AW44" s="83">
        <f>BZ44+SCENARIU!$C$23+SCENARIU!$D$23+SCENARIU!$E$23+SCENARIU!$F$23+'AJUSTĂRI PE PRODUS'!$J$56+'AJUSTĂRI PE PRODUS'!$O$56+'AJUSTĂRI PE PRODUS'!$T$56+'AJUSTĂRI PE PRODUS'!$Y$56</f>
        <v>30.99</v>
      </c>
      <c r="AX44" s="90">
        <f>IF(AV44="",0,AV44/(1+$E44/100)*$F44)</f>
        <v>11851.62162162162</v>
      </c>
      <c r="AY44" s="90">
        <f>IF(AW44="",0,AW44/(1+$E44/100)*$G44)</f>
        <v>7482.2702702702691</v>
      </c>
      <c r="AZ44" s="90">
        <f>AX44+AY44</f>
        <v>19333.89189189189</v>
      </c>
      <c r="BA44" s="91">
        <f>IF(OR(AZ44=0,$L44=0),"",$L44/AZ44)</f>
        <v>0.41130996873603837</v>
      </c>
      <c r="BB44" s="91">
        <f>IF(OR(AX44=0,$J44=0),"",$J44/AX44)</f>
        <v>0.4273190357984995</v>
      </c>
      <c r="BC44" s="91">
        <f>IF(OR(AY44=0,$K44=0),"",$K44/AY44)</f>
        <v>0.38595223659244926</v>
      </c>
      <c r="BD44" s="92">
        <f>IF(OR($N44="",P44=""),"",P44-$N44)</f>
        <v>0.98999999999999844</v>
      </c>
      <c r="BE44" s="92">
        <f>IF(OR(P44="",X44=""),"",X44-P44)</f>
        <v>0</v>
      </c>
      <c r="BF44" s="92">
        <f>IF(OR(X44="",AF44=""),"",AF44-X44)</f>
        <v>0.5</v>
      </c>
      <c r="BG44" s="92">
        <f>IF(OR(AF44="",AN44=""),"",AN44-AF44)</f>
        <v>0</v>
      </c>
      <c r="BH44" s="92">
        <f>IF(OR(AN44="",AV44=""),"",AV44-AN44)</f>
        <v>1.5</v>
      </c>
      <c r="BI44" s="93">
        <f>IF(OR($N44="",AV44=""),"",AV44-$N44)</f>
        <v>2.9899999999999984</v>
      </c>
      <c r="BJ44" s="92">
        <f>IF(OR($O44="",Q44=""),"",Q44-$O44)</f>
        <v>0.98999999999999844</v>
      </c>
      <c r="BK44" s="92">
        <f>IF(OR(Q44="",Y44=""),"",Y44-Q44)</f>
        <v>0</v>
      </c>
      <c r="BL44" s="92">
        <f>IF(OR(Y44="",AG44=""),"",AG44-Y44)</f>
        <v>0.5</v>
      </c>
      <c r="BM44" s="92">
        <f>IF(OR(AG44="",AO44=""),"",AO44-AG44)</f>
        <v>0</v>
      </c>
      <c r="BN44" s="92">
        <f>IF(OR(AO44="",AW44=""),"",AW44-AO44)</f>
        <v>1.5</v>
      </c>
      <c r="BO44" s="93">
        <f>IF(OR($O44="",AW44=""),"",AW44-$O44)</f>
        <v>2.9899999999999984</v>
      </c>
      <c r="BQ44">
        <v>25.99</v>
      </c>
      <c r="BR44">
        <v>28.99</v>
      </c>
      <c r="BS44">
        <v>25.99</v>
      </c>
      <c r="BT44">
        <v>28.99</v>
      </c>
      <c r="BU44">
        <v>26.49</v>
      </c>
      <c r="BV44">
        <v>29.49</v>
      </c>
      <c r="BW44">
        <v>26.49</v>
      </c>
      <c r="BX44">
        <v>29.49</v>
      </c>
      <c r="BY44">
        <v>26.99</v>
      </c>
      <c r="BZ44">
        <v>29.99</v>
      </c>
    </row>
    <row r="45" spans="1:78" x14ac:dyDescent="0.2">
      <c r="A45" s="94" t="s">
        <v>435</v>
      </c>
      <c r="B45" s="95"/>
      <c r="C45" s="95"/>
      <c r="D45" s="95"/>
      <c r="E45" s="95"/>
      <c r="F45" s="95"/>
      <c r="G45" s="95"/>
      <c r="H45" s="95"/>
      <c r="I45" s="95"/>
      <c r="J45" s="95"/>
      <c r="K45" s="95"/>
      <c r="L45" s="96">
        <f>SUM(L44:L44)</f>
        <v>7952.2224695999994</v>
      </c>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5"/>
      <c r="AZ45" s="95"/>
      <c r="BA45" s="95"/>
      <c r="BB45" s="95"/>
      <c r="BC45" s="95"/>
      <c r="BD45" s="95"/>
      <c r="BE45" s="95"/>
      <c r="BF45" s="95"/>
      <c r="BG45" s="95"/>
      <c r="BH45" s="95"/>
      <c r="BI45" s="95"/>
      <c r="BJ45" s="95"/>
      <c r="BK45" s="95"/>
      <c r="BL45" s="95"/>
      <c r="BM45" s="95"/>
      <c r="BN45" s="95"/>
      <c r="BO45" s="95"/>
    </row>
    <row r="46" spans="1:78" x14ac:dyDescent="0.2">
      <c r="A46" s="72" t="s">
        <v>99</v>
      </c>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row>
    <row r="47" spans="1:78" x14ac:dyDescent="0.2">
      <c r="A47" s="26">
        <v>1</v>
      </c>
      <c r="B47" s="26" t="s">
        <v>196</v>
      </c>
      <c r="C47" s="26" t="s">
        <v>99</v>
      </c>
      <c r="D47" s="74">
        <v>1</v>
      </c>
      <c r="E47" s="75">
        <v>11</v>
      </c>
      <c r="F47" s="76">
        <v>739</v>
      </c>
      <c r="G47" s="76">
        <v>253</v>
      </c>
      <c r="H47" s="77">
        <f>SUMIFS(RETETAR!$I$4:$I$967,RETETAR!$A$4:$A$967,$M47,RETETAR!$C$4:$C$967,"AMBELE")+SUMIFS(RETETAR!$I$4:$I$967,RETETAR!$A$4:$A$967,$M47,RETETAR!$C$4:$C$967,"INSTORE")</f>
        <v>7.1913482000000002</v>
      </c>
      <c r="I47" s="77">
        <f>SUMIFS(RETETAR!$I$4:$I$967,RETETAR!$A$4:$A$967,$M47,RETETAR!$C$4:$C$967,"AMBELE")+SUMIFS(RETETAR!$I$4:$I$967,RETETAR!$A$4:$A$967,$M47,RETETAR!$C$4:$C$967,"DELIVERY")</f>
        <v>7.1913482000000002</v>
      </c>
      <c r="J47" s="78">
        <f>$H47*$F47</f>
        <v>5314.4063198000003</v>
      </c>
      <c r="K47" s="78">
        <f>$I47*$G47</f>
        <v>1819.4110946000001</v>
      </c>
      <c r="L47" s="78">
        <f>$J47+$K47</f>
        <v>7133.8174144000004</v>
      </c>
      <c r="M47" t="s">
        <v>196</v>
      </c>
      <c r="N47" s="79">
        <v>20</v>
      </c>
      <c r="O47" s="79">
        <v>23</v>
      </c>
      <c r="P47" s="80">
        <v>20.99</v>
      </c>
      <c r="Q47" s="80">
        <v>23.99</v>
      </c>
      <c r="R47" s="81">
        <f>IF(P47="",0,P47/(1+$E47/100)*$F47)</f>
        <v>13974.423423423421</v>
      </c>
      <c r="S47" s="81">
        <f>IF(Q47="",0,Q47/(1+$E47/100)*$G47)</f>
        <v>5467.9909909909902</v>
      </c>
      <c r="T47" s="81">
        <f>R47+S47</f>
        <v>19442.414414414412</v>
      </c>
      <c r="U47" s="82">
        <f>IF(OR(T47=0,$L47=0),"",$L47/T47)</f>
        <v>0.36692034550560032</v>
      </c>
      <c r="V47" s="82">
        <f>IF(OR(R47=0,$J47=0),"",$J47/R47)</f>
        <v>0.38029521210100059</v>
      </c>
      <c r="W47" s="82">
        <f>IF(OR(S47=0,$K47=0),"",$K47/S47)</f>
        <v>0.33273849528970412</v>
      </c>
      <c r="X47" s="83">
        <f>BS47+SCENARIU!$C$24+'AJUSTĂRI PE PRODUS'!$I$54</f>
        <v>20.99</v>
      </c>
      <c r="Y47" s="83">
        <f>BT47+SCENARIU!$C$24+'AJUSTĂRI PE PRODUS'!$J$54</f>
        <v>23.99</v>
      </c>
      <c r="Z47" s="84">
        <f>IF(X47="",0,X47/(1+$E47/100)*$F47)</f>
        <v>13974.423423423421</v>
      </c>
      <c r="AA47" s="84">
        <f>IF(Y47="",0,Y47/(1+$E47/100)*$G47)</f>
        <v>5467.9909909909902</v>
      </c>
      <c r="AB47" s="84">
        <f>Z47+AA47</f>
        <v>19442.414414414412</v>
      </c>
      <c r="AC47" s="85">
        <f>IF(OR(AB47=0,$L47=0),"",$L47/AB47)</f>
        <v>0.36692034550560032</v>
      </c>
      <c r="AD47" s="85">
        <f>IF(OR(Z47=0,$J47=0),"",$J47/Z47)</f>
        <v>0.38029521210100059</v>
      </c>
      <c r="AE47" s="85">
        <f>IF(OR(AA47=0,$K47=0),"",$K47/AA47)</f>
        <v>0.33273849528970412</v>
      </c>
      <c r="AF47" s="83">
        <f>BU47+SCENARIU!$C$24+SCENARIU!$D$24+'AJUSTĂRI PE PRODUS'!$I$54+'AJUSTĂRI PE PRODUS'!$N$54</f>
        <v>21.49</v>
      </c>
      <c r="AG47" s="83">
        <f>BV47+SCENARIU!$C$24+SCENARIU!$D$24+'AJUSTĂRI PE PRODUS'!$J$54+'AJUSTĂRI PE PRODUS'!$O$54</f>
        <v>24.49</v>
      </c>
      <c r="AH47" s="86">
        <f>IF(AF47="",0,AF47/(1+$E47/100)*$F47)</f>
        <v>14307.306306306304</v>
      </c>
      <c r="AI47" s="86">
        <f>IF(AG47="",0,AG47/(1+$E47/100)*$G47)</f>
        <v>5581.9549549549538</v>
      </c>
      <c r="AJ47" s="86">
        <f>AH47+AI47</f>
        <v>19889.261261261257</v>
      </c>
      <c r="AK47" s="87">
        <f>IF(OR(AJ47=0,$L47=0),"",$L47/AJ47)</f>
        <v>0.35867684177364045</v>
      </c>
      <c r="AL47" s="87">
        <f>IF(OR(AH47=0,$J47=0),"",$J47/AH47)</f>
        <v>0.37144702196370416</v>
      </c>
      <c r="AM47" s="87">
        <f>IF(OR(AI47=0,$K47=0),"",$K47/AI47)</f>
        <v>0.3259451409554921</v>
      </c>
      <c r="AN47" s="83">
        <f>BW47+SCENARIU!$C$24+SCENARIU!$D$24+SCENARIU!$E$24+'AJUSTĂRI PE PRODUS'!$I$54+'AJUSTĂRI PE PRODUS'!$N$54+'AJUSTĂRI PE PRODUS'!$S$54</f>
        <v>21.99</v>
      </c>
      <c r="AO47" s="83">
        <f>BX47+SCENARIU!$C$24+SCENARIU!$D$24+SCENARIU!$E$24+'AJUSTĂRI PE PRODUS'!$J$54+'AJUSTĂRI PE PRODUS'!$O$54+'AJUSTĂRI PE PRODUS'!$T$54</f>
        <v>24.99</v>
      </c>
      <c r="AP47" s="88">
        <f>IF(AN47="",0,AN47/(1+$E47/100)*$F47)</f>
        <v>14640.189189189186</v>
      </c>
      <c r="AQ47" s="88">
        <f>IF(AO47="",0,AO47/(1+$E47/100)*$G47)</f>
        <v>5695.9189189189174</v>
      </c>
      <c r="AR47" s="88">
        <f>AP47+AQ47</f>
        <v>20336.108108108103</v>
      </c>
      <c r="AS47" s="89">
        <f>IF(OR(AR47=0,$L47=0),"",$L47/AR47)</f>
        <v>0.3507956083079492</v>
      </c>
      <c r="AT47" s="89">
        <f>IF(OR(AP47=0,$J47=0),"",$J47/AP47)</f>
        <v>0.36300120518417472</v>
      </c>
      <c r="AU47" s="89">
        <f>IF(OR(AQ47=0,$K47=0),"",$K47/AQ47)</f>
        <v>0.3194236295318128</v>
      </c>
      <c r="AV47" s="83">
        <f>BY47+SCENARIU!$C$24+SCENARIU!$D$24+SCENARIU!$E$24+SCENARIU!$F$24+'AJUSTĂRI PE PRODUS'!$I$54+'AJUSTĂRI PE PRODUS'!$N$54+'AJUSTĂRI PE PRODUS'!$S$54+'AJUSTĂRI PE PRODUS'!$X$54</f>
        <v>21.99</v>
      </c>
      <c r="AW47" s="83">
        <f>BZ47+SCENARIU!$C$24+SCENARIU!$D$24+SCENARIU!$E$24+SCENARIU!$F$24+'AJUSTĂRI PE PRODUS'!$J$54+'AJUSTĂRI PE PRODUS'!$O$54+'AJUSTĂRI PE PRODUS'!$T$54+'AJUSTĂRI PE PRODUS'!$Y$54</f>
        <v>24.99</v>
      </c>
      <c r="AX47" s="90">
        <f>IF(AV47="",0,AV47/(1+$E47/100)*$F47)</f>
        <v>14640.189189189186</v>
      </c>
      <c r="AY47" s="90">
        <f>IF(AW47="",0,AW47/(1+$E47/100)*$G47)</f>
        <v>5695.9189189189174</v>
      </c>
      <c r="AZ47" s="90">
        <f>AX47+AY47</f>
        <v>20336.108108108103</v>
      </c>
      <c r="BA47" s="91">
        <f>IF(OR(AZ47=0,$L47=0),"",$L47/AZ47)</f>
        <v>0.3507956083079492</v>
      </c>
      <c r="BB47" s="91">
        <f>IF(OR(AX47=0,$J47=0),"",$J47/AX47)</f>
        <v>0.36300120518417472</v>
      </c>
      <c r="BC47" s="91">
        <f>IF(OR(AY47=0,$K47=0),"",$K47/AY47)</f>
        <v>0.3194236295318128</v>
      </c>
      <c r="BD47" s="92">
        <f>IF(OR($N47="",P47=""),"",P47-$N47)</f>
        <v>0.98999999999999844</v>
      </c>
      <c r="BE47" s="92">
        <f>IF(OR(P47="",X47=""),"",X47-P47)</f>
        <v>0</v>
      </c>
      <c r="BF47" s="92">
        <f>IF(OR(X47="",AF47=""),"",AF47-X47)</f>
        <v>0.5</v>
      </c>
      <c r="BG47" s="92">
        <f>IF(OR(AF47="",AN47=""),"",AN47-AF47)</f>
        <v>0.5</v>
      </c>
      <c r="BH47" s="92">
        <f>IF(OR(AN47="",AV47=""),"",AV47-AN47)</f>
        <v>0</v>
      </c>
      <c r="BI47" s="93">
        <f>IF(OR($N47="",AV47=""),"",AV47-$N47)</f>
        <v>1.9899999999999984</v>
      </c>
      <c r="BJ47" s="92">
        <f>IF(OR($O47="",Q47=""),"",Q47-$O47)</f>
        <v>0.98999999999999844</v>
      </c>
      <c r="BK47" s="92">
        <f>IF(OR(Q47="",Y47=""),"",Y47-Q47)</f>
        <v>0</v>
      </c>
      <c r="BL47" s="92">
        <f>IF(OR(Y47="",AG47=""),"",AG47-Y47)</f>
        <v>0.5</v>
      </c>
      <c r="BM47" s="92">
        <f>IF(OR(AG47="",AO47=""),"",AO47-AG47)</f>
        <v>0.5</v>
      </c>
      <c r="BN47" s="92">
        <f>IF(OR(AO47="",AW47=""),"",AW47-AO47)</f>
        <v>0</v>
      </c>
      <c r="BO47" s="93">
        <f>IF(OR($O47="",AW47=""),"",AW47-$O47)</f>
        <v>1.9899999999999984</v>
      </c>
      <c r="BQ47">
        <v>20.99</v>
      </c>
      <c r="BR47">
        <v>23.99</v>
      </c>
      <c r="BS47">
        <v>20.99</v>
      </c>
      <c r="BT47">
        <v>23.99</v>
      </c>
      <c r="BU47">
        <v>21.49</v>
      </c>
      <c r="BV47">
        <v>24.49</v>
      </c>
      <c r="BW47">
        <v>21.99</v>
      </c>
      <c r="BX47">
        <v>24.99</v>
      </c>
      <c r="BY47">
        <v>21.99</v>
      </c>
      <c r="BZ47">
        <v>24.99</v>
      </c>
    </row>
    <row r="48" spans="1:78" x14ac:dyDescent="0.2">
      <c r="A48" s="94" t="s">
        <v>436</v>
      </c>
      <c r="B48" s="95"/>
      <c r="C48" s="95"/>
      <c r="D48" s="95"/>
      <c r="E48" s="95"/>
      <c r="F48" s="95"/>
      <c r="G48" s="95"/>
      <c r="H48" s="95"/>
      <c r="I48" s="95"/>
      <c r="J48" s="95"/>
      <c r="K48" s="95"/>
      <c r="L48" s="96">
        <f>SUM(L47:L47)</f>
        <v>7133.8174144000004</v>
      </c>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row>
    <row r="49" spans="1:78" x14ac:dyDescent="0.2">
      <c r="A49" s="72" t="s">
        <v>100</v>
      </c>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row>
    <row r="50" spans="1:78" x14ac:dyDescent="0.2">
      <c r="A50" s="26">
        <v>1</v>
      </c>
      <c r="B50" s="26" t="s">
        <v>156</v>
      </c>
      <c r="C50" s="26" t="s">
        <v>100</v>
      </c>
      <c r="D50" s="74">
        <v>1</v>
      </c>
      <c r="E50" s="75">
        <v>11</v>
      </c>
      <c r="F50" s="76">
        <v>2302</v>
      </c>
      <c r="G50" s="76">
        <v>1136</v>
      </c>
      <c r="H50" s="77">
        <f>SUMIFS(RETETAR!$I$4:$I$967,RETETAR!$A$4:$A$967,$M50,RETETAR!$C$4:$C$967,"AMBELE")+SUMIFS(RETETAR!$I$4:$I$967,RETETAR!$A$4:$A$967,$M50,RETETAR!$C$4:$C$967,"INSTORE")</f>
        <v>14.3839118</v>
      </c>
      <c r="I50" s="77">
        <f>SUMIFS(RETETAR!$I$4:$I$967,RETETAR!$A$4:$A$967,$M50,RETETAR!$C$4:$C$967,"AMBELE")+SUMIFS(RETETAR!$I$4:$I$967,RETETAR!$A$4:$A$967,$M50,RETETAR!$C$4:$C$967,"DELIVERY")</f>
        <v>14.3839118</v>
      </c>
      <c r="J50" s="78">
        <f t="shared" ref="J50:J66" si="135">$H50*$F50</f>
        <v>33111.764963599999</v>
      </c>
      <c r="K50" s="78">
        <f t="shared" ref="K50:K66" si="136">$I50*$G50</f>
        <v>16340.1238048</v>
      </c>
      <c r="L50" s="78">
        <f t="shared" ref="L50:L66" si="137">$J50+$K50</f>
        <v>49451.8887684</v>
      </c>
      <c r="M50" t="s">
        <v>156</v>
      </c>
      <c r="N50" s="79">
        <v>30</v>
      </c>
      <c r="O50" s="79">
        <v>34</v>
      </c>
      <c r="P50" s="80">
        <v>30.5</v>
      </c>
      <c r="Q50" s="80">
        <v>34.5</v>
      </c>
      <c r="R50" s="81">
        <f t="shared" ref="R50:R66" si="138">IF(P50="",0,P50/(1+$E50/100)*$F50)</f>
        <v>63253.153153153144</v>
      </c>
      <c r="S50" s="81">
        <f t="shared" ref="S50:S66" si="139">IF(Q50="",0,Q50/(1+$E50/100)*$G50)</f>
        <v>35308.108108108107</v>
      </c>
      <c r="T50" s="81">
        <f t="shared" ref="T50:T66" si="140">R50+S50</f>
        <v>98561.261261261243</v>
      </c>
      <c r="U50" s="82">
        <f t="shared" ref="U50:U66" si="141">IF(OR(T50=0,$L50=0),"",$L50/T50)</f>
        <v>0.50173758062323714</v>
      </c>
      <c r="V50" s="82">
        <f t="shared" ref="V50:V66" si="142">IF(OR(R50=0,$J50=0),"",$J50/R50)</f>
        <v>0.52348006878688536</v>
      </c>
      <c r="W50" s="82">
        <f t="shared" ref="W50:W66" si="143">IF(OR(S50=0,$K50=0),"",$K50/S50)</f>
        <v>0.46278672747826088</v>
      </c>
      <c r="X50" s="83">
        <f>BS50+SCENARIU!$C$25+'AJUSTĂRI PE PRODUS'!$I$16</f>
        <v>31</v>
      </c>
      <c r="Y50" s="83">
        <f>BT50+SCENARIU!$C$25+'AJUSTĂRI PE PRODUS'!$J$16</f>
        <v>35</v>
      </c>
      <c r="Z50" s="84">
        <f t="shared" ref="Z50:Z66" si="144">IF(X50="",0,X50/(1+$E50/100)*$F50)</f>
        <v>64290.090090090082</v>
      </c>
      <c r="AA50" s="84">
        <f t="shared" ref="AA50:AA66" si="145">IF(Y50="",0,Y50/(1+$E50/100)*$G50)</f>
        <v>35819.819819819815</v>
      </c>
      <c r="AB50" s="84">
        <f t="shared" ref="AB50:AB66" si="146">Z50+AA50</f>
        <v>100109.9099099099</v>
      </c>
      <c r="AC50" s="85">
        <f t="shared" ref="AC50:AC66" si="147">IF(OR(AB50=0,$L50=0),"",$L50/AB50)</f>
        <v>0.49397595915231912</v>
      </c>
      <c r="AD50" s="85">
        <f t="shared" ref="AD50:AD66" si="148">IF(OR(Z50=0,$J50=0),"",$J50/Z50)</f>
        <v>0.51503684187096777</v>
      </c>
      <c r="AE50" s="85">
        <f t="shared" ref="AE50:AE66" si="149">IF(OR(AA50=0,$K50=0),"",$K50/AA50)</f>
        <v>0.45617548851428574</v>
      </c>
      <c r="AF50" s="83">
        <f>BU50+SCENARIU!$C$25+SCENARIU!$D$25+'AJUSTĂRI PE PRODUS'!$I$16+'AJUSTĂRI PE PRODUS'!$N$16</f>
        <v>31</v>
      </c>
      <c r="AG50" s="83">
        <f>BV50+SCENARIU!$C$25+SCENARIU!$D$25+'AJUSTĂRI PE PRODUS'!$J$16+'AJUSTĂRI PE PRODUS'!$O$16</f>
        <v>35</v>
      </c>
      <c r="AH50" s="86">
        <f t="shared" ref="AH50:AH66" si="150">IF(AF50="",0,AF50/(1+$E50/100)*$F50)</f>
        <v>64290.090090090082</v>
      </c>
      <c r="AI50" s="86">
        <f t="shared" ref="AI50:AI66" si="151">IF(AG50="",0,AG50/(1+$E50/100)*$G50)</f>
        <v>35819.819819819815</v>
      </c>
      <c r="AJ50" s="86">
        <f t="shared" ref="AJ50:AJ66" si="152">AH50+AI50</f>
        <v>100109.9099099099</v>
      </c>
      <c r="AK50" s="87">
        <f t="shared" ref="AK50:AK66" si="153">IF(OR(AJ50=0,$L50=0),"",$L50/AJ50)</f>
        <v>0.49397595915231912</v>
      </c>
      <c r="AL50" s="87">
        <f t="shared" ref="AL50:AL66" si="154">IF(OR(AH50=0,$J50=0),"",$J50/AH50)</f>
        <v>0.51503684187096777</v>
      </c>
      <c r="AM50" s="87">
        <f t="shared" ref="AM50:AM66" si="155">IF(OR(AI50=0,$K50=0),"",$K50/AI50)</f>
        <v>0.45617548851428574</v>
      </c>
      <c r="AN50" s="83">
        <f>BW50+SCENARIU!$C$25+SCENARIU!$D$25+SCENARIU!$E$25+'AJUSTĂRI PE PRODUS'!$I$16+'AJUSTĂRI PE PRODUS'!$N$16+'AJUSTĂRI PE PRODUS'!$S$16</f>
        <v>31.5</v>
      </c>
      <c r="AO50" s="83">
        <f>BX50+SCENARIU!$C$25+SCENARIU!$D$25+SCENARIU!$E$25+'AJUSTĂRI PE PRODUS'!$J$16+'AJUSTĂRI PE PRODUS'!$O$16+'AJUSTĂRI PE PRODUS'!$T$16</f>
        <v>35.5</v>
      </c>
      <c r="AP50" s="88">
        <f t="shared" ref="AP50:AP66" si="156">IF(AN50="",0,AN50/(1+$E50/100)*$F50)</f>
        <v>65327.027027027019</v>
      </c>
      <c r="AQ50" s="88">
        <f t="shared" ref="AQ50:AQ66" si="157">IF(AO50="",0,AO50/(1+$E50/100)*$G50)</f>
        <v>36331.531531531524</v>
      </c>
      <c r="AR50" s="88">
        <f t="shared" ref="AR50:AR66" si="158">AP50+AQ50</f>
        <v>101658.55855855855</v>
      </c>
      <c r="AS50" s="89">
        <f t="shared" ref="AS50:AS66" si="159">IF(OR(AR50=0,$L50=0),"",$L50/AR50)</f>
        <v>0.48645081604136797</v>
      </c>
      <c r="AT50" s="89">
        <f t="shared" ref="AT50:AT66" si="160">IF(OR(AP50=0,$J50=0),"",$J50/AP50)</f>
        <v>0.5068616539047619</v>
      </c>
      <c r="AU50" s="89">
        <f t="shared" ref="AU50:AU66" si="161">IF(OR(AQ50=0,$K50=0),"",$K50/AQ50)</f>
        <v>0.44975048163380288</v>
      </c>
      <c r="AV50" s="83">
        <f>BY50+SCENARIU!$C$25+SCENARIU!$D$25+SCENARIU!$E$25+SCENARIU!$F$25+'AJUSTĂRI PE PRODUS'!$I$16+'AJUSTĂRI PE PRODUS'!$N$16+'AJUSTĂRI PE PRODUS'!$S$16+'AJUSTĂRI PE PRODUS'!$X$16</f>
        <v>31.99</v>
      </c>
      <c r="AW50" s="83">
        <f>BZ50+SCENARIU!$C$25+SCENARIU!$D$25+SCENARIU!$E$25+SCENARIU!$F$25+'AJUSTĂRI PE PRODUS'!$J$16+'AJUSTĂRI PE PRODUS'!$O$16+'AJUSTĂRI PE PRODUS'!$T$16+'AJUSTĂRI PE PRODUS'!$Y$16</f>
        <v>35.99</v>
      </c>
      <c r="AX50" s="90">
        <f t="shared" ref="AX50:AX66" si="162">IF(AV50="",0,AV50/(1+$E50/100)*$F50)</f>
        <v>66343.225225225222</v>
      </c>
      <c r="AY50" s="90">
        <f t="shared" ref="AY50:AY66" si="163">IF(AW50="",0,AW50/(1+$E50/100)*$G50)</f>
        <v>36833.009009009009</v>
      </c>
      <c r="AZ50" s="90">
        <f t="shared" ref="AZ50:AZ66" si="164">AX50+AY50</f>
        <v>103176.23423423423</v>
      </c>
      <c r="BA50" s="91">
        <f t="shared" ref="BA50:BA66" si="165">IF(OR(AZ50=0,$L50=0),"",$L50/AZ50)</f>
        <v>0.47929534485754366</v>
      </c>
      <c r="BB50" s="91">
        <f t="shared" ref="BB50:BB66" si="166">IF(OR(AX50=0,$J50=0),"",$J50/AX50)</f>
        <v>0.49909790865895592</v>
      </c>
      <c r="BC50" s="91">
        <f t="shared" ref="BC50:BC66" si="167">IF(OR(AY50=0,$K50=0),"",$K50/AY50)</f>
        <v>0.44362717693803833</v>
      </c>
      <c r="BD50" s="92">
        <f t="shared" ref="BD50:BD66" si="168">IF(OR($N50="",P50=""),"",P50-$N50)</f>
        <v>0.5</v>
      </c>
      <c r="BE50" s="92">
        <f t="shared" ref="BE50:BE66" si="169">IF(OR(P50="",X50=""),"",X50-P50)</f>
        <v>0.5</v>
      </c>
      <c r="BF50" s="92">
        <f t="shared" ref="BF50:BF66" si="170">IF(OR(X50="",AF50=""),"",AF50-X50)</f>
        <v>0</v>
      </c>
      <c r="BG50" s="92">
        <f t="shared" ref="BG50:BG66" si="171">IF(OR(AF50="",AN50=""),"",AN50-AF50)</f>
        <v>0.5</v>
      </c>
      <c r="BH50" s="92">
        <f t="shared" ref="BH50:BH66" si="172">IF(OR(AN50="",AV50=""),"",AV50-AN50)</f>
        <v>0.48999999999999844</v>
      </c>
      <c r="BI50" s="93">
        <f t="shared" ref="BI50:BI66" si="173">IF(OR($N50="",AV50=""),"",AV50-$N50)</f>
        <v>1.9899999999999984</v>
      </c>
      <c r="BJ50" s="92">
        <f t="shared" ref="BJ50:BJ66" si="174">IF(OR($O50="",Q50=""),"",Q50-$O50)</f>
        <v>0.5</v>
      </c>
      <c r="BK50" s="92">
        <f t="shared" ref="BK50:BK66" si="175">IF(OR(Q50="",Y50=""),"",Y50-Q50)</f>
        <v>0.5</v>
      </c>
      <c r="BL50" s="92">
        <f t="shared" ref="BL50:BL66" si="176">IF(OR(Y50="",AG50=""),"",AG50-Y50)</f>
        <v>0</v>
      </c>
      <c r="BM50" s="92">
        <f t="shared" ref="BM50:BM66" si="177">IF(OR(AG50="",AO50=""),"",AO50-AG50)</f>
        <v>0.5</v>
      </c>
      <c r="BN50" s="92">
        <f t="shared" ref="BN50:BN66" si="178">IF(OR(AO50="",AW50=""),"",AW50-AO50)</f>
        <v>0.49000000000000199</v>
      </c>
      <c r="BO50" s="93">
        <f t="shared" ref="BO50:BO66" si="179">IF(OR($O50="",AW50=""),"",AW50-$O50)</f>
        <v>1.990000000000002</v>
      </c>
      <c r="BQ50">
        <v>30.5</v>
      </c>
      <c r="BR50">
        <v>34.5</v>
      </c>
      <c r="BS50">
        <v>31</v>
      </c>
      <c r="BT50">
        <v>35</v>
      </c>
      <c r="BU50">
        <v>31</v>
      </c>
      <c r="BV50">
        <v>35</v>
      </c>
      <c r="BW50">
        <v>31.5</v>
      </c>
      <c r="BX50">
        <v>35.5</v>
      </c>
      <c r="BY50">
        <v>31.99</v>
      </c>
      <c r="BZ50">
        <v>35.99</v>
      </c>
    </row>
    <row r="51" spans="1:78" x14ac:dyDescent="0.2">
      <c r="A51" s="26">
        <v>2</v>
      </c>
      <c r="B51" s="26" t="s">
        <v>164</v>
      </c>
      <c r="C51" s="26" t="s">
        <v>100</v>
      </c>
      <c r="D51" s="74">
        <v>1</v>
      </c>
      <c r="E51" s="75">
        <v>11</v>
      </c>
      <c r="F51" s="76">
        <v>2205</v>
      </c>
      <c r="G51" s="76">
        <v>628</v>
      </c>
      <c r="H51" s="77">
        <f>SUMIFS(RETETAR!$I$4:$I$967,RETETAR!$A$4:$A$967,$M51,RETETAR!$C$4:$C$967,"AMBELE")+SUMIFS(RETETAR!$I$4:$I$967,RETETAR!$A$4:$A$967,$M51,RETETAR!$C$4:$C$967,"INSTORE")</f>
        <v>8.6811470800000006</v>
      </c>
      <c r="I51" s="77">
        <f>SUMIFS(RETETAR!$I$4:$I$967,RETETAR!$A$4:$A$967,$M51,RETETAR!$C$4:$C$967,"AMBELE")+SUMIFS(RETETAR!$I$4:$I$967,RETETAR!$A$4:$A$967,$M51,RETETAR!$C$4:$C$967,"DELIVERY")</f>
        <v>8.6811470800000006</v>
      </c>
      <c r="J51" s="78">
        <f t="shared" si="135"/>
        <v>19141.929311400003</v>
      </c>
      <c r="K51" s="78">
        <f t="shared" si="136"/>
        <v>5451.7603662400006</v>
      </c>
      <c r="L51" s="78">
        <f t="shared" si="137"/>
        <v>24593.689677640003</v>
      </c>
      <c r="M51" t="s">
        <v>164</v>
      </c>
      <c r="N51" s="79">
        <v>18</v>
      </c>
      <c r="O51" s="79">
        <v>20.5</v>
      </c>
      <c r="P51" s="80">
        <v>18.5</v>
      </c>
      <c r="Q51" s="80">
        <v>21</v>
      </c>
      <c r="R51" s="81">
        <f t="shared" si="138"/>
        <v>36749.999999999993</v>
      </c>
      <c r="S51" s="81">
        <f t="shared" si="139"/>
        <v>11881.08108108108</v>
      </c>
      <c r="T51" s="81">
        <f t="shared" si="140"/>
        <v>48631.081081081073</v>
      </c>
      <c r="U51" s="82">
        <f t="shared" si="141"/>
        <v>0.50571957544262114</v>
      </c>
      <c r="V51" s="82">
        <f t="shared" si="142"/>
        <v>0.52086882480000019</v>
      </c>
      <c r="W51" s="82">
        <f t="shared" si="143"/>
        <v>0.45886063137142868</v>
      </c>
      <c r="X51" s="83">
        <f>BS51+SCENARIU!$C$25+'AJUSTĂRI PE PRODUS'!$I$26</f>
        <v>19</v>
      </c>
      <c r="Y51" s="83">
        <f>BT51+SCENARIU!$C$25+'AJUSTĂRI PE PRODUS'!$J$26</f>
        <v>21.5</v>
      </c>
      <c r="Z51" s="84">
        <f t="shared" si="144"/>
        <v>37743.24324324324</v>
      </c>
      <c r="AA51" s="84">
        <f t="shared" si="145"/>
        <v>12163.963963963963</v>
      </c>
      <c r="AB51" s="84">
        <f t="shared" si="146"/>
        <v>49907.207207207204</v>
      </c>
      <c r="AC51" s="85">
        <f t="shared" si="147"/>
        <v>0.49278833767497165</v>
      </c>
      <c r="AD51" s="85">
        <f t="shared" si="148"/>
        <v>0.50716175046315803</v>
      </c>
      <c r="AE51" s="85">
        <f t="shared" si="149"/>
        <v>0.44818945389767451</v>
      </c>
      <c r="AF51" s="83">
        <f>BU51+SCENARIU!$C$25+SCENARIU!$D$25+'AJUSTĂRI PE PRODUS'!$I$26+'AJUSTĂRI PE PRODUS'!$N$26</f>
        <v>19</v>
      </c>
      <c r="AG51" s="83">
        <f>BV51+SCENARIU!$C$25+SCENARIU!$D$25+'AJUSTĂRI PE PRODUS'!$J$26+'AJUSTĂRI PE PRODUS'!$O$26</f>
        <v>21.5</v>
      </c>
      <c r="AH51" s="86">
        <f t="shared" si="150"/>
        <v>37743.24324324324</v>
      </c>
      <c r="AI51" s="86">
        <f t="shared" si="151"/>
        <v>12163.963963963963</v>
      </c>
      <c r="AJ51" s="86">
        <f t="shared" si="152"/>
        <v>49907.207207207204</v>
      </c>
      <c r="AK51" s="87">
        <f t="shared" si="153"/>
        <v>0.49278833767497165</v>
      </c>
      <c r="AL51" s="87">
        <f t="shared" si="154"/>
        <v>0.50716175046315803</v>
      </c>
      <c r="AM51" s="87">
        <f t="shared" si="155"/>
        <v>0.44818945389767451</v>
      </c>
      <c r="AN51" s="83">
        <f>BW51+SCENARIU!$C$25+SCENARIU!$D$25+SCENARIU!$E$25+'AJUSTĂRI PE PRODUS'!$I$26+'AJUSTĂRI PE PRODUS'!$N$26+'AJUSTĂRI PE PRODUS'!$S$26</f>
        <v>19.5</v>
      </c>
      <c r="AO51" s="83">
        <f>BX51+SCENARIU!$C$25+SCENARIU!$D$25+SCENARIU!$E$25+'AJUSTĂRI PE PRODUS'!$J$26+'AJUSTĂRI PE PRODUS'!$O$26+'AJUSTĂRI PE PRODUS'!$T$26</f>
        <v>22</v>
      </c>
      <c r="AP51" s="88">
        <f t="shared" si="156"/>
        <v>38736.486486486479</v>
      </c>
      <c r="AQ51" s="88">
        <f t="shared" si="157"/>
        <v>12446.846846846845</v>
      </c>
      <c r="AR51" s="88">
        <f t="shared" si="158"/>
        <v>51183.333333333328</v>
      </c>
      <c r="AS51" s="89">
        <f t="shared" si="159"/>
        <v>0.48050191490016292</v>
      </c>
      <c r="AT51" s="89">
        <f t="shared" si="160"/>
        <v>0.49415760301538481</v>
      </c>
      <c r="AU51" s="89">
        <f t="shared" si="161"/>
        <v>0.43800332994545466</v>
      </c>
      <c r="AV51" s="83">
        <f>BY51+SCENARIU!$C$25+SCENARIU!$D$25+SCENARIU!$E$25+SCENARIU!$F$25+'AJUSTĂRI PE PRODUS'!$I$26+'AJUSTĂRI PE PRODUS'!$N$26+'AJUSTĂRI PE PRODUS'!$S$26+'AJUSTĂRI PE PRODUS'!$X$26</f>
        <v>19.989999999999998</v>
      </c>
      <c r="AW51" s="83">
        <f>BZ51+SCENARIU!$C$25+SCENARIU!$D$25+SCENARIU!$E$25+SCENARIU!$F$25+'AJUSTĂRI PE PRODUS'!$J$26+'AJUSTĂRI PE PRODUS'!$O$26+'AJUSTĂRI PE PRODUS'!$T$26+'AJUSTĂRI PE PRODUS'!$Y$26</f>
        <v>22.49</v>
      </c>
      <c r="AX51" s="90">
        <f t="shared" si="162"/>
        <v>39709.86486486486</v>
      </c>
      <c r="AY51" s="90">
        <f t="shared" si="163"/>
        <v>12724.072072072069</v>
      </c>
      <c r="AZ51" s="90">
        <f t="shared" si="164"/>
        <v>52433.936936936931</v>
      </c>
      <c r="BA51" s="91">
        <f t="shared" si="165"/>
        <v>0.46904144747359322</v>
      </c>
      <c r="BB51" s="91">
        <f t="shared" si="166"/>
        <v>0.48204468528264144</v>
      </c>
      <c r="BC51" s="91">
        <f t="shared" si="167"/>
        <v>0.4284603494353047</v>
      </c>
      <c r="BD51" s="92">
        <f t="shared" si="168"/>
        <v>0.5</v>
      </c>
      <c r="BE51" s="92">
        <f t="shared" si="169"/>
        <v>0.5</v>
      </c>
      <c r="BF51" s="92">
        <f t="shared" si="170"/>
        <v>0</v>
      </c>
      <c r="BG51" s="92">
        <f t="shared" si="171"/>
        <v>0.5</v>
      </c>
      <c r="BH51" s="92">
        <f t="shared" si="172"/>
        <v>0.48999999999999844</v>
      </c>
      <c r="BI51" s="93">
        <f t="shared" si="173"/>
        <v>1.9899999999999984</v>
      </c>
      <c r="BJ51" s="92">
        <f t="shared" si="174"/>
        <v>0.5</v>
      </c>
      <c r="BK51" s="92">
        <f t="shared" si="175"/>
        <v>0.5</v>
      </c>
      <c r="BL51" s="92">
        <f t="shared" si="176"/>
        <v>0</v>
      </c>
      <c r="BM51" s="92">
        <f t="shared" si="177"/>
        <v>0.5</v>
      </c>
      <c r="BN51" s="92">
        <f t="shared" si="178"/>
        <v>0.48999999999999844</v>
      </c>
      <c r="BO51" s="93">
        <f t="shared" si="179"/>
        <v>1.9899999999999984</v>
      </c>
      <c r="BQ51">
        <v>18.5</v>
      </c>
      <c r="BR51">
        <v>21</v>
      </c>
      <c r="BS51">
        <v>19</v>
      </c>
      <c r="BT51">
        <v>21.5</v>
      </c>
      <c r="BU51">
        <v>19</v>
      </c>
      <c r="BV51">
        <v>21.5</v>
      </c>
      <c r="BW51">
        <v>19.5</v>
      </c>
      <c r="BX51">
        <v>22</v>
      </c>
      <c r="BY51">
        <v>19.989999999999998</v>
      </c>
      <c r="BZ51">
        <v>22.49</v>
      </c>
    </row>
    <row r="52" spans="1:78" x14ac:dyDescent="0.2">
      <c r="A52" s="26">
        <v>3</v>
      </c>
      <c r="B52" s="26" t="s">
        <v>167</v>
      </c>
      <c r="C52" s="26" t="s">
        <v>100</v>
      </c>
      <c r="D52" s="74">
        <v>1</v>
      </c>
      <c r="E52" s="75">
        <v>11</v>
      </c>
      <c r="F52" s="76">
        <v>1543</v>
      </c>
      <c r="G52" s="76">
        <v>498</v>
      </c>
      <c r="H52" s="77">
        <f>SUMIFS(RETETAR!$I$4:$I$967,RETETAR!$A$4:$A$967,$M52,RETETAR!$C$4:$C$967,"AMBELE")+SUMIFS(RETETAR!$I$4:$I$967,RETETAR!$A$4:$A$967,$M52,RETETAR!$C$4:$C$967,"INSTORE")</f>
        <v>11.532529440000001</v>
      </c>
      <c r="I52" s="77">
        <f>SUMIFS(RETETAR!$I$4:$I$967,RETETAR!$A$4:$A$967,$M52,RETETAR!$C$4:$C$967,"AMBELE")+SUMIFS(RETETAR!$I$4:$I$967,RETETAR!$A$4:$A$967,$M52,RETETAR!$C$4:$C$967,"DELIVERY")</f>
        <v>11.532529440000001</v>
      </c>
      <c r="J52" s="78">
        <f t="shared" si="135"/>
        <v>17794.692925920001</v>
      </c>
      <c r="K52" s="78">
        <f t="shared" si="136"/>
        <v>5743.1996611200002</v>
      </c>
      <c r="L52" s="78">
        <f t="shared" si="137"/>
        <v>23537.892587040002</v>
      </c>
      <c r="M52" t="s">
        <v>167</v>
      </c>
      <c r="N52" s="79">
        <v>24</v>
      </c>
      <c r="O52" s="79">
        <v>28</v>
      </c>
      <c r="P52" s="80">
        <v>24.5</v>
      </c>
      <c r="Q52" s="80">
        <v>28.5</v>
      </c>
      <c r="R52" s="81">
        <f t="shared" si="138"/>
        <v>34057.207207207204</v>
      </c>
      <c r="S52" s="81">
        <f t="shared" si="139"/>
        <v>12786.486486486485</v>
      </c>
      <c r="T52" s="81">
        <f t="shared" si="140"/>
        <v>46843.693693693691</v>
      </c>
      <c r="U52" s="82">
        <f t="shared" si="141"/>
        <v>0.50247729696449572</v>
      </c>
      <c r="V52" s="82">
        <f t="shared" si="142"/>
        <v>0.52249419095510208</v>
      </c>
      <c r="W52" s="82">
        <f t="shared" si="143"/>
        <v>0.44916167292631587</v>
      </c>
      <c r="X52" s="83">
        <f>BS52+SCENARIU!$C$25+'AJUSTĂRI PE PRODUS'!$I$28</f>
        <v>25</v>
      </c>
      <c r="Y52" s="83">
        <f>BT52+SCENARIU!$C$25+'AJUSTĂRI PE PRODUS'!$J$28</f>
        <v>29</v>
      </c>
      <c r="Z52" s="84">
        <f t="shared" si="144"/>
        <v>34752.252252252249</v>
      </c>
      <c r="AA52" s="84">
        <f t="shared" si="145"/>
        <v>13010.81081081081</v>
      </c>
      <c r="AB52" s="84">
        <f t="shared" si="146"/>
        <v>47763.063063063062</v>
      </c>
      <c r="AC52" s="85">
        <f t="shared" si="147"/>
        <v>0.49280534114745084</v>
      </c>
      <c r="AD52" s="85">
        <f t="shared" si="148"/>
        <v>0.51204430713600002</v>
      </c>
      <c r="AE52" s="85">
        <f t="shared" si="149"/>
        <v>0.4414175061517242</v>
      </c>
      <c r="AF52" s="83">
        <f>BU52+SCENARIU!$C$25+SCENARIU!$D$25+'AJUSTĂRI PE PRODUS'!$I$28+'AJUSTĂRI PE PRODUS'!$N$28</f>
        <v>25</v>
      </c>
      <c r="AG52" s="83">
        <f>BV52+SCENARIU!$C$25+SCENARIU!$D$25+'AJUSTĂRI PE PRODUS'!$J$28+'AJUSTĂRI PE PRODUS'!$O$28</f>
        <v>29</v>
      </c>
      <c r="AH52" s="86">
        <f t="shared" si="150"/>
        <v>34752.252252252249</v>
      </c>
      <c r="AI52" s="86">
        <f t="shared" si="151"/>
        <v>13010.81081081081</v>
      </c>
      <c r="AJ52" s="86">
        <f t="shared" si="152"/>
        <v>47763.063063063062</v>
      </c>
      <c r="AK52" s="87">
        <f t="shared" si="153"/>
        <v>0.49280534114745084</v>
      </c>
      <c r="AL52" s="87">
        <f t="shared" si="154"/>
        <v>0.51204430713600002</v>
      </c>
      <c r="AM52" s="87">
        <f t="shared" si="155"/>
        <v>0.4414175061517242</v>
      </c>
      <c r="AN52" s="83">
        <f>BW52+SCENARIU!$C$25+SCENARIU!$D$25+SCENARIU!$E$25+'AJUSTĂRI PE PRODUS'!$I$28+'AJUSTĂRI PE PRODUS'!$N$28+'AJUSTĂRI PE PRODUS'!$S$28</f>
        <v>25.5</v>
      </c>
      <c r="AO52" s="83">
        <f>BX52+SCENARIU!$C$25+SCENARIU!$D$25+SCENARIU!$E$25+'AJUSTĂRI PE PRODUS'!$J$28+'AJUSTĂRI PE PRODUS'!$O$28+'AJUSTĂRI PE PRODUS'!$T$28</f>
        <v>29.5</v>
      </c>
      <c r="AP52" s="88">
        <f t="shared" si="156"/>
        <v>35447.297297297293</v>
      </c>
      <c r="AQ52" s="88">
        <f t="shared" si="157"/>
        <v>13235.135135135133</v>
      </c>
      <c r="AR52" s="88">
        <f t="shared" si="158"/>
        <v>48682.432432432426</v>
      </c>
      <c r="AS52" s="89">
        <f t="shared" si="159"/>
        <v>0.48349869575044008</v>
      </c>
      <c r="AT52" s="89">
        <f t="shared" si="160"/>
        <v>0.50200422268235301</v>
      </c>
      <c r="AU52" s="89">
        <f t="shared" si="161"/>
        <v>0.43393585350508485</v>
      </c>
      <c r="AV52" s="83">
        <f>BY52+SCENARIU!$C$25+SCENARIU!$D$25+SCENARIU!$E$25+SCENARIU!$F$25+'AJUSTĂRI PE PRODUS'!$I$28+'AJUSTĂRI PE PRODUS'!$N$28+'AJUSTĂRI PE PRODUS'!$S$28+'AJUSTĂRI PE PRODUS'!$X$28</f>
        <v>25.99</v>
      </c>
      <c r="AW52" s="83">
        <f>BZ52+SCENARIU!$C$25+SCENARIU!$D$25+SCENARIU!$E$25+SCENARIU!$F$25+'AJUSTĂRI PE PRODUS'!$J$28+'AJUSTĂRI PE PRODUS'!$O$28+'AJUSTĂRI PE PRODUS'!$T$28+'AJUSTĂRI PE PRODUS'!$Y$28</f>
        <v>29.99</v>
      </c>
      <c r="AX52" s="90">
        <f t="shared" si="162"/>
        <v>36128.441441441435</v>
      </c>
      <c r="AY52" s="90">
        <f t="shared" si="163"/>
        <v>13454.972972972972</v>
      </c>
      <c r="AZ52" s="90">
        <f t="shared" si="164"/>
        <v>49583.414414414408</v>
      </c>
      <c r="BA52" s="91">
        <f t="shared" si="165"/>
        <v>0.47471302380090419</v>
      </c>
      <c r="BB52" s="91">
        <f t="shared" si="166"/>
        <v>0.49253973368218557</v>
      </c>
      <c r="BC52" s="91">
        <f t="shared" si="167"/>
        <v>0.42684587123707907</v>
      </c>
      <c r="BD52" s="92">
        <f t="shared" si="168"/>
        <v>0.5</v>
      </c>
      <c r="BE52" s="92">
        <f t="shared" si="169"/>
        <v>0.5</v>
      </c>
      <c r="BF52" s="92">
        <f t="shared" si="170"/>
        <v>0</v>
      </c>
      <c r="BG52" s="92">
        <f t="shared" si="171"/>
        <v>0.5</v>
      </c>
      <c r="BH52" s="92">
        <f t="shared" si="172"/>
        <v>0.48999999999999844</v>
      </c>
      <c r="BI52" s="93">
        <f t="shared" si="173"/>
        <v>1.9899999999999984</v>
      </c>
      <c r="BJ52" s="92">
        <f t="shared" si="174"/>
        <v>0.5</v>
      </c>
      <c r="BK52" s="92">
        <f t="shared" si="175"/>
        <v>0.5</v>
      </c>
      <c r="BL52" s="92">
        <f t="shared" si="176"/>
        <v>0</v>
      </c>
      <c r="BM52" s="92">
        <f t="shared" si="177"/>
        <v>0.5</v>
      </c>
      <c r="BN52" s="92">
        <f t="shared" si="178"/>
        <v>0.48999999999999844</v>
      </c>
      <c r="BO52" s="93">
        <f t="shared" si="179"/>
        <v>1.9899999999999984</v>
      </c>
      <c r="BQ52">
        <v>24.5</v>
      </c>
      <c r="BR52">
        <v>28.5</v>
      </c>
      <c r="BS52">
        <v>25</v>
      </c>
      <c r="BT52">
        <v>29</v>
      </c>
      <c r="BU52">
        <v>25</v>
      </c>
      <c r="BV52">
        <v>29</v>
      </c>
      <c r="BW52">
        <v>25.5</v>
      </c>
      <c r="BX52">
        <v>29.5</v>
      </c>
      <c r="BY52">
        <v>25.99</v>
      </c>
      <c r="BZ52">
        <v>29.99</v>
      </c>
    </row>
    <row r="53" spans="1:78" x14ac:dyDescent="0.2">
      <c r="A53" s="26">
        <v>4</v>
      </c>
      <c r="B53" s="26" t="s">
        <v>173</v>
      </c>
      <c r="C53" s="26" t="s">
        <v>100</v>
      </c>
      <c r="D53" s="74">
        <v>1</v>
      </c>
      <c r="E53" s="75">
        <v>11</v>
      </c>
      <c r="F53" s="76">
        <v>259</v>
      </c>
      <c r="G53" s="76">
        <v>116</v>
      </c>
      <c r="H53" s="77">
        <f>SUMIFS(RETETAR!$I$4:$I$967,RETETAR!$A$4:$A$967,$M53,RETETAR!$C$4:$C$967,"AMBELE")+SUMIFS(RETETAR!$I$4:$I$967,RETETAR!$A$4:$A$967,$M53,RETETAR!$C$4:$C$967,"INSTORE")</f>
        <v>59.2856472</v>
      </c>
      <c r="I53" s="77">
        <f>SUMIFS(RETETAR!$I$4:$I$967,RETETAR!$A$4:$A$967,$M53,RETETAR!$C$4:$C$967,"AMBELE")+SUMIFS(RETETAR!$I$4:$I$967,RETETAR!$A$4:$A$967,$M53,RETETAR!$C$4:$C$967,"DELIVERY")</f>
        <v>59.2856472</v>
      </c>
      <c r="J53" s="78">
        <f t="shared" si="135"/>
        <v>15354.982624799999</v>
      </c>
      <c r="K53" s="78">
        <f t="shared" si="136"/>
        <v>6877.1350751999998</v>
      </c>
      <c r="L53" s="78">
        <f t="shared" si="137"/>
        <v>22232.117699999999</v>
      </c>
      <c r="M53" t="s">
        <v>173</v>
      </c>
      <c r="N53" s="79">
        <v>100</v>
      </c>
      <c r="O53" s="79">
        <v>120</v>
      </c>
      <c r="P53" s="80">
        <v>101.24</v>
      </c>
      <c r="Q53" s="80">
        <v>121.24</v>
      </c>
      <c r="R53" s="81">
        <f t="shared" si="138"/>
        <v>23622.666666666661</v>
      </c>
      <c r="S53" s="81">
        <f t="shared" si="139"/>
        <v>12670.126126126124</v>
      </c>
      <c r="T53" s="81">
        <f t="shared" si="140"/>
        <v>36292.792792792781</v>
      </c>
      <c r="U53" s="82">
        <f t="shared" si="141"/>
        <v>0.61257665749038115</v>
      </c>
      <c r="V53" s="82">
        <f t="shared" si="142"/>
        <v>0.65001055306203093</v>
      </c>
      <c r="W53" s="82">
        <f t="shared" si="143"/>
        <v>0.54278347403497207</v>
      </c>
      <c r="X53" s="83">
        <f>BS53+SCENARIU!$C$25+'AJUSTĂRI PE PRODUS'!$I$38</f>
        <v>104.99</v>
      </c>
      <c r="Y53" s="83">
        <f>BT53+SCENARIU!$C$25+'AJUSTĂRI PE PRODUS'!$J$38</f>
        <v>124.99</v>
      </c>
      <c r="Z53" s="84">
        <f t="shared" si="144"/>
        <v>24497.666666666664</v>
      </c>
      <c r="AA53" s="84">
        <f t="shared" si="145"/>
        <v>13062.018018018016</v>
      </c>
      <c r="AB53" s="84">
        <f t="shared" si="146"/>
        <v>37559.684684684682</v>
      </c>
      <c r="AC53" s="85">
        <f t="shared" si="147"/>
        <v>0.59191438604023627</v>
      </c>
      <c r="AD53" s="85">
        <f t="shared" si="148"/>
        <v>0.62679367932184016</v>
      </c>
      <c r="AE53" s="85">
        <f t="shared" si="149"/>
        <v>0.52649866702936243</v>
      </c>
      <c r="AF53" s="83">
        <f>BU53+SCENARIU!$C$25+SCENARIU!$D$25+'AJUSTĂRI PE PRODUS'!$I$38+'AJUSTĂRI PE PRODUS'!$N$38</f>
        <v>104.99</v>
      </c>
      <c r="AG53" s="83">
        <f>BV53+SCENARIU!$C$25+SCENARIU!$D$25+'AJUSTĂRI PE PRODUS'!$J$38+'AJUSTĂRI PE PRODUS'!$O$38</f>
        <v>124.99</v>
      </c>
      <c r="AH53" s="86">
        <f t="shared" si="150"/>
        <v>24497.666666666664</v>
      </c>
      <c r="AI53" s="86">
        <f t="shared" si="151"/>
        <v>13062.018018018016</v>
      </c>
      <c r="AJ53" s="86">
        <f t="shared" si="152"/>
        <v>37559.684684684682</v>
      </c>
      <c r="AK53" s="87">
        <f t="shared" si="153"/>
        <v>0.59191438604023627</v>
      </c>
      <c r="AL53" s="87">
        <f t="shared" si="154"/>
        <v>0.62679367932184016</v>
      </c>
      <c r="AM53" s="87">
        <f t="shared" si="155"/>
        <v>0.52649866702936243</v>
      </c>
      <c r="AN53" s="83">
        <f>BW53+SCENARIU!$C$25+SCENARIU!$D$25+SCENARIU!$E$25+'AJUSTĂRI PE PRODUS'!$I$38+'AJUSTĂRI PE PRODUS'!$N$38+'AJUSTĂRI PE PRODUS'!$S$38</f>
        <v>105.49</v>
      </c>
      <c r="AO53" s="83">
        <f>BX53+SCENARIU!$C$25+SCENARIU!$D$25+SCENARIU!$E$25+'AJUSTĂRI PE PRODUS'!$J$38+'AJUSTĂRI PE PRODUS'!$O$38+'AJUSTĂRI PE PRODUS'!$T$38</f>
        <v>125.49</v>
      </c>
      <c r="AP53" s="88">
        <f t="shared" si="156"/>
        <v>24614.333333333328</v>
      </c>
      <c r="AQ53" s="88">
        <f t="shared" si="157"/>
        <v>13114.270270270268</v>
      </c>
      <c r="AR53" s="88">
        <f t="shared" si="158"/>
        <v>37728.603603603595</v>
      </c>
      <c r="AS53" s="89">
        <f t="shared" si="159"/>
        <v>0.58926426044234859</v>
      </c>
      <c r="AT53" s="89">
        <f t="shared" si="160"/>
        <v>0.62382281156507735</v>
      </c>
      <c r="AU53" s="89">
        <f t="shared" si="161"/>
        <v>0.52440089562514947</v>
      </c>
      <c r="AV53" s="83">
        <f>BY53+SCENARIU!$C$25+SCENARIU!$D$25+SCENARIU!$E$25+SCENARIU!$F$25+'AJUSTĂRI PE PRODUS'!$I$38+'AJUSTĂRI PE PRODUS'!$N$38+'AJUSTĂRI PE PRODUS'!$S$38+'AJUSTĂRI PE PRODUS'!$X$38</f>
        <v>109.99</v>
      </c>
      <c r="AW53" s="83">
        <f>BZ53+SCENARIU!$C$25+SCENARIU!$D$25+SCENARIU!$E$25+SCENARIU!$F$25+'AJUSTĂRI PE PRODUS'!$J$38+'AJUSTĂRI PE PRODUS'!$O$38+'AJUSTĂRI PE PRODUS'!$T$38+'AJUSTĂRI PE PRODUS'!$Y$38</f>
        <v>129.99</v>
      </c>
      <c r="AX53" s="90">
        <f t="shared" si="162"/>
        <v>25664.333333333328</v>
      </c>
      <c r="AY53" s="90">
        <f t="shared" si="163"/>
        <v>13584.540540540542</v>
      </c>
      <c r="AZ53" s="90">
        <f t="shared" si="164"/>
        <v>39248.873873873868</v>
      </c>
      <c r="BA53" s="91">
        <f t="shared" si="165"/>
        <v>0.56643963267437525</v>
      </c>
      <c r="BB53" s="91">
        <f t="shared" si="166"/>
        <v>0.59830046724247665</v>
      </c>
      <c r="BC53" s="91">
        <f t="shared" si="167"/>
        <v>0.50624716048926832</v>
      </c>
      <c r="BD53" s="92">
        <f t="shared" si="168"/>
        <v>1.2399999999999949</v>
      </c>
      <c r="BE53" s="92">
        <f t="shared" si="169"/>
        <v>3.75</v>
      </c>
      <c r="BF53" s="92">
        <f t="shared" si="170"/>
        <v>0</v>
      </c>
      <c r="BG53" s="92">
        <f t="shared" si="171"/>
        <v>0.5</v>
      </c>
      <c r="BH53" s="92">
        <f t="shared" si="172"/>
        <v>4.5</v>
      </c>
      <c r="BI53" s="93">
        <f t="shared" si="173"/>
        <v>9.9899999999999949</v>
      </c>
      <c r="BJ53" s="92">
        <f t="shared" si="174"/>
        <v>1.2399999999999949</v>
      </c>
      <c r="BK53" s="92">
        <f t="shared" si="175"/>
        <v>3.75</v>
      </c>
      <c r="BL53" s="92">
        <f t="shared" si="176"/>
        <v>0</v>
      </c>
      <c r="BM53" s="92">
        <f t="shared" si="177"/>
        <v>0.5</v>
      </c>
      <c r="BN53" s="92">
        <f t="shared" si="178"/>
        <v>4.5000000000000142</v>
      </c>
      <c r="BO53" s="93">
        <f t="shared" si="179"/>
        <v>9.9900000000000091</v>
      </c>
      <c r="BQ53">
        <v>101.24</v>
      </c>
      <c r="BR53">
        <v>121.24</v>
      </c>
      <c r="BS53">
        <v>101.49</v>
      </c>
      <c r="BT53">
        <v>121.49</v>
      </c>
      <c r="BU53">
        <v>101.49</v>
      </c>
      <c r="BV53">
        <v>121.49</v>
      </c>
      <c r="BW53">
        <v>101.99</v>
      </c>
      <c r="BX53">
        <v>121.99</v>
      </c>
      <c r="BY53">
        <v>101.99</v>
      </c>
      <c r="BZ53">
        <v>121.99</v>
      </c>
    </row>
    <row r="54" spans="1:78" x14ac:dyDescent="0.2">
      <c r="A54" s="26">
        <v>5</v>
      </c>
      <c r="B54" s="26" t="s">
        <v>182</v>
      </c>
      <c r="C54" s="26" t="s">
        <v>100</v>
      </c>
      <c r="D54" s="74">
        <v>1</v>
      </c>
      <c r="E54" s="75">
        <v>11</v>
      </c>
      <c r="F54" s="76">
        <v>549</v>
      </c>
      <c r="G54" s="76">
        <v>639</v>
      </c>
      <c r="H54" s="77">
        <f>SUMIFS(RETETAR!$I$4:$I$967,RETETAR!$A$4:$A$967,$M54,RETETAR!$C$4:$C$967,"AMBELE")+SUMIFS(RETETAR!$I$4:$I$967,RETETAR!$A$4:$A$967,$M54,RETETAR!$C$4:$C$967,"INSTORE")</f>
        <v>6.80876416</v>
      </c>
      <c r="I54" s="77">
        <f>SUMIFS(RETETAR!$I$4:$I$967,RETETAR!$A$4:$A$967,$M54,RETETAR!$C$4:$C$967,"AMBELE")+SUMIFS(RETETAR!$I$4:$I$967,RETETAR!$A$4:$A$967,$M54,RETETAR!$C$4:$C$967,"DELIVERY")</f>
        <v>6.80876416</v>
      </c>
      <c r="J54" s="78">
        <f t="shared" si="135"/>
        <v>3738.0115238399999</v>
      </c>
      <c r="K54" s="78">
        <f t="shared" si="136"/>
        <v>4350.8002982400003</v>
      </c>
      <c r="L54" s="78">
        <f t="shared" si="137"/>
        <v>8088.8118220800006</v>
      </c>
      <c r="M54" t="s">
        <v>182</v>
      </c>
      <c r="N54" s="79">
        <v>22</v>
      </c>
      <c r="O54" s="79">
        <v>26</v>
      </c>
      <c r="P54" s="80">
        <v>22.5</v>
      </c>
      <c r="Q54" s="80">
        <v>26.5</v>
      </c>
      <c r="R54" s="81">
        <f t="shared" si="138"/>
        <v>11128.378378378378</v>
      </c>
      <c r="S54" s="81">
        <f t="shared" si="139"/>
        <v>15255.405405405405</v>
      </c>
      <c r="T54" s="81">
        <f t="shared" si="140"/>
        <v>26383.783783783783</v>
      </c>
      <c r="U54" s="82">
        <f t="shared" si="141"/>
        <v>0.30658270581536573</v>
      </c>
      <c r="V54" s="82">
        <f t="shared" si="142"/>
        <v>0.33589903189333331</v>
      </c>
      <c r="W54" s="82">
        <f t="shared" si="143"/>
        <v>0.28519729123018872</v>
      </c>
      <c r="X54" s="83">
        <f>BS54+SCENARIU!$C$25+'AJUSTĂRI PE PRODUS'!$I$42</f>
        <v>23</v>
      </c>
      <c r="Y54" s="83">
        <f>BT54+SCENARIU!$C$25+'AJUSTĂRI PE PRODUS'!$J$42</f>
        <v>27</v>
      </c>
      <c r="Z54" s="84">
        <f t="shared" si="144"/>
        <v>11375.675675675675</v>
      </c>
      <c r="AA54" s="84">
        <f t="shared" si="145"/>
        <v>15543.243243243242</v>
      </c>
      <c r="AB54" s="84">
        <f t="shared" si="146"/>
        <v>26918.918918918916</v>
      </c>
      <c r="AC54" s="85">
        <f t="shared" si="147"/>
        <v>0.30048798937445786</v>
      </c>
      <c r="AD54" s="85">
        <f t="shared" si="148"/>
        <v>0.32859687902608697</v>
      </c>
      <c r="AE54" s="85">
        <f t="shared" si="149"/>
        <v>0.27991585991111118</v>
      </c>
      <c r="AF54" s="83">
        <f>BU54+SCENARIU!$C$25+SCENARIU!$D$25+'AJUSTĂRI PE PRODUS'!$I$42+'AJUSTĂRI PE PRODUS'!$N$42</f>
        <v>23</v>
      </c>
      <c r="AG54" s="83">
        <f>BV54+SCENARIU!$C$25+SCENARIU!$D$25+'AJUSTĂRI PE PRODUS'!$J$42+'AJUSTĂRI PE PRODUS'!$O$42</f>
        <v>27</v>
      </c>
      <c r="AH54" s="86">
        <f t="shared" si="150"/>
        <v>11375.675675675675</v>
      </c>
      <c r="AI54" s="86">
        <f t="shared" si="151"/>
        <v>15543.243243243242</v>
      </c>
      <c r="AJ54" s="86">
        <f t="shared" si="152"/>
        <v>26918.918918918916</v>
      </c>
      <c r="AK54" s="87">
        <f t="shared" si="153"/>
        <v>0.30048798937445786</v>
      </c>
      <c r="AL54" s="87">
        <f t="shared" si="154"/>
        <v>0.32859687902608697</v>
      </c>
      <c r="AM54" s="87">
        <f t="shared" si="155"/>
        <v>0.27991585991111118</v>
      </c>
      <c r="AN54" s="83">
        <f>BW54+SCENARIU!$C$25+SCENARIU!$D$25+SCENARIU!$E$25+'AJUSTĂRI PE PRODUS'!$I$42+'AJUSTĂRI PE PRODUS'!$N$42+'AJUSTĂRI PE PRODUS'!$S$42</f>
        <v>23.5</v>
      </c>
      <c r="AO54" s="83">
        <f>BX54+SCENARIU!$C$25+SCENARIU!$D$25+SCENARIU!$E$25+'AJUSTĂRI PE PRODUS'!$J$42+'AJUSTĂRI PE PRODUS'!$O$42+'AJUSTĂRI PE PRODUS'!$T$42</f>
        <v>27.5</v>
      </c>
      <c r="AP54" s="88">
        <f t="shared" si="156"/>
        <v>11622.972972972973</v>
      </c>
      <c r="AQ54" s="88">
        <f t="shared" si="157"/>
        <v>15831.08108108108</v>
      </c>
      <c r="AR54" s="88">
        <f t="shared" si="158"/>
        <v>27454.054054054053</v>
      </c>
      <c r="AS54" s="89">
        <f t="shared" si="159"/>
        <v>0.29463086967607799</v>
      </c>
      <c r="AT54" s="89">
        <f t="shared" si="160"/>
        <v>0.3216054560680851</v>
      </c>
      <c r="AU54" s="89">
        <f t="shared" si="161"/>
        <v>0.27482648064000004</v>
      </c>
      <c r="AV54" s="83">
        <f>BY54+SCENARIU!$C$25+SCENARIU!$D$25+SCENARIU!$E$25+SCENARIU!$F$25+'AJUSTĂRI PE PRODUS'!$I$42+'AJUSTĂRI PE PRODUS'!$N$42+'AJUSTĂRI PE PRODUS'!$S$42+'AJUSTĂRI PE PRODUS'!$X$42</f>
        <v>23.99</v>
      </c>
      <c r="AW54" s="83">
        <f>BZ54+SCENARIU!$C$25+SCENARIU!$D$25+SCENARIU!$E$25+SCENARIU!$F$25+'AJUSTĂRI PE PRODUS'!$J$42+'AJUSTĂRI PE PRODUS'!$O$42+'AJUSTĂRI PE PRODUS'!$T$42+'AJUSTĂRI PE PRODUS'!$Y$42</f>
        <v>27.99</v>
      </c>
      <c r="AX54" s="90">
        <f t="shared" si="162"/>
        <v>11865.324324324321</v>
      </c>
      <c r="AY54" s="90">
        <f t="shared" si="163"/>
        <v>16113.162162162162</v>
      </c>
      <c r="AZ54" s="90">
        <f t="shared" si="164"/>
        <v>27978.486486486483</v>
      </c>
      <c r="BA54" s="91">
        <f t="shared" si="165"/>
        <v>0.28910826988396499</v>
      </c>
      <c r="BB54" s="91">
        <f t="shared" si="166"/>
        <v>0.31503660765318892</v>
      </c>
      <c r="BC54" s="91">
        <f t="shared" si="167"/>
        <v>0.27001529894962489</v>
      </c>
      <c r="BD54" s="92">
        <f t="shared" si="168"/>
        <v>0.5</v>
      </c>
      <c r="BE54" s="92">
        <f t="shared" si="169"/>
        <v>0.5</v>
      </c>
      <c r="BF54" s="92">
        <f t="shared" si="170"/>
        <v>0</v>
      </c>
      <c r="BG54" s="92">
        <f t="shared" si="171"/>
        <v>0.5</v>
      </c>
      <c r="BH54" s="92">
        <f t="shared" si="172"/>
        <v>0.48999999999999844</v>
      </c>
      <c r="BI54" s="93">
        <f t="shared" si="173"/>
        <v>1.9899999999999984</v>
      </c>
      <c r="BJ54" s="92">
        <f t="shared" si="174"/>
        <v>0.5</v>
      </c>
      <c r="BK54" s="92">
        <f t="shared" si="175"/>
        <v>0.5</v>
      </c>
      <c r="BL54" s="92">
        <f t="shared" si="176"/>
        <v>0</v>
      </c>
      <c r="BM54" s="92">
        <f t="shared" si="177"/>
        <v>0.5</v>
      </c>
      <c r="BN54" s="92">
        <f t="shared" si="178"/>
        <v>0.48999999999999844</v>
      </c>
      <c r="BO54" s="93">
        <f t="shared" si="179"/>
        <v>1.9899999999999984</v>
      </c>
      <c r="BQ54">
        <v>22.5</v>
      </c>
      <c r="BR54">
        <v>26.5</v>
      </c>
      <c r="BS54">
        <v>23</v>
      </c>
      <c r="BT54">
        <v>27</v>
      </c>
      <c r="BU54">
        <v>23</v>
      </c>
      <c r="BV54">
        <v>27</v>
      </c>
      <c r="BW54">
        <v>23.5</v>
      </c>
      <c r="BX54">
        <v>27.5</v>
      </c>
      <c r="BY54">
        <v>23.99</v>
      </c>
      <c r="BZ54">
        <v>27.99</v>
      </c>
    </row>
    <row r="55" spans="1:78" x14ac:dyDescent="0.2">
      <c r="A55" s="26">
        <v>6</v>
      </c>
      <c r="B55" s="26" t="s">
        <v>185</v>
      </c>
      <c r="C55" s="26" t="s">
        <v>100</v>
      </c>
      <c r="D55" s="74">
        <v>1</v>
      </c>
      <c r="E55" s="75">
        <v>11</v>
      </c>
      <c r="F55" s="76">
        <v>909</v>
      </c>
      <c r="G55" s="76">
        <v>662</v>
      </c>
      <c r="H55" s="77">
        <f>SUMIFS(RETETAR!$I$4:$I$967,RETETAR!$A$4:$A$967,$M55,RETETAR!$C$4:$C$967,"AMBELE")+SUMIFS(RETETAR!$I$4:$I$967,RETETAR!$A$4:$A$967,$M55,RETETAR!$C$4:$C$967,"INSTORE")</f>
        <v>4.5815094399999996</v>
      </c>
      <c r="I55" s="77">
        <f>SUMIFS(RETETAR!$I$4:$I$967,RETETAR!$A$4:$A$967,$M55,RETETAR!$C$4:$C$967,"AMBELE")+SUMIFS(RETETAR!$I$4:$I$967,RETETAR!$A$4:$A$967,$M55,RETETAR!$C$4:$C$967,"DELIVERY")</f>
        <v>4.5815094399999996</v>
      </c>
      <c r="J55" s="78">
        <f t="shared" si="135"/>
        <v>4164.5920809599993</v>
      </c>
      <c r="K55" s="78">
        <f t="shared" si="136"/>
        <v>3032.9592492799998</v>
      </c>
      <c r="L55" s="78">
        <f t="shared" si="137"/>
        <v>7197.5513302399995</v>
      </c>
      <c r="M55" t="s">
        <v>185</v>
      </c>
      <c r="N55" s="79">
        <v>16</v>
      </c>
      <c r="O55" s="79">
        <v>19</v>
      </c>
      <c r="P55" s="80">
        <v>16.5</v>
      </c>
      <c r="Q55" s="80">
        <v>19.5</v>
      </c>
      <c r="R55" s="81">
        <f t="shared" si="138"/>
        <v>13512.16216216216</v>
      </c>
      <c r="S55" s="81">
        <f t="shared" si="139"/>
        <v>11629.729729729728</v>
      </c>
      <c r="T55" s="81">
        <f t="shared" si="140"/>
        <v>25141.891891891886</v>
      </c>
      <c r="U55" s="82">
        <f t="shared" si="141"/>
        <v>0.28627723646211239</v>
      </c>
      <c r="V55" s="82">
        <f t="shared" si="142"/>
        <v>0.30821063505454543</v>
      </c>
      <c r="W55" s="82">
        <f t="shared" si="143"/>
        <v>0.2607936142769231</v>
      </c>
      <c r="X55" s="83">
        <f>BS55+SCENARIU!$C$25+'AJUSTĂRI PE PRODUS'!$I$44</f>
        <v>17</v>
      </c>
      <c r="Y55" s="83">
        <f>BT55+SCENARIU!$C$25+'AJUSTĂRI PE PRODUS'!$J$44</f>
        <v>20</v>
      </c>
      <c r="Z55" s="84">
        <f t="shared" si="144"/>
        <v>13921.62162162162</v>
      </c>
      <c r="AA55" s="84">
        <f t="shared" si="145"/>
        <v>11927.927927927925</v>
      </c>
      <c r="AB55" s="84">
        <f t="shared" si="146"/>
        <v>25849.549549549545</v>
      </c>
      <c r="AC55" s="85">
        <f t="shared" si="147"/>
        <v>0.27844010652655354</v>
      </c>
      <c r="AD55" s="85">
        <f t="shared" si="148"/>
        <v>0.29914561637647058</v>
      </c>
      <c r="AE55" s="85">
        <f t="shared" si="149"/>
        <v>0.25427377392000006</v>
      </c>
      <c r="AF55" s="83">
        <f>BU55+SCENARIU!$C$25+SCENARIU!$D$25+'AJUSTĂRI PE PRODUS'!$I$44+'AJUSTĂRI PE PRODUS'!$N$44</f>
        <v>17</v>
      </c>
      <c r="AG55" s="83">
        <f>BV55+SCENARIU!$C$25+SCENARIU!$D$25+'AJUSTĂRI PE PRODUS'!$J$44+'AJUSTĂRI PE PRODUS'!$O$44</f>
        <v>20</v>
      </c>
      <c r="AH55" s="86">
        <f t="shared" si="150"/>
        <v>13921.62162162162</v>
      </c>
      <c r="AI55" s="86">
        <f t="shared" si="151"/>
        <v>11927.927927927925</v>
      </c>
      <c r="AJ55" s="86">
        <f t="shared" si="152"/>
        <v>25849.549549549545</v>
      </c>
      <c r="AK55" s="87">
        <f t="shared" si="153"/>
        <v>0.27844010652655354</v>
      </c>
      <c r="AL55" s="87">
        <f t="shared" si="154"/>
        <v>0.29914561637647058</v>
      </c>
      <c r="AM55" s="87">
        <f t="shared" si="155"/>
        <v>0.25427377392000006</v>
      </c>
      <c r="AN55" s="83">
        <f>BW55+SCENARIU!$C$25+SCENARIU!$D$25+SCENARIU!$E$25+'AJUSTĂRI PE PRODUS'!$I$44+'AJUSTĂRI PE PRODUS'!$N$44+'AJUSTĂRI PE PRODUS'!$S$44</f>
        <v>17.5</v>
      </c>
      <c r="AO55" s="83">
        <f>BX55+SCENARIU!$C$25+SCENARIU!$D$25+SCENARIU!$E$25+'AJUSTĂRI PE PRODUS'!$J$44+'AJUSTĂRI PE PRODUS'!$O$44+'AJUSTĂRI PE PRODUS'!$T$44</f>
        <v>20.5</v>
      </c>
      <c r="AP55" s="88">
        <f t="shared" si="156"/>
        <v>14331.08108108108</v>
      </c>
      <c r="AQ55" s="88">
        <f t="shared" si="157"/>
        <v>12226.126126126124</v>
      </c>
      <c r="AR55" s="88">
        <f t="shared" si="158"/>
        <v>26557.207207207204</v>
      </c>
      <c r="AS55" s="89">
        <f t="shared" si="159"/>
        <v>0.27102064136799364</v>
      </c>
      <c r="AT55" s="89">
        <f t="shared" si="160"/>
        <v>0.29059859876571426</v>
      </c>
      <c r="AU55" s="89">
        <f t="shared" si="161"/>
        <v>0.24807197455609759</v>
      </c>
      <c r="AV55" s="83">
        <f>BY55+SCENARIU!$C$25+SCENARIU!$D$25+SCENARIU!$E$25+SCENARIU!$F$25+'AJUSTĂRI PE PRODUS'!$I$44+'AJUSTĂRI PE PRODUS'!$N$44+'AJUSTĂRI PE PRODUS'!$S$44+'AJUSTĂRI PE PRODUS'!$X$44</f>
        <v>17.989999999999998</v>
      </c>
      <c r="AW55" s="83">
        <f>BZ55+SCENARIU!$C$25+SCENARIU!$D$25+SCENARIU!$E$25+SCENARIU!$F$25+'AJUSTĂRI PE PRODUS'!$J$44+'AJUSTĂRI PE PRODUS'!$O$44+'AJUSTĂRI PE PRODUS'!$T$44+'AJUSTĂRI PE PRODUS'!$Y$44</f>
        <v>20.99</v>
      </c>
      <c r="AX55" s="90">
        <f t="shared" si="162"/>
        <v>14732.35135135135</v>
      </c>
      <c r="AY55" s="90">
        <f t="shared" si="163"/>
        <v>12518.360360360359</v>
      </c>
      <c r="AZ55" s="90">
        <f t="shared" si="164"/>
        <v>27250.711711711709</v>
      </c>
      <c r="BA55" s="91">
        <f t="shared" si="165"/>
        <v>0.26412342570659036</v>
      </c>
      <c r="BB55" s="91">
        <f t="shared" si="166"/>
        <v>0.28268346183435239</v>
      </c>
      <c r="BC55" s="91">
        <f t="shared" si="167"/>
        <v>0.24228087081467367</v>
      </c>
      <c r="BD55" s="92">
        <f t="shared" si="168"/>
        <v>0.5</v>
      </c>
      <c r="BE55" s="92">
        <f t="shared" si="169"/>
        <v>0.5</v>
      </c>
      <c r="BF55" s="92">
        <f t="shared" si="170"/>
        <v>0</v>
      </c>
      <c r="BG55" s="92">
        <f t="shared" si="171"/>
        <v>0.5</v>
      </c>
      <c r="BH55" s="92">
        <f t="shared" si="172"/>
        <v>0.48999999999999844</v>
      </c>
      <c r="BI55" s="93">
        <f t="shared" si="173"/>
        <v>1.9899999999999984</v>
      </c>
      <c r="BJ55" s="92">
        <f t="shared" si="174"/>
        <v>0.5</v>
      </c>
      <c r="BK55" s="92">
        <f t="shared" si="175"/>
        <v>0.5</v>
      </c>
      <c r="BL55" s="92">
        <f t="shared" si="176"/>
        <v>0</v>
      </c>
      <c r="BM55" s="92">
        <f t="shared" si="177"/>
        <v>0.5</v>
      </c>
      <c r="BN55" s="92">
        <f t="shared" si="178"/>
        <v>0.48999999999999844</v>
      </c>
      <c r="BO55" s="93">
        <f t="shared" si="179"/>
        <v>1.9899999999999984</v>
      </c>
      <c r="BQ55">
        <v>16.5</v>
      </c>
      <c r="BR55">
        <v>19.5</v>
      </c>
      <c r="BS55">
        <v>17</v>
      </c>
      <c r="BT55">
        <v>20</v>
      </c>
      <c r="BU55">
        <v>17</v>
      </c>
      <c r="BV55">
        <v>20</v>
      </c>
      <c r="BW55">
        <v>17.5</v>
      </c>
      <c r="BX55">
        <v>20.5</v>
      </c>
      <c r="BY55">
        <v>17.989999999999998</v>
      </c>
      <c r="BZ55">
        <v>20.99</v>
      </c>
    </row>
    <row r="56" spans="1:78" x14ac:dyDescent="0.2">
      <c r="A56" s="26">
        <v>7</v>
      </c>
      <c r="B56" s="26" t="s">
        <v>189</v>
      </c>
      <c r="C56" s="26" t="s">
        <v>100</v>
      </c>
      <c r="D56" s="74">
        <v>1</v>
      </c>
      <c r="E56" s="75">
        <v>11</v>
      </c>
      <c r="F56" s="76">
        <v>345</v>
      </c>
      <c r="G56" s="76">
        <v>356</v>
      </c>
      <c r="H56" s="77">
        <f>SUMIFS(RETETAR!$I$4:$I$967,RETETAR!$A$4:$A$967,$M56,RETETAR!$C$4:$C$967,"AMBELE")+SUMIFS(RETETAR!$I$4:$I$967,RETETAR!$A$4:$A$967,$M56,RETETAR!$C$4:$C$967,"INSTORE")</f>
        <v>14.686164159999999</v>
      </c>
      <c r="I56" s="77">
        <f>SUMIFS(RETETAR!$I$4:$I$967,RETETAR!$A$4:$A$967,$M56,RETETAR!$C$4:$C$967,"AMBELE")+SUMIFS(RETETAR!$I$4:$I$967,RETETAR!$A$4:$A$967,$M56,RETETAR!$C$4:$C$967,"DELIVERY")</f>
        <v>14.686164159999999</v>
      </c>
      <c r="J56" s="78">
        <f t="shared" si="135"/>
        <v>5066.7266351999997</v>
      </c>
      <c r="K56" s="78">
        <f t="shared" si="136"/>
        <v>5228.27444096</v>
      </c>
      <c r="L56" s="78">
        <f t="shared" si="137"/>
        <v>10295.001076159999</v>
      </c>
      <c r="M56" t="s">
        <v>189</v>
      </c>
      <c r="N56" s="79">
        <v>31.5</v>
      </c>
      <c r="O56" s="79">
        <v>36</v>
      </c>
      <c r="P56" s="80">
        <v>32</v>
      </c>
      <c r="Q56" s="80">
        <v>36.5</v>
      </c>
      <c r="R56" s="81">
        <f t="shared" si="138"/>
        <v>9945.9459459459449</v>
      </c>
      <c r="S56" s="81">
        <f t="shared" si="139"/>
        <v>11706.306306306305</v>
      </c>
      <c r="T56" s="81">
        <f t="shared" si="140"/>
        <v>21652.252252252249</v>
      </c>
      <c r="U56" s="82">
        <f t="shared" si="141"/>
        <v>0.47547021696503289</v>
      </c>
      <c r="V56" s="82">
        <f t="shared" si="142"/>
        <v>0.50942631930000004</v>
      </c>
      <c r="W56" s="82">
        <f t="shared" si="143"/>
        <v>0.44662033472876717</v>
      </c>
      <c r="X56" s="83">
        <f>BS56+SCENARIU!$C$25+'AJUSTĂRI PE PRODUS'!$I$47</f>
        <v>32.5</v>
      </c>
      <c r="Y56" s="83">
        <f>BT56+SCENARIU!$C$25+'AJUSTĂRI PE PRODUS'!$J$47</f>
        <v>37</v>
      </c>
      <c r="Z56" s="84">
        <f t="shared" si="144"/>
        <v>10101.35135135135</v>
      </c>
      <c r="AA56" s="84">
        <f t="shared" si="145"/>
        <v>11866.666666666664</v>
      </c>
      <c r="AB56" s="84">
        <f t="shared" si="146"/>
        <v>21968.018018018014</v>
      </c>
      <c r="AC56" s="85">
        <f t="shared" si="147"/>
        <v>0.46863586272171259</v>
      </c>
      <c r="AD56" s="85">
        <f t="shared" si="148"/>
        <v>0.50158899131076928</v>
      </c>
      <c r="AE56" s="85">
        <f t="shared" si="149"/>
        <v>0.44058492480000011</v>
      </c>
      <c r="AF56" s="83">
        <f>BU56+SCENARIU!$C$25+SCENARIU!$D$25+'AJUSTĂRI PE PRODUS'!$I$47+'AJUSTĂRI PE PRODUS'!$N$47</f>
        <v>32.5</v>
      </c>
      <c r="AG56" s="83">
        <f>BV56+SCENARIU!$C$25+SCENARIU!$D$25+'AJUSTĂRI PE PRODUS'!$J$47+'AJUSTĂRI PE PRODUS'!$O$47</f>
        <v>37</v>
      </c>
      <c r="AH56" s="86">
        <f t="shared" si="150"/>
        <v>10101.35135135135</v>
      </c>
      <c r="AI56" s="86">
        <f t="shared" si="151"/>
        <v>11866.666666666664</v>
      </c>
      <c r="AJ56" s="86">
        <f t="shared" si="152"/>
        <v>21968.018018018014</v>
      </c>
      <c r="AK56" s="87">
        <f t="shared" si="153"/>
        <v>0.46863586272171259</v>
      </c>
      <c r="AL56" s="87">
        <f t="shared" si="154"/>
        <v>0.50158899131076928</v>
      </c>
      <c r="AM56" s="87">
        <f t="shared" si="155"/>
        <v>0.44058492480000011</v>
      </c>
      <c r="AN56" s="83">
        <f>BW56+SCENARIU!$C$25+SCENARIU!$D$25+SCENARIU!$E$25+'AJUSTĂRI PE PRODUS'!$I$47+'AJUSTĂRI PE PRODUS'!$N$47+'AJUSTĂRI PE PRODUS'!$S$47</f>
        <v>33</v>
      </c>
      <c r="AO56" s="83">
        <f>BX56+SCENARIU!$C$25+SCENARIU!$D$25+SCENARIU!$E$25+'AJUSTĂRI PE PRODUS'!$J$47+'AJUSTĂRI PE PRODUS'!$O$47+'AJUSTĂRI PE PRODUS'!$T$47</f>
        <v>37.5</v>
      </c>
      <c r="AP56" s="88">
        <f t="shared" si="156"/>
        <v>10256.756756756755</v>
      </c>
      <c r="AQ56" s="88">
        <f t="shared" si="157"/>
        <v>12027.027027027027</v>
      </c>
      <c r="AR56" s="88">
        <f t="shared" si="158"/>
        <v>22283.78378378378</v>
      </c>
      <c r="AS56" s="89">
        <f t="shared" si="159"/>
        <v>0.46199519686830809</v>
      </c>
      <c r="AT56" s="89">
        <f t="shared" si="160"/>
        <v>0.493989158109091</v>
      </c>
      <c r="AU56" s="89">
        <f t="shared" si="161"/>
        <v>0.43471045913600004</v>
      </c>
      <c r="AV56" s="83">
        <f>BY56+SCENARIU!$C$25+SCENARIU!$D$25+SCENARIU!$E$25+SCENARIU!$F$25+'AJUSTĂRI PE PRODUS'!$I$47+'AJUSTĂRI PE PRODUS'!$N$47+'AJUSTĂRI PE PRODUS'!$S$47+'AJUSTĂRI PE PRODUS'!$X$47</f>
        <v>33.49</v>
      </c>
      <c r="AW56" s="83">
        <f>BZ56+SCENARIU!$C$25+SCENARIU!$D$25+SCENARIU!$E$25+SCENARIU!$F$25+'AJUSTĂRI PE PRODUS'!$J$47+'AJUSTĂRI PE PRODUS'!$O$47+'AJUSTĂRI PE PRODUS'!$T$47+'AJUSTĂRI PE PRODUS'!$Y$47</f>
        <v>37.99</v>
      </c>
      <c r="AX56" s="90">
        <f t="shared" si="162"/>
        <v>10409.054054054053</v>
      </c>
      <c r="AY56" s="90">
        <f t="shared" si="163"/>
        <v>12184.180180180179</v>
      </c>
      <c r="AZ56" s="90">
        <f t="shared" si="164"/>
        <v>22593.234234234231</v>
      </c>
      <c r="BA56" s="91">
        <f t="shared" si="165"/>
        <v>0.45566743430476081</v>
      </c>
      <c r="BB56" s="91">
        <f t="shared" si="166"/>
        <v>0.48676148753657811</v>
      </c>
      <c r="BC56" s="91">
        <f t="shared" si="167"/>
        <v>0.42910350664911823</v>
      </c>
      <c r="BD56" s="92">
        <f t="shared" si="168"/>
        <v>0.5</v>
      </c>
      <c r="BE56" s="92">
        <f t="shared" si="169"/>
        <v>0.5</v>
      </c>
      <c r="BF56" s="92">
        <f t="shared" si="170"/>
        <v>0</v>
      </c>
      <c r="BG56" s="92">
        <f t="shared" si="171"/>
        <v>0.5</v>
      </c>
      <c r="BH56" s="92">
        <f t="shared" si="172"/>
        <v>0.49000000000000199</v>
      </c>
      <c r="BI56" s="93">
        <f t="shared" si="173"/>
        <v>1.990000000000002</v>
      </c>
      <c r="BJ56" s="92">
        <f t="shared" si="174"/>
        <v>0.5</v>
      </c>
      <c r="BK56" s="92">
        <f t="shared" si="175"/>
        <v>0.5</v>
      </c>
      <c r="BL56" s="92">
        <f t="shared" si="176"/>
        <v>0</v>
      </c>
      <c r="BM56" s="92">
        <f t="shared" si="177"/>
        <v>0.5</v>
      </c>
      <c r="BN56" s="92">
        <f t="shared" si="178"/>
        <v>0.49000000000000199</v>
      </c>
      <c r="BO56" s="93">
        <f t="shared" si="179"/>
        <v>1.990000000000002</v>
      </c>
      <c r="BQ56">
        <v>32</v>
      </c>
      <c r="BR56">
        <v>36.5</v>
      </c>
      <c r="BS56">
        <v>32.5</v>
      </c>
      <c r="BT56">
        <v>37</v>
      </c>
      <c r="BU56">
        <v>32.5</v>
      </c>
      <c r="BV56">
        <v>37</v>
      </c>
      <c r="BW56">
        <v>33</v>
      </c>
      <c r="BX56">
        <v>37.5</v>
      </c>
      <c r="BY56">
        <v>33.49</v>
      </c>
      <c r="BZ56">
        <v>37.99</v>
      </c>
    </row>
    <row r="57" spans="1:78" x14ac:dyDescent="0.2">
      <c r="A57" s="26">
        <v>8</v>
      </c>
      <c r="B57" s="26" t="s">
        <v>193</v>
      </c>
      <c r="C57" s="26" t="s">
        <v>100</v>
      </c>
      <c r="D57" s="74">
        <v>1</v>
      </c>
      <c r="E57" s="75">
        <v>11</v>
      </c>
      <c r="F57" s="76">
        <v>711</v>
      </c>
      <c r="G57" s="76">
        <v>239</v>
      </c>
      <c r="H57" s="77">
        <f>SUMIFS(RETETAR!$I$4:$I$967,RETETAR!$A$4:$A$967,$M57,RETETAR!$C$4:$C$967,"AMBELE")+SUMIFS(RETETAR!$I$4:$I$967,RETETAR!$A$4:$A$967,$M57,RETETAR!$C$4:$C$967,"INSTORE")</f>
        <v>8.3980911999999996</v>
      </c>
      <c r="I57" s="77">
        <f>SUMIFS(RETETAR!$I$4:$I$967,RETETAR!$A$4:$A$967,$M57,RETETAR!$C$4:$C$967,"AMBELE")+SUMIFS(RETETAR!$I$4:$I$967,RETETAR!$A$4:$A$967,$M57,RETETAR!$C$4:$C$967,"DELIVERY")</f>
        <v>8.3980911999999996</v>
      </c>
      <c r="J57" s="78">
        <f t="shared" si="135"/>
        <v>5971.0428431999999</v>
      </c>
      <c r="K57" s="78">
        <f t="shared" si="136"/>
        <v>2007.1437968</v>
      </c>
      <c r="L57" s="78">
        <f t="shared" si="137"/>
        <v>7978.1866399999999</v>
      </c>
      <c r="M57" t="s">
        <v>193</v>
      </c>
      <c r="N57" s="79">
        <v>21</v>
      </c>
      <c r="O57" s="79">
        <v>27.5</v>
      </c>
      <c r="P57" s="80">
        <v>21.5</v>
      </c>
      <c r="Q57" s="80">
        <v>28</v>
      </c>
      <c r="R57" s="81">
        <f t="shared" si="138"/>
        <v>13771.62162162162</v>
      </c>
      <c r="S57" s="81">
        <f t="shared" si="139"/>
        <v>6028.8288288288286</v>
      </c>
      <c r="T57" s="81">
        <f t="shared" si="140"/>
        <v>19800.450450450448</v>
      </c>
      <c r="U57" s="82">
        <f t="shared" si="141"/>
        <v>0.40292955253543239</v>
      </c>
      <c r="V57" s="82">
        <f t="shared" si="142"/>
        <v>0.43357587125581398</v>
      </c>
      <c r="W57" s="82">
        <f t="shared" si="143"/>
        <v>0.3329243297142857</v>
      </c>
      <c r="X57" s="83">
        <f>BS57+SCENARIU!$C$25+'AJUSTĂRI PE PRODUS'!$I$52</f>
        <v>22</v>
      </c>
      <c r="Y57" s="83">
        <f>BT57+SCENARIU!$C$25+'AJUSTĂRI PE PRODUS'!$J$52</f>
        <v>28.5</v>
      </c>
      <c r="Z57" s="84">
        <f t="shared" si="144"/>
        <v>14091.89189189189</v>
      </c>
      <c r="AA57" s="84">
        <f t="shared" si="145"/>
        <v>6136.4864864864858</v>
      </c>
      <c r="AB57" s="84">
        <f t="shared" si="146"/>
        <v>20228.378378378377</v>
      </c>
      <c r="AC57" s="85">
        <f t="shared" si="147"/>
        <v>0.39440564590821031</v>
      </c>
      <c r="AD57" s="85">
        <f t="shared" si="148"/>
        <v>0.42372187418181823</v>
      </c>
      <c r="AE57" s="85">
        <f t="shared" si="149"/>
        <v>0.32708355200000006</v>
      </c>
      <c r="AF57" s="83">
        <f>BU57+SCENARIU!$C$25+SCENARIU!$D$25+'AJUSTĂRI PE PRODUS'!$I$52+'AJUSTĂRI PE PRODUS'!$N$52</f>
        <v>22</v>
      </c>
      <c r="AG57" s="83">
        <f>BV57+SCENARIU!$C$25+SCENARIU!$D$25+'AJUSTĂRI PE PRODUS'!$J$52+'AJUSTĂRI PE PRODUS'!$O$52</f>
        <v>28.5</v>
      </c>
      <c r="AH57" s="86">
        <f t="shared" si="150"/>
        <v>14091.89189189189</v>
      </c>
      <c r="AI57" s="86">
        <f t="shared" si="151"/>
        <v>6136.4864864864858</v>
      </c>
      <c r="AJ57" s="86">
        <f t="shared" si="152"/>
        <v>20228.378378378377</v>
      </c>
      <c r="AK57" s="87">
        <f t="shared" si="153"/>
        <v>0.39440564590821031</v>
      </c>
      <c r="AL57" s="87">
        <f t="shared" si="154"/>
        <v>0.42372187418181823</v>
      </c>
      <c r="AM57" s="87">
        <f t="shared" si="155"/>
        <v>0.32708355200000006</v>
      </c>
      <c r="AN57" s="83">
        <f>BW57+SCENARIU!$C$25+SCENARIU!$D$25+SCENARIU!$E$25+'AJUSTĂRI PE PRODUS'!$I$52+'AJUSTĂRI PE PRODUS'!$N$52+'AJUSTĂRI PE PRODUS'!$S$52</f>
        <v>22.5</v>
      </c>
      <c r="AO57" s="83">
        <f>BX57+SCENARIU!$C$25+SCENARIU!$D$25+SCENARIU!$E$25+'AJUSTĂRI PE PRODUS'!$J$52+'AJUSTĂRI PE PRODUS'!$O$52+'AJUSTĂRI PE PRODUS'!$T$52</f>
        <v>29</v>
      </c>
      <c r="AP57" s="88">
        <f t="shared" si="156"/>
        <v>14412.162162162162</v>
      </c>
      <c r="AQ57" s="88">
        <f t="shared" si="157"/>
        <v>6244.1441441441439</v>
      </c>
      <c r="AR57" s="88">
        <f t="shared" si="158"/>
        <v>20656.306306306305</v>
      </c>
      <c r="AS57" s="89">
        <f t="shared" si="159"/>
        <v>0.38623491159037882</v>
      </c>
      <c r="AT57" s="89">
        <f t="shared" si="160"/>
        <v>0.41430583253333336</v>
      </c>
      <c r="AU57" s="89">
        <f t="shared" si="161"/>
        <v>0.32144418041379313</v>
      </c>
      <c r="AV57" s="83">
        <f>BY57+SCENARIU!$C$25+SCENARIU!$D$25+SCENARIU!$E$25+SCENARIU!$F$25+'AJUSTĂRI PE PRODUS'!$I$52+'AJUSTĂRI PE PRODUS'!$N$52+'AJUSTĂRI PE PRODUS'!$S$52+'AJUSTĂRI PE PRODUS'!$X$52</f>
        <v>22.99</v>
      </c>
      <c r="AW57" s="83">
        <f>BZ57+SCENARIU!$C$25+SCENARIU!$D$25+SCENARIU!$E$25+SCENARIU!$F$25+'AJUSTĂRI PE PRODUS'!$J$52+'AJUSTĂRI PE PRODUS'!$O$52+'AJUSTĂRI PE PRODUS'!$T$52+'AJUSTĂRI PE PRODUS'!$Y$52</f>
        <v>29.49</v>
      </c>
      <c r="AX57" s="90">
        <f t="shared" si="162"/>
        <v>14726.027027027025</v>
      </c>
      <c r="AY57" s="90">
        <f t="shared" si="163"/>
        <v>6349.6486486486483</v>
      </c>
      <c r="AZ57" s="90">
        <f t="shared" si="164"/>
        <v>21075.675675675673</v>
      </c>
      <c r="BA57" s="91">
        <f t="shared" si="165"/>
        <v>0.37854950715568098</v>
      </c>
      <c r="BB57" s="91">
        <f t="shared" si="166"/>
        <v>0.40547547768595049</v>
      </c>
      <c r="BC57" s="91">
        <f t="shared" si="167"/>
        <v>0.31610312756866737</v>
      </c>
      <c r="BD57" s="92">
        <f t="shared" si="168"/>
        <v>0.5</v>
      </c>
      <c r="BE57" s="92">
        <f t="shared" si="169"/>
        <v>0.5</v>
      </c>
      <c r="BF57" s="92">
        <f t="shared" si="170"/>
        <v>0</v>
      </c>
      <c r="BG57" s="92">
        <f t="shared" si="171"/>
        <v>0.5</v>
      </c>
      <c r="BH57" s="92">
        <f t="shared" si="172"/>
        <v>0.48999999999999844</v>
      </c>
      <c r="BI57" s="93">
        <f t="shared" si="173"/>
        <v>1.9899999999999984</v>
      </c>
      <c r="BJ57" s="92">
        <f t="shared" si="174"/>
        <v>0.5</v>
      </c>
      <c r="BK57" s="92">
        <f t="shared" si="175"/>
        <v>0.5</v>
      </c>
      <c r="BL57" s="92">
        <f t="shared" si="176"/>
        <v>0</v>
      </c>
      <c r="BM57" s="92">
        <f t="shared" si="177"/>
        <v>0.5</v>
      </c>
      <c r="BN57" s="92">
        <f t="shared" si="178"/>
        <v>0.48999999999999844</v>
      </c>
      <c r="BO57" s="93">
        <f t="shared" si="179"/>
        <v>1.9899999999999984</v>
      </c>
      <c r="BQ57">
        <v>21.5</v>
      </c>
      <c r="BR57">
        <v>28</v>
      </c>
      <c r="BS57">
        <v>22</v>
      </c>
      <c r="BT57">
        <v>28.5</v>
      </c>
      <c r="BU57">
        <v>22</v>
      </c>
      <c r="BV57">
        <v>28.5</v>
      </c>
      <c r="BW57">
        <v>22.5</v>
      </c>
      <c r="BX57">
        <v>29</v>
      </c>
      <c r="BY57">
        <v>22.99</v>
      </c>
      <c r="BZ57">
        <v>29.49</v>
      </c>
    </row>
    <row r="58" spans="1:78" x14ac:dyDescent="0.2">
      <c r="A58" s="26">
        <v>9</v>
      </c>
      <c r="B58" s="26" t="s">
        <v>199</v>
      </c>
      <c r="C58" s="26" t="s">
        <v>100</v>
      </c>
      <c r="D58" s="74">
        <v>1</v>
      </c>
      <c r="E58" s="75">
        <v>11</v>
      </c>
      <c r="F58" s="76">
        <v>320</v>
      </c>
      <c r="G58" s="76">
        <v>255</v>
      </c>
      <c r="H58" s="77">
        <f>SUMIFS(RETETAR!$I$4:$I$967,RETETAR!$A$4:$A$967,$M58,RETETAR!$C$4:$C$967,"AMBELE")+SUMIFS(RETETAR!$I$4:$I$967,RETETAR!$A$4:$A$967,$M58,RETETAR!$C$4:$C$967,"INSTORE")</f>
        <v>13.621364160000001</v>
      </c>
      <c r="I58" s="77">
        <f>SUMIFS(RETETAR!$I$4:$I$967,RETETAR!$A$4:$A$967,$M58,RETETAR!$C$4:$C$967,"AMBELE")+SUMIFS(RETETAR!$I$4:$I$967,RETETAR!$A$4:$A$967,$M58,RETETAR!$C$4:$C$967,"DELIVERY")</f>
        <v>13.621364160000001</v>
      </c>
      <c r="J58" s="78">
        <f t="shared" si="135"/>
        <v>4358.8365312000005</v>
      </c>
      <c r="K58" s="78">
        <f t="shared" si="136"/>
        <v>3473.4478607999999</v>
      </c>
      <c r="L58" s="78">
        <f t="shared" si="137"/>
        <v>7832.2843920000005</v>
      </c>
      <c r="M58" t="s">
        <v>199</v>
      </c>
      <c r="N58" s="79">
        <v>31.5</v>
      </c>
      <c r="O58" s="79">
        <v>36</v>
      </c>
      <c r="P58" s="80">
        <v>32</v>
      </c>
      <c r="Q58" s="80">
        <v>36.5</v>
      </c>
      <c r="R58" s="81">
        <f t="shared" si="138"/>
        <v>9225.2252252252238</v>
      </c>
      <c r="S58" s="81">
        <f t="shared" si="139"/>
        <v>8385.135135135135</v>
      </c>
      <c r="T58" s="81">
        <f t="shared" si="140"/>
        <v>17610.360360360359</v>
      </c>
      <c r="U58" s="82">
        <f t="shared" si="141"/>
        <v>0.44475435094615684</v>
      </c>
      <c r="V58" s="82">
        <f t="shared" si="142"/>
        <v>0.47249106930000012</v>
      </c>
      <c r="W58" s="82">
        <f t="shared" si="143"/>
        <v>0.41423874568767122</v>
      </c>
      <c r="X58" s="83">
        <f>BS58+SCENARIU!$C$25+'AJUSTĂRI PE PRODUS'!$I$55</f>
        <v>32.5</v>
      </c>
      <c r="Y58" s="83">
        <f>BT58+SCENARIU!$C$25+'AJUSTĂRI PE PRODUS'!$J$55</f>
        <v>37</v>
      </c>
      <c r="Z58" s="84">
        <f t="shared" si="144"/>
        <v>9369.3693693693676</v>
      </c>
      <c r="AA58" s="84">
        <f t="shared" si="145"/>
        <v>8499.9999999999982</v>
      </c>
      <c r="AB58" s="84">
        <f t="shared" si="146"/>
        <v>17869.369369369364</v>
      </c>
      <c r="AC58" s="85">
        <f t="shared" si="147"/>
        <v>0.43830782329821039</v>
      </c>
      <c r="AD58" s="85">
        <f t="shared" si="148"/>
        <v>0.465221975926154</v>
      </c>
      <c r="AE58" s="85">
        <f t="shared" si="149"/>
        <v>0.40864092480000008</v>
      </c>
      <c r="AF58" s="83">
        <f>BU58+SCENARIU!$C$25+SCENARIU!$D$25+'AJUSTĂRI PE PRODUS'!$I$55+'AJUSTĂRI PE PRODUS'!$N$55</f>
        <v>32.5</v>
      </c>
      <c r="AG58" s="83">
        <f>BV58+SCENARIU!$C$25+SCENARIU!$D$25+'AJUSTĂRI PE PRODUS'!$J$55+'AJUSTĂRI PE PRODUS'!$O$55</f>
        <v>37</v>
      </c>
      <c r="AH58" s="86">
        <f t="shared" si="150"/>
        <v>9369.3693693693676</v>
      </c>
      <c r="AI58" s="86">
        <f t="shared" si="151"/>
        <v>8499.9999999999982</v>
      </c>
      <c r="AJ58" s="86">
        <f t="shared" si="152"/>
        <v>17869.369369369364</v>
      </c>
      <c r="AK58" s="87">
        <f t="shared" si="153"/>
        <v>0.43830782329821039</v>
      </c>
      <c r="AL58" s="87">
        <f t="shared" si="154"/>
        <v>0.465221975926154</v>
      </c>
      <c r="AM58" s="87">
        <f t="shared" si="155"/>
        <v>0.40864092480000008</v>
      </c>
      <c r="AN58" s="83">
        <f>BW58+SCENARIU!$C$25+SCENARIU!$D$25+SCENARIU!$E$25+'AJUSTĂRI PE PRODUS'!$I$55+'AJUSTĂRI PE PRODUS'!$N$55+'AJUSTĂRI PE PRODUS'!$S$55</f>
        <v>33</v>
      </c>
      <c r="AO58" s="83">
        <f>BX58+SCENARIU!$C$25+SCENARIU!$D$25+SCENARIU!$E$25+'AJUSTĂRI PE PRODUS'!$J$55+'AJUSTĂRI PE PRODUS'!$O$55+'AJUSTĂRI PE PRODUS'!$T$55</f>
        <v>37.5</v>
      </c>
      <c r="AP58" s="88">
        <f t="shared" si="156"/>
        <v>9513.5135135135133</v>
      </c>
      <c r="AQ58" s="88">
        <f t="shared" si="157"/>
        <v>8614.864864864865</v>
      </c>
      <c r="AR58" s="88">
        <f t="shared" si="158"/>
        <v>18128.37837837838</v>
      </c>
      <c r="AS58" s="89">
        <f t="shared" si="159"/>
        <v>0.43204550503764444</v>
      </c>
      <c r="AT58" s="89">
        <f t="shared" si="160"/>
        <v>0.45817315810909098</v>
      </c>
      <c r="AU58" s="89">
        <f t="shared" si="161"/>
        <v>0.40319237913599998</v>
      </c>
      <c r="AV58" s="83">
        <f>BY58+SCENARIU!$C$25+SCENARIU!$D$25+SCENARIU!$E$25+SCENARIU!$F$25+'AJUSTĂRI PE PRODUS'!$I$55+'AJUSTĂRI PE PRODUS'!$N$55+'AJUSTĂRI PE PRODUS'!$S$55+'AJUSTĂRI PE PRODUS'!$X$55</f>
        <v>33.49</v>
      </c>
      <c r="AW58" s="83">
        <f>BZ58+SCENARIU!$C$25+SCENARIU!$D$25+SCENARIU!$E$25+SCENARIU!$F$25+'AJUSTĂRI PE PRODUS'!$J$55+'AJUSTĂRI PE PRODUS'!$O$55+'AJUSTĂRI PE PRODUS'!$T$55+'AJUSTĂRI PE PRODUS'!$Y$55</f>
        <v>37.99</v>
      </c>
      <c r="AX58" s="90">
        <f t="shared" si="162"/>
        <v>9654.7747747747744</v>
      </c>
      <c r="AY58" s="90">
        <f t="shared" si="163"/>
        <v>8727.4324324324316</v>
      </c>
      <c r="AZ58" s="90">
        <f t="shared" si="164"/>
        <v>18382.207207207204</v>
      </c>
      <c r="BA58" s="91">
        <f t="shared" si="165"/>
        <v>0.42607964885354777</v>
      </c>
      <c r="BB58" s="91">
        <f t="shared" si="166"/>
        <v>0.45146951978501054</v>
      </c>
      <c r="BC58" s="91">
        <f t="shared" si="167"/>
        <v>0.39799195097657281</v>
      </c>
      <c r="BD58" s="92">
        <f t="shared" si="168"/>
        <v>0.5</v>
      </c>
      <c r="BE58" s="92">
        <f t="shared" si="169"/>
        <v>0.5</v>
      </c>
      <c r="BF58" s="92">
        <f t="shared" si="170"/>
        <v>0</v>
      </c>
      <c r="BG58" s="92">
        <f t="shared" si="171"/>
        <v>0.5</v>
      </c>
      <c r="BH58" s="92">
        <f t="shared" si="172"/>
        <v>0.49000000000000199</v>
      </c>
      <c r="BI58" s="93">
        <f t="shared" si="173"/>
        <v>1.990000000000002</v>
      </c>
      <c r="BJ58" s="92">
        <f t="shared" si="174"/>
        <v>0.5</v>
      </c>
      <c r="BK58" s="92">
        <f t="shared" si="175"/>
        <v>0.5</v>
      </c>
      <c r="BL58" s="92">
        <f t="shared" si="176"/>
        <v>0</v>
      </c>
      <c r="BM58" s="92">
        <f t="shared" si="177"/>
        <v>0.5</v>
      </c>
      <c r="BN58" s="92">
        <f t="shared" si="178"/>
        <v>0.49000000000000199</v>
      </c>
      <c r="BO58" s="93">
        <f t="shared" si="179"/>
        <v>1.990000000000002</v>
      </c>
      <c r="BQ58">
        <v>32</v>
      </c>
      <c r="BR58">
        <v>36.5</v>
      </c>
      <c r="BS58">
        <v>32.5</v>
      </c>
      <c r="BT58">
        <v>37</v>
      </c>
      <c r="BU58">
        <v>32.5</v>
      </c>
      <c r="BV58">
        <v>37</v>
      </c>
      <c r="BW58">
        <v>33</v>
      </c>
      <c r="BX58">
        <v>37.5</v>
      </c>
      <c r="BY58">
        <v>33.49</v>
      </c>
      <c r="BZ58">
        <v>37.99</v>
      </c>
    </row>
    <row r="59" spans="1:78" x14ac:dyDescent="0.2">
      <c r="A59" s="26">
        <v>10</v>
      </c>
      <c r="B59" s="26" t="s">
        <v>201</v>
      </c>
      <c r="C59" s="26" t="s">
        <v>100</v>
      </c>
      <c r="D59" s="74">
        <v>1</v>
      </c>
      <c r="E59" s="75">
        <v>11</v>
      </c>
      <c r="F59" s="76">
        <v>1059</v>
      </c>
      <c r="G59" s="76">
        <v>573</v>
      </c>
      <c r="H59" s="77">
        <f>SUMIFS(RETETAR!$I$4:$I$967,RETETAR!$A$4:$A$967,$M59,RETETAR!$C$4:$C$967,"AMBELE")+SUMIFS(RETETAR!$I$4:$I$967,RETETAR!$A$4:$A$967,$M59,RETETAR!$C$4:$C$967,"INSTORE")</f>
        <v>3.0966729600000003</v>
      </c>
      <c r="I59" s="77">
        <f>SUMIFS(RETETAR!$I$4:$I$967,RETETAR!$A$4:$A$967,$M59,RETETAR!$C$4:$C$967,"AMBELE")+SUMIFS(RETETAR!$I$4:$I$967,RETETAR!$A$4:$A$967,$M59,RETETAR!$C$4:$C$967,"DELIVERY")</f>
        <v>3.0966729600000003</v>
      </c>
      <c r="J59" s="78">
        <f t="shared" si="135"/>
        <v>3279.3766646400004</v>
      </c>
      <c r="K59" s="78">
        <f t="shared" si="136"/>
        <v>1774.3936060800002</v>
      </c>
      <c r="L59" s="78">
        <f t="shared" si="137"/>
        <v>5053.7702707200006</v>
      </c>
      <c r="M59" t="s">
        <v>201</v>
      </c>
      <c r="N59" s="79">
        <v>9</v>
      </c>
      <c r="O59" s="79">
        <v>12</v>
      </c>
      <c r="P59" s="80">
        <v>9.5</v>
      </c>
      <c r="Q59" s="80">
        <v>12.5</v>
      </c>
      <c r="R59" s="81">
        <f t="shared" si="138"/>
        <v>9063.5135135135115</v>
      </c>
      <c r="S59" s="81">
        <f t="shared" si="139"/>
        <v>6452.7027027027025</v>
      </c>
      <c r="T59" s="81">
        <f t="shared" si="140"/>
        <v>15516.216216216213</v>
      </c>
      <c r="U59" s="82">
        <f t="shared" si="141"/>
        <v>0.32570893575446797</v>
      </c>
      <c r="V59" s="82">
        <f t="shared" si="142"/>
        <v>0.36182178795789488</v>
      </c>
      <c r="W59" s="82">
        <f t="shared" si="143"/>
        <v>0.27498455884800005</v>
      </c>
      <c r="X59" s="83">
        <f>BS59+SCENARIU!$C$25+'AJUSTĂRI PE PRODUS'!$I$60</f>
        <v>10</v>
      </c>
      <c r="Y59" s="83">
        <f>BT59+SCENARIU!$C$25+'AJUSTĂRI PE PRODUS'!$J$60</f>
        <v>13</v>
      </c>
      <c r="Z59" s="84">
        <f t="shared" si="144"/>
        <v>9540.5405405405381</v>
      </c>
      <c r="AA59" s="84">
        <f t="shared" si="145"/>
        <v>6710.8108108108108</v>
      </c>
      <c r="AB59" s="84">
        <f t="shared" si="146"/>
        <v>16251.35135135135</v>
      </c>
      <c r="AC59" s="85">
        <f t="shared" si="147"/>
        <v>0.31097538668990526</v>
      </c>
      <c r="AD59" s="85">
        <f t="shared" si="148"/>
        <v>0.3437306985600001</v>
      </c>
      <c r="AE59" s="85">
        <f t="shared" si="149"/>
        <v>0.26440822966153849</v>
      </c>
      <c r="AF59" s="83">
        <f>BU59+SCENARIU!$C$25+SCENARIU!$D$25+'AJUSTĂRI PE PRODUS'!$I$60+'AJUSTĂRI PE PRODUS'!$N$60</f>
        <v>10</v>
      </c>
      <c r="AG59" s="83">
        <f>BV59+SCENARIU!$C$25+SCENARIU!$D$25+'AJUSTĂRI PE PRODUS'!$J$60+'AJUSTĂRI PE PRODUS'!$O$60</f>
        <v>13</v>
      </c>
      <c r="AH59" s="86">
        <f t="shared" si="150"/>
        <v>9540.5405405405381</v>
      </c>
      <c r="AI59" s="86">
        <f t="shared" si="151"/>
        <v>6710.8108108108108</v>
      </c>
      <c r="AJ59" s="86">
        <f t="shared" si="152"/>
        <v>16251.35135135135</v>
      </c>
      <c r="AK59" s="87">
        <f t="shared" si="153"/>
        <v>0.31097538668990526</v>
      </c>
      <c r="AL59" s="87">
        <f t="shared" si="154"/>
        <v>0.3437306985600001</v>
      </c>
      <c r="AM59" s="87">
        <f t="shared" si="155"/>
        <v>0.26440822966153849</v>
      </c>
      <c r="AN59" s="83">
        <f>BW59+SCENARIU!$C$25+SCENARIU!$D$25+SCENARIU!$E$25+'AJUSTĂRI PE PRODUS'!$I$60+'AJUSTĂRI PE PRODUS'!$N$60+'AJUSTĂRI PE PRODUS'!$S$60</f>
        <v>10.5</v>
      </c>
      <c r="AO59" s="83">
        <f>BX59+SCENARIU!$C$25+SCENARIU!$D$25+SCENARIU!$E$25+'AJUSTĂRI PE PRODUS'!$J$60+'AJUSTĂRI PE PRODUS'!$O$60+'AJUSTĂRI PE PRODUS'!$T$60</f>
        <v>13.5</v>
      </c>
      <c r="AP59" s="88">
        <f t="shared" si="156"/>
        <v>10017.567567567567</v>
      </c>
      <c r="AQ59" s="88">
        <f t="shared" si="157"/>
        <v>6968.9189189189183</v>
      </c>
      <c r="AR59" s="88">
        <f t="shared" si="158"/>
        <v>16986.486486486487</v>
      </c>
      <c r="AS59" s="89">
        <f t="shared" si="159"/>
        <v>0.29751710424286398</v>
      </c>
      <c r="AT59" s="89">
        <f t="shared" si="160"/>
        <v>0.32736257005714292</v>
      </c>
      <c r="AU59" s="89">
        <f t="shared" si="161"/>
        <v>0.25461533226666672</v>
      </c>
      <c r="AV59" s="83">
        <f>BY59+SCENARIU!$C$25+SCENARIU!$D$25+SCENARIU!$E$25+SCENARIU!$F$25+'AJUSTĂRI PE PRODUS'!$I$60+'AJUSTĂRI PE PRODUS'!$N$60+'AJUSTĂRI PE PRODUS'!$S$60+'AJUSTĂRI PE PRODUS'!$X$60</f>
        <v>10.99</v>
      </c>
      <c r="AW59" s="83">
        <f>BZ59+SCENARIU!$C$25+SCENARIU!$D$25+SCENARIU!$E$25+SCENARIU!$F$25+'AJUSTĂRI PE PRODUS'!$J$60+'AJUSTĂRI PE PRODUS'!$O$60+'AJUSTĂRI PE PRODUS'!$T$60+'AJUSTĂRI PE PRODUS'!$Y$60</f>
        <v>13.99</v>
      </c>
      <c r="AX59" s="90">
        <f t="shared" si="162"/>
        <v>10485.054054054053</v>
      </c>
      <c r="AY59" s="90">
        <f t="shared" si="163"/>
        <v>7221.8648648648641</v>
      </c>
      <c r="AZ59" s="90">
        <f t="shared" si="164"/>
        <v>17706.918918918916</v>
      </c>
      <c r="BA59" s="91">
        <f t="shared" si="165"/>
        <v>0.28541217666729762</v>
      </c>
      <c r="BB59" s="91">
        <f t="shared" si="166"/>
        <v>0.31276678667879898</v>
      </c>
      <c r="BC59" s="91">
        <f t="shared" si="167"/>
        <v>0.24569742570407438</v>
      </c>
      <c r="BD59" s="92">
        <f t="shared" si="168"/>
        <v>0.5</v>
      </c>
      <c r="BE59" s="92">
        <f t="shared" si="169"/>
        <v>0.5</v>
      </c>
      <c r="BF59" s="92">
        <f t="shared" si="170"/>
        <v>0</v>
      </c>
      <c r="BG59" s="92">
        <f t="shared" si="171"/>
        <v>0.5</v>
      </c>
      <c r="BH59" s="92">
        <f t="shared" si="172"/>
        <v>0.49000000000000021</v>
      </c>
      <c r="BI59" s="93">
        <f t="shared" si="173"/>
        <v>1.9900000000000002</v>
      </c>
      <c r="BJ59" s="92">
        <f t="shared" si="174"/>
        <v>0.5</v>
      </c>
      <c r="BK59" s="92">
        <f t="shared" si="175"/>
        <v>0.5</v>
      </c>
      <c r="BL59" s="92">
        <f t="shared" si="176"/>
        <v>0</v>
      </c>
      <c r="BM59" s="92">
        <f t="shared" si="177"/>
        <v>0.5</v>
      </c>
      <c r="BN59" s="92">
        <f t="shared" si="178"/>
        <v>0.49000000000000021</v>
      </c>
      <c r="BO59" s="93">
        <f t="shared" si="179"/>
        <v>1.9900000000000002</v>
      </c>
      <c r="BQ59">
        <v>9.5</v>
      </c>
      <c r="BR59">
        <v>12.5</v>
      </c>
      <c r="BS59">
        <v>10</v>
      </c>
      <c r="BT59">
        <v>13</v>
      </c>
      <c r="BU59">
        <v>10</v>
      </c>
      <c r="BV59">
        <v>13</v>
      </c>
      <c r="BW59">
        <v>10.5</v>
      </c>
      <c r="BX59">
        <v>13.5</v>
      </c>
      <c r="BY59">
        <v>10.99</v>
      </c>
      <c r="BZ59">
        <v>13.99</v>
      </c>
    </row>
    <row r="60" spans="1:78" x14ac:dyDescent="0.2">
      <c r="A60" s="26">
        <v>11</v>
      </c>
      <c r="B60" s="26" t="s">
        <v>202</v>
      </c>
      <c r="C60" s="26" t="s">
        <v>100</v>
      </c>
      <c r="D60" s="74">
        <v>1</v>
      </c>
      <c r="E60" s="75">
        <v>11</v>
      </c>
      <c r="F60" s="76">
        <v>597</v>
      </c>
      <c r="G60" s="76">
        <v>143</v>
      </c>
      <c r="H60" s="77">
        <f>SUMIFS(RETETAR!$I$4:$I$967,RETETAR!$A$4:$A$967,$M60,RETETAR!$C$4:$C$967,"AMBELE")+SUMIFS(RETETAR!$I$4:$I$967,RETETAR!$A$4:$A$967,$M60,RETETAR!$C$4:$C$967,"INSTORE")</f>
        <v>7.7860912000000004</v>
      </c>
      <c r="I60" s="77">
        <f>SUMIFS(RETETAR!$I$4:$I$967,RETETAR!$A$4:$A$967,$M60,RETETAR!$C$4:$C$967,"AMBELE")+SUMIFS(RETETAR!$I$4:$I$967,RETETAR!$A$4:$A$967,$M60,RETETAR!$C$4:$C$967,"DELIVERY")</f>
        <v>7.7860912000000004</v>
      </c>
      <c r="J60" s="78">
        <f t="shared" si="135"/>
        <v>4648.2964464000006</v>
      </c>
      <c r="K60" s="78">
        <f t="shared" si="136"/>
        <v>1113.4110416000001</v>
      </c>
      <c r="L60" s="78">
        <f t="shared" si="137"/>
        <v>5761.7074880000009</v>
      </c>
      <c r="M60" t="s">
        <v>202</v>
      </c>
      <c r="N60" s="79">
        <v>21</v>
      </c>
      <c r="O60" s="79">
        <v>27.5</v>
      </c>
      <c r="P60" s="80">
        <v>21.5</v>
      </c>
      <c r="Q60" s="80">
        <v>28</v>
      </c>
      <c r="R60" s="81">
        <f t="shared" si="138"/>
        <v>11563.513513513511</v>
      </c>
      <c r="S60" s="81">
        <f t="shared" si="139"/>
        <v>3607.2072072072069</v>
      </c>
      <c r="T60" s="81">
        <f t="shared" si="140"/>
        <v>15170.720720720718</v>
      </c>
      <c r="U60" s="82">
        <f t="shared" si="141"/>
        <v>0.3797912830951039</v>
      </c>
      <c r="V60" s="82">
        <f t="shared" si="142"/>
        <v>0.40197959218604662</v>
      </c>
      <c r="W60" s="82">
        <f t="shared" si="143"/>
        <v>0.30866290114285722</v>
      </c>
      <c r="X60" s="83">
        <f>BS60+SCENARIU!$C$25+'AJUSTĂRI PE PRODUS'!$I$62</f>
        <v>22</v>
      </c>
      <c r="Y60" s="83">
        <f>BT60+SCENARIU!$C$25+'AJUSTĂRI PE PRODUS'!$J$62</f>
        <v>28.5</v>
      </c>
      <c r="Z60" s="84">
        <f t="shared" si="144"/>
        <v>11832.43243243243</v>
      </c>
      <c r="AA60" s="84">
        <f t="shared" si="145"/>
        <v>3671.6216216216212</v>
      </c>
      <c r="AB60" s="84">
        <f t="shared" si="146"/>
        <v>15504.054054054051</v>
      </c>
      <c r="AC60" s="85">
        <f t="shared" si="147"/>
        <v>0.37162586430053179</v>
      </c>
      <c r="AD60" s="85">
        <f t="shared" si="148"/>
        <v>0.39284369236363648</v>
      </c>
      <c r="AE60" s="85">
        <f t="shared" si="149"/>
        <v>0.30324776252631586</v>
      </c>
      <c r="AF60" s="83">
        <f>BU60+SCENARIU!$C$25+SCENARIU!$D$25+'AJUSTĂRI PE PRODUS'!$I$62+'AJUSTĂRI PE PRODUS'!$N$62</f>
        <v>22</v>
      </c>
      <c r="AG60" s="83">
        <f>BV60+SCENARIU!$C$25+SCENARIU!$D$25+'AJUSTĂRI PE PRODUS'!$J$62+'AJUSTĂRI PE PRODUS'!$O$62</f>
        <v>28.5</v>
      </c>
      <c r="AH60" s="86">
        <f t="shared" si="150"/>
        <v>11832.43243243243</v>
      </c>
      <c r="AI60" s="86">
        <f t="shared" si="151"/>
        <v>3671.6216216216212</v>
      </c>
      <c r="AJ60" s="86">
        <f t="shared" si="152"/>
        <v>15504.054054054051</v>
      </c>
      <c r="AK60" s="87">
        <f t="shared" si="153"/>
        <v>0.37162586430053179</v>
      </c>
      <c r="AL60" s="87">
        <f t="shared" si="154"/>
        <v>0.39284369236363648</v>
      </c>
      <c r="AM60" s="87">
        <f t="shared" si="155"/>
        <v>0.30324776252631586</v>
      </c>
      <c r="AN60" s="83">
        <f>BW60+SCENARIU!$C$25+SCENARIU!$D$25+SCENARIU!$E$25+'AJUSTĂRI PE PRODUS'!$I$62+'AJUSTĂRI PE PRODUS'!$N$62+'AJUSTĂRI PE PRODUS'!$S$62</f>
        <v>22.5</v>
      </c>
      <c r="AO60" s="83">
        <f>BX60+SCENARIU!$C$25+SCENARIU!$D$25+SCENARIU!$E$25+'AJUSTĂRI PE PRODUS'!$J$62+'AJUSTĂRI PE PRODUS'!$O$62+'AJUSTĂRI PE PRODUS'!$T$62</f>
        <v>29</v>
      </c>
      <c r="AP60" s="88">
        <f t="shared" si="156"/>
        <v>12101.351351351352</v>
      </c>
      <c r="AQ60" s="88">
        <f t="shared" si="157"/>
        <v>3736.0360360360355</v>
      </c>
      <c r="AR60" s="88">
        <f t="shared" si="158"/>
        <v>15837.387387387387</v>
      </c>
      <c r="AS60" s="89">
        <f t="shared" si="159"/>
        <v>0.36380416460536424</v>
      </c>
      <c r="AT60" s="89">
        <f t="shared" si="160"/>
        <v>0.38411383253333337</v>
      </c>
      <c r="AU60" s="89">
        <f t="shared" si="161"/>
        <v>0.29801935282758629</v>
      </c>
      <c r="AV60" s="83">
        <f>BY60+SCENARIU!$C$25+SCENARIU!$D$25+SCENARIU!$E$25+SCENARIU!$F$25+'AJUSTĂRI PE PRODUS'!$I$62+'AJUSTĂRI PE PRODUS'!$N$62+'AJUSTĂRI PE PRODUS'!$S$62+'AJUSTĂRI PE PRODUS'!$X$62</f>
        <v>22.99</v>
      </c>
      <c r="AW60" s="83">
        <f>BZ60+SCENARIU!$C$25+SCENARIU!$D$25+SCENARIU!$E$25+SCENARIU!$F$25+'AJUSTĂRI PE PRODUS'!$J$62+'AJUSTĂRI PE PRODUS'!$O$62+'AJUSTĂRI PE PRODUS'!$T$62+'AJUSTĂRI PE PRODUS'!$Y$62</f>
        <v>29.49</v>
      </c>
      <c r="AX60" s="90">
        <f t="shared" si="162"/>
        <v>12364.89189189189</v>
      </c>
      <c r="AY60" s="90">
        <f t="shared" si="163"/>
        <v>3799.1621621621616</v>
      </c>
      <c r="AZ60" s="90">
        <f t="shared" si="164"/>
        <v>16164.054054054051</v>
      </c>
      <c r="BA60" s="91">
        <f t="shared" si="165"/>
        <v>0.35645188198037031</v>
      </c>
      <c r="BB60" s="91">
        <f t="shared" si="166"/>
        <v>0.3759269783384081</v>
      </c>
      <c r="BC60" s="91">
        <f t="shared" si="167"/>
        <v>0.29306752227873861</v>
      </c>
      <c r="BD60" s="92">
        <f t="shared" si="168"/>
        <v>0.5</v>
      </c>
      <c r="BE60" s="92">
        <f t="shared" si="169"/>
        <v>0.5</v>
      </c>
      <c r="BF60" s="92">
        <f t="shared" si="170"/>
        <v>0</v>
      </c>
      <c r="BG60" s="92">
        <f t="shared" si="171"/>
        <v>0.5</v>
      </c>
      <c r="BH60" s="92">
        <f t="shared" si="172"/>
        <v>0.48999999999999844</v>
      </c>
      <c r="BI60" s="93">
        <f t="shared" si="173"/>
        <v>1.9899999999999984</v>
      </c>
      <c r="BJ60" s="92">
        <f t="shared" si="174"/>
        <v>0.5</v>
      </c>
      <c r="BK60" s="92">
        <f t="shared" si="175"/>
        <v>0.5</v>
      </c>
      <c r="BL60" s="92">
        <f t="shared" si="176"/>
        <v>0</v>
      </c>
      <c r="BM60" s="92">
        <f t="shared" si="177"/>
        <v>0.5</v>
      </c>
      <c r="BN60" s="92">
        <f t="shared" si="178"/>
        <v>0.48999999999999844</v>
      </c>
      <c r="BO60" s="93">
        <f t="shared" si="179"/>
        <v>1.9899999999999984</v>
      </c>
      <c r="BQ60">
        <v>21.5</v>
      </c>
      <c r="BR60">
        <v>28</v>
      </c>
      <c r="BS60">
        <v>22</v>
      </c>
      <c r="BT60">
        <v>28.5</v>
      </c>
      <c r="BU60">
        <v>22</v>
      </c>
      <c r="BV60">
        <v>28.5</v>
      </c>
      <c r="BW60">
        <v>22.5</v>
      </c>
      <c r="BX60">
        <v>29</v>
      </c>
      <c r="BY60">
        <v>22.99</v>
      </c>
      <c r="BZ60">
        <v>29.49</v>
      </c>
    </row>
    <row r="61" spans="1:78" x14ac:dyDescent="0.2">
      <c r="A61" s="26">
        <v>12</v>
      </c>
      <c r="B61" s="26" t="s">
        <v>203</v>
      </c>
      <c r="C61" s="26" t="s">
        <v>100</v>
      </c>
      <c r="D61" s="74">
        <v>1</v>
      </c>
      <c r="E61" s="75">
        <v>11</v>
      </c>
      <c r="F61" s="76">
        <v>331</v>
      </c>
      <c r="G61" s="76">
        <v>251</v>
      </c>
      <c r="H61" s="77">
        <f>SUMIFS(RETETAR!$I$4:$I$967,RETETAR!$A$4:$A$967,$M61,RETETAR!$C$4:$C$967,"AMBELE")+SUMIFS(RETETAR!$I$4:$I$967,RETETAR!$A$4:$A$967,$M61,RETETAR!$C$4:$C$967,"INSTORE")</f>
        <v>11.54212768</v>
      </c>
      <c r="I61" s="77">
        <f>SUMIFS(RETETAR!$I$4:$I$967,RETETAR!$A$4:$A$967,$M61,RETETAR!$C$4:$C$967,"AMBELE")+SUMIFS(RETETAR!$I$4:$I$967,RETETAR!$A$4:$A$967,$M61,RETETAR!$C$4:$C$967,"DELIVERY")</f>
        <v>11.54212768</v>
      </c>
      <c r="J61" s="78">
        <f t="shared" si="135"/>
        <v>3820.44426208</v>
      </c>
      <c r="K61" s="78">
        <f t="shared" si="136"/>
        <v>2897.0740476800001</v>
      </c>
      <c r="L61" s="78">
        <f t="shared" si="137"/>
        <v>6717.5183097600002</v>
      </c>
      <c r="M61" t="s">
        <v>203</v>
      </c>
      <c r="N61" s="79">
        <v>26.5</v>
      </c>
      <c r="O61" s="79">
        <v>30.5</v>
      </c>
      <c r="P61" s="80">
        <v>27</v>
      </c>
      <c r="Q61" s="80">
        <v>31</v>
      </c>
      <c r="R61" s="81">
        <f t="shared" si="138"/>
        <v>8051.3513513513508</v>
      </c>
      <c r="S61" s="81">
        <f t="shared" si="139"/>
        <v>7009.9099099099094</v>
      </c>
      <c r="T61" s="81">
        <f t="shared" si="140"/>
        <v>15061.261261261261</v>
      </c>
      <c r="U61" s="82">
        <f t="shared" si="141"/>
        <v>0.44601299939188899</v>
      </c>
      <c r="V61" s="82">
        <f t="shared" si="142"/>
        <v>0.47450969351111116</v>
      </c>
      <c r="W61" s="82">
        <f t="shared" si="143"/>
        <v>0.41328263628387102</v>
      </c>
      <c r="X61" s="83">
        <f>BS61+SCENARIU!$C$25+'AJUSTĂRI PE PRODUS'!$I$61</f>
        <v>27.5</v>
      </c>
      <c r="Y61" s="83">
        <f>BT61+SCENARIU!$C$25+'AJUSTĂRI PE PRODUS'!$J$61</f>
        <v>31.5</v>
      </c>
      <c r="Z61" s="84">
        <f t="shared" si="144"/>
        <v>8200.4504504504494</v>
      </c>
      <c r="AA61" s="84">
        <f t="shared" si="145"/>
        <v>7122.9729729729725</v>
      </c>
      <c r="AB61" s="84">
        <f t="shared" si="146"/>
        <v>15323.423423423421</v>
      </c>
      <c r="AC61" s="85">
        <f t="shared" si="147"/>
        <v>0.43838234604230708</v>
      </c>
      <c r="AD61" s="85">
        <f t="shared" si="148"/>
        <v>0.46588224453818189</v>
      </c>
      <c r="AE61" s="85">
        <f t="shared" si="149"/>
        <v>0.40672259443809528</v>
      </c>
      <c r="AF61" s="83">
        <f>BU61+SCENARIU!$C$25+SCENARIU!$D$25+'AJUSTĂRI PE PRODUS'!$I$61+'AJUSTĂRI PE PRODUS'!$N$61</f>
        <v>27.5</v>
      </c>
      <c r="AG61" s="83">
        <f>BV61+SCENARIU!$C$25+SCENARIU!$D$25+'AJUSTĂRI PE PRODUS'!$J$61+'AJUSTĂRI PE PRODUS'!$O$61</f>
        <v>31.5</v>
      </c>
      <c r="AH61" s="86">
        <f t="shared" si="150"/>
        <v>8200.4504504504494</v>
      </c>
      <c r="AI61" s="86">
        <f t="shared" si="151"/>
        <v>7122.9729729729725</v>
      </c>
      <c r="AJ61" s="86">
        <f t="shared" si="152"/>
        <v>15323.423423423421</v>
      </c>
      <c r="AK61" s="87">
        <f t="shared" si="153"/>
        <v>0.43838234604230708</v>
      </c>
      <c r="AL61" s="87">
        <f t="shared" si="154"/>
        <v>0.46588224453818189</v>
      </c>
      <c r="AM61" s="87">
        <f t="shared" si="155"/>
        <v>0.40672259443809528</v>
      </c>
      <c r="AN61" s="83">
        <f>BW61+SCENARIU!$C$25+SCENARIU!$D$25+SCENARIU!$E$25+'AJUSTĂRI PE PRODUS'!$I$61+'AJUSTĂRI PE PRODUS'!$N$61+'AJUSTĂRI PE PRODUS'!$S$61</f>
        <v>28</v>
      </c>
      <c r="AO61" s="83">
        <f>BX61+SCENARIU!$C$25+SCENARIU!$D$25+SCENARIU!$E$25+'AJUSTĂRI PE PRODUS'!$J$61+'AJUSTĂRI PE PRODUS'!$O$61+'AJUSTĂRI PE PRODUS'!$T$61</f>
        <v>32</v>
      </c>
      <c r="AP61" s="88">
        <f t="shared" si="156"/>
        <v>8349.5495495495488</v>
      </c>
      <c r="AQ61" s="88">
        <f t="shared" si="157"/>
        <v>7236.0360360360355</v>
      </c>
      <c r="AR61" s="88">
        <f t="shared" si="158"/>
        <v>15585.585585585584</v>
      </c>
      <c r="AS61" s="89">
        <f t="shared" si="159"/>
        <v>0.43100840022159542</v>
      </c>
      <c r="AT61" s="89">
        <f t="shared" si="160"/>
        <v>0.45756291874285721</v>
      </c>
      <c r="AU61" s="89">
        <f t="shared" si="161"/>
        <v>0.40036755390000006</v>
      </c>
      <c r="AV61" s="83">
        <f>BY61+SCENARIU!$C$25+SCENARIU!$D$25+SCENARIU!$E$25+SCENARIU!$F$25+'AJUSTĂRI PE PRODUS'!$I$61+'AJUSTĂRI PE PRODUS'!$N$61+'AJUSTĂRI PE PRODUS'!$S$61+'AJUSTĂRI PE PRODUS'!$X$61</f>
        <v>28.49</v>
      </c>
      <c r="AW61" s="83">
        <f>BZ61+SCENARIU!$C$25+SCENARIU!$D$25+SCENARIU!$E$25+SCENARIU!$F$25+'AJUSTĂRI PE PRODUS'!$J$61+'AJUSTĂRI PE PRODUS'!$O$61+'AJUSTĂRI PE PRODUS'!$T$61+'AJUSTĂRI PE PRODUS'!$Y$61</f>
        <v>32.49</v>
      </c>
      <c r="AX61" s="90">
        <f t="shared" si="162"/>
        <v>8495.6666666666661</v>
      </c>
      <c r="AY61" s="90">
        <f t="shared" si="163"/>
        <v>7346.8378378378375</v>
      </c>
      <c r="AZ61" s="90">
        <f t="shared" si="164"/>
        <v>15842.504504504504</v>
      </c>
      <c r="BA61" s="91">
        <f t="shared" si="165"/>
        <v>0.42401870915359413</v>
      </c>
      <c r="BB61" s="91">
        <f t="shared" si="166"/>
        <v>0.44969328623376625</v>
      </c>
      <c r="BC61" s="91">
        <f t="shared" si="167"/>
        <v>0.39432938518928906</v>
      </c>
      <c r="BD61" s="92">
        <f t="shared" si="168"/>
        <v>0.5</v>
      </c>
      <c r="BE61" s="92">
        <f t="shared" si="169"/>
        <v>0.5</v>
      </c>
      <c r="BF61" s="92">
        <f t="shared" si="170"/>
        <v>0</v>
      </c>
      <c r="BG61" s="92">
        <f t="shared" si="171"/>
        <v>0.5</v>
      </c>
      <c r="BH61" s="92">
        <f t="shared" si="172"/>
        <v>0.48999999999999844</v>
      </c>
      <c r="BI61" s="93">
        <f t="shared" si="173"/>
        <v>1.9899999999999984</v>
      </c>
      <c r="BJ61" s="92">
        <f t="shared" si="174"/>
        <v>0.5</v>
      </c>
      <c r="BK61" s="92">
        <f t="shared" si="175"/>
        <v>0.5</v>
      </c>
      <c r="BL61" s="92">
        <f t="shared" si="176"/>
        <v>0</v>
      </c>
      <c r="BM61" s="92">
        <f t="shared" si="177"/>
        <v>0.5</v>
      </c>
      <c r="BN61" s="92">
        <f t="shared" si="178"/>
        <v>0.49000000000000199</v>
      </c>
      <c r="BO61" s="93">
        <f t="shared" si="179"/>
        <v>1.990000000000002</v>
      </c>
      <c r="BQ61">
        <v>27</v>
      </c>
      <c r="BR61">
        <v>31</v>
      </c>
      <c r="BS61">
        <v>27.5</v>
      </c>
      <c r="BT61">
        <v>31.5</v>
      </c>
      <c r="BU61">
        <v>27.5</v>
      </c>
      <c r="BV61">
        <v>31.5</v>
      </c>
      <c r="BW61">
        <v>28</v>
      </c>
      <c r="BX61">
        <v>32</v>
      </c>
      <c r="BY61">
        <v>28.49</v>
      </c>
      <c r="BZ61">
        <v>32.49</v>
      </c>
    </row>
    <row r="62" spans="1:78" x14ac:dyDescent="0.2">
      <c r="A62" s="26">
        <v>13</v>
      </c>
      <c r="B62" s="26" t="s">
        <v>211</v>
      </c>
      <c r="C62" s="26" t="s">
        <v>100</v>
      </c>
      <c r="D62" s="74">
        <v>1</v>
      </c>
      <c r="E62" s="75">
        <v>11</v>
      </c>
      <c r="F62" s="76">
        <v>364</v>
      </c>
      <c r="G62" s="76">
        <v>130</v>
      </c>
      <c r="H62" s="77">
        <f>SUMIFS(RETETAR!$I$4:$I$967,RETETAR!$A$4:$A$967,$M62,RETETAR!$C$4:$C$967,"AMBELE")+SUMIFS(RETETAR!$I$4:$I$967,RETETAR!$A$4:$A$967,$M62,RETETAR!$C$4:$C$967,"INSTORE")</f>
        <v>10.70372768</v>
      </c>
      <c r="I62" s="77">
        <f>SUMIFS(RETETAR!$I$4:$I$967,RETETAR!$A$4:$A$967,$M62,RETETAR!$C$4:$C$967,"AMBELE")+SUMIFS(RETETAR!$I$4:$I$967,RETETAR!$A$4:$A$967,$M62,RETETAR!$C$4:$C$967,"DELIVERY")</f>
        <v>10.70372768</v>
      </c>
      <c r="J62" s="78">
        <f t="shared" si="135"/>
        <v>3896.1568755200001</v>
      </c>
      <c r="K62" s="78">
        <f t="shared" si="136"/>
        <v>1391.4845984000001</v>
      </c>
      <c r="L62" s="78">
        <f t="shared" si="137"/>
        <v>5287.64147392</v>
      </c>
      <c r="M62" t="s">
        <v>211</v>
      </c>
      <c r="N62" s="79">
        <v>26.5</v>
      </c>
      <c r="O62" s="79">
        <v>30.5</v>
      </c>
      <c r="P62" s="80">
        <v>27</v>
      </c>
      <c r="Q62" s="80">
        <v>31</v>
      </c>
      <c r="R62" s="81">
        <f t="shared" si="138"/>
        <v>8854.0540540540533</v>
      </c>
      <c r="S62" s="81">
        <f t="shared" si="139"/>
        <v>3630.6306306306301</v>
      </c>
      <c r="T62" s="81">
        <f t="shared" si="140"/>
        <v>12484.684684684684</v>
      </c>
      <c r="U62" s="82">
        <f t="shared" si="141"/>
        <v>0.42353023784465293</v>
      </c>
      <c r="V62" s="82">
        <f t="shared" si="142"/>
        <v>0.44004213795555558</v>
      </c>
      <c r="W62" s="82">
        <f t="shared" si="143"/>
        <v>0.38326250725161298</v>
      </c>
      <c r="X62" s="83">
        <f>BS62+SCENARIU!$C$25+'AJUSTĂRI PE PRODUS'!$I$70</f>
        <v>27.5</v>
      </c>
      <c r="Y62" s="83">
        <f>BT62+SCENARIU!$C$25+'AJUSTĂRI PE PRODUS'!$J$70</f>
        <v>31.5</v>
      </c>
      <c r="Z62" s="84">
        <f t="shared" si="144"/>
        <v>9018.0180180180178</v>
      </c>
      <c r="AA62" s="84">
        <f t="shared" si="145"/>
        <v>3689.1891891891887</v>
      </c>
      <c r="AB62" s="84">
        <f t="shared" si="146"/>
        <v>12707.207207207206</v>
      </c>
      <c r="AC62" s="85">
        <f t="shared" si="147"/>
        <v>0.41611357930175119</v>
      </c>
      <c r="AD62" s="85">
        <f t="shared" si="148"/>
        <v>0.43204137181090913</v>
      </c>
      <c r="AE62" s="85">
        <f t="shared" si="149"/>
        <v>0.37717897539047629</v>
      </c>
      <c r="AF62" s="83">
        <f>BU62+SCENARIU!$C$25+SCENARIU!$D$25+'AJUSTĂRI PE PRODUS'!$I$70+'AJUSTĂRI PE PRODUS'!$N$70</f>
        <v>27.5</v>
      </c>
      <c r="AG62" s="83">
        <f>BV62+SCENARIU!$C$25+SCENARIU!$D$25+'AJUSTĂRI PE PRODUS'!$J$70+'AJUSTĂRI PE PRODUS'!$O$70</f>
        <v>31.5</v>
      </c>
      <c r="AH62" s="86">
        <f t="shared" si="150"/>
        <v>9018.0180180180178</v>
      </c>
      <c r="AI62" s="86">
        <f t="shared" si="151"/>
        <v>3689.1891891891887</v>
      </c>
      <c r="AJ62" s="86">
        <f t="shared" si="152"/>
        <v>12707.207207207206</v>
      </c>
      <c r="AK62" s="87">
        <f t="shared" si="153"/>
        <v>0.41611357930175119</v>
      </c>
      <c r="AL62" s="87">
        <f t="shared" si="154"/>
        <v>0.43204137181090913</v>
      </c>
      <c r="AM62" s="87">
        <f t="shared" si="155"/>
        <v>0.37717897539047629</v>
      </c>
      <c r="AN62" s="83">
        <f>BW62+SCENARIU!$C$25+SCENARIU!$D$25+SCENARIU!$E$25+'AJUSTĂRI PE PRODUS'!$I$70+'AJUSTĂRI PE PRODUS'!$N$70+'AJUSTĂRI PE PRODUS'!$S$70</f>
        <v>28</v>
      </c>
      <c r="AO62" s="83">
        <f>BX62+SCENARIU!$C$25+SCENARIU!$D$25+SCENARIU!$E$25+'AJUSTĂRI PE PRODUS'!$J$70+'AJUSTĂRI PE PRODUS'!$O$70+'AJUSTĂRI PE PRODUS'!$T$70</f>
        <v>32</v>
      </c>
      <c r="AP62" s="88">
        <f t="shared" si="156"/>
        <v>9181.9819819819804</v>
      </c>
      <c r="AQ62" s="88">
        <f t="shared" si="157"/>
        <v>3747.7477477477473</v>
      </c>
      <c r="AR62" s="88">
        <f t="shared" si="158"/>
        <v>12929.729729729728</v>
      </c>
      <c r="AS62" s="89">
        <f t="shared" si="159"/>
        <v>0.40895220429565221</v>
      </c>
      <c r="AT62" s="89">
        <f t="shared" si="160"/>
        <v>0.42432634731428581</v>
      </c>
      <c r="AU62" s="89">
        <f t="shared" si="161"/>
        <v>0.37128555390000006</v>
      </c>
      <c r="AV62" s="83">
        <f>BY62+SCENARIU!$C$25+SCENARIU!$D$25+SCENARIU!$E$25+SCENARIU!$F$25+'AJUSTĂRI PE PRODUS'!$I$70+'AJUSTĂRI PE PRODUS'!$N$70+'AJUSTĂRI PE PRODUS'!$S$70+'AJUSTĂRI PE PRODUS'!$X$70</f>
        <v>28.49</v>
      </c>
      <c r="AW62" s="83">
        <f>BZ62+SCENARIU!$C$25+SCENARIU!$D$25+SCENARIU!$E$25+SCENARIU!$F$25+'AJUSTĂRI PE PRODUS'!$J$70+'AJUSTĂRI PE PRODUS'!$O$70+'AJUSTĂRI PE PRODUS'!$T$70+'AJUSTĂRI PE PRODUS'!$Y$70</f>
        <v>32.49</v>
      </c>
      <c r="AX62" s="90">
        <f t="shared" si="162"/>
        <v>9342.6666666666661</v>
      </c>
      <c r="AY62" s="90">
        <f t="shared" si="163"/>
        <v>3805.135135135135</v>
      </c>
      <c r="AZ62" s="90">
        <f t="shared" si="164"/>
        <v>13147.801801801801</v>
      </c>
      <c r="BA62" s="91">
        <f t="shared" si="165"/>
        <v>0.4021692411879354</v>
      </c>
      <c r="BB62" s="91">
        <f t="shared" si="166"/>
        <v>0.41702835116883119</v>
      </c>
      <c r="BC62" s="91">
        <f t="shared" si="167"/>
        <v>0.36568598722068335</v>
      </c>
      <c r="BD62" s="92">
        <f t="shared" si="168"/>
        <v>0.5</v>
      </c>
      <c r="BE62" s="92">
        <f t="shared" si="169"/>
        <v>0.5</v>
      </c>
      <c r="BF62" s="92">
        <f t="shared" si="170"/>
        <v>0</v>
      </c>
      <c r="BG62" s="92">
        <f t="shared" si="171"/>
        <v>0.5</v>
      </c>
      <c r="BH62" s="92">
        <f t="shared" si="172"/>
        <v>0.48999999999999844</v>
      </c>
      <c r="BI62" s="93">
        <f t="shared" si="173"/>
        <v>1.9899999999999984</v>
      </c>
      <c r="BJ62" s="92">
        <f t="shared" si="174"/>
        <v>0.5</v>
      </c>
      <c r="BK62" s="92">
        <f t="shared" si="175"/>
        <v>0.5</v>
      </c>
      <c r="BL62" s="92">
        <f t="shared" si="176"/>
        <v>0</v>
      </c>
      <c r="BM62" s="92">
        <f t="shared" si="177"/>
        <v>0.5</v>
      </c>
      <c r="BN62" s="92">
        <f t="shared" si="178"/>
        <v>0.49000000000000199</v>
      </c>
      <c r="BO62" s="93">
        <f t="shared" si="179"/>
        <v>1.990000000000002</v>
      </c>
      <c r="BQ62">
        <v>27</v>
      </c>
      <c r="BR62">
        <v>31</v>
      </c>
      <c r="BS62">
        <v>27.5</v>
      </c>
      <c r="BT62">
        <v>31.5</v>
      </c>
      <c r="BU62">
        <v>27.5</v>
      </c>
      <c r="BV62">
        <v>31.5</v>
      </c>
      <c r="BW62">
        <v>28</v>
      </c>
      <c r="BX62">
        <v>32</v>
      </c>
      <c r="BY62">
        <v>28.49</v>
      </c>
      <c r="BZ62">
        <v>32.49</v>
      </c>
    </row>
    <row r="63" spans="1:78" x14ac:dyDescent="0.2">
      <c r="A63" s="26">
        <v>14</v>
      </c>
      <c r="B63" s="26" t="s">
        <v>222</v>
      </c>
      <c r="C63" s="26" t="s">
        <v>100</v>
      </c>
      <c r="D63" s="74">
        <v>1</v>
      </c>
      <c r="E63" s="75">
        <v>11</v>
      </c>
      <c r="F63" s="76">
        <v>364</v>
      </c>
      <c r="G63" s="76">
        <v>179</v>
      </c>
      <c r="H63" s="77">
        <f>SUMIFS(RETETAR!$I$4:$I$967,RETETAR!$A$4:$A$967,$M63,RETETAR!$C$4:$C$967,"AMBELE")+SUMIFS(RETETAR!$I$4:$I$967,RETETAR!$A$4:$A$967,$M63,RETETAR!$C$4:$C$967,"INSTORE")</f>
        <v>5.2540547200000001</v>
      </c>
      <c r="I63" s="77">
        <f>SUMIFS(RETETAR!$I$4:$I$967,RETETAR!$A$4:$A$967,$M63,RETETAR!$C$4:$C$967,"AMBELE")+SUMIFS(RETETAR!$I$4:$I$967,RETETAR!$A$4:$A$967,$M63,RETETAR!$C$4:$C$967,"DELIVERY")</f>
        <v>5.2540547200000001</v>
      </c>
      <c r="J63" s="78">
        <f t="shared" si="135"/>
        <v>1912.4759180799999</v>
      </c>
      <c r="K63" s="78">
        <f t="shared" si="136"/>
        <v>940.47579487999997</v>
      </c>
      <c r="L63" s="78">
        <f t="shared" si="137"/>
        <v>2852.9517129599999</v>
      </c>
      <c r="M63" t="s">
        <v>222</v>
      </c>
      <c r="N63" s="79">
        <v>14.5</v>
      </c>
      <c r="O63" s="79">
        <v>17</v>
      </c>
      <c r="P63" s="80">
        <v>15</v>
      </c>
      <c r="Q63" s="80">
        <v>17.5</v>
      </c>
      <c r="R63" s="81">
        <f t="shared" si="138"/>
        <v>4918.9189189189183</v>
      </c>
      <c r="S63" s="81">
        <f t="shared" si="139"/>
        <v>2822.0720720720719</v>
      </c>
      <c r="T63" s="81">
        <f t="shared" si="140"/>
        <v>7740.9909909909902</v>
      </c>
      <c r="U63" s="82">
        <f t="shared" si="141"/>
        <v>0.36855122506669774</v>
      </c>
      <c r="V63" s="82">
        <f t="shared" si="142"/>
        <v>0.38880004928000006</v>
      </c>
      <c r="W63" s="82">
        <f t="shared" si="143"/>
        <v>0.33325718509714286</v>
      </c>
      <c r="X63" s="83">
        <f>BS63+SCENARIU!$C$25+'AJUSTĂRI PE PRODUS'!$I$79</f>
        <v>15.5</v>
      </c>
      <c r="Y63" s="83">
        <f>BT63+SCENARIU!$C$25+'AJUSTĂRI PE PRODUS'!$J$79</f>
        <v>18</v>
      </c>
      <c r="Z63" s="84">
        <f t="shared" si="144"/>
        <v>5082.8828828828828</v>
      </c>
      <c r="AA63" s="84">
        <f t="shared" si="145"/>
        <v>2902.7027027027025</v>
      </c>
      <c r="AB63" s="84">
        <f t="shared" si="146"/>
        <v>7985.5855855855852</v>
      </c>
      <c r="AC63" s="85">
        <f t="shared" si="147"/>
        <v>0.35726268066173283</v>
      </c>
      <c r="AD63" s="85">
        <f t="shared" si="148"/>
        <v>0.37625811220645161</v>
      </c>
      <c r="AE63" s="85">
        <f t="shared" si="149"/>
        <v>0.32400004106666669</v>
      </c>
      <c r="AF63" s="83">
        <f>BU63+SCENARIU!$C$25+SCENARIU!$D$25+'AJUSTĂRI PE PRODUS'!$I$79+'AJUSTĂRI PE PRODUS'!$N$79</f>
        <v>15.5</v>
      </c>
      <c r="AG63" s="83">
        <f>BV63+SCENARIU!$C$25+SCENARIU!$D$25+'AJUSTĂRI PE PRODUS'!$J$79+'AJUSTĂRI PE PRODUS'!$O$79</f>
        <v>18</v>
      </c>
      <c r="AH63" s="86">
        <f t="shared" si="150"/>
        <v>5082.8828828828828</v>
      </c>
      <c r="AI63" s="86">
        <f t="shared" si="151"/>
        <v>2902.7027027027025</v>
      </c>
      <c r="AJ63" s="86">
        <f t="shared" si="152"/>
        <v>7985.5855855855852</v>
      </c>
      <c r="AK63" s="87">
        <f t="shared" si="153"/>
        <v>0.35726268066173283</v>
      </c>
      <c r="AL63" s="87">
        <f t="shared" si="154"/>
        <v>0.37625811220645161</v>
      </c>
      <c r="AM63" s="87">
        <f t="shared" si="155"/>
        <v>0.32400004106666669</v>
      </c>
      <c r="AN63" s="83">
        <f>BW63+SCENARIU!$C$25+SCENARIU!$D$25+SCENARIU!$E$25+'AJUSTĂRI PE PRODUS'!$I$79+'AJUSTĂRI PE PRODUS'!$N$79+'AJUSTĂRI PE PRODUS'!$S$79</f>
        <v>16</v>
      </c>
      <c r="AO63" s="83">
        <f>BX63+SCENARIU!$C$25+SCENARIU!$D$25+SCENARIU!$E$25+'AJUSTĂRI PE PRODUS'!$J$79+'AJUSTĂRI PE PRODUS'!$O$79+'AJUSTĂRI PE PRODUS'!$T$79</f>
        <v>18.5</v>
      </c>
      <c r="AP63" s="88">
        <f t="shared" si="156"/>
        <v>5246.8468468468463</v>
      </c>
      <c r="AQ63" s="88">
        <f t="shared" si="157"/>
        <v>2983.333333333333</v>
      </c>
      <c r="AR63" s="88">
        <f t="shared" si="158"/>
        <v>8230.1801801801794</v>
      </c>
      <c r="AS63" s="89">
        <f t="shared" si="159"/>
        <v>0.34664510988841335</v>
      </c>
      <c r="AT63" s="89">
        <f t="shared" si="160"/>
        <v>0.36450004620000004</v>
      </c>
      <c r="AU63" s="89">
        <f t="shared" si="161"/>
        <v>0.3152432832</v>
      </c>
      <c r="AV63" s="83">
        <f>BY63+SCENARIU!$C$25+SCENARIU!$D$25+SCENARIU!$E$25+SCENARIU!$F$25+'AJUSTĂRI PE PRODUS'!$I$79+'AJUSTĂRI PE PRODUS'!$N$79+'AJUSTĂRI PE PRODUS'!$S$79+'AJUSTĂRI PE PRODUS'!$X$79</f>
        <v>16.489999999999998</v>
      </c>
      <c r="AW63" s="83">
        <f>BZ63+SCENARIU!$C$25+SCENARIU!$D$25+SCENARIU!$E$25+SCENARIU!$F$25+'AJUSTĂRI PE PRODUS'!$J$79+'AJUSTĂRI PE PRODUS'!$O$79+'AJUSTĂRI PE PRODUS'!$T$79+'AJUSTĂRI PE PRODUS'!$Y$79</f>
        <v>18.989999999999998</v>
      </c>
      <c r="AX63" s="90">
        <f t="shared" si="162"/>
        <v>5407.5315315315311</v>
      </c>
      <c r="AY63" s="90">
        <f t="shared" si="163"/>
        <v>3062.3513513513508</v>
      </c>
      <c r="AZ63" s="90">
        <f t="shared" si="164"/>
        <v>8469.8828828828809</v>
      </c>
      <c r="BA63" s="91">
        <f t="shared" si="165"/>
        <v>0.33683484794407748</v>
      </c>
      <c r="BB63" s="91">
        <f t="shared" si="166"/>
        <v>0.35366893506367497</v>
      </c>
      <c r="BC63" s="91">
        <f t="shared" si="167"/>
        <v>0.30710904366508696</v>
      </c>
      <c r="BD63" s="92">
        <f t="shared" si="168"/>
        <v>0.5</v>
      </c>
      <c r="BE63" s="92">
        <f t="shared" si="169"/>
        <v>0.5</v>
      </c>
      <c r="BF63" s="92">
        <f t="shared" si="170"/>
        <v>0</v>
      </c>
      <c r="BG63" s="92">
        <f t="shared" si="171"/>
        <v>0.5</v>
      </c>
      <c r="BH63" s="92">
        <f t="shared" si="172"/>
        <v>0.48999999999999844</v>
      </c>
      <c r="BI63" s="93">
        <f t="shared" si="173"/>
        <v>1.9899999999999984</v>
      </c>
      <c r="BJ63" s="92">
        <f t="shared" si="174"/>
        <v>0.5</v>
      </c>
      <c r="BK63" s="92">
        <f t="shared" si="175"/>
        <v>0.5</v>
      </c>
      <c r="BL63" s="92">
        <f t="shared" si="176"/>
        <v>0</v>
      </c>
      <c r="BM63" s="92">
        <f t="shared" si="177"/>
        <v>0.5</v>
      </c>
      <c r="BN63" s="92">
        <f t="shared" si="178"/>
        <v>0.48999999999999844</v>
      </c>
      <c r="BO63" s="93">
        <f t="shared" si="179"/>
        <v>1.9899999999999984</v>
      </c>
      <c r="BQ63">
        <v>15</v>
      </c>
      <c r="BR63">
        <v>17.5</v>
      </c>
      <c r="BS63">
        <v>15.5</v>
      </c>
      <c r="BT63">
        <v>18</v>
      </c>
      <c r="BU63">
        <v>15.5</v>
      </c>
      <c r="BV63">
        <v>18</v>
      </c>
      <c r="BW63">
        <v>16</v>
      </c>
      <c r="BX63">
        <v>18.5</v>
      </c>
      <c r="BY63">
        <v>16.489999999999998</v>
      </c>
      <c r="BZ63">
        <v>18.989999999999998</v>
      </c>
    </row>
    <row r="64" spans="1:78" x14ac:dyDescent="0.2">
      <c r="A64" s="26">
        <v>15</v>
      </c>
      <c r="B64" s="26" t="s">
        <v>223</v>
      </c>
      <c r="C64" s="26" t="s">
        <v>100</v>
      </c>
      <c r="D64" s="74">
        <v>1</v>
      </c>
      <c r="E64" s="75">
        <v>11</v>
      </c>
      <c r="F64" s="76">
        <v>58</v>
      </c>
      <c r="G64" s="76">
        <v>21</v>
      </c>
      <c r="H64" s="77">
        <f>SUMIFS(RETETAR!$I$4:$I$967,RETETAR!$A$4:$A$967,$M64,RETETAR!$C$4:$C$967,"AMBELE")+SUMIFS(RETETAR!$I$4:$I$967,RETETAR!$A$4:$A$967,$M64,RETETAR!$C$4:$C$967,"INSTORE")</f>
        <v>46.022547199999998</v>
      </c>
      <c r="I64" s="77">
        <f>SUMIFS(RETETAR!$I$4:$I$967,RETETAR!$A$4:$A$967,$M64,RETETAR!$C$4:$C$967,"AMBELE")+SUMIFS(RETETAR!$I$4:$I$967,RETETAR!$A$4:$A$967,$M64,RETETAR!$C$4:$C$967,"DELIVERY")</f>
        <v>46.022547199999998</v>
      </c>
      <c r="J64" s="78">
        <f t="shared" si="135"/>
        <v>2669.3077376000001</v>
      </c>
      <c r="K64" s="78">
        <f t="shared" si="136"/>
        <v>966.47349120000001</v>
      </c>
      <c r="L64" s="78">
        <f t="shared" si="137"/>
        <v>3635.7812288</v>
      </c>
      <c r="M64" t="s">
        <v>223</v>
      </c>
      <c r="N64" s="79">
        <v>100</v>
      </c>
      <c r="O64" s="79">
        <v>120</v>
      </c>
      <c r="P64" s="80">
        <v>101.24</v>
      </c>
      <c r="Q64" s="80">
        <v>121.24</v>
      </c>
      <c r="R64" s="81">
        <f t="shared" si="138"/>
        <v>5290.0180180180168</v>
      </c>
      <c r="S64" s="81">
        <f t="shared" si="139"/>
        <v>2293.7297297297296</v>
      </c>
      <c r="T64" s="81">
        <f t="shared" si="140"/>
        <v>7583.747747747746</v>
      </c>
      <c r="U64" s="82">
        <f t="shared" si="141"/>
        <v>0.47941747929046952</v>
      </c>
      <c r="V64" s="82">
        <f t="shared" si="142"/>
        <v>0.50459331679178199</v>
      </c>
      <c r="W64" s="82">
        <f t="shared" si="143"/>
        <v>0.42135456443418018</v>
      </c>
      <c r="X64" s="83">
        <f>BS64+SCENARIU!$C$25+'AJUSTĂRI PE PRODUS'!$I$88</f>
        <v>104.99</v>
      </c>
      <c r="Y64" s="83">
        <f>BT64+SCENARIU!$C$25+'AJUSTĂRI PE PRODUS'!$J$88</f>
        <v>121.49</v>
      </c>
      <c r="Z64" s="84">
        <f t="shared" si="144"/>
        <v>5485.9639639639636</v>
      </c>
      <c r="AA64" s="84">
        <f t="shared" si="145"/>
        <v>2298.4594594594591</v>
      </c>
      <c r="AB64" s="84">
        <f t="shared" si="146"/>
        <v>7784.4234234234227</v>
      </c>
      <c r="AC64" s="85">
        <f t="shared" si="147"/>
        <v>0.46705851301200946</v>
      </c>
      <c r="AD64" s="85">
        <f t="shared" si="148"/>
        <v>0.4865704104390895</v>
      </c>
      <c r="AE64" s="85">
        <f t="shared" si="149"/>
        <v>0.42048750837105942</v>
      </c>
      <c r="AF64" s="83">
        <f>BU64+SCENARIU!$C$25+SCENARIU!$D$25+'AJUSTĂRI PE PRODUS'!$I$88+'AJUSTĂRI PE PRODUS'!$N$88</f>
        <v>104.99</v>
      </c>
      <c r="AG64" s="83">
        <f>BV64+SCENARIU!$C$25+SCENARIU!$D$25+'AJUSTĂRI PE PRODUS'!$J$88+'AJUSTĂRI PE PRODUS'!$O$88</f>
        <v>121.49</v>
      </c>
      <c r="AH64" s="86">
        <f t="shared" si="150"/>
        <v>5485.9639639639636</v>
      </c>
      <c r="AI64" s="86">
        <f t="shared" si="151"/>
        <v>2298.4594594594591</v>
      </c>
      <c r="AJ64" s="86">
        <f t="shared" si="152"/>
        <v>7784.4234234234227</v>
      </c>
      <c r="AK64" s="87">
        <f t="shared" si="153"/>
        <v>0.46705851301200946</v>
      </c>
      <c r="AL64" s="87">
        <f t="shared" si="154"/>
        <v>0.4865704104390895</v>
      </c>
      <c r="AM64" s="87">
        <f t="shared" si="155"/>
        <v>0.42048750837105942</v>
      </c>
      <c r="AN64" s="83">
        <f>BW64+SCENARIU!$C$25+SCENARIU!$D$25+SCENARIU!$E$25+'AJUSTĂRI PE PRODUS'!$I$88+'AJUSTĂRI PE PRODUS'!$N$88+'AJUSTĂRI PE PRODUS'!$S$88</f>
        <v>105.49</v>
      </c>
      <c r="AO64" s="83">
        <f>BX64+SCENARIU!$C$25+SCENARIU!$D$25+SCENARIU!$E$25+'AJUSTĂRI PE PRODUS'!$J$88+'AJUSTĂRI PE PRODUS'!$O$88+'AJUSTĂRI PE PRODUS'!$T$88</f>
        <v>121.99</v>
      </c>
      <c r="AP64" s="88">
        <f t="shared" si="156"/>
        <v>5512.0900900900897</v>
      </c>
      <c r="AQ64" s="88">
        <f t="shared" si="157"/>
        <v>2307.9189189189187</v>
      </c>
      <c r="AR64" s="88">
        <f t="shared" si="158"/>
        <v>7820.0090090090089</v>
      </c>
      <c r="AS64" s="89">
        <f t="shared" si="159"/>
        <v>0.4649331253469674</v>
      </c>
      <c r="AT64" s="89">
        <f t="shared" si="160"/>
        <v>0.48426417093563379</v>
      </c>
      <c r="AU64" s="89">
        <f t="shared" si="161"/>
        <v>0.41876405764406921</v>
      </c>
      <c r="AV64" s="83">
        <f>BY64+SCENARIU!$C$25+SCENARIU!$D$25+SCENARIU!$E$25+SCENARIU!$F$25+'AJUSTĂRI PE PRODUS'!$I$88+'AJUSTĂRI PE PRODUS'!$N$88+'AJUSTĂRI PE PRODUS'!$S$88+'AJUSTĂRI PE PRODUS'!$X$88</f>
        <v>109.99</v>
      </c>
      <c r="AW64" s="83">
        <f>BZ64+SCENARIU!$C$25+SCENARIU!$D$25+SCENARIU!$E$25+SCENARIU!$F$25+'AJUSTĂRI PE PRODUS'!$J$88+'AJUSTĂRI PE PRODUS'!$O$88+'AJUSTĂRI PE PRODUS'!$T$88+'AJUSTĂRI PE PRODUS'!$Y$88</f>
        <v>121.99</v>
      </c>
      <c r="AX64" s="90">
        <f t="shared" si="162"/>
        <v>5747.2252252252238</v>
      </c>
      <c r="AY64" s="90">
        <f t="shared" si="163"/>
        <v>2307.9189189189187</v>
      </c>
      <c r="AZ64" s="90">
        <f t="shared" si="164"/>
        <v>8055.144144144142</v>
      </c>
      <c r="BA64" s="91">
        <f t="shared" si="165"/>
        <v>0.45136141125954998</v>
      </c>
      <c r="BB64" s="91">
        <f t="shared" si="166"/>
        <v>0.46445156279661803</v>
      </c>
      <c r="BC64" s="91">
        <f t="shared" si="167"/>
        <v>0.41876405764406921</v>
      </c>
      <c r="BD64" s="92">
        <f t="shared" si="168"/>
        <v>1.2399999999999949</v>
      </c>
      <c r="BE64" s="92">
        <f t="shared" si="169"/>
        <v>3.75</v>
      </c>
      <c r="BF64" s="92">
        <f t="shared" si="170"/>
        <v>0</v>
      </c>
      <c r="BG64" s="92">
        <f t="shared" si="171"/>
        <v>0.5</v>
      </c>
      <c r="BH64" s="92">
        <f t="shared" si="172"/>
        <v>4.5</v>
      </c>
      <c r="BI64" s="93">
        <f t="shared" si="173"/>
        <v>9.9899999999999949</v>
      </c>
      <c r="BJ64" s="92">
        <f t="shared" si="174"/>
        <v>1.2399999999999949</v>
      </c>
      <c r="BK64" s="92">
        <f t="shared" si="175"/>
        <v>0.25</v>
      </c>
      <c r="BL64" s="92">
        <f t="shared" si="176"/>
        <v>0</v>
      </c>
      <c r="BM64" s="92">
        <f t="shared" si="177"/>
        <v>0.5</v>
      </c>
      <c r="BN64" s="92">
        <f t="shared" si="178"/>
        <v>0</v>
      </c>
      <c r="BO64" s="93">
        <f t="shared" si="179"/>
        <v>1.9899999999999949</v>
      </c>
      <c r="BQ64">
        <v>101.24</v>
      </c>
      <c r="BR64">
        <v>121.24</v>
      </c>
      <c r="BS64">
        <v>101.49</v>
      </c>
      <c r="BT64">
        <v>121.49</v>
      </c>
      <c r="BU64">
        <v>101.49</v>
      </c>
      <c r="BV64">
        <v>121.49</v>
      </c>
      <c r="BW64">
        <v>101.99</v>
      </c>
      <c r="BX64">
        <v>121.99</v>
      </c>
      <c r="BY64">
        <v>101.99</v>
      </c>
      <c r="BZ64">
        <v>121.99</v>
      </c>
    </row>
    <row r="65" spans="1:78" x14ac:dyDescent="0.2">
      <c r="A65" s="26">
        <v>16</v>
      </c>
      <c r="B65" s="26" t="s">
        <v>231</v>
      </c>
      <c r="C65" s="26" t="s">
        <v>100</v>
      </c>
      <c r="D65" s="74">
        <v>1</v>
      </c>
      <c r="E65" s="75">
        <v>11</v>
      </c>
      <c r="F65" s="76">
        <v>321</v>
      </c>
      <c r="G65" s="76">
        <v>109</v>
      </c>
      <c r="H65" s="77">
        <f>SUMIFS(RETETAR!$I$4:$I$967,RETETAR!$A$4:$A$967,$M65,RETETAR!$C$4:$C$967,"AMBELE")+SUMIFS(RETETAR!$I$4:$I$967,RETETAR!$A$4:$A$967,$M65,RETETAR!$C$4:$C$967,"INSTORE")</f>
        <v>4.8684547199999999</v>
      </c>
      <c r="I65" s="77">
        <f>SUMIFS(RETETAR!$I$4:$I$967,RETETAR!$A$4:$A$967,$M65,RETETAR!$C$4:$C$967,"AMBELE")+SUMIFS(RETETAR!$I$4:$I$967,RETETAR!$A$4:$A$967,$M65,RETETAR!$C$4:$C$967,"DELIVERY")</f>
        <v>4.8684547199999999</v>
      </c>
      <c r="J65" s="78">
        <f t="shared" si="135"/>
        <v>1562.77396512</v>
      </c>
      <c r="K65" s="78">
        <f t="shared" si="136"/>
        <v>530.66156448000004</v>
      </c>
      <c r="L65" s="78">
        <f t="shared" si="137"/>
        <v>2093.4355295999999</v>
      </c>
      <c r="M65" t="s">
        <v>231</v>
      </c>
      <c r="N65" s="79">
        <v>14.5</v>
      </c>
      <c r="O65" s="79">
        <v>17</v>
      </c>
      <c r="P65" s="80">
        <v>15</v>
      </c>
      <c r="Q65" s="80">
        <v>17.5</v>
      </c>
      <c r="R65" s="81">
        <f t="shared" si="138"/>
        <v>4337.8378378378375</v>
      </c>
      <c r="S65" s="81">
        <f t="shared" si="139"/>
        <v>1718.4684684684682</v>
      </c>
      <c r="T65" s="81">
        <f t="shared" si="140"/>
        <v>6056.3063063063055</v>
      </c>
      <c r="U65" s="82">
        <f t="shared" si="141"/>
        <v>0.34566209562751954</v>
      </c>
      <c r="V65" s="82">
        <f t="shared" si="142"/>
        <v>0.36026564928000004</v>
      </c>
      <c r="W65" s="82">
        <f t="shared" si="143"/>
        <v>0.30879912795428577</v>
      </c>
      <c r="X65" s="83">
        <f>BS65+SCENARIU!$C$25+'AJUSTĂRI PE PRODUS'!$I$92</f>
        <v>15.5</v>
      </c>
      <c r="Y65" s="83">
        <f>BT65+SCENARIU!$C$25+'AJUSTĂRI PE PRODUS'!$J$92</f>
        <v>18</v>
      </c>
      <c r="Z65" s="84">
        <f t="shared" si="144"/>
        <v>4482.4324324324316</v>
      </c>
      <c r="AA65" s="84">
        <f t="shared" si="145"/>
        <v>1767.5675675675673</v>
      </c>
      <c r="AB65" s="84">
        <f t="shared" si="146"/>
        <v>6249.9999999999991</v>
      </c>
      <c r="AC65" s="85">
        <f t="shared" si="147"/>
        <v>0.33494968473600001</v>
      </c>
      <c r="AD65" s="85">
        <f t="shared" si="148"/>
        <v>0.34864417672258069</v>
      </c>
      <c r="AE65" s="85">
        <f t="shared" si="149"/>
        <v>0.30022137440000007</v>
      </c>
      <c r="AF65" s="83">
        <f>BU65+SCENARIU!$C$25+SCENARIU!$D$25+'AJUSTĂRI PE PRODUS'!$I$92+'AJUSTĂRI PE PRODUS'!$N$92</f>
        <v>15.5</v>
      </c>
      <c r="AG65" s="83">
        <f>BV65+SCENARIU!$C$25+SCENARIU!$D$25+'AJUSTĂRI PE PRODUS'!$J$92+'AJUSTĂRI PE PRODUS'!$O$92</f>
        <v>18</v>
      </c>
      <c r="AH65" s="86">
        <f t="shared" si="150"/>
        <v>4482.4324324324316</v>
      </c>
      <c r="AI65" s="86">
        <f t="shared" si="151"/>
        <v>1767.5675675675673</v>
      </c>
      <c r="AJ65" s="86">
        <f t="shared" si="152"/>
        <v>6249.9999999999991</v>
      </c>
      <c r="AK65" s="87">
        <f t="shared" si="153"/>
        <v>0.33494968473600001</v>
      </c>
      <c r="AL65" s="87">
        <f t="shared" si="154"/>
        <v>0.34864417672258069</v>
      </c>
      <c r="AM65" s="87">
        <f t="shared" si="155"/>
        <v>0.30022137440000007</v>
      </c>
      <c r="AN65" s="83">
        <f>BW65+SCENARIU!$C$25+SCENARIU!$D$25+SCENARIU!$E$25+'AJUSTĂRI PE PRODUS'!$I$92+'AJUSTĂRI PE PRODUS'!$N$92+'AJUSTĂRI PE PRODUS'!$S$92</f>
        <v>16</v>
      </c>
      <c r="AO65" s="83">
        <f>BX65+SCENARIU!$C$25+SCENARIU!$D$25+SCENARIU!$E$25+'AJUSTĂRI PE PRODUS'!$J$92+'AJUSTĂRI PE PRODUS'!$O$92+'AJUSTĂRI PE PRODUS'!$T$92</f>
        <v>18.5</v>
      </c>
      <c r="AP65" s="88">
        <f t="shared" si="156"/>
        <v>4627.0270270270266</v>
      </c>
      <c r="AQ65" s="88">
        <f t="shared" si="157"/>
        <v>1816.6666666666665</v>
      </c>
      <c r="AR65" s="88">
        <f t="shared" si="158"/>
        <v>6443.6936936936927</v>
      </c>
      <c r="AS65" s="89">
        <f t="shared" si="159"/>
        <v>0.32488129155623913</v>
      </c>
      <c r="AT65" s="89">
        <f t="shared" si="160"/>
        <v>0.33774904620000001</v>
      </c>
      <c r="AU65" s="89">
        <f t="shared" si="161"/>
        <v>0.29210728320000007</v>
      </c>
      <c r="AV65" s="83">
        <f>BY65+SCENARIU!$C$25+SCENARIU!$D$25+SCENARIU!$E$25+SCENARIU!$F$25+'AJUSTĂRI PE PRODUS'!$I$92+'AJUSTĂRI PE PRODUS'!$N$92+'AJUSTĂRI PE PRODUS'!$S$92+'AJUSTĂRI PE PRODUS'!$X$92</f>
        <v>16.489999999999998</v>
      </c>
      <c r="AW65" s="83">
        <f>BZ65+SCENARIU!$C$25+SCENARIU!$D$25+SCENARIU!$E$25+SCENARIU!$F$25+'AJUSTĂRI PE PRODUS'!$J$92+'AJUSTĂRI PE PRODUS'!$O$92+'AJUSTĂRI PE PRODUS'!$T$92+'AJUSTĂRI PE PRODUS'!$Y$92</f>
        <v>18.989999999999998</v>
      </c>
      <c r="AX65" s="90">
        <f t="shared" si="162"/>
        <v>4768.7297297297291</v>
      </c>
      <c r="AY65" s="90">
        <f t="shared" si="163"/>
        <v>1864.7837837837835</v>
      </c>
      <c r="AZ65" s="90">
        <f t="shared" si="164"/>
        <v>6633.5135135135124</v>
      </c>
      <c r="BA65" s="91">
        <f t="shared" si="165"/>
        <v>0.31558472374185143</v>
      </c>
      <c r="BB65" s="91">
        <f t="shared" si="166"/>
        <v>0.32771284046088539</v>
      </c>
      <c r="BC65" s="91">
        <f t="shared" si="167"/>
        <v>0.28457002312796215</v>
      </c>
      <c r="BD65" s="92">
        <f t="shared" si="168"/>
        <v>0.5</v>
      </c>
      <c r="BE65" s="92">
        <f t="shared" si="169"/>
        <v>0.5</v>
      </c>
      <c r="BF65" s="92">
        <f t="shared" si="170"/>
        <v>0</v>
      </c>
      <c r="BG65" s="92">
        <f t="shared" si="171"/>
        <v>0.5</v>
      </c>
      <c r="BH65" s="92">
        <f t="shared" si="172"/>
        <v>0.48999999999999844</v>
      </c>
      <c r="BI65" s="93">
        <f t="shared" si="173"/>
        <v>1.9899999999999984</v>
      </c>
      <c r="BJ65" s="92">
        <f t="shared" si="174"/>
        <v>0.5</v>
      </c>
      <c r="BK65" s="92">
        <f t="shared" si="175"/>
        <v>0.5</v>
      </c>
      <c r="BL65" s="92">
        <f t="shared" si="176"/>
        <v>0</v>
      </c>
      <c r="BM65" s="92">
        <f t="shared" si="177"/>
        <v>0.5</v>
      </c>
      <c r="BN65" s="92">
        <f t="shared" si="178"/>
        <v>0.48999999999999844</v>
      </c>
      <c r="BO65" s="93">
        <f t="shared" si="179"/>
        <v>1.9899999999999984</v>
      </c>
      <c r="BQ65">
        <v>15</v>
      </c>
      <c r="BR65">
        <v>17.5</v>
      </c>
      <c r="BS65">
        <v>15.5</v>
      </c>
      <c r="BT65">
        <v>18</v>
      </c>
      <c r="BU65">
        <v>15.5</v>
      </c>
      <c r="BV65">
        <v>18</v>
      </c>
      <c r="BW65">
        <v>16</v>
      </c>
      <c r="BX65">
        <v>18.5</v>
      </c>
      <c r="BY65">
        <v>16.489999999999998</v>
      </c>
      <c r="BZ65">
        <v>18.989999999999998</v>
      </c>
    </row>
    <row r="66" spans="1:78" x14ac:dyDescent="0.2">
      <c r="A66" s="26">
        <v>17</v>
      </c>
      <c r="B66" s="26" t="s">
        <v>243</v>
      </c>
      <c r="C66" s="26" t="s">
        <v>100</v>
      </c>
      <c r="D66" s="74">
        <v>1</v>
      </c>
      <c r="E66" s="75">
        <v>11</v>
      </c>
      <c r="F66" s="76">
        <v>34</v>
      </c>
      <c r="G66" s="76">
        <v>12</v>
      </c>
      <c r="H66" s="77">
        <f>SUMIFS(RETETAR!$I$4:$I$967,RETETAR!$A$4:$A$967,$M66,RETETAR!$C$4:$C$967,"AMBELE")+SUMIFS(RETETAR!$I$4:$I$967,RETETAR!$A$4:$A$967,$M66,RETETAR!$C$4:$C$967,"INSTORE")</f>
        <v>49.418547199999999</v>
      </c>
      <c r="I66" s="77">
        <f>SUMIFS(RETETAR!$I$4:$I$967,RETETAR!$A$4:$A$967,$M66,RETETAR!$C$4:$C$967,"AMBELE")+SUMIFS(RETETAR!$I$4:$I$967,RETETAR!$A$4:$A$967,$M66,RETETAR!$C$4:$C$967,"DELIVERY")</f>
        <v>49.418547199999999</v>
      </c>
      <c r="J66" s="78">
        <f t="shared" si="135"/>
        <v>1680.2306048</v>
      </c>
      <c r="K66" s="78">
        <f t="shared" si="136"/>
        <v>593.02256639999996</v>
      </c>
      <c r="L66" s="78">
        <f t="shared" si="137"/>
        <v>2273.2531712</v>
      </c>
      <c r="M66" t="s">
        <v>243</v>
      </c>
      <c r="N66" s="79">
        <v>100</v>
      </c>
      <c r="O66" s="79">
        <v>120</v>
      </c>
      <c r="P66" s="80">
        <v>101.24</v>
      </c>
      <c r="Q66" s="80">
        <v>121.24</v>
      </c>
      <c r="R66" s="81">
        <f t="shared" si="138"/>
        <v>3101.0450450450444</v>
      </c>
      <c r="S66" s="81">
        <f t="shared" si="139"/>
        <v>1310.7027027027025</v>
      </c>
      <c r="T66" s="81">
        <f t="shared" si="140"/>
        <v>4411.7477477477469</v>
      </c>
      <c r="U66" s="82">
        <f t="shared" si="141"/>
        <v>0.51527269943312703</v>
      </c>
      <c r="V66" s="82">
        <f t="shared" si="142"/>
        <v>0.54182721643619136</v>
      </c>
      <c r="W66" s="82">
        <f t="shared" si="143"/>
        <v>0.45244628333883213</v>
      </c>
      <c r="X66" s="83">
        <f>BS66+SCENARIU!$C$25+'AJUSTĂRI PE PRODUS'!$I$106</f>
        <v>104.99</v>
      </c>
      <c r="Y66" s="83">
        <f>BT66+SCENARIU!$C$25+'AJUSTĂRI PE PRODUS'!$J$106</f>
        <v>121.49</v>
      </c>
      <c r="Z66" s="84">
        <f t="shared" si="144"/>
        <v>3215.9099099099094</v>
      </c>
      <c r="AA66" s="84">
        <f t="shared" si="145"/>
        <v>1313.4054054054052</v>
      </c>
      <c r="AB66" s="84">
        <f t="shared" si="146"/>
        <v>4529.3153153153144</v>
      </c>
      <c r="AC66" s="85">
        <f t="shared" si="147"/>
        <v>0.50189775119282998</v>
      </c>
      <c r="AD66" s="85">
        <f t="shared" si="148"/>
        <v>0.5224744012953616</v>
      </c>
      <c r="AE66" s="85">
        <f t="shared" si="149"/>
        <v>0.45151524727961151</v>
      </c>
      <c r="AF66" s="83">
        <f>BU66+SCENARIU!$C$25+SCENARIU!$D$25+'AJUSTĂRI PE PRODUS'!$I$106+'AJUSTĂRI PE PRODUS'!$N$106</f>
        <v>104.99</v>
      </c>
      <c r="AG66" s="83">
        <f>BV66+SCENARIU!$C$25+SCENARIU!$D$25+'AJUSTĂRI PE PRODUS'!$J$106+'AJUSTĂRI PE PRODUS'!$O$106</f>
        <v>121.49</v>
      </c>
      <c r="AH66" s="86">
        <f t="shared" si="150"/>
        <v>3215.9099099099094</v>
      </c>
      <c r="AI66" s="86">
        <f t="shared" si="151"/>
        <v>1313.4054054054052</v>
      </c>
      <c r="AJ66" s="86">
        <f t="shared" si="152"/>
        <v>4529.3153153153144</v>
      </c>
      <c r="AK66" s="87">
        <f t="shared" si="153"/>
        <v>0.50189775119282998</v>
      </c>
      <c r="AL66" s="87">
        <f t="shared" si="154"/>
        <v>0.5224744012953616</v>
      </c>
      <c r="AM66" s="87">
        <f t="shared" si="155"/>
        <v>0.45151524727961151</v>
      </c>
      <c r="AN66" s="83">
        <f>BW66+SCENARIU!$C$25+SCENARIU!$D$25+SCENARIU!$E$25+'AJUSTĂRI PE PRODUS'!$I$106+'AJUSTĂRI PE PRODUS'!$N$106+'AJUSTĂRI PE PRODUS'!$S$106</f>
        <v>105.49</v>
      </c>
      <c r="AO66" s="83">
        <f>BX66+SCENARIU!$C$25+SCENARIU!$D$25+SCENARIU!$E$25+'AJUSTĂRI PE PRODUS'!$J$106+'AJUSTĂRI PE PRODUS'!$O$106+'AJUSTĂRI PE PRODUS'!$T$106</f>
        <v>121.99</v>
      </c>
      <c r="AP66" s="88">
        <f t="shared" si="156"/>
        <v>3231.2252252252247</v>
      </c>
      <c r="AQ66" s="88">
        <f t="shared" si="157"/>
        <v>1318.8108108108108</v>
      </c>
      <c r="AR66" s="88">
        <f t="shared" si="158"/>
        <v>4550.0360360360355</v>
      </c>
      <c r="AS66" s="89">
        <f t="shared" si="159"/>
        <v>0.49961212465043348</v>
      </c>
      <c r="AT66" s="89">
        <f t="shared" si="160"/>
        <v>0.51999798456725765</v>
      </c>
      <c r="AU66" s="89">
        <f t="shared" si="161"/>
        <v>0.44966462326420192</v>
      </c>
      <c r="AV66" s="83">
        <f>BY66+SCENARIU!$C$25+SCENARIU!$D$25+SCENARIU!$E$25+SCENARIU!$F$25+'AJUSTĂRI PE PRODUS'!$I$106+'AJUSTĂRI PE PRODUS'!$N$106+'AJUSTĂRI PE PRODUS'!$S$106+'AJUSTĂRI PE PRODUS'!$X$106</f>
        <v>109.99</v>
      </c>
      <c r="AW66" s="83">
        <f>BZ66+SCENARIU!$C$25+SCENARIU!$D$25+SCENARIU!$E$25+SCENARIU!$F$25+'AJUSTĂRI PE PRODUS'!$J$106+'AJUSTĂRI PE PRODUS'!$O$106+'AJUSTĂRI PE PRODUS'!$T$106+'AJUSTĂRI PE PRODUS'!$Y$106</f>
        <v>121.99</v>
      </c>
      <c r="AX66" s="90">
        <f t="shared" si="162"/>
        <v>3369.0630630630626</v>
      </c>
      <c r="AY66" s="90">
        <f t="shared" si="163"/>
        <v>1318.8108108108108</v>
      </c>
      <c r="AZ66" s="90">
        <f t="shared" si="164"/>
        <v>4687.8738738738739</v>
      </c>
      <c r="BA66" s="91">
        <f t="shared" si="165"/>
        <v>0.48492199926050344</v>
      </c>
      <c r="BB66" s="91">
        <f t="shared" si="166"/>
        <v>0.49872340569142659</v>
      </c>
      <c r="BC66" s="91">
        <f t="shared" si="167"/>
        <v>0.44966462326420192</v>
      </c>
      <c r="BD66" s="92">
        <f t="shared" si="168"/>
        <v>1.2399999999999949</v>
      </c>
      <c r="BE66" s="92">
        <f t="shared" si="169"/>
        <v>3.75</v>
      </c>
      <c r="BF66" s="92">
        <f t="shared" si="170"/>
        <v>0</v>
      </c>
      <c r="BG66" s="92">
        <f t="shared" si="171"/>
        <v>0.5</v>
      </c>
      <c r="BH66" s="92">
        <f t="shared" si="172"/>
        <v>4.5</v>
      </c>
      <c r="BI66" s="93">
        <f t="shared" si="173"/>
        <v>9.9899999999999949</v>
      </c>
      <c r="BJ66" s="92">
        <f t="shared" si="174"/>
        <v>1.2399999999999949</v>
      </c>
      <c r="BK66" s="92">
        <f t="shared" si="175"/>
        <v>0.25</v>
      </c>
      <c r="BL66" s="92">
        <f t="shared" si="176"/>
        <v>0</v>
      </c>
      <c r="BM66" s="92">
        <f t="shared" si="177"/>
        <v>0.5</v>
      </c>
      <c r="BN66" s="92">
        <f t="shared" si="178"/>
        <v>0</v>
      </c>
      <c r="BO66" s="93">
        <f t="shared" si="179"/>
        <v>1.9899999999999949</v>
      </c>
      <c r="BQ66">
        <v>101.24</v>
      </c>
      <c r="BR66">
        <v>121.24</v>
      </c>
      <c r="BS66">
        <v>101.49</v>
      </c>
      <c r="BT66">
        <v>121.49</v>
      </c>
      <c r="BU66">
        <v>101.49</v>
      </c>
      <c r="BV66">
        <v>121.49</v>
      </c>
      <c r="BW66">
        <v>101.99</v>
      </c>
      <c r="BX66">
        <v>121.99</v>
      </c>
      <c r="BY66">
        <v>101.99</v>
      </c>
      <c r="BZ66">
        <v>121.99</v>
      </c>
    </row>
    <row r="67" spans="1:78" x14ac:dyDescent="0.2">
      <c r="A67" s="94" t="s">
        <v>437</v>
      </c>
      <c r="B67" s="95"/>
      <c r="C67" s="95"/>
      <c r="D67" s="95"/>
      <c r="E67" s="95"/>
      <c r="F67" s="95"/>
      <c r="G67" s="95"/>
      <c r="H67" s="95"/>
      <c r="I67" s="95"/>
      <c r="J67" s="95"/>
      <c r="K67" s="95"/>
      <c r="L67" s="96">
        <f>SUM(L50:L66)</f>
        <v>194883.48317852002</v>
      </c>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95"/>
      <c r="AY67" s="95"/>
      <c r="AZ67" s="95"/>
      <c r="BA67" s="95"/>
      <c r="BB67" s="95"/>
      <c r="BC67" s="95"/>
      <c r="BD67" s="95"/>
      <c r="BE67" s="95"/>
      <c r="BF67" s="95"/>
      <c r="BG67" s="95"/>
      <c r="BH67" s="95"/>
      <c r="BI67" s="95"/>
      <c r="BJ67" s="95"/>
      <c r="BK67" s="95"/>
      <c r="BL67" s="95"/>
      <c r="BM67" s="95"/>
      <c r="BN67" s="95"/>
      <c r="BO67" s="95"/>
    </row>
    <row r="68" spans="1:78" x14ac:dyDescent="0.2">
      <c r="A68" s="72" t="s">
        <v>101</v>
      </c>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row>
    <row r="69" spans="1:78" x14ac:dyDescent="0.2">
      <c r="A69" s="26">
        <v>1</v>
      </c>
      <c r="B69" s="26" t="s">
        <v>142</v>
      </c>
      <c r="C69" s="26" t="s">
        <v>101</v>
      </c>
      <c r="D69" s="74">
        <v>1</v>
      </c>
      <c r="E69" s="75">
        <v>11</v>
      </c>
      <c r="F69" s="76">
        <v>42662</v>
      </c>
      <c r="G69" s="76">
        <v>6061</v>
      </c>
      <c r="H69" s="77">
        <f>SUMIFS(RETETAR!$I$4:$I$967,RETETAR!$A$4:$A$967,$M69,RETETAR!$C$4:$C$967,"AMBELE")+SUMIFS(RETETAR!$I$4:$I$967,RETETAR!$A$4:$A$967,$M69,RETETAR!$C$4:$C$967,"INSTORE")</f>
        <v>3.7272218368000001</v>
      </c>
      <c r="I69" s="77">
        <f>SUMIFS(RETETAR!$I$4:$I$967,RETETAR!$A$4:$A$967,$M69,RETETAR!$C$4:$C$967,"AMBELE")+SUMIFS(RETETAR!$I$4:$I$967,RETETAR!$A$4:$A$967,$M69,RETETAR!$C$4:$C$967,"DELIVERY")</f>
        <v>3.7272218368000001</v>
      </c>
      <c r="J69" s="78">
        <f>$H69*$F69</f>
        <v>159010.73800156161</v>
      </c>
      <c r="K69" s="78">
        <f>$I69*$G69</f>
        <v>22590.691552844801</v>
      </c>
      <c r="L69" s="78">
        <f>$J69+$K69</f>
        <v>181601.42955440641</v>
      </c>
      <c r="M69" t="s">
        <v>142</v>
      </c>
      <c r="N69" s="79">
        <v>11.9</v>
      </c>
      <c r="O69" s="79">
        <v>14.99</v>
      </c>
      <c r="P69" s="80">
        <v>12.4</v>
      </c>
      <c r="Q69" s="80">
        <v>14.99</v>
      </c>
      <c r="R69" s="81">
        <f>IF(P69="",0,P69/(1+$E69/100)*$F69)</f>
        <v>476584.5045045045</v>
      </c>
      <c r="S69" s="81">
        <f>IF(Q69="",0,Q69/(1+$E69/100)*$G69)</f>
        <v>81850.80180180179</v>
      </c>
      <c r="T69" s="81">
        <f>R69+S69</f>
        <v>558435.30630630627</v>
      </c>
      <c r="U69" s="82">
        <f>IF(OR(T69=0,$L69=0),"",$L69/T69)</f>
        <v>0.32519689837589988</v>
      </c>
      <c r="V69" s="82">
        <f>IF(OR(R69=0,$J69=0),"",$J69/R69)</f>
        <v>0.33364647087483873</v>
      </c>
      <c r="W69" s="82">
        <f>IF(OR(S69=0,$K69=0),"",$K69/S69)</f>
        <v>0.27599841486644433</v>
      </c>
      <c r="X69" s="83">
        <f>BS69+SCENARIU!$C$26+'AJUSTĂRI PE PRODUS'!$I$6</f>
        <v>12.65</v>
      </c>
      <c r="Y69" s="83">
        <f>BT69+SCENARIU!$C$26+'AJUSTĂRI PE PRODUS'!$J$6</f>
        <v>15.99</v>
      </c>
      <c r="Z69" s="84">
        <f>IF(X69="",0,X69/(1+$E69/100)*$F69)</f>
        <v>486193.06306306302</v>
      </c>
      <c r="AA69" s="84">
        <f>IF(Y69="",0,Y69/(1+$E69/100)*$G69)</f>
        <v>87311.162162162145</v>
      </c>
      <c r="AB69" s="84">
        <f>Z69+AA69</f>
        <v>573504.22522522521</v>
      </c>
      <c r="AC69" s="85">
        <f>IF(OR(AB69=0,$L69=0),"",$L69/AB69)</f>
        <v>0.31665229577530718</v>
      </c>
      <c r="AD69" s="85">
        <f>IF(OR(Z69=0,$J69=0),"",$J69/Z69)</f>
        <v>0.32705266710260872</v>
      </c>
      <c r="AE69" s="85">
        <f>IF(OR(AA69=0,$K69=0),"",$K69/AA69)</f>
        <v>0.25873772600675427</v>
      </c>
      <c r="AF69" s="83">
        <f>BU69+SCENARIU!$C$26+SCENARIU!$D$26+'AJUSTĂRI PE PRODUS'!$I$6+'AJUSTĂRI PE PRODUS'!$N$6</f>
        <v>12.65</v>
      </c>
      <c r="AG69" s="83">
        <f>BV69+SCENARIU!$C$26+SCENARIU!$D$26+'AJUSTĂRI PE PRODUS'!$J$6+'AJUSTĂRI PE PRODUS'!$O$6</f>
        <v>15.99</v>
      </c>
      <c r="AH69" s="86">
        <f>IF(AF69="",0,AF69/(1+$E69/100)*$F69)</f>
        <v>486193.06306306302</v>
      </c>
      <c r="AI69" s="86">
        <f>IF(AG69="",0,AG69/(1+$E69/100)*$G69)</f>
        <v>87311.162162162145</v>
      </c>
      <c r="AJ69" s="86">
        <f>AH69+AI69</f>
        <v>573504.22522522521</v>
      </c>
      <c r="AK69" s="87">
        <f>IF(OR(AJ69=0,$L69=0),"",$L69/AJ69)</f>
        <v>0.31665229577530718</v>
      </c>
      <c r="AL69" s="87">
        <f>IF(OR(AH69=0,$J69=0),"",$J69/AH69)</f>
        <v>0.32705266710260872</v>
      </c>
      <c r="AM69" s="87">
        <f>IF(OR(AI69=0,$K69=0),"",$K69/AI69)</f>
        <v>0.25873772600675427</v>
      </c>
      <c r="AN69" s="83">
        <f>BW69+SCENARIU!$C$26+SCENARIU!$D$26+SCENARIU!$E$26+'AJUSTĂRI PE PRODUS'!$I$6+'AJUSTĂRI PE PRODUS'!$N$6+'AJUSTĂRI PE PRODUS'!$S$6</f>
        <v>12.9</v>
      </c>
      <c r="AO69" s="83">
        <f>BX69+SCENARIU!$C$26+SCENARIU!$D$26+SCENARIU!$E$26+'AJUSTĂRI PE PRODUS'!$J$6+'AJUSTĂRI PE PRODUS'!$O$6+'AJUSTĂRI PE PRODUS'!$T$6</f>
        <v>15.99</v>
      </c>
      <c r="AP69" s="88">
        <f>IF(AN69="",0,AN69/(1+$E69/100)*$F69)</f>
        <v>495801.6216216216</v>
      </c>
      <c r="AQ69" s="88">
        <f>IF(AO69="",0,AO69/(1+$E69/100)*$G69)</f>
        <v>87311.162162162145</v>
      </c>
      <c r="AR69" s="88">
        <f>AP69+AQ69</f>
        <v>583112.78378378379</v>
      </c>
      <c r="AS69" s="89">
        <f>IF(OR(AR69=0,$L69=0),"",$L69/AR69)</f>
        <v>0.31143448506823268</v>
      </c>
      <c r="AT69" s="89">
        <f>IF(OR(AP69=0,$J69=0),"",$J69/AP69)</f>
        <v>0.32071443712000003</v>
      </c>
      <c r="AU69" s="89">
        <f>IF(OR(AQ69=0,$K69=0),"",$K69/AQ69)</f>
        <v>0.25873772600675427</v>
      </c>
      <c r="AV69" s="83">
        <f>BY69+SCENARIU!$C$26+SCENARIU!$D$26+SCENARIU!$E$26+SCENARIU!$F$26+'AJUSTĂRI PE PRODUS'!$I$6+'AJUSTĂRI PE PRODUS'!$N$6+'AJUSTĂRI PE PRODUS'!$S$6+'AJUSTĂRI PE PRODUS'!$X$6</f>
        <v>13.99</v>
      </c>
      <c r="AW69" s="83">
        <f>BZ69+SCENARIU!$C$26+SCENARIU!$D$26+SCENARIU!$E$26+SCENARIU!$F$26+'AJUSTĂRI PE PRODUS'!$J$6+'AJUSTĂRI PE PRODUS'!$O$6+'AJUSTĂRI PE PRODUS'!$T$6+'AJUSTĂRI PE PRODUS'!$Y$6</f>
        <v>15.989999999999998</v>
      </c>
      <c r="AX69" s="90">
        <f>IF(AV69="",0,AV69/(1+$E69/100)*$F69)</f>
        <v>537694.93693693692</v>
      </c>
      <c r="AY69" s="90">
        <f>IF(AW69="",0,AW69/(1+$E69/100)*$G69)</f>
        <v>87311.162162162145</v>
      </c>
      <c r="AZ69" s="90">
        <f>AX69+AY69</f>
        <v>625006.09909909905</v>
      </c>
      <c r="BA69" s="91">
        <f>IF(OR(AZ69=0,$L69=0),"",$L69/AZ69)</f>
        <v>0.29055945184562471</v>
      </c>
      <c r="BB69" s="91">
        <f>IF(OR(AX69=0,$J69=0),"",$J69/AX69)</f>
        <v>0.29572667897412441</v>
      </c>
      <c r="BC69" s="91">
        <f>IF(OR(AY69=0,$K69=0),"",$K69/AY69)</f>
        <v>0.25873772600675427</v>
      </c>
      <c r="BD69" s="92">
        <f>IF(OR($N69="",P69=""),"",P69-$N69)</f>
        <v>0.5</v>
      </c>
      <c r="BE69" s="92">
        <f>IF(OR(P69="",X69=""),"",X69-P69)</f>
        <v>0.25</v>
      </c>
      <c r="BF69" s="92">
        <f>IF(OR(X69="",AF69=""),"",AF69-X69)</f>
        <v>0</v>
      </c>
      <c r="BG69" s="92">
        <f>IF(OR(AF69="",AN69=""),"",AN69-AF69)</f>
        <v>0.25</v>
      </c>
      <c r="BH69" s="92">
        <f>IF(OR(AN69="",AV69=""),"",AV69-AN69)</f>
        <v>1.0899999999999999</v>
      </c>
      <c r="BI69" s="93">
        <f>IF(OR($N69="",AV69=""),"",AV69-$N69)</f>
        <v>2.09</v>
      </c>
      <c r="BJ69" s="92">
        <f>IF(OR($O69="",Q69=""),"",Q69-$O69)</f>
        <v>0</v>
      </c>
      <c r="BK69" s="92">
        <f>IF(OR(Q69="",Y69=""),"",Y69-Q69)</f>
        <v>1</v>
      </c>
      <c r="BL69" s="92">
        <f>IF(OR(Y69="",AG69=""),"",AG69-Y69)</f>
        <v>0</v>
      </c>
      <c r="BM69" s="92">
        <f>IF(OR(AG69="",AO69=""),"",AO69-AG69)</f>
        <v>0</v>
      </c>
      <c r="BN69" s="92">
        <f>IF(OR(AO69="",AW69=""),"",AW69-AO69)</f>
        <v>-1.7763568394002505E-15</v>
      </c>
      <c r="BO69" s="93">
        <f>IF(OR($O69="",AW69=""),"",AW69-$O69)</f>
        <v>0.99999999999999822</v>
      </c>
      <c r="BQ69">
        <v>12.4</v>
      </c>
      <c r="BR69">
        <v>14.99</v>
      </c>
      <c r="BS69">
        <v>12.65</v>
      </c>
      <c r="BT69">
        <v>15.49</v>
      </c>
      <c r="BU69">
        <v>12.65</v>
      </c>
      <c r="BV69">
        <v>15.49</v>
      </c>
      <c r="BW69">
        <v>12.9</v>
      </c>
      <c r="BX69">
        <v>15.49</v>
      </c>
      <c r="BY69">
        <v>13.99</v>
      </c>
      <c r="BZ69">
        <v>16.489999999999998</v>
      </c>
    </row>
    <row r="70" spans="1:78" x14ac:dyDescent="0.2">
      <c r="A70" s="26">
        <v>2</v>
      </c>
      <c r="B70" s="26" t="s">
        <v>144</v>
      </c>
      <c r="C70" s="26" t="s">
        <v>101</v>
      </c>
      <c r="D70" s="74">
        <v>1</v>
      </c>
      <c r="E70" s="75">
        <v>11</v>
      </c>
      <c r="F70" s="76">
        <v>9978</v>
      </c>
      <c r="G70" s="76">
        <v>6098</v>
      </c>
      <c r="H70" s="77">
        <f>SUMIFS(RETETAR!$I$4:$I$967,RETETAR!$A$4:$A$967,$M70,RETETAR!$C$4:$C$967,"AMBELE")+SUMIFS(RETETAR!$I$4:$I$967,RETETAR!$A$4:$A$967,$M70,RETETAR!$C$4:$C$967,"INSTORE")</f>
        <v>3.3828339000000001</v>
      </c>
      <c r="I70" s="77">
        <f>SUMIFS(RETETAR!$I$4:$I$967,RETETAR!$A$4:$A$967,$M70,RETETAR!$C$4:$C$967,"AMBELE")+SUMIFS(RETETAR!$I$4:$I$967,RETETAR!$A$4:$A$967,$M70,RETETAR!$C$4:$C$967,"DELIVERY")</f>
        <v>3.3828339000000001</v>
      </c>
      <c r="J70" s="78">
        <f>$H70*$F70</f>
        <v>33753.916654200002</v>
      </c>
      <c r="K70" s="78">
        <f>$I70*$G70</f>
        <v>20628.5211222</v>
      </c>
      <c r="L70" s="78">
        <f>$J70+$K70</f>
        <v>54382.437776400002</v>
      </c>
      <c r="M70" t="s">
        <v>144</v>
      </c>
      <c r="N70" s="79">
        <v>15</v>
      </c>
      <c r="O70" s="79">
        <v>13.65</v>
      </c>
      <c r="P70" s="80">
        <v>15.5</v>
      </c>
      <c r="Q70" s="80">
        <v>14.15</v>
      </c>
      <c r="R70" s="81">
        <f>IF(P70="",0,P70/(1+$E70/100)*$F70)</f>
        <v>139332.43243243243</v>
      </c>
      <c r="S70" s="81">
        <f>IF(Q70="",0,Q70/(1+$E70/100)*$G70)</f>
        <v>77735.765765765755</v>
      </c>
      <c r="T70" s="81">
        <f>R70+S70</f>
        <v>217068.19819819817</v>
      </c>
      <c r="U70" s="82">
        <f>IF(OR(T70=0,$L70=0),"",$L70/T70)</f>
        <v>0.25053157591857422</v>
      </c>
      <c r="V70" s="82">
        <f>IF(OR(R70=0,$J70=0),"",$J70/R70)</f>
        <v>0.24225455670967744</v>
      </c>
      <c r="W70" s="82">
        <f>IF(OR(S70=0,$K70=0),"",$K70/S70)</f>
        <v>0.26536718226148415</v>
      </c>
      <c r="X70" s="83">
        <f>BS70+SCENARIU!$C$26+'AJUSTĂRI PE PRODUS'!$I$9</f>
        <v>15.75</v>
      </c>
      <c r="Y70" s="83">
        <f>BT70+SCENARIU!$C$26+'AJUSTĂRI PE PRODUS'!$J$9</f>
        <v>15.49</v>
      </c>
      <c r="Z70" s="84">
        <f>IF(X70="",0,X70/(1+$E70/100)*$F70)</f>
        <v>141579.7297297297</v>
      </c>
      <c r="AA70" s="84">
        <f>IF(Y70="",0,Y70/(1+$E70/100)*$G70)</f>
        <v>85097.315315315311</v>
      </c>
      <c r="AB70" s="84">
        <f>Z70+AA70</f>
        <v>226677.04504504503</v>
      </c>
      <c r="AC70" s="85">
        <f>IF(OR(AB70=0,$L70=0),"",$L70/AB70)</f>
        <v>0.23991153478109431</v>
      </c>
      <c r="AD70" s="85">
        <f>IF(OR(Z70=0,$J70=0),"",$J70/Z70)</f>
        <v>0.23840924628571433</v>
      </c>
      <c r="AE70" s="85">
        <f>IF(OR(AA70=0,$K70=0),"",$K70/AA70)</f>
        <v>0.24241095087153003</v>
      </c>
      <c r="AF70" s="83">
        <f>BU70+SCENARIU!$C$26+SCENARIU!$D$26+'AJUSTĂRI PE PRODUS'!$I$9+'AJUSTĂRI PE PRODUS'!$N$9</f>
        <v>15.75</v>
      </c>
      <c r="AG70" s="83">
        <f>BV70+SCENARIU!$C$26+SCENARIU!$D$26+'AJUSTĂRI PE PRODUS'!$J$9+'AJUSTĂRI PE PRODUS'!$O$9</f>
        <v>15.49</v>
      </c>
      <c r="AH70" s="86">
        <f>IF(AF70="",0,AF70/(1+$E70/100)*$F70)</f>
        <v>141579.7297297297</v>
      </c>
      <c r="AI70" s="86">
        <f>IF(AG70="",0,AG70/(1+$E70/100)*$G70)</f>
        <v>85097.315315315311</v>
      </c>
      <c r="AJ70" s="86">
        <f>AH70+AI70</f>
        <v>226677.04504504503</v>
      </c>
      <c r="AK70" s="87">
        <f>IF(OR(AJ70=0,$L70=0),"",$L70/AJ70)</f>
        <v>0.23991153478109431</v>
      </c>
      <c r="AL70" s="87">
        <f>IF(OR(AH70=0,$J70=0),"",$J70/AH70)</f>
        <v>0.23840924628571433</v>
      </c>
      <c r="AM70" s="87">
        <f>IF(OR(AI70=0,$K70=0),"",$K70/AI70)</f>
        <v>0.24241095087153003</v>
      </c>
      <c r="AN70" s="83">
        <f>BW70+SCENARIU!$C$26+SCENARIU!$D$26+SCENARIU!$E$26+'AJUSTĂRI PE PRODUS'!$I$9+'AJUSTĂRI PE PRODUS'!$N$9+'AJUSTĂRI PE PRODUS'!$S$9</f>
        <v>16</v>
      </c>
      <c r="AO70" s="83">
        <f>BX70+SCENARIU!$C$26+SCENARIU!$D$26+SCENARIU!$E$26+'AJUSTĂRI PE PRODUS'!$J$9+'AJUSTĂRI PE PRODUS'!$O$9+'AJUSTĂRI PE PRODUS'!$T$9</f>
        <v>15.65</v>
      </c>
      <c r="AP70" s="88">
        <f>IF(AN70="",0,AN70/(1+$E70/100)*$F70)</f>
        <v>143827.02702702701</v>
      </c>
      <c r="AQ70" s="88">
        <f>IF(AO70="",0,AO70/(1+$E70/100)*$G70)</f>
        <v>85976.306306306302</v>
      </c>
      <c r="AR70" s="88">
        <f>AP70+AQ70</f>
        <v>229803.33333333331</v>
      </c>
      <c r="AS70" s="89">
        <f>IF(OR(AR70=0,$L70=0),"",$L70/AR70)</f>
        <v>0.236647732596278</v>
      </c>
      <c r="AT70" s="89">
        <f>IF(OR(AP70=0,$J70=0),"",$J70/AP70)</f>
        <v>0.23468410181250005</v>
      </c>
      <c r="AU70" s="89">
        <f>IF(OR(AQ70=0,$K70=0),"",$K70/AQ70)</f>
        <v>0.23993262805111823</v>
      </c>
      <c r="AV70" s="83">
        <f>BY70+SCENARIU!$C$26+SCENARIU!$D$26+SCENARIU!$E$26+SCENARIU!$F$26+'AJUSTĂRI PE PRODUS'!$I$9+'AJUSTĂRI PE PRODUS'!$N$9+'AJUSTĂRI PE PRODUS'!$S$9+'AJUSTĂRI PE PRODUS'!$X$9</f>
        <v>16.989999999999998</v>
      </c>
      <c r="AW70" s="83">
        <f>BZ70+SCENARIU!$C$26+SCENARIU!$D$26+SCENARIU!$E$26+SCENARIU!$F$26+'AJUSTĂRI PE PRODUS'!$J$9+'AJUSTĂRI PE PRODUS'!$O$9+'AJUSTĂRI PE PRODUS'!$T$9+'AJUSTĂRI PE PRODUS'!$Y$9</f>
        <v>16.990000000000002</v>
      </c>
      <c r="AX70" s="90">
        <f>IF(AV70="",0,AV70/(1+$E70/100)*$F70)</f>
        <v>152726.32432432429</v>
      </c>
      <c r="AY70" s="90">
        <f>IF(AW70="",0,AW70/(1+$E70/100)*$G70)</f>
        <v>93337.855855855858</v>
      </c>
      <c r="AZ70" s="90">
        <f>AX70+AY70</f>
        <v>246064.18018018015</v>
      </c>
      <c r="BA70" s="91">
        <f>IF(OR(AZ70=0,$L70=0),"",$L70/AZ70)</f>
        <v>0.22100916003531493</v>
      </c>
      <c r="BB70" s="91">
        <f>IF(OR(AX70=0,$J70=0),"",$J70/AX70)</f>
        <v>0.22100916003531496</v>
      </c>
      <c r="BC70" s="91">
        <f>IF(OR(AY70=0,$K70=0),"",$K70/AY70)</f>
        <v>0.22100916003531487</v>
      </c>
      <c r="BD70" s="92">
        <f>IF(OR($N70="",P70=""),"",P70-$N70)</f>
        <v>0.5</v>
      </c>
      <c r="BE70" s="92">
        <f>IF(OR(P70="",X70=""),"",X70-P70)</f>
        <v>0.25</v>
      </c>
      <c r="BF70" s="92">
        <f>IF(OR(X70="",AF70=""),"",AF70-X70)</f>
        <v>0</v>
      </c>
      <c r="BG70" s="92">
        <f>IF(OR(AF70="",AN70=""),"",AN70-AF70)</f>
        <v>0.25</v>
      </c>
      <c r="BH70" s="92">
        <f>IF(OR(AN70="",AV70=""),"",AV70-AN70)</f>
        <v>0.98999999999999844</v>
      </c>
      <c r="BI70" s="93">
        <f>IF(OR($N70="",AV70=""),"",AV70-$N70)</f>
        <v>1.9899999999999984</v>
      </c>
      <c r="BJ70" s="92">
        <f>IF(OR($O70="",Q70=""),"",Q70-$O70)</f>
        <v>0.5</v>
      </c>
      <c r="BK70" s="92">
        <f>IF(OR(Q70="",Y70=""),"",Y70-Q70)</f>
        <v>1.3399999999999999</v>
      </c>
      <c r="BL70" s="92">
        <f>IF(OR(Y70="",AG70=""),"",AG70-Y70)</f>
        <v>0</v>
      </c>
      <c r="BM70" s="92">
        <f>IF(OR(AG70="",AO70=""),"",AO70-AG70)</f>
        <v>0.16000000000000014</v>
      </c>
      <c r="BN70" s="92">
        <f>IF(OR(AO70="",AW70=""),"",AW70-AO70)</f>
        <v>1.3400000000000016</v>
      </c>
      <c r="BO70" s="93">
        <f>IF(OR($O70="",AW70=""),"",AW70-$O70)</f>
        <v>3.3400000000000016</v>
      </c>
      <c r="BQ70">
        <v>15.5</v>
      </c>
      <c r="BR70">
        <v>14.15</v>
      </c>
      <c r="BS70">
        <v>15.75</v>
      </c>
      <c r="BT70">
        <v>14.49</v>
      </c>
      <c r="BU70">
        <v>15.75</v>
      </c>
      <c r="BV70">
        <v>14.49</v>
      </c>
      <c r="BW70">
        <v>16</v>
      </c>
      <c r="BX70">
        <v>14.65</v>
      </c>
      <c r="BY70">
        <v>16.989999999999998</v>
      </c>
      <c r="BZ70">
        <v>15.49</v>
      </c>
    </row>
    <row r="71" spans="1:78" x14ac:dyDescent="0.2">
      <c r="A71" s="26">
        <v>3</v>
      </c>
      <c r="B71" s="26" t="s">
        <v>153</v>
      </c>
      <c r="C71" s="26" t="s">
        <v>101</v>
      </c>
      <c r="D71" s="97">
        <v>0</v>
      </c>
      <c r="E71" s="75">
        <v>11</v>
      </c>
      <c r="F71" s="76">
        <v>0</v>
      </c>
      <c r="G71" s="76">
        <v>7800</v>
      </c>
      <c r="H71" s="77">
        <f>SUMIFS(RETETAR!$I$4:$I$967,RETETAR!$A$4:$A$967,$M71,RETETAR!$C$4:$C$967,"AMBELE")+SUMIFS(RETETAR!$I$4:$I$967,RETETAR!$A$4:$A$967,$M71,RETETAR!$C$4:$C$967,"INSTORE")</f>
        <v>3.7272218368000001</v>
      </c>
      <c r="I71" s="77">
        <f>SUMIFS(RETETAR!$I$4:$I$967,RETETAR!$A$4:$A$967,$M71,RETETAR!$C$4:$C$967,"AMBELE")+SUMIFS(RETETAR!$I$4:$I$967,RETETAR!$A$4:$A$967,$M71,RETETAR!$C$4:$C$967,"DELIVERY")</f>
        <v>3.7272218368000001</v>
      </c>
      <c r="J71" s="78">
        <f>$H71*$F71</f>
        <v>0</v>
      </c>
      <c r="K71" s="78">
        <f>$I71*$G71</f>
        <v>29072.330327039999</v>
      </c>
      <c r="L71" s="78">
        <f>$J71+$K71</f>
        <v>29072.330327039999</v>
      </c>
      <c r="M71" t="s">
        <v>142</v>
      </c>
      <c r="N71" s="79"/>
      <c r="O71" s="79">
        <v>14.99</v>
      </c>
      <c r="P71" s="80"/>
      <c r="Q71" s="80">
        <v>14.99</v>
      </c>
      <c r="R71" s="81">
        <f>IF(P71="",0,P71/(1+$E71/100)*$F71)</f>
        <v>0</v>
      </c>
      <c r="S71" s="81">
        <f>IF(Q71="",0,Q71/(1+$E71/100)*$G71)</f>
        <v>105335.13513513512</v>
      </c>
      <c r="T71" s="81">
        <f>R71+S71</f>
        <v>105335.13513513512</v>
      </c>
      <c r="U71" s="82">
        <f>IF(OR(T71=0,$L71=0),"",$L71/T71)</f>
        <v>0.27599841486644433</v>
      </c>
      <c r="V71" s="82" t="str">
        <f>IF(OR(R71=0,$J71=0),"",$J71/R71)</f>
        <v/>
      </c>
      <c r="W71" s="82">
        <f>IF(OR(S71=0,$K71=0),"",$K71/S71)</f>
        <v>0.27599841486644433</v>
      </c>
      <c r="X71" s="83"/>
      <c r="Y71" s="83"/>
      <c r="Z71" s="84">
        <f>IF(X71="",0,X71/(1+$E71/100)*$F71)</f>
        <v>0</v>
      </c>
      <c r="AA71" s="84">
        <f>IF(Y71="",0,Y71/(1+$E71/100)*$G71)</f>
        <v>0</v>
      </c>
      <c r="AB71" s="84">
        <f>Z71+AA71</f>
        <v>0</v>
      </c>
      <c r="AC71" s="85" t="str">
        <f>IF(OR(AB71=0,$L71=0),"",$L71/AB71)</f>
        <v/>
      </c>
      <c r="AD71" s="85" t="str">
        <f>IF(OR(Z71=0,$J71=0),"",$J71/Z71)</f>
        <v/>
      </c>
      <c r="AE71" s="85" t="str">
        <f>IF(OR(AA71=0,$K71=0),"",$K71/AA71)</f>
        <v/>
      </c>
      <c r="AF71" s="83"/>
      <c r="AG71" s="83"/>
      <c r="AH71" s="86">
        <f>IF(AF71="",0,AF71/(1+$E71/100)*$F71)</f>
        <v>0</v>
      </c>
      <c r="AI71" s="86">
        <f>IF(AG71="",0,AG71/(1+$E71/100)*$G71)</f>
        <v>0</v>
      </c>
      <c r="AJ71" s="86">
        <f>AH71+AI71</f>
        <v>0</v>
      </c>
      <c r="AK71" s="87" t="str">
        <f>IF(OR(AJ71=0,$L71=0),"",$L71/AJ71)</f>
        <v/>
      </c>
      <c r="AL71" s="87" t="str">
        <f>IF(OR(AH71=0,$J71=0),"",$J71/AH71)</f>
        <v/>
      </c>
      <c r="AM71" s="87" t="str">
        <f>IF(OR(AI71=0,$K71=0),"",$K71/AI71)</f>
        <v/>
      </c>
      <c r="AN71" s="83"/>
      <c r="AO71" s="83"/>
      <c r="AP71" s="88">
        <f>IF(AN71="",0,AN71/(1+$E71/100)*$F71)</f>
        <v>0</v>
      </c>
      <c r="AQ71" s="88">
        <f>IF(AO71="",0,AO71/(1+$E71/100)*$G71)</f>
        <v>0</v>
      </c>
      <c r="AR71" s="88">
        <f>AP71+AQ71</f>
        <v>0</v>
      </c>
      <c r="AS71" s="89" t="str">
        <f>IF(OR(AR71=0,$L71=0),"",$L71/AR71)</f>
        <v/>
      </c>
      <c r="AT71" s="89" t="str">
        <f>IF(OR(AP71=0,$J71=0),"",$J71/AP71)</f>
        <v/>
      </c>
      <c r="AU71" s="89" t="str">
        <f>IF(OR(AQ71=0,$K71=0),"",$K71/AQ71)</f>
        <v/>
      </c>
      <c r="AV71" s="83"/>
      <c r="AW71" s="83"/>
      <c r="AX71" s="90">
        <f>IF(AV71="",0,AV71/(1+$E71/100)*$F71)</f>
        <v>0</v>
      </c>
      <c r="AY71" s="90">
        <f>IF(AW71="",0,AW71/(1+$E71/100)*$G71)</f>
        <v>0</v>
      </c>
      <c r="AZ71" s="90">
        <f>AX71+AY71</f>
        <v>0</v>
      </c>
      <c r="BA71" s="91" t="str">
        <f>IF(OR(AZ71=0,$L71=0),"",$L71/AZ71)</f>
        <v/>
      </c>
      <c r="BB71" s="91" t="str">
        <f>IF(OR(AX71=0,$J71=0),"",$J71/AX71)</f>
        <v/>
      </c>
      <c r="BC71" s="91" t="str">
        <f>IF(OR(AY71=0,$K71=0),"",$K71/AY71)</f>
        <v/>
      </c>
      <c r="BD71" s="92" t="str">
        <f>IF(OR($N71="",P71=""),"",P71-$N71)</f>
        <v/>
      </c>
      <c r="BE71" s="92" t="str">
        <f>IF(OR(P71="",X71=""),"",X71-P71)</f>
        <v/>
      </c>
      <c r="BF71" s="92" t="str">
        <f>IF(OR(X71="",AF71=""),"",AF71-X71)</f>
        <v/>
      </c>
      <c r="BG71" s="92" t="str">
        <f>IF(OR(AF71="",AN71=""),"",AN71-AF71)</f>
        <v/>
      </c>
      <c r="BH71" s="92" t="str">
        <f>IF(OR(AN71="",AV71=""),"",AV71-AN71)</f>
        <v/>
      </c>
      <c r="BI71" s="93" t="str">
        <f>IF(OR($N71="",AV71=""),"",AV71-$N71)</f>
        <v/>
      </c>
      <c r="BJ71" s="92">
        <f>IF(OR($O71="",Q71=""),"",Q71-$O71)</f>
        <v>0</v>
      </c>
      <c r="BK71" s="92" t="str">
        <f>IF(OR(Q71="",Y71=""),"",Y71-Q71)</f>
        <v/>
      </c>
      <c r="BL71" s="92" t="str">
        <f>IF(OR(Y71="",AG71=""),"",AG71-Y71)</f>
        <v/>
      </c>
      <c r="BM71" s="92" t="str">
        <f>IF(OR(AG71="",AO71=""),"",AO71-AG71)</f>
        <v/>
      </c>
      <c r="BN71" s="92" t="str">
        <f>IF(OR(AO71="",AW71=""),"",AW71-AO71)</f>
        <v/>
      </c>
      <c r="BO71" s="93" t="str">
        <f>IF(OR($O71="",AW71=""),"",AW71-$O71)</f>
        <v/>
      </c>
      <c r="BR71">
        <v>14.99</v>
      </c>
    </row>
    <row r="72" spans="1:78" x14ac:dyDescent="0.2">
      <c r="A72" s="26">
        <v>4</v>
      </c>
      <c r="B72" s="26" t="s">
        <v>159</v>
      </c>
      <c r="C72" s="26" t="s">
        <v>101</v>
      </c>
      <c r="D72" s="74">
        <v>2</v>
      </c>
      <c r="E72" s="75">
        <v>11</v>
      </c>
      <c r="F72" s="76">
        <v>0</v>
      </c>
      <c r="G72" s="76">
        <v>6000</v>
      </c>
      <c r="H72" s="77">
        <f>SUMIFS(RETETAR!$I$4:$I$967,RETETAR!$A$4:$A$967,$M72,RETETAR!$C$4:$C$967,"AMBELE")+SUMIFS(RETETAR!$I$4:$I$967,RETETAR!$A$4:$A$967,$M72,RETETAR!$C$4:$C$967,"INSTORE")</f>
        <v>3.7272218368000001</v>
      </c>
      <c r="I72" s="77">
        <f>SUMIFS(RETETAR!$I$4:$I$967,RETETAR!$A$4:$A$967,$M72,RETETAR!$C$4:$C$967,"AMBELE")+SUMIFS(RETETAR!$I$4:$I$967,RETETAR!$A$4:$A$967,$M72,RETETAR!$C$4:$C$967,"DELIVERY")</f>
        <v>3.7272218368000001</v>
      </c>
      <c r="J72" s="78">
        <f>$H72*$F72</f>
        <v>0</v>
      </c>
      <c r="K72" s="78">
        <f>$I72*$G72</f>
        <v>22363.3310208</v>
      </c>
      <c r="L72" s="78">
        <f>$J72+$K72</f>
        <v>22363.3310208</v>
      </c>
      <c r="M72" t="s">
        <v>142</v>
      </c>
      <c r="N72" s="79"/>
      <c r="O72" s="79">
        <v>14.99</v>
      </c>
      <c r="P72" s="80"/>
      <c r="Q72" s="80">
        <v>14.99</v>
      </c>
      <c r="R72" s="81">
        <f>IF(P72="",0,P72/(1+$E72/100)*$F72)</f>
        <v>0</v>
      </c>
      <c r="S72" s="81">
        <f>IF(Q72="",0,Q72/(1+$E72/100)*$G72)</f>
        <v>81027.027027027012</v>
      </c>
      <c r="T72" s="81">
        <f>R72+S72</f>
        <v>81027.027027027012</v>
      </c>
      <c r="U72" s="82">
        <f>IF(OR(T72=0,$L72=0),"",$L72/T72)</f>
        <v>0.27599841486644433</v>
      </c>
      <c r="V72" s="82" t="str">
        <f>IF(OR(R72=0,$J72=0),"",$J72/R72)</f>
        <v/>
      </c>
      <c r="W72" s="82">
        <f>IF(OR(S72=0,$K72=0),"",$K72/S72)</f>
        <v>0.27599841486644433</v>
      </c>
      <c r="X72" s="83"/>
      <c r="Y72" s="83">
        <f>BT72+SCENARIU!$C$26+'AJUSTĂRI PE PRODUS'!$J$202</f>
        <v>15.49</v>
      </c>
      <c r="Z72" s="84">
        <f>IF(X72="",0,X72/(1+$E72/100)*$F72)</f>
        <v>0</v>
      </c>
      <c r="AA72" s="84">
        <f>IF(Y72="",0,Y72/(1+$E72/100)*$G72)</f>
        <v>83729.729729729719</v>
      </c>
      <c r="AB72" s="84">
        <f>Z72+AA72</f>
        <v>83729.729729729719</v>
      </c>
      <c r="AC72" s="85">
        <f>IF(OR(AB72=0,$L72=0),"",$L72/AB72)</f>
        <v>0.26708949250148489</v>
      </c>
      <c r="AD72" s="85" t="str">
        <f>IF(OR(Z72=0,$J72=0),"",$J72/Z72)</f>
        <v/>
      </c>
      <c r="AE72" s="85">
        <f>IF(OR(AA72=0,$K72=0),"",$K72/AA72)</f>
        <v>0.26708949250148489</v>
      </c>
      <c r="AF72" s="83"/>
      <c r="AG72" s="83">
        <f>BV72+SCENARIU!$C$26+SCENARIU!$D$26+'AJUSTĂRI PE PRODUS'!$J$202+'AJUSTĂRI PE PRODUS'!$O$202</f>
        <v>15.49</v>
      </c>
      <c r="AH72" s="86">
        <f>IF(AF72="",0,AF72/(1+$E72/100)*$F72)</f>
        <v>0</v>
      </c>
      <c r="AI72" s="86">
        <f>IF(AG72="",0,AG72/(1+$E72/100)*$G72)</f>
        <v>83729.729729729719</v>
      </c>
      <c r="AJ72" s="86">
        <f>AH72+AI72</f>
        <v>83729.729729729719</v>
      </c>
      <c r="AK72" s="87">
        <f>IF(OR(AJ72=0,$L72=0),"",$L72/AJ72)</f>
        <v>0.26708949250148489</v>
      </c>
      <c r="AL72" s="87" t="str">
        <f>IF(OR(AH72=0,$J72=0),"",$J72/AH72)</f>
        <v/>
      </c>
      <c r="AM72" s="87">
        <f>IF(OR(AI72=0,$K72=0),"",$K72/AI72)</f>
        <v>0.26708949250148489</v>
      </c>
      <c r="AN72" s="83"/>
      <c r="AO72" s="83">
        <f>BX72+SCENARIU!$C$26+SCENARIU!$D$26+SCENARIU!$E$26+'AJUSTĂRI PE PRODUS'!$J$202+'AJUSTĂRI PE PRODUS'!$O$202+'AJUSTĂRI PE PRODUS'!$T$202</f>
        <v>15.49</v>
      </c>
      <c r="AP72" s="88">
        <f>IF(AN72="",0,AN72/(1+$E72/100)*$F72)</f>
        <v>0</v>
      </c>
      <c r="AQ72" s="88">
        <f>IF(AO72="",0,AO72/(1+$E72/100)*$G72)</f>
        <v>83729.729729729719</v>
      </c>
      <c r="AR72" s="88">
        <f>AP72+AQ72</f>
        <v>83729.729729729719</v>
      </c>
      <c r="AS72" s="89">
        <f>IF(OR(AR72=0,$L72=0),"",$L72/AR72)</f>
        <v>0.26708949250148489</v>
      </c>
      <c r="AT72" s="89" t="str">
        <f>IF(OR(AP72=0,$J72=0),"",$J72/AP72)</f>
        <v/>
      </c>
      <c r="AU72" s="89">
        <f>IF(OR(AQ72=0,$K72=0),"",$K72/AQ72)</f>
        <v>0.26708949250148489</v>
      </c>
      <c r="AV72" s="83"/>
      <c r="AW72" s="83">
        <f>BZ72+SCENARIU!$C$26+SCENARIU!$D$26+SCENARIU!$E$26+SCENARIU!$F$26+'AJUSTĂRI PE PRODUS'!$J$202+'AJUSTĂRI PE PRODUS'!$O$202+'AJUSTĂRI PE PRODUS'!$T$202+'AJUSTĂRI PE PRODUS'!$Y$202</f>
        <v>16.489999999999998</v>
      </c>
      <c r="AX72" s="90">
        <f>IF(AV72="",0,AV72/(1+$E72/100)*$F72)</f>
        <v>0</v>
      </c>
      <c r="AY72" s="90">
        <f>IF(AW72="",0,AW72/(1+$E72/100)*$G72)</f>
        <v>89135.135135135119</v>
      </c>
      <c r="AZ72" s="90">
        <f>AX72+AY72</f>
        <v>89135.135135135119</v>
      </c>
      <c r="BA72" s="91">
        <f>IF(OR(AZ72=0,$L72=0),"",$L72/AZ72)</f>
        <v>0.25089243413268653</v>
      </c>
      <c r="BB72" s="91" t="str">
        <f>IF(OR(AX72=0,$J72=0),"",$J72/AX72)</f>
        <v/>
      </c>
      <c r="BC72" s="91">
        <f>IF(OR(AY72=0,$K72=0),"",$K72/AY72)</f>
        <v>0.25089243413268653</v>
      </c>
      <c r="BD72" s="92" t="str">
        <f>IF(OR($N72="",P72=""),"",P72-$N72)</f>
        <v/>
      </c>
      <c r="BE72" s="92" t="str">
        <f>IF(OR(P72="",X72=""),"",X72-P72)</f>
        <v/>
      </c>
      <c r="BF72" s="92" t="str">
        <f>IF(OR(X72="",AF72=""),"",AF72-X72)</f>
        <v/>
      </c>
      <c r="BG72" s="92" t="str">
        <f>IF(OR(AF72="",AN72=""),"",AN72-AF72)</f>
        <v/>
      </c>
      <c r="BH72" s="92" t="str">
        <f>IF(OR(AN72="",AV72=""),"",AV72-AN72)</f>
        <v/>
      </c>
      <c r="BI72" s="93" t="str">
        <f>IF(OR($N72="",AV72=""),"",AV72-$N72)</f>
        <v/>
      </c>
      <c r="BJ72" s="92">
        <f>IF(OR($O72="",Q72=""),"",Q72-$O72)</f>
        <v>0</v>
      </c>
      <c r="BK72" s="92">
        <f>IF(OR(Q72="",Y72=""),"",Y72-Q72)</f>
        <v>0.5</v>
      </c>
      <c r="BL72" s="92">
        <f>IF(OR(Y72="",AG72=""),"",AG72-Y72)</f>
        <v>0</v>
      </c>
      <c r="BM72" s="92">
        <f>IF(OR(AG72="",AO72=""),"",AO72-AG72)</f>
        <v>0</v>
      </c>
      <c r="BN72" s="92">
        <f>IF(OR(AO72="",AW72=""),"",AW72-AO72)</f>
        <v>0.99999999999999822</v>
      </c>
      <c r="BO72" s="93">
        <f>IF(OR($O72="",AW72=""),"",AW72-$O72)</f>
        <v>1.4999999999999982</v>
      </c>
      <c r="BR72">
        <v>14.99</v>
      </c>
      <c r="BT72">
        <v>15.49</v>
      </c>
      <c r="BV72">
        <v>15.49</v>
      </c>
      <c r="BX72">
        <v>15.49</v>
      </c>
      <c r="BZ72">
        <v>16.489999999999998</v>
      </c>
    </row>
    <row r="73" spans="1:78" x14ac:dyDescent="0.2">
      <c r="A73" s="94" t="s">
        <v>438</v>
      </c>
      <c r="B73" s="95"/>
      <c r="C73" s="95"/>
      <c r="D73" s="95"/>
      <c r="E73" s="95"/>
      <c r="F73" s="95"/>
      <c r="G73" s="95"/>
      <c r="H73" s="95"/>
      <c r="I73" s="95"/>
      <c r="J73" s="95"/>
      <c r="K73" s="95"/>
      <c r="L73" s="96">
        <f>SUM(L69:L72)</f>
        <v>287419.52867864643</v>
      </c>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5"/>
      <c r="AT73" s="95"/>
      <c r="AU73" s="95"/>
      <c r="AV73" s="95"/>
      <c r="AW73" s="95"/>
      <c r="AX73" s="95"/>
      <c r="AY73" s="95"/>
      <c r="AZ73" s="95"/>
      <c r="BA73" s="95"/>
      <c r="BB73" s="95"/>
      <c r="BC73" s="95"/>
      <c r="BD73" s="95"/>
      <c r="BE73" s="95"/>
      <c r="BF73" s="95"/>
      <c r="BG73" s="95"/>
      <c r="BH73" s="95"/>
      <c r="BI73" s="95"/>
      <c r="BJ73" s="95"/>
      <c r="BK73" s="95"/>
      <c r="BL73" s="95"/>
      <c r="BM73" s="95"/>
      <c r="BN73" s="95"/>
      <c r="BO73" s="95"/>
    </row>
    <row r="74" spans="1:78" x14ac:dyDescent="0.2">
      <c r="A74" s="72" t="s">
        <v>102</v>
      </c>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78" x14ac:dyDescent="0.2">
      <c r="A75" s="26">
        <v>1</v>
      </c>
      <c r="B75" s="26" t="s">
        <v>151</v>
      </c>
      <c r="C75" s="26" t="s">
        <v>102</v>
      </c>
      <c r="D75" s="74">
        <v>1</v>
      </c>
      <c r="E75" s="75">
        <v>11</v>
      </c>
      <c r="F75" s="76">
        <v>6426</v>
      </c>
      <c r="G75" s="76">
        <v>2882</v>
      </c>
      <c r="H75" s="77">
        <f>SUMIFS(RETETAR!$I$4:$I$967,RETETAR!$A$4:$A$967,$M75,RETETAR!$C$4:$C$967,"AMBELE")+SUMIFS(RETETAR!$I$4:$I$967,RETETAR!$A$4:$A$967,$M75,RETETAR!$C$4:$C$967,"INSTORE")</f>
        <v>4.8922099999999995</v>
      </c>
      <c r="I75" s="77">
        <f>SUMIFS(RETETAR!$I$4:$I$967,RETETAR!$A$4:$A$967,$M75,RETETAR!$C$4:$C$967,"AMBELE")+SUMIFS(RETETAR!$I$4:$I$967,RETETAR!$A$4:$A$967,$M75,RETETAR!$C$4:$C$967,"DELIVERY")</f>
        <v>4.8922099999999995</v>
      </c>
      <c r="J75" s="78">
        <f t="shared" ref="J75:J90" si="180">$H75*$F75</f>
        <v>31437.341459999996</v>
      </c>
      <c r="K75" s="78">
        <f t="shared" ref="K75:K90" si="181">$I75*$G75</f>
        <v>14099.349219999998</v>
      </c>
      <c r="L75" s="78">
        <f t="shared" ref="L75:L90" si="182">$J75+$K75</f>
        <v>45536.690679999992</v>
      </c>
      <c r="M75" t="s">
        <v>151</v>
      </c>
      <c r="N75" s="79">
        <v>13.98</v>
      </c>
      <c r="O75" s="79">
        <v>13.98</v>
      </c>
      <c r="P75" s="80">
        <v>14.08</v>
      </c>
      <c r="Q75" s="80">
        <v>14.08</v>
      </c>
      <c r="R75" s="81">
        <f t="shared" ref="R75:R90" si="183">IF(P75="",0,P75/(1+$E75/100)*$F75)</f>
        <v>81511.783783783772</v>
      </c>
      <c r="S75" s="81">
        <f t="shared" ref="S75:S90" si="184">IF(Q75="",0,Q75/(1+$E75/100)*$G75)</f>
        <v>36557.261261261257</v>
      </c>
      <c r="T75" s="81">
        <f t="shared" ref="T75:T90" si="185">R75+S75</f>
        <v>118069.04504504503</v>
      </c>
      <c r="U75" s="82">
        <f t="shared" ref="U75:U90" si="186">IF(OR(T75=0,$L75=0),"",$L75/T75)</f>
        <v>0.38567848721590908</v>
      </c>
      <c r="V75" s="82">
        <f t="shared" ref="V75:V90" si="187">IF(OR(R75=0,$J75=0),"",$J75/R75)</f>
        <v>0.38567848721590908</v>
      </c>
      <c r="W75" s="82">
        <f t="shared" ref="W75:W90" si="188">IF(OR(S75=0,$K75=0),"",$K75/S75)</f>
        <v>0.38567848721590908</v>
      </c>
      <c r="X75" s="83">
        <f>BS75+SCENARIU!$C$27+'AJUSTĂRI PE PRODUS'!$I$15</f>
        <v>14.28</v>
      </c>
      <c r="Y75" s="83">
        <f>BT75+SCENARIU!$C$27+'AJUSTĂRI PE PRODUS'!$J$15</f>
        <v>14.28</v>
      </c>
      <c r="Z75" s="84">
        <f t="shared" ref="Z75:Z90" si="189">IF(X75="",0,X75/(1+$E75/100)*$F75)</f>
        <v>82669.621621621613</v>
      </c>
      <c r="AA75" s="84">
        <f t="shared" ref="AA75:AA90" si="190">IF(Y75="",0,Y75/(1+$E75/100)*$G75)</f>
        <v>37076.540540540533</v>
      </c>
      <c r="AB75" s="84">
        <f t="shared" ref="AB75:AB90" si="191">Z75+AA75</f>
        <v>119746.16216216215</v>
      </c>
      <c r="AC75" s="85">
        <f t="shared" ref="AC75:AC90" si="192">IF(OR(AB75=0,$L75=0),"",$L75/AB75)</f>
        <v>0.38027682773109245</v>
      </c>
      <c r="AD75" s="85">
        <f t="shared" ref="AD75:AD90" si="193">IF(OR(Z75=0,$J75=0),"",$J75/Z75)</f>
        <v>0.38027682773109245</v>
      </c>
      <c r="AE75" s="85">
        <f t="shared" ref="AE75:AE90" si="194">IF(OR(AA75=0,$K75=0),"",$K75/AA75)</f>
        <v>0.38027682773109245</v>
      </c>
      <c r="AF75" s="83">
        <f>BU75+SCENARIU!$C$27+SCENARIU!$D$27+'AJUSTĂRI PE PRODUS'!$I$15+'AJUSTĂRI PE PRODUS'!$N$15</f>
        <v>14.28</v>
      </c>
      <c r="AG75" s="83">
        <f>BV75+SCENARIU!$C$27+SCENARIU!$D$27+'AJUSTĂRI PE PRODUS'!$J$15+'AJUSTĂRI PE PRODUS'!$O$15</f>
        <v>14.28</v>
      </c>
      <c r="AH75" s="86">
        <f t="shared" ref="AH75:AH90" si="195">IF(AF75="",0,AF75/(1+$E75/100)*$F75)</f>
        <v>82669.621621621613</v>
      </c>
      <c r="AI75" s="86">
        <f t="shared" ref="AI75:AI90" si="196">IF(AG75="",0,AG75/(1+$E75/100)*$G75)</f>
        <v>37076.540540540533</v>
      </c>
      <c r="AJ75" s="86">
        <f t="shared" ref="AJ75:AJ90" si="197">AH75+AI75</f>
        <v>119746.16216216215</v>
      </c>
      <c r="AK75" s="87">
        <f t="shared" ref="AK75:AK90" si="198">IF(OR(AJ75=0,$L75=0),"",$L75/AJ75)</f>
        <v>0.38027682773109245</v>
      </c>
      <c r="AL75" s="87">
        <f t="shared" ref="AL75:AL90" si="199">IF(OR(AH75=0,$J75=0),"",$J75/AH75)</f>
        <v>0.38027682773109245</v>
      </c>
      <c r="AM75" s="87">
        <f t="shared" ref="AM75:AM90" si="200">IF(OR(AI75=0,$K75=0),"",$K75/AI75)</f>
        <v>0.38027682773109245</v>
      </c>
      <c r="AN75" s="83">
        <f>BW75+SCENARIU!$C$27+SCENARIU!$D$27+SCENARIU!$E$27+'AJUSTĂRI PE PRODUS'!$I$15+'AJUSTĂRI PE PRODUS'!$N$15+'AJUSTĂRI PE PRODUS'!$S$15</f>
        <v>14.28</v>
      </c>
      <c r="AO75" s="83">
        <f>BX75+SCENARIU!$C$27+SCENARIU!$D$27+SCENARIU!$E$27+'AJUSTĂRI PE PRODUS'!$J$15+'AJUSTĂRI PE PRODUS'!$O$15+'AJUSTĂRI PE PRODUS'!$T$15</f>
        <v>14.28</v>
      </c>
      <c r="AP75" s="88">
        <f t="shared" ref="AP75:AP90" si="201">IF(AN75="",0,AN75/(1+$E75/100)*$F75)</f>
        <v>82669.621621621613</v>
      </c>
      <c r="AQ75" s="88">
        <f t="shared" ref="AQ75:AQ90" si="202">IF(AO75="",0,AO75/(1+$E75/100)*$G75)</f>
        <v>37076.540540540533</v>
      </c>
      <c r="AR75" s="88">
        <f t="shared" ref="AR75:AR90" si="203">AP75+AQ75</f>
        <v>119746.16216216215</v>
      </c>
      <c r="AS75" s="89">
        <f t="shared" ref="AS75:AS90" si="204">IF(OR(AR75=0,$L75=0),"",$L75/AR75)</f>
        <v>0.38027682773109245</v>
      </c>
      <c r="AT75" s="89">
        <f t="shared" ref="AT75:AT90" si="205">IF(OR(AP75=0,$J75=0),"",$J75/AP75)</f>
        <v>0.38027682773109245</v>
      </c>
      <c r="AU75" s="89">
        <f t="shared" ref="AU75:AU90" si="206">IF(OR(AQ75=0,$K75=0),"",$K75/AQ75)</f>
        <v>0.38027682773109245</v>
      </c>
      <c r="AV75" s="83">
        <f>BY75+SCENARIU!$C$27+SCENARIU!$D$27+SCENARIU!$E$27+SCENARIU!$F$27+'AJUSTĂRI PE PRODUS'!$I$15+'AJUSTĂRI PE PRODUS'!$N$15+'AJUSTĂRI PE PRODUS'!$S$15+'AJUSTĂRI PE PRODUS'!$X$15</f>
        <v>14.49</v>
      </c>
      <c r="AW75" s="83">
        <f>BZ75+SCENARIU!$C$27+SCENARIU!$D$27+SCENARIU!$E$27+SCENARIU!$F$27+'AJUSTĂRI PE PRODUS'!$J$15+'AJUSTĂRI PE PRODUS'!$O$15+'AJUSTĂRI PE PRODUS'!$T$15+'AJUSTĂRI PE PRODUS'!$Y$15</f>
        <v>14.49</v>
      </c>
      <c r="AX75" s="90">
        <f t="shared" ref="AX75:AX90" si="207">IF(AV75="",0,AV75/(1+$E75/100)*$F75)</f>
        <v>83885.351351351346</v>
      </c>
      <c r="AY75" s="90">
        <f t="shared" ref="AY75:AY90" si="208">IF(AW75="",0,AW75/(1+$E75/100)*$G75)</f>
        <v>37621.78378378378</v>
      </c>
      <c r="AZ75" s="90">
        <f t="shared" ref="AZ75:AZ90" si="209">AX75+AY75</f>
        <v>121507.13513513512</v>
      </c>
      <c r="BA75" s="91">
        <f t="shared" ref="BA75:BA90" si="210">IF(OR(AZ75=0,$L75=0),"",$L75/AZ75)</f>
        <v>0.37476556935817806</v>
      </c>
      <c r="BB75" s="91">
        <f t="shared" ref="BB75:BB90" si="211">IF(OR(AX75=0,$J75=0),"",$J75/AX75)</f>
        <v>0.37476556935817801</v>
      </c>
      <c r="BC75" s="91">
        <f t="shared" ref="BC75:BC90" si="212">IF(OR(AY75=0,$K75=0),"",$K75/AY75)</f>
        <v>0.37476556935817806</v>
      </c>
      <c r="BD75" s="92">
        <f t="shared" ref="BD75:BD90" si="213">IF(OR($N75="",P75=""),"",P75-$N75)</f>
        <v>9.9999999999999645E-2</v>
      </c>
      <c r="BE75" s="92">
        <f t="shared" ref="BE75:BE90" si="214">IF(OR(P75="",X75=""),"",X75-P75)</f>
        <v>0.19999999999999929</v>
      </c>
      <c r="BF75" s="92">
        <f t="shared" ref="BF75:BF90" si="215">IF(OR(X75="",AF75=""),"",AF75-X75)</f>
        <v>0</v>
      </c>
      <c r="BG75" s="92">
        <f t="shared" ref="BG75:BG90" si="216">IF(OR(AF75="",AN75=""),"",AN75-AF75)</f>
        <v>0</v>
      </c>
      <c r="BH75" s="92">
        <f t="shared" ref="BH75:BH90" si="217">IF(OR(AN75="",AV75=""),"",AV75-AN75)</f>
        <v>0.21000000000000085</v>
      </c>
      <c r="BI75" s="93">
        <f t="shared" ref="BI75:BI90" si="218">IF(OR($N75="",AV75=""),"",AV75-$N75)</f>
        <v>0.50999999999999979</v>
      </c>
      <c r="BJ75" s="92">
        <f t="shared" ref="BJ75:BJ90" si="219">IF(OR($O75="",Q75=""),"",Q75-$O75)</f>
        <v>9.9999999999999645E-2</v>
      </c>
      <c r="BK75" s="92">
        <f t="shared" ref="BK75:BK90" si="220">IF(OR(Q75="",Y75=""),"",Y75-Q75)</f>
        <v>0.19999999999999929</v>
      </c>
      <c r="BL75" s="92">
        <f t="shared" ref="BL75:BL90" si="221">IF(OR(Y75="",AG75=""),"",AG75-Y75)</f>
        <v>0</v>
      </c>
      <c r="BM75" s="92">
        <f t="shared" ref="BM75:BM90" si="222">IF(OR(AG75="",AO75=""),"",AO75-AG75)</f>
        <v>0</v>
      </c>
      <c r="BN75" s="92">
        <f t="shared" ref="BN75:BN90" si="223">IF(OR(AO75="",AW75=""),"",AW75-AO75)</f>
        <v>0.21000000000000085</v>
      </c>
      <c r="BO75" s="93">
        <f t="shared" ref="BO75:BO90" si="224">IF(OR($O75="",AW75=""),"",AW75-$O75)</f>
        <v>0.50999999999999979</v>
      </c>
      <c r="BQ75">
        <v>14.08</v>
      </c>
      <c r="BR75">
        <v>14.08</v>
      </c>
      <c r="BS75">
        <v>14.28</v>
      </c>
      <c r="BT75">
        <v>14.28</v>
      </c>
      <c r="BU75">
        <v>14.28</v>
      </c>
      <c r="BV75">
        <v>14.28</v>
      </c>
      <c r="BW75">
        <v>14.28</v>
      </c>
      <c r="BX75">
        <v>14.28</v>
      </c>
      <c r="BY75">
        <v>14.49</v>
      </c>
      <c r="BZ75">
        <v>14.49</v>
      </c>
    </row>
    <row r="76" spans="1:78" x14ac:dyDescent="0.2">
      <c r="A76" s="26">
        <v>2</v>
      </c>
      <c r="B76" s="26" t="s">
        <v>152</v>
      </c>
      <c r="C76" s="26" t="s">
        <v>102</v>
      </c>
      <c r="D76" s="74">
        <v>1</v>
      </c>
      <c r="E76" s="75">
        <v>11</v>
      </c>
      <c r="F76" s="76">
        <v>6337</v>
      </c>
      <c r="G76" s="76">
        <v>2549</v>
      </c>
      <c r="H76" s="77">
        <f>SUMIFS(RETETAR!$I$4:$I$967,RETETAR!$A$4:$A$967,$M76,RETETAR!$C$4:$C$967,"AMBELE")+SUMIFS(RETETAR!$I$4:$I$967,RETETAR!$A$4:$A$967,$M76,RETETAR!$C$4:$C$967,"INSTORE")</f>
        <v>2.99838</v>
      </c>
      <c r="I76" s="77">
        <f>SUMIFS(RETETAR!$I$4:$I$967,RETETAR!$A$4:$A$967,$M76,RETETAR!$C$4:$C$967,"AMBELE")+SUMIFS(RETETAR!$I$4:$I$967,RETETAR!$A$4:$A$967,$M76,RETETAR!$C$4:$C$967,"DELIVERY")</f>
        <v>2.99838</v>
      </c>
      <c r="J76" s="78">
        <f t="shared" si="180"/>
        <v>19000.734059999999</v>
      </c>
      <c r="K76" s="78">
        <f t="shared" si="181"/>
        <v>7642.8706199999997</v>
      </c>
      <c r="L76" s="78">
        <f t="shared" si="182"/>
        <v>26643.604679999997</v>
      </c>
      <c r="M76" t="s">
        <v>152</v>
      </c>
      <c r="N76" s="79">
        <v>13.98</v>
      </c>
      <c r="O76" s="79">
        <v>13.98</v>
      </c>
      <c r="P76" s="80">
        <v>14.08</v>
      </c>
      <c r="Q76" s="80">
        <v>14.08</v>
      </c>
      <c r="R76" s="81">
        <f t="shared" si="183"/>
        <v>80382.846846846835</v>
      </c>
      <c r="S76" s="81">
        <f t="shared" si="184"/>
        <v>32333.261261261257</v>
      </c>
      <c r="T76" s="81">
        <f t="shared" si="185"/>
        <v>112716.10810810809</v>
      </c>
      <c r="U76" s="82">
        <f t="shared" si="186"/>
        <v>0.23637796875</v>
      </c>
      <c r="V76" s="82">
        <f t="shared" si="187"/>
        <v>0.23637796875000003</v>
      </c>
      <c r="W76" s="82">
        <f t="shared" si="188"/>
        <v>0.23637796875000003</v>
      </c>
      <c r="X76" s="83">
        <f>BS76+SCENARIU!$C$27+'AJUSTĂRI PE PRODUS'!$I$17</f>
        <v>14.28</v>
      </c>
      <c r="Y76" s="83">
        <f>BT76+SCENARIU!$C$27+'AJUSTĂRI PE PRODUS'!$J$17</f>
        <v>14.28</v>
      </c>
      <c r="Z76" s="84">
        <f t="shared" si="189"/>
        <v>81524.648648648639</v>
      </c>
      <c r="AA76" s="84">
        <f t="shared" si="190"/>
        <v>32792.540540540533</v>
      </c>
      <c r="AB76" s="84">
        <f t="shared" si="191"/>
        <v>114317.18918918917</v>
      </c>
      <c r="AC76" s="85">
        <f t="shared" si="192"/>
        <v>0.23306735294117648</v>
      </c>
      <c r="AD76" s="85">
        <f t="shared" si="193"/>
        <v>0.23306735294117648</v>
      </c>
      <c r="AE76" s="85">
        <f t="shared" si="194"/>
        <v>0.2330673529411765</v>
      </c>
      <c r="AF76" s="83">
        <f>BU76+SCENARIU!$C$27+SCENARIU!$D$27+'AJUSTĂRI PE PRODUS'!$I$17+'AJUSTĂRI PE PRODUS'!$N$17</f>
        <v>14.28</v>
      </c>
      <c r="AG76" s="83">
        <f>BV76+SCENARIU!$C$27+SCENARIU!$D$27+'AJUSTĂRI PE PRODUS'!$J$17+'AJUSTĂRI PE PRODUS'!$O$17</f>
        <v>14.28</v>
      </c>
      <c r="AH76" s="86">
        <f t="shared" si="195"/>
        <v>81524.648648648639</v>
      </c>
      <c r="AI76" s="86">
        <f t="shared" si="196"/>
        <v>32792.540540540533</v>
      </c>
      <c r="AJ76" s="86">
        <f t="shared" si="197"/>
        <v>114317.18918918917</v>
      </c>
      <c r="AK76" s="87">
        <f t="shared" si="198"/>
        <v>0.23306735294117648</v>
      </c>
      <c r="AL76" s="87">
        <f t="shared" si="199"/>
        <v>0.23306735294117648</v>
      </c>
      <c r="AM76" s="87">
        <f t="shared" si="200"/>
        <v>0.2330673529411765</v>
      </c>
      <c r="AN76" s="83">
        <f>BW76+SCENARIU!$C$27+SCENARIU!$D$27+SCENARIU!$E$27+'AJUSTĂRI PE PRODUS'!$I$17+'AJUSTĂRI PE PRODUS'!$N$17+'AJUSTĂRI PE PRODUS'!$S$17</f>
        <v>14.28</v>
      </c>
      <c r="AO76" s="83">
        <f>BX76+SCENARIU!$C$27+SCENARIU!$D$27+SCENARIU!$E$27+'AJUSTĂRI PE PRODUS'!$J$17+'AJUSTĂRI PE PRODUS'!$O$17+'AJUSTĂRI PE PRODUS'!$T$17</f>
        <v>14.28</v>
      </c>
      <c r="AP76" s="88">
        <f t="shared" si="201"/>
        <v>81524.648648648639</v>
      </c>
      <c r="AQ76" s="88">
        <f t="shared" si="202"/>
        <v>32792.540540540533</v>
      </c>
      <c r="AR76" s="88">
        <f t="shared" si="203"/>
        <v>114317.18918918917</v>
      </c>
      <c r="AS76" s="89">
        <f t="shared" si="204"/>
        <v>0.23306735294117648</v>
      </c>
      <c r="AT76" s="89">
        <f t="shared" si="205"/>
        <v>0.23306735294117648</v>
      </c>
      <c r="AU76" s="89">
        <f t="shared" si="206"/>
        <v>0.2330673529411765</v>
      </c>
      <c r="AV76" s="83">
        <f>BY76+SCENARIU!$C$27+SCENARIU!$D$27+SCENARIU!$E$27+SCENARIU!$F$27+'AJUSTĂRI PE PRODUS'!$I$17+'AJUSTĂRI PE PRODUS'!$N$17+'AJUSTĂRI PE PRODUS'!$S$17+'AJUSTĂRI PE PRODUS'!$X$17</f>
        <v>14.49</v>
      </c>
      <c r="AW76" s="83">
        <f>BZ76+SCENARIU!$C$27+SCENARIU!$D$27+SCENARIU!$E$27+SCENARIU!$F$27+'AJUSTĂRI PE PRODUS'!$J$17+'AJUSTĂRI PE PRODUS'!$O$17+'AJUSTĂRI PE PRODUS'!$T$17+'AJUSTĂRI PE PRODUS'!$Y$17</f>
        <v>14.49</v>
      </c>
      <c r="AX76" s="90">
        <f t="shared" si="207"/>
        <v>82723.540540540533</v>
      </c>
      <c r="AY76" s="90">
        <f t="shared" si="208"/>
        <v>33274.78378378378</v>
      </c>
      <c r="AZ76" s="90">
        <f t="shared" si="209"/>
        <v>115998.32432432432</v>
      </c>
      <c r="BA76" s="91">
        <f t="shared" si="210"/>
        <v>0.22968956521739128</v>
      </c>
      <c r="BB76" s="91">
        <f t="shared" si="211"/>
        <v>0.22968956521739131</v>
      </c>
      <c r="BC76" s="91">
        <f t="shared" si="212"/>
        <v>0.22968956521739131</v>
      </c>
      <c r="BD76" s="92">
        <f t="shared" si="213"/>
        <v>9.9999999999999645E-2</v>
      </c>
      <c r="BE76" s="92">
        <f t="shared" si="214"/>
        <v>0.19999999999999929</v>
      </c>
      <c r="BF76" s="92">
        <f t="shared" si="215"/>
        <v>0</v>
      </c>
      <c r="BG76" s="92">
        <f t="shared" si="216"/>
        <v>0</v>
      </c>
      <c r="BH76" s="92">
        <f t="shared" si="217"/>
        <v>0.21000000000000085</v>
      </c>
      <c r="BI76" s="93">
        <f t="shared" si="218"/>
        <v>0.50999999999999979</v>
      </c>
      <c r="BJ76" s="92">
        <f t="shared" si="219"/>
        <v>9.9999999999999645E-2</v>
      </c>
      <c r="BK76" s="92">
        <f t="shared" si="220"/>
        <v>0.19999999999999929</v>
      </c>
      <c r="BL76" s="92">
        <f t="shared" si="221"/>
        <v>0</v>
      </c>
      <c r="BM76" s="92">
        <f t="shared" si="222"/>
        <v>0</v>
      </c>
      <c r="BN76" s="92">
        <f t="shared" si="223"/>
        <v>0.21000000000000085</v>
      </c>
      <c r="BO76" s="93">
        <f t="shared" si="224"/>
        <v>0.50999999999999979</v>
      </c>
      <c r="BQ76">
        <v>14.08</v>
      </c>
      <c r="BR76">
        <v>14.08</v>
      </c>
      <c r="BS76">
        <v>14.28</v>
      </c>
      <c r="BT76">
        <v>14.28</v>
      </c>
      <c r="BU76">
        <v>14.28</v>
      </c>
      <c r="BV76">
        <v>14.28</v>
      </c>
      <c r="BW76">
        <v>14.28</v>
      </c>
      <c r="BX76">
        <v>14.28</v>
      </c>
      <c r="BY76">
        <v>14.49</v>
      </c>
      <c r="BZ76">
        <v>14.49</v>
      </c>
    </row>
    <row r="77" spans="1:78" x14ac:dyDescent="0.2">
      <c r="A77" s="26">
        <v>3</v>
      </c>
      <c r="B77" s="26" t="s">
        <v>168</v>
      </c>
      <c r="C77" s="26" t="s">
        <v>102</v>
      </c>
      <c r="D77" s="74">
        <v>1</v>
      </c>
      <c r="E77" s="75">
        <v>11</v>
      </c>
      <c r="F77" s="76">
        <v>5108</v>
      </c>
      <c r="G77" s="76">
        <v>2497</v>
      </c>
      <c r="H77" s="77">
        <f>SUMIFS(RETETAR!$I$4:$I$967,RETETAR!$A$4:$A$967,$M77,RETETAR!$C$4:$C$967,"AMBELE")+SUMIFS(RETETAR!$I$4:$I$967,RETETAR!$A$4:$A$967,$M77,RETETAR!$C$4:$C$967,"INSTORE")</f>
        <v>2.0288839999999997</v>
      </c>
      <c r="I77" s="77">
        <f>SUMIFS(RETETAR!$I$4:$I$967,RETETAR!$A$4:$A$967,$M77,RETETAR!$C$4:$C$967,"AMBELE")+SUMIFS(RETETAR!$I$4:$I$967,RETETAR!$A$4:$A$967,$M77,RETETAR!$C$4:$C$967,"DELIVERY")</f>
        <v>2.0288839999999997</v>
      </c>
      <c r="J77" s="78">
        <f t="shared" si="180"/>
        <v>10363.539471999999</v>
      </c>
      <c r="K77" s="78">
        <f t="shared" si="181"/>
        <v>5066.1233479999992</v>
      </c>
      <c r="L77" s="78">
        <f t="shared" si="182"/>
        <v>15429.662819999998</v>
      </c>
      <c r="M77" t="s">
        <v>168</v>
      </c>
      <c r="N77" s="79">
        <v>6</v>
      </c>
      <c r="O77" s="79">
        <v>6.5</v>
      </c>
      <c r="P77" s="80">
        <v>6.1</v>
      </c>
      <c r="Q77" s="80">
        <v>6.6</v>
      </c>
      <c r="R77" s="81">
        <f t="shared" si="183"/>
        <v>28070.990990990984</v>
      </c>
      <c r="S77" s="81">
        <f t="shared" si="184"/>
        <v>14847.027027027025</v>
      </c>
      <c r="T77" s="81">
        <f t="shared" si="185"/>
        <v>42918.01801801801</v>
      </c>
      <c r="U77" s="82">
        <f t="shared" si="186"/>
        <v>0.35951480363147842</v>
      </c>
      <c r="V77" s="82">
        <f t="shared" si="187"/>
        <v>0.36919036721311482</v>
      </c>
      <c r="W77" s="82">
        <f t="shared" si="188"/>
        <v>0.34122140000000001</v>
      </c>
      <c r="X77" s="83">
        <f>BS77+SCENARIU!$C$27+'AJUSTĂRI PE PRODUS'!$I$32</f>
        <v>6.3</v>
      </c>
      <c r="Y77" s="83">
        <f>BT77+SCENARIU!$C$27+'AJUSTĂRI PE PRODUS'!$J$32</f>
        <v>6.8</v>
      </c>
      <c r="Z77" s="84">
        <f t="shared" si="189"/>
        <v>28991.35135135135</v>
      </c>
      <c r="AA77" s="84">
        <f t="shared" si="190"/>
        <v>15296.936936936936</v>
      </c>
      <c r="AB77" s="84">
        <f t="shared" si="191"/>
        <v>44288.288288288284</v>
      </c>
      <c r="AC77" s="85">
        <f t="shared" si="192"/>
        <v>0.34839149166395439</v>
      </c>
      <c r="AD77" s="85">
        <f t="shared" si="193"/>
        <v>0.35747003809523809</v>
      </c>
      <c r="AE77" s="85">
        <f t="shared" si="194"/>
        <v>0.33118547647058821</v>
      </c>
      <c r="AF77" s="83">
        <f>BU77+SCENARIU!$C$27+SCENARIU!$D$27+'AJUSTĂRI PE PRODUS'!$I$32+'AJUSTĂRI PE PRODUS'!$N$32</f>
        <v>6.3</v>
      </c>
      <c r="AG77" s="83">
        <f>BV77+SCENARIU!$C$27+SCENARIU!$D$27+'AJUSTĂRI PE PRODUS'!$J$32+'AJUSTĂRI PE PRODUS'!$O$32</f>
        <v>6.8</v>
      </c>
      <c r="AH77" s="86">
        <f t="shared" si="195"/>
        <v>28991.35135135135</v>
      </c>
      <c r="AI77" s="86">
        <f t="shared" si="196"/>
        <v>15296.936936936936</v>
      </c>
      <c r="AJ77" s="86">
        <f t="shared" si="197"/>
        <v>44288.288288288284</v>
      </c>
      <c r="AK77" s="87">
        <f t="shared" si="198"/>
        <v>0.34839149166395439</v>
      </c>
      <c r="AL77" s="87">
        <f t="shared" si="199"/>
        <v>0.35747003809523809</v>
      </c>
      <c r="AM77" s="87">
        <f t="shared" si="200"/>
        <v>0.33118547647058821</v>
      </c>
      <c r="AN77" s="83">
        <f>BW77+SCENARIU!$C$27+SCENARIU!$D$27+SCENARIU!$E$27+'AJUSTĂRI PE PRODUS'!$I$32+'AJUSTĂRI PE PRODUS'!$N$32+'AJUSTĂRI PE PRODUS'!$S$32</f>
        <v>6.3</v>
      </c>
      <c r="AO77" s="83">
        <f>BX77+SCENARIU!$C$27+SCENARIU!$D$27+SCENARIU!$E$27+'AJUSTĂRI PE PRODUS'!$J$32+'AJUSTĂRI PE PRODUS'!$O$32+'AJUSTĂRI PE PRODUS'!$T$32</f>
        <v>6.8</v>
      </c>
      <c r="AP77" s="88">
        <f t="shared" si="201"/>
        <v>28991.35135135135</v>
      </c>
      <c r="AQ77" s="88">
        <f t="shared" si="202"/>
        <v>15296.936936936936</v>
      </c>
      <c r="AR77" s="88">
        <f t="shared" si="203"/>
        <v>44288.288288288284</v>
      </c>
      <c r="AS77" s="89">
        <f t="shared" si="204"/>
        <v>0.34839149166395439</v>
      </c>
      <c r="AT77" s="89">
        <f t="shared" si="205"/>
        <v>0.35747003809523809</v>
      </c>
      <c r="AU77" s="89">
        <f t="shared" si="206"/>
        <v>0.33118547647058821</v>
      </c>
      <c r="AV77" s="83">
        <f>BY77+SCENARIU!$C$27+SCENARIU!$D$27+SCENARIU!$E$27+SCENARIU!$F$27+'AJUSTĂRI PE PRODUS'!$I$32+'AJUSTĂRI PE PRODUS'!$N$32+'AJUSTĂRI PE PRODUS'!$S$32+'AJUSTĂRI PE PRODUS'!$X$32</f>
        <v>6.49</v>
      </c>
      <c r="AW77" s="83">
        <f>BZ77+SCENARIU!$C$27+SCENARIU!$D$27+SCENARIU!$E$27+SCENARIU!$F$27+'AJUSTĂRI PE PRODUS'!$J$32+'AJUSTĂRI PE PRODUS'!$O$32+'AJUSTĂRI PE PRODUS'!$T$32+'AJUSTĂRI PE PRODUS'!$Y$32</f>
        <v>6.99</v>
      </c>
      <c r="AX77" s="90">
        <f t="shared" si="207"/>
        <v>29865.693693693691</v>
      </c>
      <c r="AY77" s="90">
        <f t="shared" si="208"/>
        <v>15724.351351351352</v>
      </c>
      <c r="AZ77" s="90">
        <f t="shared" si="209"/>
        <v>45590.045045045044</v>
      </c>
      <c r="BA77" s="91">
        <f t="shared" si="210"/>
        <v>0.33844368446565004</v>
      </c>
      <c r="BB77" s="91">
        <f t="shared" si="211"/>
        <v>0.347004813559322</v>
      </c>
      <c r="BC77" s="91">
        <f t="shared" si="212"/>
        <v>0.32218329613733898</v>
      </c>
      <c r="BD77" s="92">
        <f t="shared" si="213"/>
        <v>9.9999999999999645E-2</v>
      </c>
      <c r="BE77" s="92">
        <f t="shared" si="214"/>
        <v>0.20000000000000018</v>
      </c>
      <c r="BF77" s="92">
        <f t="shared" si="215"/>
        <v>0</v>
      </c>
      <c r="BG77" s="92">
        <f t="shared" si="216"/>
        <v>0</v>
      </c>
      <c r="BH77" s="92">
        <f t="shared" si="217"/>
        <v>0.19000000000000039</v>
      </c>
      <c r="BI77" s="93">
        <f t="shared" si="218"/>
        <v>0.49000000000000021</v>
      </c>
      <c r="BJ77" s="92">
        <f t="shared" si="219"/>
        <v>9.9999999999999645E-2</v>
      </c>
      <c r="BK77" s="92">
        <f t="shared" si="220"/>
        <v>0.20000000000000018</v>
      </c>
      <c r="BL77" s="92">
        <f t="shared" si="221"/>
        <v>0</v>
      </c>
      <c r="BM77" s="92">
        <f t="shared" si="222"/>
        <v>0</v>
      </c>
      <c r="BN77" s="92">
        <f t="shared" si="223"/>
        <v>0.19000000000000039</v>
      </c>
      <c r="BO77" s="93">
        <f t="shared" si="224"/>
        <v>0.49000000000000021</v>
      </c>
      <c r="BQ77">
        <v>6.1</v>
      </c>
      <c r="BR77">
        <v>6.6</v>
      </c>
      <c r="BS77">
        <v>6.3</v>
      </c>
      <c r="BT77">
        <v>6.8</v>
      </c>
      <c r="BU77">
        <v>6.3</v>
      </c>
      <c r="BV77">
        <v>6.8</v>
      </c>
      <c r="BW77">
        <v>6.3</v>
      </c>
      <c r="BX77">
        <v>6.8</v>
      </c>
      <c r="BY77">
        <v>6.49</v>
      </c>
      <c r="BZ77">
        <v>6.99</v>
      </c>
    </row>
    <row r="78" spans="1:78" x14ac:dyDescent="0.2">
      <c r="A78" s="26">
        <v>4</v>
      </c>
      <c r="B78" s="26" t="s">
        <v>171</v>
      </c>
      <c r="C78" s="26" t="s">
        <v>102</v>
      </c>
      <c r="D78" s="74">
        <v>1</v>
      </c>
      <c r="E78" s="75">
        <v>11</v>
      </c>
      <c r="F78" s="76">
        <v>5449</v>
      </c>
      <c r="G78" s="76">
        <v>1627</v>
      </c>
      <c r="H78" s="77">
        <f>SUMIFS(RETETAR!$I$4:$I$967,RETETAR!$A$4:$A$967,$M78,RETETAR!$C$4:$C$967,"AMBELE")+SUMIFS(RETETAR!$I$4:$I$967,RETETAR!$A$4:$A$967,$M78,RETETAR!$C$4:$C$967,"INSTORE")</f>
        <v>1.984</v>
      </c>
      <c r="I78" s="77">
        <f>SUMIFS(RETETAR!$I$4:$I$967,RETETAR!$A$4:$A$967,$M78,RETETAR!$C$4:$C$967,"AMBELE")+SUMIFS(RETETAR!$I$4:$I$967,RETETAR!$A$4:$A$967,$M78,RETETAR!$C$4:$C$967,"DELIVERY")</f>
        <v>1.984</v>
      </c>
      <c r="J78" s="78">
        <f t="shared" si="180"/>
        <v>10810.816000000001</v>
      </c>
      <c r="K78" s="78">
        <f t="shared" si="181"/>
        <v>3227.9679999999998</v>
      </c>
      <c r="L78" s="78">
        <f t="shared" si="182"/>
        <v>14038.784</v>
      </c>
      <c r="M78" t="s">
        <v>171</v>
      </c>
      <c r="N78" s="79">
        <v>6</v>
      </c>
      <c r="O78" s="79">
        <v>6</v>
      </c>
      <c r="P78" s="80">
        <v>6.1</v>
      </c>
      <c r="Q78" s="80">
        <v>6.1</v>
      </c>
      <c r="R78" s="81">
        <f t="shared" si="183"/>
        <v>29944.954954954948</v>
      </c>
      <c r="S78" s="81">
        <f t="shared" si="184"/>
        <v>8941.1711711711687</v>
      </c>
      <c r="T78" s="81">
        <f t="shared" si="185"/>
        <v>38886.126126126117</v>
      </c>
      <c r="U78" s="82">
        <f t="shared" si="186"/>
        <v>0.36102295081967223</v>
      </c>
      <c r="V78" s="82">
        <f t="shared" si="187"/>
        <v>0.36102295081967223</v>
      </c>
      <c r="W78" s="82">
        <f t="shared" si="188"/>
        <v>0.36102295081967223</v>
      </c>
      <c r="X78" s="83">
        <f>BS78+SCENARIU!$C$27+'AJUSTĂRI PE PRODUS'!$I$36</f>
        <v>6.3</v>
      </c>
      <c r="Y78" s="83">
        <f>BT78+SCENARIU!$C$27+'AJUSTĂRI PE PRODUS'!$J$36</f>
        <v>6.3</v>
      </c>
      <c r="Z78" s="84">
        <f t="shared" si="189"/>
        <v>30926.756756756757</v>
      </c>
      <c r="AA78" s="84">
        <f t="shared" si="190"/>
        <v>9234.3243243243232</v>
      </c>
      <c r="AB78" s="84">
        <f t="shared" si="191"/>
        <v>40161.08108108108</v>
      </c>
      <c r="AC78" s="85">
        <f t="shared" si="192"/>
        <v>0.34956190476190474</v>
      </c>
      <c r="AD78" s="85">
        <f t="shared" si="193"/>
        <v>0.3495619047619048</v>
      </c>
      <c r="AE78" s="85">
        <f t="shared" si="194"/>
        <v>0.3495619047619048</v>
      </c>
      <c r="AF78" s="83">
        <f>BU78+SCENARIU!$C$27+SCENARIU!$D$27+'AJUSTĂRI PE PRODUS'!$I$36+'AJUSTĂRI PE PRODUS'!$N$36</f>
        <v>6.3</v>
      </c>
      <c r="AG78" s="83">
        <f>BV78+SCENARIU!$C$27+SCENARIU!$D$27+'AJUSTĂRI PE PRODUS'!$J$36+'AJUSTĂRI PE PRODUS'!$O$36</f>
        <v>6.3</v>
      </c>
      <c r="AH78" s="86">
        <f t="shared" si="195"/>
        <v>30926.756756756757</v>
      </c>
      <c r="AI78" s="86">
        <f t="shared" si="196"/>
        <v>9234.3243243243232</v>
      </c>
      <c r="AJ78" s="86">
        <f t="shared" si="197"/>
        <v>40161.08108108108</v>
      </c>
      <c r="AK78" s="87">
        <f t="shared" si="198"/>
        <v>0.34956190476190474</v>
      </c>
      <c r="AL78" s="87">
        <f t="shared" si="199"/>
        <v>0.3495619047619048</v>
      </c>
      <c r="AM78" s="87">
        <f t="shared" si="200"/>
        <v>0.3495619047619048</v>
      </c>
      <c r="AN78" s="83">
        <f>BW78+SCENARIU!$C$27+SCENARIU!$D$27+SCENARIU!$E$27+'AJUSTĂRI PE PRODUS'!$I$36+'AJUSTĂRI PE PRODUS'!$N$36+'AJUSTĂRI PE PRODUS'!$S$36</f>
        <v>6.3</v>
      </c>
      <c r="AO78" s="83">
        <f>BX78+SCENARIU!$C$27+SCENARIU!$D$27+SCENARIU!$E$27+'AJUSTĂRI PE PRODUS'!$J$36+'AJUSTĂRI PE PRODUS'!$O$36+'AJUSTĂRI PE PRODUS'!$T$36</f>
        <v>6.3</v>
      </c>
      <c r="AP78" s="88">
        <f t="shared" si="201"/>
        <v>30926.756756756757</v>
      </c>
      <c r="AQ78" s="88">
        <f t="shared" si="202"/>
        <v>9234.3243243243232</v>
      </c>
      <c r="AR78" s="88">
        <f t="shared" si="203"/>
        <v>40161.08108108108</v>
      </c>
      <c r="AS78" s="89">
        <f t="shared" si="204"/>
        <v>0.34956190476190474</v>
      </c>
      <c r="AT78" s="89">
        <f t="shared" si="205"/>
        <v>0.3495619047619048</v>
      </c>
      <c r="AU78" s="89">
        <f t="shared" si="206"/>
        <v>0.3495619047619048</v>
      </c>
      <c r="AV78" s="83">
        <f>BY78+SCENARIU!$C$27+SCENARIU!$D$27+SCENARIU!$E$27+SCENARIU!$F$27+'AJUSTĂRI PE PRODUS'!$I$36+'AJUSTĂRI PE PRODUS'!$N$36+'AJUSTĂRI PE PRODUS'!$S$36+'AJUSTĂRI PE PRODUS'!$X$36</f>
        <v>6.49</v>
      </c>
      <c r="AW78" s="83">
        <f>BZ78+SCENARIU!$C$27+SCENARIU!$D$27+SCENARIU!$E$27+SCENARIU!$F$27+'AJUSTĂRI PE PRODUS'!$J$36+'AJUSTĂRI PE PRODUS'!$O$36+'AJUSTĂRI PE PRODUS'!$T$36+'AJUSTĂRI PE PRODUS'!$Y$36</f>
        <v>6.49</v>
      </c>
      <c r="AX78" s="90">
        <f t="shared" si="207"/>
        <v>31859.468468468465</v>
      </c>
      <c r="AY78" s="90">
        <f t="shared" si="208"/>
        <v>9512.8198198198188</v>
      </c>
      <c r="AZ78" s="90">
        <f t="shared" si="209"/>
        <v>41372.288288288284</v>
      </c>
      <c r="BA78" s="91">
        <f t="shared" si="210"/>
        <v>0.33932819722650231</v>
      </c>
      <c r="BB78" s="91">
        <f t="shared" si="211"/>
        <v>0.33932819722650237</v>
      </c>
      <c r="BC78" s="91">
        <f t="shared" si="212"/>
        <v>0.33932819722650231</v>
      </c>
      <c r="BD78" s="92">
        <f t="shared" si="213"/>
        <v>9.9999999999999645E-2</v>
      </c>
      <c r="BE78" s="92">
        <f t="shared" si="214"/>
        <v>0.20000000000000018</v>
      </c>
      <c r="BF78" s="92">
        <f t="shared" si="215"/>
        <v>0</v>
      </c>
      <c r="BG78" s="92">
        <f t="shared" si="216"/>
        <v>0</v>
      </c>
      <c r="BH78" s="92">
        <f t="shared" si="217"/>
        <v>0.19000000000000039</v>
      </c>
      <c r="BI78" s="93">
        <f t="shared" si="218"/>
        <v>0.49000000000000021</v>
      </c>
      <c r="BJ78" s="92">
        <f t="shared" si="219"/>
        <v>9.9999999999999645E-2</v>
      </c>
      <c r="BK78" s="92">
        <f t="shared" si="220"/>
        <v>0.20000000000000018</v>
      </c>
      <c r="BL78" s="92">
        <f t="shared" si="221"/>
        <v>0</v>
      </c>
      <c r="BM78" s="92">
        <f t="shared" si="222"/>
        <v>0</v>
      </c>
      <c r="BN78" s="92">
        <f t="shared" si="223"/>
        <v>0.19000000000000039</v>
      </c>
      <c r="BO78" s="93">
        <f t="shared" si="224"/>
        <v>0.49000000000000021</v>
      </c>
      <c r="BQ78">
        <v>6.1</v>
      </c>
      <c r="BR78">
        <v>6.1</v>
      </c>
      <c r="BS78">
        <v>6.3</v>
      </c>
      <c r="BT78">
        <v>6.3</v>
      </c>
      <c r="BU78">
        <v>6.3</v>
      </c>
      <c r="BV78">
        <v>6.3</v>
      </c>
      <c r="BW78">
        <v>6.3</v>
      </c>
      <c r="BX78">
        <v>6.3</v>
      </c>
      <c r="BY78">
        <v>6.49</v>
      </c>
      <c r="BZ78">
        <v>6.49</v>
      </c>
    </row>
    <row r="79" spans="1:78" x14ac:dyDescent="0.2">
      <c r="A79" s="26">
        <v>5</v>
      </c>
      <c r="B79" s="26" t="s">
        <v>175</v>
      </c>
      <c r="C79" s="26" t="s">
        <v>102</v>
      </c>
      <c r="D79" s="74">
        <v>1</v>
      </c>
      <c r="E79" s="75">
        <v>11</v>
      </c>
      <c r="F79" s="76">
        <v>4095</v>
      </c>
      <c r="G79" s="76">
        <v>2349</v>
      </c>
      <c r="H79" s="77">
        <f>SUMIFS(RETETAR!$I$4:$I$967,RETETAR!$A$4:$A$967,$M79,RETETAR!$C$4:$C$967,"AMBELE")+SUMIFS(RETETAR!$I$4:$I$967,RETETAR!$A$4:$A$967,$M79,RETETAR!$C$4:$C$967,"INSTORE")</f>
        <v>1.271352</v>
      </c>
      <c r="I79" s="77">
        <f>SUMIFS(RETETAR!$I$4:$I$967,RETETAR!$A$4:$A$967,$M79,RETETAR!$C$4:$C$967,"AMBELE")+SUMIFS(RETETAR!$I$4:$I$967,RETETAR!$A$4:$A$967,$M79,RETETAR!$C$4:$C$967,"DELIVERY")</f>
        <v>1.271352</v>
      </c>
      <c r="J79" s="78">
        <f t="shared" si="180"/>
        <v>5206.1864400000004</v>
      </c>
      <c r="K79" s="78">
        <f t="shared" si="181"/>
        <v>2986.4058479999999</v>
      </c>
      <c r="L79" s="78">
        <f t="shared" si="182"/>
        <v>8192.5922879999998</v>
      </c>
      <c r="M79" t="s">
        <v>175</v>
      </c>
      <c r="N79" s="79">
        <v>6</v>
      </c>
      <c r="O79" s="79">
        <v>6</v>
      </c>
      <c r="P79" s="80">
        <v>6.1</v>
      </c>
      <c r="Q79" s="80">
        <v>6.1</v>
      </c>
      <c r="R79" s="81">
        <f t="shared" si="183"/>
        <v>22504.05405405405</v>
      </c>
      <c r="S79" s="81">
        <f t="shared" si="184"/>
        <v>12908.918918918916</v>
      </c>
      <c r="T79" s="81">
        <f t="shared" si="185"/>
        <v>35412.972972972966</v>
      </c>
      <c r="U79" s="82">
        <f t="shared" si="186"/>
        <v>0.23134438032786889</v>
      </c>
      <c r="V79" s="82">
        <f t="shared" si="187"/>
        <v>0.23134438032786891</v>
      </c>
      <c r="W79" s="82">
        <f t="shared" si="188"/>
        <v>0.23134438032786889</v>
      </c>
      <c r="X79" s="83">
        <f>BS79+SCENARIU!$C$27+'AJUSTĂRI PE PRODUS'!$I$39</f>
        <v>6.3</v>
      </c>
      <c r="Y79" s="83">
        <f>BT79+SCENARIU!$C$27+'AJUSTĂRI PE PRODUS'!$J$39</f>
        <v>6.3</v>
      </c>
      <c r="Z79" s="84">
        <f t="shared" si="189"/>
        <v>23241.89189189189</v>
      </c>
      <c r="AA79" s="84">
        <f t="shared" si="190"/>
        <v>13332.162162162162</v>
      </c>
      <c r="AB79" s="84">
        <f t="shared" si="191"/>
        <v>36574.054054054053</v>
      </c>
      <c r="AC79" s="85">
        <f t="shared" si="192"/>
        <v>0.22400011428571429</v>
      </c>
      <c r="AD79" s="85">
        <f t="shared" si="193"/>
        <v>0.22400011428571431</v>
      </c>
      <c r="AE79" s="85">
        <f t="shared" si="194"/>
        <v>0.22400011428571429</v>
      </c>
      <c r="AF79" s="83">
        <f>BU79+SCENARIU!$C$27+SCENARIU!$D$27+'AJUSTĂRI PE PRODUS'!$I$39+'AJUSTĂRI PE PRODUS'!$N$39</f>
        <v>6.3</v>
      </c>
      <c r="AG79" s="83">
        <f>BV79+SCENARIU!$C$27+SCENARIU!$D$27+'AJUSTĂRI PE PRODUS'!$J$39+'AJUSTĂRI PE PRODUS'!$O$39</f>
        <v>6.3</v>
      </c>
      <c r="AH79" s="86">
        <f t="shared" si="195"/>
        <v>23241.89189189189</v>
      </c>
      <c r="AI79" s="86">
        <f t="shared" si="196"/>
        <v>13332.162162162162</v>
      </c>
      <c r="AJ79" s="86">
        <f t="shared" si="197"/>
        <v>36574.054054054053</v>
      </c>
      <c r="AK79" s="87">
        <f t="shared" si="198"/>
        <v>0.22400011428571429</v>
      </c>
      <c r="AL79" s="87">
        <f t="shared" si="199"/>
        <v>0.22400011428571431</v>
      </c>
      <c r="AM79" s="87">
        <f t="shared" si="200"/>
        <v>0.22400011428571429</v>
      </c>
      <c r="AN79" s="83">
        <f>BW79+SCENARIU!$C$27+SCENARIU!$D$27+SCENARIU!$E$27+'AJUSTĂRI PE PRODUS'!$I$39+'AJUSTĂRI PE PRODUS'!$N$39+'AJUSTĂRI PE PRODUS'!$S$39</f>
        <v>6.3</v>
      </c>
      <c r="AO79" s="83">
        <f>BX79+SCENARIU!$C$27+SCENARIU!$D$27+SCENARIU!$E$27+'AJUSTĂRI PE PRODUS'!$J$39+'AJUSTĂRI PE PRODUS'!$O$39+'AJUSTĂRI PE PRODUS'!$T$39</f>
        <v>6.3</v>
      </c>
      <c r="AP79" s="88">
        <f t="shared" si="201"/>
        <v>23241.89189189189</v>
      </c>
      <c r="AQ79" s="88">
        <f t="shared" si="202"/>
        <v>13332.162162162162</v>
      </c>
      <c r="AR79" s="88">
        <f t="shared" si="203"/>
        <v>36574.054054054053</v>
      </c>
      <c r="AS79" s="89">
        <f t="shared" si="204"/>
        <v>0.22400011428571429</v>
      </c>
      <c r="AT79" s="89">
        <f t="shared" si="205"/>
        <v>0.22400011428571431</v>
      </c>
      <c r="AU79" s="89">
        <f t="shared" si="206"/>
        <v>0.22400011428571429</v>
      </c>
      <c r="AV79" s="83">
        <f>BY79+SCENARIU!$C$27+SCENARIU!$D$27+SCENARIU!$E$27+SCENARIU!$F$27+'AJUSTĂRI PE PRODUS'!$I$39+'AJUSTĂRI PE PRODUS'!$N$39+'AJUSTĂRI PE PRODUS'!$S$39+'AJUSTĂRI PE PRODUS'!$X$39</f>
        <v>6.49</v>
      </c>
      <c r="AW79" s="83">
        <f>BZ79+SCENARIU!$C$27+SCENARIU!$D$27+SCENARIU!$E$27+SCENARIU!$F$27+'AJUSTĂRI PE PRODUS'!$J$39+'AJUSTĂRI PE PRODUS'!$O$39+'AJUSTĂRI PE PRODUS'!$T$39+'AJUSTĂRI PE PRODUS'!$Y$39</f>
        <v>6.49</v>
      </c>
      <c r="AX79" s="90">
        <f t="shared" si="207"/>
        <v>23942.837837837837</v>
      </c>
      <c r="AY79" s="90">
        <f t="shared" si="208"/>
        <v>13734.243243243242</v>
      </c>
      <c r="AZ79" s="90">
        <f t="shared" si="209"/>
        <v>37677.08108108108</v>
      </c>
      <c r="BA79" s="91">
        <f t="shared" si="210"/>
        <v>0.21744232973805855</v>
      </c>
      <c r="BB79" s="91">
        <f t="shared" si="211"/>
        <v>0.21744232973805858</v>
      </c>
      <c r="BC79" s="91">
        <f t="shared" si="212"/>
        <v>0.21744232973805858</v>
      </c>
      <c r="BD79" s="92">
        <f t="shared" si="213"/>
        <v>9.9999999999999645E-2</v>
      </c>
      <c r="BE79" s="92">
        <f t="shared" si="214"/>
        <v>0.20000000000000018</v>
      </c>
      <c r="BF79" s="92">
        <f t="shared" si="215"/>
        <v>0</v>
      </c>
      <c r="BG79" s="92">
        <f t="shared" si="216"/>
        <v>0</v>
      </c>
      <c r="BH79" s="92">
        <f t="shared" si="217"/>
        <v>0.19000000000000039</v>
      </c>
      <c r="BI79" s="93">
        <f t="shared" si="218"/>
        <v>0.49000000000000021</v>
      </c>
      <c r="BJ79" s="92">
        <f t="shared" si="219"/>
        <v>9.9999999999999645E-2</v>
      </c>
      <c r="BK79" s="92">
        <f t="shared" si="220"/>
        <v>0.20000000000000018</v>
      </c>
      <c r="BL79" s="92">
        <f t="shared" si="221"/>
        <v>0</v>
      </c>
      <c r="BM79" s="92">
        <f t="shared" si="222"/>
        <v>0</v>
      </c>
      <c r="BN79" s="92">
        <f t="shared" si="223"/>
        <v>0.19000000000000039</v>
      </c>
      <c r="BO79" s="93">
        <f t="shared" si="224"/>
        <v>0.49000000000000021</v>
      </c>
      <c r="BQ79">
        <v>6.1</v>
      </c>
      <c r="BR79">
        <v>6.1</v>
      </c>
      <c r="BS79">
        <v>6.3</v>
      </c>
      <c r="BT79">
        <v>6.3</v>
      </c>
      <c r="BU79">
        <v>6.3</v>
      </c>
      <c r="BV79">
        <v>6.3</v>
      </c>
      <c r="BW79">
        <v>6.3</v>
      </c>
      <c r="BX79">
        <v>6.3</v>
      </c>
      <c r="BY79">
        <v>6.49</v>
      </c>
      <c r="BZ79">
        <v>6.49</v>
      </c>
    </row>
    <row r="80" spans="1:78" x14ac:dyDescent="0.2">
      <c r="A80" s="26">
        <v>6</v>
      </c>
      <c r="B80" s="26" t="s">
        <v>177</v>
      </c>
      <c r="C80" s="26" t="s">
        <v>102</v>
      </c>
      <c r="D80" s="74">
        <v>1</v>
      </c>
      <c r="E80" s="75">
        <v>11</v>
      </c>
      <c r="F80" s="76">
        <v>674</v>
      </c>
      <c r="G80" s="76">
        <v>828</v>
      </c>
      <c r="H80" s="77">
        <f>SUMIFS(RETETAR!$I$4:$I$967,RETETAR!$A$4:$A$967,$M80,RETETAR!$C$4:$C$967,"AMBELE")+SUMIFS(RETETAR!$I$4:$I$967,RETETAR!$A$4:$A$967,$M80,RETETAR!$C$4:$C$967,"INSTORE")</f>
        <v>6.9284500000000007</v>
      </c>
      <c r="I80" s="77">
        <f>SUMIFS(RETETAR!$I$4:$I$967,RETETAR!$A$4:$A$967,$M80,RETETAR!$C$4:$C$967,"AMBELE")+SUMIFS(RETETAR!$I$4:$I$967,RETETAR!$A$4:$A$967,$M80,RETETAR!$C$4:$C$967,"DELIVERY")</f>
        <v>6.9284500000000007</v>
      </c>
      <c r="J80" s="78">
        <f t="shared" si="180"/>
        <v>4669.7753000000002</v>
      </c>
      <c r="K80" s="78">
        <f t="shared" si="181"/>
        <v>5736.7566000000006</v>
      </c>
      <c r="L80" s="78">
        <f t="shared" si="182"/>
        <v>10406.531900000002</v>
      </c>
      <c r="M80" t="s">
        <v>177</v>
      </c>
      <c r="N80" s="79">
        <v>25</v>
      </c>
      <c r="O80" s="79">
        <v>25</v>
      </c>
      <c r="P80" s="80">
        <v>25.1</v>
      </c>
      <c r="Q80" s="80">
        <v>25.1</v>
      </c>
      <c r="R80" s="81">
        <f t="shared" si="183"/>
        <v>15240.900900900901</v>
      </c>
      <c r="S80" s="81">
        <f t="shared" si="184"/>
        <v>18723.243243243243</v>
      </c>
      <c r="T80" s="81">
        <f t="shared" si="185"/>
        <v>33964.144144144142</v>
      </c>
      <c r="U80" s="82">
        <f t="shared" si="186"/>
        <v>0.30639758964143432</v>
      </c>
      <c r="V80" s="82">
        <f t="shared" si="187"/>
        <v>0.30639758964143426</v>
      </c>
      <c r="W80" s="82">
        <f t="shared" si="188"/>
        <v>0.30639758964143432</v>
      </c>
      <c r="X80" s="83">
        <f>BS80+SCENARIU!$C$27+'AJUSTĂRI PE PRODUS'!$I$41</f>
        <v>25.3</v>
      </c>
      <c r="Y80" s="83">
        <f>BT80+SCENARIU!$C$27+'AJUSTĂRI PE PRODUS'!$J$41</f>
        <v>25.3</v>
      </c>
      <c r="Z80" s="84">
        <f t="shared" si="189"/>
        <v>15362.342342342341</v>
      </c>
      <c r="AA80" s="84">
        <f t="shared" si="190"/>
        <v>18872.432432432433</v>
      </c>
      <c r="AB80" s="84">
        <f t="shared" si="191"/>
        <v>34234.774774774778</v>
      </c>
      <c r="AC80" s="85">
        <f t="shared" si="192"/>
        <v>0.30397547430830041</v>
      </c>
      <c r="AD80" s="85">
        <f t="shared" si="193"/>
        <v>0.30397547430830046</v>
      </c>
      <c r="AE80" s="85">
        <f t="shared" si="194"/>
        <v>0.30397547430830041</v>
      </c>
      <c r="AF80" s="83">
        <f>BU80+SCENARIU!$C$27+SCENARIU!$D$27+'AJUSTĂRI PE PRODUS'!$I$41+'AJUSTĂRI PE PRODUS'!$N$41</f>
        <v>25.3</v>
      </c>
      <c r="AG80" s="83">
        <f>BV80+SCENARIU!$C$27+SCENARIU!$D$27+'AJUSTĂRI PE PRODUS'!$J$41+'AJUSTĂRI PE PRODUS'!$O$41</f>
        <v>25.3</v>
      </c>
      <c r="AH80" s="86">
        <f t="shared" si="195"/>
        <v>15362.342342342341</v>
      </c>
      <c r="AI80" s="86">
        <f t="shared" si="196"/>
        <v>18872.432432432433</v>
      </c>
      <c r="AJ80" s="86">
        <f t="shared" si="197"/>
        <v>34234.774774774778</v>
      </c>
      <c r="AK80" s="87">
        <f t="shared" si="198"/>
        <v>0.30397547430830041</v>
      </c>
      <c r="AL80" s="87">
        <f t="shared" si="199"/>
        <v>0.30397547430830046</v>
      </c>
      <c r="AM80" s="87">
        <f t="shared" si="200"/>
        <v>0.30397547430830041</v>
      </c>
      <c r="AN80" s="83">
        <f>BW80+SCENARIU!$C$27+SCENARIU!$D$27+SCENARIU!$E$27+'AJUSTĂRI PE PRODUS'!$I$41+'AJUSTĂRI PE PRODUS'!$N$41+'AJUSTĂRI PE PRODUS'!$S$41</f>
        <v>25.3</v>
      </c>
      <c r="AO80" s="83">
        <f>BX80+SCENARIU!$C$27+SCENARIU!$D$27+SCENARIU!$E$27+'AJUSTĂRI PE PRODUS'!$J$41+'AJUSTĂRI PE PRODUS'!$O$41+'AJUSTĂRI PE PRODUS'!$T$41</f>
        <v>25.3</v>
      </c>
      <c r="AP80" s="88">
        <f t="shared" si="201"/>
        <v>15362.342342342341</v>
      </c>
      <c r="AQ80" s="88">
        <f t="shared" si="202"/>
        <v>18872.432432432433</v>
      </c>
      <c r="AR80" s="88">
        <f t="shared" si="203"/>
        <v>34234.774774774778</v>
      </c>
      <c r="AS80" s="89">
        <f t="shared" si="204"/>
        <v>0.30397547430830041</v>
      </c>
      <c r="AT80" s="89">
        <f t="shared" si="205"/>
        <v>0.30397547430830046</v>
      </c>
      <c r="AU80" s="89">
        <f t="shared" si="206"/>
        <v>0.30397547430830041</v>
      </c>
      <c r="AV80" s="83">
        <f>BY80+SCENARIU!$C$27+SCENARIU!$D$27+SCENARIU!$E$27+SCENARIU!$F$27+'AJUSTĂRI PE PRODUS'!$I$41+'AJUSTĂRI PE PRODUS'!$N$41+'AJUSTĂRI PE PRODUS'!$S$41+'AJUSTĂRI PE PRODUS'!$X$41</f>
        <v>25.49</v>
      </c>
      <c r="AW80" s="83">
        <f>BZ80+SCENARIU!$C$27+SCENARIU!$D$27+SCENARIU!$E$27+SCENARIU!$F$27+'AJUSTĂRI PE PRODUS'!$J$41+'AJUSTĂRI PE PRODUS'!$O$41+'AJUSTĂRI PE PRODUS'!$T$41+'AJUSTĂRI PE PRODUS'!$Y$41</f>
        <v>25.49</v>
      </c>
      <c r="AX80" s="90">
        <f t="shared" si="207"/>
        <v>15477.711711711709</v>
      </c>
      <c r="AY80" s="90">
        <f t="shared" si="208"/>
        <v>19014.16216216216</v>
      </c>
      <c r="AZ80" s="90">
        <f t="shared" si="209"/>
        <v>34491.873873873868</v>
      </c>
      <c r="BA80" s="91">
        <f t="shared" si="210"/>
        <v>0.30170967045900365</v>
      </c>
      <c r="BB80" s="91">
        <f t="shared" si="211"/>
        <v>0.3017096704590036</v>
      </c>
      <c r="BC80" s="91">
        <f t="shared" si="212"/>
        <v>0.3017096704590036</v>
      </c>
      <c r="BD80" s="92">
        <f t="shared" si="213"/>
        <v>0.10000000000000142</v>
      </c>
      <c r="BE80" s="92">
        <f t="shared" si="214"/>
        <v>0.19999999999999929</v>
      </c>
      <c r="BF80" s="92">
        <f t="shared" si="215"/>
        <v>0</v>
      </c>
      <c r="BG80" s="92">
        <f t="shared" si="216"/>
        <v>0</v>
      </c>
      <c r="BH80" s="92">
        <f t="shared" si="217"/>
        <v>0.18999999999999773</v>
      </c>
      <c r="BI80" s="93">
        <f t="shared" si="218"/>
        <v>0.48999999999999844</v>
      </c>
      <c r="BJ80" s="92">
        <f t="shared" si="219"/>
        <v>0.10000000000000142</v>
      </c>
      <c r="BK80" s="92">
        <f t="shared" si="220"/>
        <v>0.19999999999999929</v>
      </c>
      <c r="BL80" s="92">
        <f t="shared" si="221"/>
        <v>0</v>
      </c>
      <c r="BM80" s="92">
        <f t="shared" si="222"/>
        <v>0</v>
      </c>
      <c r="BN80" s="92">
        <f t="shared" si="223"/>
        <v>0.18999999999999773</v>
      </c>
      <c r="BO80" s="93">
        <f t="shared" si="224"/>
        <v>0.48999999999999844</v>
      </c>
      <c r="BQ80">
        <v>25.1</v>
      </c>
      <c r="BR80">
        <v>25.1</v>
      </c>
      <c r="BS80">
        <v>25.3</v>
      </c>
      <c r="BT80">
        <v>25.3</v>
      </c>
      <c r="BU80">
        <v>25.3</v>
      </c>
      <c r="BV80">
        <v>25.3</v>
      </c>
      <c r="BW80">
        <v>25.3</v>
      </c>
      <c r="BX80">
        <v>25.3</v>
      </c>
      <c r="BY80">
        <v>25.49</v>
      </c>
      <c r="BZ80">
        <v>25.49</v>
      </c>
    </row>
    <row r="81" spans="1:78" x14ac:dyDescent="0.2">
      <c r="A81" s="26">
        <v>7</v>
      </c>
      <c r="B81" s="26" t="s">
        <v>184</v>
      </c>
      <c r="C81" s="26" t="s">
        <v>102</v>
      </c>
      <c r="D81" s="74">
        <v>1</v>
      </c>
      <c r="E81" s="75">
        <v>11</v>
      </c>
      <c r="F81" s="76">
        <v>1080</v>
      </c>
      <c r="G81" s="76">
        <v>929</v>
      </c>
      <c r="H81" s="77">
        <f>SUMIFS(RETETAR!$I$4:$I$967,RETETAR!$A$4:$A$967,$M81,RETETAR!$C$4:$C$967,"AMBELE")+SUMIFS(RETETAR!$I$4:$I$967,RETETAR!$A$4:$A$967,$M81,RETETAR!$C$4:$C$967,"INSTORE")</f>
        <v>3.8960300000000001</v>
      </c>
      <c r="I81" s="77">
        <f>SUMIFS(RETETAR!$I$4:$I$967,RETETAR!$A$4:$A$967,$M81,RETETAR!$C$4:$C$967,"AMBELE")+SUMIFS(RETETAR!$I$4:$I$967,RETETAR!$A$4:$A$967,$M81,RETETAR!$C$4:$C$967,"DELIVERY")</f>
        <v>3.8960300000000001</v>
      </c>
      <c r="J81" s="78">
        <f t="shared" si="180"/>
        <v>4207.7124000000003</v>
      </c>
      <c r="K81" s="78">
        <f t="shared" si="181"/>
        <v>3619.4118699999999</v>
      </c>
      <c r="L81" s="78">
        <f t="shared" si="182"/>
        <v>7827.1242700000003</v>
      </c>
      <c r="M81" t="s">
        <v>184</v>
      </c>
      <c r="N81" s="79">
        <v>13.98</v>
      </c>
      <c r="O81" s="79">
        <v>13.98</v>
      </c>
      <c r="P81" s="80">
        <v>14.08</v>
      </c>
      <c r="Q81" s="80">
        <v>14.08</v>
      </c>
      <c r="R81" s="81">
        <f t="shared" si="183"/>
        <v>13699.459459459458</v>
      </c>
      <c r="S81" s="81">
        <f t="shared" si="184"/>
        <v>11784.072072072071</v>
      </c>
      <c r="T81" s="81">
        <f t="shared" si="185"/>
        <v>25483.531531531531</v>
      </c>
      <c r="U81" s="82">
        <f t="shared" si="186"/>
        <v>0.30714441051136365</v>
      </c>
      <c r="V81" s="82">
        <f t="shared" si="187"/>
        <v>0.30714441051136371</v>
      </c>
      <c r="W81" s="82">
        <f t="shared" si="188"/>
        <v>0.30714441051136365</v>
      </c>
      <c r="X81" s="83">
        <f>BS81+SCENARIU!$C$27+'AJUSTĂRI PE PRODUS'!$I$49</f>
        <v>14.28</v>
      </c>
      <c r="Y81" s="83">
        <f>BT81+SCENARIU!$C$27+'AJUSTĂRI PE PRODUS'!$J$49</f>
        <v>14.28</v>
      </c>
      <c r="Z81" s="84">
        <f t="shared" si="189"/>
        <v>13894.054054054051</v>
      </c>
      <c r="AA81" s="84">
        <f t="shared" si="190"/>
        <v>11951.459459459458</v>
      </c>
      <c r="AB81" s="84">
        <f t="shared" si="191"/>
        <v>25845.51351351351</v>
      </c>
      <c r="AC81" s="85">
        <f t="shared" si="192"/>
        <v>0.30284266806722693</v>
      </c>
      <c r="AD81" s="85">
        <f t="shared" si="193"/>
        <v>0.30284266806722698</v>
      </c>
      <c r="AE81" s="85">
        <f t="shared" si="194"/>
        <v>0.30284266806722693</v>
      </c>
      <c r="AF81" s="83">
        <f>BU81+SCENARIU!$C$27+SCENARIU!$D$27+'AJUSTĂRI PE PRODUS'!$I$49+'AJUSTĂRI PE PRODUS'!$N$49</f>
        <v>14.28</v>
      </c>
      <c r="AG81" s="83">
        <f>BV81+SCENARIU!$C$27+SCENARIU!$D$27+'AJUSTĂRI PE PRODUS'!$J$49+'AJUSTĂRI PE PRODUS'!$O$49</f>
        <v>14.28</v>
      </c>
      <c r="AH81" s="86">
        <f t="shared" si="195"/>
        <v>13894.054054054051</v>
      </c>
      <c r="AI81" s="86">
        <f t="shared" si="196"/>
        <v>11951.459459459458</v>
      </c>
      <c r="AJ81" s="86">
        <f t="shared" si="197"/>
        <v>25845.51351351351</v>
      </c>
      <c r="AK81" s="87">
        <f t="shared" si="198"/>
        <v>0.30284266806722693</v>
      </c>
      <c r="AL81" s="87">
        <f t="shared" si="199"/>
        <v>0.30284266806722698</v>
      </c>
      <c r="AM81" s="87">
        <f t="shared" si="200"/>
        <v>0.30284266806722693</v>
      </c>
      <c r="AN81" s="83">
        <f>BW81+SCENARIU!$C$27+SCENARIU!$D$27+SCENARIU!$E$27+'AJUSTĂRI PE PRODUS'!$I$49+'AJUSTĂRI PE PRODUS'!$N$49+'AJUSTĂRI PE PRODUS'!$S$49</f>
        <v>14.28</v>
      </c>
      <c r="AO81" s="83">
        <f>BX81+SCENARIU!$C$27+SCENARIU!$D$27+SCENARIU!$E$27+'AJUSTĂRI PE PRODUS'!$J$49+'AJUSTĂRI PE PRODUS'!$O$49+'AJUSTĂRI PE PRODUS'!$T$49</f>
        <v>14.28</v>
      </c>
      <c r="AP81" s="88">
        <f t="shared" si="201"/>
        <v>13894.054054054051</v>
      </c>
      <c r="AQ81" s="88">
        <f t="shared" si="202"/>
        <v>11951.459459459458</v>
      </c>
      <c r="AR81" s="88">
        <f t="shared" si="203"/>
        <v>25845.51351351351</v>
      </c>
      <c r="AS81" s="89">
        <f t="shared" si="204"/>
        <v>0.30284266806722693</v>
      </c>
      <c r="AT81" s="89">
        <f t="shared" si="205"/>
        <v>0.30284266806722698</v>
      </c>
      <c r="AU81" s="89">
        <f t="shared" si="206"/>
        <v>0.30284266806722693</v>
      </c>
      <c r="AV81" s="83">
        <f>BY81+SCENARIU!$C$27+SCENARIU!$D$27+SCENARIU!$E$27+SCENARIU!$F$27+'AJUSTĂRI PE PRODUS'!$I$49+'AJUSTĂRI PE PRODUS'!$N$49+'AJUSTĂRI PE PRODUS'!$S$49+'AJUSTĂRI PE PRODUS'!$X$49</f>
        <v>14.49</v>
      </c>
      <c r="AW81" s="83">
        <f>BZ81+SCENARIU!$C$27+SCENARIU!$D$27+SCENARIU!$E$27+SCENARIU!$F$27+'AJUSTĂRI PE PRODUS'!$J$49+'AJUSTĂRI PE PRODUS'!$O$49+'AJUSTĂRI PE PRODUS'!$T$49+'AJUSTĂRI PE PRODUS'!$Y$49</f>
        <v>14.49</v>
      </c>
      <c r="AX81" s="90">
        <f t="shared" si="207"/>
        <v>14098.378378378377</v>
      </c>
      <c r="AY81" s="90">
        <f t="shared" si="208"/>
        <v>12127.216216216215</v>
      </c>
      <c r="AZ81" s="90">
        <f t="shared" si="209"/>
        <v>26225.594594594593</v>
      </c>
      <c r="BA81" s="91">
        <f t="shared" si="210"/>
        <v>0.29845364389233958</v>
      </c>
      <c r="BB81" s="91">
        <f t="shared" si="211"/>
        <v>0.29845364389233958</v>
      </c>
      <c r="BC81" s="91">
        <f t="shared" si="212"/>
        <v>0.29845364389233958</v>
      </c>
      <c r="BD81" s="92">
        <f t="shared" si="213"/>
        <v>9.9999999999999645E-2</v>
      </c>
      <c r="BE81" s="92">
        <f t="shared" si="214"/>
        <v>0.19999999999999929</v>
      </c>
      <c r="BF81" s="92">
        <f t="shared" si="215"/>
        <v>0</v>
      </c>
      <c r="BG81" s="92">
        <f t="shared" si="216"/>
        <v>0</v>
      </c>
      <c r="BH81" s="92">
        <f t="shared" si="217"/>
        <v>0.21000000000000085</v>
      </c>
      <c r="BI81" s="93">
        <f t="shared" si="218"/>
        <v>0.50999999999999979</v>
      </c>
      <c r="BJ81" s="92">
        <f t="shared" si="219"/>
        <v>9.9999999999999645E-2</v>
      </c>
      <c r="BK81" s="92">
        <f t="shared" si="220"/>
        <v>0.19999999999999929</v>
      </c>
      <c r="BL81" s="92">
        <f t="shared" si="221"/>
        <v>0</v>
      </c>
      <c r="BM81" s="92">
        <f t="shared" si="222"/>
        <v>0</v>
      </c>
      <c r="BN81" s="92">
        <f t="shared" si="223"/>
        <v>0.21000000000000085</v>
      </c>
      <c r="BO81" s="93">
        <f t="shared" si="224"/>
        <v>0.50999999999999979</v>
      </c>
      <c r="BQ81">
        <v>14.08</v>
      </c>
      <c r="BR81">
        <v>14.08</v>
      </c>
      <c r="BS81">
        <v>14.28</v>
      </c>
      <c r="BT81">
        <v>14.28</v>
      </c>
      <c r="BU81">
        <v>14.28</v>
      </c>
      <c r="BV81">
        <v>14.28</v>
      </c>
      <c r="BW81">
        <v>14.28</v>
      </c>
      <c r="BX81">
        <v>14.28</v>
      </c>
      <c r="BY81">
        <v>14.49</v>
      </c>
      <c r="BZ81">
        <v>14.49</v>
      </c>
    </row>
    <row r="82" spans="1:78" x14ac:dyDescent="0.2">
      <c r="A82" s="26">
        <v>8</v>
      </c>
      <c r="B82" s="26" t="s">
        <v>197</v>
      </c>
      <c r="C82" s="26" t="s">
        <v>102</v>
      </c>
      <c r="D82" s="74">
        <v>1</v>
      </c>
      <c r="E82" s="75">
        <v>11</v>
      </c>
      <c r="F82" s="76">
        <v>2385</v>
      </c>
      <c r="G82" s="76">
        <v>1081</v>
      </c>
      <c r="H82" s="77">
        <f>SUMIFS(RETETAR!$I$4:$I$967,RETETAR!$A$4:$A$967,$M82,RETETAR!$C$4:$C$967,"AMBELE")+SUMIFS(RETETAR!$I$4:$I$967,RETETAR!$A$4:$A$967,$M82,RETETAR!$C$4:$C$967,"INSTORE")</f>
        <v>2.2719999999999998</v>
      </c>
      <c r="I82" s="77">
        <f>SUMIFS(RETETAR!$I$4:$I$967,RETETAR!$A$4:$A$967,$M82,RETETAR!$C$4:$C$967,"AMBELE")+SUMIFS(RETETAR!$I$4:$I$967,RETETAR!$A$4:$A$967,$M82,RETETAR!$C$4:$C$967,"DELIVERY")</f>
        <v>2.2719999999999998</v>
      </c>
      <c r="J82" s="78">
        <f t="shared" si="180"/>
        <v>5418.7199999999993</v>
      </c>
      <c r="K82" s="78">
        <f t="shared" si="181"/>
        <v>2456.0319999999997</v>
      </c>
      <c r="L82" s="78">
        <f t="shared" si="182"/>
        <v>7874.7519999999986</v>
      </c>
      <c r="M82" t="s">
        <v>197</v>
      </c>
      <c r="N82" s="79">
        <v>6</v>
      </c>
      <c r="O82" s="79">
        <v>6</v>
      </c>
      <c r="P82" s="80">
        <v>6.1</v>
      </c>
      <c r="Q82" s="80">
        <v>6.1</v>
      </c>
      <c r="R82" s="81">
        <f t="shared" si="183"/>
        <v>13106.756756756755</v>
      </c>
      <c r="S82" s="81">
        <f t="shared" si="184"/>
        <v>5940.6306306306296</v>
      </c>
      <c r="T82" s="81">
        <f t="shared" si="185"/>
        <v>19047.387387387385</v>
      </c>
      <c r="U82" s="82">
        <f t="shared" si="186"/>
        <v>0.41342950819672131</v>
      </c>
      <c r="V82" s="82">
        <f t="shared" si="187"/>
        <v>0.41342950819672131</v>
      </c>
      <c r="W82" s="82">
        <f t="shared" si="188"/>
        <v>0.41342950819672131</v>
      </c>
      <c r="X82" s="83">
        <f>BS82+SCENARIU!$C$27+'AJUSTĂRI PE PRODUS'!$I$58</f>
        <v>6.3</v>
      </c>
      <c r="Y82" s="83">
        <f>BT82+SCENARIU!$C$27+'AJUSTĂRI PE PRODUS'!$J$58</f>
        <v>6.3</v>
      </c>
      <c r="Z82" s="84">
        <f t="shared" si="189"/>
        <v>13536.486486486487</v>
      </c>
      <c r="AA82" s="84">
        <f t="shared" si="190"/>
        <v>6135.405405405405</v>
      </c>
      <c r="AB82" s="84">
        <f t="shared" si="191"/>
        <v>19671.891891891893</v>
      </c>
      <c r="AC82" s="85">
        <f t="shared" si="192"/>
        <v>0.40030476190476177</v>
      </c>
      <c r="AD82" s="85">
        <f t="shared" si="193"/>
        <v>0.40030476190476183</v>
      </c>
      <c r="AE82" s="85">
        <f t="shared" si="194"/>
        <v>0.40030476190476189</v>
      </c>
      <c r="AF82" s="83">
        <f>BU82+SCENARIU!$C$27+SCENARIU!$D$27+'AJUSTĂRI PE PRODUS'!$I$58+'AJUSTĂRI PE PRODUS'!$N$58</f>
        <v>6.3</v>
      </c>
      <c r="AG82" s="83">
        <f>BV82+SCENARIU!$C$27+SCENARIU!$D$27+'AJUSTĂRI PE PRODUS'!$J$58+'AJUSTĂRI PE PRODUS'!$O$58</f>
        <v>6.3</v>
      </c>
      <c r="AH82" s="86">
        <f t="shared" si="195"/>
        <v>13536.486486486487</v>
      </c>
      <c r="AI82" s="86">
        <f t="shared" si="196"/>
        <v>6135.405405405405</v>
      </c>
      <c r="AJ82" s="86">
        <f t="shared" si="197"/>
        <v>19671.891891891893</v>
      </c>
      <c r="AK82" s="87">
        <f t="shared" si="198"/>
        <v>0.40030476190476177</v>
      </c>
      <c r="AL82" s="87">
        <f t="shared" si="199"/>
        <v>0.40030476190476183</v>
      </c>
      <c r="AM82" s="87">
        <f t="shared" si="200"/>
        <v>0.40030476190476189</v>
      </c>
      <c r="AN82" s="83">
        <f>BW82+SCENARIU!$C$27+SCENARIU!$D$27+SCENARIU!$E$27+'AJUSTĂRI PE PRODUS'!$I$58+'AJUSTĂRI PE PRODUS'!$N$58+'AJUSTĂRI PE PRODUS'!$S$58</f>
        <v>6.3</v>
      </c>
      <c r="AO82" s="83">
        <f>BX82+SCENARIU!$C$27+SCENARIU!$D$27+SCENARIU!$E$27+'AJUSTĂRI PE PRODUS'!$J$58+'AJUSTĂRI PE PRODUS'!$O$58+'AJUSTĂRI PE PRODUS'!$T$58</f>
        <v>6.3</v>
      </c>
      <c r="AP82" s="88">
        <f t="shared" si="201"/>
        <v>13536.486486486487</v>
      </c>
      <c r="AQ82" s="88">
        <f t="shared" si="202"/>
        <v>6135.405405405405</v>
      </c>
      <c r="AR82" s="88">
        <f t="shared" si="203"/>
        <v>19671.891891891893</v>
      </c>
      <c r="AS82" s="89">
        <f t="shared" si="204"/>
        <v>0.40030476190476177</v>
      </c>
      <c r="AT82" s="89">
        <f t="shared" si="205"/>
        <v>0.40030476190476183</v>
      </c>
      <c r="AU82" s="89">
        <f t="shared" si="206"/>
        <v>0.40030476190476189</v>
      </c>
      <c r="AV82" s="83">
        <f>BY82+SCENARIU!$C$27+SCENARIU!$D$27+SCENARIU!$E$27+SCENARIU!$F$27+'AJUSTĂRI PE PRODUS'!$I$58+'AJUSTĂRI PE PRODUS'!$N$58+'AJUSTĂRI PE PRODUS'!$S$58+'AJUSTĂRI PE PRODUS'!$X$58</f>
        <v>6.49</v>
      </c>
      <c r="AW82" s="83">
        <f>BZ82+SCENARIU!$C$27+SCENARIU!$D$27+SCENARIU!$E$27+SCENARIU!$F$27+'AJUSTĂRI PE PRODUS'!$J$58+'AJUSTĂRI PE PRODUS'!$O$58+'AJUSTĂRI PE PRODUS'!$T$58+'AJUSTĂRI PE PRODUS'!$Y$58</f>
        <v>6.49</v>
      </c>
      <c r="AX82" s="90">
        <f t="shared" si="207"/>
        <v>13944.729729729728</v>
      </c>
      <c r="AY82" s="90">
        <f t="shared" si="208"/>
        <v>6320.4414414414405</v>
      </c>
      <c r="AZ82" s="90">
        <f t="shared" si="209"/>
        <v>20265.171171171169</v>
      </c>
      <c r="BA82" s="91">
        <f t="shared" si="210"/>
        <v>0.38858551617873649</v>
      </c>
      <c r="BB82" s="91">
        <f t="shared" si="211"/>
        <v>0.38858551617873649</v>
      </c>
      <c r="BC82" s="91">
        <f t="shared" si="212"/>
        <v>0.38858551617873655</v>
      </c>
      <c r="BD82" s="92">
        <f t="shared" si="213"/>
        <v>9.9999999999999645E-2</v>
      </c>
      <c r="BE82" s="92">
        <f t="shared" si="214"/>
        <v>0.20000000000000018</v>
      </c>
      <c r="BF82" s="92">
        <f t="shared" si="215"/>
        <v>0</v>
      </c>
      <c r="BG82" s="92">
        <f t="shared" si="216"/>
        <v>0</v>
      </c>
      <c r="BH82" s="92">
        <f t="shared" si="217"/>
        <v>0.19000000000000039</v>
      </c>
      <c r="BI82" s="93">
        <f t="shared" si="218"/>
        <v>0.49000000000000021</v>
      </c>
      <c r="BJ82" s="92">
        <f t="shared" si="219"/>
        <v>9.9999999999999645E-2</v>
      </c>
      <c r="BK82" s="92">
        <f t="shared" si="220"/>
        <v>0.20000000000000018</v>
      </c>
      <c r="BL82" s="92">
        <f t="shared" si="221"/>
        <v>0</v>
      </c>
      <c r="BM82" s="92">
        <f t="shared" si="222"/>
        <v>0</v>
      </c>
      <c r="BN82" s="92">
        <f t="shared" si="223"/>
        <v>0.19000000000000039</v>
      </c>
      <c r="BO82" s="93">
        <f t="shared" si="224"/>
        <v>0.49000000000000021</v>
      </c>
      <c r="BQ82">
        <v>6.1</v>
      </c>
      <c r="BR82">
        <v>6.1</v>
      </c>
      <c r="BS82">
        <v>6.3</v>
      </c>
      <c r="BT82">
        <v>6.3</v>
      </c>
      <c r="BU82">
        <v>6.3</v>
      </c>
      <c r="BV82">
        <v>6.3</v>
      </c>
      <c r="BW82">
        <v>6.3</v>
      </c>
      <c r="BX82">
        <v>6.3</v>
      </c>
      <c r="BY82">
        <v>6.49</v>
      </c>
      <c r="BZ82">
        <v>6.49</v>
      </c>
    </row>
    <row r="83" spans="1:78" x14ac:dyDescent="0.2">
      <c r="A83" s="26">
        <v>9</v>
      </c>
      <c r="B83" s="26" t="s">
        <v>213</v>
      </c>
      <c r="C83" s="26" t="s">
        <v>102</v>
      </c>
      <c r="D83" s="74">
        <v>1</v>
      </c>
      <c r="E83" s="75">
        <v>11</v>
      </c>
      <c r="F83" s="76">
        <v>3109</v>
      </c>
      <c r="G83" s="76">
        <v>606</v>
      </c>
      <c r="H83" s="77">
        <f>SUMIFS(RETETAR!$I$4:$I$967,RETETAR!$A$4:$A$967,$M83,RETETAR!$C$4:$C$967,"AMBELE")+SUMIFS(RETETAR!$I$4:$I$967,RETETAR!$A$4:$A$967,$M83,RETETAR!$C$4:$C$967,"INSTORE")</f>
        <v>0.45</v>
      </c>
      <c r="I83" s="77">
        <f>SUMIFS(RETETAR!$I$4:$I$967,RETETAR!$A$4:$A$967,$M83,RETETAR!$C$4:$C$967,"AMBELE")+SUMIFS(RETETAR!$I$4:$I$967,RETETAR!$A$4:$A$967,$M83,RETETAR!$C$4:$C$967,"DELIVERY")</f>
        <v>0.45</v>
      </c>
      <c r="J83" s="78">
        <f t="shared" si="180"/>
        <v>1399.05</v>
      </c>
      <c r="K83" s="78">
        <f t="shared" si="181"/>
        <v>272.7</v>
      </c>
      <c r="L83" s="78">
        <f t="shared" si="182"/>
        <v>1671.75</v>
      </c>
      <c r="M83" t="s">
        <v>213</v>
      </c>
      <c r="N83" s="79">
        <v>3</v>
      </c>
      <c r="O83" s="79">
        <v>3.5</v>
      </c>
      <c r="P83" s="80">
        <v>3.1</v>
      </c>
      <c r="Q83" s="80">
        <v>3.6</v>
      </c>
      <c r="R83" s="81">
        <f t="shared" si="183"/>
        <v>8682.7927927927922</v>
      </c>
      <c r="S83" s="81">
        <f t="shared" si="184"/>
        <v>1965.4054054054052</v>
      </c>
      <c r="T83" s="81">
        <f t="shared" si="185"/>
        <v>10648.198198198197</v>
      </c>
      <c r="U83" s="82">
        <f t="shared" si="186"/>
        <v>0.15699839248699185</v>
      </c>
      <c r="V83" s="82">
        <f t="shared" si="187"/>
        <v>0.16112903225806452</v>
      </c>
      <c r="W83" s="82">
        <f t="shared" si="188"/>
        <v>0.13875000000000001</v>
      </c>
      <c r="X83" s="83">
        <f>BS83+SCENARIU!$C$27+'AJUSTĂRI PE PRODUS'!$I$81</f>
        <v>3.3</v>
      </c>
      <c r="Y83" s="83">
        <f>BT83+SCENARIU!$C$27+'AJUSTĂRI PE PRODUS'!$J$81</f>
        <v>3.8</v>
      </c>
      <c r="Z83" s="84">
        <f t="shared" si="189"/>
        <v>9242.9729729729715</v>
      </c>
      <c r="AA83" s="84">
        <f t="shared" si="190"/>
        <v>2074.5945945945946</v>
      </c>
      <c r="AB83" s="84">
        <f t="shared" si="191"/>
        <v>11317.567567567567</v>
      </c>
      <c r="AC83" s="85">
        <f t="shared" si="192"/>
        <v>0.14771283582089553</v>
      </c>
      <c r="AD83" s="85">
        <f t="shared" si="193"/>
        <v>0.15136363636363639</v>
      </c>
      <c r="AE83" s="85">
        <f t="shared" si="194"/>
        <v>0.13144736842105262</v>
      </c>
      <c r="AF83" s="83">
        <f>BU83+SCENARIU!$C$27+SCENARIU!$D$27+'AJUSTĂRI PE PRODUS'!$I$81+'AJUSTĂRI PE PRODUS'!$N$81</f>
        <v>3.3</v>
      </c>
      <c r="AG83" s="83">
        <f>BV83+SCENARIU!$C$27+SCENARIU!$D$27+'AJUSTĂRI PE PRODUS'!$J$81+'AJUSTĂRI PE PRODUS'!$O$81</f>
        <v>3.8</v>
      </c>
      <c r="AH83" s="86">
        <f t="shared" si="195"/>
        <v>9242.9729729729715</v>
      </c>
      <c r="AI83" s="86">
        <f t="shared" si="196"/>
        <v>2074.5945945945946</v>
      </c>
      <c r="AJ83" s="86">
        <f t="shared" si="197"/>
        <v>11317.567567567567</v>
      </c>
      <c r="AK83" s="87">
        <f t="shared" si="198"/>
        <v>0.14771283582089553</v>
      </c>
      <c r="AL83" s="87">
        <f t="shared" si="199"/>
        <v>0.15136363636363639</v>
      </c>
      <c r="AM83" s="87">
        <f t="shared" si="200"/>
        <v>0.13144736842105262</v>
      </c>
      <c r="AN83" s="83">
        <f>BW83+SCENARIU!$C$27+SCENARIU!$D$27+SCENARIU!$E$27+'AJUSTĂRI PE PRODUS'!$I$81+'AJUSTĂRI PE PRODUS'!$N$81+'AJUSTĂRI PE PRODUS'!$S$81</f>
        <v>3.3</v>
      </c>
      <c r="AO83" s="83">
        <f>BX83+SCENARIU!$C$27+SCENARIU!$D$27+SCENARIU!$E$27+'AJUSTĂRI PE PRODUS'!$J$81+'AJUSTĂRI PE PRODUS'!$O$81+'AJUSTĂRI PE PRODUS'!$T$81</f>
        <v>3.8</v>
      </c>
      <c r="AP83" s="88">
        <f t="shared" si="201"/>
        <v>9242.9729729729715</v>
      </c>
      <c r="AQ83" s="88">
        <f t="shared" si="202"/>
        <v>2074.5945945945946</v>
      </c>
      <c r="AR83" s="88">
        <f t="shared" si="203"/>
        <v>11317.567567567567</v>
      </c>
      <c r="AS83" s="89">
        <f t="shared" si="204"/>
        <v>0.14771283582089553</v>
      </c>
      <c r="AT83" s="89">
        <f t="shared" si="205"/>
        <v>0.15136363636363639</v>
      </c>
      <c r="AU83" s="89">
        <f t="shared" si="206"/>
        <v>0.13144736842105262</v>
      </c>
      <c r="AV83" s="83">
        <f>BY83+SCENARIU!$C$27+SCENARIU!$D$27+SCENARIU!$E$27+SCENARIU!$F$27+'AJUSTĂRI PE PRODUS'!$I$81+'AJUSTĂRI PE PRODUS'!$N$81+'AJUSTĂRI PE PRODUS'!$S$81+'AJUSTĂRI PE PRODUS'!$X$81</f>
        <v>3.49</v>
      </c>
      <c r="AW83" s="83">
        <f>BZ83+SCENARIU!$C$27+SCENARIU!$D$27+SCENARIU!$E$27+SCENARIU!$F$27+'AJUSTĂRI PE PRODUS'!$J$81+'AJUSTĂRI PE PRODUS'!$O$81+'AJUSTĂRI PE PRODUS'!$T$81+'AJUSTĂRI PE PRODUS'!$Y$81</f>
        <v>3.99</v>
      </c>
      <c r="AX83" s="90">
        <f t="shared" si="207"/>
        <v>9775.1441441441439</v>
      </c>
      <c r="AY83" s="90">
        <f t="shared" si="208"/>
        <v>2178.3243243243242</v>
      </c>
      <c r="AZ83" s="90">
        <f t="shared" si="209"/>
        <v>11953.468468468469</v>
      </c>
      <c r="BA83" s="91">
        <f t="shared" si="210"/>
        <v>0.13985480485516286</v>
      </c>
      <c r="BB83" s="91">
        <f t="shared" si="211"/>
        <v>0.14312320916905444</v>
      </c>
      <c r="BC83" s="91">
        <f t="shared" si="212"/>
        <v>0.12518796992481204</v>
      </c>
      <c r="BD83" s="92">
        <f t="shared" si="213"/>
        <v>0.10000000000000009</v>
      </c>
      <c r="BE83" s="92">
        <f t="shared" si="214"/>
        <v>0.19999999999999973</v>
      </c>
      <c r="BF83" s="92">
        <f t="shared" si="215"/>
        <v>0</v>
      </c>
      <c r="BG83" s="92">
        <f t="shared" si="216"/>
        <v>0</v>
      </c>
      <c r="BH83" s="92">
        <f t="shared" si="217"/>
        <v>0.19000000000000039</v>
      </c>
      <c r="BI83" s="93">
        <f t="shared" si="218"/>
        <v>0.49000000000000021</v>
      </c>
      <c r="BJ83" s="92">
        <f t="shared" si="219"/>
        <v>0.10000000000000009</v>
      </c>
      <c r="BK83" s="92">
        <f t="shared" si="220"/>
        <v>0.19999999999999973</v>
      </c>
      <c r="BL83" s="92">
        <f t="shared" si="221"/>
        <v>0</v>
      </c>
      <c r="BM83" s="92">
        <f t="shared" si="222"/>
        <v>0</v>
      </c>
      <c r="BN83" s="92">
        <f t="shared" si="223"/>
        <v>0.19000000000000039</v>
      </c>
      <c r="BO83" s="93">
        <f t="shared" si="224"/>
        <v>0.49000000000000021</v>
      </c>
      <c r="BQ83">
        <v>3.1</v>
      </c>
      <c r="BR83">
        <v>3.6</v>
      </c>
      <c r="BS83">
        <v>3.3</v>
      </c>
      <c r="BT83">
        <v>3.8</v>
      </c>
      <c r="BU83">
        <v>3.3</v>
      </c>
      <c r="BV83">
        <v>3.8</v>
      </c>
      <c r="BW83">
        <v>3.3</v>
      </c>
      <c r="BX83">
        <v>3.8</v>
      </c>
      <c r="BY83">
        <v>3.49</v>
      </c>
      <c r="BZ83">
        <v>3.99</v>
      </c>
    </row>
    <row r="84" spans="1:78" x14ac:dyDescent="0.2">
      <c r="A84" s="26">
        <v>10</v>
      </c>
      <c r="B84" s="26" t="s">
        <v>217</v>
      </c>
      <c r="C84" s="26" t="s">
        <v>102</v>
      </c>
      <c r="D84" s="74">
        <v>1</v>
      </c>
      <c r="E84" s="75">
        <v>11</v>
      </c>
      <c r="F84" s="76">
        <v>2993</v>
      </c>
      <c r="G84" s="76">
        <v>373</v>
      </c>
      <c r="H84" s="77">
        <f>SUMIFS(RETETAR!$I$4:$I$967,RETETAR!$A$4:$A$967,$M84,RETETAR!$C$4:$C$967,"AMBELE")+SUMIFS(RETETAR!$I$4:$I$967,RETETAR!$A$4:$A$967,$M84,RETETAR!$C$4:$C$967,"INSTORE")</f>
        <v>0.45200000000000001</v>
      </c>
      <c r="I84" s="77">
        <f>SUMIFS(RETETAR!$I$4:$I$967,RETETAR!$A$4:$A$967,$M84,RETETAR!$C$4:$C$967,"AMBELE")+SUMIFS(RETETAR!$I$4:$I$967,RETETAR!$A$4:$A$967,$M84,RETETAR!$C$4:$C$967,"DELIVERY")</f>
        <v>0.45200000000000001</v>
      </c>
      <c r="J84" s="78">
        <f t="shared" si="180"/>
        <v>1352.836</v>
      </c>
      <c r="K84" s="78">
        <f t="shared" si="181"/>
        <v>168.596</v>
      </c>
      <c r="L84" s="78">
        <f t="shared" si="182"/>
        <v>1521.432</v>
      </c>
      <c r="M84" t="s">
        <v>217</v>
      </c>
      <c r="N84" s="79">
        <v>3</v>
      </c>
      <c r="O84" s="79">
        <v>3.5</v>
      </c>
      <c r="P84" s="80">
        <v>3.1</v>
      </c>
      <c r="Q84" s="80">
        <v>3.6</v>
      </c>
      <c r="R84" s="81">
        <f t="shared" si="183"/>
        <v>8358.8288288288277</v>
      </c>
      <c r="S84" s="81">
        <f t="shared" si="184"/>
        <v>1209.7297297297296</v>
      </c>
      <c r="T84" s="81">
        <f t="shared" si="185"/>
        <v>9568.5585585585577</v>
      </c>
      <c r="U84" s="82">
        <f t="shared" si="186"/>
        <v>0.15900325954938754</v>
      </c>
      <c r="V84" s="82">
        <f t="shared" si="187"/>
        <v>0.16184516129032261</v>
      </c>
      <c r="W84" s="82">
        <f t="shared" si="188"/>
        <v>0.13936666666666669</v>
      </c>
      <c r="X84" s="83">
        <f>BS84+SCENARIU!$C$27+'AJUSTĂRI PE PRODUS'!$I$84</f>
        <v>3.3</v>
      </c>
      <c r="Y84" s="83">
        <f>BT84+SCENARIU!$C$27+'AJUSTĂRI PE PRODUS'!$J$84</f>
        <v>3.8</v>
      </c>
      <c r="Z84" s="84">
        <f t="shared" si="189"/>
        <v>8898.1081081081065</v>
      </c>
      <c r="AA84" s="84">
        <f t="shared" si="190"/>
        <v>1276.9369369369367</v>
      </c>
      <c r="AB84" s="84">
        <f t="shared" si="191"/>
        <v>10175.045045045043</v>
      </c>
      <c r="AC84" s="85">
        <f t="shared" si="192"/>
        <v>0.14952582453095814</v>
      </c>
      <c r="AD84" s="85">
        <f t="shared" si="193"/>
        <v>0.15203636363636366</v>
      </c>
      <c r="AE84" s="85">
        <f t="shared" si="194"/>
        <v>0.13203157894736844</v>
      </c>
      <c r="AF84" s="83">
        <f>BU84+SCENARIU!$C$27+SCENARIU!$D$27+'AJUSTĂRI PE PRODUS'!$I$84+'AJUSTĂRI PE PRODUS'!$N$84</f>
        <v>3.3</v>
      </c>
      <c r="AG84" s="83">
        <f>BV84+SCENARIU!$C$27+SCENARIU!$D$27+'AJUSTĂRI PE PRODUS'!$J$84+'AJUSTĂRI PE PRODUS'!$O$84</f>
        <v>3.8</v>
      </c>
      <c r="AH84" s="86">
        <f t="shared" si="195"/>
        <v>8898.1081081081065</v>
      </c>
      <c r="AI84" s="86">
        <f t="shared" si="196"/>
        <v>1276.9369369369367</v>
      </c>
      <c r="AJ84" s="86">
        <f t="shared" si="197"/>
        <v>10175.045045045043</v>
      </c>
      <c r="AK84" s="87">
        <f t="shared" si="198"/>
        <v>0.14952582453095814</v>
      </c>
      <c r="AL84" s="87">
        <f t="shared" si="199"/>
        <v>0.15203636363636366</v>
      </c>
      <c r="AM84" s="87">
        <f t="shared" si="200"/>
        <v>0.13203157894736844</v>
      </c>
      <c r="AN84" s="83">
        <f>BW84+SCENARIU!$C$27+SCENARIU!$D$27+SCENARIU!$E$27+'AJUSTĂRI PE PRODUS'!$I$84+'AJUSTĂRI PE PRODUS'!$N$84+'AJUSTĂRI PE PRODUS'!$S$84</f>
        <v>3.3</v>
      </c>
      <c r="AO84" s="83">
        <f>BX84+SCENARIU!$C$27+SCENARIU!$D$27+SCENARIU!$E$27+'AJUSTĂRI PE PRODUS'!$J$84+'AJUSTĂRI PE PRODUS'!$O$84+'AJUSTĂRI PE PRODUS'!$T$84</f>
        <v>3.8</v>
      </c>
      <c r="AP84" s="88">
        <f t="shared" si="201"/>
        <v>8898.1081081081065</v>
      </c>
      <c r="AQ84" s="88">
        <f t="shared" si="202"/>
        <v>1276.9369369369367</v>
      </c>
      <c r="AR84" s="88">
        <f t="shared" si="203"/>
        <v>10175.045045045043</v>
      </c>
      <c r="AS84" s="89">
        <f t="shared" si="204"/>
        <v>0.14952582453095814</v>
      </c>
      <c r="AT84" s="89">
        <f t="shared" si="205"/>
        <v>0.15203636363636366</v>
      </c>
      <c r="AU84" s="89">
        <f t="shared" si="206"/>
        <v>0.13203157894736844</v>
      </c>
      <c r="AV84" s="83">
        <f>BY84+SCENARIU!$C$27+SCENARIU!$D$27+SCENARIU!$E$27+SCENARIU!$F$27+'AJUSTĂRI PE PRODUS'!$I$84+'AJUSTĂRI PE PRODUS'!$N$84+'AJUSTĂRI PE PRODUS'!$S$84+'AJUSTĂRI PE PRODUS'!$X$84</f>
        <v>3.49</v>
      </c>
      <c r="AW84" s="83">
        <f>BZ84+SCENARIU!$C$27+SCENARIU!$D$27+SCENARIU!$E$27+SCENARIU!$F$27+'AJUSTĂRI PE PRODUS'!$J$84+'AJUSTĂRI PE PRODUS'!$O$84+'AJUSTĂRI PE PRODUS'!$T$84+'AJUSTĂRI PE PRODUS'!$Y$84</f>
        <v>3.99</v>
      </c>
      <c r="AX84" s="90">
        <f t="shared" si="207"/>
        <v>9410.4234234234227</v>
      </c>
      <c r="AY84" s="90">
        <f t="shared" si="208"/>
        <v>1340.7837837837837</v>
      </c>
      <c r="AZ84" s="90">
        <f t="shared" si="209"/>
        <v>10751.207207207206</v>
      </c>
      <c r="BA84" s="91">
        <f t="shared" si="210"/>
        <v>0.14151266650131059</v>
      </c>
      <c r="BB84" s="91">
        <f t="shared" si="211"/>
        <v>0.1437593123209169</v>
      </c>
      <c r="BC84" s="91">
        <f t="shared" si="212"/>
        <v>0.12574436090225566</v>
      </c>
      <c r="BD84" s="92">
        <f t="shared" si="213"/>
        <v>0.10000000000000009</v>
      </c>
      <c r="BE84" s="92">
        <f t="shared" si="214"/>
        <v>0.19999999999999973</v>
      </c>
      <c r="BF84" s="92">
        <f t="shared" si="215"/>
        <v>0</v>
      </c>
      <c r="BG84" s="92">
        <f t="shared" si="216"/>
        <v>0</v>
      </c>
      <c r="BH84" s="92">
        <f t="shared" si="217"/>
        <v>0.19000000000000039</v>
      </c>
      <c r="BI84" s="93">
        <f t="shared" si="218"/>
        <v>0.49000000000000021</v>
      </c>
      <c r="BJ84" s="92">
        <f t="shared" si="219"/>
        <v>0.10000000000000009</v>
      </c>
      <c r="BK84" s="92">
        <f t="shared" si="220"/>
        <v>0.19999999999999973</v>
      </c>
      <c r="BL84" s="92">
        <f t="shared" si="221"/>
        <v>0</v>
      </c>
      <c r="BM84" s="92">
        <f t="shared" si="222"/>
        <v>0</v>
      </c>
      <c r="BN84" s="92">
        <f t="shared" si="223"/>
        <v>0.19000000000000039</v>
      </c>
      <c r="BO84" s="93">
        <f t="shared" si="224"/>
        <v>0.49000000000000021</v>
      </c>
      <c r="BQ84">
        <v>3.1</v>
      </c>
      <c r="BR84">
        <v>3.6</v>
      </c>
      <c r="BS84">
        <v>3.3</v>
      </c>
      <c r="BT84">
        <v>3.8</v>
      </c>
      <c r="BU84">
        <v>3.3</v>
      </c>
      <c r="BV84">
        <v>3.8</v>
      </c>
      <c r="BW84">
        <v>3.3</v>
      </c>
      <c r="BX84">
        <v>3.8</v>
      </c>
      <c r="BY84">
        <v>3.49</v>
      </c>
      <c r="BZ84">
        <v>3.99</v>
      </c>
    </row>
    <row r="85" spans="1:78" x14ac:dyDescent="0.2">
      <c r="A85" s="26">
        <v>11</v>
      </c>
      <c r="B85" s="26" t="s">
        <v>221</v>
      </c>
      <c r="C85" s="26" t="s">
        <v>102</v>
      </c>
      <c r="D85" s="74">
        <v>1</v>
      </c>
      <c r="E85" s="75">
        <v>11</v>
      </c>
      <c r="F85" s="76">
        <v>987</v>
      </c>
      <c r="G85" s="76">
        <v>455</v>
      </c>
      <c r="H85" s="77">
        <f>SUMIFS(RETETAR!$I$4:$I$967,RETETAR!$A$4:$A$967,$M85,RETETAR!$C$4:$C$967,"AMBELE")+SUMIFS(RETETAR!$I$4:$I$967,RETETAR!$A$4:$A$967,$M85,RETETAR!$C$4:$C$967,"INSTORE")</f>
        <v>2.1280000000000001</v>
      </c>
      <c r="I85" s="77">
        <f>SUMIFS(RETETAR!$I$4:$I$967,RETETAR!$A$4:$A$967,$M85,RETETAR!$C$4:$C$967,"AMBELE")+SUMIFS(RETETAR!$I$4:$I$967,RETETAR!$A$4:$A$967,$M85,RETETAR!$C$4:$C$967,"DELIVERY")</f>
        <v>2.1280000000000001</v>
      </c>
      <c r="J85" s="78">
        <f t="shared" si="180"/>
        <v>2100.3360000000002</v>
      </c>
      <c r="K85" s="78">
        <f t="shared" si="181"/>
        <v>968.24</v>
      </c>
      <c r="L85" s="78">
        <f t="shared" si="182"/>
        <v>3068.576</v>
      </c>
      <c r="M85" t="s">
        <v>221</v>
      </c>
      <c r="N85" s="79">
        <v>6</v>
      </c>
      <c r="O85" s="79">
        <v>6</v>
      </c>
      <c r="P85" s="80">
        <v>6.1</v>
      </c>
      <c r="Q85" s="80">
        <v>6.1</v>
      </c>
      <c r="R85" s="81">
        <f t="shared" si="183"/>
        <v>5424.0540540540533</v>
      </c>
      <c r="S85" s="81">
        <f t="shared" si="184"/>
        <v>2500.4504504504498</v>
      </c>
      <c r="T85" s="81">
        <f t="shared" si="185"/>
        <v>7924.5045045045026</v>
      </c>
      <c r="U85" s="82">
        <f t="shared" si="186"/>
        <v>0.3872262295081968</v>
      </c>
      <c r="V85" s="82">
        <f t="shared" si="187"/>
        <v>0.3872262295081968</v>
      </c>
      <c r="W85" s="82">
        <f t="shared" si="188"/>
        <v>0.38722622950819685</v>
      </c>
      <c r="X85" s="83">
        <f>BS85+SCENARIU!$C$27+'AJUSTĂRI PE PRODUS'!$I$83</f>
        <v>6.3</v>
      </c>
      <c r="Y85" s="83">
        <f>BT85+SCENARIU!$C$27+'AJUSTĂRI PE PRODUS'!$J$83</f>
        <v>6.3</v>
      </c>
      <c r="Z85" s="84">
        <f t="shared" si="189"/>
        <v>5601.8918918918916</v>
      </c>
      <c r="AA85" s="84">
        <f t="shared" si="190"/>
        <v>2582.4324324324325</v>
      </c>
      <c r="AB85" s="84">
        <f t="shared" si="191"/>
        <v>8184.3243243243242</v>
      </c>
      <c r="AC85" s="85">
        <f t="shared" si="192"/>
        <v>0.37493333333333334</v>
      </c>
      <c r="AD85" s="85">
        <f t="shared" si="193"/>
        <v>0.3749333333333334</v>
      </c>
      <c r="AE85" s="85">
        <f t="shared" si="194"/>
        <v>0.37493333333333334</v>
      </c>
      <c r="AF85" s="83">
        <f>BU85+SCENARIU!$C$27+SCENARIU!$D$27+'AJUSTĂRI PE PRODUS'!$I$83+'AJUSTĂRI PE PRODUS'!$N$83</f>
        <v>6.3</v>
      </c>
      <c r="AG85" s="83">
        <f>BV85+SCENARIU!$C$27+SCENARIU!$D$27+'AJUSTĂRI PE PRODUS'!$J$83+'AJUSTĂRI PE PRODUS'!$O$83</f>
        <v>6.3</v>
      </c>
      <c r="AH85" s="86">
        <f t="shared" si="195"/>
        <v>5601.8918918918916</v>
      </c>
      <c r="AI85" s="86">
        <f t="shared" si="196"/>
        <v>2582.4324324324325</v>
      </c>
      <c r="AJ85" s="86">
        <f t="shared" si="197"/>
        <v>8184.3243243243242</v>
      </c>
      <c r="AK85" s="87">
        <f t="shared" si="198"/>
        <v>0.37493333333333334</v>
      </c>
      <c r="AL85" s="87">
        <f t="shared" si="199"/>
        <v>0.3749333333333334</v>
      </c>
      <c r="AM85" s="87">
        <f t="shared" si="200"/>
        <v>0.37493333333333334</v>
      </c>
      <c r="AN85" s="83">
        <f>BW85+SCENARIU!$C$27+SCENARIU!$D$27+SCENARIU!$E$27+'AJUSTĂRI PE PRODUS'!$I$83+'AJUSTĂRI PE PRODUS'!$N$83+'AJUSTĂRI PE PRODUS'!$S$83</f>
        <v>6.3</v>
      </c>
      <c r="AO85" s="83">
        <f>BX85+SCENARIU!$C$27+SCENARIU!$D$27+SCENARIU!$E$27+'AJUSTĂRI PE PRODUS'!$J$83+'AJUSTĂRI PE PRODUS'!$O$83+'AJUSTĂRI PE PRODUS'!$T$83</f>
        <v>6.3</v>
      </c>
      <c r="AP85" s="88">
        <f t="shared" si="201"/>
        <v>5601.8918918918916</v>
      </c>
      <c r="AQ85" s="88">
        <f t="shared" si="202"/>
        <v>2582.4324324324325</v>
      </c>
      <c r="AR85" s="88">
        <f t="shared" si="203"/>
        <v>8184.3243243243242</v>
      </c>
      <c r="AS85" s="89">
        <f t="shared" si="204"/>
        <v>0.37493333333333334</v>
      </c>
      <c r="AT85" s="89">
        <f t="shared" si="205"/>
        <v>0.3749333333333334</v>
      </c>
      <c r="AU85" s="89">
        <f t="shared" si="206"/>
        <v>0.37493333333333334</v>
      </c>
      <c r="AV85" s="83">
        <f>BY85+SCENARIU!$C$27+SCENARIU!$D$27+SCENARIU!$E$27+SCENARIU!$F$27+'AJUSTĂRI PE PRODUS'!$I$83+'AJUSTĂRI PE PRODUS'!$N$83+'AJUSTĂRI PE PRODUS'!$S$83+'AJUSTĂRI PE PRODUS'!$X$83</f>
        <v>6.49</v>
      </c>
      <c r="AW85" s="83">
        <f>BZ85+SCENARIU!$C$27+SCENARIU!$D$27+SCENARIU!$E$27+SCENARIU!$F$27+'AJUSTĂRI PE PRODUS'!$J$83+'AJUSTĂRI PE PRODUS'!$O$83+'AJUSTĂRI PE PRODUS'!$T$83+'AJUSTĂRI PE PRODUS'!$Y$83</f>
        <v>6.49</v>
      </c>
      <c r="AX85" s="90">
        <f t="shared" si="207"/>
        <v>5770.8378378378375</v>
      </c>
      <c r="AY85" s="90">
        <f t="shared" si="208"/>
        <v>2660.3153153153148</v>
      </c>
      <c r="AZ85" s="90">
        <f t="shared" si="209"/>
        <v>8431.1531531531527</v>
      </c>
      <c r="BA85" s="91">
        <f t="shared" si="210"/>
        <v>0.36395685670261946</v>
      </c>
      <c r="BB85" s="91">
        <f t="shared" si="211"/>
        <v>0.36395685670261946</v>
      </c>
      <c r="BC85" s="91">
        <f t="shared" si="212"/>
        <v>0.36395685670261951</v>
      </c>
      <c r="BD85" s="92">
        <f t="shared" si="213"/>
        <v>9.9999999999999645E-2</v>
      </c>
      <c r="BE85" s="92">
        <f t="shared" si="214"/>
        <v>0.20000000000000018</v>
      </c>
      <c r="BF85" s="92">
        <f t="shared" si="215"/>
        <v>0</v>
      </c>
      <c r="BG85" s="92">
        <f t="shared" si="216"/>
        <v>0</v>
      </c>
      <c r="BH85" s="92">
        <f t="shared" si="217"/>
        <v>0.19000000000000039</v>
      </c>
      <c r="BI85" s="93">
        <f t="shared" si="218"/>
        <v>0.49000000000000021</v>
      </c>
      <c r="BJ85" s="92">
        <f t="shared" si="219"/>
        <v>9.9999999999999645E-2</v>
      </c>
      <c r="BK85" s="92">
        <f t="shared" si="220"/>
        <v>0.20000000000000018</v>
      </c>
      <c r="BL85" s="92">
        <f t="shared" si="221"/>
        <v>0</v>
      </c>
      <c r="BM85" s="92">
        <f t="shared" si="222"/>
        <v>0</v>
      </c>
      <c r="BN85" s="92">
        <f t="shared" si="223"/>
        <v>0.19000000000000039</v>
      </c>
      <c r="BO85" s="93">
        <f t="shared" si="224"/>
        <v>0.49000000000000021</v>
      </c>
      <c r="BQ85">
        <v>6.1</v>
      </c>
      <c r="BR85">
        <v>6.1</v>
      </c>
      <c r="BS85">
        <v>6.3</v>
      </c>
      <c r="BT85">
        <v>6.3</v>
      </c>
      <c r="BU85">
        <v>6.3</v>
      </c>
      <c r="BV85">
        <v>6.3</v>
      </c>
      <c r="BW85">
        <v>6.3</v>
      </c>
      <c r="BX85">
        <v>6.3</v>
      </c>
      <c r="BY85">
        <v>6.49</v>
      </c>
      <c r="BZ85">
        <v>6.49</v>
      </c>
    </row>
    <row r="86" spans="1:78" x14ac:dyDescent="0.2">
      <c r="A86" s="26">
        <v>12</v>
      </c>
      <c r="B86" s="26" t="s">
        <v>233</v>
      </c>
      <c r="C86" s="26" t="s">
        <v>102</v>
      </c>
      <c r="D86" s="74">
        <v>1</v>
      </c>
      <c r="E86" s="75">
        <v>11</v>
      </c>
      <c r="F86" s="76">
        <v>73</v>
      </c>
      <c r="G86" s="76">
        <v>111</v>
      </c>
      <c r="H86" s="77">
        <f>SUMIFS(RETETAR!$I$4:$I$967,RETETAR!$A$4:$A$967,$M86,RETETAR!$C$4:$C$967,"AMBELE")+SUMIFS(RETETAR!$I$4:$I$967,RETETAR!$A$4:$A$967,$M86,RETETAR!$C$4:$C$967,"INSTORE")</f>
        <v>10.898520000000001</v>
      </c>
      <c r="I86" s="77">
        <f>SUMIFS(RETETAR!$I$4:$I$967,RETETAR!$A$4:$A$967,$M86,RETETAR!$C$4:$C$967,"AMBELE")+SUMIFS(RETETAR!$I$4:$I$967,RETETAR!$A$4:$A$967,$M86,RETETAR!$C$4:$C$967,"DELIVERY")</f>
        <v>10.898520000000001</v>
      </c>
      <c r="J86" s="78">
        <f t="shared" si="180"/>
        <v>795.59196000000009</v>
      </c>
      <c r="K86" s="78">
        <f t="shared" si="181"/>
        <v>1209.7357200000001</v>
      </c>
      <c r="L86" s="78">
        <f t="shared" si="182"/>
        <v>2005.3276800000003</v>
      </c>
      <c r="M86" t="s">
        <v>233</v>
      </c>
      <c r="N86" s="79">
        <v>35</v>
      </c>
      <c r="O86" s="79">
        <v>35</v>
      </c>
      <c r="P86" s="80">
        <v>35.1</v>
      </c>
      <c r="Q86" s="80">
        <v>35.1</v>
      </c>
      <c r="R86" s="81">
        <f t="shared" si="183"/>
        <v>2308.3783783783783</v>
      </c>
      <c r="S86" s="81">
        <f t="shared" si="184"/>
        <v>3510</v>
      </c>
      <c r="T86" s="81">
        <f t="shared" si="185"/>
        <v>5818.3783783783783</v>
      </c>
      <c r="U86" s="82">
        <f t="shared" si="186"/>
        <v>0.34465405128205134</v>
      </c>
      <c r="V86" s="82">
        <f t="shared" si="187"/>
        <v>0.34465405128205134</v>
      </c>
      <c r="W86" s="82">
        <f t="shared" si="188"/>
        <v>0.34465405128205134</v>
      </c>
      <c r="X86" s="83">
        <f>BS86+SCENARIU!$C$27+'AJUSTĂRI PE PRODUS'!$I$96</f>
        <v>35.299999999999997</v>
      </c>
      <c r="Y86" s="83">
        <f>BT86+SCENARIU!$C$27+'AJUSTĂRI PE PRODUS'!$J$96</f>
        <v>35.299999999999997</v>
      </c>
      <c r="Z86" s="84">
        <f t="shared" si="189"/>
        <v>2321.5315315315311</v>
      </c>
      <c r="AA86" s="84">
        <f t="shared" si="190"/>
        <v>3529.9999999999995</v>
      </c>
      <c r="AB86" s="84">
        <f t="shared" si="191"/>
        <v>5851.5315315315311</v>
      </c>
      <c r="AC86" s="85">
        <f t="shared" si="192"/>
        <v>0.34270133711048167</v>
      </c>
      <c r="AD86" s="85">
        <f t="shared" si="193"/>
        <v>0.34270133711048167</v>
      </c>
      <c r="AE86" s="85">
        <f t="shared" si="194"/>
        <v>0.34270133711048167</v>
      </c>
      <c r="AF86" s="83">
        <f>BU86+SCENARIU!$C$27+SCENARIU!$D$27+'AJUSTĂRI PE PRODUS'!$I$96+'AJUSTĂRI PE PRODUS'!$N$96</f>
        <v>35.299999999999997</v>
      </c>
      <c r="AG86" s="83">
        <f>BV86+SCENARIU!$C$27+SCENARIU!$D$27+'AJUSTĂRI PE PRODUS'!$J$96+'AJUSTĂRI PE PRODUS'!$O$96</f>
        <v>35.299999999999997</v>
      </c>
      <c r="AH86" s="86">
        <f t="shared" si="195"/>
        <v>2321.5315315315311</v>
      </c>
      <c r="AI86" s="86">
        <f t="shared" si="196"/>
        <v>3529.9999999999995</v>
      </c>
      <c r="AJ86" s="86">
        <f t="shared" si="197"/>
        <v>5851.5315315315311</v>
      </c>
      <c r="AK86" s="87">
        <f t="shared" si="198"/>
        <v>0.34270133711048167</v>
      </c>
      <c r="AL86" s="87">
        <f t="shared" si="199"/>
        <v>0.34270133711048167</v>
      </c>
      <c r="AM86" s="87">
        <f t="shared" si="200"/>
        <v>0.34270133711048167</v>
      </c>
      <c r="AN86" s="83">
        <f>BW86+SCENARIU!$C$27+SCENARIU!$D$27+SCENARIU!$E$27+'AJUSTĂRI PE PRODUS'!$I$96+'AJUSTĂRI PE PRODUS'!$N$96+'AJUSTĂRI PE PRODUS'!$S$96</f>
        <v>35.299999999999997</v>
      </c>
      <c r="AO86" s="83">
        <f>BX86+SCENARIU!$C$27+SCENARIU!$D$27+SCENARIU!$E$27+'AJUSTĂRI PE PRODUS'!$J$96+'AJUSTĂRI PE PRODUS'!$O$96+'AJUSTĂRI PE PRODUS'!$T$96</f>
        <v>35.299999999999997</v>
      </c>
      <c r="AP86" s="88">
        <f t="shared" si="201"/>
        <v>2321.5315315315311</v>
      </c>
      <c r="AQ86" s="88">
        <f t="shared" si="202"/>
        <v>3529.9999999999995</v>
      </c>
      <c r="AR86" s="88">
        <f t="shared" si="203"/>
        <v>5851.5315315315311</v>
      </c>
      <c r="AS86" s="89">
        <f t="shared" si="204"/>
        <v>0.34270133711048167</v>
      </c>
      <c r="AT86" s="89">
        <f t="shared" si="205"/>
        <v>0.34270133711048167</v>
      </c>
      <c r="AU86" s="89">
        <f t="shared" si="206"/>
        <v>0.34270133711048167</v>
      </c>
      <c r="AV86" s="83">
        <f>BY86+SCENARIU!$C$27+SCENARIU!$D$27+SCENARIU!$E$27+SCENARIU!$F$27+'AJUSTĂRI PE PRODUS'!$I$96+'AJUSTĂRI PE PRODUS'!$N$96+'AJUSTĂRI PE PRODUS'!$S$96+'AJUSTĂRI PE PRODUS'!$X$96</f>
        <v>35.49</v>
      </c>
      <c r="AW86" s="83">
        <f>BZ86+SCENARIU!$C$27+SCENARIU!$D$27+SCENARIU!$E$27+SCENARIU!$F$27+'AJUSTĂRI PE PRODUS'!$J$96+'AJUSTĂRI PE PRODUS'!$O$96+'AJUSTĂRI PE PRODUS'!$T$96+'AJUSTĂRI PE PRODUS'!$Y$96</f>
        <v>35.49</v>
      </c>
      <c r="AX86" s="90">
        <f t="shared" si="207"/>
        <v>2334.0270270270271</v>
      </c>
      <c r="AY86" s="90">
        <f t="shared" si="208"/>
        <v>3549</v>
      </c>
      <c r="AZ86" s="90">
        <f t="shared" si="209"/>
        <v>5883.0270270270266</v>
      </c>
      <c r="BA86" s="91">
        <f t="shared" si="210"/>
        <v>0.34086664412510576</v>
      </c>
      <c r="BB86" s="91">
        <f t="shared" si="211"/>
        <v>0.3408666441251057</v>
      </c>
      <c r="BC86" s="91">
        <f t="shared" si="212"/>
        <v>0.3408666441251057</v>
      </c>
      <c r="BD86" s="92">
        <f t="shared" si="213"/>
        <v>0.10000000000000142</v>
      </c>
      <c r="BE86" s="92">
        <f t="shared" si="214"/>
        <v>0.19999999999999574</v>
      </c>
      <c r="BF86" s="92">
        <f t="shared" si="215"/>
        <v>0</v>
      </c>
      <c r="BG86" s="92">
        <f t="shared" si="216"/>
        <v>0</v>
      </c>
      <c r="BH86" s="92">
        <f t="shared" si="217"/>
        <v>0.19000000000000483</v>
      </c>
      <c r="BI86" s="93">
        <f t="shared" si="218"/>
        <v>0.49000000000000199</v>
      </c>
      <c r="BJ86" s="92">
        <f t="shared" si="219"/>
        <v>0.10000000000000142</v>
      </c>
      <c r="BK86" s="92">
        <f t="shared" si="220"/>
        <v>0.19999999999999574</v>
      </c>
      <c r="BL86" s="92">
        <f t="shared" si="221"/>
        <v>0</v>
      </c>
      <c r="BM86" s="92">
        <f t="shared" si="222"/>
        <v>0</v>
      </c>
      <c r="BN86" s="92">
        <f t="shared" si="223"/>
        <v>0.19000000000000483</v>
      </c>
      <c r="BO86" s="93">
        <f t="shared" si="224"/>
        <v>0.49000000000000199</v>
      </c>
      <c r="BQ86">
        <v>35.1</v>
      </c>
      <c r="BR86">
        <v>35.1</v>
      </c>
      <c r="BS86">
        <v>35.299999999999997</v>
      </c>
      <c r="BT86">
        <v>35.299999999999997</v>
      </c>
      <c r="BU86">
        <v>35.299999999999997</v>
      </c>
      <c r="BV86">
        <v>35.299999999999997</v>
      </c>
      <c r="BW86">
        <v>35.299999999999997</v>
      </c>
      <c r="BX86">
        <v>35.299999999999997</v>
      </c>
      <c r="BY86">
        <v>35.49</v>
      </c>
      <c r="BZ86">
        <v>35.49</v>
      </c>
    </row>
    <row r="87" spans="1:78" x14ac:dyDescent="0.2">
      <c r="A87" s="26">
        <v>13</v>
      </c>
      <c r="B87" s="26" t="s">
        <v>248</v>
      </c>
      <c r="C87" s="26" t="s">
        <v>102</v>
      </c>
      <c r="D87" s="74">
        <v>1</v>
      </c>
      <c r="E87" s="75">
        <v>11</v>
      </c>
      <c r="F87" s="76">
        <v>487</v>
      </c>
      <c r="G87" s="76">
        <v>308</v>
      </c>
      <c r="H87" s="77">
        <f>SUMIFS(RETETAR!$I$4:$I$967,RETETAR!$A$4:$A$967,$M87,RETETAR!$C$4:$C$967,"AMBELE")+SUMIFS(RETETAR!$I$4:$I$967,RETETAR!$A$4:$A$967,$M87,RETETAR!$C$4:$C$967,"INSTORE")</f>
        <v>1.43</v>
      </c>
      <c r="I87" s="77">
        <f>SUMIFS(RETETAR!$I$4:$I$967,RETETAR!$A$4:$A$967,$M87,RETETAR!$C$4:$C$967,"AMBELE")+SUMIFS(RETETAR!$I$4:$I$967,RETETAR!$A$4:$A$967,$M87,RETETAR!$C$4:$C$967,"DELIVERY")</f>
        <v>1.43</v>
      </c>
      <c r="J87" s="78">
        <f t="shared" si="180"/>
        <v>696.41</v>
      </c>
      <c r="K87" s="78">
        <f t="shared" si="181"/>
        <v>440.44</v>
      </c>
      <c r="L87" s="78">
        <f t="shared" si="182"/>
        <v>1136.8499999999999</v>
      </c>
      <c r="M87" t="s">
        <v>248</v>
      </c>
      <c r="N87" s="79">
        <v>5</v>
      </c>
      <c r="O87" s="79">
        <v>5.2</v>
      </c>
      <c r="P87" s="80">
        <v>5.0999999999999996</v>
      </c>
      <c r="Q87" s="80">
        <v>5.3</v>
      </c>
      <c r="R87" s="81">
        <f t="shared" si="183"/>
        <v>2237.567567567567</v>
      </c>
      <c r="S87" s="81">
        <f t="shared" si="184"/>
        <v>1470.6306306306303</v>
      </c>
      <c r="T87" s="81">
        <f t="shared" si="185"/>
        <v>3708.1981981981971</v>
      </c>
      <c r="U87" s="82">
        <f t="shared" si="186"/>
        <v>0.3065774641043707</v>
      </c>
      <c r="V87" s="82">
        <f t="shared" si="187"/>
        <v>0.31123529411764711</v>
      </c>
      <c r="W87" s="82">
        <f t="shared" si="188"/>
        <v>0.29949056603773588</v>
      </c>
      <c r="X87" s="83">
        <f>BS87+SCENARIU!$C$27+'AJUSTĂRI PE PRODUS'!$I$112</f>
        <v>5.3</v>
      </c>
      <c r="Y87" s="83">
        <f>BT87+SCENARIU!$C$27+'AJUSTĂRI PE PRODUS'!$J$112</f>
        <v>5.5</v>
      </c>
      <c r="Z87" s="84">
        <f t="shared" si="189"/>
        <v>2325.3153153153148</v>
      </c>
      <c r="AA87" s="84">
        <f t="shared" si="190"/>
        <v>1526.1261261261259</v>
      </c>
      <c r="AB87" s="84">
        <f t="shared" si="191"/>
        <v>3851.4414414414405</v>
      </c>
      <c r="AC87" s="85">
        <f t="shared" si="192"/>
        <v>0.29517520058010344</v>
      </c>
      <c r="AD87" s="85">
        <f t="shared" si="193"/>
        <v>0.29949056603773588</v>
      </c>
      <c r="AE87" s="85">
        <f t="shared" si="194"/>
        <v>0.28860000000000002</v>
      </c>
      <c r="AF87" s="83">
        <f>BU87+SCENARIU!$C$27+SCENARIU!$D$27+'AJUSTĂRI PE PRODUS'!$I$112+'AJUSTĂRI PE PRODUS'!$N$112</f>
        <v>5.3</v>
      </c>
      <c r="AG87" s="83">
        <f>BV87+SCENARIU!$C$27+SCENARIU!$D$27+'AJUSTĂRI PE PRODUS'!$J$112+'AJUSTĂRI PE PRODUS'!$O$112</f>
        <v>5.5</v>
      </c>
      <c r="AH87" s="86">
        <f t="shared" si="195"/>
        <v>2325.3153153153148</v>
      </c>
      <c r="AI87" s="86">
        <f t="shared" si="196"/>
        <v>1526.1261261261259</v>
      </c>
      <c r="AJ87" s="86">
        <f t="shared" si="197"/>
        <v>3851.4414414414405</v>
      </c>
      <c r="AK87" s="87">
        <f t="shared" si="198"/>
        <v>0.29517520058010344</v>
      </c>
      <c r="AL87" s="87">
        <f t="shared" si="199"/>
        <v>0.29949056603773588</v>
      </c>
      <c r="AM87" s="87">
        <f t="shared" si="200"/>
        <v>0.28860000000000002</v>
      </c>
      <c r="AN87" s="83">
        <f>BW87+SCENARIU!$C$27+SCENARIU!$D$27+SCENARIU!$E$27+'AJUSTĂRI PE PRODUS'!$I$112+'AJUSTĂRI PE PRODUS'!$N$112+'AJUSTĂRI PE PRODUS'!$S$112</f>
        <v>5.3</v>
      </c>
      <c r="AO87" s="83">
        <f>BX87+SCENARIU!$C$27+SCENARIU!$D$27+SCENARIU!$E$27+'AJUSTĂRI PE PRODUS'!$J$112+'AJUSTĂRI PE PRODUS'!$O$112+'AJUSTĂRI PE PRODUS'!$T$112</f>
        <v>5.5</v>
      </c>
      <c r="AP87" s="88">
        <f t="shared" si="201"/>
        <v>2325.3153153153148</v>
      </c>
      <c r="AQ87" s="88">
        <f t="shared" si="202"/>
        <v>1526.1261261261259</v>
      </c>
      <c r="AR87" s="88">
        <f t="shared" si="203"/>
        <v>3851.4414414414405</v>
      </c>
      <c r="AS87" s="89">
        <f t="shared" si="204"/>
        <v>0.29517520058010344</v>
      </c>
      <c r="AT87" s="89">
        <f t="shared" si="205"/>
        <v>0.29949056603773588</v>
      </c>
      <c r="AU87" s="89">
        <f t="shared" si="206"/>
        <v>0.28860000000000002</v>
      </c>
      <c r="AV87" s="83">
        <f>BY87+SCENARIU!$C$27+SCENARIU!$D$27+SCENARIU!$E$27+SCENARIU!$F$27+'AJUSTĂRI PE PRODUS'!$I$112+'AJUSTĂRI PE PRODUS'!$N$112+'AJUSTĂRI PE PRODUS'!$S$112+'AJUSTĂRI PE PRODUS'!$X$112</f>
        <v>5.49</v>
      </c>
      <c r="AW87" s="83">
        <f>BZ87+SCENARIU!$C$27+SCENARIU!$D$27+SCENARIU!$E$27+SCENARIU!$F$27+'AJUSTĂRI PE PRODUS'!$J$112+'AJUSTĂRI PE PRODUS'!$O$112+'AJUSTĂRI PE PRODUS'!$T$112+'AJUSTĂRI PE PRODUS'!$Y$112</f>
        <v>5.7</v>
      </c>
      <c r="AX87" s="90">
        <f t="shared" si="207"/>
        <v>2408.6756756756754</v>
      </c>
      <c r="AY87" s="90">
        <f t="shared" si="208"/>
        <v>1581.6216216216217</v>
      </c>
      <c r="AZ87" s="90">
        <f t="shared" si="209"/>
        <v>3990.2972972972971</v>
      </c>
      <c r="BA87" s="91">
        <f t="shared" si="210"/>
        <v>0.28490358369287666</v>
      </c>
      <c r="BB87" s="91">
        <f t="shared" si="211"/>
        <v>0.28912568306010933</v>
      </c>
      <c r="BC87" s="91">
        <f t="shared" si="212"/>
        <v>0.27847368421052632</v>
      </c>
      <c r="BD87" s="92">
        <f t="shared" si="213"/>
        <v>9.9999999999999645E-2</v>
      </c>
      <c r="BE87" s="92">
        <f t="shared" si="214"/>
        <v>0.20000000000000018</v>
      </c>
      <c r="BF87" s="92">
        <f t="shared" si="215"/>
        <v>0</v>
      </c>
      <c r="BG87" s="92">
        <f t="shared" si="216"/>
        <v>0</v>
      </c>
      <c r="BH87" s="92">
        <f t="shared" si="217"/>
        <v>0.19000000000000039</v>
      </c>
      <c r="BI87" s="93">
        <f t="shared" si="218"/>
        <v>0.49000000000000021</v>
      </c>
      <c r="BJ87" s="92">
        <f t="shared" si="219"/>
        <v>9.9999999999999645E-2</v>
      </c>
      <c r="BK87" s="92">
        <f t="shared" si="220"/>
        <v>0.20000000000000018</v>
      </c>
      <c r="BL87" s="92">
        <f t="shared" si="221"/>
        <v>0</v>
      </c>
      <c r="BM87" s="92">
        <f t="shared" si="222"/>
        <v>0</v>
      </c>
      <c r="BN87" s="92">
        <f t="shared" si="223"/>
        <v>0.20000000000000018</v>
      </c>
      <c r="BO87" s="93">
        <f t="shared" si="224"/>
        <v>0.5</v>
      </c>
      <c r="BQ87">
        <v>5.0999999999999996</v>
      </c>
      <c r="BR87">
        <v>5.3</v>
      </c>
      <c r="BS87">
        <v>5.3</v>
      </c>
      <c r="BT87">
        <v>5.5</v>
      </c>
      <c r="BU87">
        <v>5.3</v>
      </c>
      <c r="BV87">
        <v>5.5</v>
      </c>
      <c r="BW87">
        <v>5.3</v>
      </c>
      <c r="BX87">
        <v>5.5</v>
      </c>
      <c r="BY87">
        <v>5.49</v>
      </c>
      <c r="BZ87">
        <v>5.7</v>
      </c>
    </row>
    <row r="88" spans="1:78" x14ac:dyDescent="0.2">
      <c r="A88" s="26">
        <v>14</v>
      </c>
      <c r="B88" s="26" t="s">
        <v>252</v>
      </c>
      <c r="C88" s="26" t="s">
        <v>102</v>
      </c>
      <c r="D88" s="74">
        <v>1</v>
      </c>
      <c r="E88" s="75">
        <v>11</v>
      </c>
      <c r="F88" s="76">
        <v>511</v>
      </c>
      <c r="G88" s="76">
        <v>194</v>
      </c>
      <c r="H88" s="77">
        <f>SUMIFS(RETETAR!$I$4:$I$967,RETETAR!$A$4:$A$967,$M88,RETETAR!$C$4:$C$967,"AMBELE")+SUMIFS(RETETAR!$I$4:$I$967,RETETAR!$A$4:$A$967,$M88,RETETAR!$C$4:$C$967,"INSTORE")</f>
        <v>1.0820000000000001</v>
      </c>
      <c r="I88" s="77">
        <f>SUMIFS(RETETAR!$I$4:$I$967,RETETAR!$A$4:$A$967,$M88,RETETAR!$C$4:$C$967,"AMBELE")+SUMIFS(RETETAR!$I$4:$I$967,RETETAR!$A$4:$A$967,$M88,RETETAR!$C$4:$C$967,"DELIVERY")</f>
        <v>1.0820000000000001</v>
      </c>
      <c r="J88" s="78">
        <f t="shared" si="180"/>
        <v>552.90200000000004</v>
      </c>
      <c r="K88" s="78">
        <f t="shared" si="181"/>
        <v>209.90800000000002</v>
      </c>
      <c r="L88" s="78">
        <f t="shared" si="182"/>
        <v>762.81000000000006</v>
      </c>
      <c r="M88" t="s">
        <v>252</v>
      </c>
      <c r="N88" s="79">
        <v>5</v>
      </c>
      <c r="O88" s="79">
        <v>5.2</v>
      </c>
      <c r="P88" s="80">
        <v>5.0999999999999996</v>
      </c>
      <c r="Q88" s="80">
        <v>5.3</v>
      </c>
      <c r="R88" s="81">
        <f t="shared" si="183"/>
        <v>2347.8378378378375</v>
      </c>
      <c r="S88" s="81">
        <f t="shared" si="184"/>
        <v>926.30630630630617</v>
      </c>
      <c r="T88" s="81">
        <f t="shared" si="185"/>
        <v>3274.1441441441439</v>
      </c>
      <c r="U88" s="82">
        <f t="shared" si="186"/>
        <v>0.2329799686321988</v>
      </c>
      <c r="V88" s="82">
        <f t="shared" si="187"/>
        <v>0.23549411764705888</v>
      </c>
      <c r="W88" s="82">
        <f t="shared" si="188"/>
        <v>0.22660754716981138</v>
      </c>
      <c r="X88" s="83">
        <f>BS88+SCENARIU!$C$27+'AJUSTĂRI PE PRODUS'!$I$118</f>
        <v>5.3</v>
      </c>
      <c r="Y88" s="83">
        <f>BT88+SCENARIU!$C$27+'AJUSTĂRI PE PRODUS'!$J$118</f>
        <v>5.5</v>
      </c>
      <c r="Z88" s="84">
        <f t="shared" si="189"/>
        <v>2439.9099099099094</v>
      </c>
      <c r="AA88" s="84">
        <f t="shared" si="190"/>
        <v>961.2612612612611</v>
      </c>
      <c r="AB88" s="84">
        <f t="shared" si="191"/>
        <v>3401.1711711711705</v>
      </c>
      <c r="AC88" s="85">
        <f t="shared" si="192"/>
        <v>0.22427862686409034</v>
      </c>
      <c r="AD88" s="85">
        <f t="shared" si="193"/>
        <v>0.22660754716981138</v>
      </c>
      <c r="AE88" s="85">
        <f t="shared" si="194"/>
        <v>0.21836727272727277</v>
      </c>
      <c r="AF88" s="83">
        <f>BU88+SCENARIU!$C$27+SCENARIU!$D$27+'AJUSTĂRI PE PRODUS'!$I$118+'AJUSTĂRI PE PRODUS'!$N$118</f>
        <v>5.3</v>
      </c>
      <c r="AG88" s="83">
        <f>BV88+SCENARIU!$C$27+SCENARIU!$D$27+'AJUSTĂRI PE PRODUS'!$J$118+'AJUSTĂRI PE PRODUS'!$O$118</f>
        <v>5.5</v>
      </c>
      <c r="AH88" s="86">
        <f t="shared" si="195"/>
        <v>2439.9099099099094</v>
      </c>
      <c r="AI88" s="86">
        <f t="shared" si="196"/>
        <v>961.2612612612611</v>
      </c>
      <c r="AJ88" s="86">
        <f t="shared" si="197"/>
        <v>3401.1711711711705</v>
      </c>
      <c r="AK88" s="87">
        <f t="shared" si="198"/>
        <v>0.22427862686409034</v>
      </c>
      <c r="AL88" s="87">
        <f t="shared" si="199"/>
        <v>0.22660754716981138</v>
      </c>
      <c r="AM88" s="87">
        <f t="shared" si="200"/>
        <v>0.21836727272727277</v>
      </c>
      <c r="AN88" s="83">
        <f>BW88+SCENARIU!$C$27+SCENARIU!$D$27+SCENARIU!$E$27+'AJUSTĂRI PE PRODUS'!$I$118+'AJUSTĂRI PE PRODUS'!$N$118+'AJUSTĂRI PE PRODUS'!$S$118</f>
        <v>5.3</v>
      </c>
      <c r="AO88" s="83">
        <f>BX88+SCENARIU!$C$27+SCENARIU!$D$27+SCENARIU!$E$27+'AJUSTĂRI PE PRODUS'!$J$118+'AJUSTĂRI PE PRODUS'!$O$118+'AJUSTĂRI PE PRODUS'!$T$118</f>
        <v>5.5</v>
      </c>
      <c r="AP88" s="88">
        <f t="shared" si="201"/>
        <v>2439.9099099099094</v>
      </c>
      <c r="AQ88" s="88">
        <f t="shared" si="202"/>
        <v>961.2612612612611</v>
      </c>
      <c r="AR88" s="88">
        <f t="shared" si="203"/>
        <v>3401.1711711711705</v>
      </c>
      <c r="AS88" s="89">
        <f t="shared" si="204"/>
        <v>0.22427862686409034</v>
      </c>
      <c r="AT88" s="89">
        <f t="shared" si="205"/>
        <v>0.22660754716981138</v>
      </c>
      <c r="AU88" s="89">
        <f t="shared" si="206"/>
        <v>0.21836727272727277</v>
      </c>
      <c r="AV88" s="83">
        <f>BY88+SCENARIU!$C$27+SCENARIU!$D$27+SCENARIU!$E$27+SCENARIU!$F$27+'AJUSTĂRI PE PRODUS'!$I$118+'AJUSTĂRI PE PRODUS'!$N$118+'AJUSTĂRI PE PRODUS'!$S$118+'AJUSTĂRI PE PRODUS'!$X$118</f>
        <v>5.49</v>
      </c>
      <c r="AW88" s="83">
        <f>BZ88+SCENARIU!$C$27+SCENARIU!$D$27+SCENARIU!$E$27+SCENARIU!$F$27+'AJUSTĂRI PE PRODUS'!$J$118+'AJUSTĂRI PE PRODUS'!$O$118+'AJUSTĂRI PE PRODUS'!$T$118+'AJUSTĂRI PE PRODUS'!$Y$118</f>
        <v>5.7</v>
      </c>
      <c r="AX88" s="90">
        <f t="shared" si="207"/>
        <v>2527.3783783783783</v>
      </c>
      <c r="AY88" s="90">
        <f t="shared" si="208"/>
        <v>996.21621621621625</v>
      </c>
      <c r="AZ88" s="90">
        <f t="shared" si="209"/>
        <v>3523.5945945945946</v>
      </c>
      <c r="BA88" s="91">
        <f t="shared" si="210"/>
        <v>0.21648631234994978</v>
      </c>
      <c r="BB88" s="91">
        <f t="shared" si="211"/>
        <v>0.21876502732240438</v>
      </c>
      <c r="BC88" s="91">
        <f t="shared" si="212"/>
        <v>0.21070526315789476</v>
      </c>
      <c r="BD88" s="92">
        <f t="shared" si="213"/>
        <v>9.9999999999999645E-2</v>
      </c>
      <c r="BE88" s="92">
        <f t="shared" si="214"/>
        <v>0.20000000000000018</v>
      </c>
      <c r="BF88" s="92">
        <f t="shared" si="215"/>
        <v>0</v>
      </c>
      <c r="BG88" s="92">
        <f t="shared" si="216"/>
        <v>0</v>
      </c>
      <c r="BH88" s="92">
        <f t="shared" si="217"/>
        <v>0.19000000000000039</v>
      </c>
      <c r="BI88" s="93">
        <f t="shared" si="218"/>
        <v>0.49000000000000021</v>
      </c>
      <c r="BJ88" s="92">
        <f t="shared" si="219"/>
        <v>9.9999999999999645E-2</v>
      </c>
      <c r="BK88" s="92">
        <f t="shared" si="220"/>
        <v>0.20000000000000018</v>
      </c>
      <c r="BL88" s="92">
        <f t="shared" si="221"/>
        <v>0</v>
      </c>
      <c r="BM88" s="92">
        <f t="shared" si="222"/>
        <v>0</v>
      </c>
      <c r="BN88" s="92">
        <f t="shared" si="223"/>
        <v>0.20000000000000018</v>
      </c>
      <c r="BO88" s="93">
        <f t="shared" si="224"/>
        <v>0.5</v>
      </c>
      <c r="BQ88">
        <v>5.0999999999999996</v>
      </c>
      <c r="BR88">
        <v>5.3</v>
      </c>
      <c r="BS88">
        <v>5.3</v>
      </c>
      <c r="BT88">
        <v>5.5</v>
      </c>
      <c r="BU88">
        <v>5.3</v>
      </c>
      <c r="BV88">
        <v>5.5</v>
      </c>
      <c r="BW88">
        <v>5.3</v>
      </c>
      <c r="BX88">
        <v>5.5</v>
      </c>
      <c r="BY88">
        <v>5.49</v>
      </c>
      <c r="BZ88">
        <v>5.7</v>
      </c>
    </row>
    <row r="89" spans="1:78" x14ac:dyDescent="0.2">
      <c r="A89" s="26">
        <v>15</v>
      </c>
      <c r="B89" s="26" t="s">
        <v>257</v>
      </c>
      <c r="C89" s="26" t="s">
        <v>102</v>
      </c>
      <c r="D89" s="74">
        <v>1</v>
      </c>
      <c r="E89" s="75">
        <v>11</v>
      </c>
      <c r="F89" s="76">
        <v>649</v>
      </c>
      <c r="G89" s="76">
        <v>0</v>
      </c>
      <c r="H89" s="77">
        <f>SUMIFS(RETETAR!$I$4:$I$967,RETETAR!$A$4:$A$967,$M89,RETETAR!$C$4:$C$967,"AMBELE")+SUMIFS(RETETAR!$I$4:$I$967,RETETAR!$A$4:$A$967,$M89,RETETAR!$C$4:$C$967,"INSTORE")</f>
        <v>0.90400000000000003</v>
      </c>
      <c r="I89" s="77">
        <f>SUMIFS(RETETAR!$I$4:$I$967,RETETAR!$A$4:$A$967,$M89,RETETAR!$C$4:$C$967,"AMBELE")+SUMIFS(RETETAR!$I$4:$I$967,RETETAR!$A$4:$A$967,$M89,RETETAR!$C$4:$C$967,"DELIVERY")</f>
        <v>0.90400000000000003</v>
      </c>
      <c r="J89" s="78">
        <f t="shared" si="180"/>
        <v>586.69600000000003</v>
      </c>
      <c r="K89" s="78">
        <f t="shared" si="181"/>
        <v>0</v>
      </c>
      <c r="L89" s="78">
        <f t="shared" si="182"/>
        <v>586.69600000000003</v>
      </c>
      <c r="M89" t="s">
        <v>257</v>
      </c>
      <c r="N89" s="79">
        <v>5</v>
      </c>
      <c r="O89" s="79"/>
      <c r="P89" s="80">
        <v>5.0999999999999996</v>
      </c>
      <c r="Q89" s="80"/>
      <c r="R89" s="81">
        <f t="shared" si="183"/>
        <v>2981.8918918918912</v>
      </c>
      <c r="S89" s="81">
        <f t="shared" si="184"/>
        <v>0</v>
      </c>
      <c r="T89" s="81">
        <f t="shared" si="185"/>
        <v>2981.8918918918912</v>
      </c>
      <c r="U89" s="82">
        <f t="shared" si="186"/>
        <v>0.19675294117647063</v>
      </c>
      <c r="V89" s="82">
        <f t="shared" si="187"/>
        <v>0.19675294117647063</v>
      </c>
      <c r="W89" s="82" t="str">
        <f t="shared" si="188"/>
        <v/>
      </c>
      <c r="X89" s="83">
        <f>BS89+SCENARIU!$C$27+'AJUSTĂRI PE PRODUS'!$I$121</f>
        <v>5.3</v>
      </c>
      <c r="Y89" s="83"/>
      <c r="Z89" s="84">
        <f t="shared" si="189"/>
        <v>3098.8288288288281</v>
      </c>
      <c r="AA89" s="84">
        <f t="shared" si="190"/>
        <v>0</v>
      </c>
      <c r="AB89" s="84">
        <f t="shared" si="191"/>
        <v>3098.8288288288281</v>
      </c>
      <c r="AC89" s="85">
        <f t="shared" si="192"/>
        <v>0.1893283018867925</v>
      </c>
      <c r="AD89" s="85">
        <f t="shared" si="193"/>
        <v>0.1893283018867925</v>
      </c>
      <c r="AE89" s="85" t="str">
        <f t="shared" si="194"/>
        <v/>
      </c>
      <c r="AF89" s="83">
        <f>BU89+SCENARIU!$C$27+SCENARIU!$D$27+'AJUSTĂRI PE PRODUS'!$I$121+'AJUSTĂRI PE PRODUS'!$N$121</f>
        <v>5.3</v>
      </c>
      <c r="AG89" s="83"/>
      <c r="AH89" s="86">
        <f t="shared" si="195"/>
        <v>3098.8288288288281</v>
      </c>
      <c r="AI89" s="86">
        <f t="shared" si="196"/>
        <v>0</v>
      </c>
      <c r="AJ89" s="86">
        <f t="shared" si="197"/>
        <v>3098.8288288288281</v>
      </c>
      <c r="AK89" s="87">
        <f t="shared" si="198"/>
        <v>0.1893283018867925</v>
      </c>
      <c r="AL89" s="87">
        <f t="shared" si="199"/>
        <v>0.1893283018867925</v>
      </c>
      <c r="AM89" s="87" t="str">
        <f t="shared" si="200"/>
        <v/>
      </c>
      <c r="AN89" s="83">
        <f>BW89+SCENARIU!$C$27+SCENARIU!$D$27+SCENARIU!$E$27+'AJUSTĂRI PE PRODUS'!$I$121+'AJUSTĂRI PE PRODUS'!$N$121+'AJUSTĂRI PE PRODUS'!$S$121</f>
        <v>5.3</v>
      </c>
      <c r="AO89" s="83"/>
      <c r="AP89" s="88">
        <f t="shared" si="201"/>
        <v>3098.8288288288281</v>
      </c>
      <c r="AQ89" s="88">
        <f t="shared" si="202"/>
        <v>0</v>
      </c>
      <c r="AR89" s="88">
        <f t="shared" si="203"/>
        <v>3098.8288288288281</v>
      </c>
      <c r="AS89" s="89">
        <f t="shared" si="204"/>
        <v>0.1893283018867925</v>
      </c>
      <c r="AT89" s="89">
        <f t="shared" si="205"/>
        <v>0.1893283018867925</v>
      </c>
      <c r="AU89" s="89" t="str">
        <f t="shared" si="206"/>
        <v/>
      </c>
      <c r="AV89" s="83">
        <f>BY89+SCENARIU!$C$27+SCENARIU!$D$27+SCENARIU!$E$27+SCENARIU!$F$27+'AJUSTĂRI PE PRODUS'!$I$121+'AJUSTĂRI PE PRODUS'!$N$121+'AJUSTĂRI PE PRODUS'!$S$121+'AJUSTĂRI PE PRODUS'!$X$121</f>
        <v>5.49</v>
      </c>
      <c r="AW89" s="83"/>
      <c r="AX89" s="90">
        <f t="shared" si="207"/>
        <v>3209.9189189189187</v>
      </c>
      <c r="AY89" s="90">
        <f t="shared" si="208"/>
        <v>0</v>
      </c>
      <c r="AZ89" s="90">
        <f t="shared" si="209"/>
        <v>3209.9189189189187</v>
      </c>
      <c r="BA89" s="91">
        <f t="shared" si="210"/>
        <v>0.18277595628415302</v>
      </c>
      <c r="BB89" s="91">
        <f t="shared" si="211"/>
        <v>0.18277595628415302</v>
      </c>
      <c r="BC89" s="91" t="str">
        <f t="shared" si="212"/>
        <v/>
      </c>
      <c r="BD89" s="92">
        <f t="shared" si="213"/>
        <v>9.9999999999999645E-2</v>
      </c>
      <c r="BE89" s="92">
        <f t="shared" si="214"/>
        <v>0.20000000000000018</v>
      </c>
      <c r="BF89" s="92">
        <f t="shared" si="215"/>
        <v>0</v>
      </c>
      <c r="BG89" s="92">
        <f t="shared" si="216"/>
        <v>0</v>
      </c>
      <c r="BH89" s="92">
        <f t="shared" si="217"/>
        <v>0.19000000000000039</v>
      </c>
      <c r="BI89" s="93">
        <f t="shared" si="218"/>
        <v>0.49000000000000021</v>
      </c>
      <c r="BJ89" s="92" t="str">
        <f t="shared" si="219"/>
        <v/>
      </c>
      <c r="BK89" s="92" t="str">
        <f t="shared" si="220"/>
        <v/>
      </c>
      <c r="BL89" s="92" t="str">
        <f t="shared" si="221"/>
        <v/>
      </c>
      <c r="BM89" s="92" t="str">
        <f t="shared" si="222"/>
        <v/>
      </c>
      <c r="BN89" s="92" t="str">
        <f t="shared" si="223"/>
        <v/>
      </c>
      <c r="BO89" s="93" t="str">
        <f t="shared" si="224"/>
        <v/>
      </c>
      <c r="BQ89">
        <v>5.0999999999999996</v>
      </c>
      <c r="BS89">
        <v>5.3</v>
      </c>
      <c r="BU89">
        <v>5.3</v>
      </c>
      <c r="BW89">
        <v>5.3</v>
      </c>
      <c r="BY89">
        <v>5.49</v>
      </c>
    </row>
    <row r="90" spans="1:78" x14ac:dyDescent="0.2">
      <c r="A90" s="26">
        <v>16</v>
      </c>
      <c r="B90" s="26" t="s">
        <v>283</v>
      </c>
      <c r="C90" s="26" t="s">
        <v>102</v>
      </c>
      <c r="D90" s="74">
        <v>1</v>
      </c>
      <c r="E90" s="75">
        <v>11</v>
      </c>
      <c r="F90" s="76">
        <v>184</v>
      </c>
      <c r="G90" s="76">
        <v>155</v>
      </c>
      <c r="H90" s="77">
        <f>SUMIFS(RETETAR!$I$4:$I$967,RETETAR!$A$4:$A$967,$M90,RETETAR!$C$4:$C$967,"AMBELE")+SUMIFS(RETETAR!$I$4:$I$967,RETETAR!$A$4:$A$967,$M90,RETETAR!$C$4:$C$967,"INSTORE")</f>
        <v>1.43</v>
      </c>
      <c r="I90" s="77">
        <f>SUMIFS(RETETAR!$I$4:$I$967,RETETAR!$A$4:$A$967,$M90,RETETAR!$C$4:$C$967,"AMBELE")+SUMIFS(RETETAR!$I$4:$I$967,RETETAR!$A$4:$A$967,$M90,RETETAR!$C$4:$C$967,"DELIVERY")</f>
        <v>1.43</v>
      </c>
      <c r="J90" s="78">
        <f t="shared" si="180"/>
        <v>263.12</v>
      </c>
      <c r="K90" s="78">
        <f t="shared" si="181"/>
        <v>221.64999999999998</v>
      </c>
      <c r="L90" s="78">
        <f t="shared" si="182"/>
        <v>484.77</v>
      </c>
      <c r="M90" t="s">
        <v>283</v>
      </c>
      <c r="N90" s="79">
        <v>5</v>
      </c>
      <c r="O90" s="79">
        <v>5.2</v>
      </c>
      <c r="P90" s="80">
        <v>5.0999999999999996</v>
      </c>
      <c r="Q90" s="80">
        <v>5.3</v>
      </c>
      <c r="R90" s="81">
        <f t="shared" si="183"/>
        <v>845.4054054054053</v>
      </c>
      <c r="S90" s="81">
        <f t="shared" si="184"/>
        <v>740.09009009008992</v>
      </c>
      <c r="T90" s="81">
        <f t="shared" si="185"/>
        <v>1585.4954954954951</v>
      </c>
      <c r="U90" s="82">
        <f t="shared" si="186"/>
        <v>0.30575299732939376</v>
      </c>
      <c r="V90" s="82">
        <f t="shared" si="187"/>
        <v>0.31123529411764711</v>
      </c>
      <c r="W90" s="82">
        <f t="shared" si="188"/>
        <v>0.29949056603773588</v>
      </c>
      <c r="X90" s="83">
        <f>BS90+SCENARIU!$C$27+'AJUSTĂRI PE PRODUS'!$I$147</f>
        <v>5.3</v>
      </c>
      <c r="Y90" s="83">
        <f>BT90+SCENARIU!$C$27+'AJUSTĂRI PE PRODUS'!$J$147</f>
        <v>5.5</v>
      </c>
      <c r="Z90" s="84">
        <f t="shared" si="189"/>
        <v>878.55855855855839</v>
      </c>
      <c r="AA90" s="84">
        <f t="shared" si="190"/>
        <v>768.01801801801787</v>
      </c>
      <c r="AB90" s="84">
        <f t="shared" si="191"/>
        <v>1646.5765765765764</v>
      </c>
      <c r="AC90" s="85">
        <f t="shared" si="192"/>
        <v>0.29441084423045361</v>
      </c>
      <c r="AD90" s="85">
        <f t="shared" si="193"/>
        <v>0.29949056603773594</v>
      </c>
      <c r="AE90" s="85">
        <f t="shared" si="194"/>
        <v>0.28860000000000002</v>
      </c>
      <c r="AF90" s="83">
        <f>BU90+SCENARIU!$C$27+SCENARIU!$D$27+'AJUSTĂRI PE PRODUS'!$I$147+'AJUSTĂRI PE PRODUS'!$N$147</f>
        <v>5.3</v>
      </c>
      <c r="AG90" s="83">
        <f>BV90+SCENARIU!$C$27+SCENARIU!$D$27+'AJUSTĂRI PE PRODUS'!$J$147+'AJUSTĂRI PE PRODUS'!$O$147</f>
        <v>5.5</v>
      </c>
      <c r="AH90" s="86">
        <f t="shared" si="195"/>
        <v>878.55855855855839</v>
      </c>
      <c r="AI90" s="86">
        <f t="shared" si="196"/>
        <v>768.01801801801787</v>
      </c>
      <c r="AJ90" s="86">
        <f t="shared" si="197"/>
        <v>1646.5765765765764</v>
      </c>
      <c r="AK90" s="87">
        <f t="shared" si="198"/>
        <v>0.29441084423045361</v>
      </c>
      <c r="AL90" s="87">
        <f t="shared" si="199"/>
        <v>0.29949056603773594</v>
      </c>
      <c r="AM90" s="87">
        <f t="shared" si="200"/>
        <v>0.28860000000000002</v>
      </c>
      <c r="AN90" s="83">
        <f>BW90+SCENARIU!$C$27+SCENARIU!$D$27+SCENARIU!$E$27+'AJUSTĂRI PE PRODUS'!$I$147+'AJUSTĂRI PE PRODUS'!$N$147+'AJUSTĂRI PE PRODUS'!$S$147</f>
        <v>5.3</v>
      </c>
      <c r="AO90" s="83">
        <f>BX90+SCENARIU!$C$27+SCENARIU!$D$27+SCENARIU!$E$27+'AJUSTĂRI PE PRODUS'!$J$147+'AJUSTĂRI PE PRODUS'!$O$147+'AJUSTĂRI PE PRODUS'!$T$147</f>
        <v>5.5</v>
      </c>
      <c r="AP90" s="88">
        <f t="shared" si="201"/>
        <v>878.55855855855839</v>
      </c>
      <c r="AQ90" s="88">
        <f t="shared" si="202"/>
        <v>768.01801801801787</v>
      </c>
      <c r="AR90" s="88">
        <f t="shared" si="203"/>
        <v>1646.5765765765764</v>
      </c>
      <c r="AS90" s="89">
        <f t="shared" si="204"/>
        <v>0.29441084423045361</v>
      </c>
      <c r="AT90" s="89">
        <f t="shared" si="205"/>
        <v>0.29949056603773594</v>
      </c>
      <c r="AU90" s="89">
        <f t="shared" si="206"/>
        <v>0.28860000000000002</v>
      </c>
      <c r="AV90" s="83">
        <f>BY90+SCENARIU!$C$27+SCENARIU!$D$27+SCENARIU!$E$27+SCENARIU!$F$27+'AJUSTĂRI PE PRODUS'!$I$147+'AJUSTĂRI PE PRODUS'!$N$147+'AJUSTĂRI PE PRODUS'!$S$147+'AJUSTĂRI PE PRODUS'!$X$147</f>
        <v>5.49</v>
      </c>
      <c r="AW90" s="83">
        <f>BZ90+SCENARIU!$C$27+SCENARIU!$D$27+SCENARIU!$E$27+SCENARIU!$F$27+'AJUSTĂRI PE PRODUS'!$J$147+'AJUSTĂRI PE PRODUS'!$O$147+'AJUSTĂRI PE PRODUS'!$T$147+'AJUSTĂRI PE PRODUS'!$Y$147</f>
        <v>5.7</v>
      </c>
      <c r="AX90" s="90">
        <f t="shared" si="207"/>
        <v>910.05405405405395</v>
      </c>
      <c r="AY90" s="90">
        <f t="shared" si="208"/>
        <v>795.94594594594594</v>
      </c>
      <c r="AZ90" s="90">
        <f t="shared" si="209"/>
        <v>1706</v>
      </c>
      <c r="BA90" s="91">
        <f t="shared" si="210"/>
        <v>0.28415592028135989</v>
      </c>
      <c r="BB90" s="91">
        <f t="shared" si="211"/>
        <v>0.28912568306010933</v>
      </c>
      <c r="BC90" s="91">
        <f t="shared" si="212"/>
        <v>0.27847368421052632</v>
      </c>
      <c r="BD90" s="92">
        <f t="shared" si="213"/>
        <v>9.9999999999999645E-2</v>
      </c>
      <c r="BE90" s="92">
        <f t="shared" si="214"/>
        <v>0.20000000000000018</v>
      </c>
      <c r="BF90" s="92">
        <f t="shared" si="215"/>
        <v>0</v>
      </c>
      <c r="BG90" s="92">
        <f t="shared" si="216"/>
        <v>0</v>
      </c>
      <c r="BH90" s="92">
        <f t="shared" si="217"/>
        <v>0.19000000000000039</v>
      </c>
      <c r="BI90" s="93">
        <f t="shared" si="218"/>
        <v>0.49000000000000021</v>
      </c>
      <c r="BJ90" s="92">
        <f t="shared" si="219"/>
        <v>9.9999999999999645E-2</v>
      </c>
      <c r="BK90" s="92">
        <f t="shared" si="220"/>
        <v>0.20000000000000018</v>
      </c>
      <c r="BL90" s="92">
        <f t="shared" si="221"/>
        <v>0</v>
      </c>
      <c r="BM90" s="92">
        <f t="shared" si="222"/>
        <v>0</v>
      </c>
      <c r="BN90" s="92">
        <f t="shared" si="223"/>
        <v>0.20000000000000018</v>
      </c>
      <c r="BO90" s="93">
        <f t="shared" si="224"/>
        <v>0.5</v>
      </c>
      <c r="BQ90">
        <v>5.0999999999999996</v>
      </c>
      <c r="BR90">
        <v>5.3</v>
      </c>
      <c r="BS90">
        <v>5.3</v>
      </c>
      <c r="BT90">
        <v>5.5</v>
      </c>
      <c r="BU90">
        <v>5.3</v>
      </c>
      <c r="BV90">
        <v>5.5</v>
      </c>
      <c r="BW90">
        <v>5.3</v>
      </c>
      <c r="BX90">
        <v>5.5</v>
      </c>
      <c r="BY90">
        <v>5.49</v>
      </c>
      <c r="BZ90">
        <v>5.7</v>
      </c>
    </row>
    <row r="91" spans="1:78" x14ac:dyDescent="0.2">
      <c r="A91" s="94" t="s">
        <v>439</v>
      </c>
      <c r="B91" s="95"/>
      <c r="C91" s="95"/>
      <c r="D91" s="95"/>
      <c r="E91" s="95"/>
      <c r="F91" s="95"/>
      <c r="G91" s="95"/>
      <c r="H91" s="95"/>
      <c r="I91" s="95"/>
      <c r="J91" s="95"/>
      <c r="K91" s="95"/>
      <c r="L91" s="96">
        <f>SUM(L75:L90)</f>
        <v>147187.95431799997</v>
      </c>
      <c r="M91" s="95"/>
      <c r="N91" s="95"/>
      <c r="O91" s="95"/>
      <c r="P91" s="95"/>
      <c r="Q91" s="95"/>
      <c r="R91" s="95"/>
      <c r="S91" s="95"/>
      <c r="T91" s="95"/>
      <c r="U91" s="95"/>
      <c r="V91" s="95"/>
      <c r="W91" s="95"/>
      <c r="X91" s="95"/>
      <c r="Y91" s="95"/>
      <c r="Z91" s="95"/>
      <c r="AA91" s="95"/>
      <c r="AB91" s="95"/>
      <c r="AC91" s="95"/>
      <c r="AD91" s="95"/>
      <c r="AE91" s="95"/>
      <c r="AF91" s="95"/>
      <c r="AG91" s="95"/>
      <c r="AH91" s="95"/>
      <c r="AI91" s="95"/>
      <c r="AJ91" s="95"/>
      <c r="AK91" s="95"/>
      <c r="AL91" s="95"/>
      <c r="AM91" s="95"/>
      <c r="AN91" s="95"/>
      <c r="AO91" s="95"/>
      <c r="AP91" s="95"/>
      <c r="AQ91" s="95"/>
      <c r="AR91" s="95"/>
      <c r="AS91" s="95"/>
      <c r="AT91" s="95"/>
      <c r="AU91" s="95"/>
      <c r="AV91" s="95"/>
      <c r="AW91" s="95"/>
      <c r="AX91" s="95"/>
      <c r="AY91" s="95"/>
      <c r="AZ91" s="95"/>
      <c r="BA91" s="95"/>
      <c r="BB91" s="95"/>
      <c r="BC91" s="95"/>
      <c r="BD91" s="95"/>
      <c r="BE91" s="95"/>
      <c r="BF91" s="95"/>
      <c r="BG91" s="95"/>
      <c r="BH91" s="95"/>
      <c r="BI91" s="95"/>
      <c r="BJ91" s="95"/>
      <c r="BK91" s="95"/>
      <c r="BL91" s="95"/>
      <c r="BM91" s="95"/>
      <c r="BN91" s="95"/>
      <c r="BO91" s="95"/>
    </row>
    <row r="92" spans="1:78" x14ac:dyDescent="0.2">
      <c r="A92" s="72" t="s">
        <v>103</v>
      </c>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78" x14ac:dyDescent="0.2">
      <c r="A93" s="26">
        <v>1</v>
      </c>
      <c r="B93" s="26" t="s">
        <v>158</v>
      </c>
      <c r="C93" s="26" t="s">
        <v>103</v>
      </c>
      <c r="D93" s="74">
        <v>1</v>
      </c>
      <c r="E93" s="75">
        <v>21</v>
      </c>
      <c r="F93" s="76">
        <v>8964</v>
      </c>
      <c r="G93" s="76">
        <v>0</v>
      </c>
      <c r="H93" s="77">
        <f>SUMIFS(RETETAR!$I$4:$I$967,RETETAR!$A$4:$A$967,$M93,RETETAR!$C$4:$C$967,"AMBELE")+SUMIFS(RETETAR!$I$4:$I$967,RETETAR!$A$4:$A$967,$M93,RETETAR!$C$4:$C$967,"INSTORE")</f>
        <v>4.7908708847999995</v>
      </c>
      <c r="I93" s="77">
        <f>SUMIFS(RETETAR!$I$4:$I$967,RETETAR!$A$4:$A$967,$M93,RETETAR!$C$4:$C$967,"AMBELE")+SUMIFS(RETETAR!$I$4:$I$967,RETETAR!$A$4:$A$967,$M93,RETETAR!$C$4:$C$967,"DELIVERY")</f>
        <v>0</v>
      </c>
      <c r="J93" s="78">
        <f t="shared" ref="J93:J125" si="225">$H93*$F93</f>
        <v>42945.366611347192</v>
      </c>
      <c r="K93" s="78">
        <f t="shared" ref="K93:K125" si="226">$I93*$G93</f>
        <v>0</v>
      </c>
      <c r="L93" s="78">
        <f t="shared" ref="L93:L125" si="227">$J93+$K93</f>
        <v>42945.366611347192</v>
      </c>
      <c r="M93" t="s">
        <v>158</v>
      </c>
      <c r="N93" s="79">
        <v>10</v>
      </c>
      <c r="O93" s="79"/>
      <c r="P93" s="80">
        <v>10.99</v>
      </c>
      <c r="Q93" s="80"/>
      <c r="R93" s="81">
        <f t="shared" ref="R93:R125" si="228">IF(P93="",0,P93/(1+$E93/100)*$F93)</f>
        <v>81416.826446281004</v>
      </c>
      <c r="S93" s="81">
        <f t="shared" ref="S93:S125" si="229">IF(Q93="",0,Q93/(1+$E93/100)*$G93)</f>
        <v>0</v>
      </c>
      <c r="T93" s="81">
        <f t="shared" ref="T93:T125" si="230">R93+S93</f>
        <v>81416.826446281004</v>
      </c>
      <c r="U93" s="82">
        <f t="shared" ref="U93:U125" si="231">IF(OR(T93=0,$L93=0),"",$L93/T93)</f>
        <v>0.52747532034649669</v>
      </c>
      <c r="V93" s="82">
        <f t="shared" ref="V93:V125" si="232">IF(OR(R93=0,$J93=0),"",$J93/R93)</f>
        <v>0.52747532034649669</v>
      </c>
      <c r="W93" s="82" t="str">
        <f t="shared" ref="W93:W125" si="233">IF(OR(S93=0,$K93=0),"",$K93/S93)</f>
        <v/>
      </c>
      <c r="X93" s="83">
        <f>BS93+SCENARIU!$C$28+'AJUSTĂRI PE PRODUS'!$I$21</f>
        <v>11.49</v>
      </c>
      <c r="Y93" s="83"/>
      <c r="Z93" s="84">
        <f t="shared" ref="Z93:Z125" si="234">IF(X93="",0,X93/(1+$E93/100)*$F93)</f>
        <v>85120.958677685965</v>
      </c>
      <c r="AA93" s="84">
        <f t="shared" ref="AA93:AA125" si="235">IF(Y93="",0,Y93/(1+$E93/100)*$G93)</f>
        <v>0</v>
      </c>
      <c r="AB93" s="84">
        <f t="shared" ref="AB93:AB125" si="236">Z93+AA93</f>
        <v>85120.958677685965</v>
      </c>
      <c r="AC93" s="85">
        <f t="shared" ref="AC93:AC125" si="237">IF(OR(AB93=0,$L93=0),"",$L93/AB93)</f>
        <v>0.50452165105378577</v>
      </c>
      <c r="AD93" s="85">
        <f t="shared" ref="AD93:AD125" si="238">IF(OR(Z93=0,$J93=0),"",$J93/Z93)</f>
        <v>0.50452165105378577</v>
      </c>
      <c r="AE93" s="85" t="str">
        <f t="shared" ref="AE93:AE125" si="239">IF(OR(AA93=0,$K93=0),"",$K93/AA93)</f>
        <v/>
      </c>
      <c r="AF93" s="83">
        <f>BU93+SCENARIU!$C$28+SCENARIU!$D$28+'AJUSTĂRI PE PRODUS'!$I$21+'AJUSTĂRI PE PRODUS'!$N$21</f>
        <v>12.49</v>
      </c>
      <c r="AG93" s="83"/>
      <c r="AH93" s="86">
        <f t="shared" ref="AH93:AH125" si="240">IF(AF93="",0,AF93/(1+$E93/100)*$F93)</f>
        <v>92529.223140495873</v>
      </c>
      <c r="AI93" s="86">
        <f t="shared" ref="AI93:AI125" si="241">IF(AG93="",0,AG93/(1+$E93/100)*$G93)</f>
        <v>0</v>
      </c>
      <c r="AJ93" s="86">
        <f t="shared" ref="AJ93:AJ125" si="242">AH93+AI93</f>
        <v>92529.223140495873</v>
      </c>
      <c r="AK93" s="87">
        <f t="shared" ref="AK93:AK125" si="243">IF(OR(AJ93=0,$L93=0),"",$L93/AJ93)</f>
        <v>0.4641276037316252</v>
      </c>
      <c r="AL93" s="87">
        <f t="shared" ref="AL93:AL125" si="244">IF(OR(AH93=0,$J93=0),"",$J93/AH93)</f>
        <v>0.4641276037316252</v>
      </c>
      <c r="AM93" s="87" t="str">
        <f t="shared" ref="AM93:AM125" si="245">IF(OR(AI93=0,$K93=0),"",$K93/AI93)</f>
        <v/>
      </c>
      <c r="AN93" s="83">
        <f>BW93+SCENARIU!$C$28+SCENARIU!$D$28+SCENARIU!$E$28+'AJUSTĂRI PE PRODUS'!$I$21+'AJUSTĂRI PE PRODUS'!$N$21+'AJUSTĂRI PE PRODUS'!$S$21</f>
        <v>12.99</v>
      </c>
      <c r="AO93" s="83"/>
      <c r="AP93" s="88">
        <f t="shared" ref="AP93:AP125" si="246">IF(AN93="",0,AN93/(1+$E93/100)*$F93)</f>
        <v>96233.355371900834</v>
      </c>
      <c r="AQ93" s="88">
        <f t="shared" ref="AQ93:AQ125" si="247">IF(AO93="",0,AO93/(1+$E93/100)*$G93)</f>
        <v>0</v>
      </c>
      <c r="AR93" s="88">
        <f t="shared" ref="AR93:AR125" si="248">AP93+AQ93</f>
        <v>96233.355371900834</v>
      </c>
      <c r="AS93" s="89">
        <f t="shared" ref="AS93:AS125" si="249">IF(OR(AR93=0,$L93=0),"",$L93/AR93)</f>
        <v>0.44626279989284051</v>
      </c>
      <c r="AT93" s="89">
        <f t="shared" ref="AT93:AT125" si="250">IF(OR(AP93=0,$J93=0),"",$J93/AP93)</f>
        <v>0.44626279989284051</v>
      </c>
      <c r="AU93" s="89" t="str">
        <f t="shared" ref="AU93:AU125" si="251">IF(OR(AQ93=0,$K93=0),"",$K93/AQ93)</f>
        <v/>
      </c>
      <c r="AV93" s="83">
        <f>BY93+SCENARIU!$C$28+SCENARIU!$D$28+SCENARIU!$E$28+SCENARIU!$F$28+'AJUSTĂRI PE PRODUS'!$I$21+'AJUSTĂRI PE PRODUS'!$N$21+'AJUSTĂRI PE PRODUS'!$S$21+'AJUSTĂRI PE PRODUS'!$X$21</f>
        <v>13.49</v>
      </c>
      <c r="AW93" s="83"/>
      <c r="AX93" s="90">
        <f t="shared" ref="AX93:AX125" si="252">IF(AV93="",0,AV93/(1+$E93/100)*$F93)</f>
        <v>99937.487603305795</v>
      </c>
      <c r="AY93" s="90">
        <f t="shared" ref="AY93:AY125" si="253">IF(AW93="",0,AW93/(1+$E93/100)*$G93)</f>
        <v>0</v>
      </c>
      <c r="AZ93" s="90">
        <f t="shared" ref="AZ93:AZ125" si="254">AX93+AY93</f>
        <v>99937.487603305795</v>
      </c>
      <c r="BA93" s="91">
        <f t="shared" ref="BA93:BA125" si="255">IF(OR(AZ93=0,$L93=0),"",$L93/AZ93)</f>
        <v>0.42972229581971816</v>
      </c>
      <c r="BB93" s="91">
        <f t="shared" ref="BB93:BB125" si="256">IF(OR(AX93=0,$J93=0),"",$J93/AX93)</f>
        <v>0.42972229581971816</v>
      </c>
      <c r="BC93" s="91" t="str">
        <f t="shared" ref="BC93:BC125" si="257">IF(OR(AY93=0,$K93=0),"",$K93/AY93)</f>
        <v/>
      </c>
      <c r="BD93" s="92">
        <f t="shared" ref="BD93:BD125" si="258">IF(OR($N93="",P93=""),"",P93-$N93)</f>
        <v>0.99000000000000021</v>
      </c>
      <c r="BE93" s="92">
        <f t="shared" ref="BE93:BE125" si="259">IF(OR(P93="",X93=""),"",X93-P93)</f>
        <v>0.5</v>
      </c>
      <c r="BF93" s="92">
        <f t="shared" ref="BF93:BF125" si="260">IF(OR(X93="",AF93=""),"",AF93-X93)</f>
        <v>1</v>
      </c>
      <c r="BG93" s="92">
        <f t="shared" ref="BG93:BG125" si="261">IF(OR(AF93="",AN93=""),"",AN93-AF93)</f>
        <v>0.5</v>
      </c>
      <c r="BH93" s="92">
        <f t="shared" ref="BH93:BH125" si="262">IF(OR(AN93="",AV93=""),"",AV93-AN93)</f>
        <v>0.5</v>
      </c>
      <c r="BI93" s="93">
        <f t="shared" ref="BI93:BI125" si="263">IF(OR($N93="",AV93=""),"",AV93-$N93)</f>
        <v>3.49</v>
      </c>
      <c r="BJ93" s="92" t="str">
        <f t="shared" ref="BJ93:BJ125" si="264">IF(OR($O93="",Q93=""),"",Q93-$O93)</f>
        <v/>
      </c>
      <c r="BK93" s="92" t="str">
        <f t="shared" ref="BK93:BK125" si="265">IF(OR(Q93="",Y93=""),"",Y93-Q93)</f>
        <v/>
      </c>
      <c r="BL93" s="92" t="str">
        <f t="shared" ref="BL93:BL125" si="266">IF(OR(Y93="",AG93=""),"",AG93-Y93)</f>
        <v/>
      </c>
      <c r="BM93" s="92" t="str">
        <f t="shared" ref="BM93:BM125" si="267">IF(OR(AG93="",AO93=""),"",AO93-AG93)</f>
        <v/>
      </c>
      <c r="BN93" s="92" t="str">
        <f t="shared" ref="BN93:BN125" si="268">IF(OR(AO93="",AW93=""),"",AW93-AO93)</f>
        <v/>
      </c>
      <c r="BO93" s="93" t="str">
        <f t="shared" ref="BO93:BO125" si="269">IF(OR($O93="",AW93=""),"",AW93-$O93)</f>
        <v/>
      </c>
      <c r="BQ93">
        <v>10.99</v>
      </c>
      <c r="BS93">
        <v>11.49</v>
      </c>
      <c r="BU93">
        <v>12.49</v>
      </c>
      <c r="BW93">
        <v>12.99</v>
      </c>
      <c r="BY93">
        <v>13.49</v>
      </c>
    </row>
    <row r="94" spans="1:78" x14ac:dyDescent="0.2">
      <c r="A94" s="26">
        <v>2</v>
      </c>
      <c r="B94" s="26" t="s">
        <v>161</v>
      </c>
      <c r="C94" s="26" t="s">
        <v>103</v>
      </c>
      <c r="D94" s="74">
        <v>1</v>
      </c>
      <c r="E94" s="75">
        <v>21</v>
      </c>
      <c r="F94" s="76">
        <v>9763</v>
      </c>
      <c r="G94" s="76">
        <v>0</v>
      </c>
      <c r="H94" s="77">
        <f>SUMIFS(RETETAR!$I$4:$I$967,RETETAR!$A$4:$A$967,$M94,RETETAR!$C$4:$C$967,"AMBELE")+SUMIFS(RETETAR!$I$4:$I$967,RETETAR!$A$4:$A$967,$M94,RETETAR!$C$4:$C$967,"INSTORE")</f>
        <v>3.5114460411999997</v>
      </c>
      <c r="I94" s="77">
        <f>SUMIFS(RETETAR!$I$4:$I$967,RETETAR!$A$4:$A$967,$M94,RETETAR!$C$4:$C$967,"AMBELE")+SUMIFS(RETETAR!$I$4:$I$967,RETETAR!$A$4:$A$967,$M94,RETETAR!$C$4:$C$967,"DELIVERY")</f>
        <v>0</v>
      </c>
      <c r="J94" s="78">
        <f t="shared" si="225"/>
        <v>34282.247700235595</v>
      </c>
      <c r="K94" s="78">
        <f t="shared" si="226"/>
        <v>0</v>
      </c>
      <c r="L94" s="78">
        <f t="shared" si="227"/>
        <v>34282.247700235595</v>
      </c>
      <c r="M94" t="s">
        <v>161</v>
      </c>
      <c r="N94" s="79">
        <v>7</v>
      </c>
      <c r="O94" s="79"/>
      <c r="P94" s="80">
        <v>7.99</v>
      </c>
      <c r="Q94" s="80"/>
      <c r="R94" s="81">
        <f t="shared" si="228"/>
        <v>64468.074380165293</v>
      </c>
      <c r="S94" s="81">
        <f t="shared" si="229"/>
        <v>0</v>
      </c>
      <c r="T94" s="81">
        <f t="shared" si="230"/>
        <v>64468.074380165293</v>
      </c>
      <c r="U94" s="82">
        <f t="shared" si="231"/>
        <v>0.53177092739073828</v>
      </c>
      <c r="V94" s="82">
        <f t="shared" si="232"/>
        <v>0.53177092739073828</v>
      </c>
      <c r="W94" s="82" t="str">
        <f t="shared" si="233"/>
        <v/>
      </c>
      <c r="X94" s="83">
        <f>BS94+SCENARIU!$C$28+'AJUSTĂRI PE PRODUS'!$I$25</f>
        <v>8.49</v>
      </c>
      <c r="Y94" s="83"/>
      <c r="Z94" s="84">
        <f t="shared" si="234"/>
        <v>68502.371900826445</v>
      </c>
      <c r="AA94" s="84">
        <f t="shared" si="235"/>
        <v>0</v>
      </c>
      <c r="AB94" s="84">
        <f t="shared" si="236"/>
        <v>68502.371900826445</v>
      </c>
      <c r="AC94" s="85">
        <f t="shared" si="237"/>
        <v>0.50045344050082441</v>
      </c>
      <c r="AD94" s="85">
        <f t="shared" si="238"/>
        <v>0.50045344050082441</v>
      </c>
      <c r="AE94" s="85" t="str">
        <f t="shared" si="239"/>
        <v/>
      </c>
      <c r="AF94" s="83">
        <f>BU94+SCENARIU!$C$28+SCENARIU!$D$28+'AJUSTĂRI PE PRODUS'!$I$25+'AJUSTĂRI PE PRODUS'!$N$25</f>
        <v>9.49</v>
      </c>
      <c r="AG94" s="83"/>
      <c r="AH94" s="86">
        <f t="shared" si="240"/>
        <v>76570.966942148763</v>
      </c>
      <c r="AI94" s="86">
        <f t="shared" si="241"/>
        <v>0</v>
      </c>
      <c r="AJ94" s="86">
        <f t="shared" si="242"/>
        <v>76570.966942148763</v>
      </c>
      <c r="AK94" s="87">
        <f t="shared" si="243"/>
        <v>0.44771862063772383</v>
      </c>
      <c r="AL94" s="87">
        <f t="shared" si="244"/>
        <v>0.44771862063772383</v>
      </c>
      <c r="AM94" s="87" t="str">
        <f t="shared" si="245"/>
        <v/>
      </c>
      <c r="AN94" s="83">
        <f>BW94+SCENARIU!$C$28+SCENARIU!$D$28+SCENARIU!$E$28+'AJUSTĂRI PE PRODUS'!$I$25+'AJUSTĂRI PE PRODUS'!$N$25+'AJUSTĂRI PE PRODUS'!$S$25</f>
        <v>9.99</v>
      </c>
      <c r="AO94" s="83"/>
      <c r="AP94" s="88">
        <f t="shared" si="246"/>
        <v>80605.264462809922</v>
      </c>
      <c r="AQ94" s="88">
        <f t="shared" si="247"/>
        <v>0</v>
      </c>
      <c r="AR94" s="88">
        <f t="shared" si="248"/>
        <v>80605.264462809922</v>
      </c>
      <c r="AS94" s="89">
        <f t="shared" si="249"/>
        <v>0.42531028126646636</v>
      </c>
      <c r="AT94" s="89">
        <f t="shared" si="250"/>
        <v>0.42531028126646636</v>
      </c>
      <c r="AU94" s="89" t="str">
        <f t="shared" si="251"/>
        <v/>
      </c>
      <c r="AV94" s="83">
        <f>BY94+SCENARIU!$C$28+SCENARIU!$D$28+SCENARIU!$E$28+SCENARIU!$F$28+'AJUSTĂRI PE PRODUS'!$I$25+'AJUSTĂRI PE PRODUS'!$N$25+'AJUSTĂRI PE PRODUS'!$S$25+'AJUSTĂRI PE PRODUS'!$X$25</f>
        <v>10.49</v>
      </c>
      <c r="AW94" s="83"/>
      <c r="AX94" s="90">
        <f t="shared" si="252"/>
        <v>84639.561983471081</v>
      </c>
      <c r="AY94" s="90">
        <f t="shared" si="253"/>
        <v>0</v>
      </c>
      <c r="AZ94" s="90">
        <f t="shared" si="254"/>
        <v>84639.561983471081</v>
      </c>
      <c r="BA94" s="91">
        <f t="shared" si="255"/>
        <v>0.4050381038943755</v>
      </c>
      <c r="BB94" s="91">
        <f t="shared" si="256"/>
        <v>0.4050381038943755</v>
      </c>
      <c r="BC94" s="91" t="str">
        <f t="shared" si="257"/>
        <v/>
      </c>
      <c r="BD94" s="92">
        <f t="shared" si="258"/>
        <v>0.99000000000000021</v>
      </c>
      <c r="BE94" s="92">
        <f t="shared" si="259"/>
        <v>0.5</v>
      </c>
      <c r="BF94" s="92">
        <f t="shared" si="260"/>
        <v>1</v>
      </c>
      <c r="BG94" s="92">
        <f t="shared" si="261"/>
        <v>0.5</v>
      </c>
      <c r="BH94" s="92">
        <f t="shared" si="262"/>
        <v>0.5</v>
      </c>
      <c r="BI94" s="93">
        <f t="shared" si="263"/>
        <v>3.49</v>
      </c>
      <c r="BJ94" s="92" t="str">
        <f t="shared" si="264"/>
        <v/>
      </c>
      <c r="BK94" s="92" t="str">
        <f t="shared" si="265"/>
        <v/>
      </c>
      <c r="BL94" s="92" t="str">
        <f t="shared" si="266"/>
        <v/>
      </c>
      <c r="BM94" s="92" t="str">
        <f t="shared" si="267"/>
        <v/>
      </c>
      <c r="BN94" s="92" t="str">
        <f t="shared" si="268"/>
        <v/>
      </c>
      <c r="BO94" s="93" t="str">
        <f t="shared" si="269"/>
        <v/>
      </c>
      <c r="BQ94">
        <v>7.99</v>
      </c>
      <c r="BS94">
        <v>8.49</v>
      </c>
      <c r="BU94">
        <v>9.49</v>
      </c>
      <c r="BW94">
        <v>9.99</v>
      </c>
      <c r="BY94">
        <v>10.49</v>
      </c>
    </row>
    <row r="95" spans="1:78" x14ac:dyDescent="0.2">
      <c r="A95" s="26">
        <v>3</v>
      </c>
      <c r="B95" s="26" t="s">
        <v>170</v>
      </c>
      <c r="C95" s="26" t="s">
        <v>103</v>
      </c>
      <c r="D95" s="74">
        <v>1</v>
      </c>
      <c r="E95" s="75">
        <v>21</v>
      </c>
      <c r="F95" s="76">
        <v>4497</v>
      </c>
      <c r="G95" s="76">
        <v>0</v>
      </c>
      <c r="H95" s="77">
        <f>SUMIFS(RETETAR!$I$4:$I$967,RETETAR!$A$4:$A$967,$M95,RETETAR!$C$4:$C$967,"AMBELE")+SUMIFS(RETETAR!$I$4:$I$967,RETETAR!$A$4:$A$967,$M95,RETETAR!$C$4:$C$967,"INSTORE")</f>
        <v>4.7910008639999999</v>
      </c>
      <c r="I95" s="77">
        <f>SUMIFS(RETETAR!$I$4:$I$967,RETETAR!$A$4:$A$967,$M95,RETETAR!$C$4:$C$967,"AMBELE")+SUMIFS(RETETAR!$I$4:$I$967,RETETAR!$A$4:$A$967,$M95,RETETAR!$C$4:$C$967,"DELIVERY")</f>
        <v>0</v>
      </c>
      <c r="J95" s="78">
        <f t="shared" si="225"/>
        <v>21545.130885407998</v>
      </c>
      <c r="K95" s="78">
        <f t="shared" si="226"/>
        <v>0</v>
      </c>
      <c r="L95" s="78">
        <f t="shared" si="227"/>
        <v>21545.130885407998</v>
      </c>
      <c r="M95" t="s">
        <v>170</v>
      </c>
      <c r="N95" s="79">
        <v>10</v>
      </c>
      <c r="O95" s="79"/>
      <c r="P95" s="80">
        <v>10.99</v>
      </c>
      <c r="Q95" s="80"/>
      <c r="R95" s="81">
        <f t="shared" si="228"/>
        <v>40844.652892561986</v>
      </c>
      <c r="S95" s="81">
        <f t="shared" si="229"/>
        <v>0</v>
      </c>
      <c r="T95" s="81">
        <f t="shared" si="230"/>
        <v>40844.652892561986</v>
      </c>
      <c r="U95" s="82">
        <f t="shared" si="231"/>
        <v>0.52748963106824376</v>
      </c>
      <c r="V95" s="82">
        <f t="shared" si="232"/>
        <v>0.52748963106824376</v>
      </c>
      <c r="W95" s="82" t="str">
        <f t="shared" si="233"/>
        <v/>
      </c>
      <c r="X95" s="83">
        <f>BS95+SCENARIU!$C$28+'AJUSTĂRI PE PRODUS'!$I$31</f>
        <v>11.49</v>
      </c>
      <c r="Y95" s="83"/>
      <c r="Z95" s="84">
        <f t="shared" si="234"/>
        <v>42702.917355371908</v>
      </c>
      <c r="AA95" s="84">
        <f t="shared" si="235"/>
        <v>0</v>
      </c>
      <c r="AB95" s="84">
        <f t="shared" si="236"/>
        <v>42702.917355371908</v>
      </c>
      <c r="AC95" s="85">
        <f t="shared" si="237"/>
        <v>0.5045353390287205</v>
      </c>
      <c r="AD95" s="85">
        <f t="shared" si="238"/>
        <v>0.5045353390287205</v>
      </c>
      <c r="AE95" s="85" t="str">
        <f t="shared" si="239"/>
        <v/>
      </c>
      <c r="AF95" s="83">
        <f>BU95+SCENARIU!$C$28+SCENARIU!$D$28+'AJUSTĂRI PE PRODUS'!$I$31+'AJUSTĂRI PE PRODUS'!$N$31</f>
        <v>12.49</v>
      </c>
      <c r="AG95" s="83"/>
      <c r="AH95" s="86">
        <f t="shared" si="240"/>
        <v>46419.446280991739</v>
      </c>
      <c r="AI95" s="86">
        <f t="shared" si="241"/>
        <v>0</v>
      </c>
      <c r="AJ95" s="86">
        <f t="shared" si="242"/>
        <v>46419.446280991739</v>
      </c>
      <c r="AK95" s="87">
        <f t="shared" si="243"/>
        <v>0.46414019579183341</v>
      </c>
      <c r="AL95" s="87">
        <f t="shared" si="244"/>
        <v>0.46414019579183341</v>
      </c>
      <c r="AM95" s="87" t="str">
        <f t="shared" si="245"/>
        <v/>
      </c>
      <c r="AN95" s="83">
        <f>BW95+SCENARIU!$C$28+SCENARIU!$D$28+SCENARIU!$E$28+'AJUSTĂRI PE PRODUS'!$I$31+'AJUSTĂRI PE PRODUS'!$N$31+'AJUSTĂRI PE PRODUS'!$S$31</f>
        <v>12.99</v>
      </c>
      <c r="AO95" s="83"/>
      <c r="AP95" s="88">
        <f t="shared" si="246"/>
        <v>48277.710743801654</v>
      </c>
      <c r="AQ95" s="88">
        <f t="shared" si="247"/>
        <v>0</v>
      </c>
      <c r="AR95" s="88">
        <f t="shared" si="248"/>
        <v>48277.710743801654</v>
      </c>
      <c r="AS95" s="89">
        <f t="shared" si="249"/>
        <v>0.4462749072702078</v>
      </c>
      <c r="AT95" s="89">
        <f t="shared" si="250"/>
        <v>0.4462749072702078</v>
      </c>
      <c r="AU95" s="89" t="str">
        <f t="shared" si="251"/>
        <v/>
      </c>
      <c r="AV95" s="83">
        <f>BY95+SCENARIU!$C$28+SCENARIU!$D$28+SCENARIU!$E$28+SCENARIU!$F$28+'AJUSTĂRI PE PRODUS'!$I$31+'AJUSTĂRI PE PRODUS'!$N$31+'AJUSTĂRI PE PRODUS'!$S$31+'AJUSTĂRI PE PRODUS'!$X$31</f>
        <v>13.49</v>
      </c>
      <c r="AW95" s="83"/>
      <c r="AX95" s="90">
        <f t="shared" si="252"/>
        <v>50135.975206611576</v>
      </c>
      <c r="AY95" s="90">
        <f t="shared" si="253"/>
        <v>0</v>
      </c>
      <c r="AZ95" s="90">
        <f t="shared" si="254"/>
        <v>50135.975206611576</v>
      </c>
      <c r="BA95" s="91">
        <f t="shared" si="255"/>
        <v>0.42973395444329121</v>
      </c>
      <c r="BB95" s="91">
        <f t="shared" si="256"/>
        <v>0.42973395444329121</v>
      </c>
      <c r="BC95" s="91" t="str">
        <f t="shared" si="257"/>
        <v/>
      </c>
      <c r="BD95" s="92">
        <f t="shared" si="258"/>
        <v>0.99000000000000021</v>
      </c>
      <c r="BE95" s="92">
        <f t="shared" si="259"/>
        <v>0.5</v>
      </c>
      <c r="BF95" s="92">
        <f t="shared" si="260"/>
        <v>1</v>
      </c>
      <c r="BG95" s="92">
        <f t="shared" si="261"/>
        <v>0.5</v>
      </c>
      <c r="BH95" s="92">
        <f t="shared" si="262"/>
        <v>0.5</v>
      </c>
      <c r="BI95" s="93">
        <f t="shared" si="263"/>
        <v>3.49</v>
      </c>
      <c r="BJ95" s="92" t="str">
        <f t="shared" si="264"/>
        <v/>
      </c>
      <c r="BK95" s="92" t="str">
        <f t="shared" si="265"/>
        <v/>
      </c>
      <c r="BL95" s="92" t="str">
        <f t="shared" si="266"/>
        <v/>
      </c>
      <c r="BM95" s="92" t="str">
        <f t="shared" si="267"/>
        <v/>
      </c>
      <c r="BN95" s="92" t="str">
        <f t="shared" si="268"/>
        <v/>
      </c>
      <c r="BO95" s="93" t="str">
        <f t="shared" si="269"/>
        <v/>
      </c>
      <c r="BQ95">
        <v>10.99</v>
      </c>
      <c r="BS95">
        <v>11.49</v>
      </c>
      <c r="BU95">
        <v>12.49</v>
      </c>
      <c r="BW95">
        <v>12.99</v>
      </c>
      <c r="BY95">
        <v>13.49</v>
      </c>
    </row>
    <row r="96" spans="1:78" x14ac:dyDescent="0.2">
      <c r="A96" s="26">
        <v>4</v>
      </c>
      <c r="B96" s="26" t="s">
        <v>172</v>
      </c>
      <c r="C96" s="26" t="s">
        <v>103</v>
      </c>
      <c r="D96" s="74">
        <v>1</v>
      </c>
      <c r="E96" s="75">
        <v>21</v>
      </c>
      <c r="F96" s="76">
        <v>5796</v>
      </c>
      <c r="G96" s="76">
        <v>0</v>
      </c>
      <c r="H96" s="77">
        <f>SUMIFS(RETETAR!$I$4:$I$967,RETETAR!$A$4:$A$967,$M96,RETETAR!$C$4:$C$967,"AMBELE")+SUMIFS(RETETAR!$I$4:$I$967,RETETAR!$A$4:$A$967,$M96,RETETAR!$C$4:$C$967,"INSTORE")</f>
        <v>3.5115378159999997</v>
      </c>
      <c r="I96" s="77">
        <f>SUMIFS(RETETAR!$I$4:$I$967,RETETAR!$A$4:$A$967,$M96,RETETAR!$C$4:$C$967,"AMBELE")+SUMIFS(RETETAR!$I$4:$I$967,RETETAR!$A$4:$A$967,$M96,RETETAR!$C$4:$C$967,"DELIVERY")</f>
        <v>0</v>
      </c>
      <c r="J96" s="78">
        <f t="shared" si="225"/>
        <v>20352.873181535997</v>
      </c>
      <c r="K96" s="78">
        <f t="shared" si="226"/>
        <v>0</v>
      </c>
      <c r="L96" s="78">
        <f t="shared" si="227"/>
        <v>20352.873181535997</v>
      </c>
      <c r="M96" t="s">
        <v>172</v>
      </c>
      <c r="N96" s="79">
        <v>7</v>
      </c>
      <c r="O96" s="79"/>
      <c r="P96" s="80">
        <v>7.99</v>
      </c>
      <c r="Q96" s="80"/>
      <c r="R96" s="81">
        <f t="shared" si="228"/>
        <v>38272.760330578516</v>
      </c>
      <c r="S96" s="81">
        <f t="shared" si="229"/>
        <v>0</v>
      </c>
      <c r="T96" s="81">
        <f t="shared" si="230"/>
        <v>38272.760330578516</v>
      </c>
      <c r="U96" s="82">
        <f t="shared" si="231"/>
        <v>0.53178482570212748</v>
      </c>
      <c r="V96" s="82">
        <f t="shared" si="232"/>
        <v>0.53178482570212748</v>
      </c>
      <c r="W96" s="82" t="str">
        <f t="shared" si="233"/>
        <v/>
      </c>
      <c r="X96" s="83">
        <f>BS96+SCENARIU!$C$28+'AJUSTĂRI PE PRODUS'!$I$33</f>
        <v>8.49</v>
      </c>
      <c r="Y96" s="83"/>
      <c r="Z96" s="84">
        <f t="shared" si="234"/>
        <v>40667.801652892565</v>
      </c>
      <c r="AA96" s="84">
        <f t="shared" si="235"/>
        <v>0</v>
      </c>
      <c r="AB96" s="84">
        <f t="shared" si="236"/>
        <v>40667.801652892565</v>
      </c>
      <c r="AC96" s="85">
        <f t="shared" si="237"/>
        <v>0.50046652030153105</v>
      </c>
      <c r="AD96" s="85">
        <f t="shared" si="238"/>
        <v>0.50046652030153105</v>
      </c>
      <c r="AE96" s="85" t="str">
        <f t="shared" si="239"/>
        <v/>
      </c>
      <c r="AF96" s="83">
        <f>BU96+SCENARIU!$C$28+SCENARIU!$D$28+'AJUSTĂRI PE PRODUS'!$I$33+'AJUSTĂRI PE PRODUS'!$N$33</f>
        <v>9.49</v>
      </c>
      <c r="AG96" s="83"/>
      <c r="AH96" s="86">
        <f t="shared" si="240"/>
        <v>45457.884297520664</v>
      </c>
      <c r="AI96" s="86">
        <f t="shared" si="241"/>
        <v>0</v>
      </c>
      <c r="AJ96" s="86">
        <f t="shared" si="242"/>
        <v>45457.884297520664</v>
      </c>
      <c r="AK96" s="87">
        <f t="shared" si="243"/>
        <v>0.44773032216649095</v>
      </c>
      <c r="AL96" s="87">
        <f t="shared" si="244"/>
        <v>0.44773032216649095</v>
      </c>
      <c r="AM96" s="87" t="str">
        <f t="shared" si="245"/>
        <v/>
      </c>
      <c r="AN96" s="83">
        <f>BW96+SCENARIU!$C$28+SCENARIU!$D$28+SCENARIU!$E$28+'AJUSTĂRI PE PRODUS'!$I$33+'AJUSTĂRI PE PRODUS'!$N$33+'AJUSTĂRI PE PRODUS'!$S$33</f>
        <v>9.99</v>
      </c>
      <c r="AO96" s="83"/>
      <c r="AP96" s="88">
        <f t="shared" si="246"/>
        <v>47852.925619834714</v>
      </c>
      <c r="AQ96" s="88">
        <f t="shared" si="247"/>
        <v>0</v>
      </c>
      <c r="AR96" s="88">
        <f t="shared" si="248"/>
        <v>47852.925619834714</v>
      </c>
      <c r="AS96" s="89">
        <f t="shared" si="249"/>
        <v>0.42532139713313305</v>
      </c>
      <c r="AT96" s="89">
        <f t="shared" si="250"/>
        <v>0.42532139713313305</v>
      </c>
      <c r="AU96" s="89" t="str">
        <f t="shared" si="251"/>
        <v/>
      </c>
      <c r="AV96" s="83">
        <f>BY96+SCENARIU!$C$28+SCENARIU!$D$28+SCENARIU!$E$28+SCENARIU!$F$28+'AJUSTĂRI PE PRODUS'!$I$33+'AJUSTĂRI PE PRODUS'!$N$33+'AJUSTĂRI PE PRODUS'!$S$33+'AJUSTĂRI PE PRODUS'!$X$33</f>
        <v>10.49</v>
      </c>
      <c r="AW96" s="83"/>
      <c r="AX96" s="90">
        <f t="shared" si="252"/>
        <v>50247.966942148763</v>
      </c>
      <c r="AY96" s="90">
        <f t="shared" si="253"/>
        <v>0</v>
      </c>
      <c r="AZ96" s="90">
        <f t="shared" si="254"/>
        <v>50247.966942148763</v>
      </c>
      <c r="BA96" s="91">
        <f t="shared" si="255"/>
        <v>0.40504868992945653</v>
      </c>
      <c r="BB96" s="91">
        <f t="shared" si="256"/>
        <v>0.40504868992945653</v>
      </c>
      <c r="BC96" s="91" t="str">
        <f t="shared" si="257"/>
        <v/>
      </c>
      <c r="BD96" s="92">
        <f t="shared" si="258"/>
        <v>0.99000000000000021</v>
      </c>
      <c r="BE96" s="92">
        <f t="shared" si="259"/>
        <v>0.5</v>
      </c>
      <c r="BF96" s="92">
        <f t="shared" si="260"/>
        <v>1</v>
      </c>
      <c r="BG96" s="92">
        <f t="shared" si="261"/>
        <v>0.5</v>
      </c>
      <c r="BH96" s="92">
        <f t="shared" si="262"/>
        <v>0.5</v>
      </c>
      <c r="BI96" s="93">
        <f t="shared" si="263"/>
        <v>3.49</v>
      </c>
      <c r="BJ96" s="92" t="str">
        <f t="shared" si="264"/>
        <v/>
      </c>
      <c r="BK96" s="92" t="str">
        <f t="shared" si="265"/>
        <v/>
      </c>
      <c r="BL96" s="92" t="str">
        <f t="shared" si="266"/>
        <v/>
      </c>
      <c r="BM96" s="92" t="str">
        <f t="shared" si="267"/>
        <v/>
      </c>
      <c r="BN96" s="92" t="str">
        <f t="shared" si="268"/>
        <v/>
      </c>
      <c r="BO96" s="93" t="str">
        <f t="shared" si="269"/>
        <v/>
      </c>
      <c r="BQ96">
        <v>7.99</v>
      </c>
      <c r="BS96">
        <v>8.49</v>
      </c>
      <c r="BU96">
        <v>9.49</v>
      </c>
      <c r="BW96">
        <v>9.99</v>
      </c>
      <c r="BY96">
        <v>10.49</v>
      </c>
    </row>
    <row r="97" spans="1:78" x14ac:dyDescent="0.2">
      <c r="A97" s="26">
        <v>5</v>
      </c>
      <c r="B97" s="26" t="s">
        <v>188</v>
      </c>
      <c r="C97" s="26" t="s">
        <v>103</v>
      </c>
      <c r="D97" s="74">
        <v>1</v>
      </c>
      <c r="E97" s="75">
        <v>21</v>
      </c>
      <c r="F97" s="76">
        <v>2416</v>
      </c>
      <c r="G97" s="76">
        <v>109</v>
      </c>
      <c r="H97" s="77">
        <f>SUMIFS(RETETAR!$I$4:$I$967,RETETAR!$A$4:$A$967,$M97,RETETAR!$C$4:$C$967,"AMBELE")+SUMIFS(RETETAR!$I$4:$I$967,RETETAR!$A$4:$A$967,$M97,RETETAR!$C$4:$C$967,"INSTORE")</f>
        <v>2.7919999999999998</v>
      </c>
      <c r="I97" s="77">
        <f>SUMIFS(RETETAR!$I$4:$I$967,RETETAR!$A$4:$A$967,$M97,RETETAR!$C$4:$C$967,"AMBELE")+SUMIFS(RETETAR!$I$4:$I$967,RETETAR!$A$4:$A$967,$M97,RETETAR!$C$4:$C$967,"DELIVERY")</f>
        <v>2.7919999999999998</v>
      </c>
      <c r="J97" s="78">
        <f t="shared" si="225"/>
        <v>6745.4719999999998</v>
      </c>
      <c r="K97" s="78">
        <f t="shared" si="226"/>
        <v>304.32799999999997</v>
      </c>
      <c r="L97" s="78">
        <f t="shared" si="227"/>
        <v>7049.7999999999993</v>
      </c>
      <c r="M97" t="s">
        <v>188</v>
      </c>
      <c r="N97" s="79">
        <v>10</v>
      </c>
      <c r="O97" s="79">
        <v>11</v>
      </c>
      <c r="P97" s="80">
        <v>10.99</v>
      </c>
      <c r="Q97" s="80">
        <v>11.99</v>
      </c>
      <c r="R97" s="81">
        <f t="shared" si="228"/>
        <v>21943.669421487604</v>
      </c>
      <c r="S97" s="81">
        <f t="shared" si="229"/>
        <v>1080.0909090909092</v>
      </c>
      <c r="T97" s="81">
        <f t="shared" si="230"/>
        <v>23023.760330578512</v>
      </c>
      <c r="U97" s="82">
        <f t="shared" si="231"/>
        <v>0.30619672454794272</v>
      </c>
      <c r="V97" s="82">
        <f t="shared" si="232"/>
        <v>0.30739945404913555</v>
      </c>
      <c r="W97" s="82">
        <f t="shared" si="233"/>
        <v>0.28176146788990819</v>
      </c>
      <c r="X97" s="83">
        <f>BS97+SCENARIU!$C$28+'AJUSTĂRI PE PRODUS'!$I$48</f>
        <v>10.99</v>
      </c>
      <c r="Y97" s="83">
        <f>BT97+SCENARIU!$C$28+'AJUSTĂRI PE PRODUS'!$J$48</f>
        <v>11.99</v>
      </c>
      <c r="Z97" s="84">
        <f t="shared" si="234"/>
        <v>21943.669421487604</v>
      </c>
      <c r="AA97" s="84">
        <f t="shared" si="235"/>
        <v>1080.0909090909092</v>
      </c>
      <c r="AB97" s="84">
        <f t="shared" si="236"/>
        <v>23023.760330578512</v>
      </c>
      <c r="AC97" s="85">
        <f t="shared" si="237"/>
        <v>0.30619672454794272</v>
      </c>
      <c r="AD97" s="85">
        <f t="shared" si="238"/>
        <v>0.30739945404913555</v>
      </c>
      <c r="AE97" s="85">
        <f t="shared" si="239"/>
        <v>0.28176146788990819</v>
      </c>
      <c r="AF97" s="83">
        <f>BU97+SCENARIU!$C$28+SCENARIU!$D$28+'AJUSTĂRI PE PRODUS'!$I$48+'AJUSTĂRI PE PRODUS'!$N$48</f>
        <v>11.99</v>
      </c>
      <c r="AG97" s="83">
        <f>BV97+SCENARIU!$C$28+SCENARIU!$D$28+'AJUSTĂRI PE PRODUS'!$J$48+'AJUSTĂRI PE PRODUS'!$O$48</f>
        <v>12.99</v>
      </c>
      <c r="AH97" s="86">
        <f t="shared" si="240"/>
        <v>23940.36363636364</v>
      </c>
      <c r="AI97" s="86">
        <f t="shared" si="241"/>
        <v>1170.1735537190084</v>
      </c>
      <c r="AJ97" s="86">
        <f t="shared" si="242"/>
        <v>25110.537190082647</v>
      </c>
      <c r="AK97" s="87">
        <f t="shared" si="243"/>
        <v>0.28075066441765739</v>
      </c>
      <c r="AL97" s="87">
        <f t="shared" si="244"/>
        <v>0.28176146788990819</v>
      </c>
      <c r="AM97" s="87">
        <f t="shared" si="245"/>
        <v>0.26007082371054652</v>
      </c>
      <c r="AN97" s="83">
        <f>BW97+SCENARIU!$C$28+SCENARIU!$D$28+SCENARIU!$E$28+'AJUSTĂRI PE PRODUS'!$I$48+'AJUSTĂRI PE PRODUS'!$N$48+'AJUSTĂRI PE PRODUS'!$S$48</f>
        <v>12.49</v>
      </c>
      <c r="AO97" s="83">
        <f>BX97+SCENARIU!$C$28+SCENARIU!$D$28+SCENARIU!$E$28+'AJUSTĂRI PE PRODUS'!$J$48+'AJUSTĂRI PE PRODUS'!$O$48+'AJUSTĂRI PE PRODUS'!$T$48</f>
        <v>13.49</v>
      </c>
      <c r="AP97" s="88">
        <f t="shared" si="246"/>
        <v>24938.710743801654</v>
      </c>
      <c r="AQ97" s="88">
        <f t="shared" si="247"/>
        <v>1215.2148760330579</v>
      </c>
      <c r="AR97" s="88">
        <f t="shared" si="248"/>
        <v>26153.92561983471</v>
      </c>
      <c r="AS97" s="89">
        <f t="shared" si="249"/>
        <v>0.26955035746731443</v>
      </c>
      <c r="AT97" s="89">
        <f t="shared" si="250"/>
        <v>0.27048198558847075</v>
      </c>
      <c r="AU97" s="89">
        <f t="shared" si="251"/>
        <v>0.25043143068939955</v>
      </c>
      <c r="AV97" s="83">
        <f>BY97+SCENARIU!$C$28+SCENARIU!$D$28+SCENARIU!$E$28+SCENARIU!$F$28+'AJUSTĂRI PE PRODUS'!$I$48+'AJUSTĂRI PE PRODUS'!$N$48+'AJUSTĂRI PE PRODUS'!$S$48+'AJUSTĂRI PE PRODUS'!$X$48</f>
        <v>12.99</v>
      </c>
      <c r="AW97" s="83">
        <f>BZ97+SCENARIU!$C$28+SCENARIU!$D$28+SCENARIU!$E$28+SCENARIU!$F$28+'AJUSTĂRI PE PRODUS'!$J$48+'AJUSTĂRI PE PRODUS'!$O$48+'AJUSTĂRI PE PRODUS'!$T$48+'AJUSTĂRI PE PRODUS'!$Y$48</f>
        <v>13.99</v>
      </c>
      <c r="AX97" s="90">
        <f t="shared" si="252"/>
        <v>25937.057851239671</v>
      </c>
      <c r="AY97" s="90">
        <f t="shared" si="253"/>
        <v>1260.2561983471076</v>
      </c>
      <c r="AZ97" s="90">
        <f t="shared" si="254"/>
        <v>27197.314049586777</v>
      </c>
      <c r="BA97" s="91">
        <f t="shared" si="255"/>
        <v>0.25920941998708547</v>
      </c>
      <c r="BB97" s="91">
        <f t="shared" si="256"/>
        <v>0.26007082371054652</v>
      </c>
      <c r="BC97" s="91">
        <f t="shared" si="257"/>
        <v>0.24148105789849889</v>
      </c>
      <c r="BD97" s="92">
        <f t="shared" si="258"/>
        <v>0.99000000000000021</v>
      </c>
      <c r="BE97" s="92">
        <f t="shared" si="259"/>
        <v>0</v>
      </c>
      <c r="BF97" s="92">
        <f t="shared" si="260"/>
        <v>1</v>
      </c>
      <c r="BG97" s="92">
        <f t="shared" si="261"/>
        <v>0.5</v>
      </c>
      <c r="BH97" s="92">
        <f t="shared" si="262"/>
        <v>0.5</v>
      </c>
      <c r="BI97" s="93">
        <f t="shared" si="263"/>
        <v>2.99</v>
      </c>
      <c r="BJ97" s="92">
        <f t="shared" si="264"/>
        <v>0.99000000000000021</v>
      </c>
      <c r="BK97" s="92">
        <f t="shared" si="265"/>
        <v>0</v>
      </c>
      <c r="BL97" s="92">
        <f t="shared" si="266"/>
        <v>1</v>
      </c>
      <c r="BM97" s="92">
        <f t="shared" si="267"/>
        <v>0.5</v>
      </c>
      <c r="BN97" s="92">
        <f t="shared" si="268"/>
        <v>0.5</v>
      </c>
      <c r="BO97" s="93">
        <f t="shared" si="269"/>
        <v>2.99</v>
      </c>
      <c r="BQ97">
        <v>10.99</v>
      </c>
      <c r="BR97">
        <v>11.99</v>
      </c>
      <c r="BS97">
        <v>10.99</v>
      </c>
      <c r="BT97">
        <v>11.99</v>
      </c>
      <c r="BU97">
        <v>11.99</v>
      </c>
      <c r="BV97">
        <v>12.99</v>
      </c>
      <c r="BW97">
        <v>12.49</v>
      </c>
      <c r="BX97">
        <v>13.49</v>
      </c>
      <c r="BY97">
        <v>12.99</v>
      </c>
      <c r="BZ97">
        <v>13.99</v>
      </c>
    </row>
    <row r="98" spans="1:78" x14ac:dyDescent="0.2">
      <c r="A98" s="26">
        <v>6</v>
      </c>
      <c r="B98" s="26" t="s">
        <v>207</v>
      </c>
      <c r="C98" s="26" t="s">
        <v>103</v>
      </c>
      <c r="D98" s="74">
        <v>1</v>
      </c>
      <c r="E98" s="75">
        <v>21</v>
      </c>
      <c r="F98" s="76">
        <v>2083</v>
      </c>
      <c r="G98" s="76">
        <v>0</v>
      </c>
      <c r="H98" s="77">
        <f>SUMIFS(RETETAR!$I$4:$I$967,RETETAR!$A$4:$A$967,$M98,RETETAR!$C$4:$C$967,"AMBELE")+SUMIFS(RETETAR!$I$4:$I$967,RETETAR!$A$4:$A$967,$M98,RETETAR!$C$4:$C$967,"INSTORE")</f>
        <v>3.4043542960000002</v>
      </c>
      <c r="I98" s="77">
        <f>SUMIFS(RETETAR!$I$4:$I$967,RETETAR!$A$4:$A$967,$M98,RETETAR!$C$4:$C$967,"AMBELE")+SUMIFS(RETETAR!$I$4:$I$967,RETETAR!$A$4:$A$967,$M98,RETETAR!$C$4:$C$967,"DELIVERY")</f>
        <v>0</v>
      </c>
      <c r="J98" s="78">
        <f t="shared" si="225"/>
        <v>7091.2699985680001</v>
      </c>
      <c r="K98" s="78">
        <f t="shared" si="226"/>
        <v>0</v>
      </c>
      <c r="L98" s="78">
        <f t="shared" si="227"/>
        <v>7091.2699985680001</v>
      </c>
      <c r="M98" t="s">
        <v>207</v>
      </c>
      <c r="N98" s="79">
        <v>7</v>
      </c>
      <c r="O98" s="79"/>
      <c r="P98" s="80">
        <v>7.99</v>
      </c>
      <c r="Q98" s="80"/>
      <c r="R98" s="81">
        <f t="shared" si="228"/>
        <v>13754.685950413224</v>
      </c>
      <c r="S98" s="81">
        <f t="shared" si="229"/>
        <v>0</v>
      </c>
      <c r="T98" s="81">
        <f t="shared" si="230"/>
        <v>13754.685950413224</v>
      </c>
      <c r="U98" s="82">
        <f t="shared" si="231"/>
        <v>0.51555302855569463</v>
      </c>
      <c r="V98" s="82">
        <f t="shared" si="232"/>
        <v>0.51555302855569463</v>
      </c>
      <c r="W98" s="82" t="str">
        <f t="shared" si="233"/>
        <v/>
      </c>
      <c r="X98" s="83">
        <f>BS98+SCENARIU!$C$28+'AJUSTĂRI PE PRODUS'!$I$65</f>
        <v>8.49</v>
      </c>
      <c r="Y98" s="83"/>
      <c r="Z98" s="84">
        <f t="shared" si="234"/>
        <v>14615.429752066117</v>
      </c>
      <c r="AA98" s="84">
        <f t="shared" si="235"/>
        <v>0</v>
      </c>
      <c r="AB98" s="84">
        <f t="shared" si="236"/>
        <v>14615.429752066117</v>
      </c>
      <c r="AC98" s="85">
        <f t="shared" si="237"/>
        <v>0.48519065938280326</v>
      </c>
      <c r="AD98" s="85">
        <f t="shared" si="238"/>
        <v>0.48519065938280326</v>
      </c>
      <c r="AE98" s="85" t="str">
        <f t="shared" si="239"/>
        <v/>
      </c>
      <c r="AF98" s="83">
        <f>BU98+SCENARIU!$C$28+SCENARIU!$D$28+'AJUSTĂRI PE PRODUS'!$I$65+'AJUSTĂRI PE PRODUS'!$N$65</f>
        <v>9.49</v>
      </c>
      <c r="AG98" s="83"/>
      <c r="AH98" s="86">
        <f t="shared" si="240"/>
        <v>16336.917355371901</v>
      </c>
      <c r="AI98" s="86">
        <f t="shared" si="241"/>
        <v>0</v>
      </c>
      <c r="AJ98" s="86">
        <f t="shared" si="242"/>
        <v>16336.917355371901</v>
      </c>
      <c r="AK98" s="87">
        <f t="shared" si="243"/>
        <v>0.43406414100737617</v>
      </c>
      <c r="AL98" s="87">
        <f t="shared" si="244"/>
        <v>0.43406414100737617</v>
      </c>
      <c r="AM98" s="87" t="str">
        <f t="shared" si="245"/>
        <v/>
      </c>
      <c r="AN98" s="83">
        <f>BW98+SCENARIU!$C$28+SCENARIU!$D$28+SCENARIU!$E$28+'AJUSTĂRI PE PRODUS'!$I$65+'AJUSTĂRI PE PRODUS'!$N$65+'AJUSTĂRI PE PRODUS'!$S$65</f>
        <v>9.99</v>
      </c>
      <c r="AO98" s="83"/>
      <c r="AP98" s="88">
        <f t="shared" si="246"/>
        <v>17197.661157024795</v>
      </c>
      <c r="AQ98" s="88">
        <f t="shared" si="247"/>
        <v>0</v>
      </c>
      <c r="AR98" s="88">
        <f t="shared" si="248"/>
        <v>17197.661157024795</v>
      </c>
      <c r="AS98" s="89">
        <f t="shared" si="249"/>
        <v>0.41233920902502497</v>
      </c>
      <c r="AT98" s="89">
        <f t="shared" si="250"/>
        <v>0.41233920902502497</v>
      </c>
      <c r="AU98" s="89" t="str">
        <f t="shared" si="251"/>
        <v/>
      </c>
      <c r="AV98" s="83">
        <f>BY98+SCENARIU!$C$28+SCENARIU!$D$28+SCENARIU!$E$28+SCENARIU!$F$28+'AJUSTĂRI PE PRODUS'!$I$65+'AJUSTĂRI PE PRODUS'!$N$65+'AJUSTĂRI PE PRODUS'!$S$65+'AJUSTĂRI PE PRODUS'!$X$65</f>
        <v>10.49</v>
      </c>
      <c r="AW98" s="83"/>
      <c r="AX98" s="90">
        <f t="shared" si="252"/>
        <v>18058.404958677689</v>
      </c>
      <c r="AY98" s="90">
        <f t="shared" si="253"/>
        <v>0</v>
      </c>
      <c r="AZ98" s="90">
        <f t="shared" si="254"/>
        <v>18058.404958677689</v>
      </c>
      <c r="BA98" s="91">
        <f t="shared" si="255"/>
        <v>0.39268529057769297</v>
      </c>
      <c r="BB98" s="91">
        <f t="shared" si="256"/>
        <v>0.39268529057769297</v>
      </c>
      <c r="BC98" s="91" t="str">
        <f t="shared" si="257"/>
        <v/>
      </c>
      <c r="BD98" s="92">
        <f t="shared" si="258"/>
        <v>0.99000000000000021</v>
      </c>
      <c r="BE98" s="92">
        <f t="shared" si="259"/>
        <v>0.5</v>
      </c>
      <c r="BF98" s="92">
        <f t="shared" si="260"/>
        <v>1</v>
      </c>
      <c r="BG98" s="92">
        <f t="shared" si="261"/>
        <v>0.5</v>
      </c>
      <c r="BH98" s="92">
        <f t="shared" si="262"/>
        <v>0.5</v>
      </c>
      <c r="BI98" s="93">
        <f t="shared" si="263"/>
        <v>3.49</v>
      </c>
      <c r="BJ98" s="92" t="str">
        <f t="shared" si="264"/>
        <v/>
      </c>
      <c r="BK98" s="92" t="str">
        <f t="shared" si="265"/>
        <v/>
      </c>
      <c r="BL98" s="92" t="str">
        <f t="shared" si="266"/>
        <v/>
      </c>
      <c r="BM98" s="92" t="str">
        <f t="shared" si="267"/>
        <v/>
      </c>
      <c r="BN98" s="92" t="str">
        <f t="shared" si="268"/>
        <v/>
      </c>
      <c r="BO98" s="93" t="str">
        <f t="shared" si="269"/>
        <v/>
      </c>
      <c r="BQ98">
        <v>7.99</v>
      </c>
      <c r="BS98">
        <v>8.49</v>
      </c>
      <c r="BU98">
        <v>9.49</v>
      </c>
      <c r="BW98">
        <v>9.99</v>
      </c>
      <c r="BY98">
        <v>10.49</v>
      </c>
    </row>
    <row r="99" spans="1:78" x14ac:dyDescent="0.2">
      <c r="A99" s="26">
        <v>7</v>
      </c>
      <c r="B99" s="26" t="s">
        <v>208</v>
      </c>
      <c r="C99" s="26" t="s">
        <v>103</v>
      </c>
      <c r="D99" s="74">
        <v>1</v>
      </c>
      <c r="E99" s="75">
        <v>21</v>
      </c>
      <c r="F99" s="76">
        <v>2047</v>
      </c>
      <c r="G99" s="76">
        <v>0</v>
      </c>
      <c r="H99" s="77">
        <f>SUMIFS(RETETAR!$I$4:$I$967,RETETAR!$A$4:$A$967,$M99,RETETAR!$C$4:$C$967,"AMBELE")+SUMIFS(RETETAR!$I$4:$I$967,RETETAR!$A$4:$A$967,$M99,RETETAR!$C$4:$C$967,"INSTORE")</f>
        <v>3.5114366284000003</v>
      </c>
      <c r="I99" s="77">
        <f>SUMIFS(RETETAR!$I$4:$I$967,RETETAR!$A$4:$A$967,$M99,RETETAR!$C$4:$C$967,"AMBELE")+SUMIFS(RETETAR!$I$4:$I$967,RETETAR!$A$4:$A$967,$M99,RETETAR!$C$4:$C$967,"DELIVERY")</f>
        <v>0</v>
      </c>
      <c r="J99" s="78">
        <f t="shared" si="225"/>
        <v>7187.9107783348009</v>
      </c>
      <c r="K99" s="78">
        <f t="shared" si="226"/>
        <v>0</v>
      </c>
      <c r="L99" s="78">
        <f t="shared" si="227"/>
        <v>7187.9107783348009</v>
      </c>
      <c r="M99" t="s">
        <v>208</v>
      </c>
      <c r="N99" s="79">
        <v>7</v>
      </c>
      <c r="O99" s="79"/>
      <c r="P99" s="80">
        <v>7.99</v>
      </c>
      <c r="Q99" s="80"/>
      <c r="R99" s="81">
        <f t="shared" si="228"/>
        <v>13516.966942148762</v>
      </c>
      <c r="S99" s="81">
        <f t="shared" si="229"/>
        <v>0</v>
      </c>
      <c r="T99" s="81">
        <f t="shared" si="230"/>
        <v>13516.966942148762</v>
      </c>
      <c r="U99" s="82">
        <f t="shared" si="231"/>
        <v>0.53176950192290362</v>
      </c>
      <c r="V99" s="82">
        <f t="shared" si="232"/>
        <v>0.53176950192290362</v>
      </c>
      <c r="W99" s="82" t="str">
        <f t="shared" si="233"/>
        <v/>
      </c>
      <c r="X99" s="83">
        <f>BS99+SCENARIU!$C$28+'AJUSTĂRI PE PRODUS'!$I$66</f>
        <v>8.49</v>
      </c>
      <c r="Y99" s="83"/>
      <c r="Z99" s="84">
        <f t="shared" si="234"/>
        <v>14362.834710743802</v>
      </c>
      <c r="AA99" s="84">
        <f t="shared" si="235"/>
        <v>0</v>
      </c>
      <c r="AB99" s="84">
        <f t="shared" si="236"/>
        <v>14362.834710743802</v>
      </c>
      <c r="AC99" s="85">
        <f t="shared" si="237"/>
        <v>0.5004520989828033</v>
      </c>
      <c r="AD99" s="85">
        <f t="shared" si="238"/>
        <v>0.5004520989828033</v>
      </c>
      <c r="AE99" s="85" t="str">
        <f t="shared" si="239"/>
        <v/>
      </c>
      <c r="AF99" s="83">
        <f>BU99+SCENARIU!$C$28+SCENARIU!$D$28+'AJUSTĂRI PE PRODUS'!$I$66+'AJUSTĂRI PE PRODUS'!$N$66</f>
        <v>9.49</v>
      </c>
      <c r="AG99" s="83"/>
      <c r="AH99" s="86">
        <f t="shared" si="240"/>
        <v>16054.570247933885</v>
      </c>
      <c r="AI99" s="86">
        <f t="shared" si="241"/>
        <v>0</v>
      </c>
      <c r="AJ99" s="86">
        <f t="shared" si="242"/>
        <v>16054.570247933885</v>
      </c>
      <c r="AK99" s="87">
        <f t="shared" si="243"/>
        <v>0.44771742048092733</v>
      </c>
      <c r="AL99" s="87">
        <f t="shared" si="244"/>
        <v>0.44771742048092733</v>
      </c>
      <c r="AM99" s="87" t="str">
        <f t="shared" si="245"/>
        <v/>
      </c>
      <c r="AN99" s="83">
        <f>BW99+SCENARIU!$C$28+SCENARIU!$D$28+SCENARIU!$E$28+'AJUSTĂRI PE PRODUS'!$I$66+'AJUSTĂRI PE PRODUS'!$N$66+'AJUSTĂRI PE PRODUS'!$S$66</f>
        <v>9.99</v>
      </c>
      <c r="AO99" s="83"/>
      <c r="AP99" s="88">
        <f t="shared" si="246"/>
        <v>16900.438016528929</v>
      </c>
      <c r="AQ99" s="88">
        <f t="shared" si="247"/>
        <v>0</v>
      </c>
      <c r="AR99" s="88">
        <f t="shared" si="248"/>
        <v>16900.438016528929</v>
      </c>
      <c r="AS99" s="89">
        <f t="shared" si="249"/>
        <v>0.42530914117757751</v>
      </c>
      <c r="AT99" s="89">
        <f t="shared" si="250"/>
        <v>0.42530914117757751</v>
      </c>
      <c r="AU99" s="89" t="str">
        <f t="shared" si="251"/>
        <v/>
      </c>
      <c r="AV99" s="83">
        <f>BY99+SCENARIU!$C$28+SCENARIU!$D$28+SCENARIU!$E$28+SCENARIU!$F$28+'AJUSTĂRI PE PRODUS'!$I$66+'AJUSTĂRI PE PRODUS'!$N$66+'AJUSTĂRI PE PRODUS'!$S$66+'AJUSTĂRI PE PRODUS'!$X$66</f>
        <v>10.49</v>
      </c>
      <c r="AW99" s="83"/>
      <c r="AX99" s="90">
        <f t="shared" si="252"/>
        <v>17746.305785123968</v>
      </c>
      <c r="AY99" s="90">
        <f t="shared" si="253"/>
        <v>0</v>
      </c>
      <c r="AZ99" s="90">
        <f t="shared" si="254"/>
        <v>17746.305785123968</v>
      </c>
      <c r="BA99" s="91">
        <f t="shared" si="255"/>
        <v>0.40503701814718784</v>
      </c>
      <c r="BB99" s="91">
        <f t="shared" si="256"/>
        <v>0.40503701814718784</v>
      </c>
      <c r="BC99" s="91" t="str">
        <f t="shared" si="257"/>
        <v/>
      </c>
      <c r="BD99" s="92">
        <f t="shared" si="258"/>
        <v>0.99000000000000021</v>
      </c>
      <c r="BE99" s="92">
        <f t="shared" si="259"/>
        <v>0.5</v>
      </c>
      <c r="BF99" s="92">
        <f t="shared" si="260"/>
        <v>1</v>
      </c>
      <c r="BG99" s="92">
        <f t="shared" si="261"/>
        <v>0.5</v>
      </c>
      <c r="BH99" s="92">
        <f t="shared" si="262"/>
        <v>0.5</v>
      </c>
      <c r="BI99" s="93">
        <f t="shared" si="263"/>
        <v>3.49</v>
      </c>
      <c r="BJ99" s="92" t="str">
        <f t="shared" si="264"/>
        <v/>
      </c>
      <c r="BK99" s="92" t="str">
        <f t="shared" si="265"/>
        <v/>
      </c>
      <c r="BL99" s="92" t="str">
        <f t="shared" si="266"/>
        <v/>
      </c>
      <c r="BM99" s="92" t="str">
        <f t="shared" si="267"/>
        <v/>
      </c>
      <c r="BN99" s="92" t="str">
        <f t="shared" si="268"/>
        <v/>
      </c>
      <c r="BO99" s="93" t="str">
        <f t="shared" si="269"/>
        <v/>
      </c>
      <c r="BQ99">
        <v>7.99</v>
      </c>
      <c r="BS99">
        <v>8.49</v>
      </c>
      <c r="BU99">
        <v>9.49</v>
      </c>
      <c r="BW99">
        <v>9.99</v>
      </c>
      <c r="BY99">
        <v>10.49</v>
      </c>
    </row>
    <row r="100" spans="1:78" x14ac:dyDescent="0.2">
      <c r="A100" s="26">
        <v>8</v>
      </c>
      <c r="B100" s="26" t="s">
        <v>210</v>
      </c>
      <c r="C100" s="26" t="s">
        <v>103</v>
      </c>
      <c r="D100" s="74">
        <v>1</v>
      </c>
      <c r="E100" s="75">
        <v>21</v>
      </c>
      <c r="F100" s="76">
        <v>1402</v>
      </c>
      <c r="G100" s="76">
        <v>0</v>
      </c>
      <c r="H100" s="77">
        <f>SUMIFS(RETETAR!$I$4:$I$967,RETETAR!$A$4:$A$967,$M100,RETETAR!$C$4:$C$967,"AMBELE")+SUMIFS(RETETAR!$I$4:$I$967,RETETAR!$A$4:$A$967,$M100,RETETAR!$C$4:$C$967,"INSTORE")</f>
        <v>4.6701768929999998</v>
      </c>
      <c r="I100" s="77">
        <f>SUMIFS(RETETAR!$I$4:$I$967,RETETAR!$A$4:$A$967,$M100,RETETAR!$C$4:$C$967,"AMBELE")+SUMIFS(RETETAR!$I$4:$I$967,RETETAR!$A$4:$A$967,$M100,RETETAR!$C$4:$C$967,"DELIVERY")</f>
        <v>0</v>
      </c>
      <c r="J100" s="78">
        <f t="shared" si="225"/>
        <v>6547.5880039859994</v>
      </c>
      <c r="K100" s="78">
        <f t="shared" si="226"/>
        <v>0</v>
      </c>
      <c r="L100" s="78">
        <f t="shared" si="227"/>
        <v>6547.5880039859994</v>
      </c>
      <c r="M100" t="s">
        <v>210</v>
      </c>
      <c r="N100" s="79">
        <v>10</v>
      </c>
      <c r="O100" s="79"/>
      <c r="P100" s="80">
        <v>10.99</v>
      </c>
      <c r="Q100" s="80"/>
      <c r="R100" s="81">
        <f t="shared" si="228"/>
        <v>12733.867768595042</v>
      </c>
      <c r="S100" s="81">
        <f t="shared" si="229"/>
        <v>0</v>
      </c>
      <c r="T100" s="81">
        <f t="shared" si="230"/>
        <v>12733.867768595042</v>
      </c>
      <c r="U100" s="82">
        <f t="shared" si="231"/>
        <v>0.51418690086715191</v>
      </c>
      <c r="V100" s="82">
        <f t="shared" si="232"/>
        <v>0.51418690086715191</v>
      </c>
      <c r="W100" s="82" t="str">
        <f t="shared" si="233"/>
        <v/>
      </c>
      <c r="X100" s="83">
        <f>BS100+SCENARIU!$C$28+'AJUSTĂRI PE PRODUS'!$I$71</f>
        <v>11.49</v>
      </c>
      <c r="Y100" s="83"/>
      <c r="Z100" s="84">
        <f t="shared" si="234"/>
        <v>13313.206611570249</v>
      </c>
      <c r="AA100" s="84">
        <f t="shared" si="235"/>
        <v>0</v>
      </c>
      <c r="AB100" s="84">
        <f t="shared" si="236"/>
        <v>13313.206611570249</v>
      </c>
      <c r="AC100" s="85">
        <f t="shared" si="237"/>
        <v>0.49181149177806782</v>
      </c>
      <c r="AD100" s="85">
        <f t="shared" si="238"/>
        <v>0.49181149177806782</v>
      </c>
      <c r="AE100" s="85" t="str">
        <f t="shared" si="239"/>
        <v/>
      </c>
      <c r="AF100" s="83">
        <f>BU100+SCENARIU!$C$28+SCENARIU!$D$28+'AJUSTĂRI PE PRODUS'!$I$71+'AJUSTĂRI PE PRODUS'!$N$71</f>
        <v>12.49</v>
      </c>
      <c r="AG100" s="83"/>
      <c r="AH100" s="86">
        <f t="shared" si="240"/>
        <v>14471.884297520663</v>
      </c>
      <c r="AI100" s="86">
        <f t="shared" si="241"/>
        <v>0</v>
      </c>
      <c r="AJ100" s="86">
        <f t="shared" si="242"/>
        <v>14471.884297520663</v>
      </c>
      <c r="AK100" s="87">
        <f t="shared" si="243"/>
        <v>0.45243507129943944</v>
      </c>
      <c r="AL100" s="87">
        <f t="shared" si="244"/>
        <v>0.45243507129943944</v>
      </c>
      <c r="AM100" s="87" t="str">
        <f t="shared" si="245"/>
        <v/>
      </c>
      <c r="AN100" s="83">
        <f>BW100+SCENARIU!$C$28+SCENARIU!$D$28+SCENARIU!$E$28+'AJUSTĂRI PE PRODUS'!$I$71+'AJUSTĂRI PE PRODUS'!$N$71+'AJUSTĂRI PE PRODUS'!$S$71</f>
        <v>12.99</v>
      </c>
      <c r="AO100" s="83"/>
      <c r="AP100" s="88">
        <f t="shared" si="246"/>
        <v>15051.223140495869</v>
      </c>
      <c r="AQ100" s="88">
        <f t="shared" si="247"/>
        <v>0</v>
      </c>
      <c r="AR100" s="88">
        <f t="shared" si="248"/>
        <v>15051.223140495869</v>
      </c>
      <c r="AS100" s="89">
        <f t="shared" si="249"/>
        <v>0.43502032644572741</v>
      </c>
      <c r="AT100" s="89">
        <f t="shared" si="250"/>
        <v>0.43502032644572741</v>
      </c>
      <c r="AU100" s="89" t="str">
        <f t="shared" si="251"/>
        <v/>
      </c>
      <c r="AV100" s="83">
        <f>BY100+SCENARIU!$C$28+SCENARIU!$D$28+SCENARIU!$E$28+SCENARIU!$F$28+'AJUSTĂRI PE PRODUS'!$I$71+'AJUSTĂRI PE PRODUS'!$N$71+'AJUSTĂRI PE PRODUS'!$S$71+'AJUSTĂRI PE PRODUS'!$X$71</f>
        <v>13.49</v>
      </c>
      <c r="AW100" s="83"/>
      <c r="AX100" s="90">
        <f t="shared" si="252"/>
        <v>15630.561983471076</v>
      </c>
      <c r="AY100" s="90">
        <f t="shared" si="253"/>
        <v>0</v>
      </c>
      <c r="AZ100" s="90">
        <f t="shared" si="254"/>
        <v>15630.561983471076</v>
      </c>
      <c r="BA100" s="91">
        <f t="shared" si="255"/>
        <v>0.41889651894217933</v>
      </c>
      <c r="BB100" s="91">
        <f t="shared" si="256"/>
        <v>0.41889651894217933</v>
      </c>
      <c r="BC100" s="91" t="str">
        <f t="shared" si="257"/>
        <v/>
      </c>
      <c r="BD100" s="92">
        <f t="shared" si="258"/>
        <v>0.99000000000000021</v>
      </c>
      <c r="BE100" s="92">
        <f t="shared" si="259"/>
        <v>0.5</v>
      </c>
      <c r="BF100" s="92">
        <f t="shared" si="260"/>
        <v>1</v>
      </c>
      <c r="BG100" s="92">
        <f t="shared" si="261"/>
        <v>0.5</v>
      </c>
      <c r="BH100" s="92">
        <f t="shared" si="262"/>
        <v>0.5</v>
      </c>
      <c r="BI100" s="93">
        <f t="shared" si="263"/>
        <v>3.49</v>
      </c>
      <c r="BJ100" s="92" t="str">
        <f t="shared" si="264"/>
        <v/>
      </c>
      <c r="BK100" s="92" t="str">
        <f t="shared" si="265"/>
        <v/>
      </c>
      <c r="BL100" s="92" t="str">
        <f t="shared" si="266"/>
        <v/>
      </c>
      <c r="BM100" s="92" t="str">
        <f t="shared" si="267"/>
        <v/>
      </c>
      <c r="BN100" s="92" t="str">
        <f t="shared" si="268"/>
        <v/>
      </c>
      <c r="BO100" s="93" t="str">
        <f t="shared" si="269"/>
        <v/>
      </c>
      <c r="BQ100">
        <v>10.99</v>
      </c>
      <c r="BS100">
        <v>11.49</v>
      </c>
      <c r="BU100">
        <v>12.49</v>
      </c>
      <c r="BW100">
        <v>12.99</v>
      </c>
      <c r="BY100">
        <v>13.49</v>
      </c>
    </row>
    <row r="101" spans="1:78" x14ac:dyDescent="0.2">
      <c r="A101" s="26">
        <v>9</v>
      </c>
      <c r="B101" s="26" t="s">
        <v>212</v>
      </c>
      <c r="C101" s="26" t="s">
        <v>103</v>
      </c>
      <c r="D101" s="74">
        <v>1</v>
      </c>
      <c r="E101" s="75">
        <v>21</v>
      </c>
      <c r="F101" s="76">
        <v>1296</v>
      </c>
      <c r="G101" s="76">
        <v>0</v>
      </c>
      <c r="H101" s="77">
        <f>SUMIFS(RETETAR!$I$4:$I$967,RETETAR!$A$4:$A$967,$M101,RETETAR!$C$4:$C$967,"AMBELE")+SUMIFS(RETETAR!$I$4:$I$967,RETETAR!$A$4:$A$967,$M101,RETETAR!$C$4:$C$967,"INSTORE")</f>
        <v>4.7908575536000004</v>
      </c>
      <c r="I101" s="77">
        <f>SUMIFS(RETETAR!$I$4:$I$967,RETETAR!$A$4:$A$967,$M101,RETETAR!$C$4:$C$967,"AMBELE")+SUMIFS(RETETAR!$I$4:$I$967,RETETAR!$A$4:$A$967,$M101,RETETAR!$C$4:$C$967,"DELIVERY")</f>
        <v>0</v>
      </c>
      <c r="J101" s="78">
        <f t="shared" si="225"/>
        <v>6208.9513894656002</v>
      </c>
      <c r="K101" s="78">
        <f t="shared" si="226"/>
        <v>0</v>
      </c>
      <c r="L101" s="78">
        <f t="shared" si="227"/>
        <v>6208.9513894656002</v>
      </c>
      <c r="M101" t="s">
        <v>212</v>
      </c>
      <c r="N101" s="79">
        <v>10</v>
      </c>
      <c r="O101" s="79"/>
      <c r="P101" s="80">
        <v>10.99</v>
      </c>
      <c r="Q101" s="80"/>
      <c r="R101" s="81">
        <f t="shared" si="228"/>
        <v>11771.10743801653</v>
      </c>
      <c r="S101" s="81">
        <f t="shared" si="229"/>
        <v>0</v>
      </c>
      <c r="T101" s="81">
        <f t="shared" si="230"/>
        <v>11771.10743801653</v>
      </c>
      <c r="U101" s="82">
        <f t="shared" si="231"/>
        <v>0.52747385258016377</v>
      </c>
      <c r="V101" s="82">
        <f t="shared" si="232"/>
        <v>0.52747385258016377</v>
      </c>
      <c r="W101" s="82" t="str">
        <f t="shared" si="233"/>
        <v/>
      </c>
      <c r="X101" s="83">
        <f>BS101+SCENARIU!$C$28+'AJUSTĂRI PE PRODUS'!$I$73</f>
        <v>11.49</v>
      </c>
      <c r="Y101" s="83"/>
      <c r="Z101" s="84">
        <f t="shared" si="234"/>
        <v>12306.644628099175</v>
      </c>
      <c r="AA101" s="84">
        <f t="shared" si="235"/>
        <v>0</v>
      </c>
      <c r="AB101" s="84">
        <f t="shared" si="236"/>
        <v>12306.644628099175</v>
      </c>
      <c r="AC101" s="85">
        <f t="shared" si="237"/>
        <v>0.50452024715892074</v>
      </c>
      <c r="AD101" s="85">
        <f t="shared" si="238"/>
        <v>0.50452024715892074</v>
      </c>
      <c r="AE101" s="85" t="str">
        <f t="shared" si="239"/>
        <v/>
      </c>
      <c r="AF101" s="83">
        <f>BU101+SCENARIU!$C$28+SCENARIU!$D$28+'AJUSTĂRI PE PRODUS'!$I$73+'AJUSTĂRI PE PRODUS'!$N$73</f>
        <v>12.49</v>
      </c>
      <c r="AG101" s="83"/>
      <c r="AH101" s="86">
        <f t="shared" si="240"/>
        <v>13377.719008264465</v>
      </c>
      <c r="AI101" s="86">
        <f t="shared" si="241"/>
        <v>0</v>
      </c>
      <c r="AJ101" s="86">
        <f t="shared" si="242"/>
        <v>13377.719008264465</v>
      </c>
      <c r="AK101" s="87">
        <f t="shared" si="243"/>
        <v>0.46412631223827056</v>
      </c>
      <c r="AL101" s="87">
        <f t="shared" si="244"/>
        <v>0.46412631223827056</v>
      </c>
      <c r="AM101" s="87" t="str">
        <f t="shared" si="245"/>
        <v/>
      </c>
      <c r="AN101" s="83">
        <f>BW101+SCENARIU!$C$28+SCENARIU!$D$28+SCENARIU!$E$28+'AJUSTĂRI PE PRODUS'!$I$73+'AJUSTĂRI PE PRODUS'!$N$73+'AJUSTĂRI PE PRODUS'!$S$73</f>
        <v>12.99</v>
      </c>
      <c r="AO101" s="83"/>
      <c r="AP101" s="88">
        <f t="shared" si="246"/>
        <v>13913.256198347108</v>
      </c>
      <c r="AQ101" s="88">
        <f t="shared" si="247"/>
        <v>0</v>
      </c>
      <c r="AR101" s="88">
        <f t="shared" si="248"/>
        <v>13913.256198347108</v>
      </c>
      <c r="AS101" s="89">
        <f t="shared" si="249"/>
        <v>0.44626155811054657</v>
      </c>
      <c r="AT101" s="89">
        <f t="shared" si="250"/>
        <v>0.44626155811054657</v>
      </c>
      <c r="AU101" s="89" t="str">
        <f t="shared" si="251"/>
        <v/>
      </c>
      <c r="AV101" s="83">
        <f>BY101+SCENARIU!$C$28+SCENARIU!$D$28+SCENARIU!$E$28+SCENARIU!$F$28+'AJUSTĂRI PE PRODUS'!$I$73+'AJUSTĂRI PE PRODUS'!$N$73+'AJUSTĂRI PE PRODUS'!$S$73+'AJUSTĂRI PE PRODUS'!$X$73</f>
        <v>13.49</v>
      </c>
      <c r="AW101" s="83"/>
      <c r="AX101" s="90">
        <f t="shared" si="252"/>
        <v>14448.793388429753</v>
      </c>
      <c r="AY101" s="90">
        <f t="shared" si="253"/>
        <v>0</v>
      </c>
      <c r="AZ101" s="90">
        <f t="shared" si="254"/>
        <v>14448.793388429753</v>
      </c>
      <c r="BA101" s="91">
        <f t="shared" si="255"/>
        <v>0.42972110006345443</v>
      </c>
      <c r="BB101" s="91">
        <f t="shared" si="256"/>
        <v>0.42972110006345443</v>
      </c>
      <c r="BC101" s="91" t="str">
        <f t="shared" si="257"/>
        <v/>
      </c>
      <c r="BD101" s="92">
        <f t="shared" si="258"/>
        <v>0.99000000000000021</v>
      </c>
      <c r="BE101" s="92">
        <f t="shared" si="259"/>
        <v>0.5</v>
      </c>
      <c r="BF101" s="92">
        <f t="shared" si="260"/>
        <v>1</v>
      </c>
      <c r="BG101" s="92">
        <f t="shared" si="261"/>
        <v>0.5</v>
      </c>
      <c r="BH101" s="92">
        <f t="shared" si="262"/>
        <v>0.5</v>
      </c>
      <c r="BI101" s="93">
        <f t="shared" si="263"/>
        <v>3.49</v>
      </c>
      <c r="BJ101" s="92" t="str">
        <f t="shared" si="264"/>
        <v/>
      </c>
      <c r="BK101" s="92" t="str">
        <f t="shared" si="265"/>
        <v/>
      </c>
      <c r="BL101" s="92" t="str">
        <f t="shared" si="266"/>
        <v/>
      </c>
      <c r="BM101" s="92" t="str">
        <f t="shared" si="267"/>
        <v/>
      </c>
      <c r="BN101" s="92" t="str">
        <f t="shared" si="268"/>
        <v/>
      </c>
      <c r="BO101" s="93" t="str">
        <f t="shared" si="269"/>
        <v/>
      </c>
      <c r="BQ101">
        <v>10.99</v>
      </c>
      <c r="BS101">
        <v>11.49</v>
      </c>
      <c r="BU101">
        <v>12.49</v>
      </c>
      <c r="BW101">
        <v>12.99</v>
      </c>
      <c r="BY101">
        <v>13.49</v>
      </c>
    </row>
    <row r="102" spans="1:78" x14ac:dyDescent="0.2">
      <c r="A102" s="26">
        <v>10</v>
      </c>
      <c r="B102" s="26" t="s">
        <v>216</v>
      </c>
      <c r="C102" s="26" t="s">
        <v>103</v>
      </c>
      <c r="D102" s="74">
        <v>1</v>
      </c>
      <c r="E102" s="75">
        <v>21</v>
      </c>
      <c r="F102" s="76">
        <v>1456</v>
      </c>
      <c r="G102" s="76">
        <v>0</v>
      </c>
      <c r="H102" s="77">
        <f>SUMIFS(RETETAR!$I$4:$I$967,RETETAR!$A$4:$A$967,$M102,RETETAR!$C$4:$C$967,"AMBELE")+SUMIFS(RETETAR!$I$4:$I$967,RETETAR!$A$4:$A$967,$M102,RETETAR!$C$4:$C$967,"INSTORE")</f>
        <v>3.5113666206999996</v>
      </c>
      <c r="I102" s="77">
        <f>SUMIFS(RETETAR!$I$4:$I$967,RETETAR!$A$4:$A$967,$M102,RETETAR!$C$4:$C$967,"AMBELE")+SUMIFS(RETETAR!$I$4:$I$967,RETETAR!$A$4:$A$967,$M102,RETETAR!$C$4:$C$967,"DELIVERY")</f>
        <v>0</v>
      </c>
      <c r="J102" s="78">
        <f t="shared" si="225"/>
        <v>5112.5497997391994</v>
      </c>
      <c r="K102" s="78">
        <f t="shared" si="226"/>
        <v>0</v>
      </c>
      <c r="L102" s="78">
        <f t="shared" si="227"/>
        <v>5112.5497997391994</v>
      </c>
      <c r="M102" t="s">
        <v>216</v>
      </c>
      <c r="N102" s="79">
        <v>7</v>
      </c>
      <c r="O102" s="79"/>
      <c r="P102" s="80">
        <v>7.99</v>
      </c>
      <c r="Q102" s="80"/>
      <c r="R102" s="81">
        <f t="shared" si="228"/>
        <v>9614.4132231404965</v>
      </c>
      <c r="S102" s="81">
        <f t="shared" si="229"/>
        <v>0</v>
      </c>
      <c r="T102" s="81">
        <f t="shared" si="230"/>
        <v>9614.4132231404965</v>
      </c>
      <c r="U102" s="82">
        <f t="shared" si="231"/>
        <v>0.53175890000588222</v>
      </c>
      <c r="V102" s="82">
        <f t="shared" si="232"/>
        <v>0.53175890000588222</v>
      </c>
      <c r="W102" s="82" t="str">
        <f t="shared" si="233"/>
        <v/>
      </c>
      <c r="X102" s="83">
        <f>BS102+SCENARIU!$C$28+'AJUSTĂRI PE PRODUS'!$I$75</f>
        <v>8.49</v>
      </c>
      <c r="Y102" s="83"/>
      <c r="Z102" s="84">
        <f t="shared" si="234"/>
        <v>10216.066115702481</v>
      </c>
      <c r="AA102" s="84">
        <f t="shared" si="235"/>
        <v>0</v>
      </c>
      <c r="AB102" s="84">
        <f t="shared" si="236"/>
        <v>10216.066115702481</v>
      </c>
      <c r="AC102" s="85">
        <f t="shared" si="237"/>
        <v>0.50044212144252054</v>
      </c>
      <c r="AD102" s="85">
        <f t="shared" si="238"/>
        <v>0.50044212144252054</v>
      </c>
      <c r="AE102" s="85" t="str">
        <f t="shared" si="239"/>
        <v/>
      </c>
      <c r="AF102" s="83">
        <f>BU102+SCENARIU!$C$28+SCENARIU!$D$28+'AJUSTĂRI PE PRODUS'!$I$75+'AJUSTĂRI PE PRODUS'!$N$75</f>
        <v>9.49</v>
      </c>
      <c r="AG102" s="83"/>
      <c r="AH102" s="86">
        <f t="shared" si="240"/>
        <v>11419.371900826447</v>
      </c>
      <c r="AI102" s="86">
        <f t="shared" si="241"/>
        <v>0</v>
      </c>
      <c r="AJ102" s="86">
        <f t="shared" si="242"/>
        <v>11419.371900826447</v>
      </c>
      <c r="AK102" s="87">
        <f t="shared" si="243"/>
        <v>0.44770849431475229</v>
      </c>
      <c r="AL102" s="87">
        <f t="shared" si="244"/>
        <v>0.44770849431475229</v>
      </c>
      <c r="AM102" s="87" t="str">
        <f t="shared" si="245"/>
        <v/>
      </c>
      <c r="AN102" s="83">
        <f>BW102+SCENARIU!$C$28+SCENARIU!$D$28+SCENARIU!$E$28+'AJUSTĂRI PE PRODUS'!$I$75+'AJUSTĂRI PE PRODUS'!$N$75+'AJUSTĂRI PE PRODUS'!$S$75</f>
        <v>9.99</v>
      </c>
      <c r="AO102" s="83"/>
      <c r="AP102" s="88">
        <f t="shared" si="246"/>
        <v>12021.024793388431</v>
      </c>
      <c r="AQ102" s="88">
        <f t="shared" si="247"/>
        <v>0</v>
      </c>
      <c r="AR102" s="88">
        <f t="shared" si="248"/>
        <v>12021.024793388431</v>
      </c>
      <c r="AS102" s="89">
        <f t="shared" si="249"/>
        <v>0.42530066176646636</v>
      </c>
      <c r="AT102" s="89">
        <f t="shared" si="250"/>
        <v>0.42530066176646636</v>
      </c>
      <c r="AU102" s="89" t="str">
        <f t="shared" si="251"/>
        <v/>
      </c>
      <c r="AV102" s="83">
        <f>BY102+SCENARIU!$C$28+SCENARIU!$D$28+SCENARIU!$E$28+SCENARIU!$F$28+'AJUSTĂRI PE PRODUS'!$I$75+'AJUSTĂRI PE PRODUS'!$N$75+'AJUSTĂRI PE PRODUS'!$S$75+'AJUSTĂRI PE PRODUS'!$X$75</f>
        <v>10.49</v>
      </c>
      <c r="AW102" s="83"/>
      <c r="AX102" s="90">
        <f t="shared" si="252"/>
        <v>12622.677685950415</v>
      </c>
      <c r="AY102" s="90">
        <f t="shared" si="253"/>
        <v>0</v>
      </c>
      <c r="AZ102" s="90">
        <f t="shared" si="254"/>
        <v>12622.677685950415</v>
      </c>
      <c r="BA102" s="91">
        <f t="shared" si="255"/>
        <v>0.40502894290247843</v>
      </c>
      <c r="BB102" s="91">
        <f t="shared" si="256"/>
        <v>0.40502894290247843</v>
      </c>
      <c r="BC102" s="91" t="str">
        <f t="shared" si="257"/>
        <v/>
      </c>
      <c r="BD102" s="92">
        <f t="shared" si="258"/>
        <v>0.99000000000000021</v>
      </c>
      <c r="BE102" s="92">
        <f t="shared" si="259"/>
        <v>0.5</v>
      </c>
      <c r="BF102" s="92">
        <f t="shared" si="260"/>
        <v>1</v>
      </c>
      <c r="BG102" s="92">
        <f t="shared" si="261"/>
        <v>0.5</v>
      </c>
      <c r="BH102" s="92">
        <f t="shared" si="262"/>
        <v>0.5</v>
      </c>
      <c r="BI102" s="93">
        <f t="shared" si="263"/>
        <v>3.49</v>
      </c>
      <c r="BJ102" s="92" t="str">
        <f t="shared" si="264"/>
        <v/>
      </c>
      <c r="BK102" s="92" t="str">
        <f t="shared" si="265"/>
        <v/>
      </c>
      <c r="BL102" s="92" t="str">
        <f t="shared" si="266"/>
        <v/>
      </c>
      <c r="BM102" s="92" t="str">
        <f t="shared" si="267"/>
        <v/>
      </c>
      <c r="BN102" s="92" t="str">
        <f t="shared" si="268"/>
        <v/>
      </c>
      <c r="BO102" s="93" t="str">
        <f t="shared" si="269"/>
        <v/>
      </c>
      <c r="BQ102">
        <v>7.99</v>
      </c>
      <c r="BS102">
        <v>8.49</v>
      </c>
      <c r="BU102">
        <v>9.49</v>
      </c>
      <c r="BW102">
        <v>9.99</v>
      </c>
      <c r="BY102">
        <v>10.49</v>
      </c>
    </row>
    <row r="103" spans="1:78" x14ac:dyDescent="0.2">
      <c r="A103" s="26">
        <v>11</v>
      </c>
      <c r="B103" s="26" t="s">
        <v>224</v>
      </c>
      <c r="C103" s="26" t="s">
        <v>103</v>
      </c>
      <c r="D103" s="74">
        <v>1</v>
      </c>
      <c r="E103" s="75">
        <v>21</v>
      </c>
      <c r="F103" s="76">
        <v>625</v>
      </c>
      <c r="G103" s="76">
        <v>0</v>
      </c>
      <c r="H103" s="77">
        <f>SUMIFS(RETETAR!$I$4:$I$967,RETETAR!$A$4:$A$967,$M103,RETETAR!$C$4:$C$967,"AMBELE")+SUMIFS(RETETAR!$I$4:$I$967,RETETAR!$A$4:$A$967,$M103,RETETAR!$C$4:$C$967,"INSTORE")</f>
        <v>3.3687493048000001</v>
      </c>
      <c r="I103" s="77">
        <f>SUMIFS(RETETAR!$I$4:$I$967,RETETAR!$A$4:$A$967,$M103,RETETAR!$C$4:$C$967,"AMBELE")+SUMIFS(RETETAR!$I$4:$I$967,RETETAR!$A$4:$A$967,$M103,RETETAR!$C$4:$C$967,"DELIVERY")</f>
        <v>0</v>
      </c>
      <c r="J103" s="78">
        <f t="shared" si="225"/>
        <v>2105.4683155000002</v>
      </c>
      <c r="K103" s="78">
        <f t="shared" si="226"/>
        <v>0</v>
      </c>
      <c r="L103" s="78">
        <f t="shared" si="227"/>
        <v>2105.4683155000002</v>
      </c>
      <c r="M103" t="s">
        <v>224</v>
      </c>
      <c r="N103" s="79">
        <v>13</v>
      </c>
      <c r="O103" s="79"/>
      <c r="P103" s="80">
        <v>13.99</v>
      </c>
      <c r="Q103" s="80"/>
      <c r="R103" s="81">
        <f t="shared" si="228"/>
        <v>7226.2396694214885</v>
      </c>
      <c r="S103" s="81">
        <f t="shared" si="229"/>
        <v>0</v>
      </c>
      <c r="T103" s="81">
        <f t="shared" si="230"/>
        <v>7226.2396694214885</v>
      </c>
      <c r="U103" s="82">
        <f t="shared" si="231"/>
        <v>0.29136430727719798</v>
      </c>
      <c r="V103" s="82">
        <f t="shared" si="232"/>
        <v>0.29136430727719798</v>
      </c>
      <c r="W103" s="82" t="str">
        <f t="shared" si="233"/>
        <v/>
      </c>
      <c r="X103" s="83">
        <f>BS103+SCENARIU!$C$28+'AJUSTĂRI PE PRODUS'!$I$85</f>
        <v>13.99</v>
      </c>
      <c r="Y103" s="83"/>
      <c r="Z103" s="84">
        <f t="shared" si="234"/>
        <v>7226.2396694214885</v>
      </c>
      <c r="AA103" s="84">
        <f t="shared" si="235"/>
        <v>0</v>
      </c>
      <c r="AB103" s="84">
        <f t="shared" si="236"/>
        <v>7226.2396694214885</v>
      </c>
      <c r="AC103" s="85">
        <f t="shared" si="237"/>
        <v>0.29136430727719798</v>
      </c>
      <c r="AD103" s="85">
        <f t="shared" si="238"/>
        <v>0.29136430727719798</v>
      </c>
      <c r="AE103" s="85" t="str">
        <f t="shared" si="239"/>
        <v/>
      </c>
      <c r="AF103" s="83">
        <f>BU103+SCENARIU!$C$28+SCENARIU!$D$28+'AJUSTĂRI PE PRODUS'!$I$85+'AJUSTĂRI PE PRODUS'!$N$85</f>
        <v>14.99</v>
      </c>
      <c r="AG103" s="83"/>
      <c r="AH103" s="86">
        <f t="shared" si="240"/>
        <v>7742.7685950413224</v>
      </c>
      <c r="AI103" s="86">
        <f t="shared" si="241"/>
        <v>0</v>
      </c>
      <c r="AJ103" s="86">
        <f t="shared" si="242"/>
        <v>7742.7685950413224</v>
      </c>
      <c r="AK103" s="87">
        <f t="shared" si="243"/>
        <v>0.27192706196184124</v>
      </c>
      <c r="AL103" s="87">
        <f t="shared" si="244"/>
        <v>0.27192706196184124</v>
      </c>
      <c r="AM103" s="87" t="str">
        <f t="shared" si="245"/>
        <v/>
      </c>
      <c r="AN103" s="83">
        <f>BW103+SCENARIU!$C$28+SCENARIU!$D$28+SCENARIU!$E$28+'AJUSTĂRI PE PRODUS'!$I$85+'AJUSTĂRI PE PRODUS'!$N$85+'AJUSTĂRI PE PRODUS'!$S$85</f>
        <v>15.49</v>
      </c>
      <c r="AO103" s="83"/>
      <c r="AP103" s="88">
        <f t="shared" si="246"/>
        <v>8001.0330578512403</v>
      </c>
      <c r="AQ103" s="88">
        <f t="shared" si="247"/>
        <v>0</v>
      </c>
      <c r="AR103" s="88">
        <f t="shared" si="248"/>
        <v>8001.0330578512403</v>
      </c>
      <c r="AS103" s="89">
        <f t="shared" si="249"/>
        <v>0.26314955834783732</v>
      </c>
      <c r="AT103" s="89">
        <f t="shared" si="250"/>
        <v>0.26314955834783732</v>
      </c>
      <c r="AU103" s="89" t="str">
        <f t="shared" si="251"/>
        <v/>
      </c>
      <c r="AV103" s="83">
        <f>BY103+SCENARIU!$C$28+SCENARIU!$D$28+SCENARIU!$E$28+SCENARIU!$F$28+'AJUSTĂRI PE PRODUS'!$I$85+'AJUSTĂRI PE PRODUS'!$N$85+'AJUSTĂRI PE PRODUS'!$S$85+'AJUSTĂRI PE PRODUS'!$X$85</f>
        <v>15.99</v>
      </c>
      <c r="AW103" s="83"/>
      <c r="AX103" s="90">
        <f t="shared" si="252"/>
        <v>8259.2975206611573</v>
      </c>
      <c r="AY103" s="90">
        <f t="shared" si="253"/>
        <v>0</v>
      </c>
      <c r="AZ103" s="90">
        <f t="shared" si="254"/>
        <v>8259.2975206611573</v>
      </c>
      <c r="BA103" s="91">
        <f t="shared" si="255"/>
        <v>0.25492099179537214</v>
      </c>
      <c r="BB103" s="91">
        <f t="shared" si="256"/>
        <v>0.25492099179537214</v>
      </c>
      <c r="BC103" s="91" t="str">
        <f t="shared" si="257"/>
        <v/>
      </c>
      <c r="BD103" s="92">
        <f t="shared" si="258"/>
        <v>0.99000000000000021</v>
      </c>
      <c r="BE103" s="92">
        <f t="shared" si="259"/>
        <v>0</v>
      </c>
      <c r="BF103" s="92">
        <f t="shared" si="260"/>
        <v>1</v>
      </c>
      <c r="BG103" s="92">
        <f t="shared" si="261"/>
        <v>0.5</v>
      </c>
      <c r="BH103" s="92">
        <f t="shared" si="262"/>
        <v>0.5</v>
      </c>
      <c r="BI103" s="93">
        <f t="shared" si="263"/>
        <v>2.99</v>
      </c>
      <c r="BJ103" s="92" t="str">
        <f t="shared" si="264"/>
        <v/>
      </c>
      <c r="BK103" s="92" t="str">
        <f t="shared" si="265"/>
        <v/>
      </c>
      <c r="BL103" s="92" t="str">
        <f t="shared" si="266"/>
        <v/>
      </c>
      <c r="BM103" s="92" t="str">
        <f t="shared" si="267"/>
        <v/>
      </c>
      <c r="BN103" s="92" t="str">
        <f t="shared" si="268"/>
        <v/>
      </c>
      <c r="BO103" s="93" t="str">
        <f t="shared" si="269"/>
        <v/>
      </c>
      <c r="BQ103">
        <v>13.99</v>
      </c>
      <c r="BS103">
        <v>13.99</v>
      </c>
      <c r="BU103">
        <v>14.99</v>
      </c>
      <c r="BW103">
        <v>15.49</v>
      </c>
      <c r="BY103">
        <v>15.99</v>
      </c>
    </row>
    <row r="104" spans="1:78" x14ac:dyDescent="0.2">
      <c r="A104" s="26">
        <v>12</v>
      </c>
      <c r="B104" s="26" t="s">
        <v>225</v>
      </c>
      <c r="C104" s="26" t="s">
        <v>103</v>
      </c>
      <c r="D104" s="74">
        <v>1</v>
      </c>
      <c r="E104" s="75">
        <v>21</v>
      </c>
      <c r="F104" s="76">
        <v>793</v>
      </c>
      <c r="G104" s="76">
        <v>0</v>
      </c>
      <c r="H104" s="77">
        <f>SUMIFS(RETETAR!$I$4:$I$967,RETETAR!$A$4:$A$967,$M104,RETETAR!$C$4:$C$967,"AMBELE")+SUMIFS(RETETAR!$I$4:$I$967,RETETAR!$A$4:$A$967,$M104,RETETAR!$C$4:$C$967,"INSTORE")</f>
        <v>4.7907584027999999</v>
      </c>
      <c r="I104" s="77">
        <f>SUMIFS(RETETAR!$I$4:$I$967,RETETAR!$A$4:$A$967,$M104,RETETAR!$C$4:$C$967,"AMBELE")+SUMIFS(RETETAR!$I$4:$I$967,RETETAR!$A$4:$A$967,$M104,RETETAR!$C$4:$C$967,"DELIVERY")</f>
        <v>0</v>
      </c>
      <c r="J104" s="78">
        <f t="shared" si="225"/>
        <v>3799.0714134203999</v>
      </c>
      <c r="K104" s="78">
        <f t="shared" si="226"/>
        <v>0</v>
      </c>
      <c r="L104" s="78">
        <f t="shared" si="227"/>
        <v>3799.0714134203999</v>
      </c>
      <c r="M104" t="s">
        <v>225</v>
      </c>
      <c r="N104" s="79">
        <v>10</v>
      </c>
      <c r="O104" s="79"/>
      <c r="P104" s="80">
        <v>10.99</v>
      </c>
      <c r="Q104" s="80"/>
      <c r="R104" s="81">
        <f t="shared" si="228"/>
        <v>7202.5371900826458</v>
      </c>
      <c r="S104" s="81">
        <f t="shared" si="229"/>
        <v>0</v>
      </c>
      <c r="T104" s="81">
        <f t="shared" si="230"/>
        <v>7202.5371900826458</v>
      </c>
      <c r="U104" s="82">
        <f t="shared" si="231"/>
        <v>0.52746293606806183</v>
      </c>
      <c r="V104" s="82">
        <f t="shared" si="232"/>
        <v>0.52746293606806183</v>
      </c>
      <c r="W104" s="82" t="str">
        <f t="shared" si="233"/>
        <v/>
      </c>
      <c r="X104" s="83">
        <f>BS104+SCENARIU!$C$28+'AJUSTĂRI PE PRODUS'!$I$86</f>
        <v>11.49</v>
      </c>
      <c r="Y104" s="83"/>
      <c r="Z104" s="84">
        <f t="shared" si="234"/>
        <v>7530.2231404958684</v>
      </c>
      <c r="AA104" s="84">
        <f t="shared" si="235"/>
        <v>0</v>
      </c>
      <c r="AB104" s="84">
        <f t="shared" si="236"/>
        <v>7530.2231404958684</v>
      </c>
      <c r="AC104" s="85">
        <f t="shared" si="237"/>
        <v>0.50450980569086157</v>
      </c>
      <c r="AD104" s="85">
        <f t="shared" si="238"/>
        <v>0.50450980569086157</v>
      </c>
      <c r="AE104" s="85" t="str">
        <f t="shared" si="239"/>
        <v/>
      </c>
      <c r="AF104" s="83">
        <f>BU104+SCENARIU!$C$28+SCENARIU!$D$28+'AJUSTĂRI PE PRODUS'!$I$86+'AJUSTĂRI PE PRODUS'!$N$86</f>
        <v>12.49</v>
      </c>
      <c r="AG104" s="83"/>
      <c r="AH104" s="86">
        <f t="shared" si="240"/>
        <v>8185.5950413223145</v>
      </c>
      <c r="AI104" s="86">
        <f t="shared" si="241"/>
        <v>0</v>
      </c>
      <c r="AJ104" s="86">
        <f t="shared" si="242"/>
        <v>8185.5950413223145</v>
      </c>
      <c r="AK104" s="87">
        <f t="shared" si="243"/>
        <v>0.46411670675644512</v>
      </c>
      <c r="AL104" s="87">
        <f t="shared" si="244"/>
        <v>0.46411670675644512</v>
      </c>
      <c r="AM104" s="87" t="str">
        <f t="shared" si="245"/>
        <v/>
      </c>
      <c r="AN104" s="83">
        <f>BW104+SCENARIU!$C$28+SCENARIU!$D$28+SCENARIU!$E$28+'AJUSTĂRI PE PRODUS'!$I$86+'AJUSTĂRI PE PRODUS'!$N$86+'AJUSTĂRI PE PRODUS'!$S$86</f>
        <v>12.99</v>
      </c>
      <c r="AO104" s="83"/>
      <c r="AP104" s="88">
        <f t="shared" si="246"/>
        <v>8513.2809917355371</v>
      </c>
      <c r="AQ104" s="88">
        <f t="shared" si="247"/>
        <v>0</v>
      </c>
      <c r="AR104" s="88">
        <f t="shared" si="248"/>
        <v>8513.2809917355371</v>
      </c>
      <c r="AS104" s="89">
        <f t="shared" si="249"/>
        <v>0.44625232235473439</v>
      </c>
      <c r="AT104" s="89">
        <f t="shared" si="250"/>
        <v>0.44625232235473439</v>
      </c>
      <c r="AU104" s="89" t="str">
        <f t="shared" si="251"/>
        <v/>
      </c>
      <c r="AV104" s="83">
        <f>BY104+SCENARIU!$C$28+SCENARIU!$D$28+SCENARIU!$E$28+SCENARIU!$F$28+'AJUSTĂRI PE PRODUS'!$I$86+'AJUSTĂRI PE PRODUS'!$N$86+'AJUSTĂRI PE PRODUS'!$S$86+'AJUSTĂRI PE PRODUS'!$X$86</f>
        <v>13.49</v>
      </c>
      <c r="AW104" s="83"/>
      <c r="AX104" s="90">
        <f t="shared" si="252"/>
        <v>8840.9669421487615</v>
      </c>
      <c r="AY104" s="90">
        <f t="shared" si="253"/>
        <v>0</v>
      </c>
      <c r="AZ104" s="90">
        <f t="shared" si="254"/>
        <v>8840.9669421487615</v>
      </c>
      <c r="BA104" s="91">
        <f t="shared" si="255"/>
        <v>0.4297122066262416</v>
      </c>
      <c r="BB104" s="91">
        <f t="shared" si="256"/>
        <v>0.4297122066262416</v>
      </c>
      <c r="BC104" s="91" t="str">
        <f t="shared" si="257"/>
        <v/>
      </c>
      <c r="BD104" s="92">
        <f t="shared" si="258"/>
        <v>0.99000000000000021</v>
      </c>
      <c r="BE104" s="92">
        <f t="shared" si="259"/>
        <v>0.5</v>
      </c>
      <c r="BF104" s="92">
        <f t="shared" si="260"/>
        <v>1</v>
      </c>
      <c r="BG104" s="92">
        <f t="shared" si="261"/>
        <v>0.5</v>
      </c>
      <c r="BH104" s="92">
        <f t="shared" si="262"/>
        <v>0.5</v>
      </c>
      <c r="BI104" s="93">
        <f t="shared" si="263"/>
        <v>3.49</v>
      </c>
      <c r="BJ104" s="92" t="str">
        <f t="shared" si="264"/>
        <v/>
      </c>
      <c r="BK104" s="92" t="str">
        <f t="shared" si="265"/>
        <v/>
      </c>
      <c r="BL104" s="92" t="str">
        <f t="shared" si="266"/>
        <v/>
      </c>
      <c r="BM104" s="92" t="str">
        <f t="shared" si="267"/>
        <v/>
      </c>
      <c r="BN104" s="92" t="str">
        <f t="shared" si="268"/>
        <v/>
      </c>
      <c r="BO104" s="93" t="str">
        <f t="shared" si="269"/>
        <v/>
      </c>
      <c r="BQ104">
        <v>10.99</v>
      </c>
      <c r="BS104">
        <v>11.49</v>
      </c>
      <c r="BU104">
        <v>12.49</v>
      </c>
      <c r="BW104">
        <v>12.99</v>
      </c>
      <c r="BY104">
        <v>13.49</v>
      </c>
    </row>
    <row r="105" spans="1:78" x14ac:dyDescent="0.2">
      <c r="A105" s="26">
        <v>13</v>
      </c>
      <c r="B105" s="26" t="s">
        <v>227</v>
      </c>
      <c r="C105" s="26" t="s">
        <v>103</v>
      </c>
      <c r="D105" s="74">
        <v>1</v>
      </c>
      <c r="E105" s="75">
        <v>21</v>
      </c>
      <c r="F105" s="76">
        <v>569</v>
      </c>
      <c r="G105" s="76">
        <v>0</v>
      </c>
      <c r="H105" s="77">
        <f>SUMIFS(RETETAR!$I$4:$I$967,RETETAR!$A$4:$A$967,$M105,RETETAR!$C$4:$C$967,"AMBELE")+SUMIFS(RETETAR!$I$4:$I$967,RETETAR!$A$4:$A$967,$M105,RETETAR!$C$4:$C$967,"INSTORE")</f>
        <v>3.3665585048000009</v>
      </c>
      <c r="I105" s="77">
        <f>SUMIFS(RETETAR!$I$4:$I$967,RETETAR!$A$4:$A$967,$M105,RETETAR!$C$4:$C$967,"AMBELE")+SUMIFS(RETETAR!$I$4:$I$967,RETETAR!$A$4:$A$967,$M105,RETETAR!$C$4:$C$967,"DELIVERY")</f>
        <v>0</v>
      </c>
      <c r="J105" s="78">
        <f t="shared" si="225"/>
        <v>1915.5717892312005</v>
      </c>
      <c r="K105" s="78">
        <f t="shared" si="226"/>
        <v>0</v>
      </c>
      <c r="L105" s="78">
        <f t="shared" si="227"/>
        <v>1915.5717892312005</v>
      </c>
      <c r="M105" t="s">
        <v>227</v>
      </c>
      <c r="N105" s="79">
        <v>15</v>
      </c>
      <c r="O105" s="79"/>
      <c r="P105" s="80">
        <v>15</v>
      </c>
      <c r="Q105" s="80"/>
      <c r="R105" s="81">
        <f t="shared" si="228"/>
        <v>7053.7190082644629</v>
      </c>
      <c r="S105" s="81">
        <f t="shared" si="229"/>
        <v>0</v>
      </c>
      <c r="T105" s="81">
        <f t="shared" si="230"/>
        <v>7053.7190082644629</v>
      </c>
      <c r="U105" s="82">
        <f t="shared" si="231"/>
        <v>0.27156905272053339</v>
      </c>
      <c r="V105" s="82">
        <f t="shared" si="232"/>
        <v>0.27156905272053339</v>
      </c>
      <c r="W105" s="82" t="str">
        <f t="shared" si="233"/>
        <v/>
      </c>
      <c r="X105" s="83">
        <f>BS105+SCENARIU!$C$28+'AJUSTĂRI PE PRODUS'!$I$87</f>
        <v>15</v>
      </c>
      <c r="Y105" s="83"/>
      <c r="Z105" s="84">
        <f t="shared" si="234"/>
        <v>7053.7190082644629</v>
      </c>
      <c r="AA105" s="84">
        <f t="shared" si="235"/>
        <v>0</v>
      </c>
      <c r="AB105" s="84">
        <f t="shared" si="236"/>
        <v>7053.7190082644629</v>
      </c>
      <c r="AC105" s="85">
        <f t="shared" si="237"/>
        <v>0.27156905272053339</v>
      </c>
      <c r="AD105" s="85">
        <f t="shared" si="238"/>
        <v>0.27156905272053339</v>
      </c>
      <c r="AE105" s="85" t="str">
        <f t="shared" si="239"/>
        <v/>
      </c>
      <c r="AF105" s="83">
        <f>BU105+SCENARIU!$C$28+SCENARIU!$D$28+'AJUSTĂRI PE PRODUS'!$I$87+'AJUSTĂRI PE PRODUS'!$N$87</f>
        <v>15</v>
      </c>
      <c r="AG105" s="83"/>
      <c r="AH105" s="86">
        <f t="shared" si="240"/>
        <v>7053.7190082644629</v>
      </c>
      <c r="AI105" s="86">
        <f t="shared" si="241"/>
        <v>0</v>
      </c>
      <c r="AJ105" s="86">
        <f t="shared" si="242"/>
        <v>7053.7190082644629</v>
      </c>
      <c r="AK105" s="87">
        <f t="shared" si="243"/>
        <v>0.27156905272053339</v>
      </c>
      <c r="AL105" s="87">
        <f t="shared" si="244"/>
        <v>0.27156905272053339</v>
      </c>
      <c r="AM105" s="87" t="str">
        <f t="shared" si="245"/>
        <v/>
      </c>
      <c r="AN105" s="83">
        <f>BW105+SCENARIU!$C$28+SCENARIU!$D$28+SCENARIU!$E$28+'AJUSTĂRI PE PRODUS'!$I$87+'AJUSTĂRI PE PRODUS'!$N$87+'AJUSTĂRI PE PRODUS'!$S$87</f>
        <v>15</v>
      </c>
      <c r="AO105" s="83"/>
      <c r="AP105" s="88">
        <f t="shared" si="246"/>
        <v>7053.7190082644629</v>
      </c>
      <c r="AQ105" s="88">
        <f t="shared" si="247"/>
        <v>0</v>
      </c>
      <c r="AR105" s="88">
        <f t="shared" si="248"/>
        <v>7053.7190082644629</v>
      </c>
      <c r="AS105" s="89">
        <f t="shared" si="249"/>
        <v>0.27156905272053339</v>
      </c>
      <c r="AT105" s="89">
        <f t="shared" si="250"/>
        <v>0.27156905272053339</v>
      </c>
      <c r="AU105" s="89" t="str">
        <f t="shared" si="251"/>
        <v/>
      </c>
      <c r="AV105" s="83">
        <f>BY105+SCENARIU!$C$28+SCENARIU!$D$28+SCENARIU!$E$28+SCENARIU!$F$28+'AJUSTĂRI PE PRODUS'!$I$87+'AJUSTĂRI PE PRODUS'!$N$87+'AJUSTĂRI PE PRODUS'!$S$87+'AJUSTĂRI PE PRODUS'!$X$87</f>
        <v>15</v>
      </c>
      <c r="AW105" s="83"/>
      <c r="AX105" s="90">
        <f t="shared" si="252"/>
        <v>7053.7190082644629</v>
      </c>
      <c r="AY105" s="90">
        <f t="shared" si="253"/>
        <v>0</v>
      </c>
      <c r="AZ105" s="90">
        <f t="shared" si="254"/>
        <v>7053.7190082644629</v>
      </c>
      <c r="BA105" s="91">
        <f t="shared" si="255"/>
        <v>0.27156905272053339</v>
      </c>
      <c r="BB105" s="91">
        <f t="shared" si="256"/>
        <v>0.27156905272053339</v>
      </c>
      <c r="BC105" s="91" t="str">
        <f t="shared" si="257"/>
        <v/>
      </c>
      <c r="BD105" s="92">
        <f t="shared" si="258"/>
        <v>0</v>
      </c>
      <c r="BE105" s="92">
        <f t="shared" si="259"/>
        <v>0</v>
      </c>
      <c r="BF105" s="92">
        <f t="shared" si="260"/>
        <v>0</v>
      </c>
      <c r="BG105" s="92">
        <f t="shared" si="261"/>
        <v>0</v>
      </c>
      <c r="BH105" s="92">
        <f t="shared" si="262"/>
        <v>0</v>
      </c>
      <c r="BI105" s="93">
        <f t="shared" si="263"/>
        <v>0</v>
      </c>
      <c r="BJ105" s="92" t="str">
        <f t="shared" si="264"/>
        <v/>
      </c>
      <c r="BK105" s="92" t="str">
        <f t="shared" si="265"/>
        <v/>
      </c>
      <c r="BL105" s="92" t="str">
        <f t="shared" si="266"/>
        <v/>
      </c>
      <c r="BM105" s="92" t="str">
        <f t="shared" si="267"/>
        <v/>
      </c>
      <c r="BN105" s="92" t="str">
        <f t="shared" si="268"/>
        <v/>
      </c>
      <c r="BO105" s="93" t="str">
        <f t="shared" si="269"/>
        <v/>
      </c>
      <c r="BQ105">
        <v>15</v>
      </c>
      <c r="BS105">
        <v>15</v>
      </c>
      <c r="BU105">
        <v>15</v>
      </c>
      <c r="BW105">
        <v>15</v>
      </c>
      <c r="BY105">
        <v>15</v>
      </c>
    </row>
    <row r="106" spans="1:78" x14ac:dyDescent="0.2">
      <c r="A106" s="26">
        <v>14</v>
      </c>
      <c r="B106" s="26" t="s">
        <v>235</v>
      </c>
      <c r="C106" s="26" t="s">
        <v>103</v>
      </c>
      <c r="D106" s="74">
        <v>1</v>
      </c>
      <c r="E106" s="75">
        <v>21</v>
      </c>
      <c r="F106" s="76">
        <v>585</v>
      </c>
      <c r="G106" s="76">
        <v>34</v>
      </c>
      <c r="H106" s="77">
        <f>SUMIFS(RETETAR!$I$4:$I$967,RETETAR!$A$4:$A$967,$M106,RETETAR!$C$4:$C$967,"AMBELE")+SUMIFS(RETETAR!$I$4:$I$967,RETETAR!$A$4:$A$967,$M106,RETETAR!$C$4:$C$967,"INSTORE")</f>
        <v>2.75</v>
      </c>
      <c r="I106" s="77">
        <f>SUMIFS(RETETAR!$I$4:$I$967,RETETAR!$A$4:$A$967,$M106,RETETAR!$C$4:$C$967,"AMBELE")+SUMIFS(RETETAR!$I$4:$I$967,RETETAR!$A$4:$A$967,$M106,RETETAR!$C$4:$C$967,"DELIVERY")</f>
        <v>2.75</v>
      </c>
      <c r="J106" s="78">
        <f t="shared" si="225"/>
        <v>1608.75</v>
      </c>
      <c r="K106" s="78">
        <f t="shared" si="226"/>
        <v>93.5</v>
      </c>
      <c r="L106" s="78">
        <f t="shared" si="227"/>
        <v>1702.25</v>
      </c>
      <c r="M106" t="s">
        <v>235</v>
      </c>
      <c r="N106" s="79">
        <v>10</v>
      </c>
      <c r="O106" s="79">
        <v>11</v>
      </c>
      <c r="P106" s="80">
        <v>10.99</v>
      </c>
      <c r="Q106" s="80">
        <v>11.99</v>
      </c>
      <c r="R106" s="81">
        <f t="shared" si="228"/>
        <v>5313.3471074380168</v>
      </c>
      <c r="S106" s="81">
        <f t="shared" si="229"/>
        <v>336.90909090909093</v>
      </c>
      <c r="T106" s="81">
        <f t="shared" si="230"/>
        <v>5650.2561983471078</v>
      </c>
      <c r="U106" s="82">
        <f t="shared" si="231"/>
        <v>0.30126952482224895</v>
      </c>
      <c r="V106" s="82">
        <f t="shared" si="232"/>
        <v>0.30277525022747953</v>
      </c>
      <c r="W106" s="82">
        <f t="shared" si="233"/>
        <v>0.27752293577981652</v>
      </c>
      <c r="X106" s="83">
        <f>BS106+SCENARIU!$C$28+'AJUSTĂRI PE PRODUS'!$I$94</f>
        <v>10.99</v>
      </c>
      <c r="Y106" s="83">
        <f>BT106+SCENARIU!$C$28+'AJUSTĂRI PE PRODUS'!$J$94</f>
        <v>11.99</v>
      </c>
      <c r="Z106" s="84">
        <f t="shared" si="234"/>
        <v>5313.3471074380168</v>
      </c>
      <c r="AA106" s="84">
        <f t="shared" si="235"/>
        <v>336.90909090909093</v>
      </c>
      <c r="AB106" s="84">
        <f t="shared" si="236"/>
        <v>5650.2561983471078</v>
      </c>
      <c r="AC106" s="85">
        <f t="shared" si="237"/>
        <v>0.30126952482224895</v>
      </c>
      <c r="AD106" s="85">
        <f t="shared" si="238"/>
        <v>0.30277525022747953</v>
      </c>
      <c r="AE106" s="85">
        <f t="shared" si="239"/>
        <v>0.27752293577981652</v>
      </c>
      <c r="AF106" s="83">
        <f>BU106+SCENARIU!$C$28+SCENARIU!$D$28+'AJUSTĂRI PE PRODUS'!$I$94+'AJUSTĂRI PE PRODUS'!$N$94</f>
        <v>11.99</v>
      </c>
      <c r="AG106" s="83">
        <f>BV106+SCENARIU!$C$28+SCENARIU!$D$28+'AJUSTĂRI PE PRODUS'!$J$94+'AJUSTĂRI PE PRODUS'!$O$94</f>
        <v>12.99</v>
      </c>
      <c r="AH106" s="86">
        <f t="shared" si="240"/>
        <v>5796.818181818182</v>
      </c>
      <c r="AI106" s="86">
        <f t="shared" si="241"/>
        <v>365.00826446280996</v>
      </c>
      <c r="AJ106" s="86">
        <f t="shared" si="242"/>
        <v>6161.8264462809921</v>
      </c>
      <c r="AK106" s="87">
        <f t="shared" si="243"/>
        <v>0.27625737512087889</v>
      </c>
      <c r="AL106" s="87">
        <f t="shared" si="244"/>
        <v>0.27752293577981652</v>
      </c>
      <c r="AM106" s="87">
        <f t="shared" si="245"/>
        <v>0.25615858352578902</v>
      </c>
      <c r="AN106" s="83">
        <f>BW106+SCENARIU!$C$28+SCENARIU!$D$28+SCENARIU!$E$28+'AJUSTĂRI PE PRODUS'!$I$94+'AJUSTĂRI PE PRODUS'!$N$94+'AJUSTĂRI PE PRODUS'!$S$94</f>
        <v>12.49</v>
      </c>
      <c r="AO106" s="83">
        <f>BX106+SCENARIU!$C$28+SCENARIU!$D$28+SCENARIU!$E$28+'AJUSTĂRI PE PRODUS'!$J$94+'AJUSTĂRI PE PRODUS'!$O$94+'AJUSTĂRI PE PRODUS'!$T$94</f>
        <v>13.49</v>
      </c>
      <c r="AP106" s="88">
        <f t="shared" si="246"/>
        <v>6038.553719008265</v>
      </c>
      <c r="AQ106" s="88">
        <f t="shared" si="247"/>
        <v>379.05785123966945</v>
      </c>
      <c r="AR106" s="88">
        <f t="shared" si="248"/>
        <v>6417.6115702479347</v>
      </c>
      <c r="AS106" s="89">
        <f t="shared" si="249"/>
        <v>0.26524665467315534</v>
      </c>
      <c r="AT106" s="89">
        <f t="shared" si="250"/>
        <v>0.26641313050440352</v>
      </c>
      <c r="AU106" s="89">
        <f t="shared" si="251"/>
        <v>0.2466641957005189</v>
      </c>
      <c r="AV106" s="83">
        <f>BY106+SCENARIU!$C$28+SCENARIU!$D$28+SCENARIU!$E$28+SCENARIU!$F$28+'AJUSTĂRI PE PRODUS'!$I$94+'AJUSTĂRI PE PRODUS'!$N$94+'AJUSTĂRI PE PRODUS'!$S$94+'AJUSTĂRI PE PRODUS'!$X$94</f>
        <v>12.99</v>
      </c>
      <c r="AW106" s="83">
        <f>BZ106+SCENARIU!$C$28+SCENARIU!$D$28+SCENARIU!$E$28+SCENARIU!$F$28+'AJUSTĂRI PE PRODUS'!$J$94+'AJUSTĂRI PE PRODUS'!$O$94+'AJUSTĂRI PE PRODUS'!$T$94+'AJUSTĂRI PE PRODUS'!$Y$94</f>
        <v>13.99</v>
      </c>
      <c r="AX106" s="90">
        <f t="shared" si="252"/>
        <v>6280.2892561983472</v>
      </c>
      <c r="AY106" s="90">
        <f t="shared" si="253"/>
        <v>393.10743801652893</v>
      </c>
      <c r="AZ106" s="90">
        <f t="shared" si="254"/>
        <v>6673.3966942148763</v>
      </c>
      <c r="BA106" s="91">
        <f t="shared" si="255"/>
        <v>0.25507999569030104</v>
      </c>
      <c r="BB106" s="91">
        <f t="shared" si="256"/>
        <v>0.25615858352578907</v>
      </c>
      <c r="BC106" s="91">
        <f t="shared" si="257"/>
        <v>0.23784846318799141</v>
      </c>
      <c r="BD106" s="92">
        <f t="shared" si="258"/>
        <v>0.99000000000000021</v>
      </c>
      <c r="BE106" s="92">
        <f t="shared" si="259"/>
        <v>0</v>
      </c>
      <c r="BF106" s="92">
        <f t="shared" si="260"/>
        <v>1</v>
      </c>
      <c r="BG106" s="92">
        <f t="shared" si="261"/>
        <v>0.5</v>
      </c>
      <c r="BH106" s="92">
        <f t="shared" si="262"/>
        <v>0.5</v>
      </c>
      <c r="BI106" s="93">
        <f t="shared" si="263"/>
        <v>2.99</v>
      </c>
      <c r="BJ106" s="92">
        <f t="shared" si="264"/>
        <v>0.99000000000000021</v>
      </c>
      <c r="BK106" s="92">
        <f t="shared" si="265"/>
        <v>0</v>
      </c>
      <c r="BL106" s="92">
        <f t="shared" si="266"/>
        <v>1</v>
      </c>
      <c r="BM106" s="92">
        <f t="shared" si="267"/>
        <v>0.5</v>
      </c>
      <c r="BN106" s="92">
        <f t="shared" si="268"/>
        <v>0.5</v>
      </c>
      <c r="BO106" s="93">
        <f t="shared" si="269"/>
        <v>2.99</v>
      </c>
      <c r="BQ106">
        <v>10.99</v>
      </c>
      <c r="BR106">
        <v>11.99</v>
      </c>
      <c r="BS106">
        <v>10.99</v>
      </c>
      <c r="BT106">
        <v>11.99</v>
      </c>
      <c r="BU106">
        <v>11.99</v>
      </c>
      <c r="BV106">
        <v>12.99</v>
      </c>
      <c r="BW106">
        <v>12.49</v>
      </c>
      <c r="BX106">
        <v>13.49</v>
      </c>
      <c r="BY106">
        <v>12.99</v>
      </c>
      <c r="BZ106">
        <v>13.99</v>
      </c>
    </row>
    <row r="107" spans="1:78" x14ac:dyDescent="0.2">
      <c r="A107" s="26">
        <v>15</v>
      </c>
      <c r="B107" s="26" t="s">
        <v>240</v>
      </c>
      <c r="C107" s="26" t="s">
        <v>103</v>
      </c>
      <c r="D107" s="74">
        <v>1</v>
      </c>
      <c r="E107" s="75">
        <v>21</v>
      </c>
      <c r="F107" s="76">
        <v>402</v>
      </c>
      <c r="G107" s="76">
        <v>0</v>
      </c>
      <c r="H107" s="77">
        <f>SUMIFS(RETETAR!$I$4:$I$967,RETETAR!$A$4:$A$967,$M107,RETETAR!$C$4:$C$967,"AMBELE")+SUMIFS(RETETAR!$I$4:$I$967,RETETAR!$A$4:$A$967,$M107,RETETAR!$C$4:$C$967,"INSTORE")</f>
        <v>3.3212487048000003</v>
      </c>
      <c r="I107" s="77">
        <f>SUMIFS(RETETAR!$I$4:$I$967,RETETAR!$A$4:$A$967,$M107,RETETAR!$C$4:$C$967,"AMBELE")+SUMIFS(RETETAR!$I$4:$I$967,RETETAR!$A$4:$A$967,$M107,RETETAR!$C$4:$C$967,"DELIVERY")</f>
        <v>0</v>
      </c>
      <c r="J107" s="78">
        <f t="shared" si="225"/>
        <v>1335.1419793296002</v>
      </c>
      <c r="K107" s="78">
        <f t="shared" si="226"/>
        <v>0</v>
      </c>
      <c r="L107" s="78">
        <f t="shared" si="227"/>
        <v>1335.1419793296002</v>
      </c>
      <c r="M107" t="s">
        <v>240</v>
      </c>
      <c r="N107" s="79">
        <v>13</v>
      </c>
      <c r="O107" s="79"/>
      <c r="P107" s="80">
        <v>13.99</v>
      </c>
      <c r="Q107" s="80"/>
      <c r="R107" s="81">
        <f t="shared" si="228"/>
        <v>4647.9173553719011</v>
      </c>
      <c r="S107" s="81">
        <f t="shared" si="229"/>
        <v>0</v>
      </c>
      <c r="T107" s="81">
        <f t="shared" si="230"/>
        <v>4647.9173553719011</v>
      </c>
      <c r="U107" s="82">
        <f t="shared" si="231"/>
        <v>0.2872559637461044</v>
      </c>
      <c r="V107" s="82">
        <f t="shared" si="232"/>
        <v>0.2872559637461044</v>
      </c>
      <c r="W107" s="82" t="str">
        <f t="shared" si="233"/>
        <v/>
      </c>
      <c r="X107" s="83">
        <f>BS107+SCENARIU!$C$28+'AJUSTĂRI PE PRODUS'!$I$99</f>
        <v>13.99</v>
      </c>
      <c r="Y107" s="83"/>
      <c r="Z107" s="84">
        <f t="shared" si="234"/>
        <v>4647.9173553719011</v>
      </c>
      <c r="AA107" s="84">
        <f t="shared" si="235"/>
        <v>0</v>
      </c>
      <c r="AB107" s="84">
        <f t="shared" si="236"/>
        <v>4647.9173553719011</v>
      </c>
      <c r="AC107" s="85">
        <f t="shared" si="237"/>
        <v>0.2872559637461044</v>
      </c>
      <c r="AD107" s="85">
        <f t="shared" si="238"/>
        <v>0.2872559637461044</v>
      </c>
      <c r="AE107" s="85" t="str">
        <f t="shared" si="239"/>
        <v/>
      </c>
      <c r="AF107" s="83">
        <f>BU107+SCENARIU!$C$28+SCENARIU!$D$28+'AJUSTĂRI PE PRODUS'!$I$99+'AJUSTĂRI PE PRODUS'!$N$99</f>
        <v>14.99</v>
      </c>
      <c r="AG107" s="83"/>
      <c r="AH107" s="86">
        <f t="shared" si="240"/>
        <v>4980.1487603305786</v>
      </c>
      <c r="AI107" s="86">
        <f t="shared" si="241"/>
        <v>0</v>
      </c>
      <c r="AJ107" s="86">
        <f t="shared" si="242"/>
        <v>4980.1487603305786</v>
      </c>
      <c r="AK107" s="87">
        <f t="shared" si="243"/>
        <v>0.26809279071434294</v>
      </c>
      <c r="AL107" s="87">
        <f t="shared" si="244"/>
        <v>0.26809279071434294</v>
      </c>
      <c r="AM107" s="87" t="str">
        <f t="shared" si="245"/>
        <v/>
      </c>
      <c r="AN107" s="83">
        <f>BW107+SCENARIU!$C$28+SCENARIU!$D$28+SCENARIU!$E$28+'AJUSTĂRI PE PRODUS'!$I$99+'AJUSTĂRI PE PRODUS'!$N$99+'AJUSTĂRI PE PRODUS'!$S$99</f>
        <v>15.49</v>
      </c>
      <c r="AO107" s="83"/>
      <c r="AP107" s="88">
        <f t="shared" si="246"/>
        <v>5146.2644628099179</v>
      </c>
      <c r="AQ107" s="88">
        <f t="shared" si="247"/>
        <v>0</v>
      </c>
      <c r="AR107" s="88">
        <f t="shared" si="248"/>
        <v>5146.2644628099179</v>
      </c>
      <c r="AS107" s="89">
        <f t="shared" si="249"/>
        <v>0.25943905311865723</v>
      </c>
      <c r="AT107" s="89">
        <f t="shared" si="250"/>
        <v>0.25943905311865723</v>
      </c>
      <c r="AU107" s="89" t="str">
        <f t="shared" si="251"/>
        <v/>
      </c>
      <c r="AV107" s="83">
        <f>BY107+SCENARIU!$C$28+SCENARIU!$D$28+SCENARIU!$E$28+SCENARIU!$F$28+'AJUSTĂRI PE PRODUS'!$I$99+'AJUSTĂRI PE PRODUS'!$N$99+'AJUSTĂRI PE PRODUS'!$S$99+'AJUSTĂRI PE PRODUS'!$X$99</f>
        <v>15.99</v>
      </c>
      <c r="AW107" s="83"/>
      <c r="AX107" s="90">
        <f t="shared" si="252"/>
        <v>5312.3801652892562</v>
      </c>
      <c r="AY107" s="90">
        <f t="shared" si="253"/>
        <v>0</v>
      </c>
      <c r="AZ107" s="90">
        <f t="shared" si="254"/>
        <v>5312.3801652892562</v>
      </c>
      <c r="BA107" s="91">
        <f t="shared" si="255"/>
        <v>0.25132651237073173</v>
      </c>
      <c r="BB107" s="91">
        <f t="shared" si="256"/>
        <v>0.25132651237073173</v>
      </c>
      <c r="BC107" s="91" t="str">
        <f t="shared" si="257"/>
        <v/>
      </c>
      <c r="BD107" s="92">
        <f t="shared" si="258"/>
        <v>0.99000000000000021</v>
      </c>
      <c r="BE107" s="92">
        <f t="shared" si="259"/>
        <v>0</v>
      </c>
      <c r="BF107" s="92">
        <f t="shared" si="260"/>
        <v>1</v>
      </c>
      <c r="BG107" s="92">
        <f t="shared" si="261"/>
        <v>0.5</v>
      </c>
      <c r="BH107" s="92">
        <f t="shared" si="262"/>
        <v>0.5</v>
      </c>
      <c r="BI107" s="93">
        <f t="shared" si="263"/>
        <v>2.99</v>
      </c>
      <c r="BJ107" s="92" t="str">
        <f t="shared" si="264"/>
        <v/>
      </c>
      <c r="BK107" s="92" t="str">
        <f t="shared" si="265"/>
        <v/>
      </c>
      <c r="BL107" s="92" t="str">
        <f t="shared" si="266"/>
        <v/>
      </c>
      <c r="BM107" s="92" t="str">
        <f t="shared" si="267"/>
        <v/>
      </c>
      <c r="BN107" s="92" t="str">
        <f t="shared" si="268"/>
        <v/>
      </c>
      <c r="BO107" s="93" t="str">
        <f t="shared" si="269"/>
        <v/>
      </c>
      <c r="BQ107">
        <v>13.99</v>
      </c>
      <c r="BS107">
        <v>13.99</v>
      </c>
      <c r="BU107">
        <v>14.99</v>
      </c>
      <c r="BW107">
        <v>15.49</v>
      </c>
      <c r="BY107">
        <v>15.99</v>
      </c>
    </row>
    <row r="108" spans="1:78" x14ac:dyDescent="0.2">
      <c r="A108" s="26">
        <v>16</v>
      </c>
      <c r="B108" s="26" t="s">
        <v>241</v>
      </c>
      <c r="C108" s="26" t="s">
        <v>103</v>
      </c>
      <c r="D108" s="74">
        <v>1</v>
      </c>
      <c r="E108" s="75">
        <v>21</v>
      </c>
      <c r="F108" s="76">
        <v>0</v>
      </c>
      <c r="G108" s="76">
        <v>524</v>
      </c>
      <c r="H108" s="77">
        <f>SUMIFS(RETETAR!$I$4:$I$967,RETETAR!$A$4:$A$967,$M108,RETETAR!$C$4:$C$967,"AMBELE")+SUMIFS(RETETAR!$I$4:$I$967,RETETAR!$A$4:$A$967,$M108,RETETAR!$C$4:$C$967,"INSTORE")</f>
        <v>0</v>
      </c>
      <c r="I108" s="77">
        <f>SUMIFS(RETETAR!$I$4:$I$967,RETETAR!$A$4:$A$967,$M108,RETETAR!$C$4:$C$967,"AMBELE")+SUMIFS(RETETAR!$I$4:$I$967,RETETAR!$A$4:$A$967,$M108,RETETAR!$C$4:$C$967,"DELIVERY")</f>
        <v>3.9249999999999998</v>
      </c>
      <c r="J108" s="78">
        <f t="shared" si="225"/>
        <v>0</v>
      </c>
      <c r="K108" s="78">
        <f t="shared" si="226"/>
        <v>2056.6999999999998</v>
      </c>
      <c r="L108" s="78">
        <f t="shared" si="227"/>
        <v>2056.6999999999998</v>
      </c>
      <c r="M108" t="s">
        <v>241</v>
      </c>
      <c r="N108" s="79"/>
      <c r="O108" s="79">
        <v>9.5</v>
      </c>
      <c r="P108" s="80"/>
      <c r="Q108" s="80">
        <v>10.49</v>
      </c>
      <c r="R108" s="81">
        <f t="shared" si="228"/>
        <v>0</v>
      </c>
      <c r="S108" s="81">
        <f t="shared" si="229"/>
        <v>4542.7768595041325</v>
      </c>
      <c r="T108" s="81">
        <f t="shared" si="230"/>
        <v>4542.7768595041325</v>
      </c>
      <c r="U108" s="82">
        <f t="shared" si="231"/>
        <v>0.45274070543374634</v>
      </c>
      <c r="V108" s="82" t="str">
        <f t="shared" si="232"/>
        <v/>
      </c>
      <c r="W108" s="82">
        <f t="shared" si="233"/>
        <v>0.45274070543374634</v>
      </c>
      <c r="X108" s="83"/>
      <c r="Y108" s="83">
        <f>BT108+SCENARIU!$C$28+'AJUSTĂRI PE PRODUS'!$J$101</f>
        <v>10.49</v>
      </c>
      <c r="Z108" s="84">
        <f t="shared" si="234"/>
        <v>0</v>
      </c>
      <c r="AA108" s="84">
        <f t="shared" si="235"/>
        <v>4542.7768595041325</v>
      </c>
      <c r="AB108" s="84">
        <f t="shared" si="236"/>
        <v>4542.7768595041325</v>
      </c>
      <c r="AC108" s="85">
        <f t="shared" si="237"/>
        <v>0.45274070543374634</v>
      </c>
      <c r="AD108" s="85" t="str">
        <f t="shared" si="238"/>
        <v/>
      </c>
      <c r="AE108" s="85">
        <f t="shared" si="239"/>
        <v>0.45274070543374634</v>
      </c>
      <c r="AF108" s="83"/>
      <c r="AG108" s="83">
        <f>BV108+SCENARIU!$C$28+SCENARIU!$D$28+'AJUSTĂRI PE PRODUS'!$J$101+'AJUSTĂRI PE PRODUS'!$O$101</f>
        <v>11.49</v>
      </c>
      <c r="AH108" s="86">
        <f t="shared" si="240"/>
        <v>0</v>
      </c>
      <c r="AI108" s="86">
        <f t="shared" si="241"/>
        <v>4975.8347107438021</v>
      </c>
      <c r="AJ108" s="86">
        <f t="shared" si="242"/>
        <v>4975.8347107438021</v>
      </c>
      <c r="AK108" s="87">
        <f t="shared" si="243"/>
        <v>0.41333768494342898</v>
      </c>
      <c r="AL108" s="87" t="str">
        <f t="shared" si="244"/>
        <v/>
      </c>
      <c r="AM108" s="87">
        <f t="shared" si="245"/>
        <v>0.41333768494342898</v>
      </c>
      <c r="AN108" s="83"/>
      <c r="AO108" s="83">
        <f>BX108+SCENARIU!$C$28+SCENARIU!$D$28+SCENARIU!$E$28+'AJUSTĂRI PE PRODUS'!$J$101+'AJUSTĂRI PE PRODUS'!$O$101+'AJUSTĂRI PE PRODUS'!$T$101</f>
        <v>11.99</v>
      </c>
      <c r="AP108" s="88">
        <f t="shared" si="246"/>
        <v>0</v>
      </c>
      <c r="AQ108" s="88">
        <f t="shared" si="247"/>
        <v>5192.3636363636369</v>
      </c>
      <c r="AR108" s="88">
        <f t="shared" si="248"/>
        <v>5192.3636363636369</v>
      </c>
      <c r="AS108" s="89">
        <f t="shared" si="249"/>
        <v>0.39610091743119258</v>
      </c>
      <c r="AT108" s="89" t="str">
        <f t="shared" si="250"/>
        <v/>
      </c>
      <c r="AU108" s="89">
        <f t="shared" si="251"/>
        <v>0.39610091743119258</v>
      </c>
      <c r="AV108" s="83"/>
      <c r="AW108" s="83">
        <f>BZ108+SCENARIU!$C$28+SCENARIU!$D$28+SCENARIU!$E$28+SCENARIU!$F$28+'AJUSTĂRI PE PRODUS'!$J$101+'AJUSTĂRI PE PRODUS'!$O$101+'AJUSTĂRI PE PRODUS'!$T$101+'AJUSTĂRI PE PRODUS'!$Y$101</f>
        <v>12.49</v>
      </c>
      <c r="AX108" s="90">
        <f t="shared" si="252"/>
        <v>0</v>
      </c>
      <c r="AY108" s="90">
        <f t="shared" si="253"/>
        <v>5408.8925619834718</v>
      </c>
      <c r="AZ108" s="90">
        <f t="shared" si="254"/>
        <v>5408.8925619834718</v>
      </c>
      <c r="BA108" s="91">
        <f t="shared" si="255"/>
        <v>0.38024419535628495</v>
      </c>
      <c r="BB108" s="91" t="str">
        <f t="shared" si="256"/>
        <v/>
      </c>
      <c r="BC108" s="91">
        <f t="shared" si="257"/>
        <v>0.38024419535628495</v>
      </c>
      <c r="BD108" s="92" t="str">
        <f t="shared" si="258"/>
        <v/>
      </c>
      <c r="BE108" s="92" t="str">
        <f t="shared" si="259"/>
        <v/>
      </c>
      <c r="BF108" s="92" t="str">
        <f t="shared" si="260"/>
        <v/>
      </c>
      <c r="BG108" s="92" t="str">
        <f t="shared" si="261"/>
        <v/>
      </c>
      <c r="BH108" s="92" t="str">
        <f t="shared" si="262"/>
        <v/>
      </c>
      <c r="BI108" s="93" t="str">
        <f t="shared" si="263"/>
        <v/>
      </c>
      <c r="BJ108" s="92">
        <f t="shared" si="264"/>
        <v>0.99000000000000021</v>
      </c>
      <c r="BK108" s="92">
        <f t="shared" si="265"/>
        <v>0</v>
      </c>
      <c r="BL108" s="92">
        <f t="shared" si="266"/>
        <v>1</v>
      </c>
      <c r="BM108" s="92">
        <f t="shared" si="267"/>
        <v>0.5</v>
      </c>
      <c r="BN108" s="92">
        <f t="shared" si="268"/>
        <v>0.5</v>
      </c>
      <c r="BO108" s="93">
        <f t="shared" si="269"/>
        <v>2.99</v>
      </c>
      <c r="BR108">
        <v>10.49</v>
      </c>
      <c r="BT108">
        <v>10.49</v>
      </c>
      <c r="BV108">
        <v>11.49</v>
      </c>
      <c r="BX108">
        <v>11.99</v>
      </c>
      <c r="BZ108">
        <v>12.49</v>
      </c>
    </row>
    <row r="109" spans="1:78" x14ac:dyDescent="0.2">
      <c r="A109" s="26">
        <v>17</v>
      </c>
      <c r="B109" s="26" t="s">
        <v>246</v>
      </c>
      <c r="C109" s="26" t="s">
        <v>103</v>
      </c>
      <c r="D109" s="74">
        <v>1</v>
      </c>
      <c r="E109" s="75">
        <v>21</v>
      </c>
      <c r="F109" s="76">
        <v>167</v>
      </c>
      <c r="G109" s="76">
        <v>0</v>
      </c>
      <c r="H109" s="77">
        <f>SUMIFS(RETETAR!$I$4:$I$967,RETETAR!$A$4:$A$967,$M109,RETETAR!$C$4:$C$967,"AMBELE")+SUMIFS(RETETAR!$I$4:$I$967,RETETAR!$A$4:$A$967,$M109,RETETAR!$C$4:$C$967,"INSTORE")</f>
        <v>15.888</v>
      </c>
      <c r="I109" s="77">
        <f>SUMIFS(RETETAR!$I$4:$I$967,RETETAR!$A$4:$A$967,$M109,RETETAR!$C$4:$C$967,"AMBELE")+SUMIFS(RETETAR!$I$4:$I$967,RETETAR!$A$4:$A$967,$M109,RETETAR!$C$4:$C$967,"DELIVERY")</f>
        <v>0</v>
      </c>
      <c r="J109" s="78">
        <f t="shared" si="225"/>
        <v>2653.2959999999998</v>
      </c>
      <c r="K109" s="78">
        <f t="shared" si="226"/>
        <v>0</v>
      </c>
      <c r="L109" s="78">
        <f t="shared" si="227"/>
        <v>2653.2959999999998</v>
      </c>
      <c r="M109" t="s">
        <v>246</v>
      </c>
      <c r="N109" s="79">
        <v>29.9</v>
      </c>
      <c r="O109" s="79"/>
      <c r="P109" s="80">
        <v>29.9</v>
      </c>
      <c r="Q109" s="80"/>
      <c r="R109" s="81">
        <f t="shared" si="228"/>
        <v>4126.6942148760327</v>
      </c>
      <c r="S109" s="81">
        <f t="shared" si="229"/>
        <v>0</v>
      </c>
      <c r="T109" s="81">
        <f t="shared" si="230"/>
        <v>4126.6942148760327</v>
      </c>
      <c r="U109" s="82">
        <f t="shared" si="231"/>
        <v>0.64295919732441476</v>
      </c>
      <c r="V109" s="82">
        <f t="shared" si="232"/>
        <v>0.64295919732441476</v>
      </c>
      <c r="W109" s="82" t="str">
        <f t="shared" si="233"/>
        <v/>
      </c>
      <c r="X109" s="83">
        <f>BS109+SCENARIU!$C$28+'AJUSTĂRI PE PRODUS'!$I$104</f>
        <v>29.9</v>
      </c>
      <c r="Y109" s="83"/>
      <c r="Z109" s="84">
        <f t="shared" si="234"/>
        <v>4126.6942148760327</v>
      </c>
      <c r="AA109" s="84">
        <f t="shared" si="235"/>
        <v>0</v>
      </c>
      <c r="AB109" s="84">
        <f t="shared" si="236"/>
        <v>4126.6942148760327</v>
      </c>
      <c r="AC109" s="85">
        <f t="shared" si="237"/>
        <v>0.64295919732441476</v>
      </c>
      <c r="AD109" s="85">
        <f t="shared" si="238"/>
        <v>0.64295919732441476</v>
      </c>
      <c r="AE109" s="85" t="str">
        <f t="shared" si="239"/>
        <v/>
      </c>
      <c r="AF109" s="83">
        <f>BU109+SCENARIU!$C$28+SCENARIU!$D$28+'AJUSTĂRI PE PRODUS'!$I$104+'AJUSTĂRI PE PRODUS'!$N$104</f>
        <v>29.9</v>
      </c>
      <c r="AG109" s="83"/>
      <c r="AH109" s="86">
        <f t="shared" si="240"/>
        <v>4126.6942148760327</v>
      </c>
      <c r="AI109" s="86">
        <f t="shared" si="241"/>
        <v>0</v>
      </c>
      <c r="AJ109" s="86">
        <f t="shared" si="242"/>
        <v>4126.6942148760327</v>
      </c>
      <c r="AK109" s="87">
        <f t="shared" si="243"/>
        <v>0.64295919732441476</v>
      </c>
      <c r="AL109" s="87">
        <f t="shared" si="244"/>
        <v>0.64295919732441476</v>
      </c>
      <c r="AM109" s="87" t="str">
        <f t="shared" si="245"/>
        <v/>
      </c>
      <c r="AN109" s="83">
        <f>BW109+SCENARIU!$C$28+SCENARIU!$D$28+SCENARIU!$E$28+'AJUSTĂRI PE PRODUS'!$I$104+'AJUSTĂRI PE PRODUS'!$N$104+'AJUSTĂRI PE PRODUS'!$S$104</f>
        <v>29.9</v>
      </c>
      <c r="AO109" s="83"/>
      <c r="AP109" s="88">
        <f t="shared" si="246"/>
        <v>4126.6942148760327</v>
      </c>
      <c r="AQ109" s="88">
        <f t="shared" si="247"/>
        <v>0</v>
      </c>
      <c r="AR109" s="88">
        <f t="shared" si="248"/>
        <v>4126.6942148760327</v>
      </c>
      <c r="AS109" s="89">
        <f t="shared" si="249"/>
        <v>0.64295919732441476</v>
      </c>
      <c r="AT109" s="89">
        <f t="shared" si="250"/>
        <v>0.64295919732441476</v>
      </c>
      <c r="AU109" s="89" t="str">
        <f t="shared" si="251"/>
        <v/>
      </c>
      <c r="AV109" s="83">
        <f>BY109+SCENARIU!$C$28+SCENARIU!$D$28+SCENARIU!$E$28+SCENARIU!$F$28+'AJUSTĂRI PE PRODUS'!$I$104+'AJUSTĂRI PE PRODUS'!$N$104+'AJUSTĂRI PE PRODUS'!$S$104+'AJUSTĂRI PE PRODUS'!$X$104</f>
        <v>29.9</v>
      </c>
      <c r="AW109" s="83"/>
      <c r="AX109" s="90">
        <f t="shared" si="252"/>
        <v>4126.6942148760327</v>
      </c>
      <c r="AY109" s="90">
        <f t="shared" si="253"/>
        <v>0</v>
      </c>
      <c r="AZ109" s="90">
        <f t="shared" si="254"/>
        <v>4126.6942148760327</v>
      </c>
      <c r="BA109" s="91">
        <f t="shared" si="255"/>
        <v>0.64295919732441476</v>
      </c>
      <c r="BB109" s="91">
        <f t="shared" si="256"/>
        <v>0.64295919732441476</v>
      </c>
      <c r="BC109" s="91" t="str">
        <f t="shared" si="257"/>
        <v/>
      </c>
      <c r="BD109" s="92">
        <f t="shared" si="258"/>
        <v>0</v>
      </c>
      <c r="BE109" s="92">
        <f t="shared" si="259"/>
        <v>0</v>
      </c>
      <c r="BF109" s="92">
        <f t="shared" si="260"/>
        <v>0</v>
      </c>
      <c r="BG109" s="92">
        <f t="shared" si="261"/>
        <v>0</v>
      </c>
      <c r="BH109" s="92">
        <f t="shared" si="262"/>
        <v>0</v>
      </c>
      <c r="BI109" s="93">
        <f t="shared" si="263"/>
        <v>0</v>
      </c>
      <c r="BJ109" s="92" t="str">
        <f t="shared" si="264"/>
        <v/>
      </c>
      <c r="BK109" s="92" t="str">
        <f t="shared" si="265"/>
        <v/>
      </c>
      <c r="BL109" s="92" t="str">
        <f t="shared" si="266"/>
        <v/>
      </c>
      <c r="BM109" s="92" t="str">
        <f t="shared" si="267"/>
        <v/>
      </c>
      <c r="BN109" s="92" t="str">
        <f t="shared" si="268"/>
        <v/>
      </c>
      <c r="BO109" s="93" t="str">
        <f t="shared" si="269"/>
        <v/>
      </c>
      <c r="BQ109">
        <v>29.9</v>
      </c>
      <c r="BS109">
        <v>29.9</v>
      </c>
      <c r="BU109">
        <v>29.9</v>
      </c>
      <c r="BW109">
        <v>29.9</v>
      </c>
      <c r="BY109">
        <v>29.9</v>
      </c>
    </row>
    <row r="110" spans="1:78" x14ac:dyDescent="0.2">
      <c r="A110" s="26">
        <v>18</v>
      </c>
      <c r="B110" s="26" t="s">
        <v>247</v>
      </c>
      <c r="C110" s="26" t="s">
        <v>103</v>
      </c>
      <c r="D110" s="74">
        <v>1</v>
      </c>
      <c r="E110" s="75">
        <v>21</v>
      </c>
      <c r="F110" s="76">
        <v>335</v>
      </c>
      <c r="G110" s="76">
        <v>0</v>
      </c>
      <c r="H110" s="77">
        <f>SUMIFS(RETETAR!$I$4:$I$967,RETETAR!$A$4:$A$967,$M110,RETETAR!$C$4:$C$967,"AMBELE")+SUMIFS(RETETAR!$I$4:$I$967,RETETAR!$A$4:$A$967,$M110,RETETAR!$C$4:$C$967,"INSTORE")</f>
        <v>3.3455941048000004</v>
      </c>
      <c r="I110" s="77">
        <f>SUMIFS(RETETAR!$I$4:$I$967,RETETAR!$A$4:$A$967,$M110,RETETAR!$C$4:$C$967,"AMBELE")+SUMIFS(RETETAR!$I$4:$I$967,RETETAR!$A$4:$A$967,$M110,RETETAR!$C$4:$C$967,"DELIVERY")</f>
        <v>0</v>
      </c>
      <c r="J110" s="78">
        <f t="shared" si="225"/>
        <v>1120.7740251080002</v>
      </c>
      <c r="K110" s="78">
        <f t="shared" si="226"/>
        <v>0</v>
      </c>
      <c r="L110" s="78">
        <f t="shared" si="227"/>
        <v>1120.7740251080002</v>
      </c>
      <c r="M110" t="s">
        <v>247</v>
      </c>
      <c r="N110" s="79">
        <v>13</v>
      </c>
      <c r="O110" s="79"/>
      <c r="P110" s="80">
        <v>13.99</v>
      </c>
      <c r="Q110" s="80"/>
      <c r="R110" s="81">
        <f t="shared" si="228"/>
        <v>3873.2644628099174</v>
      </c>
      <c r="S110" s="81">
        <f t="shared" si="229"/>
        <v>0</v>
      </c>
      <c r="T110" s="81">
        <f t="shared" si="230"/>
        <v>3873.2644628099174</v>
      </c>
      <c r="U110" s="82">
        <f t="shared" si="231"/>
        <v>0.28936160591908511</v>
      </c>
      <c r="V110" s="82">
        <f t="shared" si="232"/>
        <v>0.28936160591908511</v>
      </c>
      <c r="W110" s="82" t="str">
        <f t="shared" si="233"/>
        <v/>
      </c>
      <c r="X110" s="83">
        <f>BS110+SCENARIU!$C$28+'AJUSTĂRI PE PRODUS'!$I$107</f>
        <v>13.99</v>
      </c>
      <c r="Y110" s="83"/>
      <c r="Z110" s="84">
        <f t="shared" si="234"/>
        <v>3873.2644628099174</v>
      </c>
      <c r="AA110" s="84">
        <f t="shared" si="235"/>
        <v>0</v>
      </c>
      <c r="AB110" s="84">
        <f t="shared" si="236"/>
        <v>3873.2644628099174</v>
      </c>
      <c r="AC110" s="85">
        <f t="shared" si="237"/>
        <v>0.28936160591908511</v>
      </c>
      <c r="AD110" s="85">
        <f t="shared" si="238"/>
        <v>0.28936160591908511</v>
      </c>
      <c r="AE110" s="85" t="str">
        <f t="shared" si="239"/>
        <v/>
      </c>
      <c r="AF110" s="83">
        <f>BU110+SCENARIU!$C$28+SCENARIU!$D$28+'AJUSTĂRI PE PRODUS'!$I$107+'AJUSTĂRI PE PRODUS'!$N$107</f>
        <v>14.99</v>
      </c>
      <c r="AG110" s="83"/>
      <c r="AH110" s="86">
        <f t="shared" si="240"/>
        <v>4150.1239669421493</v>
      </c>
      <c r="AI110" s="86">
        <f t="shared" si="241"/>
        <v>0</v>
      </c>
      <c r="AJ110" s="86">
        <f t="shared" si="242"/>
        <v>4150.1239669421493</v>
      </c>
      <c r="AK110" s="87">
        <f t="shared" si="243"/>
        <v>0.27005796309593061</v>
      </c>
      <c r="AL110" s="87">
        <f t="shared" si="244"/>
        <v>0.27005796309593061</v>
      </c>
      <c r="AM110" s="87" t="str">
        <f t="shared" si="245"/>
        <v/>
      </c>
      <c r="AN110" s="83">
        <f>BW110+SCENARIU!$C$28+SCENARIU!$D$28+SCENARIU!$E$28+'AJUSTĂRI PE PRODUS'!$I$107+'AJUSTĂRI PE PRODUS'!$N$107+'AJUSTĂRI PE PRODUS'!$S$107</f>
        <v>15.49</v>
      </c>
      <c r="AO110" s="83"/>
      <c r="AP110" s="88">
        <f t="shared" si="246"/>
        <v>4288.553719008265</v>
      </c>
      <c r="AQ110" s="88">
        <f t="shared" si="247"/>
        <v>0</v>
      </c>
      <c r="AR110" s="88">
        <f t="shared" si="248"/>
        <v>4288.553719008265</v>
      </c>
      <c r="AS110" s="89">
        <f t="shared" si="249"/>
        <v>0.26134079191788251</v>
      </c>
      <c r="AT110" s="89">
        <f t="shared" si="250"/>
        <v>0.26134079191788251</v>
      </c>
      <c r="AU110" s="89" t="str">
        <f t="shared" si="251"/>
        <v/>
      </c>
      <c r="AV110" s="83">
        <f>BY110+SCENARIU!$C$28+SCENARIU!$D$28+SCENARIU!$E$28+SCENARIU!$F$28+'AJUSTĂRI PE PRODUS'!$I$107+'AJUSTĂRI PE PRODUS'!$N$107+'AJUSTĂRI PE PRODUS'!$S$107+'AJUSTĂRI PE PRODUS'!$X$107</f>
        <v>15.99</v>
      </c>
      <c r="AW110" s="83"/>
      <c r="AX110" s="90">
        <f t="shared" si="252"/>
        <v>4426.9834710743808</v>
      </c>
      <c r="AY110" s="90">
        <f t="shared" si="253"/>
        <v>0</v>
      </c>
      <c r="AZ110" s="90">
        <f t="shared" si="254"/>
        <v>4426.9834710743808</v>
      </c>
      <c r="BA110" s="91">
        <f t="shared" si="255"/>
        <v>0.25316878466591619</v>
      </c>
      <c r="BB110" s="91">
        <f t="shared" si="256"/>
        <v>0.25316878466591619</v>
      </c>
      <c r="BC110" s="91" t="str">
        <f t="shared" si="257"/>
        <v/>
      </c>
      <c r="BD110" s="92">
        <f t="shared" si="258"/>
        <v>0.99000000000000021</v>
      </c>
      <c r="BE110" s="92">
        <f t="shared" si="259"/>
        <v>0</v>
      </c>
      <c r="BF110" s="92">
        <f t="shared" si="260"/>
        <v>1</v>
      </c>
      <c r="BG110" s="92">
        <f t="shared" si="261"/>
        <v>0.5</v>
      </c>
      <c r="BH110" s="92">
        <f t="shared" si="262"/>
        <v>0.5</v>
      </c>
      <c r="BI110" s="93">
        <f t="shared" si="263"/>
        <v>2.99</v>
      </c>
      <c r="BJ110" s="92" t="str">
        <f t="shared" si="264"/>
        <v/>
      </c>
      <c r="BK110" s="92" t="str">
        <f t="shared" si="265"/>
        <v/>
      </c>
      <c r="BL110" s="92" t="str">
        <f t="shared" si="266"/>
        <v/>
      </c>
      <c r="BM110" s="92" t="str">
        <f t="shared" si="267"/>
        <v/>
      </c>
      <c r="BN110" s="92" t="str">
        <f t="shared" si="268"/>
        <v/>
      </c>
      <c r="BO110" s="93" t="str">
        <f t="shared" si="269"/>
        <v/>
      </c>
      <c r="BQ110">
        <v>13.99</v>
      </c>
      <c r="BS110">
        <v>13.99</v>
      </c>
      <c r="BU110">
        <v>14.99</v>
      </c>
      <c r="BW110">
        <v>15.49</v>
      </c>
      <c r="BY110">
        <v>15.99</v>
      </c>
    </row>
    <row r="111" spans="1:78" x14ac:dyDescent="0.2">
      <c r="A111" s="26">
        <v>19</v>
      </c>
      <c r="B111" s="26" t="s">
        <v>253</v>
      </c>
      <c r="C111" s="26" t="s">
        <v>103</v>
      </c>
      <c r="D111" s="74">
        <v>1</v>
      </c>
      <c r="E111" s="75">
        <v>21</v>
      </c>
      <c r="F111" s="76">
        <v>142</v>
      </c>
      <c r="G111" s="76">
        <v>84</v>
      </c>
      <c r="H111" s="77">
        <f>SUMIFS(RETETAR!$I$4:$I$967,RETETAR!$A$4:$A$967,$M111,RETETAR!$C$4:$C$967,"AMBELE")+SUMIFS(RETETAR!$I$4:$I$967,RETETAR!$A$4:$A$967,$M111,RETETAR!$C$4:$C$967,"INSTORE")</f>
        <v>7.4220199999999998</v>
      </c>
      <c r="I111" s="77">
        <f>SUMIFS(RETETAR!$I$4:$I$967,RETETAR!$A$4:$A$967,$M111,RETETAR!$C$4:$C$967,"AMBELE")+SUMIFS(RETETAR!$I$4:$I$967,RETETAR!$A$4:$A$967,$M111,RETETAR!$C$4:$C$967,"DELIVERY")</f>
        <v>7.4220199999999998</v>
      </c>
      <c r="J111" s="78">
        <f t="shared" si="225"/>
        <v>1053.9268400000001</v>
      </c>
      <c r="K111" s="78">
        <f t="shared" si="226"/>
        <v>623.44967999999994</v>
      </c>
      <c r="L111" s="78">
        <f t="shared" si="227"/>
        <v>1677.37652</v>
      </c>
      <c r="M111" t="s">
        <v>253</v>
      </c>
      <c r="N111" s="79">
        <v>15</v>
      </c>
      <c r="O111" s="79">
        <v>19</v>
      </c>
      <c r="P111" s="80">
        <v>15.99</v>
      </c>
      <c r="Q111" s="80">
        <v>19.989999999999998</v>
      </c>
      <c r="R111" s="81">
        <f t="shared" si="228"/>
        <v>1876.5123966942149</v>
      </c>
      <c r="S111" s="81">
        <f t="shared" si="229"/>
        <v>1387.7355371900826</v>
      </c>
      <c r="T111" s="81">
        <f t="shared" si="230"/>
        <v>3264.2479338842977</v>
      </c>
      <c r="U111" s="82">
        <f t="shared" si="231"/>
        <v>0.5138630869880042</v>
      </c>
      <c r="V111" s="82">
        <f t="shared" si="232"/>
        <v>0.56164128830519078</v>
      </c>
      <c r="W111" s="82">
        <f t="shared" si="233"/>
        <v>0.4492568384192096</v>
      </c>
      <c r="X111" s="83">
        <f>BS111+SCENARIU!$C$28+'AJUSTĂRI PE PRODUS'!$I$114</f>
        <v>15.99</v>
      </c>
      <c r="Y111" s="83">
        <f>BT111+SCENARIU!$C$28+'AJUSTĂRI PE PRODUS'!$J$114</f>
        <v>19.989999999999998</v>
      </c>
      <c r="Z111" s="84">
        <f t="shared" si="234"/>
        <v>1876.5123966942149</v>
      </c>
      <c r="AA111" s="84">
        <f t="shared" si="235"/>
        <v>1387.7355371900826</v>
      </c>
      <c r="AB111" s="84">
        <f t="shared" si="236"/>
        <v>3264.2479338842977</v>
      </c>
      <c r="AC111" s="85">
        <f t="shared" si="237"/>
        <v>0.5138630869880042</v>
      </c>
      <c r="AD111" s="85">
        <f t="shared" si="238"/>
        <v>0.56164128830519078</v>
      </c>
      <c r="AE111" s="85">
        <f t="shared" si="239"/>
        <v>0.4492568384192096</v>
      </c>
      <c r="AF111" s="83">
        <f>BU111+SCENARIU!$C$28+SCENARIU!$D$28+'AJUSTĂRI PE PRODUS'!$I$114+'AJUSTĂRI PE PRODUS'!$N$114</f>
        <v>16.989999999999998</v>
      </c>
      <c r="AG111" s="83">
        <f>BV111+SCENARIU!$C$28+SCENARIU!$D$28+'AJUSTĂRI PE PRODUS'!$J$114+'AJUSTĂRI PE PRODUS'!$O$114</f>
        <v>20.99</v>
      </c>
      <c r="AH111" s="86">
        <f t="shared" si="240"/>
        <v>1993.8677685950411</v>
      </c>
      <c r="AI111" s="86">
        <f t="shared" si="241"/>
        <v>1457.1570247933885</v>
      </c>
      <c r="AJ111" s="86">
        <f t="shared" si="242"/>
        <v>3451.0247933884293</v>
      </c>
      <c r="AK111" s="87">
        <f t="shared" si="243"/>
        <v>0.48605171519299578</v>
      </c>
      <c r="AL111" s="87">
        <f t="shared" si="244"/>
        <v>0.52858412007062994</v>
      </c>
      <c r="AM111" s="87">
        <f t="shared" si="245"/>
        <v>0.42785346355407333</v>
      </c>
      <c r="AN111" s="83">
        <f>BW111+SCENARIU!$C$28+SCENARIU!$D$28+SCENARIU!$E$28+'AJUSTĂRI PE PRODUS'!$I$114+'AJUSTĂRI PE PRODUS'!$N$114+'AJUSTĂRI PE PRODUS'!$S$114</f>
        <v>17.489999999999998</v>
      </c>
      <c r="AO111" s="83">
        <f>BX111+SCENARIU!$C$28+SCENARIU!$D$28+SCENARIU!$E$28+'AJUSTĂRI PE PRODUS'!$J$114+'AJUSTĂRI PE PRODUS'!$O$114+'AJUSTĂRI PE PRODUS'!$T$114</f>
        <v>21.49</v>
      </c>
      <c r="AP111" s="88">
        <f t="shared" si="246"/>
        <v>2052.5454545454545</v>
      </c>
      <c r="AQ111" s="88">
        <f t="shared" si="247"/>
        <v>1491.8677685950411</v>
      </c>
      <c r="AR111" s="88">
        <f t="shared" si="248"/>
        <v>3544.4132231404956</v>
      </c>
      <c r="AS111" s="89">
        <f t="shared" si="249"/>
        <v>0.47324519304038021</v>
      </c>
      <c r="AT111" s="89">
        <f t="shared" si="250"/>
        <v>0.51347308176100637</v>
      </c>
      <c r="AU111" s="89">
        <f t="shared" si="251"/>
        <v>0.41789875290832951</v>
      </c>
      <c r="AV111" s="83">
        <f>BY111+SCENARIU!$C$28+SCENARIU!$D$28+SCENARIU!$E$28+SCENARIU!$F$28+'AJUSTĂRI PE PRODUS'!$I$114+'AJUSTĂRI PE PRODUS'!$N$114+'AJUSTĂRI PE PRODUS'!$S$114+'AJUSTĂRI PE PRODUS'!$X$114</f>
        <v>17.989999999999998</v>
      </c>
      <c r="AW111" s="83">
        <f>BZ111+SCENARIU!$C$28+SCENARIU!$D$28+SCENARIU!$E$28+SCENARIU!$F$28+'AJUSTĂRI PE PRODUS'!$J$114+'AJUSTĂRI PE PRODUS'!$O$114+'AJUSTĂRI PE PRODUS'!$T$114+'AJUSTĂRI PE PRODUS'!$Y$114</f>
        <v>21.99</v>
      </c>
      <c r="AX111" s="90">
        <f t="shared" si="252"/>
        <v>2111.2231404958675</v>
      </c>
      <c r="AY111" s="90">
        <f t="shared" si="253"/>
        <v>1526.5785123966941</v>
      </c>
      <c r="AZ111" s="90">
        <f t="shared" si="254"/>
        <v>3637.8016528925618</v>
      </c>
      <c r="BA111" s="91">
        <f t="shared" si="255"/>
        <v>0.46109620041165544</v>
      </c>
      <c r="BB111" s="91">
        <f t="shared" si="256"/>
        <v>0.49920201222901622</v>
      </c>
      <c r="BC111" s="91">
        <f t="shared" si="257"/>
        <v>0.40839673487949069</v>
      </c>
      <c r="BD111" s="92">
        <f t="shared" si="258"/>
        <v>0.99000000000000021</v>
      </c>
      <c r="BE111" s="92">
        <f t="shared" si="259"/>
        <v>0</v>
      </c>
      <c r="BF111" s="92">
        <f t="shared" si="260"/>
        <v>0.99999999999999822</v>
      </c>
      <c r="BG111" s="92">
        <f t="shared" si="261"/>
        <v>0.5</v>
      </c>
      <c r="BH111" s="92">
        <f t="shared" si="262"/>
        <v>0.5</v>
      </c>
      <c r="BI111" s="93">
        <f t="shared" si="263"/>
        <v>2.9899999999999984</v>
      </c>
      <c r="BJ111" s="92">
        <f t="shared" si="264"/>
        <v>0.98999999999999844</v>
      </c>
      <c r="BK111" s="92">
        <f t="shared" si="265"/>
        <v>0</v>
      </c>
      <c r="BL111" s="92">
        <f t="shared" si="266"/>
        <v>1</v>
      </c>
      <c r="BM111" s="92">
        <f t="shared" si="267"/>
        <v>0.5</v>
      </c>
      <c r="BN111" s="92">
        <f t="shared" si="268"/>
        <v>0.5</v>
      </c>
      <c r="BO111" s="93">
        <f t="shared" si="269"/>
        <v>2.9899999999999984</v>
      </c>
      <c r="BQ111">
        <v>15.99</v>
      </c>
      <c r="BR111">
        <v>19.989999999999998</v>
      </c>
      <c r="BS111">
        <v>15.99</v>
      </c>
      <c r="BT111">
        <v>19.989999999999998</v>
      </c>
      <c r="BU111">
        <v>16.989999999999998</v>
      </c>
      <c r="BV111">
        <v>20.99</v>
      </c>
      <c r="BW111">
        <v>17.489999999999998</v>
      </c>
      <c r="BX111">
        <v>21.49</v>
      </c>
      <c r="BY111">
        <v>17.989999999999998</v>
      </c>
      <c r="BZ111">
        <v>21.99</v>
      </c>
    </row>
    <row r="112" spans="1:78" x14ac:dyDescent="0.2">
      <c r="A112" s="26">
        <v>20</v>
      </c>
      <c r="B112" s="26" t="s">
        <v>255</v>
      </c>
      <c r="C112" s="26" t="s">
        <v>103</v>
      </c>
      <c r="D112" s="74">
        <v>1</v>
      </c>
      <c r="E112" s="75">
        <v>21</v>
      </c>
      <c r="F112" s="76">
        <v>114</v>
      </c>
      <c r="G112" s="76">
        <v>192</v>
      </c>
      <c r="H112" s="77">
        <f>SUMIFS(RETETAR!$I$4:$I$967,RETETAR!$A$4:$A$967,$M112,RETETAR!$C$4:$C$967,"AMBELE")+SUMIFS(RETETAR!$I$4:$I$967,RETETAR!$A$4:$A$967,$M112,RETETAR!$C$4:$C$967,"INSTORE")</f>
        <v>3.64</v>
      </c>
      <c r="I112" s="77">
        <f>SUMIFS(RETETAR!$I$4:$I$967,RETETAR!$A$4:$A$967,$M112,RETETAR!$C$4:$C$967,"AMBELE")+SUMIFS(RETETAR!$I$4:$I$967,RETETAR!$A$4:$A$967,$M112,RETETAR!$C$4:$C$967,"DELIVERY")</f>
        <v>3.64</v>
      </c>
      <c r="J112" s="78">
        <f t="shared" si="225"/>
        <v>414.96000000000004</v>
      </c>
      <c r="K112" s="78">
        <f t="shared" si="226"/>
        <v>698.88</v>
      </c>
      <c r="L112" s="78">
        <f t="shared" si="227"/>
        <v>1113.8400000000001</v>
      </c>
      <c r="M112" t="s">
        <v>255</v>
      </c>
      <c r="N112" s="79">
        <v>11</v>
      </c>
      <c r="O112" s="79">
        <v>12</v>
      </c>
      <c r="P112" s="80">
        <v>11.99</v>
      </c>
      <c r="Q112" s="80">
        <v>12.99</v>
      </c>
      <c r="R112" s="81">
        <f t="shared" si="228"/>
        <v>1129.6363636363637</v>
      </c>
      <c r="S112" s="81">
        <f t="shared" si="229"/>
        <v>2061.2231404958679</v>
      </c>
      <c r="T112" s="81">
        <f t="shared" si="230"/>
        <v>3190.8595041322315</v>
      </c>
      <c r="U112" s="82">
        <f t="shared" si="231"/>
        <v>0.34907209125238936</v>
      </c>
      <c r="V112" s="82">
        <f t="shared" si="232"/>
        <v>0.36733944954128439</v>
      </c>
      <c r="W112" s="82">
        <f t="shared" si="233"/>
        <v>0.33906081601231713</v>
      </c>
      <c r="X112" s="83">
        <f>BS112+SCENARIU!$C$28+'AJUSTĂRI PE PRODUS'!$I$117</f>
        <v>11.99</v>
      </c>
      <c r="Y112" s="83">
        <f>BT112+SCENARIU!$C$28+'AJUSTĂRI PE PRODUS'!$J$117</f>
        <v>12.99</v>
      </c>
      <c r="Z112" s="84">
        <f t="shared" si="234"/>
        <v>1129.6363636363637</v>
      </c>
      <c r="AA112" s="84">
        <f t="shared" si="235"/>
        <v>2061.2231404958679</v>
      </c>
      <c r="AB112" s="84">
        <f t="shared" si="236"/>
        <v>3190.8595041322315</v>
      </c>
      <c r="AC112" s="85">
        <f t="shared" si="237"/>
        <v>0.34907209125238936</v>
      </c>
      <c r="AD112" s="85">
        <f t="shared" si="238"/>
        <v>0.36733944954128439</v>
      </c>
      <c r="AE112" s="85">
        <f t="shared" si="239"/>
        <v>0.33906081601231713</v>
      </c>
      <c r="AF112" s="83">
        <f>BU112+SCENARIU!$C$28+SCENARIU!$D$28+'AJUSTĂRI PE PRODUS'!$I$117+'AJUSTĂRI PE PRODUS'!$N$117</f>
        <v>12.99</v>
      </c>
      <c r="AG112" s="83">
        <f>BV112+SCENARIU!$C$28+SCENARIU!$D$28+'AJUSTĂRI PE PRODUS'!$J$117+'AJUSTĂRI PE PRODUS'!$O$117</f>
        <v>13.99</v>
      </c>
      <c r="AH112" s="86">
        <f t="shared" si="240"/>
        <v>1223.8512396694216</v>
      </c>
      <c r="AI112" s="86">
        <f t="shared" si="241"/>
        <v>2219.9008264462809</v>
      </c>
      <c r="AJ112" s="86">
        <f t="shared" si="242"/>
        <v>3443.7520661157023</v>
      </c>
      <c r="AK112" s="87">
        <f t="shared" si="243"/>
        <v>0.32343791847254827</v>
      </c>
      <c r="AL112" s="87">
        <f t="shared" si="244"/>
        <v>0.33906081601231719</v>
      </c>
      <c r="AM112" s="87">
        <f t="shared" si="245"/>
        <v>0.31482487491065048</v>
      </c>
      <c r="AN112" s="83">
        <f>BW112+SCENARIU!$C$28+SCENARIU!$D$28+SCENARIU!$E$28+'AJUSTĂRI PE PRODUS'!$I$117+'AJUSTĂRI PE PRODUS'!$N$117+'AJUSTĂRI PE PRODUS'!$S$117</f>
        <v>13.49</v>
      </c>
      <c r="AO112" s="83">
        <f>BX112+SCENARIU!$C$28+SCENARIU!$D$28+SCENARIU!$E$28+'AJUSTĂRI PE PRODUS'!$J$117+'AJUSTĂRI PE PRODUS'!$O$117+'AJUSTĂRI PE PRODUS'!$T$117</f>
        <v>14.49</v>
      </c>
      <c r="AP112" s="88">
        <f t="shared" si="246"/>
        <v>1270.9586776859505</v>
      </c>
      <c r="AQ112" s="88">
        <f t="shared" si="247"/>
        <v>2299.2396694214876</v>
      </c>
      <c r="AR112" s="88">
        <f t="shared" si="248"/>
        <v>3570.1983471074382</v>
      </c>
      <c r="AS112" s="89">
        <f t="shared" si="249"/>
        <v>0.31198266642592259</v>
      </c>
      <c r="AT112" s="89">
        <f t="shared" si="250"/>
        <v>0.32649369903632319</v>
      </c>
      <c r="AU112" s="89">
        <f t="shared" si="251"/>
        <v>0.3039613526570048</v>
      </c>
      <c r="AV112" s="83">
        <f>BY112+SCENARIU!$C$28+SCENARIU!$D$28+SCENARIU!$E$28+SCENARIU!$F$28+'AJUSTĂRI PE PRODUS'!$I$117+'AJUSTĂRI PE PRODUS'!$N$117+'AJUSTĂRI PE PRODUS'!$S$117+'AJUSTĂRI PE PRODUS'!$X$117</f>
        <v>13.99</v>
      </c>
      <c r="AW112" s="83">
        <f>BZ112+SCENARIU!$C$28+SCENARIU!$D$28+SCENARIU!$E$28+SCENARIU!$F$28+'AJUSTĂRI PE PRODUS'!$J$117+'AJUSTĂRI PE PRODUS'!$O$117+'AJUSTĂRI PE PRODUS'!$T$117+'AJUSTĂRI PE PRODUS'!$Y$117</f>
        <v>14.99</v>
      </c>
      <c r="AX112" s="90">
        <f t="shared" si="252"/>
        <v>1318.0661157024795</v>
      </c>
      <c r="AY112" s="90">
        <f t="shared" si="253"/>
        <v>2378.5785123966944</v>
      </c>
      <c r="AZ112" s="90">
        <f t="shared" si="254"/>
        <v>3696.644628099174</v>
      </c>
      <c r="BA112" s="91">
        <f t="shared" si="255"/>
        <v>0.30131108398502998</v>
      </c>
      <c r="BB112" s="91">
        <f t="shared" si="256"/>
        <v>0.31482487491065048</v>
      </c>
      <c r="BC112" s="91">
        <f t="shared" si="257"/>
        <v>0.29382254836557703</v>
      </c>
      <c r="BD112" s="92">
        <f t="shared" si="258"/>
        <v>0.99000000000000021</v>
      </c>
      <c r="BE112" s="92">
        <f t="shared" si="259"/>
        <v>0</v>
      </c>
      <c r="BF112" s="92">
        <f t="shared" si="260"/>
        <v>1</v>
      </c>
      <c r="BG112" s="92">
        <f t="shared" si="261"/>
        <v>0.5</v>
      </c>
      <c r="BH112" s="92">
        <f t="shared" si="262"/>
        <v>0.5</v>
      </c>
      <c r="BI112" s="93">
        <f t="shared" si="263"/>
        <v>2.99</v>
      </c>
      <c r="BJ112" s="92">
        <f t="shared" si="264"/>
        <v>0.99000000000000021</v>
      </c>
      <c r="BK112" s="92">
        <f t="shared" si="265"/>
        <v>0</v>
      </c>
      <c r="BL112" s="92">
        <f t="shared" si="266"/>
        <v>1</v>
      </c>
      <c r="BM112" s="92">
        <f t="shared" si="267"/>
        <v>0.5</v>
      </c>
      <c r="BN112" s="92">
        <f t="shared" si="268"/>
        <v>0.5</v>
      </c>
      <c r="BO112" s="93">
        <f t="shared" si="269"/>
        <v>2.99</v>
      </c>
      <c r="BQ112">
        <v>11.99</v>
      </c>
      <c r="BR112">
        <v>12.99</v>
      </c>
      <c r="BS112">
        <v>11.99</v>
      </c>
      <c r="BT112">
        <v>12.99</v>
      </c>
      <c r="BU112">
        <v>12.99</v>
      </c>
      <c r="BV112">
        <v>13.99</v>
      </c>
      <c r="BW112">
        <v>13.49</v>
      </c>
      <c r="BX112">
        <v>14.49</v>
      </c>
      <c r="BY112">
        <v>13.99</v>
      </c>
      <c r="BZ112">
        <v>14.99</v>
      </c>
    </row>
    <row r="113" spans="1:78" x14ac:dyDescent="0.2">
      <c r="A113" s="26">
        <v>21</v>
      </c>
      <c r="B113" s="26" t="s">
        <v>259</v>
      </c>
      <c r="C113" s="26" t="s">
        <v>103</v>
      </c>
      <c r="D113" s="74">
        <v>1</v>
      </c>
      <c r="E113" s="75">
        <v>21</v>
      </c>
      <c r="F113" s="76">
        <v>225</v>
      </c>
      <c r="G113" s="76">
        <v>68</v>
      </c>
      <c r="H113" s="77">
        <f>SUMIFS(RETETAR!$I$4:$I$967,RETETAR!$A$4:$A$967,$M113,RETETAR!$C$4:$C$967,"AMBELE")+SUMIFS(RETETAR!$I$4:$I$967,RETETAR!$A$4:$A$967,$M113,RETETAR!$C$4:$C$967,"INSTORE")</f>
        <v>4.4089999999999998</v>
      </c>
      <c r="I113" s="77">
        <f>SUMIFS(RETETAR!$I$4:$I$967,RETETAR!$A$4:$A$967,$M113,RETETAR!$C$4:$C$967,"AMBELE")+SUMIFS(RETETAR!$I$4:$I$967,RETETAR!$A$4:$A$967,$M113,RETETAR!$C$4:$C$967,"DELIVERY")</f>
        <v>4.4089999999999998</v>
      </c>
      <c r="J113" s="78">
        <f t="shared" si="225"/>
        <v>992.02499999999998</v>
      </c>
      <c r="K113" s="78">
        <f t="shared" si="226"/>
        <v>299.81200000000001</v>
      </c>
      <c r="L113" s="78">
        <f t="shared" si="227"/>
        <v>1291.837</v>
      </c>
      <c r="M113" t="s">
        <v>259</v>
      </c>
      <c r="N113" s="79">
        <v>10</v>
      </c>
      <c r="O113" s="79">
        <v>12</v>
      </c>
      <c r="P113" s="80">
        <v>10.99</v>
      </c>
      <c r="Q113" s="80">
        <v>12.99</v>
      </c>
      <c r="R113" s="81">
        <f t="shared" si="228"/>
        <v>2043.5950413223143</v>
      </c>
      <c r="S113" s="81">
        <f t="shared" si="229"/>
        <v>730.01652892561992</v>
      </c>
      <c r="T113" s="81">
        <f t="shared" si="230"/>
        <v>2773.6115702479342</v>
      </c>
      <c r="U113" s="82">
        <f t="shared" si="231"/>
        <v>0.46575988283915409</v>
      </c>
      <c r="V113" s="82">
        <f t="shared" si="232"/>
        <v>0.48543130118289346</v>
      </c>
      <c r="W113" s="82">
        <f t="shared" si="233"/>
        <v>0.41069207082371051</v>
      </c>
      <c r="X113" s="83">
        <f>BS113+SCENARIU!$C$28+'AJUSTĂRI PE PRODUS'!$I$115</f>
        <v>10.99</v>
      </c>
      <c r="Y113" s="83">
        <f>BT113+SCENARIU!$C$28+'AJUSTĂRI PE PRODUS'!$J$115</f>
        <v>12.99</v>
      </c>
      <c r="Z113" s="84">
        <f t="shared" si="234"/>
        <v>2043.5950413223143</v>
      </c>
      <c r="AA113" s="84">
        <f t="shared" si="235"/>
        <v>730.01652892561992</v>
      </c>
      <c r="AB113" s="84">
        <f t="shared" si="236"/>
        <v>2773.6115702479342</v>
      </c>
      <c r="AC113" s="85">
        <f t="shared" si="237"/>
        <v>0.46575988283915409</v>
      </c>
      <c r="AD113" s="85">
        <f t="shared" si="238"/>
        <v>0.48543130118289346</v>
      </c>
      <c r="AE113" s="85">
        <f t="shared" si="239"/>
        <v>0.41069207082371051</v>
      </c>
      <c r="AF113" s="83">
        <f>BU113+SCENARIU!$C$28+SCENARIU!$D$28+'AJUSTĂRI PE PRODUS'!$I$115+'AJUSTĂRI PE PRODUS'!$N$115</f>
        <v>11.99</v>
      </c>
      <c r="AG113" s="83">
        <f>BV113+SCENARIU!$C$28+SCENARIU!$D$28+'AJUSTĂRI PE PRODUS'!$J$115+'AJUSTĂRI PE PRODUS'!$O$115</f>
        <v>13.99</v>
      </c>
      <c r="AH113" s="86">
        <f t="shared" si="240"/>
        <v>2229.545454545455</v>
      </c>
      <c r="AI113" s="86">
        <f t="shared" si="241"/>
        <v>786.21487603305786</v>
      </c>
      <c r="AJ113" s="86">
        <f t="shared" si="242"/>
        <v>3015.7603305785128</v>
      </c>
      <c r="AK113" s="87">
        <f t="shared" si="243"/>
        <v>0.42836195797833415</v>
      </c>
      <c r="AL113" s="87">
        <f t="shared" si="244"/>
        <v>0.44494495412844026</v>
      </c>
      <c r="AM113" s="87">
        <f t="shared" si="245"/>
        <v>0.3813359542530379</v>
      </c>
      <c r="AN113" s="83">
        <f>BW113+SCENARIU!$C$28+SCENARIU!$D$28+SCENARIU!$E$28+'AJUSTĂRI PE PRODUS'!$I$115+'AJUSTĂRI PE PRODUS'!$N$115+'AJUSTĂRI PE PRODUS'!$S$115</f>
        <v>12.49</v>
      </c>
      <c r="AO113" s="83">
        <f>BX113+SCENARIU!$C$28+SCENARIU!$D$28+SCENARIU!$E$28+'AJUSTĂRI PE PRODUS'!$J$115+'AJUSTĂRI PE PRODUS'!$O$115+'AJUSTĂRI PE PRODUS'!$T$115</f>
        <v>14.49</v>
      </c>
      <c r="AP113" s="88">
        <f t="shared" si="246"/>
        <v>2322.5206611570252</v>
      </c>
      <c r="AQ113" s="88">
        <f t="shared" si="247"/>
        <v>814.31404958677695</v>
      </c>
      <c r="AR113" s="88">
        <f t="shared" si="248"/>
        <v>3136.8347107438021</v>
      </c>
      <c r="AS113" s="89">
        <f t="shared" si="249"/>
        <v>0.41182820235168888</v>
      </c>
      <c r="AT113" s="89">
        <f t="shared" si="250"/>
        <v>0.42713290632505996</v>
      </c>
      <c r="AU113" s="89">
        <f t="shared" si="251"/>
        <v>0.36817736369910281</v>
      </c>
      <c r="AV113" s="83">
        <f>BY113+SCENARIU!$C$28+SCENARIU!$D$28+SCENARIU!$E$28+SCENARIU!$F$28+'AJUSTĂRI PE PRODUS'!$I$115+'AJUSTĂRI PE PRODUS'!$N$115+'AJUSTĂRI PE PRODUS'!$S$115+'AJUSTĂRI PE PRODUS'!$X$115</f>
        <v>12.99</v>
      </c>
      <c r="AW113" s="83">
        <f>BZ113+SCENARIU!$C$28+SCENARIU!$D$28+SCENARIU!$E$28+SCENARIU!$F$28+'AJUSTĂRI PE PRODUS'!$J$115+'AJUSTĂRI PE PRODUS'!$O$115+'AJUSTĂRI PE PRODUS'!$T$115+'AJUSTĂRI PE PRODUS'!$Y$115</f>
        <v>14.99</v>
      </c>
      <c r="AX113" s="90">
        <f t="shared" si="252"/>
        <v>2415.4958677685954</v>
      </c>
      <c r="AY113" s="90">
        <f t="shared" si="253"/>
        <v>842.41322314049592</v>
      </c>
      <c r="AZ113" s="90">
        <f t="shared" si="254"/>
        <v>3257.9090909090914</v>
      </c>
      <c r="BA113" s="91">
        <f t="shared" si="255"/>
        <v>0.39652334179758342</v>
      </c>
      <c r="BB113" s="91">
        <f t="shared" si="256"/>
        <v>0.41069207082371045</v>
      </c>
      <c r="BC113" s="91">
        <f t="shared" si="257"/>
        <v>0.3558965977318212</v>
      </c>
      <c r="BD113" s="92">
        <f t="shared" si="258"/>
        <v>0.99000000000000021</v>
      </c>
      <c r="BE113" s="92">
        <f t="shared" si="259"/>
        <v>0</v>
      </c>
      <c r="BF113" s="92">
        <f t="shared" si="260"/>
        <v>1</v>
      </c>
      <c r="BG113" s="92">
        <f t="shared" si="261"/>
        <v>0.5</v>
      </c>
      <c r="BH113" s="92">
        <f t="shared" si="262"/>
        <v>0.5</v>
      </c>
      <c r="BI113" s="93">
        <f t="shared" si="263"/>
        <v>2.99</v>
      </c>
      <c r="BJ113" s="92">
        <f t="shared" si="264"/>
        <v>0.99000000000000021</v>
      </c>
      <c r="BK113" s="92">
        <f t="shared" si="265"/>
        <v>0</v>
      </c>
      <c r="BL113" s="92">
        <f t="shared" si="266"/>
        <v>1</v>
      </c>
      <c r="BM113" s="92">
        <f t="shared" si="267"/>
        <v>0.5</v>
      </c>
      <c r="BN113" s="92">
        <f t="shared" si="268"/>
        <v>0.5</v>
      </c>
      <c r="BO113" s="93">
        <f t="shared" si="269"/>
        <v>2.99</v>
      </c>
      <c r="BQ113">
        <v>10.99</v>
      </c>
      <c r="BR113">
        <v>12.99</v>
      </c>
      <c r="BS113">
        <v>10.99</v>
      </c>
      <c r="BT113">
        <v>12.99</v>
      </c>
      <c r="BU113">
        <v>11.99</v>
      </c>
      <c r="BV113">
        <v>13.99</v>
      </c>
      <c r="BW113">
        <v>12.49</v>
      </c>
      <c r="BX113">
        <v>14.49</v>
      </c>
      <c r="BY113">
        <v>12.99</v>
      </c>
      <c r="BZ113">
        <v>14.99</v>
      </c>
    </row>
    <row r="114" spans="1:78" x14ac:dyDescent="0.2">
      <c r="A114" s="26">
        <v>22</v>
      </c>
      <c r="B114" s="26" t="s">
        <v>260</v>
      </c>
      <c r="C114" s="26" t="s">
        <v>103</v>
      </c>
      <c r="D114" s="74">
        <v>1</v>
      </c>
      <c r="E114" s="75">
        <v>21</v>
      </c>
      <c r="F114" s="76">
        <v>0</v>
      </c>
      <c r="G114" s="76">
        <v>665</v>
      </c>
      <c r="H114" s="77">
        <f>SUMIFS(RETETAR!$I$4:$I$967,RETETAR!$A$4:$A$967,$M114,RETETAR!$C$4:$C$967,"AMBELE")+SUMIFS(RETETAR!$I$4:$I$967,RETETAR!$A$4:$A$967,$M114,RETETAR!$C$4:$C$967,"INSTORE")</f>
        <v>0.64300000000000002</v>
      </c>
      <c r="I114" s="77">
        <f>SUMIFS(RETETAR!$I$4:$I$967,RETETAR!$A$4:$A$967,$M114,RETETAR!$C$4:$C$967,"AMBELE")+SUMIFS(RETETAR!$I$4:$I$967,RETETAR!$A$4:$A$967,$M114,RETETAR!$C$4:$C$967,"DELIVERY")</f>
        <v>0.64300000000000002</v>
      </c>
      <c r="J114" s="78">
        <f t="shared" si="225"/>
        <v>0</v>
      </c>
      <c r="K114" s="78">
        <f t="shared" si="226"/>
        <v>427.59500000000003</v>
      </c>
      <c r="L114" s="78">
        <f t="shared" si="227"/>
        <v>427.59500000000003</v>
      </c>
      <c r="M114" t="s">
        <v>260</v>
      </c>
      <c r="N114" s="79">
        <v>4.99</v>
      </c>
      <c r="O114" s="79">
        <v>4.99</v>
      </c>
      <c r="P114" s="80">
        <v>4.99</v>
      </c>
      <c r="Q114" s="80">
        <v>4.99</v>
      </c>
      <c r="R114" s="81">
        <f t="shared" si="228"/>
        <v>0</v>
      </c>
      <c r="S114" s="81">
        <f t="shared" si="229"/>
        <v>2742.4380165289263</v>
      </c>
      <c r="T114" s="81">
        <f t="shared" si="230"/>
        <v>2742.4380165289263</v>
      </c>
      <c r="U114" s="82">
        <f t="shared" si="231"/>
        <v>0.15591783567134265</v>
      </c>
      <c r="V114" s="82" t="str">
        <f t="shared" si="232"/>
        <v/>
      </c>
      <c r="W114" s="82">
        <f t="shared" si="233"/>
        <v>0.15591783567134265</v>
      </c>
      <c r="X114" s="83">
        <f>BS114+SCENARIU!$C$28+'AJUSTĂRI PE PRODUS'!$I$102</f>
        <v>4.99</v>
      </c>
      <c r="Y114" s="83">
        <f>BT114+SCENARIU!$C$28+'AJUSTĂRI PE PRODUS'!$J$102</f>
        <v>4.99</v>
      </c>
      <c r="Z114" s="84">
        <f t="shared" si="234"/>
        <v>0</v>
      </c>
      <c r="AA114" s="84">
        <f t="shared" si="235"/>
        <v>2742.4380165289263</v>
      </c>
      <c r="AB114" s="84">
        <f t="shared" si="236"/>
        <v>2742.4380165289263</v>
      </c>
      <c r="AC114" s="85">
        <f t="shared" si="237"/>
        <v>0.15591783567134265</v>
      </c>
      <c r="AD114" s="85" t="str">
        <f t="shared" si="238"/>
        <v/>
      </c>
      <c r="AE114" s="85">
        <f t="shared" si="239"/>
        <v>0.15591783567134265</v>
      </c>
      <c r="AF114" s="83">
        <f>BU114+SCENARIU!$C$28+SCENARIU!$D$28+'AJUSTĂRI PE PRODUS'!$I$102+'AJUSTĂRI PE PRODUS'!$N$102</f>
        <v>4.99</v>
      </c>
      <c r="AG114" s="83">
        <f>BV114+SCENARIU!$C$28+SCENARIU!$D$28+'AJUSTĂRI PE PRODUS'!$J$102+'AJUSTĂRI PE PRODUS'!$O$102</f>
        <v>4.99</v>
      </c>
      <c r="AH114" s="86">
        <f t="shared" si="240"/>
        <v>0</v>
      </c>
      <c r="AI114" s="86">
        <f t="shared" si="241"/>
        <v>2742.4380165289263</v>
      </c>
      <c r="AJ114" s="86">
        <f t="shared" si="242"/>
        <v>2742.4380165289263</v>
      </c>
      <c r="AK114" s="87">
        <f t="shared" si="243"/>
        <v>0.15591783567134265</v>
      </c>
      <c r="AL114" s="87" t="str">
        <f t="shared" si="244"/>
        <v/>
      </c>
      <c r="AM114" s="87">
        <f t="shared" si="245"/>
        <v>0.15591783567134265</v>
      </c>
      <c r="AN114" s="83">
        <f>BW114+SCENARIU!$C$28+SCENARIU!$D$28+SCENARIU!$E$28+'AJUSTĂRI PE PRODUS'!$I$102+'AJUSTĂRI PE PRODUS'!$N$102+'AJUSTĂRI PE PRODUS'!$S$102</f>
        <v>4.99</v>
      </c>
      <c r="AO114" s="83">
        <f>BX114+SCENARIU!$C$28+SCENARIU!$D$28+SCENARIU!$E$28+'AJUSTĂRI PE PRODUS'!$J$102+'AJUSTĂRI PE PRODUS'!$O$102+'AJUSTĂRI PE PRODUS'!$T$102</f>
        <v>4.99</v>
      </c>
      <c r="AP114" s="88">
        <f t="shared" si="246"/>
        <v>0</v>
      </c>
      <c r="AQ114" s="88">
        <f t="shared" si="247"/>
        <v>2742.4380165289263</v>
      </c>
      <c r="AR114" s="88">
        <f t="shared" si="248"/>
        <v>2742.4380165289263</v>
      </c>
      <c r="AS114" s="89">
        <f t="shared" si="249"/>
        <v>0.15591783567134265</v>
      </c>
      <c r="AT114" s="89" t="str">
        <f t="shared" si="250"/>
        <v/>
      </c>
      <c r="AU114" s="89">
        <f t="shared" si="251"/>
        <v>0.15591783567134265</v>
      </c>
      <c r="AV114" s="83">
        <f>BY114+SCENARIU!$C$28+SCENARIU!$D$28+SCENARIU!$E$28+SCENARIU!$F$28+'AJUSTĂRI PE PRODUS'!$I$102+'AJUSTĂRI PE PRODUS'!$N$102+'AJUSTĂRI PE PRODUS'!$S$102+'AJUSTĂRI PE PRODUS'!$X$102</f>
        <v>4.99</v>
      </c>
      <c r="AW114" s="83">
        <f>BZ114+SCENARIU!$C$28+SCENARIU!$D$28+SCENARIU!$E$28+SCENARIU!$F$28+'AJUSTĂRI PE PRODUS'!$J$102+'AJUSTĂRI PE PRODUS'!$O$102+'AJUSTĂRI PE PRODUS'!$T$102+'AJUSTĂRI PE PRODUS'!$Y$102</f>
        <v>4.99</v>
      </c>
      <c r="AX114" s="90">
        <f t="shared" si="252"/>
        <v>0</v>
      </c>
      <c r="AY114" s="90">
        <f t="shared" si="253"/>
        <v>2742.4380165289263</v>
      </c>
      <c r="AZ114" s="90">
        <f t="shared" si="254"/>
        <v>2742.4380165289263</v>
      </c>
      <c r="BA114" s="91">
        <f t="shared" si="255"/>
        <v>0.15591783567134265</v>
      </c>
      <c r="BB114" s="91" t="str">
        <f t="shared" si="256"/>
        <v/>
      </c>
      <c r="BC114" s="91">
        <f t="shared" si="257"/>
        <v>0.15591783567134265</v>
      </c>
      <c r="BD114" s="92">
        <f t="shared" si="258"/>
        <v>0</v>
      </c>
      <c r="BE114" s="92">
        <f t="shared" si="259"/>
        <v>0</v>
      </c>
      <c r="BF114" s="92">
        <f t="shared" si="260"/>
        <v>0</v>
      </c>
      <c r="BG114" s="92">
        <f t="shared" si="261"/>
        <v>0</v>
      </c>
      <c r="BH114" s="92">
        <f t="shared" si="262"/>
        <v>0</v>
      </c>
      <c r="BI114" s="93">
        <f t="shared" si="263"/>
        <v>0</v>
      </c>
      <c r="BJ114" s="92">
        <f t="shared" si="264"/>
        <v>0</v>
      </c>
      <c r="BK114" s="92">
        <f t="shared" si="265"/>
        <v>0</v>
      </c>
      <c r="BL114" s="92">
        <f t="shared" si="266"/>
        <v>0</v>
      </c>
      <c r="BM114" s="92">
        <f t="shared" si="267"/>
        <v>0</v>
      </c>
      <c r="BN114" s="92">
        <f t="shared" si="268"/>
        <v>0</v>
      </c>
      <c r="BO114" s="93">
        <f t="shared" si="269"/>
        <v>0</v>
      </c>
      <c r="BQ114">
        <v>4.99</v>
      </c>
      <c r="BR114">
        <v>4.99</v>
      </c>
      <c r="BS114">
        <v>4.99</v>
      </c>
      <c r="BT114">
        <v>4.99</v>
      </c>
      <c r="BU114">
        <v>4.99</v>
      </c>
      <c r="BV114">
        <v>4.99</v>
      </c>
      <c r="BW114">
        <v>4.99</v>
      </c>
      <c r="BX114">
        <v>4.99</v>
      </c>
      <c r="BY114">
        <v>4.99</v>
      </c>
      <c r="BZ114">
        <v>4.99</v>
      </c>
    </row>
    <row r="115" spans="1:78" x14ac:dyDescent="0.2">
      <c r="A115" s="26">
        <v>23</v>
      </c>
      <c r="B115" s="26" t="s">
        <v>266</v>
      </c>
      <c r="C115" s="26" t="s">
        <v>103</v>
      </c>
      <c r="D115" s="74">
        <v>1</v>
      </c>
      <c r="E115" s="75">
        <v>21</v>
      </c>
      <c r="F115" s="76">
        <v>202</v>
      </c>
      <c r="G115" s="76">
        <v>0</v>
      </c>
      <c r="H115" s="77">
        <f>SUMIFS(RETETAR!$I$4:$I$967,RETETAR!$A$4:$A$967,$M115,RETETAR!$C$4:$C$967,"AMBELE")+SUMIFS(RETETAR!$I$4:$I$967,RETETAR!$A$4:$A$967,$M115,RETETAR!$C$4:$C$967,"INSTORE")</f>
        <v>3.2649397048000002</v>
      </c>
      <c r="I115" s="77">
        <f>SUMIFS(RETETAR!$I$4:$I$967,RETETAR!$A$4:$A$967,$M115,RETETAR!$C$4:$C$967,"AMBELE")+SUMIFS(RETETAR!$I$4:$I$967,RETETAR!$A$4:$A$967,$M115,RETETAR!$C$4:$C$967,"DELIVERY")</f>
        <v>0</v>
      </c>
      <c r="J115" s="78">
        <f t="shared" si="225"/>
        <v>659.51782036960003</v>
      </c>
      <c r="K115" s="78">
        <f t="shared" si="226"/>
        <v>0</v>
      </c>
      <c r="L115" s="78">
        <f t="shared" si="227"/>
        <v>659.51782036960003</v>
      </c>
      <c r="M115" t="s">
        <v>266</v>
      </c>
      <c r="N115" s="79">
        <v>13</v>
      </c>
      <c r="O115" s="79"/>
      <c r="P115" s="80">
        <v>13.99</v>
      </c>
      <c r="Q115" s="80"/>
      <c r="R115" s="81">
        <f t="shared" si="228"/>
        <v>2335.5206611570247</v>
      </c>
      <c r="S115" s="81">
        <f t="shared" si="229"/>
        <v>0</v>
      </c>
      <c r="T115" s="81">
        <f t="shared" si="230"/>
        <v>2335.5206611570247</v>
      </c>
      <c r="U115" s="82">
        <f t="shared" si="231"/>
        <v>0.28238577861386704</v>
      </c>
      <c r="V115" s="82">
        <f t="shared" si="232"/>
        <v>0.28238577861386704</v>
      </c>
      <c r="W115" s="82" t="str">
        <f t="shared" si="233"/>
        <v/>
      </c>
      <c r="X115" s="83">
        <f>BS115+SCENARIU!$C$28+'AJUSTĂRI PE PRODUS'!$I$126</f>
        <v>13.99</v>
      </c>
      <c r="Y115" s="83"/>
      <c r="Z115" s="84">
        <f t="shared" si="234"/>
        <v>2335.5206611570247</v>
      </c>
      <c r="AA115" s="84">
        <f t="shared" si="235"/>
        <v>0</v>
      </c>
      <c r="AB115" s="84">
        <f t="shared" si="236"/>
        <v>2335.5206611570247</v>
      </c>
      <c r="AC115" s="85">
        <f t="shared" si="237"/>
        <v>0.28238577861386704</v>
      </c>
      <c r="AD115" s="85">
        <f t="shared" si="238"/>
        <v>0.28238577861386704</v>
      </c>
      <c r="AE115" s="85" t="str">
        <f t="shared" si="239"/>
        <v/>
      </c>
      <c r="AF115" s="83">
        <f>BU115+SCENARIU!$C$28+SCENARIU!$D$28+'AJUSTĂRI PE PRODUS'!$I$126+'AJUSTĂRI PE PRODUS'!$N$126</f>
        <v>14.99</v>
      </c>
      <c r="AG115" s="83"/>
      <c r="AH115" s="86">
        <f t="shared" si="240"/>
        <v>2502.4628099173556</v>
      </c>
      <c r="AI115" s="86">
        <f t="shared" si="241"/>
        <v>0</v>
      </c>
      <c r="AJ115" s="86">
        <f t="shared" si="242"/>
        <v>2502.4628099173556</v>
      </c>
      <c r="AK115" s="87">
        <f t="shared" si="243"/>
        <v>0.26354750118799197</v>
      </c>
      <c r="AL115" s="87">
        <f t="shared" si="244"/>
        <v>0.26354750118799197</v>
      </c>
      <c r="AM115" s="87" t="str">
        <f t="shared" si="245"/>
        <v/>
      </c>
      <c r="AN115" s="83">
        <f>BW115+SCENARIU!$C$28+SCENARIU!$D$28+SCENARIU!$E$28+'AJUSTĂRI PE PRODUS'!$I$126+'AJUSTĂRI PE PRODUS'!$N$126+'AJUSTĂRI PE PRODUS'!$S$126</f>
        <v>15.49</v>
      </c>
      <c r="AO115" s="83"/>
      <c r="AP115" s="88">
        <f t="shared" si="246"/>
        <v>2585.9338842975208</v>
      </c>
      <c r="AQ115" s="88">
        <f t="shared" si="247"/>
        <v>0</v>
      </c>
      <c r="AR115" s="88">
        <f t="shared" si="248"/>
        <v>2585.9338842975208</v>
      </c>
      <c r="AS115" s="89">
        <f t="shared" si="249"/>
        <v>0.25504048049115557</v>
      </c>
      <c r="AT115" s="89">
        <f t="shared" si="250"/>
        <v>0.25504048049115557</v>
      </c>
      <c r="AU115" s="89" t="str">
        <f t="shared" si="251"/>
        <v/>
      </c>
      <c r="AV115" s="83">
        <f>BY115+SCENARIU!$C$28+SCENARIU!$D$28+SCENARIU!$E$28+SCENARIU!$F$28+'AJUSTĂRI PE PRODUS'!$I$126+'AJUSTĂRI PE PRODUS'!$N$126+'AJUSTĂRI PE PRODUS'!$S$126+'AJUSTĂRI PE PRODUS'!$X$126</f>
        <v>15.99</v>
      </c>
      <c r="AW115" s="83"/>
      <c r="AX115" s="90">
        <f t="shared" si="252"/>
        <v>2669.404958677686</v>
      </c>
      <c r="AY115" s="90">
        <f t="shared" si="253"/>
        <v>0</v>
      </c>
      <c r="AZ115" s="90">
        <f t="shared" si="254"/>
        <v>2669.404958677686</v>
      </c>
      <c r="BA115" s="91">
        <f t="shared" si="255"/>
        <v>0.24706548110118826</v>
      </c>
      <c r="BB115" s="91">
        <f t="shared" si="256"/>
        <v>0.24706548110118826</v>
      </c>
      <c r="BC115" s="91" t="str">
        <f t="shared" si="257"/>
        <v/>
      </c>
      <c r="BD115" s="92">
        <f t="shared" si="258"/>
        <v>0.99000000000000021</v>
      </c>
      <c r="BE115" s="92">
        <f t="shared" si="259"/>
        <v>0</v>
      </c>
      <c r="BF115" s="92">
        <f t="shared" si="260"/>
        <v>1</v>
      </c>
      <c r="BG115" s="92">
        <f t="shared" si="261"/>
        <v>0.5</v>
      </c>
      <c r="BH115" s="92">
        <f t="shared" si="262"/>
        <v>0.5</v>
      </c>
      <c r="BI115" s="93">
        <f t="shared" si="263"/>
        <v>2.99</v>
      </c>
      <c r="BJ115" s="92" t="str">
        <f t="shared" si="264"/>
        <v/>
      </c>
      <c r="BK115" s="92" t="str">
        <f t="shared" si="265"/>
        <v/>
      </c>
      <c r="BL115" s="92" t="str">
        <f t="shared" si="266"/>
        <v/>
      </c>
      <c r="BM115" s="92" t="str">
        <f t="shared" si="267"/>
        <v/>
      </c>
      <c r="BN115" s="92" t="str">
        <f t="shared" si="268"/>
        <v/>
      </c>
      <c r="BO115" s="93" t="str">
        <f t="shared" si="269"/>
        <v/>
      </c>
      <c r="BQ115">
        <v>13.99</v>
      </c>
      <c r="BS115">
        <v>13.99</v>
      </c>
      <c r="BU115">
        <v>14.99</v>
      </c>
      <c r="BW115">
        <v>15.49</v>
      </c>
      <c r="BY115">
        <v>15.99</v>
      </c>
    </row>
    <row r="116" spans="1:78" x14ac:dyDescent="0.2">
      <c r="A116" s="26">
        <v>24</v>
      </c>
      <c r="B116" s="26" t="s">
        <v>267</v>
      </c>
      <c r="C116" s="26" t="s">
        <v>103</v>
      </c>
      <c r="D116" s="74">
        <v>1</v>
      </c>
      <c r="E116" s="75">
        <v>21</v>
      </c>
      <c r="F116" s="76">
        <v>105</v>
      </c>
      <c r="G116" s="76">
        <v>55</v>
      </c>
      <c r="H116" s="77">
        <f>SUMIFS(RETETAR!$I$4:$I$967,RETETAR!$A$4:$A$967,$M116,RETETAR!$C$4:$C$967,"AMBELE")+SUMIFS(RETETAR!$I$4:$I$967,RETETAR!$A$4:$A$967,$M116,RETETAR!$C$4:$C$967,"INSTORE")</f>
        <v>6.23</v>
      </c>
      <c r="I116" s="77">
        <f>SUMIFS(RETETAR!$I$4:$I$967,RETETAR!$A$4:$A$967,$M116,RETETAR!$C$4:$C$967,"AMBELE")+SUMIFS(RETETAR!$I$4:$I$967,RETETAR!$A$4:$A$967,$M116,RETETAR!$C$4:$C$967,"DELIVERY")</f>
        <v>6.23</v>
      </c>
      <c r="J116" s="78">
        <f t="shared" si="225"/>
        <v>654.15000000000009</v>
      </c>
      <c r="K116" s="78">
        <f t="shared" si="226"/>
        <v>342.65000000000003</v>
      </c>
      <c r="L116" s="78">
        <f t="shared" si="227"/>
        <v>996.80000000000018</v>
      </c>
      <c r="M116" t="s">
        <v>267</v>
      </c>
      <c r="N116" s="79">
        <v>15</v>
      </c>
      <c r="O116" s="79">
        <v>18</v>
      </c>
      <c r="P116" s="80">
        <v>15.99</v>
      </c>
      <c r="Q116" s="80">
        <v>18.989999999999998</v>
      </c>
      <c r="R116" s="81">
        <f t="shared" si="228"/>
        <v>1387.5619834710744</v>
      </c>
      <c r="S116" s="81">
        <f t="shared" si="229"/>
        <v>863.18181818181813</v>
      </c>
      <c r="T116" s="81">
        <f t="shared" si="230"/>
        <v>2250.7438016528927</v>
      </c>
      <c r="U116" s="82">
        <f t="shared" si="231"/>
        <v>0.44287581699346412</v>
      </c>
      <c r="V116" s="82">
        <f t="shared" si="232"/>
        <v>0.47143839899937467</v>
      </c>
      <c r="W116" s="82">
        <f t="shared" si="233"/>
        <v>0.39696155871511329</v>
      </c>
      <c r="X116" s="83">
        <f>BS116+SCENARIU!$C$28+'AJUSTĂRI PE PRODUS'!$I$128</f>
        <v>15.99</v>
      </c>
      <c r="Y116" s="83">
        <f>BT116+SCENARIU!$C$28+'AJUSTĂRI PE PRODUS'!$J$128</f>
        <v>18.989999999999998</v>
      </c>
      <c r="Z116" s="84">
        <f t="shared" si="234"/>
        <v>1387.5619834710744</v>
      </c>
      <c r="AA116" s="84">
        <f t="shared" si="235"/>
        <v>863.18181818181813</v>
      </c>
      <c r="AB116" s="84">
        <f t="shared" si="236"/>
        <v>2250.7438016528927</v>
      </c>
      <c r="AC116" s="85">
        <f t="shared" si="237"/>
        <v>0.44287581699346412</v>
      </c>
      <c r="AD116" s="85">
        <f t="shared" si="238"/>
        <v>0.47143839899937467</v>
      </c>
      <c r="AE116" s="85">
        <f t="shared" si="239"/>
        <v>0.39696155871511329</v>
      </c>
      <c r="AF116" s="83">
        <f>BU116+SCENARIU!$C$28+SCENARIU!$D$28+'AJUSTĂRI PE PRODUS'!$I$128+'AJUSTĂRI PE PRODUS'!$N$128</f>
        <v>16.989999999999998</v>
      </c>
      <c r="AG116" s="83">
        <f>BV116+SCENARIU!$C$28+SCENARIU!$D$28+'AJUSTĂRI PE PRODUS'!$J$128+'AJUSTĂRI PE PRODUS'!$O$128</f>
        <v>19.989999999999998</v>
      </c>
      <c r="AH116" s="86">
        <f t="shared" si="240"/>
        <v>1474.3388429752065</v>
      </c>
      <c r="AI116" s="86">
        <f t="shared" si="241"/>
        <v>908.63636363636363</v>
      </c>
      <c r="AJ116" s="86">
        <f t="shared" si="242"/>
        <v>2382.9752066115702</v>
      </c>
      <c r="AK116" s="87">
        <f t="shared" si="243"/>
        <v>0.4183006173267671</v>
      </c>
      <c r="AL116" s="87">
        <f t="shared" si="244"/>
        <v>0.44369040612124788</v>
      </c>
      <c r="AM116" s="87">
        <f t="shared" si="245"/>
        <v>0.377103551775888</v>
      </c>
      <c r="AN116" s="83">
        <f>BW116+SCENARIU!$C$28+SCENARIU!$D$28+SCENARIU!$E$28+'AJUSTĂRI PE PRODUS'!$I$128+'AJUSTĂRI PE PRODUS'!$N$128+'AJUSTĂRI PE PRODUS'!$S$128</f>
        <v>17.489999999999998</v>
      </c>
      <c r="AO116" s="83">
        <f>BX116+SCENARIU!$C$28+SCENARIU!$D$28+SCENARIU!$E$28+'AJUSTĂRI PE PRODUS'!$J$128+'AJUSTĂRI PE PRODUS'!$O$128+'AJUSTĂRI PE PRODUS'!$T$128</f>
        <v>20.49</v>
      </c>
      <c r="AP116" s="88">
        <f t="shared" si="246"/>
        <v>1517.7272727272725</v>
      </c>
      <c r="AQ116" s="88">
        <f t="shared" si="247"/>
        <v>931.36363636363626</v>
      </c>
      <c r="AR116" s="88">
        <f t="shared" si="248"/>
        <v>2449.090909090909</v>
      </c>
      <c r="AS116" s="89">
        <f t="shared" si="249"/>
        <v>0.40700816629547149</v>
      </c>
      <c r="AT116" s="89">
        <f t="shared" si="250"/>
        <v>0.43100628930817619</v>
      </c>
      <c r="AU116" s="89">
        <f t="shared" si="251"/>
        <v>0.36790141532454862</v>
      </c>
      <c r="AV116" s="83">
        <f>BY116+SCENARIU!$C$28+SCENARIU!$D$28+SCENARIU!$E$28+SCENARIU!$F$28+'AJUSTĂRI PE PRODUS'!$I$128+'AJUSTĂRI PE PRODUS'!$N$128+'AJUSTĂRI PE PRODUS'!$S$128+'AJUSTĂRI PE PRODUS'!$X$128</f>
        <v>17.989999999999998</v>
      </c>
      <c r="AW116" s="83">
        <f>BZ116+SCENARIU!$C$28+SCENARIU!$D$28+SCENARIU!$E$28+SCENARIU!$F$28+'AJUSTĂRI PE PRODUS'!$J$128+'AJUSTĂRI PE PRODUS'!$O$128+'AJUSTĂRI PE PRODUS'!$T$128+'AJUSTĂRI PE PRODUS'!$Y$128</f>
        <v>20.99</v>
      </c>
      <c r="AX116" s="90">
        <f t="shared" si="252"/>
        <v>1561.1157024793388</v>
      </c>
      <c r="AY116" s="90">
        <f t="shared" si="253"/>
        <v>954.09090909090912</v>
      </c>
      <c r="AZ116" s="90">
        <f t="shared" si="254"/>
        <v>2515.2066115702478</v>
      </c>
      <c r="BA116" s="91">
        <f t="shared" si="255"/>
        <v>0.39630939081290673</v>
      </c>
      <c r="BB116" s="91">
        <f t="shared" si="256"/>
        <v>0.4190272373540857</v>
      </c>
      <c r="BC116" s="91">
        <f t="shared" si="257"/>
        <v>0.35913768461171991</v>
      </c>
      <c r="BD116" s="92">
        <f t="shared" si="258"/>
        <v>0.99000000000000021</v>
      </c>
      <c r="BE116" s="92">
        <f t="shared" si="259"/>
        <v>0</v>
      </c>
      <c r="BF116" s="92">
        <f t="shared" si="260"/>
        <v>0.99999999999999822</v>
      </c>
      <c r="BG116" s="92">
        <f t="shared" si="261"/>
        <v>0.5</v>
      </c>
      <c r="BH116" s="92">
        <f t="shared" si="262"/>
        <v>0.5</v>
      </c>
      <c r="BI116" s="93">
        <f t="shared" si="263"/>
        <v>2.9899999999999984</v>
      </c>
      <c r="BJ116" s="92">
        <f t="shared" si="264"/>
        <v>0.98999999999999844</v>
      </c>
      <c r="BK116" s="92">
        <f t="shared" si="265"/>
        <v>0</v>
      </c>
      <c r="BL116" s="92">
        <f t="shared" si="266"/>
        <v>1</v>
      </c>
      <c r="BM116" s="92">
        <f t="shared" si="267"/>
        <v>0.5</v>
      </c>
      <c r="BN116" s="92">
        <f t="shared" si="268"/>
        <v>0.5</v>
      </c>
      <c r="BO116" s="93">
        <f t="shared" si="269"/>
        <v>2.9899999999999984</v>
      </c>
      <c r="BQ116">
        <v>15.99</v>
      </c>
      <c r="BR116">
        <v>18.989999999999998</v>
      </c>
      <c r="BS116">
        <v>15.99</v>
      </c>
      <c r="BT116">
        <v>18.989999999999998</v>
      </c>
      <c r="BU116">
        <v>16.989999999999998</v>
      </c>
      <c r="BV116">
        <v>19.989999999999998</v>
      </c>
      <c r="BW116">
        <v>17.489999999999998</v>
      </c>
      <c r="BX116">
        <v>20.49</v>
      </c>
      <c r="BY116">
        <v>17.989999999999998</v>
      </c>
      <c r="BZ116">
        <v>20.99</v>
      </c>
    </row>
    <row r="117" spans="1:78" x14ac:dyDescent="0.2">
      <c r="A117" s="26">
        <v>25</v>
      </c>
      <c r="B117" s="26" t="s">
        <v>270</v>
      </c>
      <c r="C117" s="26" t="s">
        <v>103</v>
      </c>
      <c r="D117" s="74">
        <v>1</v>
      </c>
      <c r="E117" s="75">
        <v>21</v>
      </c>
      <c r="F117" s="76">
        <v>0</v>
      </c>
      <c r="G117" s="76">
        <v>235</v>
      </c>
      <c r="H117" s="77">
        <f>SUMIFS(RETETAR!$I$4:$I$967,RETETAR!$A$4:$A$967,$M117,RETETAR!$C$4:$C$967,"AMBELE")+SUMIFS(RETETAR!$I$4:$I$967,RETETAR!$A$4:$A$967,$M117,RETETAR!$C$4:$C$967,"INSTORE")</f>
        <v>0</v>
      </c>
      <c r="I117" s="77">
        <f>SUMIFS(RETETAR!$I$4:$I$967,RETETAR!$A$4:$A$967,$M117,RETETAR!$C$4:$C$967,"AMBELE")+SUMIFS(RETETAR!$I$4:$I$967,RETETAR!$A$4:$A$967,$M117,RETETAR!$C$4:$C$967,"DELIVERY")</f>
        <v>3.7360000000000002</v>
      </c>
      <c r="J117" s="78">
        <f t="shared" si="225"/>
        <v>0</v>
      </c>
      <c r="K117" s="78">
        <f t="shared" si="226"/>
        <v>877.96</v>
      </c>
      <c r="L117" s="78">
        <f t="shared" si="227"/>
        <v>877.96</v>
      </c>
      <c r="M117" t="s">
        <v>270</v>
      </c>
      <c r="N117" s="79"/>
      <c r="O117" s="79">
        <v>9.5</v>
      </c>
      <c r="P117" s="80"/>
      <c r="Q117" s="80">
        <v>10.49</v>
      </c>
      <c r="R117" s="81">
        <f t="shared" si="228"/>
        <v>0</v>
      </c>
      <c r="S117" s="81">
        <f t="shared" si="229"/>
        <v>2037.3140495867772</v>
      </c>
      <c r="T117" s="81">
        <f t="shared" si="230"/>
        <v>2037.3140495867772</v>
      </c>
      <c r="U117" s="82">
        <f t="shared" si="231"/>
        <v>0.43093994280266917</v>
      </c>
      <c r="V117" s="82" t="str">
        <f t="shared" si="232"/>
        <v/>
      </c>
      <c r="W117" s="82">
        <f t="shared" si="233"/>
        <v>0.43093994280266917</v>
      </c>
      <c r="X117" s="83"/>
      <c r="Y117" s="83">
        <f>BT117+SCENARIU!$C$28+'AJUSTĂRI PE PRODUS'!$J$132</f>
        <v>10.49</v>
      </c>
      <c r="Z117" s="84">
        <f t="shared" si="234"/>
        <v>0</v>
      </c>
      <c r="AA117" s="84">
        <f t="shared" si="235"/>
        <v>2037.3140495867772</v>
      </c>
      <c r="AB117" s="84">
        <f t="shared" si="236"/>
        <v>2037.3140495867772</v>
      </c>
      <c r="AC117" s="85">
        <f t="shared" si="237"/>
        <v>0.43093994280266917</v>
      </c>
      <c r="AD117" s="85" t="str">
        <f t="shared" si="238"/>
        <v/>
      </c>
      <c r="AE117" s="85">
        <f t="shared" si="239"/>
        <v>0.43093994280266917</v>
      </c>
      <c r="AF117" s="83"/>
      <c r="AG117" s="83">
        <f>BV117+SCENARIU!$C$28+SCENARIU!$D$28+'AJUSTĂRI PE PRODUS'!$J$132+'AJUSTĂRI PE PRODUS'!$O$132</f>
        <v>11.49</v>
      </c>
      <c r="AH117" s="86">
        <f t="shared" si="240"/>
        <v>0</v>
      </c>
      <c r="AI117" s="86">
        <f t="shared" si="241"/>
        <v>2231.5289256198348</v>
      </c>
      <c r="AJ117" s="86">
        <f t="shared" si="242"/>
        <v>2231.5289256198348</v>
      </c>
      <c r="AK117" s="87">
        <f t="shared" si="243"/>
        <v>0.39343429068755437</v>
      </c>
      <c r="AL117" s="87" t="str">
        <f t="shared" si="244"/>
        <v/>
      </c>
      <c r="AM117" s="87">
        <f t="shared" si="245"/>
        <v>0.39343429068755437</v>
      </c>
      <c r="AN117" s="83"/>
      <c r="AO117" s="83">
        <f>BX117+SCENARIU!$C$28+SCENARIU!$D$28+SCENARIU!$E$28+'AJUSTĂRI PE PRODUS'!$J$132+'AJUSTĂRI PE PRODUS'!$O$132+'AJUSTĂRI PE PRODUS'!$T$132</f>
        <v>11.99</v>
      </c>
      <c r="AP117" s="88">
        <f t="shared" si="246"/>
        <v>0</v>
      </c>
      <c r="AQ117" s="88">
        <f t="shared" si="247"/>
        <v>2328.636363636364</v>
      </c>
      <c r="AR117" s="88">
        <f t="shared" si="248"/>
        <v>2328.636363636364</v>
      </c>
      <c r="AS117" s="89">
        <f t="shared" si="249"/>
        <v>0.37702752293577979</v>
      </c>
      <c r="AT117" s="89" t="str">
        <f t="shared" si="250"/>
        <v/>
      </c>
      <c r="AU117" s="89">
        <f t="shared" si="251"/>
        <v>0.37702752293577979</v>
      </c>
      <c r="AV117" s="83"/>
      <c r="AW117" s="83">
        <f>BZ117+SCENARIU!$C$28+SCENARIU!$D$28+SCENARIU!$E$28+SCENARIU!$F$28+'AJUSTĂRI PE PRODUS'!$J$132+'AJUSTĂRI PE PRODUS'!$O$132+'AJUSTĂRI PE PRODUS'!$T$132+'AJUSTĂRI PE PRODUS'!$Y$132</f>
        <v>12.49</v>
      </c>
      <c r="AX117" s="90">
        <f t="shared" si="252"/>
        <v>0</v>
      </c>
      <c r="AY117" s="90">
        <f t="shared" si="253"/>
        <v>2425.7438016528927</v>
      </c>
      <c r="AZ117" s="90">
        <f t="shared" si="254"/>
        <v>2425.7438016528927</v>
      </c>
      <c r="BA117" s="91">
        <f t="shared" si="255"/>
        <v>0.36193434747798237</v>
      </c>
      <c r="BB117" s="91" t="str">
        <f t="shared" si="256"/>
        <v/>
      </c>
      <c r="BC117" s="91">
        <f t="shared" si="257"/>
        <v>0.36193434747798237</v>
      </c>
      <c r="BD117" s="92" t="str">
        <f t="shared" si="258"/>
        <v/>
      </c>
      <c r="BE117" s="92" t="str">
        <f t="shared" si="259"/>
        <v/>
      </c>
      <c r="BF117" s="92" t="str">
        <f t="shared" si="260"/>
        <v/>
      </c>
      <c r="BG117" s="92" t="str">
        <f t="shared" si="261"/>
        <v/>
      </c>
      <c r="BH117" s="92" t="str">
        <f t="shared" si="262"/>
        <v/>
      </c>
      <c r="BI117" s="93" t="str">
        <f t="shared" si="263"/>
        <v/>
      </c>
      <c r="BJ117" s="92">
        <f t="shared" si="264"/>
        <v>0.99000000000000021</v>
      </c>
      <c r="BK117" s="92">
        <f t="shared" si="265"/>
        <v>0</v>
      </c>
      <c r="BL117" s="92">
        <f t="shared" si="266"/>
        <v>1</v>
      </c>
      <c r="BM117" s="92">
        <f t="shared" si="267"/>
        <v>0.5</v>
      </c>
      <c r="BN117" s="92">
        <f t="shared" si="268"/>
        <v>0.5</v>
      </c>
      <c r="BO117" s="93">
        <f t="shared" si="269"/>
        <v>2.99</v>
      </c>
      <c r="BR117">
        <v>10.49</v>
      </c>
      <c r="BT117">
        <v>10.49</v>
      </c>
      <c r="BV117">
        <v>11.49</v>
      </c>
      <c r="BX117">
        <v>11.99</v>
      </c>
      <c r="BZ117">
        <v>12.49</v>
      </c>
    </row>
    <row r="118" spans="1:78" x14ac:dyDescent="0.2">
      <c r="A118" s="26">
        <v>26</v>
      </c>
      <c r="B118" s="26" t="s">
        <v>276</v>
      </c>
      <c r="C118" s="26" t="s">
        <v>103</v>
      </c>
      <c r="D118" s="74">
        <v>1</v>
      </c>
      <c r="E118" s="75">
        <v>21</v>
      </c>
      <c r="F118" s="76">
        <v>158</v>
      </c>
      <c r="G118" s="76">
        <v>27</v>
      </c>
      <c r="H118" s="77">
        <f>SUMIFS(RETETAR!$I$4:$I$967,RETETAR!$A$4:$A$967,$M118,RETETAR!$C$4:$C$967,"AMBELE")+SUMIFS(RETETAR!$I$4:$I$967,RETETAR!$A$4:$A$967,$M118,RETETAR!$C$4:$C$967,"INSTORE")</f>
        <v>4.17</v>
      </c>
      <c r="I118" s="77">
        <f>SUMIFS(RETETAR!$I$4:$I$967,RETETAR!$A$4:$A$967,$M118,RETETAR!$C$4:$C$967,"AMBELE")+SUMIFS(RETETAR!$I$4:$I$967,RETETAR!$A$4:$A$967,$M118,RETETAR!$C$4:$C$967,"DELIVERY")</f>
        <v>4.17</v>
      </c>
      <c r="J118" s="78">
        <f t="shared" si="225"/>
        <v>658.86</v>
      </c>
      <c r="K118" s="78">
        <f t="shared" si="226"/>
        <v>112.59</v>
      </c>
      <c r="L118" s="78">
        <f t="shared" si="227"/>
        <v>771.45</v>
      </c>
      <c r="M118" t="s">
        <v>276</v>
      </c>
      <c r="N118" s="79">
        <v>10</v>
      </c>
      <c r="O118" s="79">
        <v>12</v>
      </c>
      <c r="P118" s="80">
        <v>10.99</v>
      </c>
      <c r="Q118" s="80">
        <v>12.99</v>
      </c>
      <c r="R118" s="81">
        <f t="shared" si="228"/>
        <v>1435.0578512396696</v>
      </c>
      <c r="S118" s="81">
        <f t="shared" si="229"/>
        <v>289.85950413223145</v>
      </c>
      <c r="T118" s="81">
        <f t="shared" si="230"/>
        <v>1724.9173553719011</v>
      </c>
      <c r="U118" s="82">
        <f t="shared" si="231"/>
        <v>0.44723881848453628</v>
      </c>
      <c r="V118" s="82">
        <f t="shared" si="232"/>
        <v>0.45911737943585074</v>
      </c>
      <c r="W118" s="82">
        <f t="shared" si="233"/>
        <v>0.38842956120092376</v>
      </c>
      <c r="X118" s="83">
        <f>BS118+SCENARIU!$C$28+'AJUSTĂRI PE PRODUS'!$I$131</f>
        <v>10.99</v>
      </c>
      <c r="Y118" s="83">
        <f>BT118+SCENARIU!$C$28+'AJUSTĂRI PE PRODUS'!$J$131</f>
        <v>12.99</v>
      </c>
      <c r="Z118" s="84">
        <f t="shared" si="234"/>
        <v>1435.0578512396696</v>
      </c>
      <c r="AA118" s="84">
        <f t="shared" si="235"/>
        <v>289.85950413223145</v>
      </c>
      <c r="AB118" s="84">
        <f t="shared" si="236"/>
        <v>1724.9173553719011</v>
      </c>
      <c r="AC118" s="85">
        <f t="shared" si="237"/>
        <v>0.44723881848453628</v>
      </c>
      <c r="AD118" s="85">
        <f t="shared" si="238"/>
        <v>0.45911737943585074</v>
      </c>
      <c r="AE118" s="85">
        <f t="shared" si="239"/>
        <v>0.38842956120092376</v>
      </c>
      <c r="AF118" s="83">
        <f>BU118+SCENARIU!$C$28+SCENARIU!$D$28+'AJUSTĂRI PE PRODUS'!$I$131+'AJUSTĂRI PE PRODUS'!$N$131</f>
        <v>11.99</v>
      </c>
      <c r="AG118" s="83">
        <f>BV118+SCENARIU!$C$28+SCENARIU!$D$28+'AJUSTĂRI PE PRODUS'!$J$131+'AJUSTĂRI PE PRODUS'!$O$131</f>
        <v>13.99</v>
      </c>
      <c r="AH118" s="86">
        <f t="shared" si="240"/>
        <v>1565.6363636363637</v>
      </c>
      <c r="AI118" s="86">
        <f t="shared" si="241"/>
        <v>312.17355371900828</v>
      </c>
      <c r="AJ118" s="86">
        <f t="shared" si="242"/>
        <v>1877.8099173553719</v>
      </c>
      <c r="AK118" s="87">
        <f t="shared" si="243"/>
        <v>0.41082432937966246</v>
      </c>
      <c r="AL118" s="87">
        <f t="shared" si="244"/>
        <v>0.42082568807339449</v>
      </c>
      <c r="AM118" s="87">
        <f t="shared" si="245"/>
        <v>0.36066476054324514</v>
      </c>
      <c r="AN118" s="83">
        <f>BW118+SCENARIU!$C$28+SCENARIU!$D$28+SCENARIU!$E$28+'AJUSTĂRI PE PRODUS'!$I$131+'AJUSTĂRI PE PRODUS'!$N$131+'AJUSTĂRI PE PRODUS'!$S$131</f>
        <v>12.49</v>
      </c>
      <c r="AO118" s="83">
        <f>BX118+SCENARIU!$C$28+SCENARIU!$D$28+SCENARIU!$E$28+'AJUSTĂRI PE PRODUS'!$J$131+'AJUSTĂRI PE PRODUS'!$O$131+'AJUSTĂRI PE PRODUS'!$T$131</f>
        <v>14.49</v>
      </c>
      <c r="AP118" s="88">
        <f t="shared" si="246"/>
        <v>1630.9256198347109</v>
      </c>
      <c r="AQ118" s="88">
        <f t="shared" si="247"/>
        <v>323.3305785123967</v>
      </c>
      <c r="AR118" s="88">
        <f t="shared" si="248"/>
        <v>1954.2561983471076</v>
      </c>
      <c r="AS118" s="89">
        <f t="shared" si="249"/>
        <v>0.39475376905673143</v>
      </c>
      <c r="AT118" s="89">
        <f t="shared" si="250"/>
        <v>0.40397918334667732</v>
      </c>
      <c r="AU118" s="89">
        <f t="shared" si="251"/>
        <v>0.34821946169772255</v>
      </c>
      <c r="AV118" s="83">
        <f>BY118+SCENARIU!$C$28+SCENARIU!$D$28+SCENARIU!$E$28+SCENARIU!$F$28+'AJUSTĂRI PE PRODUS'!$I$131+'AJUSTĂRI PE PRODUS'!$N$131+'AJUSTĂRI PE PRODUS'!$S$131+'AJUSTĂRI PE PRODUS'!$X$131</f>
        <v>12.99</v>
      </c>
      <c r="AW118" s="83">
        <f>BZ118+SCENARIU!$C$28+SCENARIU!$D$28+SCENARIU!$E$28+SCENARIU!$F$28+'AJUSTĂRI PE PRODUS'!$J$131+'AJUSTĂRI PE PRODUS'!$O$131+'AJUSTĂRI PE PRODUS'!$T$131+'AJUSTĂRI PE PRODUS'!$Y$131</f>
        <v>14.99</v>
      </c>
      <c r="AX118" s="90">
        <f t="shared" si="252"/>
        <v>1696.2148760330581</v>
      </c>
      <c r="AY118" s="90">
        <f t="shared" si="253"/>
        <v>334.48760330578511</v>
      </c>
      <c r="AZ118" s="90">
        <f t="shared" si="254"/>
        <v>2030.7024793388432</v>
      </c>
      <c r="BA118" s="91">
        <f t="shared" si="255"/>
        <v>0.37989316891520664</v>
      </c>
      <c r="BB118" s="91">
        <f t="shared" si="256"/>
        <v>0.38842956120092376</v>
      </c>
      <c r="BC118" s="91">
        <f t="shared" si="257"/>
        <v>0.3366044029352902</v>
      </c>
      <c r="BD118" s="92">
        <f t="shared" si="258"/>
        <v>0.99000000000000021</v>
      </c>
      <c r="BE118" s="92">
        <f t="shared" si="259"/>
        <v>0</v>
      </c>
      <c r="BF118" s="92">
        <f t="shared" si="260"/>
        <v>1</v>
      </c>
      <c r="BG118" s="92">
        <f t="shared" si="261"/>
        <v>0.5</v>
      </c>
      <c r="BH118" s="92">
        <f t="shared" si="262"/>
        <v>0.5</v>
      </c>
      <c r="BI118" s="93">
        <f t="shared" si="263"/>
        <v>2.99</v>
      </c>
      <c r="BJ118" s="92">
        <f t="shared" si="264"/>
        <v>0.99000000000000021</v>
      </c>
      <c r="BK118" s="92">
        <f t="shared" si="265"/>
        <v>0</v>
      </c>
      <c r="BL118" s="92">
        <f t="shared" si="266"/>
        <v>1</v>
      </c>
      <c r="BM118" s="92">
        <f t="shared" si="267"/>
        <v>0.5</v>
      </c>
      <c r="BN118" s="92">
        <f t="shared" si="268"/>
        <v>0.5</v>
      </c>
      <c r="BO118" s="93">
        <f t="shared" si="269"/>
        <v>2.99</v>
      </c>
      <c r="BQ118">
        <v>10.99</v>
      </c>
      <c r="BR118">
        <v>12.99</v>
      </c>
      <c r="BS118">
        <v>10.99</v>
      </c>
      <c r="BT118">
        <v>12.99</v>
      </c>
      <c r="BU118">
        <v>11.99</v>
      </c>
      <c r="BV118">
        <v>13.99</v>
      </c>
      <c r="BW118">
        <v>12.49</v>
      </c>
      <c r="BX118">
        <v>14.49</v>
      </c>
      <c r="BY118">
        <v>12.99</v>
      </c>
      <c r="BZ118">
        <v>14.99</v>
      </c>
    </row>
    <row r="119" spans="1:78" x14ac:dyDescent="0.2">
      <c r="A119" s="26">
        <v>27</v>
      </c>
      <c r="B119" s="26" t="s">
        <v>284</v>
      </c>
      <c r="C119" s="26" t="s">
        <v>103</v>
      </c>
      <c r="D119" s="74">
        <v>1</v>
      </c>
      <c r="E119" s="75">
        <v>21</v>
      </c>
      <c r="F119" s="76">
        <v>57</v>
      </c>
      <c r="G119" s="76">
        <v>55</v>
      </c>
      <c r="H119" s="77">
        <f>SUMIFS(RETETAR!$I$4:$I$967,RETETAR!$A$4:$A$967,$M119,RETETAR!$C$4:$C$967,"AMBELE")+SUMIFS(RETETAR!$I$4:$I$967,RETETAR!$A$4:$A$967,$M119,RETETAR!$C$4:$C$967,"INSTORE")</f>
        <v>6.08</v>
      </c>
      <c r="I119" s="77">
        <f>SUMIFS(RETETAR!$I$4:$I$967,RETETAR!$A$4:$A$967,$M119,RETETAR!$C$4:$C$967,"AMBELE")+SUMIFS(RETETAR!$I$4:$I$967,RETETAR!$A$4:$A$967,$M119,RETETAR!$C$4:$C$967,"DELIVERY")</f>
        <v>6.08</v>
      </c>
      <c r="J119" s="78">
        <f t="shared" si="225"/>
        <v>346.56</v>
      </c>
      <c r="K119" s="78">
        <f t="shared" si="226"/>
        <v>334.4</v>
      </c>
      <c r="L119" s="78">
        <f t="shared" si="227"/>
        <v>680.96</v>
      </c>
      <c r="M119" t="s">
        <v>284</v>
      </c>
      <c r="N119" s="79">
        <v>15</v>
      </c>
      <c r="O119" s="79">
        <v>17</v>
      </c>
      <c r="P119" s="80">
        <v>15.99</v>
      </c>
      <c r="Q119" s="80">
        <v>17.989999999999998</v>
      </c>
      <c r="R119" s="81">
        <f t="shared" si="228"/>
        <v>753.24793388429759</v>
      </c>
      <c r="S119" s="81">
        <f t="shared" si="229"/>
        <v>817.72727272727263</v>
      </c>
      <c r="T119" s="81">
        <f t="shared" si="230"/>
        <v>1570.9752066115702</v>
      </c>
      <c r="U119" s="82">
        <f t="shared" si="231"/>
        <v>0.43346323807920545</v>
      </c>
      <c r="V119" s="82">
        <f t="shared" si="232"/>
        <v>0.46008755472170104</v>
      </c>
      <c r="W119" s="82">
        <f t="shared" si="233"/>
        <v>0.4089382990550306</v>
      </c>
      <c r="X119" s="83">
        <f>BS119+SCENARIU!$C$28+'AJUSTĂRI PE PRODUS'!$I$142</f>
        <v>15.99</v>
      </c>
      <c r="Y119" s="83">
        <f>BT119+SCENARIU!$C$28+'AJUSTĂRI PE PRODUS'!$J$142</f>
        <v>17.989999999999998</v>
      </c>
      <c r="Z119" s="84">
        <f t="shared" si="234"/>
        <v>753.24793388429759</v>
      </c>
      <c r="AA119" s="84">
        <f t="shared" si="235"/>
        <v>817.72727272727263</v>
      </c>
      <c r="AB119" s="84">
        <f t="shared" si="236"/>
        <v>1570.9752066115702</v>
      </c>
      <c r="AC119" s="85">
        <f t="shared" si="237"/>
        <v>0.43346323807920545</v>
      </c>
      <c r="AD119" s="85">
        <f t="shared" si="238"/>
        <v>0.46008755472170104</v>
      </c>
      <c r="AE119" s="85">
        <f t="shared" si="239"/>
        <v>0.4089382990550306</v>
      </c>
      <c r="AF119" s="83">
        <f>BU119+SCENARIU!$C$28+SCENARIU!$D$28+'AJUSTĂRI PE PRODUS'!$I$142+'AJUSTĂRI PE PRODUS'!$N$142</f>
        <v>16.989999999999998</v>
      </c>
      <c r="AG119" s="83">
        <f>BV119+SCENARIU!$C$28+SCENARIU!$D$28+'AJUSTĂRI PE PRODUS'!$J$142+'AJUSTĂRI PE PRODUS'!$O$142</f>
        <v>18.989999999999998</v>
      </c>
      <c r="AH119" s="86">
        <f t="shared" si="240"/>
        <v>800.35537190082641</v>
      </c>
      <c r="AI119" s="86">
        <f t="shared" si="241"/>
        <v>863.18181818181813</v>
      </c>
      <c r="AJ119" s="86">
        <f t="shared" si="242"/>
        <v>1663.5371900826444</v>
      </c>
      <c r="AK119" s="87">
        <f t="shared" si="243"/>
        <v>0.40934462064305877</v>
      </c>
      <c r="AL119" s="87">
        <f t="shared" si="244"/>
        <v>0.43300765155974102</v>
      </c>
      <c r="AM119" s="87">
        <f t="shared" si="245"/>
        <v>0.38740389678778303</v>
      </c>
      <c r="AN119" s="83">
        <f>BW119+SCENARIU!$C$28+SCENARIU!$D$28+SCENARIU!$E$28+'AJUSTĂRI PE PRODUS'!$I$142+'AJUSTĂRI PE PRODUS'!$N$142+'AJUSTĂRI PE PRODUS'!$S$142</f>
        <v>17.489999999999998</v>
      </c>
      <c r="AO119" s="83">
        <f>BX119+SCENARIU!$C$28+SCENARIU!$D$28+SCENARIU!$E$28+'AJUSTĂRI PE PRODUS'!$J$142+'AJUSTĂRI PE PRODUS'!$O$142+'AJUSTĂRI PE PRODUS'!$T$142</f>
        <v>19.489999999999998</v>
      </c>
      <c r="AP119" s="88">
        <f t="shared" si="246"/>
        <v>823.90909090909088</v>
      </c>
      <c r="AQ119" s="88">
        <f t="shared" si="247"/>
        <v>885.90909090909088</v>
      </c>
      <c r="AR119" s="88">
        <f t="shared" si="248"/>
        <v>1709.8181818181818</v>
      </c>
      <c r="AS119" s="89">
        <f t="shared" si="249"/>
        <v>0.39826456826882184</v>
      </c>
      <c r="AT119" s="89">
        <f t="shared" si="250"/>
        <v>0.4206289308176101</v>
      </c>
      <c r="AU119" s="89">
        <f t="shared" si="251"/>
        <v>0.37746536685479731</v>
      </c>
      <c r="AV119" s="83">
        <f>BY119+SCENARIU!$C$28+SCENARIU!$D$28+SCENARIU!$E$28+SCENARIU!$F$28+'AJUSTĂRI PE PRODUS'!$I$142+'AJUSTĂRI PE PRODUS'!$N$142+'AJUSTĂRI PE PRODUS'!$S$142+'AJUSTĂRI PE PRODUS'!$X$142</f>
        <v>17.989999999999998</v>
      </c>
      <c r="AW119" s="83">
        <f>BZ119+SCENARIU!$C$28+SCENARIU!$D$28+SCENARIU!$E$28+SCENARIU!$F$28+'AJUSTĂRI PE PRODUS'!$J$142+'AJUSTĂRI PE PRODUS'!$O$142+'AJUSTĂRI PE PRODUS'!$T$142+'AJUSTĂRI PE PRODUS'!$Y$142</f>
        <v>19.989999999999998</v>
      </c>
      <c r="AX119" s="90">
        <f t="shared" si="252"/>
        <v>847.46280991735534</v>
      </c>
      <c r="AY119" s="90">
        <f t="shared" si="253"/>
        <v>908.63636363636363</v>
      </c>
      <c r="AZ119" s="90">
        <f t="shared" si="254"/>
        <v>1756.0991735537191</v>
      </c>
      <c r="BA119" s="91">
        <f t="shared" si="255"/>
        <v>0.38776853281126467</v>
      </c>
      <c r="BB119" s="91">
        <f t="shared" si="256"/>
        <v>0.4089382990550306</v>
      </c>
      <c r="BC119" s="91">
        <f t="shared" si="257"/>
        <v>0.36802401200600299</v>
      </c>
      <c r="BD119" s="92">
        <f t="shared" si="258"/>
        <v>0.99000000000000021</v>
      </c>
      <c r="BE119" s="92">
        <f t="shared" si="259"/>
        <v>0</v>
      </c>
      <c r="BF119" s="92">
        <f t="shared" si="260"/>
        <v>0.99999999999999822</v>
      </c>
      <c r="BG119" s="92">
        <f t="shared" si="261"/>
        <v>0.5</v>
      </c>
      <c r="BH119" s="92">
        <f t="shared" si="262"/>
        <v>0.5</v>
      </c>
      <c r="BI119" s="93">
        <f t="shared" si="263"/>
        <v>2.9899999999999984</v>
      </c>
      <c r="BJ119" s="92">
        <f t="shared" si="264"/>
        <v>0.98999999999999844</v>
      </c>
      <c r="BK119" s="92">
        <f t="shared" si="265"/>
        <v>0</v>
      </c>
      <c r="BL119" s="92">
        <f t="shared" si="266"/>
        <v>1</v>
      </c>
      <c r="BM119" s="92">
        <f t="shared" si="267"/>
        <v>0.5</v>
      </c>
      <c r="BN119" s="92">
        <f t="shared" si="268"/>
        <v>0.5</v>
      </c>
      <c r="BO119" s="93">
        <f t="shared" si="269"/>
        <v>2.9899999999999984</v>
      </c>
      <c r="BQ119">
        <v>15.99</v>
      </c>
      <c r="BR119">
        <v>17.989999999999998</v>
      </c>
      <c r="BS119">
        <v>15.99</v>
      </c>
      <c r="BT119">
        <v>17.989999999999998</v>
      </c>
      <c r="BU119">
        <v>16.989999999999998</v>
      </c>
      <c r="BV119">
        <v>18.989999999999998</v>
      </c>
      <c r="BW119">
        <v>17.489999999999998</v>
      </c>
      <c r="BX119">
        <v>19.489999999999998</v>
      </c>
      <c r="BY119">
        <v>17.989999999999998</v>
      </c>
      <c r="BZ119">
        <v>19.989999999999998</v>
      </c>
    </row>
    <row r="120" spans="1:78" x14ac:dyDescent="0.2">
      <c r="A120" s="26">
        <v>28</v>
      </c>
      <c r="B120" s="26" t="s">
        <v>295</v>
      </c>
      <c r="C120" s="26" t="s">
        <v>103</v>
      </c>
      <c r="D120" s="74">
        <v>1</v>
      </c>
      <c r="E120" s="75">
        <v>21</v>
      </c>
      <c r="F120" s="76">
        <v>0</v>
      </c>
      <c r="G120" s="76">
        <v>123</v>
      </c>
      <c r="H120" s="77">
        <f>SUMIFS(RETETAR!$I$4:$I$967,RETETAR!$A$4:$A$967,$M120,RETETAR!$C$4:$C$967,"AMBELE")+SUMIFS(RETETAR!$I$4:$I$967,RETETAR!$A$4:$A$967,$M120,RETETAR!$C$4:$C$967,"INSTORE")</f>
        <v>6.7410100000000002</v>
      </c>
      <c r="I120" s="77">
        <f>SUMIFS(RETETAR!$I$4:$I$967,RETETAR!$A$4:$A$967,$M120,RETETAR!$C$4:$C$967,"AMBELE")+SUMIFS(RETETAR!$I$4:$I$967,RETETAR!$A$4:$A$967,$M120,RETETAR!$C$4:$C$967,"DELIVERY")</f>
        <v>6.7410100000000002</v>
      </c>
      <c r="J120" s="78">
        <f t="shared" si="225"/>
        <v>0</v>
      </c>
      <c r="K120" s="78">
        <f t="shared" si="226"/>
        <v>829.14422999999999</v>
      </c>
      <c r="L120" s="78">
        <f t="shared" si="227"/>
        <v>829.14422999999999</v>
      </c>
      <c r="M120" t="s">
        <v>295</v>
      </c>
      <c r="N120" s="79"/>
      <c r="O120" s="79">
        <v>12.99</v>
      </c>
      <c r="P120" s="80"/>
      <c r="Q120" s="80">
        <v>12.99</v>
      </c>
      <c r="R120" s="81">
        <f t="shared" si="228"/>
        <v>0</v>
      </c>
      <c r="S120" s="81">
        <f t="shared" si="229"/>
        <v>1320.4710743801654</v>
      </c>
      <c r="T120" s="81">
        <f t="shared" si="230"/>
        <v>1320.4710743801654</v>
      </c>
      <c r="U120" s="82">
        <f t="shared" si="231"/>
        <v>0.62791548113933793</v>
      </c>
      <c r="V120" s="82" t="str">
        <f t="shared" si="232"/>
        <v/>
      </c>
      <c r="W120" s="82">
        <f t="shared" si="233"/>
        <v>0.62791548113933793</v>
      </c>
      <c r="X120" s="83"/>
      <c r="Y120" s="83">
        <f>BT120+SCENARIU!$C$28+'AJUSTĂRI PE PRODUS'!$J$153</f>
        <v>12.99</v>
      </c>
      <c r="Z120" s="84">
        <f t="shared" si="234"/>
        <v>0</v>
      </c>
      <c r="AA120" s="84">
        <f t="shared" si="235"/>
        <v>1320.4710743801654</v>
      </c>
      <c r="AB120" s="84">
        <f t="shared" si="236"/>
        <v>1320.4710743801654</v>
      </c>
      <c r="AC120" s="85">
        <f t="shared" si="237"/>
        <v>0.62791548113933793</v>
      </c>
      <c r="AD120" s="85" t="str">
        <f t="shared" si="238"/>
        <v/>
      </c>
      <c r="AE120" s="85">
        <f t="shared" si="239"/>
        <v>0.62791548113933793</v>
      </c>
      <c r="AF120" s="83"/>
      <c r="AG120" s="83">
        <f>BV120+SCENARIU!$C$28+SCENARIU!$D$28+'AJUSTĂRI PE PRODUS'!$J$153+'AJUSTĂRI PE PRODUS'!$O$153</f>
        <v>13.99</v>
      </c>
      <c r="AH120" s="86">
        <f t="shared" si="240"/>
        <v>0</v>
      </c>
      <c r="AI120" s="86">
        <f t="shared" si="241"/>
        <v>1422.1239669421489</v>
      </c>
      <c r="AJ120" s="86">
        <f t="shared" si="242"/>
        <v>1422.1239669421489</v>
      </c>
      <c r="AK120" s="87">
        <f t="shared" si="243"/>
        <v>0.58303231593995708</v>
      </c>
      <c r="AL120" s="87" t="str">
        <f t="shared" si="244"/>
        <v/>
      </c>
      <c r="AM120" s="87">
        <f t="shared" si="245"/>
        <v>0.58303231593995708</v>
      </c>
      <c r="AN120" s="83"/>
      <c r="AO120" s="83">
        <f>BX120+SCENARIU!$C$28+SCENARIU!$D$28+SCENARIU!$E$28+'AJUSTĂRI PE PRODUS'!$J$153+'AJUSTĂRI PE PRODUS'!$O$153+'AJUSTĂRI PE PRODUS'!$T$153</f>
        <v>14.49</v>
      </c>
      <c r="AP120" s="88">
        <f t="shared" si="246"/>
        <v>0</v>
      </c>
      <c r="AQ120" s="88">
        <f t="shared" si="247"/>
        <v>1472.9504132231407</v>
      </c>
      <c r="AR120" s="88">
        <f t="shared" si="248"/>
        <v>1472.9504132231407</v>
      </c>
      <c r="AS120" s="89">
        <f t="shared" si="249"/>
        <v>0.56291387853692199</v>
      </c>
      <c r="AT120" s="89" t="str">
        <f t="shared" si="250"/>
        <v/>
      </c>
      <c r="AU120" s="89">
        <f t="shared" si="251"/>
        <v>0.56291387853692199</v>
      </c>
      <c r="AV120" s="83"/>
      <c r="AW120" s="83">
        <f>BZ120+SCENARIU!$C$28+SCENARIU!$D$28+SCENARIU!$E$28+SCENARIU!$F$28+'AJUSTĂRI PE PRODUS'!$J$153+'AJUSTĂRI PE PRODUS'!$O$153+'AJUSTĂRI PE PRODUS'!$T$153+'AJUSTĂRI PE PRODUS'!$Y$153</f>
        <v>14.99</v>
      </c>
      <c r="AX120" s="90">
        <f t="shared" si="252"/>
        <v>0</v>
      </c>
      <c r="AY120" s="90">
        <f t="shared" si="253"/>
        <v>1523.7768595041323</v>
      </c>
      <c r="AZ120" s="90">
        <f t="shared" si="254"/>
        <v>1523.7768595041323</v>
      </c>
      <c r="BA120" s="91">
        <f t="shared" si="255"/>
        <v>0.54413756504336219</v>
      </c>
      <c r="BB120" s="91" t="str">
        <f t="shared" si="256"/>
        <v/>
      </c>
      <c r="BC120" s="91">
        <f t="shared" si="257"/>
        <v>0.54413756504336219</v>
      </c>
      <c r="BD120" s="92" t="str">
        <f t="shared" si="258"/>
        <v/>
      </c>
      <c r="BE120" s="92" t="str">
        <f t="shared" si="259"/>
        <v/>
      </c>
      <c r="BF120" s="92" t="str">
        <f t="shared" si="260"/>
        <v/>
      </c>
      <c r="BG120" s="92" t="str">
        <f t="shared" si="261"/>
        <v/>
      </c>
      <c r="BH120" s="92" t="str">
        <f t="shared" si="262"/>
        <v/>
      </c>
      <c r="BI120" s="93" t="str">
        <f t="shared" si="263"/>
        <v/>
      </c>
      <c r="BJ120" s="92">
        <f t="shared" si="264"/>
        <v>0</v>
      </c>
      <c r="BK120" s="92">
        <f t="shared" si="265"/>
        <v>0</v>
      </c>
      <c r="BL120" s="92">
        <f t="shared" si="266"/>
        <v>1</v>
      </c>
      <c r="BM120" s="92">
        <f t="shared" si="267"/>
        <v>0.5</v>
      </c>
      <c r="BN120" s="92">
        <f t="shared" si="268"/>
        <v>0.5</v>
      </c>
      <c r="BO120" s="93">
        <f t="shared" si="269"/>
        <v>2</v>
      </c>
      <c r="BR120">
        <v>12.99</v>
      </c>
      <c r="BT120">
        <v>12.99</v>
      </c>
      <c r="BV120">
        <v>13.99</v>
      </c>
      <c r="BX120">
        <v>14.49</v>
      </c>
      <c r="BZ120">
        <v>14.99</v>
      </c>
    </row>
    <row r="121" spans="1:78" x14ac:dyDescent="0.2">
      <c r="A121" s="26">
        <v>29</v>
      </c>
      <c r="B121" s="26" t="s">
        <v>297</v>
      </c>
      <c r="C121" s="26" t="s">
        <v>103</v>
      </c>
      <c r="D121" s="74">
        <v>1</v>
      </c>
      <c r="E121" s="75">
        <v>21</v>
      </c>
      <c r="F121" s="76">
        <v>141</v>
      </c>
      <c r="G121" s="76">
        <v>0</v>
      </c>
      <c r="H121" s="77">
        <f>SUMIFS(RETETAR!$I$4:$I$967,RETETAR!$A$4:$A$967,$M121,RETETAR!$C$4:$C$967,"AMBELE")+SUMIFS(RETETAR!$I$4:$I$967,RETETAR!$A$4:$A$967,$M121,RETETAR!$C$4:$C$967,"INSTORE")</f>
        <v>3.6909999999999998</v>
      </c>
      <c r="I121" s="77">
        <f>SUMIFS(RETETAR!$I$4:$I$967,RETETAR!$A$4:$A$967,$M121,RETETAR!$C$4:$C$967,"AMBELE")+SUMIFS(RETETAR!$I$4:$I$967,RETETAR!$A$4:$A$967,$M121,RETETAR!$C$4:$C$967,"DELIVERY")</f>
        <v>0</v>
      </c>
      <c r="J121" s="78">
        <f t="shared" si="225"/>
        <v>520.43099999999993</v>
      </c>
      <c r="K121" s="78">
        <f t="shared" si="226"/>
        <v>0</v>
      </c>
      <c r="L121" s="78">
        <f t="shared" si="227"/>
        <v>520.43099999999993</v>
      </c>
      <c r="M121" t="s">
        <v>297</v>
      </c>
      <c r="N121" s="79">
        <v>9.5</v>
      </c>
      <c r="O121" s="79"/>
      <c r="P121" s="80">
        <v>10.49</v>
      </c>
      <c r="Q121" s="80"/>
      <c r="R121" s="81">
        <f t="shared" si="228"/>
        <v>1222.3884297520663</v>
      </c>
      <c r="S121" s="81">
        <f t="shared" si="229"/>
        <v>0</v>
      </c>
      <c r="T121" s="81">
        <f t="shared" si="230"/>
        <v>1222.3884297520663</v>
      </c>
      <c r="U121" s="82">
        <f t="shared" si="231"/>
        <v>0.42574928503336501</v>
      </c>
      <c r="V121" s="82">
        <f t="shared" si="232"/>
        <v>0.42574928503336501</v>
      </c>
      <c r="W121" s="82" t="str">
        <f t="shared" si="233"/>
        <v/>
      </c>
      <c r="X121" s="83">
        <f>BS121+SCENARIU!$C$28+'AJUSTĂRI PE PRODUS'!$I$158</f>
        <v>10.49</v>
      </c>
      <c r="Y121" s="83"/>
      <c r="Z121" s="84">
        <f t="shared" si="234"/>
        <v>1222.3884297520663</v>
      </c>
      <c r="AA121" s="84">
        <f t="shared" si="235"/>
        <v>0</v>
      </c>
      <c r="AB121" s="84">
        <f t="shared" si="236"/>
        <v>1222.3884297520663</v>
      </c>
      <c r="AC121" s="85">
        <f t="shared" si="237"/>
        <v>0.42574928503336501</v>
      </c>
      <c r="AD121" s="85">
        <f t="shared" si="238"/>
        <v>0.42574928503336501</v>
      </c>
      <c r="AE121" s="85" t="str">
        <f t="shared" si="239"/>
        <v/>
      </c>
      <c r="AF121" s="83">
        <f>BU121+SCENARIU!$C$28+SCENARIU!$D$28+'AJUSTĂRI PE PRODUS'!$I$158+'AJUSTĂRI PE PRODUS'!$N$158</f>
        <v>11.49</v>
      </c>
      <c r="AG121" s="83"/>
      <c r="AH121" s="86">
        <f t="shared" si="240"/>
        <v>1338.9173553719011</v>
      </c>
      <c r="AI121" s="86">
        <f t="shared" si="241"/>
        <v>0</v>
      </c>
      <c r="AJ121" s="86">
        <f t="shared" si="242"/>
        <v>1338.9173553719011</v>
      </c>
      <c r="AK121" s="87">
        <f t="shared" si="243"/>
        <v>0.38869538729329839</v>
      </c>
      <c r="AL121" s="87">
        <f t="shared" si="244"/>
        <v>0.38869538729329839</v>
      </c>
      <c r="AM121" s="87" t="str">
        <f t="shared" si="245"/>
        <v/>
      </c>
      <c r="AN121" s="83">
        <f>BW121+SCENARIU!$C$28+SCENARIU!$D$28+SCENARIU!$E$28+'AJUSTĂRI PE PRODUS'!$I$158+'AJUSTĂRI PE PRODUS'!$N$158+'AJUSTĂRI PE PRODUS'!$S$158</f>
        <v>11.99</v>
      </c>
      <c r="AO121" s="83"/>
      <c r="AP121" s="88">
        <f t="shared" si="246"/>
        <v>1397.1818181818182</v>
      </c>
      <c r="AQ121" s="88">
        <f t="shared" si="247"/>
        <v>0</v>
      </c>
      <c r="AR121" s="88">
        <f t="shared" si="248"/>
        <v>1397.1818181818182</v>
      </c>
      <c r="AS121" s="89">
        <f t="shared" si="249"/>
        <v>0.37248623853211005</v>
      </c>
      <c r="AT121" s="89">
        <f t="shared" si="250"/>
        <v>0.37248623853211005</v>
      </c>
      <c r="AU121" s="89" t="str">
        <f t="shared" si="251"/>
        <v/>
      </c>
      <c r="AV121" s="83">
        <f>BY121+SCENARIU!$C$28+SCENARIU!$D$28+SCENARIU!$E$28+SCENARIU!$F$28+'AJUSTĂRI PE PRODUS'!$I$158+'AJUSTĂRI PE PRODUS'!$N$158+'AJUSTĂRI PE PRODUS'!$S$158+'AJUSTĂRI PE PRODUS'!$X$158</f>
        <v>12.49</v>
      </c>
      <c r="AW121" s="83"/>
      <c r="AX121" s="90">
        <f t="shared" si="252"/>
        <v>1455.4462809917356</v>
      </c>
      <c r="AY121" s="90">
        <f t="shared" si="253"/>
        <v>0</v>
      </c>
      <c r="AZ121" s="90">
        <f t="shared" si="254"/>
        <v>1455.4462809917356</v>
      </c>
      <c r="BA121" s="91">
        <f t="shared" si="255"/>
        <v>0.35757485988791027</v>
      </c>
      <c r="BB121" s="91">
        <f t="shared" si="256"/>
        <v>0.35757485988791027</v>
      </c>
      <c r="BC121" s="91" t="str">
        <f t="shared" si="257"/>
        <v/>
      </c>
      <c r="BD121" s="92">
        <f t="shared" si="258"/>
        <v>0.99000000000000021</v>
      </c>
      <c r="BE121" s="92">
        <f t="shared" si="259"/>
        <v>0</v>
      </c>
      <c r="BF121" s="92">
        <f t="shared" si="260"/>
        <v>1</v>
      </c>
      <c r="BG121" s="92">
        <f t="shared" si="261"/>
        <v>0.5</v>
      </c>
      <c r="BH121" s="92">
        <f t="shared" si="262"/>
        <v>0.5</v>
      </c>
      <c r="BI121" s="93">
        <f t="shared" si="263"/>
        <v>2.99</v>
      </c>
      <c r="BJ121" s="92" t="str">
        <f t="shared" si="264"/>
        <v/>
      </c>
      <c r="BK121" s="92" t="str">
        <f t="shared" si="265"/>
        <v/>
      </c>
      <c r="BL121" s="92" t="str">
        <f t="shared" si="266"/>
        <v/>
      </c>
      <c r="BM121" s="92" t="str">
        <f t="shared" si="267"/>
        <v/>
      </c>
      <c r="BN121" s="92" t="str">
        <f t="shared" si="268"/>
        <v/>
      </c>
      <c r="BO121" s="93" t="str">
        <f t="shared" si="269"/>
        <v/>
      </c>
      <c r="BQ121">
        <v>10.49</v>
      </c>
      <c r="BS121">
        <v>10.49</v>
      </c>
      <c r="BU121">
        <v>11.49</v>
      </c>
      <c r="BW121">
        <v>11.99</v>
      </c>
      <c r="BY121">
        <v>12.49</v>
      </c>
    </row>
    <row r="122" spans="1:78" x14ac:dyDescent="0.2">
      <c r="A122" s="26">
        <v>30</v>
      </c>
      <c r="B122" s="26" t="s">
        <v>299</v>
      </c>
      <c r="C122" s="26" t="s">
        <v>103</v>
      </c>
      <c r="D122" s="74">
        <v>1</v>
      </c>
      <c r="E122" s="75">
        <v>21</v>
      </c>
      <c r="F122" s="76">
        <v>53</v>
      </c>
      <c r="G122" s="76">
        <v>83</v>
      </c>
      <c r="H122" s="77">
        <f>SUMIFS(RETETAR!$I$4:$I$967,RETETAR!$A$4:$A$967,$M122,RETETAR!$C$4:$C$967,"AMBELE")+SUMIFS(RETETAR!$I$4:$I$967,RETETAR!$A$4:$A$967,$M122,RETETAR!$C$4:$C$967,"INSTORE")</f>
        <v>3.7050100000000001</v>
      </c>
      <c r="I122" s="77">
        <f>SUMIFS(RETETAR!$I$4:$I$967,RETETAR!$A$4:$A$967,$M122,RETETAR!$C$4:$C$967,"AMBELE")+SUMIFS(RETETAR!$I$4:$I$967,RETETAR!$A$4:$A$967,$M122,RETETAR!$C$4:$C$967,"DELIVERY")</f>
        <v>3.7050100000000001</v>
      </c>
      <c r="J122" s="78">
        <f t="shared" si="225"/>
        <v>196.36553000000001</v>
      </c>
      <c r="K122" s="78">
        <f t="shared" si="226"/>
        <v>307.51582999999999</v>
      </c>
      <c r="L122" s="78">
        <f t="shared" si="227"/>
        <v>503.88135999999997</v>
      </c>
      <c r="M122" t="s">
        <v>299</v>
      </c>
      <c r="N122" s="79">
        <v>9.5</v>
      </c>
      <c r="O122" s="79">
        <v>9.5</v>
      </c>
      <c r="P122" s="80">
        <v>10.49</v>
      </c>
      <c r="Q122" s="80">
        <v>10.49</v>
      </c>
      <c r="R122" s="81">
        <f t="shared" si="228"/>
        <v>459.47933884297527</v>
      </c>
      <c r="S122" s="81">
        <f t="shared" si="229"/>
        <v>719.56198347107443</v>
      </c>
      <c r="T122" s="81">
        <f t="shared" si="230"/>
        <v>1179.0413223140497</v>
      </c>
      <c r="U122" s="82">
        <f t="shared" si="231"/>
        <v>0.42736530981887505</v>
      </c>
      <c r="V122" s="82">
        <f t="shared" si="232"/>
        <v>0.42736530981887511</v>
      </c>
      <c r="W122" s="82">
        <f t="shared" si="233"/>
        <v>0.42736530981887511</v>
      </c>
      <c r="X122" s="83">
        <f>BS122+SCENARIU!$C$28+'AJUSTĂRI PE PRODUS'!$I$160</f>
        <v>10.49</v>
      </c>
      <c r="Y122" s="83">
        <f>BT122+SCENARIU!$C$28+'AJUSTĂRI PE PRODUS'!$J$160</f>
        <v>10.49</v>
      </c>
      <c r="Z122" s="84">
        <f t="shared" si="234"/>
        <v>459.47933884297527</v>
      </c>
      <c r="AA122" s="84">
        <f t="shared" si="235"/>
        <v>719.56198347107443</v>
      </c>
      <c r="AB122" s="84">
        <f t="shared" si="236"/>
        <v>1179.0413223140497</v>
      </c>
      <c r="AC122" s="85">
        <f t="shared" si="237"/>
        <v>0.42736530981887505</v>
      </c>
      <c r="AD122" s="85">
        <f t="shared" si="238"/>
        <v>0.42736530981887511</v>
      </c>
      <c r="AE122" s="85">
        <f t="shared" si="239"/>
        <v>0.42736530981887511</v>
      </c>
      <c r="AF122" s="83">
        <f>BU122+SCENARIU!$C$28+SCENARIU!$D$28+'AJUSTĂRI PE PRODUS'!$I$160+'AJUSTĂRI PE PRODUS'!$N$160</f>
        <v>11.49</v>
      </c>
      <c r="AG122" s="83">
        <f>BV122+SCENARIU!$C$28+SCENARIU!$D$28+'AJUSTĂRI PE PRODUS'!$J$160+'AJUSTĂRI PE PRODUS'!$O$160</f>
        <v>11.49</v>
      </c>
      <c r="AH122" s="86">
        <f t="shared" si="240"/>
        <v>503.28099173553727</v>
      </c>
      <c r="AI122" s="86">
        <f t="shared" si="241"/>
        <v>788.15702479338847</v>
      </c>
      <c r="AJ122" s="86">
        <f t="shared" si="242"/>
        <v>1291.4380165289258</v>
      </c>
      <c r="AK122" s="87">
        <f t="shared" si="243"/>
        <v>0.39017076588337679</v>
      </c>
      <c r="AL122" s="87">
        <f t="shared" si="244"/>
        <v>0.39017076588337679</v>
      </c>
      <c r="AM122" s="87">
        <f t="shared" si="245"/>
        <v>0.39017076588337685</v>
      </c>
      <c r="AN122" s="83">
        <f>BW122+SCENARIU!$C$28+SCENARIU!$D$28+SCENARIU!$E$28+'AJUSTĂRI PE PRODUS'!$I$160+'AJUSTĂRI PE PRODUS'!$N$160+'AJUSTĂRI PE PRODUS'!$S$160</f>
        <v>11.99</v>
      </c>
      <c r="AO122" s="83">
        <f>BX122+SCENARIU!$C$28+SCENARIU!$D$28+SCENARIU!$E$28+'AJUSTĂRI PE PRODUS'!$J$160+'AJUSTĂRI PE PRODUS'!$O$160+'AJUSTĂRI PE PRODUS'!$T$160</f>
        <v>11.99</v>
      </c>
      <c r="AP122" s="88">
        <f t="shared" si="246"/>
        <v>525.18181818181824</v>
      </c>
      <c r="AQ122" s="88">
        <f t="shared" si="247"/>
        <v>822.4545454545455</v>
      </c>
      <c r="AR122" s="88">
        <f t="shared" si="248"/>
        <v>1347.6363636363637</v>
      </c>
      <c r="AS122" s="89">
        <f t="shared" si="249"/>
        <v>0.37390009174311922</v>
      </c>
      <c r="AT122" s="89">
        <f t="shared" si="250"/>
        <v>0.37390009174311922</v>
      </c>
      <c r="AU122" s="89">
        <f t="shared" si="251"/>
        <v>0.37390009174311922</v>
      </c>
      <c r="AV122" s="83">
        <f>BY122+SCENARIU!$C$28+SCENARIU!$D$28+SCENARIU!$E$28+SCENARIU!$F$28+'AJUSTĂRI PE PRODUS'!$I$160+'AJUSTĂRI PE PRODUS'!$N$160+'AJUSTĂRI PE PRODUS'!$S$160+'AJUSTĂRI PE PRODUS'!$X$160</f>
        <v>12.49</v>
      </c>
      <c r="AW122" s="83">
        <f>BZ122+SCENARIU!$C$28+SCENARIU!$D$28+SCENARIU!$E$28+SCENARIU!$F$28+'AJUSTĂRI PE PRODUS'!$J$160+'AJUSTĂRI PE PRODUS'!$O$160+'AJUSTĂRI PE PRODUS'!$T$160+'AJUSTĂRI PE PRODUS'!$Y$160</f>
        <v>12.49</v>
      </c>
      <c r="AX122" s="90">
        <f t="shared" si="252"/>
        <v>547.08264462809927</v>
      </c>
      <c r="AY122" s="90">
        <f t="shared" si="253"/>
        <v>856.75206611570252</v>
      </c>
      <c r="AZ122" s="90">
        <f t="shared" si="254"/>
        <v>1403.8347107438017</v>
      </c>
      <c r="BA122" s="91">
        <f t="shared" si="255"/>
        <v>0.35893211369095274</v>
      </c>
      <c r="BB122" s="91">
        <f t="shared" si="256"/>
        <v>0.35893211369095268</v>
      </c>
      <c r="BC122" s="91">
        <f t="shared" si="257"/>
        <v>0.35893211369095274</v>
      </c>
      <c r="BD122" s="92">
        <f t="shared" si="258"/>
        <v>0.99000000000000021</v>
      </c>
      <c r="BE122" s="92">
        <f t="shared" si="259"/>
        <v>0</v>
      </c>
      <c r="BF122" s="92">
        <f t="shared" si="260"/>
        <v>1</v>
      </c>
      <c r="BG122" s="92">
        <f t="shared" si="261"/>
        <v>0.5</v>
      </c>
      <c r="BH122" s="92">
        <f t="shared" si="262"/>
        <v>0.5</v>
      </c>
      <c r="BI122" s="93">
        <f t="shared" si="263"/>
        <v>2.99</v>
      </c>
      <c r="BJ122" s="92">
        <f t="shared" si="264"/>
        <v>0.99000000000000021</v>
      </c>
      <c r="BK122" s="92">
        <f t="shared" si="265"/>
        <v>0</v>
      </c>
      <c r="BL122" s="92">
        <f t="shared" si="266"/>
        <v>1</v>
      </c>
      <c r="BM122" s="92">
        <f t="shared" si="267"/>
        <v>0.5</v>
      </c>
      <c r="BN122" s="92">
        <f t="shared" si="268"/>
        <v>0.5</v>
      </c>
      <c r="BO122" s="93">
        <f t="shared" si="269"/>
        <v>2.99</v>
      </c>
      <c r="BQ122">
        <v>10.49</v>
      </c>
      <c r="BR122">
        <v>10.49</v>
      </c>
      <c r="BS122">
        <v>10.49</v>
      </c>
      <c r="BT122">
        <v>10.49</v>
      </c>
      <c r="BU122">
        <v>11.49</v>
      </c>
      <c r="BV122">
        <v>11.49</v>
      </c>
      <c r="BW122">
        <v>11.99</v>
      </c>
      <c r="BX122">
        <v>11.99</v>
      </c>
      <c r="BY122">
        <v>12.49</v>
      </c>
      <c r="BZ122">
        <v>12.49</v>
      </c>
    </row>
    <row r="123" spans="1:78" x14ac:dyDescent="0.2">
      <c r="A123" s="26">
        <v>31</v>
      </c>
      <c r="B123" s="26" t="s">
        <v>302</v>
      </c>
      <c r="C123" s="26" t="s">
        <v>103</v>
      </c>
      <c r="D123" s="74">
        <v>1</v>
      </c>
      <c r="E123" s="75">
        <v>21</v>
      </c>
      <c r="F123" s="76">
        <v>36</v>
      </c>
      <c r="G123" s="76">
        <v>81</v>
      </c>
      <c r="H123" s="77">
        <f>SUMIFS(RETETAR!$I$4:$I$967,RETETAR!$A$4:$A$967,$M123,RETETAR!$C$4:$C$967,"AMBELE")+SUMIFS(RETETAR!$I$4:$I$967,RETETAR!$A$4:$A$967,$M123,RETETAR!$C$4:$C$967,"INSTORE")</f>
        <v>3.702</v>
      </c>
      <c r="I123" s="77">
        <f>SUMIFS(RETETAR!$I$4:$I$967,RETETAR!$A$4:$A$967,$M123,RETETAR!$C$4:$C$967,"AMBELE")+SUMIFS(RETETAR!$I$4:$I$967,RETETAR!$A$4:$A$967,$M123,RETETAR!$C$4:$C$967,"DELIVERY")</f>
        <v>3.702</v>
      </c>
      <c r="J123" s="78">
        <f t="shared" si="225"/>
        <v>133.27199999999999</v>
      </c>
      <c r="K123" s="78">
        <f t="shared" si="226"/>
        <v>299.86200000000002</v>
      </c>
      <c r="L123" s="78">
        <f t="shared" si="227"/>
        <v>433.13400000000001</v>
      </c>
      <c r="M123" t="s">
        <v>302</v>
      </c>
      <c r="N123" s="79">
        <v>9.5</v>
      </c>
      <c r="O123" s="79">
        <v>9.5</v>
      </c>
      <c r="P123" s="80">
        <v>10.49</v>
      </c>
      <c r="Q123" s="80">
        <v>10.49</v>
      </c>
      <c r="R123" s="81">
        <f t="shared" si="228"/>
        <v>312.09917355371903</v>
      </c>
      <c r="S123" s="81">
        <f t="shared" si="229"/>
        <v>702.22314049586782</v>
      </c>
      <c r="T123" s="81">
        <f t="shared" si="230"/>
        <v>1014.3223140495868</v>
      </c>
      <c r="U123" s="82">
        <f t="shared" si="231"/>
        <v>0.42701811248808391</v>
      </c>
      <c r="V123" s="82">
        <f t="shared" si="232"/>
        <v>0.42701811248808386</v>
      </c>
      <c r="W123" s="82">
        <f t="shared" si="233"/>
        <v>0.42701811248808391</v>
      </c>
      <c r="X123" s="83">
        <f>BS123+SCENARIU!$C$28+'AJUSTĂRI PE PRODUS'!$I$162</f>
        <v>10.49</v>
      </c>
      <c r="Y123" s="83">
        <f>BT123+SCENARIU!$C$28+'AJUSTĂRI PE PRODUS'!$J$162</f>
        <v>10.49</v>
      </c>
      <c r="Z123" s="84">
        <f t="shared" si="234"/>
        <v>312.09917355371903</v>
      </c>
      <c r="AA123" s="84">
        <f t="shared" si="235"/>
        <v>702.22314049586782</v>
      </c>
      <c r="AB123" s="84">
        <f t="shared" si="236"/>
        <v>1014.3223140495868</v>
      </c>
      <c r="AC123" s="85">
        <f t="shared" si="237"/>
        <v>0.42701811248808391</v>
      </c>
      <c r="AD123" s="85">
        <f t="shared" si="238"/>
        <v>0.42701811248808386</v>
      </c>
      <c r="AE123" s="85">
        <f t="shared" si="239"/>
        <v>0.42701811248808391</v>
      </c>
      <c r="AF123" s="83">
        <f>BU123+SCENARIU!$C$28+SCENARIU!$D$28+'AJUSTĂRI PE PRODUS'!$I$162+'AJUSTĂRI PE PRODUS'!$N$162</f>
        <v>11.49</v>
      </c>
      <c r="AG123" s="83">
        <f>BV123+SCENARIU!$C$28+SCENARIU!$D$28+'AJUSTĂRI PE PRODUS'!$J$162+'AJUSTĂRI PE PRODUS'!$O$162</f>
        <v>11.49</v>
      </c>
      <c r="AH123" s="86">
        <f t="shared" si="240"/>
        <v>341.85123966942155</v>
      </c>
      <c r="AI123" s="86">
        <f t="shared" si="241"/>
        <v>769.16528925619843</v>
      </c>
      <c r="AJ123" s="86">
        <f t="shared" si="242"/>
        <v>1111.0165289256199</v>
      </c>
      <c r="AK123" s="87">
        <f t="shared" si="243"/>
        <v>0.38985378590078329</v>
      </c>
      <c r="AL123" s="87">
        <f t="shared" si="244"/>
        <v>0.38985378590078318</v>
      </c>
      <c r="AM123" s="87">
        <f t="shared" si="245"/>
        <v>0.38985378590078329</v>
      </c>
      <c r="AN123" s="83">
        <f>BW123+SCENARIU!$C$28+SCENARIU!$D$28+SCENARIU!$E$28+'AJUSTĂRI PE PRODUS'!$I$162+'AJUSTĂRI PE PRODUS'!$N$162+'AJUSTĂRI PE PRODUS'!$S$162</f>
        <v>11.99</v>
      </c>
      <c r="AO123" s="83">
        <f>BX123+SCENARIU!$C$28+SCENARIU!$D$28+SCENARIU!$E$28+'AJUSTĂRI PE PRODUS'!$J$162+'AJUSTĂRI PE PRODUS'!$O$162+'AJUSTĂRI PE PRODUS'!$T$162</f>
        <v>11.99</v>
      </c>
      <c r="AP123" s="88">
        <f t="shared" si="246"/>
        <v>356.72727272727275</v>
      </c>
      <c r="AQ123" s="88">
        <f t="shared" si="247"/>
        <v>802.63636363636374</v>
      </c>
      <c r="AR123" s="88">
        <f t="shared" si="248"/>
        <v>1159.3636363636365</v>
      </c>
      <c r="AS123" s="89">
        <f t="shared" si="249"/>
        <v>0.37359633027522932</v>
      </c>
      <c r="AT123" s="89">
        <f t="shared" si="250"/>
        <v>0.37359633027522932</v>
      </c>
      <c r="AU123" s="89">
        <f t="shared" si="251"/>
        <v>0.37359633027522932</v>
      </c>
      <c r="AV123" s="83">
        <f>BY123+SCENARIU!$C$28+SCENARIU!$D$28+SCENARIU!$E$28+SCENARIU!$F$28+'AJUSTĂRI PE PRODUS'!$I$162+'AJUSTĂRI PE PRODUS'!$N$162+'AJUSTĂRI PE PRODUS'!$S$162+'AJUSTĂRI PE PRODUS'!$X$162</f>
        <v>12.49</v>
      </c>
      <c r="AW123" s="83">
        <f>BZ123+SCENARIU!$C$28+SCENARIU!$D$28+SCENARIU!$E$28+SCENARIU!$F$28+'AJUSTĂRI PE PRODUS'!$J$162+'AJUSTĂRI PE PRODUS'!$O$162+'AJUSTĂRI PE PRODUS'!$T$162+'AJUSTĂRI PE PRODUS'!$Y$162</f>
        <v>12.49</v>
      </c>
      <c r="AX123" s="90">
        <f t="shared" si="252"/>
        <v>371.60330578512401</v>
      </c>
      <c r="AY123" s="90">
        <f t="shared" si="253"/>
        <v>836.10743801652904</v>
      </c>
      <c r="AZ123" s="90">
        <f t="shared" si="254"/>
        <v>1207.7107438016531</v>
      </c>
      <c r="BA123" s="91">
        <f t="shared" si="255"/>
        <v>0.35864051240992789</v>
      </c>
      <c r="BB123" s="91">
        <f t="shared" si="256"/>
        <v>0.35864051240992789</v>
      </c>
      <c r="BC123" s="91">
        <f t="shared" si="257"/>
        <v>0.35864051240992789</v>
      </c>
      <c r="BD123" s="92">
        <f t="shared" si="258"/>
        <v>0.99000000000000021</v>
      </c>
      <c r="BE123" s="92">
        <f t="shared" si="259"/>
        <v>0</v>
      </c>
      <c r="BF123" s="92">
        <f t="shared" si="260"/>
        <v>1</v>
      </c>
      <c r="BG123" s="92">
        <f t="shared" si="261"/>
        <v>0.5</v>
      </c>
      <c r="BH123" s="92">
        <f t="shared" si="262"/>
        <v>0.5</v>
      </c>
      <c r="BI123" s="93">
        <f t="shared" si="263"/>
        <v>2.99</v>
      </c>
      <c r="BJ123" s="92">
        <f t="shared" si="264"/>
        <v>0.99000000000000021</v>
      </c>
      <c r="BK123" s="92">
        <f t="shared" si="265"/>
        <v>0</v>
      </c>
      <c r="BL123" s="92">
        <f t="shared" si="266"/>
        <v>1</v>
      </c>
      <c r="BM123" s="92">
        <f t="shared" si="267"/>
        <v>0.5</v>
      </c>
      <c r="BN123" s="92">
        <f t="shared" si="268"/>
        <v>0.5</v>
      </c>
      <c r="BO123" s="93">
        <f t="shared" si="269"/>
        <v>2.99</v>
      </c>
      <c r="BQ123">
        <v>10.49</v>
      </c>
      <c r="BR123">
        <v>10.49</v>
      </c>
      <c r="BS123">
        <v>10.49</v>
      </c>
      <c r="BT123">
        <v>10.49</v>
      </c>
      <c r="BU123">
        <v>11.49</v>
      </c>
      <c r="BV123">
        <v>11.49</v>
      </c>
      <c r="BW123">
        <v>11.99</v>
      </c>
      <c r="BX123">
        <v>11.99</v>
      </c>
      <c r="BY123">
        <v>12.49</v>
      </c>
      <c r="BZ123">
        <v>12.49</v>
      </c>
    </row>
    <row r="124" spans="1:78" x14ac:dyDescent="0.2">
      <c r="A124" s="26">
        <v>32</v>
      </c>
      <c r="B124" s="26" t="s">
        <v>303</v>
      </c>
      <c r="C124" s="26" t="s">
        <v>103</v>
      </c>
      <c r="D124" s="74">
        <v>1</v>
      </c>
      <c r="E124" s="75">
        <v>21</v>
      </c>
      <c r="F124" s="76">
        <v>55</v>
      </c>
      <c r="G124" s="76">
        <v>19</v>
      </c>
      <c r="H124" s="77">
        <f>SUMIFS(RETETAR!$I$4:$I$967,RETETAR!$A$4:$A$967,$M124,RETETAR!$C$4:$C$967,"AMBELE")+SUMIFS(RETETAR!$I$4:$I$967,RETETAR!$A$4:$A$967,$M124,RETETAR!$C$4:$C$967,"INSTORE")</f>
        <v>6.4539999999999997</v>
      </c>
      <c r="I124" s="77">
        <f>SUMIFS(RETETAR!$I$4:$I$967,RETETAR!$A$4:$A$967,$M124,RETETAR!$C$4:$C$967,"AMBELE")+SUMIFS(RETETAR!$I$4:$I$967,RETETAR!$A$4:$A$967,$M124,RETETAR!$C$4:$C$967,"DELIVERY")</f>
        <v>6.4539999999999997</v>
      </c>
      <c r="J124" s="78">
        <f t="shared" si="225"/>
        <v>354.96999999999997</v>
      </c>
      <c r="K124" s="78">
        <f t="shared" si="226"/>
        <v>122.62599999999999</v>
      </c>
      <c r="L124" s="78">
        <f t="shared" si="227"/>
        <v>477.59599999999995</v>
      </c>
      <c r="M124" t="s">
        <v>303</v>
      </c>
      <c r="N124" s="79">
        <v>15</v>
      </c>
      <c r="O124" s="79">
        <v>17</v>
      </c>
      <c r="P124" s="80">
        <v>15.99</v>
      </c>
      <c r="Q124" s="80">
        <v>17.989999999999998</v>
      </c>
      <c r="R124" s="81">
        <f t="shared" si="228"/>
        <v>726.81818181818187</v>
      </c>
      <c r="S124" s="81">
        <f t="shared" si="229"/>
        <v>282.48760330578511</v>
      </c>
      <c r="T124" s="81">
        <f t="shared" si="230"/>
        <v>1009.305785123967</v>
      </c>
      <c r="U124" s="82">
        <f t="shared" si="231"/>
        <v>0.47319257160637368</v>
      </c>
      <c r="V124" s="82">
        <f t="shared" si="232"/>
        <v>0.48838899312070039</v>
      </c>
      <c r="W124" s="82">
        <f t="shared" si="233"/>
        <v>0.43409338521400775</v>
      </c>
      <c r="X124" s="83">
        <f>BS124+SCENARIU!$C$28+'AJUSTĂRI PE PRODUS'!$I$163</f>
        <v>15.99</v>
      </c>
      <c r="Y124" s="83">
        <f>BT124+SCENARIU!$C$28+'AJUSTĂRI PE PRODUS'!$J$163</f>
        <v>17.989999999999998</v>
      </c>
      <c r="Z124" s="84">
        <f t="shared" si="234"/>
        <v>726.81818181818187</v>
      </c>
      <c r="AA124" s="84">
        <f t="shared" si="235"/>
        <v>282.48760330578511</v>
      </c>
      <c r="AB124" s="84">
        <f t="shared" si="236"/>
        <v>1009.305785123967</v>
      </c>
      <c r="AC124" s="85">
        <f t="shared" si="237"/>
        <v>0.47319257160637368</v>
      </c>
      <c r="AD124" s="85">
        <f t="shared" si="238"/>
        <v>0.48838899312070039</v>
      </c>
      <c r="AE124" s="85">
        <f t="shared" si="239"/>
        <v>0.43409338521400775</v>
      </c>
      <c r="AF124" s="83">
        <f>BU124+SCENARIU!$C$28+SCENARIU!$D$28+'AJUSTĂRI PE PRODUS'!$I$163+'AJUSTĂRI PE PRODUS'!$N$163</f>
        <v>16.989999999999998</v>
      </c>
      <c r="AG124" s="83">
        <f>BV124+SCENARIU!$C$28+SCENARIU!$D$28+'AJUSTĂRI PE PRODUS'!$J$163+'AJUSTĂRI PE PRODUS'!$O$163</f>
        <v>18.989999999999998</v>
      </c>
      <c r="AH124" s="86">
        <f t="shared" si="240"/>
        <v>772.27272727272725</v>
      </c>
      <c r="AI124" s="86">
        <f t="shared" si="241"/>
        <v>298.19008264462809</v>
      </c>
      <c r="AJ124" s="86">
        <f t="shared" si="242"/>
        <v>1070.4628099173553</v>
      </c>
      <c r="AK124" s="87">
        <f t="shared" si="243"/>
        <v>0.44615842379136234</v>
      </c>
      <c r="AL124" s="87">
        <f t="shared" si="244"/>
        <v>0.45964331959976457</v>
      </c>
      <c r="AM124" s="87">
        <f t="shared" si="245"/>
        <v>0.41123433385992625</v>
      </c>
      <c r="AN124" s="83">
        <f>BW124+SCENARIU!$C$28+SCENARIU!$D$28+SCENARIU!$E$28+'AJUSTĂRI PE PRODUS'!$I$163+'AJUSTĂRI PE PRODUS'!$N$163+'AJUSTĂRI PE PRODUS'!$S$163</f>
        <v>17.489999999999998</v>
      </c>
      <c r="AO124" s="83">
        <f>BX124+SCENARIU!$C$28+SCENARIU!$D$28+SCENARIU!$E$28+'AJUSTĂRI PE PRODUS'!$J$163+'AJUSTĂRI PE PRODUS'!$O$163+'AJUSTĂRI PE PRODUS'!$T$163</f>
        <v>19.489999999999998</v>
      </c>
      <c r="AP124" s="88">
        <f t="shared" si="246"/>
        <v>794.99999999999989</v>
      </c>
      <c r="AQ124" s="88">
        <f t="shared" si="247"/>
        <v>306.04132231404958</v>
      </c>
      <c r="AR124" s="88">
        <f t="shared" si="248"/>
        <v>1101.0413223140495</v>
      </c>
      <c r="AS124" s="89">
        <f t="shared" si="249"/>
        <v>0.43376755288006846</v>
      </c>
      <c r="AT124" s="89">
        <f t="shared" si="250"/>
        <v>0.44650314465408808</v>
      </c>
      <c r="AU124" s="89">
        <f t="shared" si="251"/>
        <v>0.40068445356593124</v>
      </c>
      <c r="AV124" s="83">
        <f>BY124+SCENARIU!$C$28+SCENARIU!$D$28+SCENARIU!$E$28+SCENARIU!$F$28+'AJUSTĂRI PE PRODUS'!$I$163+'AJUSTĂRI PE PRODUS'!$N$163+'AJUSTĂRI PE PRODUS'!$S$163+'AJUSTĂRI PE PRODUS'!$X$163</f>
        <v>17.989999999999998</v>
      </c>
      <c r="AW124" s="83">
        <f>BZ124+SCENARIU!$C$28+SCENARIU!$D$28+SCENARIU!$E$28+SCENARIU!$F$28+'AJUSTĂRI PE PRODUS'!$J$163+'AJUSTĂRI PE PRODUS'!$O$163+'AJUSTĂRI PE PRODUS'!$T$163+'AJUSTĂRI PE PRODUS'!$Y$163</f>
        <v>19.989999999999998</v>
      </c>
      <c r="AX124" s="90">
        <f t="shared" si="252"/>
        <v>817.72727272727263</v>
      </c>
      <c r="AY124" s="90">
        <f t="shared" si="253"/>
        <v>313.89256198347107</v>
      </c>
      <c r="AZ124" s="90">
        <f t="shared" si="254"/>
        <v>1131.6198347107438</v>
      </c>
      <c r="BA124" s="91">
        <f t="shared" si="255"/>
        <v>0.42204633159516813</v>
      </c>
      <c r="BB124" s="91">
        <f t="shared" si="256"/>
        <v>0.43409338521400781</v>
      </c>
      <c r="BC124" s="91">
        <f t="shared" si="257"/>
        <v>0.39066233116558274</v>
      </c>
      <c r="BD124" s="92">
        <f t="shared" si="258"/>
        <v>0.99000000000000021</v>
      </c>
      <c r="BE124" s="92">
        <f t="shared" si="259"/>
        <v>0</v>
      </c>
      <c r="BF124" s="92">
        <f t="shared" si="260"/>
        <v>0.99999999999999822</v>
      </c>
      <c r="BG124" s="92">
        <f t="shared" si="261"/>
        <v>0.5</v>
      </c>
      <c r="BH124" s="92">
        <f t="shared" si="262"/>
        <v>0.5</v>
      </c>
      <c r="BI124" s="93">
        <f t="shared" si="263"/>
        <v>2.9899999999999984</v>
      </c>
      <c r="BJ124" s="92">
        <f t="shared" si="264"/>
        <v>0.98999999999999844</v>
      </c>
      <c r="BK124" s="92">
        <f t="shared" si="265"/>
        <v>0</v>
      </c>
      <c r="BL124" s="92">
        <f t="shared" si="266"/>
        <v>1</v>
      </c>
      <c r="BM124" s="92">
        <f t="shared" si="267"/>
        <v>0.5</v>
      </c>
      <c r="BN124" s="92">
        <f t="shared" si="268"/>
        <v>0.5</v>
      </c>
      <c r="BO124" s="93">
        <f t="shared" si="269"/>
        <v>2.9899999999999984</v>
      </c>
      <c r="BQ124">
        <v>15.99</v>
      </c>
      <c r="BR124">
        <v>17.989999999999998</v>
      </c>
      <c r="BS124">
        <v>15.99</v>
      </c>
      <c r="BT124">
        <v>17.989999999999998</v>
      </c>
      <c r="BU124">
        <v>16.989999999999998</v>
      </c>
      <c r="BV124">
        <v>18.989999999999998</v>
      </c>
      <c r="BW124">
        <v>17.489999999999998</v>
      </c>
      <c r="BX124">
        <v>19.489999999999998</v>
      </c>
      <c r="BY124">
        <v>17.989999999999998</v>
      </c>
      <c r="BZ124">
        <v>19.989999999999998</v>
      </c>
    </row>
    <row r="125" spans="1:78" x14ac:dyDescent="0.2">
      <c r="A125" s="26">
        <v>33</v>
      </c>
      <c r="B125" s="26" t="s">
        <v>310</v>
      </c>
      <c r="C125" s="26" t="s">
        <v>103</v>
      </c>
      <c r="D125" s="74">
        <v>1</v>
      </c>
      <c r="E125" s="75">
        <v>21</v>
      </c>
      <c r="F125" s="76">
        <v>0</v>
      </c>
      <c r="G125" s="76">
        <v>91</v>
      </c>
      <c r="H125" s="77">
        <f>SUMIFS(RETETAR!$I$4:$I$967,RETETAR!$A$4:$A$967,$M125,RETETAR!$C$4:$C$967,"AMBELE")+SUMIFS(RETETAR!$I$4:$I$967,RETETAR!$A$4:$A$967,$M125,RETETAR!$C$4:$C$967,"INSTORE")</f>
        <v>0</v>
      </c>
      <c r="I125" s="77">
        <f>SUMIFS(RETETAR!$I$4:$I$967,RETETAR!$A$4:$A$967,$M125,RETETAR!$C$4:$C$967,"AMBELE")+SUMIFS(RETETAR!$I$4:$I$967,RETETAR!$A$4:$A$967,$M125,RETETAR!$C$4:$C$967,"DELIVERY")</f>
        <v>3.8029999999999999</v>
      </c>
      <c r="J125" s="78">
        <f t="shared" si="225"/>
        <v>0</v>
      </c>
      <c r="K125" s="78">
        <f t="shared" si="226"/>
        <v>346.07299999999998</v>
      </c>
      <c r="L125" s="78">
        <f t="shared" si="227"/>
        <v>346.07299999999998</v>
      </c>
      <c r="M125" t="s">
        <v>310</v>
      </c>
      <c r="N125" s="79"/>
      <c r="O125" s="79">
        <v>9.5</v>
      </c>
      <c r="P125" s="80"/>
      <c r="Q125" s="80">
        <v>10.49</v>
      </c>
      <c r="R125" s="81">
        <f t="shared" si="228"/>
        <v>0</v>
      </c>
      <c r="S125" s="81">
        <f t="shared" si="229"/>
        <v>788.91735537190095</v>
      </c>
      <c r="T125" s="81">
        <f t="shared" si="230"/>
        <v>788.91735537190095</v>
      </c>
      <c r="U125" s="82">
        <f t="shared" si="231"/>
        <v>0.43866825548141075</v>
      </c>
      <c r="V125" s="82" t="str">
        <f t="shared" si="232"/>
        <v/>
      </c>
      <c r="W125" s="82">
        <f t="shared" si="233"/>
        <v>0.43866825548141075</v>
      </c>
      <c r="X125" s="83"/>
      <c r="Y125" s="83">
        <f>BT125+SCENARIU!$C$28+'AJUSTĂRI PE PRODUS'!$J$170</f>
        <v>10.49</v>
      </c>
      <c r="Z125" s="84">
        <f t="shared" si="234"/>
        <v>0</v>
      </c>
      <c r="AA125" s="84">
        <f t="shared" si="235"/>
        <v>788.91735537190095</v>
      </c>
      <c r="AB125" s="84">
        <f t="shared" si="236"/>
        <v>788.91735537190095</v>
      </c>
      <c r="AC125" s="85">
        <f t="shared" si="237"/>
        <v>0.43866825548141075</v>
      </c>
      <c r="AD125" s="85" t="str">
        <f t="shared" si="238"/>
        <v/>
      </c>
      <c r="AE125" s="85">
        <f t="shared" si="239"/>
        <v>0.43866825548141075</v>
      </c>
      <c r="AF125" s="83"/>
      <c r="AG125" s="83">
        <f>BV125+SCENARIU!$C$28+SCENARIU!$D$28+'AJUSTĂRI PE PRODUS'!$J$170+'AJUSTĂRI PE PRODUS'!$O$170</f>
        <v>11.49</v>
      </c>
      <c r="AH125" s="86">
        <f t="shared" si="240"/>
        <v>0</v>
      </c>
      <c r="AI125" s="86">
        <f t="shared" si="241"/>
        <v>864.12396694214885</v>
      </c>
      <c r="AJ125" s="86">
        <f t="shared" si="242"/>
        <v>864.12396694214885</v>
      </c>
      <c r="AK125" s="87">
        <f t="shared" si="243"/>
        <v>0.40048999129677976</v>
      </c>
      <c r="AL125" s="87" t="str">
        <f t="shared" si="244"/>
        <v/>
      </c>
      <c r="AM125" s="87">
        <f t="shared" si="245"/>
        <v>0.40048999129677976</v>
      </c>
      <c r="AN125" s="83"/>
      <c r="AO125" s="83">
        <f>BX125+SCENARIU!$C$28+SCENARIU!$D$28+SCENARIU!$E$28+'AJUSTĂRI PE PRODUS'!$J$170+'AJUSTĂRI PE PRODUS'!$O$170+'AJUSTĂRI PE PRODUS'!$T$170</f>
        <v>11.99</v>
      </c>
      <c r="AP125" s="88">
        <f t="shared" si="246"/>
        <v>0</v>
      </c>
      <c r="AQ125" s="88">
        <f t="shared" si="247"/>
        <v>901.72727272727286</v>
      </c>
      <c r="AR125" s="88">
        <f t="shared" si="248"/>
        <v>901.72727272727286</v>
      </c>
      <c r="AS125" s="89">
        <f t="shared" si="249"/>
        <v>0.38378899082568801</v>
      </c>
      <c r="AT125" s="89" t="str">
        <f t="shared" si="250"/>
        <v/>
      </c>
      <c r="AU125" s="89">
        <f t="shared" si="251"/>
        <v>0.38378899082568801</v>
      </c>
      <c r="AV125" s="83"/>
      <c r="AW125" s="83">
        <f>BZ125+SCENARIU!$C$28+SCENARIU!$D$28+SCENARIU!$E$28+SCENARIU!$F$28+'AJUSTĂRI PE PRODUS'!$J$170+'AJUSTĂRI PE PRODUS'!$O$170+'AJUSTĂRI PE PRODUS'!$T$170+'AJUSTĂRI PE PRODUS'!$Y$170</f>
        <v>12.49</v>
      </c>
      <c r="AX125" s="90">
        <f t="shared" si="252"/>
        <v>0</v>
      </c>
      <c r="AY125" s="90">
        <f t="shared" si="253"/>
        <v>939.33057851239676</v>
      </c>
      <c r="AZ125" s="90">
        <f t="shared" si="254"/>
        <v>939.33057851239676</v>
      </c>
      <c r="BA125" s="91">
        <f t="shared" si="255"/>
        <v>0.3684251401120896</v>
      </c>
      <c r="BB125" s="91" t="str">
        <f t="shared" si="256"/>
        <v/>
      </c>
      <c r="BC125" s="91">
        <f t="shared" si="257"/>
        <v>0.3684251401120896</v>
      </c>
      <c r="BD125" s="92" t="str">
        <f t="shared" si="258"/>
        <v/>
      </c>
      <c r="BE125" s="92" t="str">
        <f t="shared" si="259"/>
        <v/>
      </c>
      <c r="BF125" s="92" t="str">
        <f t="shared" si="260"/>
        <v/>
      </c>
      <c r="BG125" s="92" t="str">
        <f t="shared" si="261"/>
        <v/>
      </c>
      <c r="BH125" s="92" t="str">
        <f t="shared" si="262"/>
        <v/>
      </c>
      <c r="BI125" s="93" t="str">
        <f t="shared" si="263"/>
        <v/>
      </c>
      <c r="BJ125" s="92">
        <f t="shared" si="264"/>
        <v>0.99000000000000021</v>
      </c>
      <c r="BK125" s="92">
        <f t="shared" si="265"/>
        <v>0</v>
      </c>
      <c r="BL125" s="92">
        <f t="shared" si="266"/>
        <v>1</v>
      </c>
      <c r="BM125" s="92">
        <f t="shared" si="267"/>
        <v>0.5</v>
      </c>
      <c r="BN125" s="92">
        <f t="shared" si="268"/>
        <v>0.5</v>
      </c>
      <c r="BO125" s="93">
        <f t="shared" si="269"/>
        <v>2.99</v>
      </c>
      <c r="BR125">
        <v>10.49</v>
      </c>
      <c r="BT125">
        <v>10.49</v>
      </c>
      <c r="BV125">
        <v>11.49</v>
      </c>
      <c r="BX125">
        <v>11.99</v>
      </c>
      <c r="BZ125">
        <v>12.49</v>
      </c>
    </row>
    <row r="126" spans="1:78" x14ac:dyDescent="0.2">
      <c r="A126" s="94" t="s">
        <v>440</v>
      </c>
      <c r="B126" s="95"/>
      <c r="C126" s="95"/>
      <c r="D126" s="95"/>
      <c r="E126" s="95"/>
      <c r="F126" s="95"/>
      <c r="G126" s="95"/>
      <c r="H126" s="95"/>
      <c r="I126" s="95"/>
      <c r="J126" s="95"/>
      <c r="K126" s="95"/>
      <c r="L126" s="96">
        <f>SUM(L93:L125)</f>
        <v>186619.55780157918</v>
      </c>
      <c r="M126" s="95"/>
      <c r="N126" s="95"/>
      <c r="O126" s="95"/>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5"/>
      <c r="AS126" s="95"/>
      <c r="AT126" s="95"/>
      <c r="AU126" s="95"/>
      <c r="AV126" s="95"/>
      <c r="AW126" s="95"/>
      <c r="AX126" s="95"/>
      <c r="AY126" s="95"/>
      <c r="AZ126" s="95"/>
      <c r="BA126" s="95"/>
      <c r="BB126" s="95"/>
      <c r="BC126" s="95"/>
      <c r="BD126" s="95"/>
      <c r="BE126" s="95"/>
      <c r="BF126" s="95"/>
      <c r="BG126" s="95"/>
      <c r="BH126" s="95"/>
      <c r="BI126" s="95"/>
      <c r="BJ126" s="95"/>
      <c r="BK126" s="95"/>
      <c r="BL126" s="95"/>
      <c r="BM126" s="95"/>
      <c r="BN126" s="95"/>
      <c r="BO126" s="95"/>
    </row>
    <row r="127" spans="1:78" x14ac:dyDescent="0.2">
      <c r="A127" s="72" t="s">
        <v>104</v>
      </c>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row>
    <row r="128" spans="1:78" x14ac:dyDescent="0.2">
      <c r="A128" s="26">
        <v>1</v>
      </c>
      <c r="B128" s="26" t="s">
        <v>218</v>
      </c>
      <c r="C128" s="26" t="s">
        <v>104</v>
      </c>
      <c r="D128" s="74">
        <v>1</v>
      </c>
      <c r="E128" s="75">
        <v>21</v>
      </c>
      <c r="F128" s="76">
        <v>1005</v>
      </c>
      <c r="G128" s="76">
        <v>0</v>
      </c>
      <c r="H128" s="77">
        <f>SUMIFS(RETETAR!$I$4:$I$967,RETETAR!$A$4:$A$967,$M128,RETETAR!$C$4:$C$967,"AMBELE")+SUMIFS(RETETAR!$I$4:$I$967,RETETAR!$A$4:$A$967,$M128,RETETAR!$C$4:$C$967,"INSTORE")</f>
        <v>1.581999642</v>
      </c>
      <c r="I128" s="77">
        <f>SUMIFS(RETETAR!$I$4:$I$967,RETETAR!$A$4:$A$967,$M128,RETETAR!$C$4:$C$967,"AMBELE")+SUMIFS(RETETAR!$I$4:$I$967,RETETAR!$A$4:$A$967,$M128,RETETAR!$C$4:$C$967,"DELIVERY")</f>
        <v>0</v>
      </c>
      <c r="J128" s="78">
        <f t="shared" ref="J128:J161" si="270">$H128*$F128</f>
        <v>1589.9096402099999</v>
      </c>
      <c r="K128" s="78">
        <f t="shared" ref="K128:K161" si="271">$I128*$G128</f>
        <v>0</v>
      </c>
      <c r="L128" s="78">
        <f t="shared" ref="L128:L161" si="272">$J128+$K128</f>
        <v>1589.9096402099999</v>
      </c>
      <c r="M128" t="s">
        <v>218</v>
      </c>
      <c r="N128" s="79">
        <v>10</v>
      </c>
      <c r="O128" s="79"/>
      <c r="P128" s="80">
        <v>10.99</v>
      </c>
      <c r="Q128" s="80"/>
      <c r="R128" s="81">
        <f t="shared" ref="R128:R161" si="273">IF(P128="",0,P128/(1+$E128/100)*$F128)</f>
        <v>9128.0578512396696</v>
      </c>
      <c r="S128" s="81">
        <f t="shared" ref="S128:S161" si="274">IF(Q128="",0,Q128/(1+$E128/100)*$G128)</f>
        <v>0</v>
      </c>
      <c r="T128" s="81">
        <f t="shared" ref="T128:T161" si="275">R128+S128</f>
        <v>9128.0578512396696</v>
      </c>
      <c r="U128" s="82">
        <f t="shared" ref="U128:U161" si="276">IF(OR(T128=0,$L128=0),"",$L128/T128)</f>
        <v>0.17417830453321201</v>
      </c>
      <c r="V128" s="82">
        <f t="shared" ref="V128:V161" si="277">IF(OR(R128=0,$J128=0),"",$J128/R128)</f>
        <v>0.17417830453321201</v>
      </c>
      <c r="W128" s="82" t="str">
        <f t="shared" ref="W128:W161" si="278">IF(OR(S128=0,$K128=0),"",$K128/S128)</f>
        <v/>
      </c>
      <c r="X128" s="83">
        <f>BS128+SCENARIU!$C$29+'AJUSTĂRI PE PRODUS'!$I$76</f>
        <v>10.99</v>
      </c>
      <c r="Y128" s="83"/>
      <c r="Z128" s="84">
        <f t="shared" ref="Z128:Z161" si="279">IF(X128="",0,X128/(1+$E128/100)*$F128)</f>
        <v>9128.0578512396696</v>
      </c>
      <c r="AA128" s="84">
        <f t="shared" ref="AA128:AA161" si="280">IF(Y128="",0,Y128/(1+$E128/100)*$G128)</f>
        <v>0</v>
      </c>
      <c r="AB128" s="84">
        <f t="shared" ref="AB128:AB161" si="281">Z128+AA128</f>
        <v>9128.0578512396696</v>
      </c>
      <c r="AC128" s="85">
        <f t="shared" ref="AC128:AC161" si="282">IF(OR(AB128=0,$L128=0),"",$L128/AB128)</f>
        <v>0.17417830453321201</v>
      </c>
      <c r="AD128" s="85">
        <f t="shared" ref="AD128:AD161" si="283">IF(OR(Z128=0,$J128=0),"",$J128/Z128)</f>
        <v>0.17417830453321201</v>
      </c>
      <c r="AE128" s="85" t="str">
        <f t="shared" ref="AE128:AE161" si="284">IF(OR(AA128=0,$K128=0),"",$K128/AA128)</f>
        <v/>
      </c>
      <c r="AF128" s="83">
        <f>BU128+SCENARIU!$C$29+SCENARIU!$D$29+'AJUSTĂRI PE PRODUS'!$I$76+'AJUSTĂRI PE PRODUS'!$N$76</f>
        <v>10.99</v>
      </c>
      <c r="AG128" s="83"/>
      <c r="AH128" s="86">
        <f t="shared" ref="AH128:AH161" si="285">IF(AF128="",0,AF128/(1+$E128/100)*$F128)</f>
        <v>9128.0578512396696</v>
      </c>
      <c r="AI128" s="86">
        <f t="shared" ref="AI128:AI161" si="286">IF(AG128="",0,AG128/(1+$E128/100)*$G128)</f>
        <v>0</v>
      </c>
      <c r="AJ128" s="86">
        <f t="shared" ref="AJ128:AJ161" si="287">AH128+AI128</f>
        <v>9128.0578512396696</v>
      </c>
      <c r="AK128" s="87">
        <f t="shared" ref="AK128:AK161" si="288">IF(OR(AJ128=0,$L128=0),"",$L128/AJ128)</f>
        <v>0.17417830453321201</v>
      </c>
      <c r="AL128" s="87">
        <f t="shared" ref="AL128:AL161" si="289">IF(OR(AH128=0,$J128=0),"",$J128/AH128)</f>
        <v>0.17417830453321201</v>
      </c>
      <c r="AM128" s="87" t="str">
        <f t="shared" ref="AM128:AM161" si="290">IF(OR(AI128=0,$K128=0),"",$K128/AI128)</f>
        <v/>
      </c>
      <c r="AN128" s="83">
        <f>BW128+SCENARIU!$C$29+SCENARIU!$D$29+SCENARIU!$E$29+'AJUSTĂRI PE PRODUS'!$I$76+'AJUSTĂRI PE PRODUS'!$N$76+'AJUSTĂRI PE PRODUS'!$S$76</f>
        <v>10.99</v>
      </c>
      <c r="AO128" s="83"/>
      <c r="AP128" s="88">
        <f t="shared" ref="AP128:AP161" si="291">IF(AN128="",0,AN128/(1+$E128/100)*$F128)</f>
        <v>9128.0578512396696</v>
      </c>
      <c r="AQ128" s="88">
        <f t="shared" ref="AQ128:AQ161" si="292">IF(AO128="",0,AO128/(1+$E128/100)*$G128)</f>
        <v>0</v>
      </c>
      <c r="AR128" s="88">
        <f t="shared" ref="AR128:AR161" si="293">AP128+AQ128</f>
        <v>9128.0578512396696</v>
      </c>
      <c r="AS128" s="89">
        <f t="shared" ref="AS128:AS161" si="294">IF(OR(AR128=0,$L128=0),"",$L128/AR128)</f>
        <v>0.17417830453321201</v>
      </c>
      <c r="AT128" s="89">
        <f t="shared" ref="AT128:AT161" si="295">IF(OR(AP128=0,$J128=0),"",$J128/AP128)</f>
        <v>0.17417830453321201</v>
      </c>
      <c r="AU128" s="89" t="str">
        <f t="shared" ref="AU128:AU161" si="296">IF(OR(AQ128=0,$K128=0),"",$K128/AQ128)</f>
        <v/>
      </c>
      <c r="AV128" s="83">
        <f>BY128+SCENARIU!$C$29+SCENARIU!$D$29+SCENARIU!$E$29+SCENARIU!$F$29+'AJUSTĂRI PE PRODUS'!$I$76+'AJUSTĂRI PE PRODUS'!$N$76+'AJUSTĂRI PE PRODUS'!$S$76+'AJUSTĂRI PE PRODUS'!$X$76</f>
        <v>10.99</v>
      </c>
      <c r="AW128" s="83"/>
      <c r="AX128" s="90">
        <f t="shared" ref="AX128:AX161" si="297">IF(AV128="",0,AV128/(1+$E128/100)*$F128)</f>
        <v>9128.0578512396696</v>
      </c>
      <c r="AY128" s="90">
        <f t="shared" ref="AY128:AY161" si="298">IF(AW128="",0,AW128/(1+$E128/100)*$G128)</f>
        <v>0</v>
      </c>
      <c r="AZ128" s="90">
        <f t="shared" ref="AZ128:AZ161" si="299">AX128+AY128</f>
        <v>9128.0578512396696</v>
      </c>
      <c r="BA128" s="91">
        <f t="shared" ref="BA128:BA161" si="300">IF(OR(AZ128=0,$L128=0),"",$L128/AZ128)</f>
        <v>0.17417830453321201</v>
      </c>
      <c r="BB128" s="91">
        <f t="shared" ref="BB128:BB161" si="301">IF(OR(AX128=0,$J128=0),"",$J128/AX128)</f>
        <v>0.17417830453321201</v>
      </c>
      <c r="BC128" s="91" t="str">
        <f t="shared" ref="BC128:BC161" si="302">IF(OR(AY128=0,$K128=0),"",$K128/AY128)</f>
        <v/>
      </c>
      <c r="BD128" s="92">
        <f t="shared" ref="BD128:BD161" si="303">IF(OR($N128="",P128=""),"",P128-$N128)</f>
        <v>0.99000000000000021</v>
      </c>
      <c r="BE128" s="92">
        <f t="shared" ref="BE128:BE161" si="304">IF(OR(P128="",X128=""),"",X128-P128)</f>
        <v>0</v>
      </c>
      <c r="BF128" s="92">
        <f t="shared" ref="BF128:BF161" si="305">IF(OR(X128="",AF128=""),"",AF128-X128)</f>
        <v>0</v>
      </c>
      <c r="BG128" s="92">
        <f t="shared" ref="BG128:BG161" si="306">IF(OR(AF128="",AN128=""),"",AN128-AF128)</f>
        <v>0</v>
      </c>
      <c r="BH128" s="92">
        <f t="shared" ref="BH128:BH161" si="307">IF(OR(AN128="",AV128=""),"",AV128-AN128)</f>
        <v>0</v>
      </c>
      <c r="BI128" s="93">
        <f t="shared" ref="BI128:BI161" si="308">IF(OR($N128="",AV128=""),"",AV128-$N128)</f>
        <v>0.99000000000000021</v>
      </c>
      <c r="BJ128" s="92" t="str">
        <f t="shared" ref="BJ128:BJ161" si="309">IF(OR($O128="",Q128=""),"",Q128-$O128)</f>
        <v/>
      </c>
      <c r="BK128" s="92" t="str">
        <f t="shared" ref="BK128:BK161" si="310">IF(OR(Q128="",Y128=""),"",Y128-Q128)</f>
        <v/>
      </c>
      <c r="BL128" s="92" t="str">
        <f t="shared" ref="BL128:BL161" si="311">IF(OR(Y128="",AG128=""),"",AG128-Y128)</f>
        <v/>
      </c>
      <c r="BM128" s="92" t="str">
        <f t="shared" ref="BM128:BM161" si="312">IF(OR(AG128="",AO128=""),"",AO128-AG128)</f>
        <v/>
      </c>
      <c r="BN128" s="92" t="str">
        <f t="shared" ref="BN128:BN161" si="313">IF(OR(AO128="",AW128=""),"",AW128-AO128)</f>
        <v/>
      </c>
      <c r="BO128" s="93" t="str">
        <f t="shared" ref="BO128:BO161" si="314">IF(OR($O128="",AW128=""),"",AW128-$O128)</f>
        <v/>
      </c>
      <c r="BQ128">
        <v>10.99</v>
      </c>
      <c r="BS128">
        <v>10.99</v>
      </c>
      <c r="BU128">
        <v>10.99</v>
      </c>
      <c r="BW128">
        <v>10.99</v>
      </c>
      <c r="BY128">
        <v>10.99</v>
      </c>
    </row>
    <row r="129" spans="1:78" x14ac:dyDescent="0.2">
      <c r="A129" s="26">
        <v>2</v>
      </c>
      <c r="B129" s="26" t="s">
        <v>229</v>
      </c>
      <c r="C129" s="26" t="s">
        <v>104</v>
      </c>
      <c r="D129" s="74">
        <v>1</v>
      </c>
      <c r="E129" s="75">
        <v>21</v>
      </c>
      <c r="F129" s="76">
        <v>461</v>
      </c>
      <c r="G129" s="76">
        <v>0</v>
      </c>
      <c r="H129" s="77">
        <f>SUMIFS(RETETAR!$I$4:$I$967,RETETAR!$A$4:$A$967,$M129,RETETAR!$C$4:$C$967,"AMBELE")+SUMIFS(RETETAR!$I$4:$I$967,RETETAR!$A$4:$A$967,$M129,RETETAR!$C$4:$C$967,"INSTORE")</f>
        <v>6.3287993</v>
      </c>
      <c r="I129" s="77">
        <f>SUMIFS(RETETAR!$I$4:$I$967,RETETAR!$A$4:$A$967,$M129,RETETAR!$C$4:$C$967,"AMBELE")+SUMIFS(RETETAR!$I$4:$I$967,RETETAR!$A$4:$A$967,$M129,RETETAR!$C$4:$C$967,"DELIVERY")</f>
        <v>0</v>
      </c>
      <c r="J129" s="78">
        <f t="shared" si="270"/>
        <v>2917.5764773000001</v>
      </c>
      <c r="K129" s="78">
        <f t="shared" si="271"/>
        <v>0</v>
      </c>
      <c r="L129" s="78">
        <f t="shared" si="272"/>
        <v>2917.5764773000001</v>
      </c>
      <c r="M129" t="s">
        <v>229</v>
      </c>
      <c r="N129" s="79">
        <v>17</v>
      </c>
      <c r="O129" s="79"/>
      <c r="P129" s="80">
        <v>17</v>
      </c>
      <c r="Q129" s="80"/>
      <c r="R129" s="81">
        <f t="shared" si="273"/>
        <v>6476.8595041322315</v>
      </c>
      <c r="S129" s="81">
        <f t="shared" si="274"/>
        <v>0</v>
      </c>
      <c r="T129" s="81">
        <f t="shared" si="275"/>
        <v>6476.8595041322315</v>
      </c>
      <c r="U129" s="82">
        <f t="shared" si="276"/>
        <v>0.45046159723529411</v>
      </c>
      <c r="V129" s="82">
        <f t="shared" si="277"/>
        <v>0.45046159723529411</v>
      </c>
      <c r="W129" s="82" t="str">
        <f t="shared" si="278"/>
        <v/>
      </c>
      <c r="X129" s="83">
        <f>BS129+SCENARIU!$C$29+'AJUSTĂRI PE PRODUS'!$I$90</f>
        <v>17</v>
      </c>
      <c r="Y129" s="83"/>
      <c r="Z129" s="84">
        <f t="shared" si="279"/>
        <v>6476.8595041322315</v>
      </c>
      <c r="AA129" s="84">
        <f t="shared" si="280"/>
        <v>0</v>
      </c>
      <c r="AB129" s="84">
        <f t="shared" si="281"/>
        <v>6476.8595041322315</v>
      </c>
      <c r="AC129" s="85">
        <f t="shared" si="282"/>
        <v>0.45046159723529411</v>
      </c>
      <c r="AD129" s="85">
        <f t="shared" si="283"/>
        <v>0.45046159723529411</v>
      </c>
      <c r="AE129" s="85" t="str">
        <f t="shared" si="284"/>
        <v/>
      </c>
      <c r="AF129" s="83">
        <f>BU129+SCENARIU!$C$29+SCENARIU!$D$29+'AJUSTĂRI PE PRODUS'!$I$90+'AJUSTĂRI PE PRODUS'!$N$90</f>
        <v>17</v>
      </c>
      <c r="AG129" s="83"/>
      <c r="AH129" s="86">
        <f t="shared" si="285"/>
        <v>6476.8595041322315</v>
      </c>
      <c r="AI129" s="86">
        <f t="shared" si="286"/>
        <v>0</v>
      </c>
      <c r="AJ129" s="86">
        <f t="shared" si="287"/>
        <v>6476.8595041322315</v>
      </c>
      <c r="AK129" s="87">
        <f t="shared" si="288"/>
        <v>0.45046159723529411</v>
      </c>
      <c r="AL129" s="87">
        <f t="shared" si="289"/>
        <v>0.45046159723529411</v>
      </c>
      <c r="AM129" s="87" t="str">
        <f t="shared" si="290"/>
        <v/>
      </c>
      <c r="AN129" s="83">
        <f>BW129+SCENARIU!$C$29+SCENARIU!$D$29+SCENARIU!$E$29+'AJUSTĂRI PE PRODUS'!$I$90+'AJUSTĂRI PE PRODUS'!$N$90+'AJUSTĂRI PE PRODUS'!$S$90</f>
        <v>17</v>
      </c>
      <c r="AO129" s="83"/>
      <c r="AP129" s="88">
        <f t="shared" si="291"/>
        <v>6476.8595041322315</v>
      </c>
      <c r="AQ129" s="88">
        <f t="shared" si="292"/>
        <v>0</v>
      </c>
      <c r="AR129" s="88">
        <f t="shared" si="293"/>
        <v>6476.8595041322315</v>
      </c>
      <c r="AS129" s="89">
        <f t="shared" si="294"/>
        <v>0.45046159723529411</v>
      </c>
      <c r="AT129" s="89">
        <f t="shared" si="295"/>
        <v>0.45046159723529411</v>
      </c>
      <c r="AU129" s="89" t="str">
        <f t="shared" si="296"/>
        <v/>
      </c>
      <c r="AV129" s="83">
        <f>BY129+SCENARIU!$C$29+SCENARIU!$D$29+SCENARIU!$E$29+SCENARIU!$F$29+'AJUSTĂRI PE PRODUS'!$I$90+'AJUSTĂRI PE PRODUS'!$N$90+'AJUSTĂRI PE PRODUS'!$S$90+'AJUSTĂRI PE PRODUS'!$X$90</f>
        <v>17</v>
      </c>
      <c r="AW129" s="83"/>
      <c r="AX129" s="90">
        <f t="shared" si="297"/>
        <v>6476.8595041322315</v>
      </c>
      <c r="AY129" s="90">
        <f t="shared" si="298"/>
        <v>0</v>
      </c>
      <c r="AZ129" s="90">
        <f t="shared" si="299"/>
        <v>6476.8595041322315</v>
      </c>
      <c r="BA129" s="91">
        <f t="shared" si="300"/>
        <v>0.45046159723529411</v>
      </c>
      <c r="BB129" s="91">
        <f t="shared" si="301"/>
        <v>0.45046159723529411</v>
      </c>
      <c r="BC129" s="91" t="str">
        <f t="shared" si="302"/>
        <v/>
      </c>
      <c r="BD129" s="92">
        <f t="shared" si="303"/>
        <v>0</v>
      </c>
      <c r="BE129" s="92">
        <f t="shared" si="304"/>
        <v>0</v>
      </c>
      <c r="BF129" s="92">
        <f t="shared" si="305"/>
        <v>0</v>
      </c>
      <c r="BG129" s="92">
        <f t="shared" si="306"/>
        <v>0</v>
      </c>
      <c r="BH129" s="92">
        <f t="shared" si="307"/>
        <v>0</v>
      </c>
      <c r="BI129" s="93">
        <f t="shared" si="308"/>
        <v>0</v>
      </c>
      <c r="BJ129" s="92" t="str">
        <f t="shared" si="309"/>
        <v/>
      </c>
      <c r="BK129" s="92" t="str">
        <f t="shared" si="310"/>
        <v/>
      </c>
      <c r="BL129" s="92" t="str">
        <f t="shared" si="311"/>
        <v/>
      </c>
      <c r="BM129" s="92" t="str">
        <f t="shared" si="312"/>
        <v/>
      </c>
      <c r="BN129" s="92" t="str">
        <f t="shared" si="313"/>
        <v/>
      </c>
      <c r="BO129" s="93" t="str">
        <f t="shared" si="314"/>
        <v/>
      </c>
      <c r="BQ129">
        <v>17</v>
      </c>
      <c r="BS129">
        <v>17</v>
      </c>
      <c r="BU129">
        <v>17</v>
      </c>
      <c r="BW129">
        <v>17</v>
      </c>
      <c r="BY129">
        <v>17</v>
      </c>
    </row>
    <row r="130" spans="1:78" x14ac:dyDescent="0.2">
      <c r="A130" s="26">
        <v>3</v>
      </c>
      <c r="B130" s="26" t="s">
        <v>232</v>
      </c>
      <c r="C130" s="26" t="s">
        <v>104</v>
      </c>
      <c r="D130" s="74">
        <v>1</v>
      </c>
      <c r="E130" s="75">
        <v>21</v>
      </c>
      <c r="F130" s="76">
        <v>516</v>
      </c>
      <c r="G130" s="76">
        <v>0</v>
      </c>
      <c r="H130" s="77">
        <f>SUMIFS(RETETAR!$I$4:$I$967,RETETAR!$A$4:$A$967,$M130,RETETAR!$C$4:$C$967,"AMBELE")+SUMIFS(RETETAR!$I$4:$I$967,RETETAR!$A$4:$A$967,$M130,RETETAR!$C$4:$C$967,"INSTORE")</f>
        <v>5.0239934999999996</v>
      </c>
      <c r="I130" s="77">
        <f>SUMIFS(RETETAR!$I$4:$I$967,RETETAR!$A$4:$A$967,$M130,RETETAR!$C$4:$C$967,"AMBELE")+SUMIFS(RETETAR!$I$4:$I$967,RETETAR!$A$4:$A$967,$M130,RETETAR!$C$4:$C$967,"DELIVERY")</f>
        <v>5.0239934999999996</v>
      </c>
      <c r="J130" s="78">
        <f t="shared" si="270"/>
        <v>2592.3806459999996</v>
      </c>
      <c r="K130" s="78">
        <f t="shared" si="271"/>
        <v>0</v>
      </c>
      <c r="L130" s="78">
        <f t="shared" si="272"/>
        <v>2592.3806459999996</v>
      </c>
      <c r="M130" t="s">
        <v>232</v>
      </c>
      <c r="N130" s="79">
        <v>13</v>
      </c>
      <c r="O130" s="79"/>
      <c r="P130" s="80">
        <v>13.99</v>
      </c>
      <c r="Q130" s="80"/>
      <c r="R130" s="81">
        <f t="shared" si="273"/>
        <v>5965.9834710743808</v>
      </c>
      <c r="S130" s="81">
        <f t="shared" si="274"/>
        <v>0</v>
      </c>
      <c r="T130" s="81">
        <f t="shared" si="275"/>
        <v>5965.9834710743808</v>
      </c>
      <c r="U130" s="82">
        <f t="shared" si="276"/>
        <v>0.43452695746962106</v>
      </c>
      <c r="V130" s="82">
        <f t="shared" si="277"/>
        <v>0.43452695746962106</v>
      </c>
      <c r="W130" s="82" t="str">
        <f t="shared" si="278"/>
        <v/>
      </c>
      <c r="X130" s="83">
        <f>BS130+SCENARIU!$C$29+'AJUSTĂRI PE PRODUS'!$I$93</f>
        <v>13.99</v>
      </c>
      <c r="Y130" s="83"/>
      <c r="Z130" s="84">
        <f t="shared" si="279"/>
        <v>5965.9834710743808</v>
      </c>
      <c r="AA130" s="84">
        <f t="shared" si="280"/>
        <v>0</v>
      </c>
      <c r="AB130" s="84">
        <f t="shared" si="281"/>
        <v>5965.9834710743808</v>
      </c>
      <c r="AC130" s="85">
        <f t="shared" si="282"/>
        <v>0.43452695746962106</v>
      </c>
      <c r="AD130" s="85">
        <f t="shared" si="283"/>
        <v>0.43452695746962106</v>
      </c>
      <c r="AE130" s="85" t="str">
        <f t="shared" si="284"/>
        <v/>
      </c>
      <c r="AF130" s="83">
        <f>BU130+SCENARIU!$C$29+SCENARIU!$D$29+'AJUSTĂRI PE PRODUS'!$I$93+'AJUSTĂRI PE PRODUS'!$N$93</f>
        <v>13.99</v>
      </c>
      <c r="AG130" s="83"/>
      <c r="AH130" s="86">
        <f t="shared" si="285"/>
        <v>5965.9834710743808</v>
      </c>
      <c r="AI130" s="86">
        <f t="shared" si="286"/>
        <v>0</v>
      </c>
      <c r="AJ130" s="86">
        <f t="shared" si="287"/>
        <v>5965.9834710743808</v>
      </c>
      <c r="AK130" s="87">
        <f t="shared" si="288"/>
        <v>0.43452695746962106</v>
      </c>
      <c r="AL130" s="87">
        <f t="shared" si="289"/>
        <v>0.43452695746962106</v>
      </c>
      <c r="AM130" s="87" t="str">
        <f t="shared" si="290"/>
        <v/>
      </c>
      <c r="AN130" s="83">
        <f>BW130+SCENARIU!$C$29+SCENARIU!$D$29+SCENARIU!$E$29+'AJUSTĂRI PE PRODUS'!$I$93+'AJUSTĂRI PE PRODUS'!$N$93+'AJUSTĂRI PE PRODUS'!$S$93</f>
        <v>13.99</v>
      </c>
      <c r="AO130" s="83"/>
      <c r="AP130" s="88">
        <f t="shared" si="291"/>
        <v>5965.9834710743808</v>
      </c>
      <c r="AQ130" s="88">
        <f t="shared" si="292"/>
        <v>0</v>
      </c>
      <c r="AR130" s="88">
        <f t="shared" si="293"/>
        <v>5965.9834710743808</v>
      </c>
      <c r="AS130" s="89">
        <f t="shared" si="294"/>
        <v>0.43452695746962106</v>
      </c>
      <c r="AT130" s="89">
        <f t="shared" si="295"/>
        <v>0.43452695746962106</v>
      </c>
      <c r="AU130" s="89" t="str">
        <f t="shared" si="296"/>
        <v/>
      </c>
      <c r="AV130" s="83">
        <f>BY130+SCENARIU!$C$29+SCENARIU!$D$29+SCENARIU!$E$29+SCENARIU!$F$29+'AJUSTĂRI PE PRODUS'!$I$93+'AJUSTĂRI PE PRODUS'!$N$93+'AJUSTĂRI PE PRODUS'!$S$93+'AJUSTĂRI PE PRODUS'!$X$93</f>
        <v>13.99</v>
      </c>
      <c r="AW130" s="83"/>
      <c r="AX130" s="90">
        <f t="shared" si="297"/>
        <v>5965.9834710743808</v>
      </c>
      <c r="AY130" s="90">
        <f t="shared" si="298"/>
        <v>0</v>
      </c>
      <c r="AZ130" s="90">
        <f t="shared" si="299"/>
        <v>5965.9834710743808</v>
      </c>
      <c r="BA130" s="91">
        <f t="shared" si="300"/>
        <v>0.43452695746962106</v>
      </c>
      <c r="BB130" s="91">
        <f t="shared" si="301"/>
        <v>0.43452695746962106</v>
      </c>
      <c r="BC130" s="91" t="str">
        <f t="shared" si="302"/>
        <v/>
      </c>
      <c r="BD130" s="92">
        <f t="shared" si="303"/>
        <v>0.99000000000000021</v>
      </c>
      <c r="BE130" s="92">
        <f t="shared" si="304"/>
        <v>0</v>
      </c>
      <c r="BF130" s="92">
        <f t="shared" si="305"/>
        <v>0</v>
      </c>
      <c r="BG130" s="92">
        <f t="shared" si="306"/>
        <v>0</v>
      </c>
      <c r="BH130" s="92">
        <f t="shared" si="307"/>
        <v>0</v>
      </c>
      <c r="BI130" s="93">
        <f t="shared" si="308"/>
        <v>0.99000000000000021</v>
      </c>
      <c r="BJ130" s="92" t="str">
        <f t="shared" si="309"/>
        <v/>
      </c>
      <c r="BK130" s="92" t="str">
        <f t="shared" si="310"/>
        <v/>
      </c>
      <c r="BL130" s="92" t="str">
        <f t="shared" si="311"/>
        <v/>
      </c>
      <c r="BM130" s="92" t="str">
        <f t="shared" si="312"/>
        <v/>
      </c>
      <c r="BN130" s="92" t="str">
        <f t="shared" si="313"/>
        <v/>
      </c>
      <c r="BO130" s="93" t="str">
        <f t="shared" si="314"/>
        <v/>
      </c>
      <c r="BQ130">
        <v>13.99</v>
      </c>
      <c r="BS130">
        <v>13.99</v>
      </c>
      <c r="BU130">
        <v>13.99</v>
      </c>
      <c r="BW130">
        <v>13.99</v>
      </c>
      <c r="BY130">
        <v>13.99</v>
      </c>
    </row>
    <row r="131" spans="1:78" x14ac:dyDescent="0.2">
      <c r="A131" s="26">
        <v>4</v>
      </c>
      <c r="B131" s="26" t="s">
        <v>254</v>
      </c>
      <c r="C131" s="26" t="s">
        <v>104</v>
      </c>
      <c r="D131" s="74">
        <v>1</v>
      </c>
      <c r="E131" s="75">
        <v>11</v>
      </c>
      <c r="F131" s="76">
        <v>139</v>
      </c>
      <c r="G131" s="76">
        <v>66</v>
      </c>
      <c r="H131" s="77">
        <f>SUMIFS(RETETAR!$I$4:$I$967,RETETAR!$A$4:$A$967,$M131,RETETAR!$C$4:$C$967,"AMBELE")+SUMIFS(RETETAR!$I$4:$I$967,RETETAR!$A$4:$A$967,$M131,RETETAR!$C$4:$C$967,"INSTORE")</f>
        <v>7.4490099999999995</v>
      </c>
      <c r="I131" s="77">
        <f>SUMIFS(RETETAR!$I$4:$I$967,RETETAR!$A$4:$A$967,$M131,RETETAR!$C$4:$C$967,"AMBELE")+SUMIFS(RETETAR!$I$4:$I$967,RETETAR!$A$4:$A$967,$M131,RETETAR!$C$4:$C$967,"DELIVERY")</f>
        <v>7.4490099999999995</v>
      </c>
      <c r="J131" s="78">
        <f t="shared" si="270"/>
        <v>1035.41239</v>
      </c>
      <c r="K131" s="78">
        <f t="shared" si="271"/>
        <v>491.63465999999994</v>
      </c>
      <c r="L131" s="78">
        <f t="shared" si="272"/>
        <v>1527.0470499999999</v>
      </c>
      <c r="M131" t="s">
        <v>254</v>
      </c>
      <c r="N131" s="79">
        <v>17</v>
      </c>
      <c r="O131" s="79">
        <v>18</v>
      </c>
      <c r="P131" s="80">
        <v>17</v>
      </c>
      <c r="Q131" s="80">
        <v>18</v>
      </c>
      <c r="R131" s="81">
        <f t="shared" si="273"/>
        <v>2128.8288288288286</v>
      </c>
      <c r="S131" s="81">
        <f t="shared" si="274"/>
        <v>1070.2702702702702</v>
      </c>
      <c r="T131" s="81">
        <f t="shared" si="275"/>
        <v>3199.0990990990986</v>
      </c>
      <c r="U131" s="82">
        <f t="shared" si="276"/>
        <v>0.47733658842579557</v>
      </c>
      <c r="V131" s="82">
        <f t="shared" si="277"/>
        <v>0.48637653529411767</v>
      </c>
      <c r="W131" s="82">
        <f t="shared" si="278"/>
        <v>0.45935561666666663</v>
      </c>
      <c r="X131" s="83">
        <f>BS131+SCENARIU!$C$29+'AJUSTĂRI PE PRODUS'!$I$119</f>
        <v>17</v>
      </c>
      <c r="Y131" s="83">
        <f>BT131+SCENARIU!$C$29+'AJUSTĂRI PE PRODUS'!$J$119</f>
        <v>18</v>
      </c>
      <c r="Z131" s="84">
        <f t="shared" si="279"/>
        <v>2128.8288288288286</v>
      </c>
      <c r="AA131" s="84">
        <f t="shared" si="280"/>
        <v>1070.2702702702702</v>
      </c>
      <c r="AB131" s="84">
        <f t="shared" si="281"/>
        <v>3199.0990990990986</v>
      </c>
      <c r="AC131" s="85">
        <f t="shared" si="282"/>
        <v>0.47733658842579557</v>
      </c>
      <c r="AD131" s="85">
        <f t="shared" si="283"/>
        <v>0.48637653529411767</v>
      </c>
      <c r="AE131" s="85">
        <f t="shared" si="284"/>
        <v>0.45935561666666663</v>
      </c>
      <c r="AF131" s="83">
        <f>BU131+SCENARIU!$C$29+SCENARIU!$D$29+'AJUSTĂRI PE PRODUS'!$I$119+'AJUSTĂRI PE PRODUS'!$N$119</f>
        <v>17.25</v>
      </c>
      <c r="AG131" s="83">
        <f>BV131+SCENARIU!$C$29+SCENARIU!$D$29+'AJUSTĂRI PE PRODUS'!$J$119+'AJUSTĂRI PE PRODUS'!$O$119</f>
        <v>18.25</v>
      </c>
      <c r="AH131" s="86">
        <f t="shared" si="285"/>
        <v>2160.135135135135</v>
      </c>
      <c r="AI131" s="86">
        <f t="shared" si="286"/>
        <v>1085.135135135135</v>
      </c>
      <c r="AJ131" s="86">
        <f t="shared" si="287"/>
        <v>3245.27027027027</v>
      </c>
      <c r="AK131" s="87">
        <f t="shared" si="288"/>
        <v>0.47054541619820944</v>
      </c>
      <c r="AL131" s="87">
        <f t="shared" si="289"/>
        <v>0.47932760000000002</v>
      </c>
      <c r="AM131" s="87">
        <f t="shared" si="290"/>
        <v>0.45306307397260276</v>
      </c>
      <c r="AN131" s="83">
        <f>BW131+SCENARIU!$C$29+SCENARIU!$D$29+SCENARIU!$E$29+'AJUSTĂRI PE PRODUS'!$I$119+'AJUSTĂRI PE PRODUS'!$N$119+'AJUSTĂRI PE PRODUS'!$S$119</f>
        <v>17.5</v>
      </c>
      <c r="AO131" s="83">
        <f>BX131+SCENARIU!$C$29+SCENARIU!$D$29+SCENARIU!$E$29+'AJUSTĂRI PE PRODUS'!$J$119+'AJUSTĂRI PE PRODUS'!$O$119+'AJUSTĂRI PE PRODUS'!$T$119</f>
        <v>18.5</v>
      </c>
      <c r="AP131" s="88">
        <f t="shared" si="291"/>
        <v>2191.4414414414414</v>
      </c>
      <c r="AQ131" s="88">
        <f t="shared" si="292"/>
        <v>1099.9999999999998</v>
      </c>
      <c r="AR131" s="88">
        <f t="shared" si="293"/>
        <v>3291.4414414414414</v>
      </c>
      <c r="AS131" s="89">
        <f t="shared" si="294"/>
        <v>0.46394477227316272</v>
      </c>
      <c r="AT131" s="89">
        <f t="shared" si="295"/>
        <v>0.47248006285714284</v>
      </c>
      <c r="AU131" s="89">
        <f t="shared" si="296"/>
        <v>0.44694060000000002</v>
      </c>
      <c r="AV131" s="83">
        <f>BY131+SCENARIU!$C$29+SCENARIU!$D$29+SCENARIU!$E$29+SCENARIU!$F$29+'AJUSTĂRI PE PRODUS'!$I$119+'AJUSTĂRI PE PRODUS'!$N$119+'AJUSTĂRI PE PRODUS'!$S$119+'AJUSTĂRI PE PRODUS'!$X$119</f>
        <v>17.5</v>
      </c>
      <c r="AW131" s="83">
        <f>BZ131+SCENARIU!$C$29+SCENARIU!$D$29+SCENARIU!$E$29+SCENARIU!$F$29+'AJUSTĂRI PE PRODUS'!$J$119+'AJUSTĂRI PE PRODUS'!$O$119+'AJUSTĂRI PE PRODUS'!$T$119+'AJUSTĂRI PE PRODUS'!$Y$119</f>
        <v>18.5</v>
      </c>
      <c r="AX131" s="90">
        <f t="shared" si="297"/>
        <v>2191.4414414414414</v>
      </c>
      <c r="AY131" s="90">
        <f t="shared" si="298"/>
        <v>1099.9999999999998</v>
      </c>
      <c r="AZ131" s="90">
        <f t="shared" si="299"/>
        <v>3291.4414414414414</v>
      </c>
      <c r="BA131" s="91">
        <f t="shared" si="300"/>
        <v>0.46394477227316272</v>
      </c>
      <c r="BB131" s="91">
        <f t="shared" si="301"/>
        <v>0.47248006285714284</v>
      </c>
      <c r="BC131" s="91">
        <f t="shared" si="302"/>
        <v>0.44694060000000002</v>
      </c>
      <c r="BD131" s="92">
        <f t="shared" si="303"/>
        <v>0</v>
      </c>
      <c r="BE131" s="92">
        <f t="shared" si="304"/>
        <v>0</v>
      </c>
      <c r="BF131" s="92">
        <f t="shared" si="305"/>
        <v>0.25</v>
      </c>
      <c r="BG131" s="92">
        <f t="shared" si="306"/>
        <v>0.25</v>
      </c>
      <c r="BH131" s="92">
        <f t="shared" si="307"/>
        <v>0</v>
      </c>
      <c r="BI131" s="93">
        <f t="shared" si="308"/>
        <v>0.5</v>
      </c>
      <c r="BJ131" s="92">
        <f t="shared" si="309"/>
        <v>0</v>
      </c>
      <c r="BK131" s="92">
        <f t="shared" si="310"/>
        <v>0</v>
      </c>
      <c r="BL131" s="92">
        <f t="shared" si="311"/>
        <v>0.25</v>
      </c>
      <c r="BM131" s="92">
        <f t="shared" si="312"/>
        <v>0.25</v>
      </c>
      <c r="BN131" s="92">
        <f t="shared" si="313"/>
        <v>0</v>
      </c>
      <c r="BO131" s="93">
        <f t="shared" si="314"/>
        <v>0.5</v>
      </c>
      <c r="BQ131">
        <v>17</v>
      </c>
      <c r="BR131">
        <v>18</v>
      </c>
      <c r="BS131">
        <v>17</v>
      </c>
      <c r="BT131">
        <v>18</v>
      </c>
      <c r="BU131">
        <v>17.25</v>
      </c>
      <c r="BV131">
        <v>18.25</v>
      </c>
      <c r="BW131">
        <v>17.5</v>
      </c>
      <c r="BX131">
        <v>18.5</v>
      </c>
      <c r="BY131">
        <v>17.5</v>
      </c>
      <c r="BZ131">
        <v>18.5</v>
      </c>
    </row>
    <row r="132" spans="1:78" x14ac:dyDescent="0.2">
      <c r="A132" s="26">
        <v>5</v>
      </c>
      <c r="B132" s="26" t="s">
        <v>264</v>
      </c>
      <c r="C132" s="26" t="s">
        <v>104</v>
      </c>
      <c r="D132" s="74">
        <v>1</v>
      </c>
      <c r="E132" s="75">
        <v>11</v>
      </c>
      <c r="F132" s="76">
        <v>84</v>
      </c>
      <c r="G132" s="76">
        <v>70</v>
      </c>
      <c r="H132" s="77">
        <f>SUMIFS(RETETAR!$I$4:$I$967,RETETAR!$A$4:$A$967,$M132,RETETAR!$C$4:$C$967,"AMBELE")+SUMIFS(RETETAR!$I$4:$I$967,RETETAR!$A$4:$A$967,$M132,RETETAR!$C$4:$C$967,"INSTORE")</f>
        <v>8.7730099999999993</v>
      </c>
      <c r="I132" s="77">
        <f>SUMIFS(RETETAR!$I$4:$I$967,RETETAR!$A$4:$A$967,$M132,RETETAR!$C$4:$C$967,"AMBELE")+SUMIFS(RETETAR!$I$4:$I$967,RETETAR!$A$4:$A$967,$M132,RETETAR!$C$4:$C$967,"DELIVERY")</f>
        <v>8.7730099999999993</v>
      </c>
      <c r="J132" s="78">
        <f t="shared" si="270"/>
        <v>736.93283999999994</v>
      </c>
      <c r="K132" s="78">
        <f t="shared" si="271"/>
        <v>614.11069999999995</v>
      </c>
      <c r="L132" s="78">
        <f t="shared" si="272"/>
        <v>1351.0435399999999</v>
      </c>
      <c r="M132" t="s">
        <v>264</v>
      </c>
      <c r="N132" s="79">
        <v>17</v>
      </c>
      <c r="O132" s="79">
        <v>18</v>
      </c>
      <c r="P132" s="80">
        <v>17</v>
      </c>
      <c r="Q132" s="80">
        <v>18</v>
      </c>
      <c r="R132" s="81">
        <f t="shared" si="273"/>
        <v>1286.4864864864862</v>
      </c>
      <c r="S132" s="81">
        <f t="shared" si="274"/>
        <v>1135.135135135135</v>
      </c>
      <c r="T132" s="81">
        <f t="shared" si="275"/>
        <v>2421.6216216216212</v>
      </c>
      <c r="U132" s="82">
        <f t="shared" si="276"/>
        <v>0.55790860468750003</v>
      </c>
      <c r="V132" s="82">
        <f t="shared" si="277"/>
        <v>0.57282594705882361</v>
      </c>
      <c r="W132" s="82">
        <f t="shared" si="278"/>
        <v>0.54100228333333333</v>
      </c>
      <c r="X132" s="83">
        <f>BS132+SCENARIU!$C$29+'AJUSTĂRI PE PRODUS'!$I$129</f>
        <v>17</v>
      </c>
      <c r="Y132" s="83">
        <f>BT132+SCENARIU!$C$29+'AJUSTĂRI PE PRODUS'!$J$129</f>
        <v>18</v>
      </c>
      <c r="Z132" s="84">
        <f t="shared" si="279"/>
        <v>1286.4864864864862</v>
      </c>
      <c r="AA132" s="84">
        <f t="shared" si="280"/>
        <v>1135.135135135135</v>
      </c>
      <c r="AB132" s="84">
        <f t="shared" si="281"/>
        <v>2421.6216216216212</v>
      </c>
      <c r="AC132" s="85">
        <f t="shared" si="282"/>
        <v>0.55790860468750003</v>
      </c>
      <c r="AD132" s="85">
        <f t="shared" si="283"/>
        <v>0.57282594705882361</v>
      </c>
      <c r="AE132" s="85">
        <f t="shared" si="284"/>
        <v>0.54100228333333333</v>
      </c>
      <c r="AF132" s="83">
        <f>BU132+SCENARIU!$C$29+SCENARIU!$D$29+'AJUSTĂRI PE PRODUS'!$I$129+'AJUSTĂRI PE PRODUS'!$N$129</f>
        <v>17.25</v>
      </c>
      <c r="AG132" s="83">
        <f>BV132+SCENARIU!$C$29+SCENARIU!$D$29+'AJUSTĂRI PE PRODUS'!$J$129+'AJUSTĂRI PE PRODUS'!$O$129</f>
        <v>18.25</v>
      </c>
      <c r="AH132" s="86">
        <f t="shared" si="285"/>
        <v>1305.4054054054052</v>
      </c>
      <c r="AI132" s="86">
        <f t="shared" si="286"/>
        <v>1150.900900900901</v>
      </c>
      <c r="AJ132" s="86">
        <f t="shared" si="287"/>
        <v>2456.3063063063064</v>
      </c>
      <c r="AK132" s="87">
        <f t="shared" si="288"/>
        <v>0.55003056277278561</v>
      </c>
      <c r="AL132" s="87">
        <f t="shared" si="289"/>
        <v>0.56452412173913047</v>
      </c>
      <c r="AM132" s="87">
        <f t="shared" si="290"/>
        <v>0.53359129315068488</v>
      </c>
      <c r="AN132" s="83">
        <f>BW132+SCENARIU!$C$29+SCENARIU!$D$29+SCENARIU!$E$29+'AJUSTĂRI PE PRODUS'!$I$129+'AJUSTĂRI PE PRODUS'!$N$129+'AJUSTĂRI PE PRODUS'!$S$129</f>
        <v>17.5</v>
      </c>
      <c r="AO132" s="83">
        <f>BX132+SCENARIU!$C$29+SCENARIU!$D$29+SCENARIU!$E$29+'AJUSTĂRI PE PRODUS'!$J$129+'AJUSTĂRI PE PRODUS'!$O$129+'AJUSTĂRI PE PRODUS'!$T$129</f>
        <v>18.5</v>
      </c>
      <c r="AP132" s="88">
        <f t="shared" si="291"/>
        <v>1324.3243243243242</v>
      </c>
      <c r="AQ132" s="88">
        <f t="shared" si="292"/>
        <v>1166.6666666666665</v>
      </c>
      <c r="AR132" s="88">
        <f t="shared" si="293"/>
        <v>2490.9909909909907</v>
      </c>
      <c r="AS132" s="89">
        <f t="shared" si="294"/>
        <v>0.54237190936708868</v>
      </c>
      <c r="AT132" s="89">
        <f t="shared" si="295"/>
        <v>0.55645949142857143</v>
      </c>
      <c r="AU132" s="89">
        <f t="shared" si="296"/>
        <v>0.52638059999999998</v>
      </c>
      <c r="AV132" s="83">
        <f>BY132+SCENARIU!$C$29+SCENARIU!$D$29+SCENARIU!$E$29+SCENARIU!$F$29+'AJUSTĂRI PE PRODUS'!$I$129+'AJUSTĂRI PE PRODUS'!$N$129+'AJUSTĂRI PE PRODUS'!$S$129+'AJUSTĂRI PE PRODUS'!$X$129</f>
        <v>17.5</v>
      </c>
      <c r="AW132" s="83">
        <f>BZ132+SCENARIU!$C$29+SCENARIU!$D$29+SCENARIU!$E$29+SCENARIU!$F$29+'AJUSTĂRI PE PRODUS'!$J$129+'AJUSTĂRI PE PRODUS'!$O$129+'AJUSTĂRI PE PRODUS'!$T$129+'AJUSTĂRI PE PRODUS'!$Y$129</f>
        <v>18.5</v>
      </c>
      <c r="AX132" s="90">
        <f t="shared" si="297"/>
        <v>1324.3243243243242</v>
      </c>
      <c r="AY132" s="90">
        <f t="shared" si="298"/>
        <v>1166.6666666666665</v>
      </c>
      <c r="AZ132" s="90">
        <f t="shared" si="299"/>
        <v>2490.9909909909907</v>
      </c>
      <c r="BA132" s="91">
        <f t="shared" si="300"/>
        <v>0.54237190936708868</v>
      </c>
      <c r="BB132" s="91">
        <f t="shared" si="301"/>
        <v>0.55645949142857143</v>
      </c>
      <c r="BC132" s="91">
        <f t="shared" si="302"/>
        <v>0.52638059999999998</v>
      </c>
      <c r="BD132" s="92">
        <f t="shared" si="303"/>
        <v>0</v>
      </c>
      <c r="BE132" s="92">
        <f t="shared" si="304"/>
        <v>0</v>
      </c>
      <c r="BF132" s="92">
        <f t="shared" si="305"/>
        <v>0.25</v>
      </c>
      <c r="BG132" s="92">
        <f t="shared" si="306"/>
        <v>0.25</v>
      </c>
      <c r="BH132" s="92">
        <f t="shared" si="307"/>
        <v>0</v>
      </c>
      <c r="BI132" s="93">
        <f t="shared" si="308"/>
        <v>0.5</v>
      </c>
      <c r="BJ132" s="92">
        <f t="shared" si="309"/>
        <v>0</v>
      </c>
      <c r="BK132" s="92">
        <f t="shared" si="310"/>
        <v>0</v>
      </c>
      <c r="BL132" s="92">
        <f t="shared" si="311"/>
        <v>0.25</v>
      </c>
      <c r="BM132" s="92">
        <f t="shared" si="312"/>
        <v>0.25</v>
      </c>
      <c r="BN132" s="92">
        <f t="shared" si="313"/>
        <v>0</v>
      </c>
      <c r="BO132" s="93">
        <f t="shared" si="314"/>
        <v>0.5</v>
      </c>
      <c r="BQ132">
        <v>17</v>
      </c>
      <c r="BR132">
        <v>18</v>
      </c>
      <c r="BS132">
        <v>17</v>
      </c>
      <c r="BT132">
        <v>18</v>
      </c>
      <c r="BU132">
        <v>17.25</v>
      </c>
      <c r="BV132">
        <v>18.25</v>
      </c>
      <c r="BW132">
        <v>17.5</v>
      </c>
      <c r="BX132">
        <v>18.5</v>
      </c>
      <c r="BY132">
        <v>17.5</v>
      </c>
      <c r="BZ132">
        <v>18.5</v>
      </c>
    </row>
    <row r="133" spans="1:78" x14ac:dyDescent="0.2">
      <c r="A133" s="26">
        <v>6</v>
      </c>
      <c r="B133" s="26" t="s">
        <v>265</v>
      </c>
      <c r="C133" s="26" t="s">
        <v>104</v>
      </c>
      <c r="D133" s="74">
        <v>1</v>
      </c>
      <c r="E133" s="75">
        <v>11</v>
      </c>
      <c r="F133" s="76">
        <v>79</v>
      </c>
      <c r="G133" s="76">
        <v>52</v>
      </c>
      <c r="H133" s="77">
        <f>SUMIFS(RETETAR!$I$4:$I$967,RETETAR!$A$4:$A$967,$M133,RETETAR!$C$4:$C$967,"AMBELE")+SUMIFS(RETETAR!$I$4:$I$967,RETETAR!$A$4:$A$967,$M133,RETETAR!$C$4:$C$967,"INSTORE")</f>
        <v>9.4590099999999993</v>
      </c>
      <c r="I133" s="77">
        <f>SUMIFS(RETETAR!$I$4:$I$967,RETETAR!$A$4:$A$967,$M133,RETETAR!$C$4:$C$967,"AMBELE")+SUMIFS(RETETAR!$I$4:$I$967,RETETAR!$A$4:$A$967,$M133,RETETAR!$C$4:$C$967,"DELIVERY")</f>
        <v>9.4590099999999993</v>
      </c>
      <c r="J133" s="78">
        <f t="shared" si="270"/>
        <v>747.26178999999991</v>
      </c>
      <c r="K133" s="78">
        <f t="shared" si="271"/>
        <v>491.86851999999999</v>
      </c>
      <c r="L133" s="78">
        <f t="shared" si="272"/>
        <v>1239.13031</v>
      </c>
      <c r="M133" t="s">
        <v>265</v>
      </c>
      <c r="N133" s="79">
        <v>20</v>
      </c>
      <c r="O133" s="79">
        <v>21</v>
      </c>
      <c r="P133" s="80">
        <v>20</v>
      </c>
      <c r="Q133" s="80">
        <v>21</v>
      </c>
      <c r="R133" s="81">
        <f t="shared" si="273"/>
        <v>1423.4234234234232</v>
      </c>
      <c r="S133" s="81">
        <f t="shared" si="274"/>
        <v>983.78378378378363</v>
      </c>
      <c r="T133" s="81">
        <f t="shared" si="275"/>
        <v>2407.2072072072069</v>
      </c>
      <c r="U133" s="82">
        <f t="shared" si="276"/>
        <v>0.51475847458832347</v>
      </c>
      <c r="V133" s="82">
        <f t="shared" si="277"/>
        <v>0.52497505500000008</v>
      </c>
      <c r="W133" s="82">
        <f t="shared" si="278"/>
        <v>0.49997624285714293</v>
      </c>
      <c r="X133" s="83">
        <f>BS133+SCENARIU!$C$29+'AJUSTĂRI PE PRODUS'!$I$130</f>
        <v>20</v>
      </c>
      <c r="Y133" s="83">
        <f>BT133+SCENARIU!$C$29+'AJUSTĂRI PE PRODUS'!$J$130</f>
        <v>21</v>
      </c>
      <c r="Z133" s="84">
        <f t="shared" si="279"/>
        <v>1423.4234234234232</v>
      </c>
      <c r="AA133" s="84">
        <f t="shared" si="280"/>
        <v>983.78378378378363</v>
      </c>
      <c r="AB133" s="84">
        <f t="shared" si="281"/>
        <v>2407.2072072072069</v>
      </c>
      <c r="AC133" s="85">
        <f t="shared" si="282"/>
        <v>0.51475847458832347</v>
      </c>
      <c r="AD133" s="85">
        <f t="shared" si="283"/>
        <v>0.52497505500000008</v>
      </c>
      <c r="AE133" s="85">
        <f t="shared" si="284"/>
        <v>0.49997624285714293</v>
      </c>
      <c r="AF133" s="83">
        <f>BU133+SCENARIU!$C$29+SCENARIU!$D$29+'AJUSTĂRI PE PRODUS'!$I$130+'AJUSTĂRI PE PRODUS'!$N$130</f>
        <v>20.25</v>
      </c>
      <c r="AG133" s="83">
        <f>BV133+SCENARIU!$C$29+SCENARIU!$D$29+'AJUSTĂRI PE PRODUS'!$J$130+'AJUSTĂRI PE PRODUS'!$O$130</f>
        <v>21.25</v>
      </c>
      <c r="AH133" s="86">
        <f t="shared" si="285"/>
        <v>1441.216216216216</v>
      </c>
      <c r="AI133" s="86">
        <f t="shared" si="286"/>
        <v>995.49549549549545</v>
      </c>
      <c r="AJ133" s="86">
        <f t="shared" si="287"/>
        <v>2436.7117117117114</v>
      </c>
      <c r="AK133" s="87">
        <f t="shared" si="288"/>
        <v>0.50852561016729836</v>
      </c>
      <c r="AL133" s="87">
        <f t="shared" si="289"/>
        <v>0.51849388148148146</v>
      </c>
      <c r="AM133" s="87">
        <f t="shared" si="290"/>
        <v>0.49409416941176471</v>
      </c>
      <c r="AN133" s="83">
        <f>BW133+SCENARIU!$C$29+SCENARIU!$D$29+SCENARIU!$E$29+'AJUSTĂRI PE PRODUS'!$I$130+'AJUSTĂRI PE PRODUS'!$N$130+'AJUSTĂRI PE PRODUS'!$S$130</f>
        <v>20.5</v>
      </c>
      <c r="AO133" s="83">
        <f>BX133+SCENARIU!$C$29+SCENARIU!$D$29+SCENARIU!$E$29+'AJUSTĂRI PE PRODUS'!$J$130+'AJUSTĂRI PE PRODUS'!$O$130+'AJUSTĂRI PE PRODUS'!$T$130</f>
        <v>21.5</v>
      </c>
      <c r="AP133" s="88">
        <f t="shared" si="291"/>
        <v>1459.0090090090089</v>
      </c>
      <c r="AQ133" s="88">
        <f t="shared" si="292"/>
        <v>1007.207207207207</v>
      </c>
      <c r="AR133" s="88">
        <f t="shared" si="293"/>
        <v>2466.2162162162158</v>
      </c>
      <c r="AS133" s="89">
        <f t="shared" si="294"/>
        <v>0.50244187912328775</v>
      </c>
      <c r="AT133" s="89">
        <f t="shared" si="295"/>
        <v>0.51217078536585359</v>
      </c>
      <c r="AU133" s="89">
        <f t="shared" si="296"/>
        <v>0.48834888837209312</v>
      </c>
      <c r="AV133" s="83">
        <f>BY133+SCENARIU!$C$29+SCENARIU!$D$29+SCENARIU!$E$29+SCENARIU!$F$29+'AJUSTĂRI PE PRODUS'!$I$130+'AJUSTĂRI PE PRODUS'!$N$130+'AJUSTĂRI PE PRODUS'!$S$130+'AJUSTĂRI PE PRODUS'!$X$130</f>
        <v>20.5</v>
      </c>
      <c r="AW133" s="83">
        <f>BZ133+SCENARIU!$C$29+SCENARIU!$D$29+SCENARIU!$E$29+SCENARIU!$F$29+'AJUSTĂRI PE PRODUS'!$J$130+'AJUSTĂRI PE PRODUS'!$O$130+'AJUSTĂRI PE PRODUS'!$T$130+'AJUSTĂRI PE PRODUS'!$Y$130</f>
        <v>21.5</v>
      </c>
      <c r="AX133" s="90">
        <f t="shared" si="297"/>
        <v>1459.0090090090089</v>
      </c>
      <c r="AY133" s="90">
        <f t="shared" si="298"/>
        <v>1007.207207207207</v>
      </c>
      <c r="AZ133" s="90">
        <f t="shared" si="299"/>
        <v>2466.2162162162158</v>
      </c>
      <c r="BA133" s="91">
        <f t="shared" si="300"/>
        <v>0.50244187912328775</v>
      </c>
      <c r="BB133" s="91">
        <f t="shared" si="301"/>
        <v>0.51217078536585359</v>
      </c>
      <c r="BC133" s="91">
        <f t="shared" si="302"/>
        <v>0.48834888837209312</v>
      </c>
      <c r="BD133" s="92">
        <f t="shared" si="303"/>
        <v>0</v>
      </c>
      <c r="BE133" s="92">
        <f t="shared" si="304"/>
        <v>0</v>
      </c>
      <c r="BF133" s="92">
        <f t="shared" si="305"/>
        <v>0.25</v>
      </c>
      <c r="BG133" s="92">
        <f t="shared" si="306"/>
        <v>0.25</v>
      </c>
      <c r="BH133" s="92">
        <f t="shared" si="307"/>
        <v>0</v>
      </c>
      <c r="BI133" s="93">
        <f t="shared" si="308"/>
        <v>0.5</v>
      </c>
      <c r="BJ133" s="92">
        <f t="shared" si="309"/>
        <v>0</v>
      </c>
      <c r="BK133" s="92">
        <f t="shared" si="310"/>
        <v>0</v>
      </c>
      <c r="BL133" s="92">
        <f t="shared" si="311"/>
        <v>0.25</v>
      </c>
      <c r="BM133" s="92">
        <f t="shared" si="312"/>
        <v>0.25</v>
      </c>
      <c r="BN133" s="92">
        <f t="shared" si="313"/>
        <v>0</v>
      </c>
      <c r="BO133" s="93">
        <f t="shared" si="314"/>
        <v>0.5</v>
      </c>
      <c r="BQ133">
        <v>20</v>
      </c>
      <c r="BR133">
        <v>21</v>
      </c>
      <c r="BS133">
        <v>20</v>
      </c>
      <c r="BT133">
        <v>21</v>
      </c>
      <c r="BU133">
        <v>20.25</v>
      </c>
      <c r="BV133">
        <v>21.25</v>
      </c>
      <c r="BW133">
        <v>20.5</v>
      </c>
      <c r="BX133">
        <v>21.5</v>
      </c>
      <c r="BY133">
        <v>20.5</v>
      </c>
      <c r="BZ133">
        <v>21.5</v>
      </c>
    </row>
    <row r="134" spans="1:78" x14ac:dyDescent="0.2">
      <c r="A134" s="26">
        <v>7</v>
      </c>
      <c r="B134" s="26" t="s">
        <v>269</v>
      </c>
      <c r="C134" s="26" t="s">
        <v>104</v>
      </c>
      <c r="D134" s="74">
        <v>1</v>
      </c>
      <c r="E134" s="75">
        <v>11</v>
      </c>
      <c r="F134" s="76">
        <v>57</v>
      </c>
      <c r="G134" s="76">
        <v>54</v>
      </c>
      <c r="H134" s="77">
        <f>SUMIFS(RETETAR!$I$4:$I$967,RETETAR!$A$4:$A$967,$M134,RETETAR!$C$4:$C$967,"AMBELE")+SUMIFS(RETETAR!$I$4:$I$967,RETETAR!$A$4:$A$967,$M134,RETETAR!$C$4:$C$967,"INSTORE")</f>
        <v>9.5680199999999989</v>
      </c>
      <c r="I134" s="77">
        <f>SUMIFS(RETETAR!$I$4:$I$967,RETETAR!$A$4:$A$967,$M134,RETETAR!$C$4:$C$967,"AMBELE")+SUMIFS(RETETAR!$I$4:$I$967,RETETAR!$A$4:$A$967,$M134,RETETAR!$C$4:$C$967,"DELIVERY")</f>
        <v>9.5680199999999989</v>
      </c>
      <c r="J134" s="78">
        <f t="shared" si="270"/>
        <v>545.37713999999994</v>
      </c>
      <c r="K134" s="78">
        <f t="shared" si="271"/>
        <v>516.67307999999991</v>
      </c>
      <c r="L134" s="78">
        <f t="shared" si="272"/>
        <v>1062.0502199999999</v>
      </c>
      <c r="M134" t="s">
        <v>269</v>
      </c>
      <c r="N134" s="79">
        <v>20</v>
      </c>
      <c r="O134" s="79">
        <v>21</v>
      </c>
      <c r="P134" s="80">
        <v>20</v>
      </c>
      <c r="Q134" s="80">
        <v>21</v>
      </c>
      <c r="R134" s="81">
        <f t="shared" si="273"/>
        <v>1027.0270270270269</v>
      </c>
      <c r="S134" s="81">
        <f t="shared" si="274"/>
        <v>1021.6216216216214</v>
      </c>
      <c r="T134" s="81">
        <f t="shared" si="275"/>
        <v>2048.6486486486483</v>
      </c>
      <c r="U134" s="82">
        <f t="shared" si="276"/>
        <v>0.51841501503957788</v>
      </c>
      <c r="V134" s="82">
        <f t="shared" si="277"/>
        <v>0.53102511000000008</v>
      </c>
      <c r="W134" s="82">
        <f t="shared" si="278"/>
        <v>0.50573820000000003</v>
      </c>
      <c r="X134" s="83">
        <f>BS134+SCENARIU!$C$29+'AJUSTĂRI PE PRODUS'!$I$133</f>
        <v>20</v>
      </c>
      <c r="Y134" s="83">
        <f>BT134+SCENARIU!$C$29+'AJUSTĂRI PE PRODUS'!$J$133</f>
        <v>21</v>
      </c>
      <c r="Z134" s="84">
        <f t="shared" si="279"/>
        <v>1027.0270270270269</v>
      </c>
      <c r="AA134" s="84">
        <f t="shared" si="280"/>
        <v>1021.6216216216214</v>
      </c>
      <c r="AB134" s="84">
        <f t="shared" si="281"/>
        <v>2048.6486486486483</v>
      </c>
      <c r="AC134" s="85">
        <f t="shared" si="282"/>
        <v>0.51841501503957788</v>
      </c>
      <c r="AD134" s="85">
        <f t="shared" si="283"/>
        <v>0.53102511000000008</v>
      </c>
      <c r="AE134" s="85">
        <f t="shared" si="284"/>
        <v>0.50573820000000003</v>
      </c>
      <c r="AF134" s="83">
        <f>BU134+SCENARIU!$C$29+SCENARIU!$D$29+'AJUSTĂRI PE PRODUS'!$I$133+'AJUSTĂRI PE PRODUS'!$N$133</f>
        <v>20.25</v>
      </c>
      <c r="AG134" s="83">
        <f>BV134+SCENARIU!$C$29+SCENARIU!$D$29+'AJUSTĂRI PE PRODUS'!$J$133+'AJUSTĂRI PE PRODUS'!$O$133</f>
        <v>21.25</v>
      </c>
      <c r="AH134" s="86">
        <f t="shared" si="285"/>
        <v>1039.8648648648648</v>
      </c>
      <c r="AI134" s="86">
        <f t="shared" si="286"/>
        <v>1033.7837837837837</v>
      </c>
      <c r="AJ134" s="86">
        <f t="shared" si="287"/>
        <v>2073.6486486486483</v>
      </c>
      <c r="AK134" s="87">
        <f t="shared" si="288"/>
        <v>0.51216498064516125</v>
      </c>
      <c r="AL134" s="87">
        <f t="shared" si="289"/>
        <v>0.52446924444444443</v>
      </c>
      <c r="AM134" s="87">
        <f t="shared" si="290"/>
        <v>0.49978833882352935</v>
      </c>
      <c r="AN134" s="83">
        <f>BW134+SCENARIU!$C$29+SCENARIU!$D$29+SCENARIU!$E$29+'AJUSTĂRI PE PRODUS'!$I$133+'AJUSTĂRI PE PRODUS'!$N$133+'AJUSTĂRI PE PRODUS'!$S$133</f>
        <v>20.5</v>
      </c>
      <c r="AO134" s="83">
        <f>BX134+SCENARIU!$C$29+SCENARIU!$D$29+SCENARIU!$E$29+'AJUSTĂRI PE PRODUS'!$J$133+'AJUSTĂRI PE PRODUS'!$O$133+'AJUSTĂRI PE PRODUS'!$T$133</f>
        <v>21.5</v>
      </c>
      <c r="AP134" s="88">
        <f t="shared" si="291"/>
        <v>1052.7027027027025</v>
      </c>
      <c r="AQ134" s="88">
        <f t="shared" si="292"/>
        <v>1045.9459459459458</v>
      </c>
      <c r="AR134" s="88">
        <f t="shared" si="293"/>
        <v>2098.6486486486483</v>
      </c>
      <c r="AS134" s="89">
        <f t="shared" si="294"/>
        <v>0.50606385241468133</v>
      </c>
      <c r="AT134" s="89">
        <f t="shared" si="295"/>
        <v>0.51807327804878056</v>
      </c>
      <c r="AU134" s="89">
        <f t="shared" si="296"/>
        <v>0.49397684651162788</v>
      </c>
      <c r="AV134" s="83">
        <f>BY134+SCENARIU!$C$29+SCENARIU!$D$29+SCENARIU!$E$29+SCENARIU!$F$29+'AJUSTĂRI PE PRODUS'!$I$133+'AJUSTĂRI PE PRODUS'!$N$133+'AJUSTĂRI PE PRODUS'!$S$133+'AJUSTĂRI PE PRODUS'!$X$133</f>
        <v>20.5</v>
      </c>
      <c r="AW134" s="83">
        <f>BZ134+SCENARIU!$C$29+SCENARIU!$D$29+SCENARIU!$E$29+SCENARIU!$F$29+'AJUSTĂRI PE PRODUS'!$J$133+'AJUSTĂRI PE PRODUS'!$O$133+'AJUSTĂRI PE PRODUS'!$T$133+'AJUSTĂRI PE PRODUS'!$Y$133</f>
        <v>21.5</v>
      </c>
      <c r="AX134" s="90">
        <f t="shared" si="297"/>
        <v>1052.7027027027025</v>
      </c>
      <c r="AY134" s="90">
        <f t="shared" si="298"/>
        <v>1045.9459459459458</v>
      </c>
      <c r="AZ134" s="90">
        <f t="shared" si="299"/>
        <v>2098.6486486486483</v>
      </c>
      <c r="BA134" s="91">
        <f t="shared" si="300"/>
        <v>0.50606385241468133</v>
      </c>
      <c r="BB134" s="91">
        <f t="shared" si="301"/>
        <v>0.51807327804878056</v>
      </c>
      <c r="BC134" s="91">
        <f t="shared" si="302"/>
        <v>0.49397684651162788</v>
      </c>
      <c r="BD134" s="92">
        <f t="shared" si="303"/>
        <v>0</v>
      </c>
      <c r="BE134" s="92">
        <f t="shared" si="304"/>
        <v>0</v>
      </c>
      <c r="BF134" s="92">
        <f t="shared" si="305"/>
        <v>0.25</v>
      </c>
      <c r="BG134" s="92">
        <f t="shared" si="306"/>
        <v>0.25</v>
      </c>
      <c r="BH134" s="92">
        <f t="shared" si="307"/>
        <v>0</v>
      </c>
      <c r="BI134" s="93">
        <f t="shared" si="308"/>
        <v>0.5</v>
      </c>
      <c r="BJ134" s="92">
        <f t="shared" si="309"/>
        <v>0</v>
      </c>
      <c r="BK134" s="92">
        <f t="shared" si="310"/>
        <v>0</v>
      </c>
      <c r="BL134" s="92">
        <f t="shared" si="311"/>
        <v>0.25</v>
      </c>
      <c r="BM134" s="92">
        <f t="shared" si="312"/>
        <v>0.25</v>
      </c>
      <c r="BN134" s="92">
        <f t="shared" si="313"/>
        <v>0</v>
      </c>
      <c r="BO134" s="93">
        <f t="shared" si="314"/>
        <v>0.5</v>
      </c>
      <c r="BQ134">
        <v>20</v>
      </c>
      <c r="BR134">
        <v>21</v>
      </c>
      <c r="BS134">
        <v>20</v>
      </c>
      <c r="BT134">
        <v>21</v>
      </c>
      <c r="BU134">
        <v>20.25</v>
      </c>
      <c r="BV134">
        <v>21.25</v>
      </c>
      <c r="BW134">
        <v>20.5</v>
      </c>
      <c r="BX134">
        <v>21.5</v>
      </c>
      <c r="BY134">
        <v>20.5</v>
      </c>
      <c r="BZ134">
        <v>21.5</v>
      </c>
    </row>
    <row r="135" spans="1:78" x14ac:dyDescent="0.2">
      <c r="A135" s="26">
        <v>8</v>
      </c>
      <c r="B135" s="26" t="s">
        <v>277</v>
      </c>
      <c r="C135" s="26" t="s">
        <v>104</v>
      </c>
      <c r="D135" s="74">
        <v>1</v>
      </c>
      <c r="E135" s="75">
        <v>21</v>
      </c>
      <c r="F135" s="76">
        <v>154</v>
      </c>
      <c r="G135" s="76">
        <v>4</v>
      </c>
      <c r="H135" s="77">
        <f>SUMIFS(RETETAR!$I$4:$I$967,RETETAR!$A$4:$A$967,$M135,RETETAR!$C$4:$C$967,"AMBELE")+SUMIFS(RETETAR!$I$4:$I$967,RETETAR!$A$4:$A$967,$M135,RETETAR!$C$4:$C$967,"INSTORE")</f>
        <v>6.3974950000000002</v>
      </c>
      <c r="I135" s="77">
        <f>SUMIFS(RETETAR!$I$4:$I$967,RETETAR!$A$4:$A$967,$M135,RETETAR!$C$4:$C$967,"AMBELE")+SUMIFS(RETETAR!$I$4:$I$967,RETETAR!$A$4:$A$967,$M135,RETETAR!$C$4:$C$967,"DELIVERY")</f>
        <v>6.3974950000000002</v>
      </c>
      <c r="J135" s="78">
        <f t="shared" si="270"/>
        <v>985.21423000000004</v>
      </c>
      <c r="K135" s="78">
        <f t="shared" si="271"/>
        <v>25.589980000000001</v>
      </c>
      <c r="L135" s="78">
        <f t="shared" si="272"/>
        <v>1010.80421</v>
      </c>
      <c r="M135" t="s">
        <v>277</v>
      </c>
      <c r="N135" s="79">
        <v>12</v>
      </c>
      <c r="O135" s="79">
        <v>13</v>
      </c>
      <c r="P135" s="80">
        <v>12.99</v>
      </c>
      <c r="Q135" s="80">
        <v>14.99</v>
      </c>
      <c r="R135" s="81">
        <f t="shared" si="273"/>
        <v>1653.2727272727275</v>
      </c>
      <c r="S135" s="81">
        <f t="shared" si="274"/>
        <v>49.553719008264466</v>
      </c>
      <c r="T135" s="81">
        <f t="shared" si="275"/>
        <v>1702.8264462809921</v>
      </c>
      <c r="U135" s="82">
        <f t="shared" si="276"/>
        <v>0.59360377694838906</v>
      </c>
      <c r="V135" s="82">
        <f t="shared" si="277"/>
        <v>0.59591754811393371</v>
      </c>
      <c r="W135" s="82">
        <f t="shared" si="278"/>
        <v>0.51640886924616414</v>
      </c>
      <c r="X135" s="83">
        <f>BS135+SCENARIU!$C$29+'AJUSTĂRI PE PRODUS'!$I$137</f>
        <v>12.99</v>
      </c>
      <c r="Y135" s="83">
        <f>BT135+SCENARIU!$C$29+'AJUSTĂRI PE PRODUS'!$J$137</f>
        <v>14.99</v>
      </c>
      <c r="Z135" s="84">
        <f t="shared" si="279"/>
        <v>1653.2727272727275</v>
      </c>
      <c r="AA135" s="84">
        <f t="shared" si="280"/>
        <v>49.553719008264466</v>
      </c>
      <c r="AB135" s="84">
        <f t="shared" si="281"/>
        <v>1702.8264462809921</v>
      </c>
      <c r="AC135" s="85">
        <f t="shared" si="282"/>
        <v>0.59360377694838906</v>
      </c>
      <c r="AD135" s="85">
        <f t="shared" si="283"/>
        <v>0.59591754811393371</v>
      </c>
      <c r="AE135" s="85">
        <f t="shared" si="284"/>
        <v>0.51640886924616414</v>
      </c>
      <c r="AF135" s="83">
        <f>BU135+SCENARIU!$C$29+SCENARIU!$D$29+'AJUSTĂRI PE PRODUS'!$I$137+'AJUSTĂRI PE PRODUS'!$N$137</f>
        <v>12.99</v>
      </c>
      <c r="AG135" s="83">
        <f>BV135+SCENARIU!$C$29+SCENARIU!$D$29+'AJUSTĂRI PE PRODUS'!$J$137+'AJUSTĂRI PE PRODUS'!$O$137</f>
        <v>14.99</v>
      </c>
      <c r="AH135" s="86">
        <f t="shared" si="285"/>
        <v>1653.2727272727275</v>
      </c>
      <c r="AI135" s="86">
        <f t="shared" si="286"/>
        <v>49.553719008264466</v>
      </c>
      <c r="AJ135" s="86">
        <f t="shared" si="287"/>
        <v>1702.8264462809921</v>
      </c>
      <c r="AK135" s="87">
        <f t="shared" si="288"/>
        <v>0.59360377694838906</v>
      </c>
      <c r="AL135" s="87">
        <f t="shared" si="289"/>
        <v>0.59591754811393371</v>
      </c>
      <c r="AM135" s="87">
        <f t="shared" si="290"/>
        <v>0.51640886924616414</v>
      </c>
      <c r="AN135" s="83">
        <f>BW135+SCENARIU!$C$29+SCENARIU!$D$29+SCENARIU!$E$29+'AJUSTĂRI PE PRODUS'!$I$137+'AJUSTĂRI PE PRODUS'!$N$137+'AJUSTĂRI PE PRODUS'!$S$137</f>
        <v>12.99</v>
      </c>
      <c r="AO135" s="83">
        <f>BX135+SCENARIU!$C$29+SCENARIU!$D$29+SCENARIU!$E$29+'AJUSTĂRI PE PRODUS'!$J$137+'AJUSTĂRI PE PRODUS'!$O$137+'AJUSTĂRI PE PRODUS'!$T$137</f>
        <v>14.99</v>
      </c>
      <c r="AP135" s="88">
        <f t="shared" si="291"/>
        <v>1653.2727272727275</v>
      </c>
      <c r="AQ135" s="88">
        <f t="shared" si="292"/>
        <v>49.553719008264466</v>
      </c>
      <c r="AR135" s="88">
        <f t="shared" si="293"/>
        <v>1702.8264462809921</v>
      </c>
      <c r="AS135" s="89">
        <f t="shared" si="294"/>
        <v>0.59360377694838906</v>
      </c>
      <c r="AT135" s="89">
        <f t="shared" si="295"/>
        <v>0.59591754811393371</v>
      </c>
      <c r="AU135" s="89">
        <f t="shared" si="296"/>
        <v>0.51640886924616414</v>
      </c>
      <c r="AV135" s="83">
        <f>BY135+SCENARIU!$C$29+SCENARIU!$D$29+SCENARIU!$E$29+SCENARIU!$F$29+'AJUSTĂRI PE PRODUS'!$I$137+'AJUSTĂRI PE PRODUS'!$N$137+'AJUSTĂRI PE PRODUS'!$S$137+'AJUSTĂRI PE PRODUS'!$X$137</f>
        <v>12.99</v>
      </c>
      <c r="AW135" s="83">
        <f>BZ135+SCENARIU!$C$29+SCENARIU!$D$29+SCENARIU!$E$29+SCENARIU!$F$29+'AJUSTĂRI PE PRODUS'!$J$137+'AJUSTĂRI PE PRODUS'!$O$137+'AJUSTĂRI PE PRODUS'!$T$137+'AJUSTĂRI PE PRODUS'!$Y$137</f>
        <v>14.99</v>
      </c>
      <c r="AX135" s="90">
        <f t="shared" si="297"/>
        <v>1653.2727272727275</v>
      </c>
      <c r="AY135" s="90">
        <f t="shared" si="298"/>
        <v>49.553719008264466</v>
      </c>
      <c r="AZ135" s="90">
        <f t="shared" si="299"/>
        <v>1702.8264462809921</v>
      </c>
      <c r="BA135" s="91">
        <f t="shared" si="300"/>
        <v>0.59360377694838906</v>
      </c>
      <c r="BB135" s="91">
        <f t="shared" si="301"/>
        <v>0.59591754811393371</v>
      </c>
      <c r="BC135" s="91">
        <f t="shared" si="302"/>
        <v>0.51640886924616414</v>
      </c>
      <c r="BD135" s="92">
        <f t="shared" si="303"/>
        <v>0.99000000000000021</v>
      </c>
      <c r="BE135" s="92">
        <f t="shared" si="304"/>
        <v>0</v>
      </c>
      <c r="BF135" s="92">
        <f t="shared" si="305"/>
        <v>0</v>
      </c>
      <c r="BG135" s="92">
        <f t="shared" si="306"/>
        <v>0</v>
      </c>
      <c r="BH135" s="92">
        <f t="shared" si="307"/>
        <v>0</v>
      </c>
      <c r="BI135" s="93">
        <f t="shared" si="308"/>
        <v>0.99000000000000021</v>
      </c>
      <c r="BJ135" s="92">
        <f t="shared" si="309"/>
        <v>1.9900000000000002</v>
      </c>
      <c r="BK135" s="92">
        <f t="shared" si="310"/>
        <v>0</v>
      </c>
      <c r="BL135" s="92">
        <f t="shared" si="311"/>
        <v>0</v>
      </c>
      <c r="BM135" s="92">
        <f t="shared" si="312"/>
        <v>0</v>
      </c>
      <c r="BN135" s="92">
        <f t="shared" si="313"/>
        <v>0</v>
      </c>
      <c r="BO135" s="93">
        <f t="shared" si="314"/>
        <v>1.9900000000000002</v>
      </c>
      <c r="BQ135">
        <v>12.99</v>
      </c>
      <c r="BR135">
        <v>14.99</v>
      </c>
      <c r="BS135">
        <v>12.99</v>
      </c>
      <c r="BT135">
        <v>14.99</v>
      </c>
      <c r="BU135">
        <v>12.99</v>
      </c>
      <c r="BV135">
        <v>14.99</v>
      </c>
      <c r="BW135">
        <v>12.99</v>
      </c>
      <c r="BX135">
        <v>14.99</v>
      </c>
      <c r="BY135">
        <v>12.99</v>
      </c>
      <c r="BZ135">
        <v>14.99</v>
      </c>
    </row>
    <row r="136" spans="1:78" x14ac:dyDescent="0.2">
      <c r="A136" s="26">
        <v>9</v>
      </c>
      <c r="B136" s="26" t="s">
        <v>278</v>
      </c>
      <c r="C136" s="26" t="s">
        <v>104</v>
      </c>
      <c r="D136" s="74">
        <v>1</v>
      </c>
      <c r="E136" s="75">
        <v>21</v>
      </c>
      <c r="F136" s="76">
        <v>0</v>
      </c>
      <c r="G136" s="76">
        <v>157</v>
      </c>
      <c r="H136" s="77">
        <f>SUMIFS(RETETAR!$I$4:$I$967,RETETAR!$A$4:$A$967,$M136,RETETAR!$C$4:$C$967,"AMBELE")+SUMIFS(RETETAR!$I$4:$I$967,RETETAR!$A$4:$A$967,$M136,RETETAR!$C$4:$C$967,"INSTORE")</f>
        <v>0</v>
      </c>
      <c r="I136" s="77">
        <f>SUMIFS(RETETAR!$I$4:$I$967,RETETAR!$A$4:$A$967,$M136,RETETAR!$C$4:$C$967,"AMBELE")+SUMIFS(RETETAR!$I$4:$I$967,RETETAR!$A$4:$A$967,$M136,RETETAR!$C$4:$C$967,"DELIVERY")</f>
        <v>1.581999642</v>
      </c>
      <c r="J136" s="78">
        <f t="shared" si="270"/>
        <v>0</v>
      </c>
      <c r="K136" s="78">
        <f t="shared" si="271"/>
        <v>248.37394379399998</v>
      </c>
      <c r="L136" s="78">
        <f t="shared" si="272"/>
        <v>248.37394379399998</v>
      </c>
      <c r="M136" t="s">
        <v>278</v>
      </c>
      <c r="N136" s="79">
        <v>10</v>
      </c>
      <c r="O136" s="79">
        <v>13</v>
      </c>
      <c r="P136" s="80">
        <v>10</v>
      </c>
      <c r="Q136" s="80">
        <v>13</v>
      </c>
      <c r="R136" s="81">
        <f t="shared" si="273"/>
        <v>0</v>
      </c>
      <c r="S136" s="81">
        <f t="shared" si="274"/>
        <v>1686.7768595041323</v>
      </c>
      <c r="T136" s="81">
        <f t="shared" si="275"/>
        <v>1686.7768595041323</v>
      </c>
      <c r="U136" s="82">
        <f t="shared" si="276"/>
        <v>0.14724765898615383</v>
      </c>
      <c r="V136" s="82" t="str">
        <f t="shared" si="277"/>
        <v/>
      </c>
      <c r="W136" s="82">
        <f t="shared" si="278"/>
        <v>0.14724765898615383</v>
      </c>
      <c r="X136" s="83">
        <f>BS136+SCENARIU!$C$29+'AJUSTĂRI PE PRODUS'!$I$138</f>
        <v>10</v>
      </c>
      <c r="Y136" s="83">
        <f>BT136+SCENARIU!$C$29+'AJUSTĂRI PE PRODUS'!$J$138</f>
        <v>13</v>
      </c>
      <c r="Z136" s="84">
        <f t="shared" si="279"/>
        <v>0</v>
      </c>
      <c r="AA136" s="84">
        <f t="shared" si="280"/>
        <v>1686.7768595041323</v>
      </c>
      <c r="AB136" s="84">
        <f t="shared" si="281"/>
        <v>1686.7768595041323</v>
      </c>
      <c r="AC136" s="85">
        <f t="shared" si="282"/>
        <v>0.14724765898615383</v>
      </c>
      <c r="AD136" s="85" t="str">
        <f t="shared" si="283"/>
        <v/>
      </c>
      <c r="AE136" s="85">
        <f t="shared" si="284"/>
        <v>0.14724765898615383</v>
      </c>
      <c r="AF136" s="83">
        <f>BU136+SCENARIU!$C$29+SCENARIU!$D$29+'AJUSTĂRI PE PRODUS'!$I$138+'AJUSTĂRI PE PRODUS'!$N$138</f>
        <v>10</v>
      </c>
      <c r="AG136" s="83">
        <f>BV136+SCENARIU!$C$29+SCENARIU!$D$29+'AJUSTĂRI PE PRODUS'!$J$138+'AJUSTĂRI PE PRODUS'!$O$138</f>
        <v>13</v>
      </c>
      <c r="AH136" s="86">
        <f t="shared" si="285"/>
        <v>0</v>
      </c>
      <c r="AI136" s="86">
        <f t="shared" si="286"/>
        <v>1686.7768595041323</v>
      </c>
      <c r="AJ136" s="86">
        <f t="shared" si="287"/>
        <v>1686.7768595041323</v>
      </c>
      <c r="AK136" s="87">
        <f t="shared" si="288"/>
        <v>0.14724765898615383</v>
      </c>
      <c r="AL136" s="87" t="str">
        <f t="shared" si="289"/>
        <v/>
      </c>
      <c r="AM136" s="87">
        <f t="shared" si="290"/>
        <v>0.14724765898615383</v>
      </c>
      <c r="AN136" s="83">
        <f>BW136+SCENARIU!$C$29+SCENARIU!$D$29+SCENARIU!$E$29+'AJUSTĂRI PE PRODUS'!$I$138+'AJUSTĂRI PE PRODUS'!$N$138+'AJUSTĂRI PE PRODUS'!$S$138</f>
        <v>10</v>
      </c>
      <c r="AO136" s="83">
        <f>BX136+SCENARIU!$C$29+SCENARIU!$D$29+SCENARIU!$E$29+'AJUSTĂRI PE PRODUS'!$J$138+'AJUSTĂRI PE PRODUS'!$O$138+'AJUSTĂRI PE PRODUS'!$T$138</f>
        <v>13</v>
      </c>
      <c r="AP136" s="88">
        <f t="shared" si="291"/>
        <v>0</v>
      </c>
      <c r="AQ136" s="88">
        <f t="shared" si="292"/>
        <v>1686.7768595041323</v>
      </c>
      <c r="AR136" s="88">
        <f t="shared" si="293"/>
        <v>1686.7768595041323</v>
      </c>
      <c r="AS136" s="89">
        <f t="shared" si="294"/>
        <v>0.14724765898615383</v>
      </c>
      <c r="AT136" s="89" t="str">
        <f t="shared" si="295"/>
        <v/>
      </c>
      <c r="AU136" s="89">
        <f t="shared" si="296"/>
        <v>0.14724765898615383</v>
      </c>
      <c r="AV136" s="83">
        <f>BY136+SCENARIU!$C$29+SCENARIU!$D$29+SCENARIU!$E$29+SCENARIU!$F$29+'AJUSTĂRI PE PRODUS'!$I$138+'AJUSTĂRI PE PRODUS'!$N$138+'AJUSTĂRI PE PRODUS'!$S$138+'AJUSTĂRI PE PRODUS'!$X$138</f>
        <v>10</v>
      </c>
      <c r="AW136" s="83">
        <f>BZ136+SCENARIU!$C$29+SCENARIU!$D$29+SCENARIU!$E$29+SCENARIU!$F$29+'AJUSTĂRI PE PRODUS'!$J$138+'AJUSTĂRI PE PRODUS'!$O$138+'AJUSTĂRI PE PRODUS'!$T$138+'AJUSTĂRI PE PRODUS'!$Y$138</f>
        <v>13</v>
      </c>
      <c r="AX136" s="90">
        <f t="shared" si="297"/>
        <v>0</v>
      </c>
      <c r="AY136" s="90">
        <f t="shared" si="298"/>
        <v>1686.7768595041323</v>
      </c>
      <c r="AZ136" s="90">
        <f t="shared" si="299"/>
        <v>1686.7768595041323</v>
      </c>
      <c r="BA136" s="91">
        <f t="shared" si="300"/>
        <v>0.14724765898615383</v>
      </c>
      <c r="BB136" s="91" t="str">
        <f t="shared" si="301"/>
        <v/>
      </c>
      <c r="BC136" s="91">
        <f t="shared" si="302"/>
        <v>0.14724765898615383</v>
      </c>
      <c r="BD136" s="92">
        <f t="shared" si="303"/>
        <v>0</v>
      </c>
      <c r="BE136" s="92">
        <f t="shared" si="304"/>
        <v>0</v>
      </c>
      <c r="BF136" s="92">
        <f t="shared" si="305"/>
        <v>0</v>
      </c>
      <c r="BG136" s="92">
        <f t="shared" si="306"/>
        <v>0</v>
      </c>
      <c r="BH136" s="92">
        <f t="shared" si="307"/>
        <v>0</v>
      </c>
      <c r="BI136" s="93">
        <f t="shared" si="308"/>
        <v>0</v>
      </c>
      <c r="BJ136" s="92">
        <f t="shared" si="309"/>
        <v>0</v>
      </c>
      <c r="BK136" s="92">
        <f t="shared" si="310"/>
        <v>0</v>
      </c>
      <c r="BL136" s="92">
        <f t="shared" si="311"/>
        <v>0</v>
      </c>
      <c r="BM136" s="92">
        <f t="shared" si="312"/>
        <v>0</v>
      </c>
      <c r="BN136" s="92">
        <f t="shared" si="313"/>
        <v>0</v>
      </c>
      <c r="BO136" s="93">
        <f t="shared" si="314"/>
        <v>0</v>
      </c>
      <c r="BQ136">
        <v>10</v>
      </c>
      <c r="BR136">
        <v>13</v>
      </c>
      <c r="BS136">
        <v>10</v>
      </c>
      <c r="BT136">
        <v>13</v>
      </c>
      <c r="BU136">
        <v>10</v>
      </c>
      <c r="BV136">
        <v>13</v>
      </c>
      <c r="BW136">
        <v>10</v>
      </c>
      <c r="BX136">
        <v>13</v>
      </c>
      <c r="BY136">
        <v>10</v>
      </c>
      <c r="BZ136">
        <v>13</v>
      </c>
    </row>
    <row r="137" spans="1:78" x14ac:dyDescent="0.2">
      <c r="A137" s="26">
        <v>10</v>
      </c>
      <c r="B137" s="26" t="s">
        <v>279</v>
      </c>
      <c r="C137" s="26" t="s">
        <v>104</v>
      </c>
      <c r="D137" s="74">
        <v>1</v>
      </c>
      <c r="E137" s="75">
        <v>11</v>
      </c>
      <c r="F137" s="76">
        <v>66</v>
      </c>
      <c r="G137" s="76">
        <v>40</v>
      </c>
      <c r="H137" s="77">
        <f>SUMIFS(RETETAR!$I$4:$I$967,RETETAR!$A$4:$A$967,$M137,RETETAR!$C$4:$C$967,"AMBELE")+SUMIFS(RETETAR!$I$4:$I$967,RETETAR!$A$4:$A$967,$M137,RETETAR!$C$4:$C$967,"INSTORE")</f>
        <v>9.42</v>
      </c>
      <c r="I137" s="77">
        <f>SUMIFS(RETETAR!$I$4:$I$967,RETETAR!$A$4:$A$967,$M137,RETETAR!$C$4:$C$967,"AMBELE")+SUMIFS(RETETAR!$I$4:$I$967,RETETAR!$A$4:$A$967,$M137,RETETAR!$C$4:$C$967,"DELIVERY")</f>
        <v>9.42</v>
      </c>
      <c r="J137" s="78">
        <f t="shared" si="270"/>
        <v>621.72</v>
      </c>
      <c r="K137" s="78">
        <f t="shared" si="271"/>
        <v>376.8</v>
      </c>
      <c r="L137" s="78">
        <f t="shared" si="272"/>
        <v>998.52</v>
      </c>
      <c r="M137" t="s">
        <v>279</v>
      </c>
      <c r="N137" s="79">
        <v>17</v>
      </c>
      <c r="O137" s="79">
        <v>18</v>
      </c>
      <c r="P137" s="80">
        <v>17</v>
      </c>
      <c r="Q137" s="80">
        <v>18</v>
      </c>
      <c r="R137" s="81">
        <f t="shared" si="273"/>
        <v>1010.8108108108107</v>
      </c>
      <c r="S137" s="81">
        <f t="shared" si="274"/>
        <v>648.64864864864853</v>
      </c>
      <c r="T137" s="81">
        <f t="shared" si="275"/>
        <v>1659.4594594594591</v>
      </c>
      <c r="U137" s="82">
        <f t="shared" si="276"/>
        <v>0.60171400651465812</v>
      </c>
      <c r="V137" s="82">
        <f t="shared" si="277"/>
        <v>0.61507058823529415</v>
      </c>
      <c r="W137" s="82">
        <f t="shared" si="278"/>
        <v>0.58090000000000008</v>
      </c>
      <c r="X137" s="83">
        <f>BS137+SCENARIU!$C$29+'AJUSTĂRI PE PRODUS'!$I$145</f>
        <v>17</v>
      </c>
      <c r="Y137" s="83">
        <f>BT137+SCENARIU!$C$29+'AJUSTĂRI PE PRODUS'!$J$145</f>
        <v>18</v>
      </c>
      <c r="Z137" s="84">
        <f t="shared" si="279"/>
        <v>1010.8108108108107</v>
      </c>
      <c r="AA137" s="84">
        <f t="shared" si="280"/>
        <v>648.64864864864853</v>
      </c>
      <c r="AB137" s="84">
        <f t="shared" si="281"/>
        <v>1659.4594594594591</v>
      </c>
      <c r="AC137" s="85">
        <f t="shared" si="282"/>
        <v>0.60171400651465812</v>
      </c>
      <c r="AD137" s="85">
        <f t="shared" si="283"/>
        <v>0.61507058823529415</v>
      </c>
      <c r="AE137" s="85">
        <f t="shared" si="284"/>
        <v>0.58090000000000008</v>
      </c>
      <c r="AF137" s="83">
        <f>BU137+SCENARIU!$C$29+SCENARIU!$D$29+'AJUSTĂRI PE PRODUS'!$I$145+'AJUSTĂRI PE PRODUS'!$N$145</f>
        <v>17.25</v>
      </c>
      <c r="AG137" s="83">
        <f>BV137+SCENARIU!$C$29+SCENARIU!$D$29+'AJUSTĂRI PE PRODUS'!$J$145+'AJUSTĂRI PE PRODUS'!$O$145</f>
        <v>18.25</v>
      </c>
      <c r="AH137" s="86">
        <f t="shared" si="285"/>
        <v>1025.6756756756756</v>
      </c>
      <c r="AI137" s="86">
        <f t="shared" si="286"/>
        <v>657.65765765765764</v>
      </c>
      <c r="AJ137" s="86">
        <f t="shared" si="287"/>
        <v>1683.3333333333333</v>
      </c>
      <c r="AK137" s="87">
        <f t="shared" si="288"/>
        <v>0.59318019801980204</v>
      </c>
      <c r="AL137" s="87">
        <f t="shared" si="289"/>
        <v>0.60615652173913048</v>
      </c>
      <c r="AM137" s="87">
        <f t="shared" si="290"/>
        <v>0.57294246575342467</v>
      </c>
      <c r="AN137" s="83">
        <f>BW137+SCENARIU!$C$29+SCENARIU!$D$29+SCENARIU!$E$29+'AJUSTĂRI PE PRODUS'!$I$145+'AJUSTĂRI PE PRODUS'!$N$145+'AJUSTĂRI PE PRODUS'!$S$145</f>
        <v>17.5</v>
      </c>
      <c r="AO137" s="83">
        <f>BX137+SCENARIU!$C$29+SCENARIU!$D$29+SCENARIU!$E$29+'AJUSTĂRI PE PRODUS'!$J$145+'AJUSTĂRI PE PRODUS'!$O$145+'AJUSTĂRI PE PRODUS'!$T$145</f>
        <v>18.5</v>
      </c>
      <c r="AP137" s="88">
        <f t="shared" si="291"/>
        <v>1040.5405405405404</v>
      </c>
      <c r="AQ137" s="88">
        <f t="shared" si="292"/>
        <v>666.66666666666652</v>
      </c>
      <c r="AR137" s="88">
        <f t="shared" si="293"/>
        <v>1707.2072072072069</v>
      </c>
      <c r="AS137" s="89">
        <f t="shared" si="294"/>
        <v>0.58488506596306078</v>
      </c>
      <c r="AT137" s="89">
        <f t="shared" si="295"/>
        <v>0.59749714285714295</v>
      </c>
      <c r="AU137" s="89">
        <f t="shared" si="296"/>
        <v>0.56520000000000015</v>
      </c>
      <c r="AV137" s="83">
        <f>BY137+SCENARIU!$C$29+SCENARIU!$D$29+SCENARIU!$E$29+SCENARIU!$F$29+'AJUSTĂRI PE PRODUS'!$I$145+'AJUSTĂRI PE PRODUS'!$N$145+'AJUSTĂRI PE PRODUS'!$S$145+'AJUSTĂRI PE PRODUS'!$X$145</f>
        <v>17.5</v>
      </c>
      <c r="AW137" s="83">
        <f>BZ137+SCENARIU!$C$29+SCENARIU!$D$29+SCENARIU!$E$29+SCENARIU!$F$29+'AJUSTĂRI PE PRODUS'!$J$145+'AJUSTĂRI PE PRODUS'!$O$145+'AJUSTĂRI PE PRODUS'!$T$145+'AJUSTĂRI PE PRODUS'!$Y$145</f>
        <v>18.5</v>
      </c>
      <c r="AX137" s="90">
        <f t="shared" si="297"/>
        <v>1040.5405405405404</v>
      </c>
      <c r="AY137" s="90">
        <f t="shared" si="298"/>
        <v>666.66666666666652</v>
      </c>
      <c r="AZ137" s="90">
        <f t="shared" si="299"/>
        <v>1707.2072072072069</v>
      </c>
      <c r="BA137" s="91">
        <f t="shared" si="300"/>
        <v>0.58488506596306078</v>
      </c>
      <c r="BB137" s="91">
        <f t="shared" si="301"/>
        <v>0.59749714285714295</v>
      </c>
      <c r="BC137" s="91">
        <f t="shared" si="302"/>
        <v>0.56520000000000015</v>
      </c>
      <c r="BD137" s="92">
        <f t="shared" si="303"/>
        <v>0</v>
      </c>
      <c r="BE137" s="92">
        <f t="shared" si="304"/>
        <v>0</v>
      </c>
      <c r="BF137" s="92">
        <f t="shared" si="305"/>
        <v>0.25</v>
      </c>
      <c r="BG137" s="92">
        <f t="shared" si="306"/>
        <v>0.25</v>
      </c>
      <c r="BH137" s="92">
        <f t="shared" si="307"/>
        <v>0</v>
      </c>
      <c r="BI137" s="93">
        <f t="shared" si="308"/>
        <v>0.5</v>
      </c>
      <c r="BJ137" s="92">
        <f t="shared" si="309"/>
        <v>0</v>
      </c>
      <c r="BK137" s="92">
        <f t="shared" si="310"/>
        <v>0</v>
      </c>
      <c r="BL137" s="92">
        <f t="shared" si="311"/>
        <v>0.25</v>
      </c>
      <c r="BM137" s="92">
        <f t="shared" si="312"/>
        <v>0.25</v>
      </c>
      <c r="BN137" s="92">
        <f t="shared" si="313"/>
        <v>0</v>
      </c>
      <c r="BO137" s="93">
        <f t="shared" si="314"/>
        <v>0.5</v>
      </c>
      <c r="BQ137">
        <v>17</v>
      </c>
      <c r="BR137">
        <v>18</v>
      </c>
      <c r="BS137">
        <v>17</v>
      </c>
      <c r="BT137">
        <v>18</v>
      </c>
      <c r="BU137">
        <v>17.25</v>
      </c>
      <c r="BV137">
        <v>18.25</v>
      </c>
      <c r="BW137">
        <v>17.5</v>
      </c>
      <c r="BX137">
        <v>18.5</v>
      </c>
      <c r="BY137">
        <v>17.5</v>
      </c>
      <c r="BZ137">
        <v>18.5</v>
      </c>
    </row>
    <row r="138" spans="1:78" x14ac:dyDescent="0.2">
      <c r="A138" s="26">
        <v>11</v>
      </c>
      <c r="B138" s="26" t="s">
        <v>280</v>
      </c>
      <c r="C138" s="26" t="s">
        <v>104</v>
      </c>
      <c r="D138" s="74">
        <v>1</v>
      </c>
      <c r="E138" s="75">
        <v>21</v>
      </c>
      <c r="F138" s="76">
        <v>143</v>
      </c>
      <c r="G138" s="76">
        <v>10</v>
      </c>
      <c r="H138" s="77">
        <f>SUMIFS(RETETAR!$I$4:$I$967,RETETAR!$A$4:$A$967,$M138,RETETAR!$C$4:$C$967,"AMBELE")+SUMIFS(RETETAR!$I$4:$I$967,RETETAR!$A$4:$A$967,$M138,RETETAR!$C$4:$C$967,"INSTORE")</f>
        <v>5.1929935</v>
      </c>
      <c r="I138" s="77">
        <f>SUMIFS(RETETAR!$I$4:$I$967,RETETAR!$A$4:$A$967,$M138,RETETAR!$C$4:$C$967,"AMBELE")+SUMIFS(RETETAR!$I$4:$I$967,RETETAR!$A$4:$A$967,$M138,RETETAR!$C$4:$C$967,"DELIVERY")</f>
        <v>5.1929935</v>
      </c>
      <c r="J138" s="78">
        <f t="shared" si="270"/>
        <v>742.59807049999995</v>
      </c>
      <c r="K138" s="78">
        <f t="shared" si="271"/>
        <v>51.929935</v>
      </c>
      <c r="L138" s="78">
        <f t="shared" si="272"/>
        <v>794.52800549999995</v>
      </c>
      <c r="M138" t="s">
        <v>280</v>
      </c>
      <c r="N138" s="79">
        <v>12</v>
      </c>
      <c r="O138" s="79">
        <v>13</v>
      </c>
      <c r="P138" s="80">
        <v>12.99</v>
      </c>
      <c r="Q138" s="80">
        <v>13.99</v>
      </c>
      <c r="R138" s="81">
        <f t="shared" si="273"/>
        <v>1535.1818181818182</v>
      </c>
      <c r="S138" s="81">
        <f t="shared" si="274"/>
        <v>115.61983471074382</v>
      </c>
      <c r="T138" s="81">
        <f t="shared" si="275"/>
        <v>1650.8016528925621</v>
      </c>
      <c r="U138" s="82">
        <f t="shared" si="276"/>
        <v>0.4812982856588584</v>
      </c>
      <c r="V138" s="82">
        <f t="shared" si="277"/>
        <v>0.48371994880677438</v>
      </c>
      <c r="W138" s="82">
        <f t="shared" si="278"/>
        <v>0.44914382666190128</v>
      </c>
      <c r="X138" s="83">
        <f>BS138+SCENARIU!$C$29+'AJUSTĂRI PE PRODUS'!$I$140</f>
        <v>12.99</v>
      </c>
      <c r="Y138" s="83">
        <f>BT138+SCENARIU!$C$29+'AJUSTĂRI PE PRODUS'!$J$140</f>
        <v>13.99</v>
      </c>
      <c r="Z138" s="84">
        <f t="shared" si="279"/>
        <v>1535.1818181818182</v>
      </c>
      <c r="AA138" s="84">
        <f t="shared" si="280"/>
        <v>115.61983471074382</v>
      </c>
      <c r="AB138" s="84">
        <f t="shared" si="281"/>
        <v>1650.8016528925621</v>
      </c>
      <c r="AC138" s="85">
        <f t="shared" si="282"/>
        <v>0.4812982856588584</v>
      </c>
      <c r="AD138" s="85">
        <f t="shared" si="283"/>
        <v>0.48371994880677438</v>
      </c>
      <c r="AE138" s="85">
        <f t="shared" si="284"/>
        <v>0.44914382666190128</v>
      </c>
      <c r="AF138" s="83">
        <f>BU138+SCENARIU!$C$29+SCENARIU!$D$29+'AJUSTĂRI PE PRODUS'!$I$140+'AJUSTĂRI PE PRODUS'!$N$140</f>
        <v>12.99</v>
      </c>
      <c r="AG138" s="83">
        <f>BV138+SCENARIU!$C$29+SCENARIU!$D$29+'AJUSTĂRI PE PRODUS'!$J$140+'AJUSTĂRI PE PRODUS'!$O$140</f>
        <v>13.99</v>
      </c>
      <c r="AH138" s="86">
        <f t="shared" si="285"/>
        <v>1535.1818181818182</v>
      </c>
      <c r="AI138" s="86">
        <f t="shared" si="286"/>
        <v>115.61983471074382</v>
      </c>
      <c r="AJ138" s="86">
        <f t="shared" si="287"/>
        <v>1650.8016528925621</v>
      </c>
      <c r="AK138" s="87">
        <f t="shared" si="288"/>
        <v>0.4812982856588584</v>
      </c>
      <c r="AL138" s="87">
        <f t="shared" si="289"/>
        <v>0.48371994880677438</v>
      </c>
      <c r="AM138" s="87">
        <f t="shared" si="290"/>
        <v>0.44914382666190128</v>
      </c>
      <c r="AN138" s="83">
        <f>BW138+SCENARIU!$C$29+SCENARIU!$D$29+SCENARIU!$E$29+'AJUSTĂRI PE PRODUS'!$I$140+'AJUSTĂRI PE PRODUS'!$N$140+'AJUSTĂRI PE PRODUS'!$S$140</f>
        <v>12.99</v>
      </c>
      <c r="AO138" s="83">
        <f>BX138+SCENARIU!$C$29+SCENARIU!$D$29+SCENARIU!$E$29+'AJUSTĂRI PE PRODUS'!$J$140+'AJUSTĂRI PE PRODUS'!$O$140+'AJUSTĂRI PE PRODUS'!$T$140</f>
        <v>13.99</v>
      </c>
      <c r="AP138" s="88">
        <f t="shared" si="291"/>
        <v>1535.1818181818182</v>
      </c>
      <c r="AQ138" s="88">
        <f t="shared" si="292"/>
        <v>115.61983471074382</v>
      </c>
      <c r="AR138" s="88">
        <f t="shared" si="293"/>
        <v>1650.8016528925621</v>
      </c>
      <c r="AS138" s="89">
        <f t="shared" si="294"/>
        <v>0.4812982856588584</v>
      </c>
      <c r="AT138" s="89">
        <f t="shared" si="295"/>
        <v>0.48371994880677438</v>
      </c>
      <c r="AU138" s="89">
        <f t="shared" si="296"/>
        <v>0.44914382666190128</v>
      </c>
      <c r="AV138" s="83">
        <f>BY138+SCENARIU!$C$29+SCENARIU!$D$29+SCENARIU!$E$29+SCENARIU!$F$29+'AJUSTĂRI PE PRODUS'!$I$140+'AJUSTĂRI PE PRODUS'!$N$140+'AJUSTĂRI PE PRODUS'!$S$140+'AJUSTĂRI PE PRODUS'!$X$140</f>
        <v>12.99</v>
      </c>
      <c r="AW138" s="83">
        <f>BZ138+SCENARIU!$C$29+SCENARIU!$D$29+SCENARIU!$E$29+SCENARIU!$F$29+'AJUSTĂRI PE PRODUS'!$J$140+'AJUSTĂRI PE PRODUS'!$O$140+'AJUSTĂRI PE PRODUS'!$T$140+'AJUSTĂRI PE PRODUS'!$Y$140</f>
        <v>13.99</v>
      </c>
      <c r="AX138" s="90">
        <f t="shared" si="297"/>
        <v>1535.1818181818182</v>
      </c>
      <c r="AY138" s="90">
        <f t="shared" si="298"/>
        <v>115.61983471074382</v>
      </c>
      <c r="AZ138" s="90">
        <f t="shared" si="299"/>
        <v>1650.8016528925621</v>
      </c>
      <c r="BA138" s="91">
        <f t="shared" si="300"/>
        <v>0.4812982856588584</v>
      </c>
      <c r="BB138" s="91">
        <f t="shared" si="301"/>
        <v>0.48371994880677438</v>
      </c>
      <c r="BC138" s="91">
        <f t="shared" si="302"/>
        <v>0.44914382666190128</v>
      </c>
      <c r="BD138" s="92">
        <f t="shared" si="303"/>
        <v>0.99000000000000021</v>
      </c>
      <c r="BE138" s="92">
        <f t="shared" si="304"/>
        <v>0</v>
      </c>
      <c r="BF138" s="92">
        <f t="shared" si="305"/>
        <v>0</v>
      </c>
      <c r="BG138" s="92">
        <f t="shared" si="306"/>
        <v>0</v>
      </c>
      <c r="BH138" s="92">
        <f t="shared" si="307"/>
        <v>0</v>
      </c>
      <c r="BI138" s="93">
        <f t="shared" si="308"/>
        <v>0.99000000000000021</v>
      </c>
      <c r="BJ138" s="92">
        <f t="shared" si="309"/>
        <v>0.99000000000000021</v>
      </c>
      <c r="BK138" s="92">
        <f t="shared" si="310"/>
        <v>0</v>
      </c>
      <c r="BL138" s="92">
        <f t="shared" si="311"/>
        <v>0</v>
      </c>
      <c r="BM138" s="92">
        <f t="shared" si="312"/>
        <v>0</v>
      </c>
      <c r="BN138" s="92">
        <f t="shared" si="313"/>
        <v>0</v>
      </c>
      <c r="BO138" s="93">
        <f t="shared" si="314"/>
        <v>0.99000000000000021</v>
      </c>
      <c r="BQ138">
        <v>12.99</v>
      </c>
      <c r="BR138">
        <v>13.99</v>
      </c>
      <c r="BS138">
        <v>12.99</v>
      </c>
      <c r="BT138">
        <v>13.99</v>
      </c>
      <c r="BU138">
        <v>12.99</v>
      </c>
      <c r="BV138">
        <v>13.99</v>
      </c>
      <c r="BW138">
        <v>12.99</v>
      </c>
      <c r="BX138">
        <v>13.99</v>
      </c>
      <c r="BY138">
        <v>12.99</v>
      </c>
      <c r="BZ138">
        <v>13.99</v>
      </c>
    </row>
    <row r="139" spans="1:78" x14ac:dyDescent="0.2">
      <c r="A139" s="26">
        <v>12</v>
      </c>
      <c r="B139" s="26" t="s">
        <v>281</v>
      </c>
      <c r="C139" s="26" t="s">
        <v>104</v>
      </c>
      <c r="D139" s="74">
        <v>1</v>
      </c>
      <c r="E139" s="75">
        <v>21</v>
      </c>
      <c r="F139" s="76">
        <v>208</v>
      </c>
      <c r="G139" s="76">
        <v>11</v>
      </c>
      <c r="H139" s="77">
        <f>SUMIFS(RETETAR!$I$4:$I$967,RETETAR!$A$4:$A$967,$M139,RETETAR!$C$4:$C$967,"AMBELE")+SUMIFS(RETETAR!$I$4:$I$967,RETETAR!$A$4:$A$967,$M139,RETETAR!$C$4:$C$967,"INSTORE")</f>
        <v>3.294956</v>
      </c>
      <c r="I139" s="77">
        <f>SUMIFS(RETETAR!$I$4:$I$967,RETETAR!$A$4:$A$967,$M139,RETETAR!$C$4:$C$967,"AMBELE")+SUMIFS(RETETAR!$I$4:$I$967,RETETAR!$A$4:$A$967,$M139,RETETAR!$C$4:$C$967,"DELIVERY")</f>
        <v>3.294956</v>
      </c>
      <c r="J139" s="78">
        <f t="shared" si="270"/>
        <v>685.35084800000004</v>
      </c>
      <c r="K139" s="78">
        <f t="shared" si="271"/>
        <v>36.244515999999997</v>
      </c>
      <c r="L139" s="78">
        <f t="shared" si="272"/>
        <v>721.59536400000002</v>
      </c>
      <c r="M139" t="s">
        <v>281</v>
      </c>
      <c r="N139" s="79">
        <v>8</v>
      </c>
      <c r="O139" s="79">
        <v>9</v>
      </c>
      <c r="P139" s="80">
        <v>8.99</v>
      </c>
      <c r="Q139" s="80">
        <v>9.99</v>
      </c>
      <c r="R139" s="81">
        <f t="shared" si="273"/>
        <v>1545.3884297520663</v>
      </c>
      <c r="S139" s="81">
        <f t="shared" si="274"/>
        <v>90.818181818181827</v>
      </c>
      <c r="T139" s="81">
        <f t="shared" si="275"/>
        <v>1636.206611570248</v>
      </c>
      <c r="U139" s="82">
        <f t="shared" si="276"/>
        <v>0.44101726450517975</v>
      </c>
      <c r="V139" s="82">
        <f t="shared" si="277"/>
        <v>0.44348128587319241</v>
      </c>
      <c r="W139" s="82">
        <f t="shared" si="278"/>
        <v>0.39908876476476468</v>
      </c>
      <c r="X139" s="83">
        <f>BS139+SCENARIU!$C$29+'AJUSTĂRI PE PRODUS'!$I$141</f>
        <v>8.99</v>
      </c>
      <c r="Y139" s="83">
        <f>BT139+SCENARIU!$C$29+'AJUSTĂRI PE PRODUS'!$J$141</f>
        <v>9.99</v>
      </c>
      <c r="Z139" s="84">
        <f t="shared" si="279"/>
        <v>1545.3884297520663</v>
      </c>
      <c r="AA139" s="84">
        <f t="shared" si="280"/>
        <v>90.818181818181827</v>
      </c>
      <c r="AB139" s="84">
        <f t="shared" si="281"/>
        <v>1636.206611570248</v>
      </c>
      <c r="AC139" s="85">
        <f t="shared" si="282"/>
        <v>0.44101726450517975</v>
      </c>
      <c r="AD139" s="85">
        <f t="shared" si="283"/>
        <v>0.44348128587319241</v>
      </c>
      <c r="AE139" s="85">
        <f t="shared" si="284"/>
        <v>0.39908876476476468</v>
      </c>
      <c r="AF139" s="83">
        <f>BU139+SCENARIU!$C$29+SCENARIU!$D$29+'AJUSTĂRI PE PRODUS'!$I$141+'AJUSTĂRI PE PRODUS'!$N$141</f>
        <v>8.99</v>
      </c>
      <c r="AG139" s="83">
        <f>BV139+SCENARIU!$C$29+SCENARIU!$D$29+'AJUSTĂRI PE PRODUS'!$J$141+'AJUSTĂRI PE PRODUS'!$O$141</f>
        <v>9.99</v>
      </c>
      <c r="AH139" s="86">
        <f t="shared" si="285"/>
        <v>1545.3884297520663</v>
      </c>
      <c r="AI139" s="86">
        <f t="shared" si="286"/>
        <v>90.818181818181827</v>
      </c>
      <c r="AJ139" s="86">
        <f t="shared" si="287"/>
        <v>1636.206611570248</v>
      </c>
      <c r="AK139" s="87">
        <f t="shared" si="288"/>
        <v>0.44101726450517975</v>
      </c>
      <c r="AL139" s="87">
        <f t="shared" si="289"/>
        <v>0.44348128587319241</v>
      </c>
      <c r="AM139" s="87">
        <f t="shared" si="290"/>
        <v>0.39908876476476468</v>
      </c>
      <c r="AN139" s="83">
        <f>BW139+SCENARIU!$C$29+SCENARIU!$D$29+SCENARIU!$E$29+'AJUSTĂRI PE PRODUS'!$I$141+'AJUSTĂRI PE PRODUS'!$N$141+'AJUSTĂRI PE PRODUS'!$S$141</f>
        <v>8.99</v>
      </c>
      <c r="AO139" s="83">
        <f>BX139+SCENARIU!$C$29+SCENARIU!$D$29+SCENARIU!$E$29+'AJUSTĂRI PE PRODUS'!$J$141+'AJUSTĂRI PE PRODUS'!$O$141+'AJUSTĂRI PE PRODUS'!$T$141</f>
        <v>9.99</v>
      </c>
      <c r="AP139" s="88">
        <f t="shared" si="291"/>
        <v>1545.3884297520663</v>
      </c>
      <c r="AQ139" s="88">
        <f t="shared" si="292"/>
        <v>90.818181818181827</v>
      </c>
      <c r="AR139" s="88">
        <f t="shared" si="293"/>
        <v>1636.206611570248</v>
      </c>
      <c r="AS139" s="89">
        <f t="shared" si="294"/>
        <v>0.44101726450517975</v>
      </c>
      <c r="AT139" s="89">
        <f t="shared" si="295"/>
        <v>0.44348128587319241</v>
      </c>
      <c r="AU139" s="89">
        <f t="shared" si="296"/>
        <v>0.39908876476476468</v>
      </c>
      <c r="AV139" s="83">
        <f>BY139+SCENARIU!$C$29+SCENARIU!$D$29+SCENARIU!$E$29+SCENARIU!$F$29+'AJUSTĂRI PE PRODUS'!$I$141+'AJUSTĂRI PE PRODUS'!$N$141+'AJUSTĂRI PE PRODUS'!$S$141+'AJUSTĂRI PE PRODUS'!$X$141</f>
        <v>8.99</v>
      </c>
      <c r="AW139" s="83">
        <f>BZ139+SCENARIU!$C$29+SCENARIU!$D$29+SCENARIU!$E$29+SCENARIU!$F$29+'AJUSTĂRI PE PRODUS'!$J$141+'AJUSTĂRI PE PRODUS'!$O$141+'AJUSTĂRI PE PRODUS'!$T$141+'AJUSTĂRI PE PRODUS'!$Y$141</f>
        <v>9.99</v>
      </c>
      <c r="AX139" s="90">
        <f t="shared" si="297"/>
        <v>1545.3884297520663</v>
      </c>
      <c r="AY139" s="90">
        <f t="shared" si="298"/>
        <v>90.818181818181827</v>
      </c>
      <c r="AZ139" s="90">
        <f t="shared" si="299"/>
        <v>1636.206611570248</v>
      </c>
      <c r="BA139" s="91">
        <f t="shared" si="300"/>
        <v>0.44101726450517975</v>
      </c>
      <c r="BB139" s="91">
        <f t="shared" si="301"/>
        <v>0.44348128587319241</v>
      </c>
      <c r="BC139" s="91">
        <f t="shared" si="302"/>
        <v>0.39908876476476468</v>
      </c>
      <c r="BD139" s="92">
        <f t="shared" si="303"/>
        <v>0.99000000000000021</v>
      </c>
      <c r="BE139" s="92">
        <f t="shared" si="304"/>
        <v>0</v>
      </c>
      <c r="BF139" s="92">
        <f t="shared" si="305"/>
        <v>0</v>
      </c>
      <c r="BG139" s="92">
        <f t="shared" si="306"/>
        <v>0</v>
      </c>
      <c r="BH139" s="92">
        <f t="shared" si="307"/>
        <v>0</v>
      </c>
      <c r="BI139" s="93">
        <f t="shared" si="308"/>
        <v>0.99000000000000021</v>
      </c>
      <c r="BJ139" s="92">
        <f t="shared" si="309"/>
        <v>0.99000000000000021</v>
      </c>
      <c r="BK139" s="92">
        <f t="shared" si="310"/>
        <v>0</v>
      </c>
      <c r="BL139" s="92">
        <f t="shared" si="311"/>
        <v>0</v>
      </c>
      <c r="BM139" s="92">
        <f t="shared" si="312"/>
        <v>0</v>
      </c>
      <c r="BN139" s="92">
        <f t="shared" si="313"/>
        <v>0</v>
      </c>
      <c r="BO139" s="93">
        <f t="shared" si="314"/>
        <v>0.99000000000000021</v>
      </c>
      <c r="BQ139">
        <v>8.99</v>
      </c>
      <c r="BR139">
        <v>9.99</v>
      </c>
      <c r="BS139">
        <v>8.99</v>
      </c>
      <c r="BT139">
        <v>9.99</v>
      </c>
      <c r="BU139">
        <v>8.99</v>
      </c>
      <c r="BV139">
        <v>9.99</v>
      </c>
      <c r="BW139">
        <v>8.99</v>
      </c>
      <c r="BX139">
        <v>9.99</v>
      </c>
      <c r="BY139">
        <v>8.99</v>
      </c>
      <c r="BZ139">
        <v>9.99</v>
      </c>
    </row>
    <row r="140" spans="1:78" x14ac:dyDescent="0.2">
      <c r="A140" s="26">
        <v>13</v>
      </c>
      <c r="B140" s="26" t="s">
        <v>285</v>
      </c>
      <c r="C140" s="26" t="s">
        <v>104</v>
      </c>
      <c r="D140" s="74">
        <v>1</v>
      </c>
      <c r="E140" s="75">
        <v>11</v>
      </c>
      <c r="F140" s="76">
        <v>64</v>
      </c>
      <c r="G140" s="76">
        <v>43</v>
      </c>
      <c r="H140" s="77">
        <f>SUMIFS(RETETAR!$I$4:$I$967,RETETAR!$A$4:$A$967,$M140,RETETAR!$C$4:$C$967,"AMBELE")+SUMIFS(RETETAR!$I$4:$I$967,RETETAR!$A$4:$A$967,$M140,RETETAR!$C$4:$C$967,"INSTORE")</f>
        <v>5.3419799999999995</v>
      </c>
      <c r="I140" s="77">
        <f>SUMIFS(RETETAR!$I$4:$I$967,RETETAR!$A$4:$A$967,$M140,RETETAR!$C$4:$C$967,"AMBELE")+SUMIFS(RETETAR!$I$4:$I$967,RETETAR!$A$4:$A$967,$M140,RETETAR!$C$4:$C$967,"DELIVERY")</f>
        <v>5.3419799999999995</v>
      </c>
      <c r="J140" s="78">
        <f t="shared" si="270"/>
        <v>341.88671999999997</v>
      </c>
      <c r="K140" s="78">
        <f t="shared" si="271"/>
        <v>229.70513999999997</v>
      </c>
      <c r="L140" s="78">
        <f t="shared" si="272"/>
        <v>571.59186</v>
      </c>
      <c r="M140" t="s">
        <v>285</v>
      </c>
      <c r="N140" s="79">
        <v>15</v>
      </c>
      <c r="O140" s="79">
        <v>16</v>
      </c>
      <c r="P140" s="80">
        <v>15</v>
      </c>
      <c r="Q140" s="80">
        <v>16</v>
      </c>
      <c r="R140" s="81">
        <f t="shared" si="273"/>
        <v>864.86486486486478</v>
      </c>
      <c r="S140" s="81">
        <f t="shared" si="274"/>
        <v>619.81981981981971</v>
      </c>
      <c r="T140" s="81">
        <f t="shared" si="275"/>
        <v>1484.6846846846845</v>
      </c>
      <c r="U140" s="82">
        <f t="shared" si="276"/>
        <v>0.38499209016990293</v>
      </c>
      <c r="V140" s="82">
        <f t="shared" si="277"/>
        <v>0.39530651999999999</v>
      </c>
      <c r="W140" s="82">
        <f t="shared" si="278"/>
        <v>0.37059986250000004</v>
      </c>
      <c r="X140" s="83">
        <f>BS140+SCENARIU!$C$29+'AJUSTĂRI PE PRODUS'!$I$150</f>
        <v>15</v>
      </c>
      <c r="Y140" s="83">
        <f>BT140+SCENARIU!$C$29+'AJUSTĂRI PE PRODUS'!$J$150</f>
        <v>16</v>
      </c>
      <c r="Z140" s="84">
        <f t="shared" si="279"/>
        <v>864.86486486486478</v>
      </c>
      <c r="AA140" s="84">
        <f t="shared" si="280"/>
        <v>619.81981981981971</v>
      </c>
      <c r="AB140" s="84">
        <f t="shared" si="281"/>
        <v>1484.6846846846845</v>
      </c>
      <c r="AC140" s="85">
        <f t="shared" si="282"/>
        <v>0.38499209016990293</v>
      </c>
      <c r="AD140" s="85">
        <f t="shared" si="283"/>
        <v>0.39530651999999999</v>
      </c>
      <c r="AE140" s="85">
        <f t="shared" si="284"/>
        <v>0.37059986250000004</v>
      </c>
      <c r="AF140" s="83">
        <f>BU140+SCENARIU!$C$29+SCENARIU!$D$29+'AJUSTĂRI PE PRODUS'!$I$150+'AJUSTĂRI PE PRODUS'!$N$150</f>
        <v>15.25</v>
      </c>
      <c r="AG140" s="83">
        <f>BV140+SCENARIU!$C$29+SCENARIU!$D$29+'AJUSTĂRI PE PRODUS'!$J$150+'AJUSTĂRI PE PRODUS'!$O$150</f>
        <v>16.25</v>
      </c>
      <c r="AH140" s="86">
        <f t="shared" si="285"/>
        <v>879.27927927927919</v>
      </c>
      <c r="AI140" s="86">
        <f t="shared" si="286"/>
        <v>629.50450450450444</v>
      </c>
      <c r="AJ140" s="86">
        <f t="shared" si="287"/>
        <v>1508.7837837837837</v>
      </c>
      <c r="AK140" s="87">
        <f t="shared" si="288"/>
        <v>0.37884279122257053</v>
      </c>
      <c r="AL140" s="87">
        <f t="shared" si="289"/>
        <v>0.38882608524590162</v>
      </c>
      <c r="AM140" s="87">
        <f t="shared" si="290"/>
        <v>0.36489832615384615</v>
      </c>
      <c r="AN140" s="83">
        <f>BW140+SCENARIU!$C$29+SCENARIU!$D$29+SCENARIU!$E$29+'AJUSTĂRI PE PRODUS'!$I$150+'AJUSTĂRI PE PRODUS'!$N$150+'AJUSTĂRI PE PRODUS'!$S$150</f>
        <v>15.5</v>
      </c>
      <c r="AO140" s="83">
        <f>BX140+SCENARIU!$C$29+SCENARIU!$D$29+SCENARIU!$E$29+'AJUSTĂRI PE PRODUS'!$J$150+'AJUSTĂRI PE PRODUS'!$O$150+'AJUSTĂRI PE PRODUS'!$T$150</f>
        <v>16.5</v>
      </c>
      <c r="AP140" s="88">
        <f t="shared" si="291"/>
        <v>893.6936936936936</v>
      </c>
      <c r="AQ140" s="88">
        <f t="shared" si="292"/>
        <v>639.18918918918916</v>
      </c>
      <c r="AR140" s="88">
        <f t="shared" si="293"/>
        <v>1532.8828828828828</v>
      </c>
      <c r="AS140" s="89">
        <f t="shared" si="294"/>
        <v>0.37288684372612402</v>
      </c>
      <c r="AT140" s="89">
        <f t="shared" si="295"/>
        <v>0.38255469677419357</v>
      </c>
      <c r="AU140" s="89">
        <f t="shared" si="296"/>
        <v>0.35936956363636363</v>
      </c>
      <c r="AV140" s="83">
        <f>BY140+SCENARIU!$C$29+SCENARIU!$D$29+SCENARIU!$E$29+SCENARIU!$F$29+'AJUSTĂRI PE PRODUS'!$I$150+'AJUSTĂRI PE PRODUS'!$N$150+'AJUSTĂRI PE PRODUS'!$S$150+'AJUSTĂRI PE PRODUS'!$X$150</f>
        <v>15.5</v>
      </c>
      <c r="AW140" s="83">
        <f>BZ140+SCENARIU!$C$29+SCENARIU!$D$29+SCENARIU!$E$29+SCENARIU!$F$29+'AJUSTĂRI PE PRODUS'!$J$150+'AJUSTĂRI PE PRODUS'!$O$150+'AJUSTĂRI PE PRODUS'!$T$150+'AJUSTĂRI PE PRODUS'!$Y$150</f>
        <v>16.5</v>
      </c>
      <c r="AX140" s="90">
        <f t="shared" si="297"/>
        <v>893.6936936936936</v>
      </c>
      <c r="AY140" s="90">
        <f t="shared" si="298"/>
        <v>639.18918918918916</v>
      </c>
      <c r="AZ140" s="90">
        <f t="shared" si="299"/>
        <v>1532.8828828828828</v>
      </c>
      <c r="BA140" s="91">
        <f t="shared" si="300"/>
        <v>0.37288684372612402</v>
      </c>
      <c r="BB140" s="91">
        <f t="shared" si="301"/>
        <v>0.38255469677419357</v>
      </c>
      <c r="BC140" s="91">
        <f t="shared" si="302"/>
        <v>0.35936956363636363</v>
      </c>
      <c r="BD140" s="92">
        <f t="shared" si="303"/>
        <v>0</v>
      </c>
      <c r="BE140" s="92">
        <f t="shared" si="304"/>
        <v>0</v>
      </c>
      <c r="BF140" s="92">
        <f t="shared" si="305"/>
        <v>0.25</v>
      </c>
      <c r="BG140" s="92">
        <f t="shared" si="306"/>
        <v>0.25</v>
      </c>
      <c r="BH140" s="92">
        <f t="shared" si="307"/>
        <v>0</v>
      </c>
      <c r="BI140" s="93">
        <f t="shared" si="308"/>
        <v>0.5</v>
      </c>
      <c r="BJ140" s="92">
        <f t="shared" si="309"/>
        <v>0</v>
      </c>
      <c r="BK140" s="92">
        <f t="shared" si="310"/>
        <v>0</v>
      </c>
      <c r="BL140" s="92">
        <f t="shared" si="311"/>
        <v>0.25</v>
      </c>
      <c r="BM140" s="92">
        <f t="shared" si="312"/>
        <v>0.25</v>
      </c>
      <c r="BN140" s="92">
        <f t="shared" si="313"/>
        <v>0</v>
      </c>
      <c r="BO140" s="93">
        <f t="shared" si="314"/>
        <v>0.5</v>
      </c>
      <c r="BQ140">
        <v>15</v>
      </c>
      <c r="BR140">
        <v>16</v>
      </c>
      <c r="BS140">
        <v>15</v>
      </c>
      <c r="BT140">
        <v>16</v>
      </c>
      <c r="BU140">
        <v>15.25</v>
      </c>
      <c r="BV140">
        <v>16.25</v>
      </c>
      <c r="BW140">
        <v>15.5</v>
      </c>
      <c r="BX140">
        <v>16.5</v>
      </c>
      <c r="BY140">
        <v>15.5</v>
      </c>
      <c r="BZ140">
        <v>16.5</v>
      </c>
    </row>
    <row r="141" spans="1:78" x14ac:dyDescent="0.2">
      <c r="A141" s="26">
        <v>14</v>
      </c>
      <c r="B141" s="26" t="s">
        <v>286</v>
      </c>
      <c r="C141" s="26" t="s">
        <v>104</v>
      </c>
      <c r="D141" s="74">
        <v>1</v>
      </c>
      <c r="E141" s="75">
        <v>11</v>
      </c>
      <c r="F141" s="76">
        <v>76</v>
      </c>
      <c r="G141" s="76">
        <v>30</v>
      </c>
      <c r="H141" s="77">
        <f>SUMIFS(RETETAR!$I$4:$I$967,RETETAR!$A$4:$A$967,$M141,RETETAR!$C$4:$C$967,"AMBELE")+SUMIFS(RETETAR!$I$4:$I$967,RETETAR!$A$4:$A$967,$M141,RETETAR!$C$4:$C$967,"INSTORE")</f>
        <v>5.1970100000000006</v>
      </c>
      <c r="I141" s="77">
        <f>SUMIFS(RETETAR!$I$4:$I$967,RETETAR!$A$4:$A$967,$M141,RETETAR!$C$4:$C$967,"AMBELE")+SUMIFS(RETETAR!$I$4:$I$967,RETETAR!$A$4:$A$967,$M141,RETETAR!$C$4:$C$967,"DELIVERY")</f>
        <v>5.1970100000000006</v>
      </c>
      <c r="J141" s="78">
        <f t="shared" si="270"/>
        <v>394.97276000000005</v>
      </c>
      <c r="K141" s="78">
        <f t="shared" si="271"/>
        <v>155.91030000000001</v>
      </c>
      <c r="L141" s="78">
        <f t="shared" si="272"/>
        <v>550.88306000000011</v>
      </c>
      <c r="M141" t="s">
        <v>286</v>
      </c>
      <c r="N141" s="79">
        <v>15</v>
      </c>
      <c r="O141" s="79">
        <v>16</v>
      </c>
      <c r="P141" s="80">
        <v>15</v>
      </c>
      <c r="Q141" s="80">
        <v>16</v>
      </c>
      <c r="R141" s="81">
        <f t="shared" si="273"/>
        <v>1027.0270270270269</v>
      </c>
      <c r="S141" s="81">
        <f t="shared" si="274"/>
        <v>432.43243243243239</v>
      </c>
      <c r="T141" s="81">
        <f t="shared" si="275"/>
        <v>1459.4594594594591</v>
      </c>
      <c r="U141" s="82">
        <f t="shared" si="276"/>
        <v>0.37745691148148164</v>
      </c>
      <c r="V141" s="82">
        <f t="shared" si="277"/>
        <v>0.38457874000000009</v>
      </c>
      <c r="W141" s="82">
        <f t="shared" si="278"/>
        <v>0.36054256875000007</v>
      </c>
      <c r="X141" s="83">
        <f>BS141+SCENARIU!$C$29+'AJUSTĂRI PE PRODUS'!$I$152</f>
        <v>15</v>
      </c>
      <c r="Y141" s="83">
        <f>BT141+SCENARIU!$C$29+'AJUSTĂRI PE PRODUS'!$J$152</f>
        <v>16</v>
      </c>
      <c r="Z141" s="84">
        <f t="shared" si="279"/>
        <v>1027.0270270270269</v>
      </c>
      <c r="AA141" s="84">
        <f t="shared" si="280"/>
        <v>432.43243243243239</v>
      </c>
      <c r="AB141" s="84">
        <f t="shared" si="281"/>
        <v>1459.4594594594591</v>
      </c>
      <c r="AC141" s="85">
        <f t="shared" si="282"/>
        <v>0.37745691148148164</v>
      </c>
      <c r="AD141" s="85">
        <f t="shared" si="283"/>
        <v>0.38457874000000009</v>
      </c>
      <c r="AE141" s="85">
        <f t="shared" si="284"/>
        <v>0.36054256875000007</v>
      </c>
      <c r="AF141" s="83">
        <f>BU141+SCENARIU!$C$29+SCENARIU!$D$29+'AJUSTĂRI PE PRODUS'!$I$152+'AJUSTĂRI PE PRODUS'!$N$152</f>
        <v>15.25</v>
      </c>
      <c r="AG141" s="83">
        <f>BV141+SCENARIU!$C$29+SCENARIU!$D$29+'AJUSTĂRI PE PRODUS'!$J$152+'AJUSTĂRI PE PRODUS'!$O$152</f>
        <v>16.25</v>
      </c>
      <c r="AH141" s="86">
        <f t="shared" si="285"/>
        <v>1044.1441441441441</v>
      </c>
      <c r="AI141" s="86">
        <f t="shared" si="286"/>
        <v>439.18918918918916</v>
      </c>
      <c r="AJ141" s="86">
        <f t="shared" si="287"/>
        <v>1483.3333333333333</v>
      </c>
      <c r="AK141" s="87">
        <f t="shared" si="288"/>
        <v>0.37138183820224729</v>
      </c>
      <c r="AL141" s="87">
        <f t="shared" si="289"/>
        <v>0.37827417049180334</v>
      </c>
      <c r="AM141" s="87">
        <f t="shared" si="290"/>
        <v>0.35499576000000005</v>
      </c>
      <c r="AN141" s="83">
        <f>BW141+SCENARIU!$C$29+SCENARIU!$D$29+SCENARIU!$E$29+'AJUSTĂRI PE PRODUS'!$I$152+'AJUSTĂRI PE PRODUS'!$N$152+'AJUSTĂRI PE PRODUS'!$S$152</f>
        <v>15.5</v>
      </c>
      <c r="AO141" s="83">
        <f>BX141+SCENARIU!$C$29+SCENARIU!$D$29+SCENARIU!$E$29+'AJUSTĂRI PE PRODUS'!$J$152+'AJUSTĂRI PE PRODUS'!$O$152+'AJUSTĂRI PE PRODUS'!$T$152</f>
        <v>16.5</v>
      </c>
      <c r="AP141" s="88">
        <f t="shared" si="291"/>
        <v>1061.2612612612611</v>
      </c>
      <c r="AQ141" s="88">
        <f t="shared" si="292"/>
        <v>445.94594594594588</v>
      </c>
      <c r="AR141" s="88">
        <f t="shared" si="293"/>
        <v>1507.2072072072069</v>
      </c>
      <c r="AS141" s="89">
        <f t="shared" si="294"/>
        <v>0.36549922092050224</v>
      </c>
      <c r="AT141" s="89">
        <f t="shared" si="295"/>
        <v>0.3721729741935485</v>
      </c>
      <c r="AU141" s="89">
        <f t="shared" si="296"/>
        <v>0.34961703636363645</v>
      </c>
      <c r="AV141" s="83">
        <f>BY141+SCENARIU!$C$29+SCENARIU!$D$29+SCENARIU!$E$29+SCENARIU!$F$29+'AJUSTĂRI PE PRODUS'!$I$152+'AJUSTĂRI PE PRODUS'!$N$152+'AJUSTĂRI PE PRODUS'!$S$152+'AJUSTĂRI PE PRODUS'!$X$152</f>
        <v>15.5</v>
      </c>
      <c r="AW141" s="83">
        <f>BZ141+SCENARIU!$C$29+SCENARIU!$D$29+SCENARIU!$E$29+SCENARIU!$F$29+'AJUSTĂRI PE PRODUS'!$J$152+'AJUSTĂRI PE PRODUS'!$O$152+'AJUSTĂRI PE PRODUS'!$T$152+'AJUSTĂRI PE PRODUS'!$Y$152</f>
        <v>16.5</v>
      </c>
      <c r="AX141" s="90">
        <f t="shared" si="297"/>
        <v>1061.2612612612611</v>
      </c>
      <c r="AY141" s="90">
        <f t="shared" si="298"/>
        <v>445.94594594594588</v>
      </c>
      <c r="AZ141" s="90">
        <f t="shared" si="299"/>
        <v>1507.2072072072069</v>
      </c>
      <c r="BA141" s="91">
        <f t="shared" si="300"/>
        <v>0.36549922092050224</v>
      </c>
      <c r="BB141" s="91">
        <f t="shared" si="301"/>
        <v>0.3721729741935485</v>
      </c>
      <c r="BC141" s="91">
        <f t="shared" si="302"/>
        <v>0.34961703636363645</v>
      </c>
      <c r="BD141" s="92">
        <f t="shared" si="303"/>
        <v>0</v>
      </c>
      <c r="BE141" s="92">
        <f t="shared" si="304"/>
        <v>0</v>
      </c>
      <c r="BF141" s="92">
        <f t="shared" si="305"/>
        <v>0.25</v>
      </c>
      <c r="BG141" s="92">
        <f t="shared" si="306"/>
        <v>0.25</v>
      </c>
      <c r="BH141" s="92">
        <f t="shared" si="307"/>
        <v>0</v>
      </c>
      <c r="BI141" s="93">
        <f t="shared" si="308"/>
        <v>0.5</v>
      </c>
      <c r="BJ141" s="92">
        <f t="shared" si="309"/>
        <v>0</v>
      </c>
      <c r="BK141" s="92">
        <f t="shared" si="310"/>
        <v>0</v>
      </c>
      <c r="BL141" s="92">
        <f t="shared" si="311"/>
        <v>0.25</v>
      </c>
      <c r="BM141" s="92">
        <f t="shared" si="312"/>
        <v>0.25</v>
      </c>
      <c r="BN141" s="92">
        <f t="shared" si="313"/>
        <v>0</v>
      </c>
      <c r="BO141" s="93">
        <f t="shared" si="314"/>
        <v>0.5</v>
      </c>
      <c r="BQ141">
        <v>15</v>
      </c>
      <c r="BR141">
        <v>16</v>
      </c>
      <c r="BS141">
        <v>15</v>
      </c>
      <c r="BT141">
        <v>16</v>
      </c>
      <c r="BU141">
        <v>15.25</v>
      </c>
      <c r="BV141">
        <v>16.25</v>
      </c>
      <c r="BW141">
        <v>15.5</v>
      </c>
      <c r="BX141">
        <v>16.5</v>
      </c>
      <c r="BY141">
        <v>15.5</v>
      </c>
      <c r="BZ141">
        <v>16.5</v>
      </c>
    </row>
    <row r="142" spans="1:78" x14ac:dyDescent="0.2">
      <c r="A142" s="26">
        <v>15</v>
      </c>
      <c r="B142" s="26" t="s">
        <v>288</v>
      </c>
      <c r="C142" s="26" t="s">
        <v>104</v>
      </c>
      <c r="D142" s="74">
        <v>1</v>
      </c>
      <c r="E142" s="75">
        <v>21</v>
      </c>
      <c r="F142" s="76">
        <v>101</v>
      </c>
      <c r="G142" s="76">
        <v>0</v>
      </c>
      <c r="H142" s="77">
        <f>SUMIFS(RETETAR!$I$4:$I$967,RETETAR!$A$4:$A$967,$M142,RETETAR!$C$4:$C$967,"AMBELE")+SUMIFS(RETETAR!$I$4:$I$967,RETETAR!$A$4:$A$967,$M142,RETETAR!$C$4:$C$967,"INSTORE")</f>
        <v>6.3275448999999995</v>
      </c>
      <c r="I142" s="77">
        <f>SUMIFS(RETETAR!$I$4:$I$967,RETETAR!$A$4:$A$967,$M142,RETETAR!$C$4:$C$967,"AMBELE")+SUMIFS(RETETAR!$I$4:$I$967,RETETAR!$A$4:$A$967,$M142,RETETAR!$C$4:$C$967,"DELIVERY")</f>
        <v>0</v>
      </c>
      <c r="J142" s="78">
        <f t="shared" si="270"/>
        <v>639.08203489999994</v>
      </c>
      <c r="K142" s="78">
        <f t="shared" si="271"/>
        <v>0</v>
      </c>
      <c r="L142" s="78">
        <f t="shared" si="272"/>
        <v>639.08203489999994</v>
      </c>
      <c r="M142" t="s">
        <v>288</v>
      </c>
      <c r="N142" s="79">
        <v>17</v>
      </c>
      <c r="O142" s="79"/>
      <c r="P142" s="80">
        <v>17</v>
      </c>
      <c r="Q142" s="80"/>
      <c r="R142" s="81">
        <f t="shared" si="273"/>
        <v>1419.0082644628098</v>
      </c>
      <c r="S142" s="81">
        <f t="shared" si="274"/>
        <v>0</v>
      </c>
      <c r="T142" s="81">
        <f t="shared" si="275"/>
        <v>1419.0082644628098</v>
      </c>
      <c r="U142" s="82">
        <f t="shared" si="276"/>
        <v>0.4503723134705882</v>
      </c>
      <c r="V142" s="82">
        <f t="shared" si="277"/>
        <v>0.4503723134705882</v>
      </c>
      <c r="W142" s="82" t="str">
        <f t="shared" si="278"/>
        <v/>
      </c>
      <c r="X142" s="83">
        <f>BS142+SCENARIU!$C$29+'AJUSTĂRI PE PRODUS'!$I$149</f>
        <v>17</v>
      </c>
      <c r="Y142" s="83"/>
      <c r="Z142" s="84">
        <f t="shared" si="279"/>
        <v>1419.0082644628098</v>
      </c>
      <c r="AA142" s="84">
        <f t="shared" si="280"/>
        <v>0</v>
      </c>
      <c r="AB142" s="84">
        <f t="shared" si="281"/>
        <v>1419.0082644628098</v>
      </c>
      <c r="AC142" s="85">
        <f t="shared" si="282"/>
        <v>0.4503723134705882</v>
      </c>
      <c r="AD142" s="85">
        <f t="shared" si="283"/>
        <v>0.4503723134705882</v>
      </c>
      <c r="AE142" s="85" t="str">
        <f t="shared" si="284"/>
        <v/>
      </c>
      <c r="AF142" s="83">
        <f>BU142+SCENARIU!$C$29+SCENARIU!$D$29+'AJUSTĂRI PE PRODUS'!$I$149+'AJUSTĂRI PE PRODUS'!$N$149</f>
        <v>17</v>
      </c>
      <c r="AG142" s="83"/>
      <c r="AH142" s="86">
        <f t="shared" si="285"/>
        <v>1419.0082644628098</v>
      </c>
      <c r="AI142" s="86">
        <f t="shared" si="286"/>
        <v>0</v>
      </c>
      <c r="AJ142" s="86">
        <f t="shared" si="287"/>
        <v>1419.0082644628098</v>
      </c>
      <c r="AK142" s="87">
        <f t="shared" si="288"/>
        <v>0.4503723134705882</v>
      </c>
      <c r="AL142" s="87">
        <f t="shared" si="289"/>
        <v>0.4503723134705882</v>
      </c>
      <c r="AM142" s="87" t="str">
        <f t="shared" si="290"/>
        <v/>
      </c>
      <c r="AN142" s="83">
        <f>BW142+SCENARIU!$C$29+SCENARIU!$D$29+SCENARIU!$E$29+'AJUSTĂRI PE PRODUS'!$I$149+'AJUSTĂRI PE PRODUS'!$N$149+'AJUSTĂRI PE PRODUS'!$S$149</f>
        <v>17</v>
      </c>
      <c r="AO142" s="83"/>
      <c r="AP142" s="88">
        <f t="shared" si="291"/>
        <v>1419.0082644628098</v>
      </c>
      <c r="AQ142" s="88">
        <f t="shared" si="292"/>
        <v>0</v>
      </c>
      <c r="AR142" s="88">
        <f t="shared" si="293"/>
        <v>1419.0082644628098</v>
      </c>
      <c r="AS142" s="89">
        <f t="shared" si="294"/>
        <v>0.4503723134705882</v>
      </c>
      <c r="AT142" s="89">
        <f t="shared" si="295"/>
        <v>0.4503723134705882</v>
      </c>
      <c r="AU142" s="89" t="str">
        <f t="shared" si="296"/>
        <v/>
      </c>
      <c r="AV142" s="83">
        <f>BY142+SCENARIU!$C$29+SCENARIU!$D$29+SCENARIU!$E$29+SCENARIU!$F$29+'AJUSTĂRI PE PRODUS'!$I$149+'AJUSTĂRI PE PRODUS'!$N$149+'AJUSTĂRI PE PRODUS'!$S$149+'AJUSTĂRI PE PRODUS'!$X$149</f>
        <v>17</v>
      </c>
      <c r="AW142" s="83"/>
      <c r="AX142" s="90">
        <f t="shared" si="297"/>
        <v>1419.0082644628098</v>
      </c>
      <c r="AY142" s="90">
        <f t="shared" si="298"/>
        <v>0</v>
      </c>
      <c r="AZ142" s="90">
        <f t="shared" si="299"/>
        <v>1419.0082644628098</v>
      </c>
      <c r="BA142" s="91">
        <f t="shared" si="300"/>
        <v>0.4503723134705882</v>
      </c>
      <c r="BB142" s="91">
        <f t="shared" si="301"/>
        <v>0.4503723134705882</v>
      </c>
      <c r="BC142" s="91" t="str">
        <f t="shared" si="302"/>
        <v/>
      </c>
      <c r="BD142" s="92">
        <f t="shared" si="303"/>
        <v>0</v>
      </c>
      <c r="BE142" s="92">
        <f t="shared" si="304"/>
        <v>0</v>
      </c>
      <c r="BF142" s="92">
        <f t="shared" si="305"/>
        <v>0</v>
      </c>
      <c r="BG142" s="92">
        <f t="shared" si="306"/>
        <v>0</v>
      </c>
      <c r="BH142" s="92">
        <f t="shared" si="307"/>
        <v>0</v>
      </c>
      <c r="BI142" s="93">
        <f t="shared" si="308"/>
        <v>0</v>
      </c>
      <c r="BJ142" s="92" t="str">
        <f t="shared" si="309"/>
        <v/>
      </c>
      <c r="BK142" s="92" t="str">
        <f t="shared" si="310"/>
        <v/>
      </c>
      <c r="BL142" s="92" t="str">
        <f t="shared" si="311"/>
        <v/>
      </c>
      <c r="BM142" s="92" t="str">
        <f t="shared" si="312"/>
        <v/>
      </c>
      <c r="BN142" s="92" t="str">
        <f t="shared" si="313"/>
        <v/>
      </c>
      <c r="BO142" s="93" t="str">
        <f t="shared" si="314"/>
        <v/>
      </c>
      <c r="BQ142">
        <v>17</v>
      </c>
      <c r="BS142">
        <v>17</v>
      </c>
      <c r="BU142">
        <v>17</v>
      </c>
      <c r="BW142">
        <v>17</v>
      </c>
      <c r="BY142">
        <v>17</v>
      </c>
    </row>
    <row r="143" spans="1:78" x14ac:dyDescent="0.2">
      <c r="A143" s="26">
        <v>16</v>
      </c>
      <c r="B143" s="26" t="s">
        <v>290</v>
      </c>
      <c r="C143" s="26" t="s">
        <v>104</v>
      </c>
      <c r="D143" s="74">
        <v>1</v>
      </c>
      <c r="E143" s="75">
        <v>11</v>
      </c>
      <c r="F143" s="76">
        <v>41</v>
      </c>
      <c r="G143" s="76">
        <v>45</v>
      </c>
      <c r="H143" s="77">
        <f>SUMIFS(RETETAR!$I$4:$I$967,RETETAR!$A$4:$A$967,$M143,RETETAR!$C$4:$C$967,"AMBELE")+SUMIFS(RETETAR!$I$4:$I$967,RETETAR!$A$4:$A$967,$M143,RETETAR!$C$4:$C$967,"INSTORE")</f>
        <v>8.487029999999999</v>
      </c>
      <c r="I143" s="77">
        <f>SUMIFS(RETETAR!$I$4:$I$967,RETETAR!$A$4:$A$967,$M143,RETETAR!$C$4:$C$967,"AMBELE")+SUMIFS(RETETAR!$I$4:$I$967,RETETAR!$A$4:$A$967,$M143,RETETAR!$C$4:$C$967,"DELIVERY")</f>
        <v>8.487029999999999</v>
      </c>
      <c r="J143" s="78">
        <f t="shared" si="270"/>
        <v>347.96822999999995</v>
      </c>
      <c r="K143" s="78">
        <f t="shared" si="271"/>
        <v>381.91634999999997</v>
      </c>
      <c r="L143" s="78">
        <f t="shared" si="272"/>
        <v>729.88457999999991</v>
      </c>
      <c r="M143" t="s">
        <v>290</v>
      </c>
      <c r="N143" s="79">
        <v>17</v>
      </c>
      <c r="O143" s="79">
        <v>18</v>
      </c>
      <c r="P143" s="80">
        <v>17</v>
      </c>
      <c r="Q143" s="80">
        <v>18</v>
      </c>
      <c r="R143" s="81">
        <f t="shared" si="273"/>
        <v>627.92792792792784</v>
      </c>
      <c r="S143" s="81">
        <f t="shared" si="274"/>
        <v>729.72972972972968</v>
      </c>
      <c r="T143" s="81">
        <f t="shared" si="275"/>
        <v>1357.6576576576576</v>
      </c>
      <c r="U143" s="82">
        <f t="shared" si="276"/>
        <v>0.53760576230922352</v>
      </c>
      <c r="V143" s="82">
        <f t="shared" si="277"/>
        <v>0.55415313529411769</v>
      </c>
      <c r="W143" s="82">
        <f t="shared" si="278"/>
        <v>0.52336684999999994</v>
      </c>
      <c r="X143" s="83">
        <f>BS143+SCENARIU!$C$29+'AJUSTĂRI PE PRODUS'!$I$155</f>
        <v>17</v>
      </c>
      <c r="Y143" s="83">
        <f>BT143+SCENARIU!$C$29+'AJUSTĂRI PE PRODUS'!$J$155</f>
        <v>18</v>
      </c>
      <c r="Z143" s="84">
        <f t="shared" si="279"/>
        <v>627.92792792792784</v>
      </c>
      <c r="AA143" s="84">
        <f t="shared" si="280"/>
        <v>729.72972972972968</v>
      </c>
      <c r="AB143" s="84">
        <f t="shared" si="281"/>
        <v>1357.6576576576576</v>
      </c>
      <c r="AC143" s="85">
        <f t="shared" si="282"/>
        <v>0.53760576230922352</v>
      </c>
      <c r="AD143" s="85">
        <f t="shared" si="283"/>
        <v>0.55415313529411769</v>
      </c>
      <c r="AE143" s="85">
        <f t="shared" si="284"/>
        <v>0.52336684999999994</v>
      </c>
      <c r="AF143" s="83">
        <f>BU143+SCENARIU!$C$29+SCENARIU!$D$29+'AJUSTĂRI PE PRODUS'!$I$155+'AJUSTĂRI PE PRODUS'!$N$155</f>
        <v>17.25</v>
      </c>
      <c r="AG143" s="83">
        <f>BV143+SCENARIU!$C$29+SCENARIU!$D$29+'AJUSTĂRI PE PRODUS'!$J$155+'AJUSTĂRI PE PRODUS'!$O$155</f>
        <v>18.25</v>
      </c>
      <c r="AH143" s="86">
        <f t="shared" si="285"/>
        <v>637.16216216216208</v>
      </c>
      <c r="AI143" s="86">
        <f t="shared" si="286"/>
        <v>739.86486486486478</v>
      </c>
      <c r="AJ143" s="86">
        <f t="shared" si="287"/>
        <v>1377.0270270270269</v>
      </c>
      <c r="AK143" s="87">
        <f t="shared" si="288"/>
        <v>0.53004375780176649</v>
      </c>
      <c r="AL143" s="87">
        <f t="shared" si="289"/>
        <v>0.54612193043478263</v>
      </c>
      <c r="AM143" s="87">
        <f t="shared" si="290"/>
        <v>0.51619744109589039</v>
      </c>
      <c r="AN143" s="83">
        <f>BW143+SCENARIU!$C$29+SCENARIU!$D$29+SCENARIU!$E$29+'AJUSTĂRI PE PRODUS'!$I$155+'AJUSTĂRI PE PRODUS'!$N$155+'AJUSTĂRI PE PRODUS'!$S$155</f>
        <v>17.5</v>
      </c>
      <c r="AO143" s="83">
        <f>BX143+SCENARIU!$C$29+SCENARIU!$D$29+SCENARIU!$E$29+'AJUSTĂRI PE PRODUS'!$J$155+'AJUSTĂRI PE PRODUS'!$O$155+'AJUSTĂRI PE PRODUS'!$T$155</f>
        <v>18.5</v>
      </c>
      <c r="AP143" s="88">
        <f t="shared" si="291"/>
        <v>646.39639639639631</v>
      </c>
      <c r="AQ143" s="88">
        <f t="shared" si="292"/>
        <v>749.99999999999989</v>
      </c>
      <c r="AR143" s="88">
        <f t="shared" si="293"/>
        <v>1396.3963963963961</v>
      </c>
      <c r="AS143" s="89">
        <f t="shared" si="294"/>
        <v>0.52269153793548395</v>
      </c>
      <c r="AT143" s="89">
        <f t="shared" si="295"/>
        <v>0.5383201885714286</v>
      </c>
      <c r="AU143" s="89">
        <f t="shared" si="296"/>
        <v>0.50922180000000006</v>
      </c>
      <c r="AV143" s="83">
        <f>BY143+SCENARIU!$C$29+SCENARIU!$D$29+SCENARIU!$E$29+SCENARIU!$F$29+'AJUSTĂRI PE PRODUS'!$I$155+'AJUSTĂRI PE PRODUS'!$N$155+'AJUSTĂRI PE PRODUS'!$S$155+'AJUSTĂRI PE PRODUS'!$X$155</f>
        <v>17.5</v>
      </c>
      <c r="AW143" s="83">
        <f>BZ143+SCENARIU!$C$29+SCENARIU!$D$29+SCENARIU!$E$29+SCENARIU!$F$29+'AJUSTĂRI PE PRODUS'!$J$155+'AJUSTĂRI PE PRODUS'!$O$155+'AJUSTĂRI PE PRODUS'!$T$155+'AJUSTĂRI PE PRODUS'!$Y$155</f>
        <v>18.5</v>
      </c>
      <c r="AX143" s="90">
        <f t="shared" si="297"/>
        <v>646.39639639639631</v>
      </c>
      <c r="AY143" s="90">
        <f t="shared" si="298"/>
        <v>749.99999999999989</v>
      </c>
      <c r="AZ143" s="90">
        <f t="shared" si="299"/>
        <v>1396.3963963963961</v>
      </c>
      <c r="BA143" s="91">
        <f t="shared" si="300"/>
        <v>0.52269153793548395</v>
      </c>
      <c r="BB143" s="91">
        <f t="shared" si="301"/>
        <v>0.5383201885714286</v>
      </c>
      <c r="BC143" s="91">
        <f t="shared" si="302"/>
        <v>0.50922180000000006</v>
      </c>
      <c r="BD143" s="92">
        <f t="shared" si="303"/>
        <v>0</v>
      </c>
      <c r="BE143" s="92">
        <f t="shared" si="304"/>
        <v>0</v>
      </c>
      <c r="BF143" s="92">
        <f t="shared" si="305"/>
        <v>0.25</v>
      </c>
      <c r="BG143" s="92">
        <f t="shared" si="306"/>
        <v>0.25</v>
      </c>
      <c r="BH143" s="92">
        <f t="shared" si="307"/>
        <v>0</v>
      </c>
      <c r="BI143" s="93">
        <f t="shared" si="308"/>
        <v>0.5</v>
      </c>
      <c r="BJ143" s="92">
        <f t="shared" si="309"/>
        <v>0</v>
      </c>
      <c r="BK143" s="92">
        <f t="shared" si="310"/>
        <v>0</v>
      </c>
      <c r="BL143" s="92">
        <f t="shared" si="311"/>
        <v>0.25</v>
      </c>
      <c r="BM143" s="92">
        <f t="shared" si="312"/>
        <v>0.25</v>
      </c>
      <c r="BN143" s="92">
        <f t="shared" si="313"/>
        <v>0</v>
      </c>
      <c r="BO143" s="93">
        <f t="shared" si="314"/>
        <v>0.5</v>
      </c>
      <c r="BQ143">
        <v>17</v>
      </c>
      <c r="BR143">
        <v>18</v>
      </c>
      <c r="BS143">
        <v>17</v>
      </c>
      <c r="BT143">
        <v>18</v>
      </c>
      <c r="BU143">
        <v>17.25</v>
      </c>
      <c r="BV143">
        <v>18.25</v>
      </c>
      <c r="BW143">
        <v>17.5</v>
      </c>
      <c r="BX143">
        <v>18.5</v>
      </c>
      <c r="BY143">
        <v>17.5</v>
      </c>
      <c r="BZ143">
        <v>18.5</v>
      </c>
    </row>
    <row r="144" spans="1:78" x14ac:dyDescent="0.2">
      <c r="A144" s="26">
        <v>17</v>
      </c>
      <c r="B144" s="26" t="s">
        <v>296</v>
      </c>
      <c r="C144" s="26" t="s">
        <v>104</v>
      </c>
      <c r="D144" s="74">
        <v>1</v>
      </c>
      <c r="E144" s="75">
        <v>21</v>
      </c>
      <c r="F144" s="76">
        <v>125</v>
      </c>
      <c r="G144" s="76">
        <v>11</v>
      </c>
      <c r="H144" s="77">
        <f>SUMIFS(RETETAR!$I$4:$I$967,RETETAR!$A$4:$A$967,$M144,RETETAR!$C$4:$C$967,"AMBELE")+SUMIFS(RETETAR!$I$4:$I$967,RETETAR!$A$4:$A$967,$M144,RETETAR!$C$4:$C$967,"INSTORE")</f>
        <v>3.7712820000000002</v>
      </c>
      <c r="I144" s="77">
        <f>SUMIFS(RETETAR!$I$4:$I$967,RETETAR!$A$4:$A$967,$M144,RETETAR!$C$4:$C$967,"AMBELE")+SUMIFS(RETETAR!$I$4:$I$967,RETETAR!$A$4:$A$967,$M144,RETETAR!$C$4:$C$967,"DELIVERY")</f>
        <v>3.7712820000000002</v>
      </c>
      <c r="J144" s="78">
        <f t="shared" si="270"/>
        <v>471.41025000000002</v>
      </c>
      <c r="K144" s="78">
        <f t="shared" si="271"/>
        <v>41.484102</v>
      </c>
      <c r="L144" s="78">
        <f t="shared" si="272"/>
        <v>512.89435200000003</v>
      </c>
      <c r="M144" t="s">
        <v>296</v>
      </c>
      <c r="N144" s="79">
        <v>10</v>
      </c>
      <c r="O144" s="79">
        <v>11</v>
      </c>
      <c r="P144" s="80">
        <v>10.99</v>
      </c>
      <c r="Q144" s="80">
        <v>11.99</v>
      </c>
      <c r="R144" s="81">
        <f t="shared" si="273"/>
        <v>1135.3305785123969</v>
      </c>
      <c r="S144" s="81">
        <f t="shared" si="274"/>
        <v>109.00000000000001</v>
      </c>
      <c r="T144" s="81">
        <f t="shared" si="275"/>
        <v>1244.3305785123969</v>
      </c>
      <c r="U144" s="82">
        <f t="shared" si="276"/>
        <v>0.41218496182354342</v>
      </c>
      <c r="V144" s="82">
        <f t="shared" si="277"/>
        <v>0.41521849135577793</v>
      </c>
      <c r="W144" s="82">
        <f t="shared" si="278"/>
        <v>0.38058809174311919</v>
      </c>
      <c r="X144" s="83">
        <f>BS144+SCENARIU!$C$29+'AJUSTĂRI PE PRODUS'!$I$156</f>
        <v>10.99</v>
      </c>
      <c r="Y144" s="83">
        <f>BT144+SCENARIU!$C$29+'AJUSTĂRI PE PRODUS'!$J$156</f>
        <v>11.99</v>
      </c>
      <c r="Z144" s="84">
        <f t="shared" si="279"/>
        <v>1135.3305785123969</v>
      </c>
      <c r="AA144" s="84">
        <f t="shared" si="280"/>
        <v>109.00000000000001</v>
      </c>
      <c r="AB144" s="84">
        <f t="shared" si="281"/>
        <v>1244.3305785123969</v>
      </c>
      <c r="AC144" s="85">
        <f t="shared" si="282"/>
        <v>0.41218496182354342</v>
      </c>
      <c r="AD144" s="85">
        <f t="shared" si="283"/>
        <v>0.41521849135577793</v>
      </c>
      <c r="AE144" s="85">
        <f t="shared" si="284"/>
        <v>0.38058809174311919</v>
      </c>
      <c r="AF144" s="83">
        <f>BU144+SCENARIU!$C$29+SCENARIU!$D$29+'AJUSTĂRI PE PRODUS'!$I$156+'AJUSTĂRI PE PRODUS'!$N$156</f>
        <v>10.99</v>
      </c>
      <c r="AG144" s="83">
        <f>BV144+SCENARIU!$C$29+SCENARIU!$D$29+'AJUSTĂRI PE PRODUS'!$J$156+'AJUSTĂRI PE PRODUS'!$O$156</f>
        <v>11.99</v>
      </c>
      <c r="AH144" s="86">
        <f t="shared" si="285"/>
        <v>1135.3305785123969</v>
      </c>
      <c r="AI144" s="86">
        <f t="shared" si="286"/>
        <v>109.00000000000001</v>
      </c>
      <c r="AJ144" s="86">
        <f t="shared" si="287"/>
        <v>1244.3305785123969</v>
      </c>
      <c r="AK144" s="87">
        <f t="shared" si="288"/>
        <v>0.41218496182354342</v>
      </c>
      <c r="AL144" s="87">
        <f t="shared" si="289"/>
        <v>0.41521849135577793</v>
      </c>
      <c r="AM144" s="87">
        <f t="shared" si="290"/>
        <v>0.38058809174311919</v>
      </c>
      <c r="AN144" s="83">
        <f>BW144+SCENARIU!$C$29+SCENARIU!$D$29+SCENARIU!$E$29+'AJUSTĂRI PE PRODUS'!$I$156+'AJUSTĂRI PE PRODUS'!$N$156+'AJUSTĂRI PE PRODUS'!$S$156</f>
        <v>10.99</v>
      </c>
      <c r="AO144" s="83">
        <f>BX144+SCENARIU!$C$29+SCENARIU!$D$29+SCENARIU!$E$29+'AJUSTĂRI PE PRODUS'!$J$156+'AJUSTĂRI PE PRODUS'!$O$156+'AJUSTĂRI PE PRODUS'!$T$156</f>
        <v>11.99</v>
      </c>
      <c r="AP144" s="88">
        <f t="shared" si="291"/>
        <v>1135.3305785123969</v>
      </c>
      <c r="AQ144" s="88">
        <f t="shared" si="292"/>
        <v>109.00000000000001</v>
      </c>
      <c r="AR144" s="88">
        <f t="shared" si="293"/>
        <v>1244.3305785123969</v>
      </c>
      <c r="AS144" s="89">
        <f t="shared" si="294"/>
        <v>0.41218496182354342</v>
      </c>
      <c r="AT144" s="89">
        <f t="shared" si="295"/>
        <v>0.41521849135577793</v>
      </c>
      <c r="AU144" s="89">
        <f t="shared" si="296"/>
        <v>0.38058809174311919</v>
      </c>
      <c r="AV144" s="83">
        <f>BY144+SCENARIU!$C$29+SCENARIU!$D$29+SCENARIU!$E$29+SCENARIU!$F$29+'AJUSTĂRI PE PRODUS'!$I$156+'AJUSTĂRI PE PRODUS'!$N$156+'AJUSTĂRI PE PRODUS'!$S$156+'AJUSTĂRI PE PRODUS'!$X$156</f>
        <v>10.99</v>
      </c>
      <c r="AW144" s="83">
        <f>BZ144+SCENARIU!$C$29+SCENARIU!$D$29+SCENARIU!$E$29+SCENARIU!$F$29+'AJUSTĂRI PE PRODUS'!$J$156+'AJUSTĂRI PE PRODUS'!$O$156+'AJUSTĂRI PE PRODUS'!$T$156+'AJUSTĂRI PE PRODUS'!$Y$156</f>
        <v>11.99</v>
      </c>
      <c r="AX144" s="90">
        <f t="shared" si="297"/>
        <v>1135.3305785123969</v>
      </c>
      <c r="AY144" s="90">
        <f t="shared" si="298"/>
        <v>109.00000000000001</v>
      </c>
      <c r="AZ144" s="90">
        <f t="shared" si="299"/>
        <v>1244.3305785123969</v>
      </c>
      <c r="BA144" s="91">
        <f t="shared" si="300"/>
        <v>0.41218496182354342</v>
      </c>
      <c r="BB144" s="91">
        <f t="shared" si="301"/>
        <v>0.41521849135577793</v>
      </c>
      <c r="BC144" s="91">
        <f t="shared" si="302"/>
        <v>0.38058809174311919</v>
      </c>
      <c r="BD144" s="92">
        <f t="shared" si="303"/>
        <v>0.99000000000000021</v>
      </c>
      <c r="BE144" s="92">
        <f t="shared" si="304"/>
        <v>0</v>
      </c>
      <c r="BF144" s="92">
        <f t="shared" si="305"/>
        <v>0</v>
      </c>
      <c r="BG144" s="92">
        <f t="shared" si="306"/>
        <v>0</v>
      </c>
      <c r="BH144" s="92">
        <f t="shared" si="307"/>
        <v>0</v>
      </c>
      <c r="BI144" s="93">
        <f t="shared" si="308"/>
        <v>0.99000000000000021</v>
      </c>
      <c r="BJ144" s="92">
        <f t="shared" si="309"/>
        <v>0.99000000000000021</v>
      </c>
      <c r="BK144" s="92">
        <f t="shared" si="310"/>
        <v>0</v>
      </c>
      <c r="BL144" s="92">
        <f t="shared" si="311"/>
        <v>0</v>
      </c>
      <c r="BM144" s="92">
        <f t="shared" si="312"/>
        <v>0</v>
      </c>
      <c r="BN144" s="92">
        <f t="shared" si="313"/>
        <v>0</v>
      </c>
      <c r="BO144" s="93">
        <f t="shared" si="314"/>
        <v>0.99000000000000021</v>
      </c>
      <c r="BQ144">
        <v>10.99</v>
      </c>
      <c r="BR144">
        <v>11.99</v>
      </c>
      <c r="BS144">
        <v>10.99</v>
      </c>
      <c r="BT144">
        <v>11.99</v>
      </c>
      <c r="BU144">
        <v>10.99</v>
      </c>
      <c r="BV144">
        <v>11.99</v>
      </c>
      <c r="BW144">
        <v>10.99</v>
      </c>
      <c r="BX144">
        <v>11.99</v>
      </c>
      <c r="BY144">
        <v>10.99</v>
      </c>
      <c r="BZ144">
        <v>11.99</v>
      </c>
    </row>
    <row r="145" spans="1:78" x14ac:dyDescent="0.2">
      <c r="A145" s="26">
        <v>18</v>
      </c>
      <c r="B145" s="26" t="s">
        <v>300</v>
      </c>
      <c r="C145" s="26" t="s">
        <v>104</v>
      </c>
      <c r="D145" s="74">
        <v>1</v>
      </c>
      <c r="E145" s="75">
        <v>21</v>
      </c>
      <c r="F145" s="76">
        <v>53</v>
      </c>
      <c r="G145" s="76">
        <v>31</v>
      </c>
      <c r="H145" s="77">
        <f>SUMIFS(RETETAR!$I$4:$I$967,RETETAR!$A$4:$A$967,$M145,RETETAR!$C$4:$C$967,"AMBELE")+SUMIFS(RETETAR!$I$4:$I$967,RETETAR!$A$4:$A$967,$M145,RETETAR!$C$4:$C$967,"INSTORE")</f>
        <v>7.0201227999999993</v>
      </c>
      <c r="I145" s="77">
        <f>SUMIFS(RETETAR!$I$4:$I$967,RETETAR!$A$4:$A$967,$M145,RETETAR!$C$4:$C$967,"AMBELE")+SUMIFS(RETETAR!$I$4:$I$967,RETETAR!$A$4:$A$967,$M145,RETETAR!$C$4:$C$967,"DELIVERY")</f>
        <v>7.0201227999999993</v>
      </c>
      <c r="J145" s="78">
        <f t="shared" si="270"/>
        <v>372.06650839999998</v>
      </c>
      <c r="K145" s="78">
        <f t="shared" si="271"/>
        <v>217.62380679999998</v>
      </c>
      <c r="L145" s="78">
        <f t="shared" si="272"/>
        <v>589.69031519999999</v>
      </c>
      <c r="M145" t="s">
        <v>300</v>
      </c>
      <c r="N145" s="79">
        <v>15</v>
      </c>
      <c r="O145" s="79">
        <v>16</v>
      </c>
      <c r="P145" s="80">
        <v>15.99</v>
      </c>
      <c r="Q145" s="80">
        <v>16.989999999999998</v>
      </c>
      <c r="R145" s="81">
        <f t="shared" si="273"/>
        <v>700.38842975206614</v>
      </c>
      <c r="S145" s="81">
        <f t="shared" si="274"/>
        <v>435.28099173553716</v>
      </c>
      <c r="T145" s="81">
        <f t="shared" si="275"/>
        <v>1135.6694214876034</v>
      </c>
      <c r="U145" s="82">
        <f t="shared" si="276"/>
        <v>0.5192446886767188</v>
      </c>
      <c r="V145" s="82">
        <f t="shared" si="277"/>
        <v>0.53122880475297052</v>
      </c>
      <c r="W145" s="82">
        <f t="shared" si="278"/>
        <v>0.49996165909358448</v>
      </c>
      <c r="X145" s="83">
        <f>BS145+SCENARIU!$C$29+'AJUSTĂRI PE PRODUS'!$I$161</f>
        <v>15.99</v>
      </c>
      <c r="Y145" s="83">
        <f>BT145+SCENARIU!$C$29+'AJUSTĂRI PE PRODUS'!$J$161</f>
        <v>16.989999999999998</v>
      </c>
      <c r="Z145" s="84">
        <f t="shared" si="279"/>
        <v>700.38842975206614</v>
      </c>
      <c r="AA145" s="84">
        <f t="shared" si="280"/>
        <v>435.28099173553716</v>
      </c>
      <c r="AB145" s="84">
        <f t="shared" si="281"/>
        <v>1135.6694214876034</v>
      </c>
      <c r="AC145" s="85">
        <f t="shared" si="282"/>
        <v>0.5192446886767188</v>
      </c>
      <c r="AD145" s="85">
        <f t="shared" si="283"/>
        <v>0.53122880475297052</v>
      </c>
      <c r="AE145" s="85">
        <f t="shared" si="284"/>
        <v>0.49996165909358448</v>
      </c>
      <c r="AF145" s="83">
        <f>BU145+SCENARIU!$C$29+SCENARIU!$D$29+'AJUSTĂRI PE PRODUS'!$I$161+'AJUSTĂRI PE PRODUS'!$N$161</f>
        <v>15.99</v>
      </c>
      <c r="AG145" s="83">
        <f>BV145+SCENARIU!$C$29+SCENARIU!$D$29+'AJUSTĂRI PE PRODUS'!$J$161+'AJUSTĂRI PE PRODUS'!$O$161</f>
        <v>16.989999999999998</v>
      </c>
      <c r="AH145" s="86">
        <f t="shared" si="285"/>
        <v>700.38842975206614</v>
      </c>
      <c r="AI145" s="86">
        <f t="shared" si="286"/>
        <v>435.28099173553716</v>
      </c>
      <c r="AJ145" s="86">
        <f t="shared" si="287"/>
        <v>1135.6694214876034</v>
      </c>
      <c r="AK145" s="87">
        <f t="shared" si="288"/>
        <v>0.5192446886767188</v>
      </c>
      <c r="AL145" s="87">
        <f t="shared" si="289"/>
        <v>0.53122880475297052</v>
      </c>
      <c r="AM145" s="87">
        <f t="shared" si="290"/>
        <v>0.49996165909358448</v>
      </c>
      <c r="AN145" s="83">
        <f>BW145+SCENARIU!$C$29+SCENARIU!$D$29+SCENARIU!$E$29+'AJUSTĂRI PE PRODUS'!$I$161+'AJUSTĂRI PE PRODUS'!$N$161+'AJUSTĂRI PE PRODUS'!$S$161</f>
        <v>15.99</v>
      </c>
      <c r="AO145" s="83">
        <f>BX145+SCENARIU!$C$29+SCENARIU!$D$29+SCENARIU!$E$29+'AJUSTĂRI PE PRODUS'!$J$161+'AJUSTĂRI PE PRODUS'!$O$161+'AJUSTĂRI PE PRODUS'!$T$161</f>
        <v>16.989999999999998</v>
      </c>
      <c r="AP145" s="88">
        <f t="shared" si="291"/>
        <v>700.38842975206614</v>
      </c>
      <c r="AQ145" s="88">
        <f t="shared" si="292"/>
        <v>435.28099173553716</v>
      </c>
      <c r="AR145" s="88">
        <f t="shared" si="293"/>
        <v>1135.6694214876034</v>
      </c>
      <c r="AS145" s="89">
        <f t="shared" si="294"/>
        <v>0.5192446886767188</v>
      </c>
      <c r="AT145" s="89">
        <f t="shared" si="295"/>
        <v>0.53122880475297052</v>
      </c>
      <c r="AU145" s="89">
        <f t="shared" si="296"/>
        <v>0.49996165909358448</v>
      </c>
      <c r="AV145" s="83">
        <f>BY145+SCENARIU!$C$29+SCENARIU!$D$29+SCENARIU!$E$29+SCENARIU!$F$29+'AJUSTĂRI PE PRODUS'!$I$161+'AJUSTĂRI PE PRODUS'!$N$161+'AJUSTĂRI PE PRODUS'!$S$161+'AJUSTĂRI PE PRODUS'!$X$161</f>
        <v>15.99</v>
      </c>
      <c r="AW145" s="83">
        <f>BZ145+SCENARIU!$C$29+SCENARIU!$D$29+SCENARIU!$E$29+SCENARIU!$F$29+'AJUSTĂRI PE PRODUS'!$J$161+'AJUSTĂRI PE PRODUS'!$O$161+'AJUSTĂRI PE PRODUS'!$T$161+'AJUSTĂRI PE PRODUS'!$Y$161</f>
        <v>16.989999999999998</v>
      </c>
      <c r="AX145" s="90">
        <f t="shared" si="297"/>
        <v>700.38842975206614</v>
      </c>
      <c r="AY145" s="90">
        <f t="shared" si="298"/>
        <v>435.28099173553716</v>
      </c>
      <c r="AZ145" s="90">
        <f t="shared" si="299"/>
        <v>1135.6694214876034</v>
      </c>
      <c r="BA145" s="91">
        <f t="shared" si="300"/>
        <v>0.5192446886767188</v>
      </c>
      <c r="BB145" s="91">
        <f t="shared" si="301"/>
        <v>0.53122880475297052</v>
      </c>
      <c r="BC145" s="91">
        <f t="shared" si="302"/>
        <v>0.49996165909358448</v>
      </c>
      <c r="BD145" s="92">
        <f t="shared" si="303"/>
        <v>0.99000000000000021</v>
      </c>
      <c r="BE145" s="92">
        <f t="shared" si="304"/>
        <v>0</v>
      </c>
      <c r="BF145" s="92">
        <f t="shared" si="305"/>
        <v>0</v>
      </c>
      <c r="BG145" s="92">
        <f t="shared" si="306"/>
        <v>0</v>
      </c>
      <c r="BH145" s="92">
        <f t="shared" si="307"/>
        <v>0</v>
      </c>
      <c r="BI145" s="93">
        <f t="shared" si="308"/>
        <v>0.99000000000000021</v>
      </c>
      <c r="BJ145" s="92">
        <f t="shared" si="309"/>
        <v>0.98999999999999844</v>
      </c>
      <c r="BK145" s="92">
        <f t="shared" si="310"/>
        <v>0</v>
      </c>
      <c r="BL145" s="92">
        <f t="shared" si="311"/>
        <v>0</v>
      </c>
      <c r="BM145" s="92">
        <f t="shared" si="312"/>
        <v>0</v>
      </c>
      <c r="BN145" s="92">
        <f t="shared" si="313"/>
        <v>0</v>
      </c>
      <c r="BO145" s="93">
        <f t="shared" si="314"/>
        <v>0.98999999999999844</v>
      </c>
      <c r="BQ145">
        <v>15.99</v>
      </c>
      <c r="BR145">
        <v>16.989999999999998</v>
      </c>
      <c r="BS145">
        <v>15.99</v>
      </c>
      <c r="BT145">
        <v>16.989999999999998</v>
      </c>
      <c r="BU145">
        <v>15.99</v>
      </c>
      <c r="BV145">
        <v>16.989999999999998</v>
      </c>
      <c r="BW145">
        <v>15.99</v>
      </c>
      <c r="BX145">
        <v>16.989999999999998</v>
      </c>
      <c r="BY145">
        <v>15.99</v>
      </c>
      <c r="BZ145">
        <v>16.989999999999998</v>
      </c>
    </row>
    <row r="146" spans="1:78" x14ac:dyDescent="0.2">
      <c r="A146" s="26">
        <v>19</v>
      </c>
      <c r="B146" s="26" t="s">
        <v>301</v>
      </c>
      <c r="C146" s="26" t="s">
        <v>104</v>
      </c>
      <c r="D146" s="74">
        <v>1</v>
      </c>
      <c r="E146" s="75">
        <v>11</v>
      </c>
      <c r="F146" s="76">
        <v>53</v>
      </c>
      <c r="G146" s="76">
        <v>0</v>
      </c>
      <c r="H146" s="77">
        <f>SUMIFS(RETETAR!$I$4:$I$967,RETETAR!$A$4:$A$967,$M146,RETETAR!$C$4:$C$967,"AMBELE")+SUMIFS(RETETAR!$I$4:$I$967,RETETAR!$A$4:$A$967,$M146,RETETAR!$C$4:$C$967,"INSTORE")</f>
        <v>11.65799</v>
      </c>
      <c r="I146" s="77">
        <f>SUMIFS(RETETAR!$I$4:$I$967,RETETAR!$A$4:$A$967,$M146,RETETAR!$C$4:$C$967,"AMBELE")+SUMIFS(RETETAR!$I$4:$I$967,RETETAR!$A$4:$A$967,$M146,RETETAR!$C$4:$C$967,"DELIVERY")</f>
        <v>0</v>
      </c>
      <c r="J146" s="78">
        <f t="shared" si="270"/>
        <v>617.87347</v>
      </c>
      <c r="K146" s="78">
        <f t="shared" si="271"/>
        <v>0</v>
      </c>
      <c r="L146" s="78">
        <f t="shared" si="272"/>
        <v>617.87347</v>
      </c>
      <c r="M146" t="s">
        <v>301</v>
      </c>
      <c r="N146" s="79">
        <v>22</v>
      </c>
      <c r="O146" s="79">
        <v>21</v>
      </c>
      <c r="P146" s="80">
        <v>22</v>
      </c>
      <c r="Q146" s="80">
        <v>21</v>
      </c>
      <c r="R146" s="81">
        <f t="shared" si="273"/>
        <v>1050.4504504504503</v>
      </c>
      <c r="S146" s="81">
        <f t="shared" si="274"/>
        <v>0</v>
      </c>
      <c r="T146" s="81">
        <f t="shared" si="275"/>
        <v>1050.4504504504503</v>
      </c>
      <c r="U146" s="82">
        <f t="shared" si="276"/>
        <v>0.58819858636363642</v>
      </c>
      <c r="V146" s="82">
        <f t="shared" si="277"/>
        <v>0.58819858636363642</v>
      </c>
      <c r="W146" s="82" t="str">
        <f t="shared" si="278"/>
        <v/>
      </c>
      <c r="X146" s="83">
        <f>BS146+SCENARIU!$C$29+'AJUSTĂRI PE PRODUS'!$I$165</f>
        <v>22</v>
      </c>
      <c r="Y146" s="83">
        <f>BT146+SCENARIU!$C$29+'AJUSTĂRI PE PRODUS'!$J$165</f>
        <v>21</v>
      </c>
      <c r="Z146" s="84">
        <f t="shared" si="279"/>
        <v>1050.4504504504503</v>
      </c>
      <c r="AA146" s="84">
        <f t="shared" si="280"/>
        <v>0</v>
      </c>
      <c r="AB146" s="84">
        <f t="shared" si="281"/>
        <v>1050.4504504504503</v>
      </c>
      <c r="AC146" s="85">
        <f t="shared" si="282"/>
        <v>0.58819858636363642</v>
      </c>
      <c r="AD146" s="85">
        <f t="shared" si="283"/>
        <v>0.58819858636363642</v>
      </c>
      <c r="AE146" s="85" t="str">
        <f t="shared" si="284"/>
        <v/>
      </c>
      <c r="AF146" s="83">
        <f>BU146+SCENARIU!$C$29+SCENARIU!$D$29+'AJUSTĂRI PE PRODUS'!$I$165+'AJUSTĂRI PE PRODUS'!$N$165</f>
        <v>22.25</v>
      </c>
      <c r="AG146" s="83">
        <f>BV146+SCENARIU!$C$29+SCENARIU!$D$29+'AJUSTĂRI PE PRODUS'!$J$165+'AJUSTĂRI PE PRODUS'!$O$165</f>
        <v>21.49</v>
      </c>
      <c r="AH146" s="86">
        <f t="shared" si="285"/>
        <v>1062.3873873873872</v>
      </c>
      <c r="AI146" s="86">
        <f t="shared" si="286"/>
        <v>0</v>
      </c>
      <c r="AJ146" s="86">
        <f t="shared" si="287"/>
        <v>1062.3873873873872</v>
      </c>
      <c r="AK146" s="87">
        <f t="shared" si="288"/>
        <v>0.58158961348314619</v>
      </c>
      <c r="AL146" s="87">
        <f t="shared" si="289"/>
        <v>0.58158961348314619</v>
      </c>
      <c r="AM146" s="87" t="str">
        <f t="shared" si="290"/>
        <v/>
      </c>
      <c r="AN146" s="83">
        <f>BW146+SCENARIU!$C$29+SCENARIU!$D$29+SCENARIU!$E$29+'AJUSTĂRI PE PRODUS'!$I$165+'AJUSTĂRI PE PRODUS'!$N$165+'AJUSTĂRI PE PRODUS'!$S$165</f>
        <v>22.5</v>
      </c>
      <c r="AO146" s="83">
        <f>BX146+SCENARIU!$C$29+SCENARIU!$D$29+SCENARIU!$E$29+'AJUSTĂRI PE PRODUS'!$J$165+'AJUSTĂRI PE PRODUS'!$O$165+'AJUSTĂRI PE PRODUS'!$T$165</f>
        <v>21.99</v>
      </c>
      <c r="AP146" s="88">
        <f t="shared" si="291"/>
        <v>1074.3243243243244</v>
      </c>
      <c r="AQ146" s="88">
        <f t="shared" si="292"/>
        <v>0</v>
      </c>
      <c r="AR146" s="88">
        <f t="shared" si="293"/>
        <v>1074.3243243243244</v>
      </c>
      <c r="AS146" s="89">
        <f t="shared" si="294"/>
        <v>0.57512750666666668</v>
      </c>
      <c r="AT146" s="89">
        <f t="shared" si="295"/>
        <v>0.57512750666666668</v>
      </c>
      <c r="AU146" s="89" t="str">
        <f t="shared" si="296"/>
        <v/>
      </c>
      <c r="AV146" s="83">
        <f>BY146+SCENARIU!$C$29+SCENARIU!$D$29+SCENARIU!$E$29+SCENARIU!$F$29+'AJUSTĂRI PE PRODUS'!$I$165+'AJUSTĂRI PE PRODUS'!$N$165+'AJUSTĂRI PE PRODUS'!$S$165+'AJUSTĂRI PE PRODUS'!$X$165</f>
        <v>22.5</v>
      </c>
      <c r="AW146" s="83">
        <f>BZ146+SCENARIU!$C$29+SCENARIU!$D$29+SCENARIU!$E$29+SCENARIU!$F$29+'AJUSTĂRI PE PRODUS'!$J$165+'AJUSTĂRI PE PRODUS'!$O$165+'AJUSTĂRI PE PRODUS'!$T$165+'AJUSTĂRI PE PRODUS'!$Y$165</f>
        <v>21.99</v>
      </c>
      <c r="AX146" s="90">
        <f t="shared" si="297"/>
        <v>1074.3243243243244</v>
      </c>
      <c r="AY146" s="90">
        <f t="shared" si="298"/>
        <v>0</v>
      </c>
      <c r="AZ146" s="90">
        <f t="shared" si="299"/>
        <v>1074.3243243243244</v>
      </c>
      <c r="BA146" s="91">
        <f t="shared" si="300"/>
        <v>0.57512750666666668</v>
      </c>
      <c r="BB146" s="91">
        <f t="shared" si="301"/>
        <v>0.57512750666666668</v>
      </c>
      <c r="BC146" s="91" t="str">
        <f t="shared" si="302"/>
        <v/>
      </c>
      <c r="BD146" s="92">
        <f t="shared" si="303"/>
        <v>0</v>
      </c>
      <c r="BE146" s="92">
        <f t="shared" si="304"/>
        <v>0</v>
      </c>
      <c r="BF146" s="92">
        <f t="shared" si="305"/>
        <v>0.25</v>
      </c>
      <c r="BG146" s="92">
        <f t="shared" si="306"/>
        <v>0.25</v>
      </c>
      <c r="BH146" s="92">
        <f t="shared" si="307"/>
        <v>0</v>
      </c>
      <c r="BI146" s="93">
        <f t="shared" si="308"/>
        <v>0.5</v>
      </c>
      <c r="BJ146" s="92">
        <f t="shared" si="309"/>
        <v>0</v>
      </c>
      <c r="BK146" s="92">
        <f t="shared" si="310"/>
        <v>0</v>
      </c>
      <c r="BL146" s="92">
        <f t="shared" si="311"/>
        <v>0.48999999999999844</v>
      </c>
      <c r="BM146" s="92">
        <f t="shared" si="312"/>
        <v>0.5</v>
      </c>
      <c r="BN146" s="92">
        <f t="shared" si="313"/>
        <v>0</v>
      </c>
      <c r="BO146" s="93">
        <f t="shared" si="314"/>
        <v>0.98999999999999844</v>
      </c>
      <c r="BQ146">
        <v>22</v>
      </c>
      <c r="BR146">
        <v>21</v>
      </c>
      <c r="BS146">
        <v>22</v>
      </c>
      <c r="BT146">
        <v>21</v>
      </c>
      <c r="BU146">
        <v>22.25</v>
      </c>
      <c r="BV146">
        <v>21.49</v>
      </c>
      <c r="BW146">
        <v>22.5</v>
      </c>
      <c r="BX146">
        <v>21.99</v>
      </c>
      <c r="BY146">
        <v>22.5</v>
      </c>
      <c r="BZ146">
        <v>21.99</v>
      </c>
    </row>
    <row r="147" spans="1:78" x14ac:dyDescent="0.2">
      <c r="A147" s="26">
        <v>20</v>
      </c>
      <c r="B147" s="26" t="s">
        <v>304</v>
      </c>
      <c r="C147" s="26" t="s">
        <v>104</v>
      </c>
      <c r="D147" s="74">
        <v>1</v>
      </c>
      <c r="E147" s="75">
        <v>21</v>
      </c>
      <c r="F147" s="76">
        <v>106</v>
      </c>
      <c r="G147" s="76">
        <v>1</v>
      </c>
      <c r="H147" s="77">
        <f>SUMIFS(RETETAR!$I$4:$I$967,RETETAR!$A$4:$A$967,$M147,RETETAR!$C$4:$C$967,"AMBELE")+SUMIFS(RETETAR!$I$4:$I$967,RETETAR!$A$4:$A$967,$M147,RETETAR!$C$4:$C$967,"INSTORE")</f>
        <v>4.4374450000000003</v>
      </c>
      <c r="I147" s="77">
        <f>SUMIFS(RETETAR!$I$4:$I$967,RETETAR!$A$4:$A$967,$M147,RETETAR!$C$4:$C$967,"AMBELE")+SUMIFS(RETETAR!$I$4:$I$967,RETETAR!$A$4:$A$967,$M147,RETETAR!$C$4:$C$967,"DELIVERY")</f>
        <v>4.4374450000000003</v>
      </c>
      <c r="J147" s="78">
        <f t="shared" si="270"/>
        <v>470.36917000000005</v>
      </c>
      <c r="K147" s="78">
        <f t="shared" si="271"/>
        <v>4.4374450000000003</v>
      </c>
      <c r="L147" s="78">
        <f t="shared" si="272"/>
        <v>474.80661500000008</v>
      </c>
      <c r="M147" t="s">
        <v>304</v>
      </c>
      <c r="N147" s="79">
        <v>10</v>
      </c>
      <c r="O147" s="79">
        <v>11</v>
      </c>
      <c r="P147" s="80">
        <v>10.99</v>
      </c>
      <c r="Q147" s="80">
        <v>11.99</v>
      </c>
      <c r="R147" s="81">
        <f t="shared" si="273"/>
        <v>962.76033057851248</v>
      </c>
      <c r="S147" s="81">
        <f t="shared" si="274"/>
        <v>9.9090909090909101</v>
      </c>
      <c r="T147" s="81">
        <f t="shared" si="275"/>
        <v>972.66942148760336</v>
      </c>
      <c r="U147" s="82">
        <f t="shared" si="276"/>
        <v>0.48814798174063034</v>
      </c>
      <c r="V147" s="82">
        <f t="shared" si="277"/>
        <v>0.48856309827115563</v>
      </c>
      <c r="W147" s="82">
        <f t="shared" si="278"/>
        <v>0.44781555045871557</v>
      </c>
      <c r="X147" s="83">
        <f>BS147+SCENARIU!$C$29+'AJUSTĂRI PE PRODUS'!$I$164</f>
        <v>10.99</v>
      </c>
      <c r="Y147" s="83">
        <f>BT147+SCENARIU!$C$29+'AJUSTĂRI PE PRODUS'!$J$164</f>
        <v>11.99</v>
      </c>
      <c r="Z147" s="84">
        <f t="shared" si="279"/>
        <v>962.76033057851248</v>
      </c>
      <c r="AA147" s="84">
        <f t="shared" si="280"/>
        <v>9.9090909090909101</v>
      </c>
      <c r="AB147" s="84">
        <f t="shared" si="281"/>
        <v>972.66942148760336</v>
      </c>
      <c r="AC147" s="85">
        <f t="shared" si="282"/>
        <v>0.48814798174063034</v>
      </c>
      <c r="AD147" s="85">
        <f t="shared" si="283"/>
        <v>0.48856309827115563</v>
      </c>
      <c r="AE147" s="85">
        <f t="shared" si="284"/>
        <v>0.44781555045871557</v>
      </c>
      <c r="AF147" s="83">
        <f>BU147+SCENARIU!$C$29+SCENARIU!$D$29+'AJUSTĂRI PE PRODUS'!$I$164+'AJUSTĂRI PE PRODUS'!$N$164</f>
        <v>10.99</v>
      </c>
      <c r="AG147" s="83">
        <f>BV147+SCENARIU!$C$29+SCENARIU!$D$29+'AJUSTĂRI PE PRODUS'!$J$164+'AJUSTĂRI PE PRODUS'!$O$164</f>
        <v>11.99</v>
      </c>
      <c r="AH147" s="86">
        <f t="shared" si="285"/>
        <v>962.76033057851248</v>
      </c>
      <c r="AI147" s="86">
        <f t="shared" si="286"/>
        <v>9.9090909090909101</v>
      </c>
      <c r="AJ147" s="86">
        <f t="shared" si="287"/>
        <v>972.66942148760336</v>
      </c>
      <c r="AK147" s="87">
        <f t="shared" si="288"/>
        <v>0.48814798174063034</v>
      </c>
      <c r="AL147" s="87">
        <f t="shared" si="289"/>
        <v>0.48856309827115563</v>
      </c>
      <c r="AM147" s="87">
        <f t="shared" si="290"/>
        <v>0.44781555045871557</v>
      </c>
      <c r="AN147" s="83">
        <f>BW147+SCENARIU!$C$29+SCENARIU!$D$29+SCENARIU!$E$29+'AJUSTĂRI PE PRODUS'!$I$164+'AJUSTĂRI PE PRODUS'!$N$164+'AJUSTĂRI PE PRODUS'!$S$164</f>
        <v>10.99</v>
      </c>
      <c r="AO147" s="83">
        <f>BX147+SCENARIU!$C$29+SCENARIU!$D$29+SCENARIU!$E$29+'AJUSTĂRI PE PRODUS'!$J$164+'AJUSTĂRI PE PRODUS'!$O$164+'AJUSTĂRI PE PRODUS'!$T$164</f>
        <v>11.99</v>
      </c>
      <c r="AP147" s="88">
        <f t="shared" si="291"/>
        <v>962.76033057851248</v>
      </c>
      <c r="AQ147" s="88">
        <f t="shared" si="292"/>
        <v>9.9090909090909101</v>
      </c>
      <c r="AR147" s="88">
        <f t="shared" si="293"/>
        <v>972.66942148760336</v>
      </c>
      <c r="AS147" s="89">
        <f t="shared" si="294"/>
        <v>0.48814798174063034</v>
      </c>
      <c r="AT147" s="89">
        <f t="shared" si="295"/>
        <v>0.48856309827115563</v>
      </c>
      <c r="AU147" s="89">
        <f t="shared" si="296"/>
        <v>0.44781555045871557</v>
      </c>
      <c r="AV147" s="83">
        <f>BY147+SCENARIU!$C$29+SCENARIU!$D$29+SCENARIU!$E$29+SCENARIU!$F$29+'AJUSTĂRI PE PRODUS'!$I$164+'AJUSTĂRI PE PRODUS'!$N$164+'AJUSTĂRI PE PRODUS'!$S$164+'AJUSTĂRI PE PRODUS'!$X$164</f>
        <v>10.99</v>
      </c>
      <c r="AW147" s="83">
        <f>BZ147+SCENARIU!$C$29+SCENARIU!$D$29+SCENARIU!$E$29+SCENARIU!$F$29+'AJUSTĂRI PE PRODUS'!$J$164+'AJUSTĂRI PE PRODUS'!$O$164+'AJUSTĂRI PE PRODUS'!$T$164+'AJUSTĂRI PE PRODUS'!$Y$164</f>
        <v>11.99</v>
      </c>
      <c r="AX147" s="90">
        <f t="shared" si="297"/>
        <v>962.76033057851248</v>
      </c>
      <c r="AY147" s="90">
        <f t="shared" si="298"/>
        <v>9.9090909090909101</v>
      </c>
      <c r="AZ147" s="90">
        <f t="shared" si="299"/>
        <v>972.66942148760336</v>
      </c>
      <c r="BA147" s="91">
        <f t="shared" si="300"/>
        <v>0.48814798174063034</v>
      </c>
      <c r="BB147" s="91">
        <f t="shared" si="301"/>
        <v>0.48856309827115563</v>
      </c>
      <c r="BC147" s="91">
        <f t="shared" si="302"/>
        <v>0.44781555045871557</v>
      </c>
      <c r="BD147" s="92">
        <f t="shared" si="303"/>
        <v>0.99000000000000021</v>
      </c>
      <c r="BE147" s="92">
        <f t="shared" si="304"/>
        <v>0</v>
      </c>
      <c r="BF147" s="92">
        <f t="shared" si="305"/>
        <v>0</v>
      </c>
      <c r="BG147" s="92">
        <f t="shared" si="306"/>
        <v>0</v>
      </c>
      <c r="BH147" s="92">
        <f t="shared" si="307"/>
        <v>0</v>
      </c>
      <c r="BI147" s="93">
        <f t="shared" si="308"/>
        <v>0.99000000000000021</v>
      </c>
      <c r="BJ147" s="92">
        <f t="shared" si="309"/>
        <v>0.99000000000000021</v>
      </c>
      <c r="BK147" s="92">
        <f t="shared" si="310"/>
        <v>0</v>
      </c>
      <c r="BL147" s="92">
        <f t="shared" si="311"/>
        <v>0</v>
      </c>
      <c r="BM147" s="92">
        <f t="shared" si="312"/>
        <v>0</v>
      </c>
      <c r="BN147" s="92">
        <f t="shared" si="313"/>
        <v>0</v>
      </c>
      <c r="BO147" s="93">
        <f t="shared" si="314"/>
        <v>0.99000000000000021</v>
      </c>
      <c r="BQ147">
        <v>10.99</v>
      </c>
      <c r="BR147">
        <v>11.99</v>
      </c>
      <c r="BS147">
        <v>10.99</v>
      </c>
      <c r="BT147">
        <v>11.99</v>
      </c>
      <c r="BU147">
        <v>10.99</v>
      </c>
      <c r="BV147">
        <v>11.99</v>
      </c>
      <c r="BW147">
        <v>10.99</v>
      </c>
      <c r="BX147">
        <v>11.99</v>
      </c>
      <c r="BY147">
        <v>10.99</v>
      </c>
      <c r="BZ147">
        <v>11.99</v>
      </c>
    </row>
    <row r="148" spans="1:78" x14ac:dyDescent="0.2">
      <c r="A148" s="26">
        <v>21</v>
      </c>
      <c r="B148" s="26" t="s">
        <v>307</v>
      </c>
      <c r="C148" s="26" t="s">
        <v>104</v>
      </c>
      <c r="D148" s="74">
        <v>1</v>
      </c>
      <c r="E148" s="75">
        <v>11</v>
      </c>
      <c r="F148" s="76">
        <v>32</v>
      </c>
      <c r="G148" s="76">
        <v>26</v>
      </c>
      <c r="H148" s="77">
        <f>SUMIFS(RETETAR!$I$4:$I$967,RETETAR!$A$4:$A$967,$M148,RETETAR!$C$4:$C$967,"AMBELE")+SUMIFS(RETETAR!$I$4:$I$967,RETETAR!$A$4:$A$967,$M148,RETETAR!$C$4:$C$967,"INSTORE")</f>
        <v>7.7899999999999991</v>
      </c>
      <c r="I148" s="77">
        <f>SUMIFS(RETETAR!$I$4:$I$967,RETETAR!$A$4:$A$967,$M148,RETETAR!$C$4:$C$967,"AMBELE")+SUMIFS(RETETAR!$I$4:$I$967,RETETAR!$A$4:$A$967,$M148,RETETAR!$C$4:$C$967,"DELIVERY")</f>
        <v>7.7899999999999991</v>
      </c>
      <c r="J148" s="78">
        <f t="shared" si="270"/>
        <v>249.27999999999997</v>
      </c>
      <c r="K148" s="78">
        <f t="shared" si="271"/>
        <v>202.53999999999996</v>
      </c>
      <c r="L148" s="78">
        <f t="shared" si="272"/>
        <v>451.81999999999994</v>
      </c>
      <c r="M148" t="s">
        <v>307</v>
      </c>
      <c r="N148" s="79">
        <v>17</v>
      </c>
      <c r="O148" s="79">
        <v>18</v>
      </c>
      <c r="P148" s="80">
        <v>17</v>
      </c>
      <c r="Q148" s="80">
        <v>18</v>
      </c>
      <c r="R148" s="81">
        <f t="shared" si="273"/>
        <v>490.09009009009003</v>
      </c>
      <c r="S148" s="81">
        <f t="shared" si="274"/>
        <v>421.62162162162156</v>
      </c>
      <c r="T148" s="81">
        <f t="shared" si="275"/>
        <v>911.71171171171159</v>
      </c>
      <c r="U148" s="82">
        <f t="shared" si="276"/>
        <v>0.49557332015810279</v>
      </c>
      <c r="V148" s="82">
        <f t="shared" si="277"/>
        <v>0.50864117647058826</v>
      </c>
      <c r="W148" s="82">
        <f t="shared" si="278"/>
        <v>0.48038333333333333</v>
      </c>
      <c r="X148" s="83">
        <f>BS148+SCENARIU!$C$29+'AJUSTĂRI PE PRODUS'!$I$169</f>
        <v>17</v>
      </c>
      <c r="Y148" s="83">
        <f>BT148+SCENARIU!$C$29+'AJUSTĂRI PE PRODUS'!$J$169</f>
        <v>18</v>
      </c>
      <c r="Z148" s="84">
        <f t="shared" si="279"/>
        <v>490.09009009009003</v>
      </c>
      <c r="AA148" s="84">
        <f t="shared" si="280"/>
        <v>421.62162162162156</v>
      </c>
      <c r="AB148" s="84">
        <f t="shared" si="281"/>
        <v>911.71171171171159</v>
      </c>
      <c r="AC148" s="85">
        <f t="shared" si="282"/>
        <v>0.49557332015810279</v>
      </c>
      <c r="AD148" s="85">
        <f t="shared" si="283"/>
        <v>0.50864117647058826</v>
      </c>
      <c r="AE148" s="85">
        <f t="shared" si="284"/>
        <v>0.48038333333333333</v>
      </c>
      <c r="AF148" s="83">
        <f>BU148+SCENARIU!$C$29+SCENARIU!$D$29+'AJUSTĂRI PE PRODUS'!$I$169+'AJUSTĂRI PE PRODUS'!$N$169</f>
        <v>17.25</v>
      </c>
      <c r="AG148" s="83">
        <f>BV148+SCENARIU!$C$29+SCENARIU!$D$29+'AJUSTĂRI PE PRODUS'!$J$169+'AJUSTĂRI PE PRODUS'!$O$169</f>
        <v>18.25</v>
      </c>
      <c r="AH148" s="86">
        <f t="shared" si="285"/>
        <v>497.29729729729723</v>
      </c>
      <c r="AI148" s="86">
        <f t="shared" si="286"/>
        <v>427.47747747747746</v>
      </c>
      <c r="AJ148" s="86">
        <f t="shared" si="287"/>
        <v>924.77477477477464</v>
      </c>
      <c r="AK148" s="87">
        <f t="shared" si="288"/>
        <v>0.48857301509985385</v>
      </c>
      <c r="AL148" s="87">
        <f t="shared" si="289"/>
        <v>0.5012695652173913</v>
      </c>
      <c r="AM148" s="87">
        <f t="shared" si="290"/>
        <v>0.47380273972602732</v>
      </c>
      <c r="AN148" s="83">
        <f>BW148+SCENARIU!$C$29+SCENARIU!$D$29+SCENARIU!$E$29+'AJUSTĂRI PE PRODUS'!$I$169+'AJUSTĂRI PE PRODUS'!$N$169+'AJUSTĂRI PE PRODUS'!$S$169</f>
        <v>17.5</v>
      </c>
      <c r="AO148" s="83">
        <f>BX148+SCENARIU!$C$29+SCENARIU!$D$29+SCENARIU!$E$29+'AJUSTĂRI PE PRODUS'!$J$169+'AJUSTĂRI PE PRODUS'!$O$169+'AJUSTĂRI PE PRODUS'!$T$169</f>
        <v>18.5</v>
      </c>
      <c r="AP148" s="88">
        <f t="shared" si="291"/>
        <v>504.50450450450444</v>
      </c>
      <c r="AQ148" s="88">
        <f t="shared" si="292"/>
        <v>433.33333333333326</v>
      </c>
      <c r="AR148" s="88">
        <f t="shared" si="293"/>
        <v>937.8378378378377</v>
      </c>
      <c r="AS148" s="89">
        <f t="shared" si="294"/>
        <v>0.48176772334293949</v>
      </c>
      <c r="AT148" s="89">
        <f t="shared" si="295"/>
        <v>0.49410857142857145</v>
      </c>
      <c r="AU148" s="89">
        <f t="shared" si="296"/>
        <v>0.46739999999999998</v>
      </c>
      <c r="AV148" s="83">
        <f>BY148+SCENARIU!$C$29+SCENARIU!$D$29+SCENARIU!$E$29+SCENARIU!$F$29+'AJUSTĂRI PE PRODUS'!$I$169+'AJUSTĂRI PE PRODUS'!$N$169+'AJUSTĂRI PE PRODUS'!$S$169+'AJUSTĂRI PE PRODUS'!$X$169</f>
        <v>17.5</v>
      </c>
      <c r="AW148" s="83">
        <f>BZ148+SCENARIU!$C$29+SCENARIU!$D$29+SCENARIU!$E$29+SCENARIU!$F$29+'AJUSTĂRI PE PRODUS'!$J$169+'AJUSTĂRI PE PRODUS'!$O$169+'AJUSTĂRI PE PRODUS'!$T$169+'AJUSTĂRI PE PRODUS'!$Y$169</f>
        <v>18.5</v>
      </c>
      <c r="AX148" s="90">
        <f t="shared" si="297"/>
        <v>504.50450450450444</v>
      </c>
      <c r="AY148" s="90">
        <f t="shared" si="298"/>
        <v>433.33333333333326</v>
      </c>
      <c r="AZ148" s="90">
        <f t="shared" si="299"/>
        <v>937.8378378378377</v>
      </c>
      <c r="BA148" s="91">
        <f t="shared" si="300"/>
        <v>0.48176772334293949</v>
      </c>
      <c r="BB148" s="91">
        <f t="shared" si="301"/>
        <v>0.49410857142857145</v>
      </c>
      <c r="BC148" s="91">
        <f t="shared" si="302"/>
        <v>0.46739999999999998</v>
      </c>
      <c r="BD148" s="92">
        <f t="shared" si="303"/>
        <v>0</v>
      </c>
      <c r="BE148" s="92">
        <f t="shared" si="304"/>
        <v>0</v>
      </c>
      <c r="BF148" s="92">
        <f t="shared" si="305"/>
        <v>0.25</v>
      </c>
      <c r="BG148" s="92">
        <f t="shared" si="306"/>
        <v>0.25</v>
      </c>
      <c r="BH148" s="92">
        <f t="shared" si="307"/>
        <v>0</v>
      </c>
      <c r="BI148" s="93">
        <f t="shared" si="308"/>
        <v>0.5</v>
      </c>
      <c r="BJ148" s="92">
        <f t="shared" si="309"/>
        <v>0</v>
      </c>
      <c r="BK148" s="92">
        <f t="shared" si="310"/>
        <v>0</v>
      </c>
      <c r="BL148" s="92">
        <f t="shared" si="311"/>
        <v>0.25</v>
      </c>
      <c r="BM148" s="92">
        <f t="shared" si="312"/>
        <v>0.25</v>
      </c>
      <c r="BN148" s="92">
        <f t="shared" si="313"/>
        <v>0</v>
      </c>
      <c r="BO148" s="93">
        <f t="shared" si="314"/>
        <v>0.5</v>
      </c>
      <c r="BQ148">
        <v>17</v>
      </c>
      <c r="BR148">
        <v>18</v>
      </c>
      <c r="BS148">
        <v>17</v>
      </c>
      <c r="BT148">
        <v>18</v>
      </c>
      <c r="BU148">
        <v>17.25</v>
      </c>
      <c r="BV148">
        <v>18.25</v>
      </c>
      <c r="BW148">
        <v>17.5</v>
      </c>
      <c r="BX148">
        <v>18.5</v>
      </c>
      <c r="BY148">
        <v>17.5</v>
      </c>
      <c r="BZ148">
        <v>18.5</v>
      </c>
    </row>
    <row r="149" spans="1:78" x14ac:dyDescent="0.2">
      <c r="A149" s="26">
        <v>22</v>
      </c>
      <c r="B149" s="26" t="s">
        <v>309</v>
      </c>
      <c r="C149" s="26" t="s">
        <v>104</v>
      </c>
      <c r="D149" s="74">
        <v>1</v>
      </c>
      <c r="E149" s="75">
        <v>21</v>
      </c>
      <c r="F149" s="76">
        <v>65</v>
      </c>
      <c r="G149" s="76">
        <v>7</v>
      </c>
      <c r="H149" s="77">
        <f>SUMIFS(RETETAR!$I$4:$I$967,RETETAR!$A$4:$A$967,$M149,RETETAR!$C$4:$C$967,"AMBELE")+SUMIFS(RETETAR!$I$4:$I$967,RETETAR!$A$4:$A$967,$M149,RETETAR!$C$4:$C$967,"INSTORE")</f>
        <v>5.35200225</v>
      </c>
      <c r="I149" s="77">
        <f>SUMIFS(RETETAR!$I$4:$I$967,RETETAR!$A$4:$A$967,$M149,RETETAR!$C$4:$C$967,"AMBELE")+SUMIFS(RETETAR!$I$4:$I$967,RETETAR!$A$4:$A$967,$M149,RETETAR!$C$4:$C$967,"DELIVERY")</f>
        <v>5.35200225</v>
      </c>
      <c r="J149" s="78">
        <f t="shared" si="270"/>
        <v>347.88014625</v>
      </c>
      <c r="K149" s="78">
        <f t="shared" si="271"/>
        <v>37.464015750000002</v>
      </c>
      <c r="L149" s="78">
        <f t="shared" si="272"/>
        <v>385.34416199999998</v>
      </c>
      <c r="M149" t="s">
        <v>309</v>
      </c>
      <c r="N149" s="79">
        <v>13</v>
      </c>
      <c r="O149" s="79">
        <v>14</v>
      </c>
      <c r="P149" s="80">
        <v>13.99</v>
      </c>
      <c r="Q149" s="80">
        <v>14.99</v>
      </c>
      <c r="R149" s="81">
        <f t="shared" si="273"/>
        <v>751.52892561983481</v>
      </c>
      <c r="S149" s="81">
        <f t="shared" si="274"/>
        <v>86.719008264462815</v>
      </c>
      <c r="T149" s="81">
        <f t="shared" si="275"/>
        <v>838.24793388429759</v>
      </c>
      <c r="U149" s="82">
        <f t="shared" si="276"/>
        <v>0.45970189298812947</v>
      </c>
      <c r="V149" s="82">
        <f t="shared" si="277"/>
        <v>0.46289654914224437</v>
      </c>
      <c r="W149" s="82">
        <f t="shared" si="278"/>
        <v>0.43201619229486321</v>
      </c>
      <c r="X149" s="83">
        <f>BS149+SCENARIU!$C$29+'AJUSTĂRI PE PRODUS'!$I$168</f>
        <v>13.99</v>
      </c>
      <c r="Y149" s="83">
        <f>BT149+SCENARIU!$C$29+'AJUSTĂRI PE PRODUS'!$J$168</f>
        <v>14.99</v>
      </c>
      <c r="Z149" s="84">
        <f t="shared" si="279"/>
        <v>751.52892561983481</v>
      </c>
      <c r="AA149" s="84">
        <f t="shared" si="280"/>
        <v>86.719008264462815</v>
      </c>
      <c r="AB149" s="84">
        <f t="shared" si="281"/>
        <v>838.24793388429759</v>
      </c>
      <c r="AC149" s="85">
        <f t="shared" si="282"/>
        <v>0.45970189298812947</v>
      </c>
      <c r="AD149" s="85">
        <f t="shared" si="283"/>
        <v>0.46289654914224437</v>
      </c>
      <c r="AE149" s="85">
        <f t="shared" si="284"/>
        <v>0.43201619229486321</v>
      </c>
      <c r="AF149" s="83">
        <f>BU149+SCENARIU!$C$29+SCENARIU!$D$29+'AJUSTĂRI PE PRODUS'!$I$168+'AJUSTĂRI PE PRODUS'!$N$168</f>
        <v>13.99</v>
      </c>
      <c r="AG149" s="83">
        <f>BV149+SCENARIU!$C$29+SCENARIU!$D$29+'AJUSTĂRI PE PRODUS'!$J$168+'AJUSTĂRI PE PRODUS'!$O$168</f>
        <v>14.99</v>
      </c>
      <c r="AH149" s="86">
        <f t="shared" si="285"/>
        <v>751.52892561983481</v>
      </c>
      <c r="AI149" s="86">
        <f t="shared" si="286"/>
        <v>86.719008264462815</v>
      </c>
      <c r="AJ149" s="86">
        <f t="shared" si="287"/>
        <v>838.24793388429759</v>
      </c>
      <c r="AK149" s="87">
        <f t="shared" si="288"/>
        <v>0.45970189298812947</v>
      </c>
      <c r="AL149" s="87">
        <f t="shared" si="289"/>
        <v>0.46289654914224437</v>
      </c>
      <c r="AM149" s="87">
        <f t="shared" si="290"/>
        <v>0.43201619229486321</v>
      </c>
      <c r="AN149" s="83">
        <f>BW149+SCENARIU!$C$29+SCENARIU!$D$29+SCENARIU!$E$29+'AJUSTĂRI PE PRODUS'!$I$168+'AJUSTĂRI PE PRODUS'!$N$168+'AJUSTĂRI PE PRODUS'!$S$168</f>
        <v>13.99</v>
      </c>
      <c r="AO149" s="83">
        <f>BX149+SCENARIU!$C$29+SCENARIU!$D$29+SCENARIU!$E$29+'AJUSTĂRI PE PRODUS'!$J$168+'AJUSTĂRI PE PRODUS'!$O$168+'AJUSTĂRI PE PRODUS'!$T$168</f>
        <v>14.99</v>
      </c>
      <c r="AP149" s="88">
        <f t="shared" si="291"/>
        <v>751.52892561983481</v>
      </c>
      <c r="AQ149" s="88">
        <f t="shared" si="292"/>
        <v>86.719008264462815</v>
      </c>
      <c r="AR149" s="88">
        <f t="shared" si="293"/>
        <v>838.24793388429759</v>
      </c>
      <c r="AS149" s="89">
        <f t="shared" si="294"/>
        <v>0.45970189298812947</v>
      </c>
      <c r="AT149" s="89">
        <f t="shared" si="295"/>
        <v>0.46289654914224437</v>
      </c>
      <c r="AU149" s="89">
        <f t="shared" si="296"/>
        <v>0.43201619229486321</v>
      </c>
      <c r="AV149" s="83">
        <f>BY149+SCENARIU!$C$29+SCENARIU!$D$29+SCENARIU!$E$29+SCENARIU!$F$29+'AJUSTĂRI PE PRODUS'!$I$168+'AJUSTĂRI PE PRODUS'!$N$168+'AJUSTĂRI PE PRODUS'!$S$168+'AJUSTĂRI PE PRODUS'!$X$168</f>
        <v>13.99</v>
      </c>
      <c r="AW149" s="83">
        <f>BZ149+SCENARIU!$C$29+SCENARIU!$D$29+SCENARIU!$E$29+SCENARIU!$F$29+'AJUSTĂRI PE PRODUS'!$J$168+'AJUSTĂRI PE PRODUS'!$O$168+'AJUSTĂRI PE PRODUS'!$T$168+'AJUSTĂRI PE PRODUS'!$Y$168</f>
        <v>14.99</v>
      </c>
      <c r="AX149" s="90">
        <f t="shared" si="297"/>
        <v>751.52892561983481</v>
      </c>
      <c r="AY149" s="90">
        <f t="shared" si="298"/>
        <v>86.719008264462815</v>
      </c>
      <c r="AZ149" s="90">
        <f t="shared" si="299"/>
        <v>838.24793388429759</v>
      </c>
      <c r="BA149" s="91">
        <f t="shared" si="300"/>
        <v>0.45970189298812947</v>
      </c>
      <c r="BB149" s="91">
        <f t="shared" si="301"/>
        <v>0.46289654914224437</v>
      </c>
      <c r="BC149" s="91">
        <f t="shared" si="302"/>
        <v>0.43201619229486321</v>
      </c>
      <c r="BD149" s="92">
        <f t="shared" si="303"/>
        <v>0.99000000000000021</v>
      </c>
      <c r="BE149" s="92">
        <f t="shared" si="304"/>
        <v>0</v>
      </c>
      <c r="BF149" s="92">
        <f t="shared" si="305"/>
        <v>0</v>
      </c>
      <c r="BG149" s="92">
        <f t="shared" si="306"/>
        <v>0</v>
      </c>
      <c r="BH149" s="92">
        <f t="shared" si="307"/>
        <v>0</v>
      </c>
      <c r="BI149" s="93">
        <f t="shared" si="308"/>
        <v>0.99000000000000021</v>
      </c>
      <c r="BJ149" s="92">
        <f t="shared" si="309"/>
        <v>0.99000000000000021</v>
      </c>
      <c r="BK149" s="92">
        <f t="shared" si="310"/>
        <v>0</v>
      </c>
      <c r="BL149" s="92">
        <f t="shared" si="311"/>
        <v>0</v>
      </c>
      <c r="BM149" s="92">
        <f t="shared" si="312"/>
        <v>0</v>
      </c>
      <c r="BN149" s="92">
        <f t="shared" si="313"/>
        <v>0</v>
      </c>
      <c r="BO149" s="93">
        <f t="shared" si="314"/>
        <v>0.99000000000000021</v>
      </c>
      <c r="BQ149">
        <v>13.99</v>
      </c>
      <c r="BR149">
        <v>14.99</v>
      </c>
      <c r="BS149">
        <v>13.99</v>
      </c>
      <c r="BT149">
        <v>14.99</v>
      </c>
      <c r="BU149">
        <v>13.99</v>
      </c>
      <c r="BV149">
        <v>14.99</v>
      </c>
      <c r="BW149">
        <v>13.99</v>
      </c>
      <c r="BX149">
        <v>14.99</v>
      </c>
      <c r="BY149">
        <v>13.99</v>
      </c>
      <c r="BZ149">
        <v>14.99</v>
      </c>
    </row>
    <row r="150" spans="1:78" x14ac:dyDescent="0.2">
      <c r="A150" s="26">
        <v>23</v>
      </c>
      <c r="B150" s="26" t="s">
        <v>311</v>
      </c>
      <c r="C150" s="26" t="s">
        <v>104</v>
      </c>
      <c r="D150" s="74">
        <v>1</v>
      </c>
      <c r="E150" s="75">
        <v>11</v>
      </c>
      <c r="F150" s="76">
        <v>24</v>
      </c>
      <c r="G150" s="76">
        <v>21</v>
      </c>
      <c r="H150" s="77">
        <f>SUMIFS(RETETAR!$I$4:$I$967,RETETAR!$A$4:$A$967,$M150,RETETAR!$C$4:$C$967,"AMBELE")+SUMIFS(RETETAR!$I$4:$I$967,RETETAR!$A$4:$A$967,$M150,RETETAR!$C$4:$C$967,"INSTORE")</f>
        <v>8.1789799999999993</v>
      </c>
      <c r="I150" s="77">
        <f>SUMIFS(RETETAR!$I$4:$I$967,RETETAR!$A$4:$A$967,$M150,RETETAR!$C$4:$C$967,"AMBELE")+SUMIFS(RETETAR!$I$4:$I$967,RETETAR!$A$4:$A$967,$M150,RETETAR!$C$4:$C$967,"DELIVERY")</f>
        <v>8.1789799999999993</v>
      </c>
      <c r="J150" s="78">
        <f t="shared" si="270"/>
        <v>196.29551999999998</v>
      </c>
      <c r="K150" s="78">
        <f t="shared" si="271"/>
        <v>171.75857999999999</v>
      </c>
      <c r="L150" s="78">
        <f t="shared" si="272"/>
        <v>368.05409999999995</v>
      </c>
      <c r="M150" t="s">
        <v>311</v>
      </c>
      <c r="N150" s="79">
        <v>17</v>
      </c>
      <c r="O150" s="79">
        <v>18</v>
      </c>
      <c r="P150" s="80">
        <v>17</v>
      </c>
      <c r="Q150" s="80">
        <v>18</v>
      </c>
      <c r="R150" s="81">
        <f t="shared" si="273"/>
        <v>367.56756756756749</v>
      </c>
      <c r="S150" s="81">
        <f t="shared" si="274"/>
        <v>340.54054054054052</v>
      </c>
      <c r="T150" s="81">
        <f t="shared" si="275"/>
        <v>708.10810810810801</v>
      </c>
      <c r="U150" s="82">
        <f t="shared" si="276"/>
        <v>0.51977105725190842</v>
      </c>
      <c r="V150" s="82">
        <f t="shared" si="277"/>
        <v>0.53403928235294118</v>
      </c>
      <c r="W150" s="82">
        <f t="shared" si="278"/>
        <v>0.50437043333333331</v>
      </c>
      <c r="X150" s="83">
        <f>BS150+SCENARIU!$C$29+'AJUSTĂRI PE PRODUS'!$I$171</f>
        <v>17</v>
      </c>
      <c r="Y150" s="83">
        <f>BT150+SCENARIU!$C$29+'AJUSTĂRI PE PRODUS'!$J$171</f>
        <v>18</v>
      </c>
      <c r="Z150" s="84">
        <f t="shared" si="279"/>
        <v>367.56756756756749</v>
      </c>
      <c r="AA150" s="84">
        <f t="shared" si="280"/>
        <v>340.54054054054052</v>
      </c>
      <c r="AB150" s="84">
        <f t="shared" si="281"/>
        <v>708.10810810810801</v>
      </c>
      <c r="AC150" s="85">
        <f t="shared" si="282"/>
        <v>0.51977105725190842</v>
      </c>
      <c r="AD150" s="85">
        <f t="shared" si="283"/>
        <v>0.53403928235294118</v>
      </c>
      <c r="AE150" s="85">
        <f t="shared" si="284"/>
        <v>0.50437043333333331</v>
      </c>
      <c r="AF150" s="83">
        <f>BU150+SCENARIU!$C$29+SCENARIU!$D$29+'AJUSTĂRI PE PRODUS'!$I$171+'AJUSTĂRI PE PRODUS'!$N$171</f>
        <v>17.25</v>
      </c>
      <c r="AG150" s="83">
        <f>BV150+SCENARIU!$C$29+SCENARIU!$D$29+'AJUSTĂRI PE PRODUS'!$J$171+'AJUSTĂRI PE PRODUS'!$O$171</f>
        <v>18.25</v>
      </c>
      <c r="AH150" s="86">
        <f t="shared" si="285"/>
        <v>372.97297297297291</v>
      </c>
      <c r="AI150" s="86">
        <f t="shared" si="286"/>
        <v>345.27027027027026</v>
      </c>
      <c r="AJ150" s="86">
        <f t="shared" si="287"/>
        <v>718.24324324324311</v>
      </c>
      <c r="AK150" s="87">
        <f t="shared" si="288"/>
        <v>0.51243656444026342</v>
      </c>
      <c r="AL150" s="87">
        <f t="shared" si="289"/>
        <v>0.52629958260869569</v>
      </c>
      <c r="AM150" s="87">
        <f t="shared" si="290"/>
        <v>0.49746124931506852</v>
      </c>
      <c r="AN150" s="83">
        <f>BW150+SCENARIU!$C$29+SCENARIU!$D$29+SCENARIU!$E$29+'AJUSTĂRI PE PRODUS'!$I$171+'AJUSTĂRI PE PRODUS'!$N$171+'AJUSTĂRI PE PRODUS'!$S$171</f>
        <v>17.5</v>
      </c>
      <c r="AO150" s="83">
        <f>BX150+SCENARIU!$C$29+SCENARIU!$D$29+SCENARIU!$E$29+'AJUSTĂRI PE PRODUS'!$J$171+'AJUSTĂRI PE PRODUS'!$O$171+'AJUSTĂRI PE PRODUS'!$T$171</f>
        <v>18.5</v>
      </c>
      <c r="AP150" s="88">
        <f t="shared" si="291"/>
        <v>378.37837837837833</v>
      </c>
      <c r="AQ150" s="88">
        <f t="shared" si="292"/>
        <v>349.99999999999994</v>
      </c>
      <c r="AR150" s="88">
        <f t="shared" si="293"/>
        <v>728.37837837837833</v>
      </c>
      <c r="AS150" s="89">
        <f t="shared" si="294"/>
        <v>0.50530618552875695</v>
      </c>
      <c r="AT150" s="89">
        <f t="shared" si="295"/>
        <v>0.51878101714285718</v>
      </c>
      <c r="AU150" s="89">
        <f t="shared" si="296"/>
        <v>0.49073880000000009</v>
      </c>
      <c r="AV150" s="83">
        <f>BY150+SCENARIU!$C$29+SCENARIU!$D$29+SCENARIU!$E$29+SCENARIU!$F$29+'AJUSTĂRI PE PRODUS'!$I$171+'AJUSTĂRI PE PRODUS'!$N$171+'AJUSTĂRI PE PRODUS'!$S$171+'AJUSTĂRI PE PRODUS'!$X$171</f>
        <v>17.5</v>
      </c>
      <c r="AW150" s="83">
        <f>BZ150+SCENARIU!$C$29+SCENARIU!$D$29+SCENARIU!$E$29+SCENARIU!$F$29+'AJUSTĂRI PE PRODUS'!$J$171+'AJUSTĂRI PE PRODUS'!$O$171+'AJUSTĂRI PE PRODUS'!$T$171+'AJUSTĂRI PE PRODUS'!$Y$171</f>
        <v>18.5</v>
      </c>
      <c r="AX150" s="90">
        <f t="shared" si="297"/>
        <v>378.37837837837833</v>
      </c>
      <c r="AY150" s="90">
        <f t="shared" si="298"/>
        <v>349.99999999999994</v>
      </c>
      <c r="AZ150" s="90">
        <f t="shared" si="299"/>
        <v>728.37837837837833</v>
      </c>
      <c r="BA150" s="91">
        <f t="shared" si="300"/>
        <v>0.50530618552875695</v>
      </c>
      <c r="BB150" s="91">
        <f t="shared" si="301"/>
        <v>0.51878101714285718</v>
      </c>
      <c r="BC150" s="91">
        <f t="shared" si="302"/>
        <v>0.49073880000000009</v>
      </c>
      <c r="BD150" s="92">
        <f t="shared" si="303"/>
        <v>0</v>
      </c>
      <c r="BE150" s="92">
        <f t="shared" si="304"/>
        <v>0</v>
      </c>
      <c r="BF150" s="92">
        <f t="shared" si="305"/>
        <v>0.25</v>
      </c>
      <c r="BG150" s="92">
        <f t="shared" si="306"/>
        <v>0.25</v>
      </c>
      <c r="BH150" s="92">
        <f t="shared" si="307"/>
        <v>0</v>
      </c>
      <c r="BI150" s="93">
        <f t="shared" si="308"/>
        <v>0.5</v>
      </c>
      <c r="BJ150" s="92">
        <f t="shared" si="309"/>
        <v>0</v>
      </c>
      <c r="BK150" s="92">
        <f t="shared" si="310"/>
        <v>0</v>
      </c>
      <c r="BL150" s="92">
        <f t="shared" si="311"/>
        <v>0.25</v>
      </c>
      <c r="BM150" s="92">
        <f t="shared" si="312"/>
        <v>0.25</v>
      </c>
      <c r="BN150" s="92">
        <f t="shared" si="313"/>
        <v>0</v>
      </c>
      <c r="BO150" s="93">
        <f t="shared" si="314"/>
        <v>0.5</v>
      </c>
      <c r="BQ150">
        <v>17</v>
      </c>
      <c r="BR150">
        <v>18</v>
      </c>
      <c r="BS150">
        <v>17</v>
      </c>
      <c r="BT150">
        <v>18</v>
      </c>
      <c r="BU150">
        <v>17.25</v>
      </c>
      <c r="BV150">
        <v>18.25</v>
      </c>
      <c r="BW150">
        <v>17.5</v>
      </c>
      <c r="BX150">
        <v>18.5</v>
      </c>
      <c r="BY150">
        <v>17.5</v>
      </c>
      <c r="BZ150">
        <v>18.5</v>
      </c>
    </row>
    <row r="151" spans="1:78" x14ac:dyDescent="0.2">
      <c r="A151" s="26">
        <v>24</v>
      </c>
      <c r="B151" s="26" t="s">
        <v>312</v>
      </c>
      <c r="C151" s="26" t="s">
        <v>104</v>
      </c>
      <c r="D151" s="74">
        <v>1</v>
      </c>
      <c r="E151" s="75">
        <v>21</v>
      </c>
      <c r="F151" s="76">
        <v>34</v>
      </c>
      <c r="G151" s="76">
        <v>14</v>
      </c>
      <c r="H151" s="77">
        <f>SUMIFS(RETETAR!$I$4:$I$967,RETETAR!$A$4:$A$967,$M151,RETETAR!$C$4:$C$967,"AMBELE")+SUMIFS(RETETAR!$I$4:$I$967,RETETAR!$A$4:$A$967,$M151,RETETAR!$C$4:$C$967,"INSTORE")</f>
        <v>5.6323232499999998</v>
      </c>
      <c r="I151" s="77">
        <f>SUMIFS(RETETAR!$I$4:$I$967,RETETAR!$A$4:$A$967,$M151,RETETAR!$C$4:$C$967,"AMBELE")+SUMIFS(RETETAR!$I$4:$I$967,RETETAR!$A$4:$A$967,$M151,RETETAR!$C$4:$C$967,"DELIVERY")</f>
        <v>5.6323232499999998</v>
      </c>
      <c r="J151" s="78">
        <f t="shared" si="270"/>
        <v>191.49899049999999</v>
      </c>
      <c r="K151" s="78">
        <f t="shared" si="271"/>
        <v>78.852525499999999</v>
      </c>
      <c r="L151" s="78">
        <f t="shared" si="272"/>
        <v>270.351516</v>
      </c>
      <c r="M151" t="s">
        <v>312</v>
      </c>
      <c r="N151" s="79">
        <v>14</v>
      </c>
      <c r="O151" s="79">
        <v>15</v>
      </c>
      <c r="P151" s="80">
        <v>14.99</v>
      </c>
      <c r="Q151" s="80">
        <v>15.99</v>
      </c>
      <c r="R151" s="81">
        <f t="shared" si="273"/>
        <v>421.20661157024796</v>
      </c>
      <c r="S151" s="81">
        <f t="shared" si="274"/>
        <v>185.00826446280993</v>
      </c>
      <c r="T151" s="81">
        <f t="shared" si="275"/>
        <v>606.21487603305786</v>
      </c>
      <c r="U151" s="82">
        <f t="shared" si="276"/>
        <v>0.44596648265895955</v>
      </c>
      <c r="V151" s="82">
        <f t="shared" si="277"/>
        <v>0.45464383805870573</v>
      </c>
      <c r="W151" s="82">
        <f t="shared" si="278"/>
        <v>0.42621082754846773</v>
      </c>
      <c r="X151" s="83">
        <f>BS151+SCENARIU!$C$29+'AJUSTĂRI PE PRODUS'!$I$172</f>
        <v>14.99</v>
      </c>
      <c r="Y151" s="83">
        <f>BT151+SCENARIU!$C$29+'AJUSTĂRI PE PRODUS'!$J$172</f>
        <v>15.99</v>
      </c>
      <c r="Z151" s="84">
        <f t="shared" si="279"/>
        <v>421.20661157024796</v>
      </c>
      <c r="AA151" s="84">
        <f t="shared" si="280"/>
        <v>185.00826446280993</v>
      </c>
      <c r="AB151" s="84">
        <f t="shared" si="281"/>
        <v>606.21487603305786</v>
      </c>
      <c r="AC151" s="85">
        <f t="shared" si="282"/>
        <v>0.44596648265895955</v>
      </c>
      <c r="AD151" s="85">
        <f t="shared" si="283"/>
        <v>0.45464383805870573</v>
      </c>
      <c r="AE151" s="85">
        <f t="shared" si="284"/>
        <v>0.42621082754846773</v>
      </c>
      <c r="AF151" s="83">
        <f>BU151+SCENARIU!$C$29+SCENARIU!$D$29+'AJUSTĂRI PE PRODUS'!$I$172+'AJUSTĂRI PE PRODUS'!$N$172</f>
        <v>14.99</v>
      </c>
      <c r="AG151" s="83">
        <f>BV151+SCENARIU!$C$29+SCENARIU!$D$29+'AJUSTĂRI PE PRODUS'!$J$172+'AJUSTĂRI PE PRODUS'!$O$172</f>
        <v>15.99</v>
      </c>
      <c r="AH151" s="86">
        <f t="shared" si="285"/>
        <v>421.20661157024796</v>
      </c>
      <c r="AI151" s="86">
        <f t="shared" si="286"/>
        <v>185.00826446280993</v>
      </c>
      <c r="AJ151" s="86">
        <f t="shared" si="287"/>
        <v>606.21487603305786</v>
      </c>
      <c r="AK151" s="87">
        <f t="shared" si="288"/>
        <v>0.44596648265895955</v>
      </c>
      <c r="AL151" s="87">
        <f t="shared" si="289"/>
        <v>0.45464383805870573</v>
      </c>
      <c r="AM151" s="87">
        <f t="shared" si="290"/>
        <v>0.42621082754846773</v>
      </c>
      <c r="AN151" s="83">
        <f>BW151+SCENARIU!$C$29+SCENARIU!$D$29+SCENARIU!$E$29+'AJUSTĂRI PE PRODUS'!$I$172+'AJUSTĂRI PE PRODUS'!$N$172+'AJUSTĂRI PE PRODUS'!$S$172</f>
        <v>14.99</v>
      </c>
      <c r="AO151" s="83">
        <f>BX151+SCENARIU!$C$29+SCENARIU!$D$29+SCENARIU!$E$29+'AJUSTĂRI PE PRODUS'!$J$172+'AJUSTĂRI PE PRODUS'!$O$172+'AJUSTĂRI PE PRODUS'!$T$172</f>
        <v>15.99</v>
      </c>
      <c r="AP151" s="88">
        <f t="shared" si="291"/>
        <v>421.20661157024796</v>
      </c>
      <c r="AQ151" s="88">
        <f t="shared" si="292"/>
        <v>185.00826446280993</v>
      </c>
      <c r="AR151" s="88">
        <f t="shared" si="293"/>
        <v>606.21487603305786</v>
      </c>
      <c r="AS151" s="89">
        <f t="shared" si="294"/>
        <v>0.44596648265895955</v>
      </c>
      <c r="AT151" s="89">
        <f t="shared" si="295"/>
        <v>0.45464383805870573</v>
      </c>
      <c r="AU151" s="89">
        <f t="shared" si="296"/>
        <v>0.42621082754846773</v>
      </c>
      <c r="AV151" s="83">
        <f>BY151+SCENARIU!$C$29+SCENARIU!$D$29+SCENARIU!$E$29+SCENARIU!$F$29+'AJUSTĂRI PE PRODUS'!$I$172+'AJUSTĂRI PE PRODUS'!$N$172+'AJUSTĂRI PE PRODUS'!$S$172+'AJUSTĂRI PE PRODUS'!$X$172</f>
        <v>14.99</v>
      </c>
      <c r="AW151" s="83">
        <f>BZ151+SCENARIU!$C$29+SCENARIU!$D$29+SCENARIU!$E$29+SCENARIU!$F$29+'AJUSTĂRI PE PRODUS'!$J$172+'AJUSTĂRI PE PRODUS'!$O$172+'AJUSTĂRI PE PRODUS'!$T$172+'AJUSTĂRI PE PRODUS'!$Y$172</f>
        <v>15.99</v>
      </c>
      <c r="AX151" s="90">
        <f t="shared" si="297"/>
        <v>421.20661157024796</v>
      </c>
      <c r="AY151" s="90">
        <f t="shared" si="298"/>
        <v>185.00826446280993</v>
      </c>
      <c r="AZ151" s="90">
        <f t="shared" si="299"/>
        <v>606.21487603305786</v>
      </c>
      <c r="BA151" s="91">
        <f t="shared" si="300"/>
        <v>0.44596648265895955</v>
      </c>
      <c r="BB151" s="91">
        <f t="shared" si="301"/>
        <v>0.45464383805870573</v>
      </c>
      <c r="BC151" s="91">
        <f t="shared" si="302"/>
        <v>0.42621082754846773</v>
      </c>
      <c r="BD151" s="92">
        <f t="shared" si="303"/>
        <v>0.99000000000000021</v>
      </c>
      <c r="BE151" s="92">
        <f t="shared" si="304"/>
        <v>0</v>
      </c>
      <c r="BF151" s="92">
        <f t="shared" si="305"/>
        <v>0</v>
      </c>
      <c r="BG151" s="92">
        <f t="shared" si="306"/>
        <v>0</v>
      </c>
      <c r="BH151" s="92">
        <f t="shared" si="307"/>
        <v>0</v>
      </c>
      <c r="BI151" s="93">
        <f t="shared" si="308"/>
        <v>0.99000000000000021</v>
      </c>
      <c r="BJ151" s="92">
        <f t="shared" si="309"/>
        <v>0.99000000000000021</v>
      </c>
      <c r="BK151" s="92">
        <f t="shared" si="310"/>
        <v>0</v>
      </c>
      <c r="BL151" s="92">
        <f t="shared" si="311"/>
        <v>0</v>
      </c>
      <c r="BM151" s="92">
        <f t="shared" si="312"/>
        <v>0</v>
      </c>
      <c r="BN151" s="92">
        <f t="shared" si="313"/>
        <v>0</v>
      </c>
      <c r="BO151" s="93">
        <f t="shared" si="314"/>
        <v>0.99000000000000021</v>
      </c>
      <c r="BQ151">
        <v>14.99</v>
      </c>
      <c r="BR151">
        <v>15.99</v>
      </c>
      <c r="BS151">
        <v>14.99</v>
      </c>
      <c r="BT151">
        <v>15.99</v>
      </c>
      <c r="BU151">
        <v>14.99</v>
      </c>
      <c r="BV151">
        <v>15.99</v>
      </c>
      <c r="BW151">
        <v>14.99</v>
      </c>
      <c r="BX151">
        <v>15.99</v>
      </c>
      <c r="BY151">
        <v>14.99</v>
      </c>
      <c r="BZ151">
        <v>15.99</v>
      </c>
    </row>
    <row r="152" spans="1:78" x14ac:dyDescent="0.2">
      <c r="A152" s="26">
        <v>25</v>
      </c>
      <c r="B152" s="26" t="s">
        <v>313</v>
      </c>
      <c r="C152" s="26" t="s">
        <v>104</v>
      </c>
      <c r="D152" s="74">
        <v>1</v>
      </c>
      <c r="E152" s="75">
        <v>21</v>
      </c>
      <c r="F152" s="76">
        <v>38</v>
      </c>
      <c r="G152" s="76">
        <v>7</v>
      </c>
      <c r="H152" s="77">
        <f>SUMIFS(RETETAR!$I$4:$I$967,RETETAR!$A$4:$A$967,$M152,RETETAR!$C$4:$C$967,"AMBELE")+SUMIFS(RETETAR!$I$4:$I$967,RETETAR!$A$4:$A$967,$M152,RETETAR!$C$4:$C$967,"INSTORE")</f>
        <v>5.6323232499999998</v>
      </c>
      <c r="I152" s="77">
        <f>SUMIFS(RETETAR!$I$4:$I$967,RETETAR!$A$4:$A$967,$M152,RETETAR!$C$4:$C$967,"AMBELE")+SUMIFS(RETETAR!$I$4:$I$967,RETETAR!$A$4:$A$967,$M152,RETETAR!$C$4:$C$967,"DELIVERY")</f>
        <v>5.6323232499999998</v>
      </c>
      <c r="J152" s="78">
        <f t="shared" si="270"/>
        <v>214.02828349999999</v>
      </c>
      <c r="K152" s="78">
        <f t="shared" si="271"/>
        <v>39.426262749999999</v>
      </c>
      <c r="L152" s="78">
        <f t="shared" si="272"/>
        <v>253.45454624999999</v>
      </c>
      <c r="M152" t="s">
        <v>313</v>
      </c>
      <c r="N152" s="79">
        <v>14</v>
      </c>
      <c r="O152" s="79">
        <v>15</v>
      </c>
      <c r="P152" s="80">
        <v>14.99</v>
      </c>
      <c r="Q152" s="80">
        <v>15.99</v>
      </c>
      <c r="R152" s="81">
        <f t="shared" si="273"/>
        <v>470.76033057851242</v>
      </c>
      <c r="S152" s="81">
        <f t="shared" si="274"/>
        <v>92.504132231404967</v>
      </c>
      <c r="T152" s="81">
        <f t="shared" si="275"/>
        <v>563.2644628099174</v>
      </c>
      <c r="U152" s="82">
        <f t="shared" si="276"/>
        <v>0.44997432464602738</v>
      </c>
      <c r="V152" s="82">
        <f t="shared" si="277"/>
        <v>0.45464383805870573</v>
      </c>
      <c r="W152" s="82">
        <f t="shared" si="278"/>
        <v>0.42621082754846773</v>
      </c>
      <c r="X152" s="83">
        <f>BS152+SCENARIU!$C$29+'AJUSTĂRI PE PRODUS'!$I$173</f>
        <v>14.99</v>
      </c>
      <c r="Y152" s="83">
        <f>BT152+SCENARIU!$C$29+'AJUSTĂRI PE PRODUS'!$J$173</f>
        <v>15.99</v>
      </c>
      <c r="Z152" s="84">
        <f t="shared" si="279"/>
        <v>470.76033057851242</v>
      </c>
      <c r="AA152" s="84">
        <f t="shared" si="280"/>
        <v>92.504132231404967</v>
      </c>
      <c r="AB152" s="84">
        <f t="shared" si="281"/>
        <v>563.2644628099174</v>
      </c>
      <c r="AC152" s="85">
        <f t="shared" si="282"/>
        <v>0.44997432464602738</v>
      </c>
      <c r="AD152" s="85">
        <f t="shared" si="283"/>
        <v>0.45464383805870573</v>
      </c>
      <c r="AE152" s="85">
        <f t="shared" si="284"/>
        <v>0.42621082754846773</v>
      </c>
      <c r="AF152" s="83">
        <f>BU152+SCENARIU!$C$29+SCENARIU!$D$29+'AJUSTĂRI PE PRODUS'!$I$173+'AJUSTĂRI PE PRODUS'!$N$173</f>
        <v>14.99</v>
      </c>
      <c r="AG152" s="83">
        <f>BV152+SCENARIU!$C$29+SCENARIU!$D$29+'AJUSTĂRI PE PRODUS'!$J$173+'AJUSTĂRI PE PRODUS'!$O$173</f>
        <v>15.99</v>
      </c>
      <c r="AH152" s="86">
        <f t="shared" si="285"/>
        <v>470.76033057851242</v>
      </c>
      <c r="AI152" s="86">
        <f t="shared" si="286"/>
        <v>92.504132231404967</v>
      </c>
      <c r="AJ152" s="86">
        <f t="shared" si="287"/>
        <v>563.2644628099174</v>
      </c>
      <c r="AK152" s="87">
        <f t="shared" si="288"/>
        <v>0.44997432464602738</v>
      </c>
      <c r="AL152" s="87">
        <f t="shared" si="289"/>
        <v>0.45464383805870573</v>
      </c>
      <c r="AM152" s="87">
        <f t="shared" si="290"/>
        <v>0.42621082754846773</v>
      </c>
      <c r="AN152" s="83">
        <f>BW152+SCENARIU!$C$29+SCENARIU!$D$29+SCENARIU!$E$29+'AJUSTĂRI PE PRODUS'!$I$173+'AJUSTĂRI PE PRODUS'!$N$173+'AJUSTĂRI PE PRODUS'!$S$173</f>
        <v>14.99</v>
      </c>
      <c r="AO152" s="83">
        <f>BX152+SCENARIU!$C$29+SCENARIU!$D$29+SCENARIU!$E$29+'AJUSTĂRI PE PRODUS'!$J$173+'AJUSTĂRI PE PRODUS'!$O$173+'AJUSTĂRI PE PRODUS'!$T$173</f>
        <v>15.99</v>
      </c>
      <c r="AP152" s="88">
        <f t="shared" si="291"/>
        <v>470.76033057851242</v>
      </c>
      <c r="AQ152" s="88">
        <f t="shared" si="292"/>
        <v>92.504132231404967</v>
      </c>
      <c r="AR152" s="88">
        <f t="shared" si="293"/>
        <v>563.2644628099174</v>
      </c>
      <c r="AS152" s="89">
        <f t="shared" si="294"/>
        <v>0.44997432464602738</v>
      </c>
      <c r="AT152" s="89">
        <f t="shared" si="295"/>
        <v>0.45464383805870573</v>
      </c>
      <c r="AU152" s="89">
        <f t="shared" si="296"/>
        <v>0.42621082754846773</v>
      </c>
      <c r="AV152" s="83">
        <f>BY152+SCENARIU!$C$29+SCENARIU!$D$29+SCENARIU!$E$29+SCENARIU!$F$29+'AJUSTĂRI PE PRODUS'!$I$173+'AJUSTĂRI PE PRODUS'!$N$173+'AJUSTĂRI PE PRODUS'!$S$173+'AJUSTĂRI PE PRODUS'!$X$173</f>
        <v>14.99</v>
      </c>
      <c r="AW152" s="83">
        <f>BZ152+SCENARIU!$C$29+SCENARIU!$D$29+SCENARIU!$E$29+SCENARIU!$F$29+'AJUSTĂRI PE PRODUS'!$J$173+'AJUSTĂRI PE PRODUS'!$O$173+'AJUSTĂRI PE PRODUS'!$T$173+'AJUSTĂRI PE PRODUS'!$Y$173</f>
        <v>15.99</v>
      </c>
      <c r="AX152" s="90">
        <f t="shared" si="297"/>
        <v>470.76033057851242</v>
      </c>
      <c r="AY152" s="90">
        <f t="shared" si="298"/>
        <v>92.504132231404967</v>
      </c>
      <c r="AZ152" s="90">
        <f t="shared" si="299"/>
        <v>563.2644628099174</v>
      </c>
      <c r="BA152" s="91">
        <f t="shared" si="300"/>
        <v>0.44997432464602738</v>
      </c>
      <c r="BB152" s="91">
        <f t="shared" si="301"/>
        <v>0.45464383805870573</v>
      </c>
      <c r="BC152" s="91">
        <f t="shared" si="302"/>
        <v>0.42621082754846773</v>
      </c>
      <c r="BD152" s="92">
        <f t="shared" si="303"/>
        <v>0.99000000000000021</v>
      </c>
      <c r="BE152" s="92">
        <f t="shared" si="304"/>
        <v>0</v>
      </c>
      <c r="BF152" s="92">
        <f t="shared" si="305"/>
        <v>0</v>
      </c>
      <c r="BG152" s="92">
        <f t="shared" si="306"/>
        <v>0</v>
      </c>
      <c r="BH152" s="92">
        <f t="shared" si="307"/>
        <v>0</v>
      </c>
      <c r="BI152" s="93">
        <f t="shared" si="308"/>
        <v>0.99000000000000021</v>
      </c>
      <c r="BJ152" s="92">
        <f t="shared" si="309"/>
        <v>0.99000000000000021</v>
      </c>
      <c r="BK152" s="92">
        <f t="shared" si="310"/>
        <v>0</v>
      </c>
      <c r="BL152" s="92">
        <f t="shared" si="311"/>
        <v>0</v>
      </c>
      <c r="BM152" s="92">
        <f t="shared" si="312"/>
        <v>0</v>
      </c>
      <c r="BN152" s="92">
        <f t="shared" si="313"/>
        <v>0</v>
      </c>
      <c r="BO152" s="93">
        <f t="shared" si="314"/>
        <v>0.99000000000000021</v>
      </c>
      <c r="BQ152">
        <v>14.99</v>
      </c>
      <c r="BR152">
        <v>15.99</v>
      </c>
      <c r="BS152">
        <v>14.99</v>
      </c>
      <c r="BT152">
        <v>15.99</v>
      </c>
      <c r="BU152">
        <v>14.99</v>
      </c>
      <c r="BV152">
        <v>15.99</v>
      </c>
      <c r="BW152">
        <v>14.99</v>
      </c>
      <c r="BX152">
        <v>15.99</v>
      </c>
      <c r="BY152">
        <v>14.99</v>
      </c>
      <c r="BZ152">
        <v>15.99</v>
      </c>
    </row>
    <row r="153" spans="1:78" x14ac:dyDescent="0.2">
      <c r="A153" s="26">
        <v>26</v>
      </c>
      <c r="B153" s="26" t="s">
        <v>314</v>
      </c>
      <c r="C153" s="26" t="s">
        <v>104</v>
      </c>
      <c r="D153" s="74">
        <v>1</v>
      </c>
      <c r="E153" s="75">
        <v>11</v>
      </c>
      <c r="F153" s="76">
        <v>20</v>
      </c>
      <c r="G153" s="76">
        <v>14</v>
      </c>
      <c r="H153" s="77">
        <f>SUMIFS(RETETAR!$I$4:$I$967,RETETAR!$A$4:$A$967,$M153,RETETAR!$C$4:$C$967,"AMBELE")+SUMIFS(RETETAR!$I$4:$I$967,RETETAR!$A$4:$A$967,$M153,RETETAR!$C$4:$C$967,"INSTORE")</f>
        <v>9.50502</v>
      </c>
      <c r="I153" s="77">
        <f>SUMIFS(RETETAR!$I$4:$I$967,RETETAR!$A$4:$A$967,$M153,RETETAR!$C$4:$C$967,"AMBELE")+SUMIFS(RETETAR!$I$4:$I$967,RETETAR!$A$4:$A$967,$M153,RETETAR!$C$4:$C$967,"DELIVERY")</f>
        <v>9.50502</v>
      </c>
      <c r="J153" s="78">
        <f t="shared" si="270"/>
        <v>190.10040000000001</v>
      </c>
      <c r="K153" s="78">
        <f t="shared" si="271"/>
        <v>133.07028</v>
      </c>
      <c r="L153" s="78">
        <f t="shared" si="272"/>
        <v>323.17068</v>
      </c>
      <c r="M153" t="s">
        <v>314</v>
      </c>
      <c r="N153" s="79">
        <v>17</v>
      </c>
      <c r="O153" s="79">
        <v>18</v>
      </c>
      <c r="P153" s="80">
        <v>17</v>
      </c>
      <c r="Q153" s="80">
        <v>18</v>
      </c>
      <c r="R153" s="81">
        <f t="shared" si="273"/>
        <v>306.30630630630628</v>
      </c>
      <c r="S153" s="81">
        <f t="shared" si="274"/>
        <v>227.027027027027</v>
      </c>
      <c r="T153" s="81">
        <f t="shared" si="275"/>
        <v>533.33333333333326</v>
      </c>
      <c r="U153" s="82">
        <f t="shared" si="276"/>
        <v>0.60594502500000014</v>
      </c>
      <c r="V153" s="82">
        <f t="shared" si="277"/>
        <v>0.62062189411764712</v>
      </c>
      <c r="W153" s="82">
        <f t="shared" si="278"/>
        <v>0.58614290000000002</v>
      </c>
      <c r="X153" s="83">
        <f>BS153+SCENARIU!$C$29+'AJUSTĂRI PE PRODUS'!$I$175</f>
        <v>17</v>
      </c>
      <c r="Y153" s="83">
        <f>BT153+SCENARIU!$C$29+'AJUSTĂRI PE PRODUS'!$J$175</f>
        <v>18</v>
      </c>
      <c r="Z153" s="84">
        <f t="shared" si="279"/>
        <v>306.30630630630628</v>
      </c>
      <c r="AA153" s="84">
        <f t="shared" si="280"/>
        <v>227.027027027027</v>
      </c>
      <c r="AB153" s="84">
        <f t="shared" si="281"/>
        <v>533.33333333333326</v>
      </c>
      <c r="AC153" s="85">
        <f t="shared" si="282"/>
        <v>0.60594502500000014</v>
      </c>
      <c r="AD153" s="85">
        <f t="shared" si="283"/>
        <v>0.62062189411764712</v>
      </c>
      <c r="AE153" s="85">
        <f t="shared" si="284"/>
        <v>0.58614290000000002</v>
      </c>
      <c r="AF153" s="83">
        <f>BU153+SCENARIU!$C$29+SCENARIU!$D$29+'AJUSTĂRI PE PRODUS'!$I$175+'AJUSTĂRI PE PRODUS'!$N$175</f>
        <v>17.25</v>
      </c>
      <c r="AG153" s="83">
        <f>BV153+SCENARIU!$C$29+SCENARIU!$D$29+'AJUSTĂRI PE PRODUS'!$J$175+'AJUSTĂRI PE PRODUS'!$O$175</f>
        <v>18.25</v>
      </c>
      <c r="AH153" s="86">
        <f t="shared" si="285"/>
        <v>310.81081081081078</v>
      </c>
      <c r="AI153" s="86">
        <f t="shared" si="286"/>
        <v>230.18018018018017</v>
      </c>
      <c r="AJ153" s="86">
        <f t="shared" si="287"/>
        <v>540.99099099099089</v>
      </c>
      <c r="AK153" s="87">
        <f t="shared" si="288"/>
        <v>0.59736795137385523</v>
      </c>
      <c r="AL153" s="87">
        <f t="shared" si="289"/>
        <v>0.61162737391304356</v>
      </c>
      <c r="AM153" s="87">
        <f t="shared" si="290"/>
        <v>0.57811354520547942</v>
      </c>
      <c r="AN153" s="83">
        <f>BW153+SCENARIU!$C$29+SCENARIU!$D$29+SCENARIU!$E$29+'AJUSTĂRI PE PRODUS'!$I$175+'AJUSTĂRI PE PRODUS'!$N$175+'AJUSTĂRI PE PRODUS'!$S$175</f>
        <v>17.5</v>
      </c>
      <c r="AO153" s="83">
        <f>BX153+SCENARIU!$C$29+SCENARIU!$D$29+SCENARIU!$E$29+'AJUSTĂRI PE PRODUS'!$J$175+'AJUSTĂRI PE PRODUS'!$O$175+'AJUSTĂRI PE PRODUS'!$T$175</f>
        <v>18.5</v>
      </c>
      <c r="AP153" s="88">
        <f t="shared" si="291"/>
        <v>315.31531531531527</v>
      </c>
      <c r="AQ153" s="88">
        <f t="shared" si="292"/>
        <v>233.33333333333331</v>
      </c>
      <c r="AR153" s="88">
        <f t="shared" si="293"/>
        <v>548.64864864864853</v>
      </c>
      <c r="AS153" s="89">
        <f t="shared" si="294"/>
        <v>0.589030303448276</v>
      </c>
      <c r="AT153" s="89">
        <f t="shared" si="295"/>
        <v>0.60288984000000012</v>
      </c>
      <c r="AU153" s="89">
        <f t="shared" si="296"/>
        <v>0.57030120000000006</v>
      </c>
      <c r="AV153" s="83">
        <f>BY153+SCENARIU!$C$29+SCENARIU!$D$29+SCENARIU!$E$29+SCENARIU!$F$29+'AJUSTĂRI PE PRODUS'!$I$175+'AJUSTĂRI PE PRODUS'!$N$175+'AJUSTĂRI PE PRODUS'!$S$175+'AJUSTĂRI PE PRODUS'!$X$175</f>
        <v>17.5</v>
      </c>
      <c r="AW153" s="83">
        <f>BZ153+SCENARIU!$C$29+SCENARIU!$D$29+SCENARIU!$E$29+SCENARIU!$F$29+'AJUSTĂRI PE PRODUS'!$J$175+'AJUSTĂRI PE PRODUS'!$O$175+'AJUSTĂRI PE PRODUS'!$T$175+'AJUSTĂRI PE PRODUS'!$Y$175</f>
        <v>18.5</v>
      </c>
      <c r="AX153" s="90">
        <f t="shared" si="297"/>
        <v>315.31531531531527</v>
      </c>
      <c r="AY153" s="90">
        <f t="shared" si="298"/>
        <v>233.33333333333331</v>
      </c>
      <c r="AZ153" s="90">
        <f t="shared" si="299"/>
        <v>548.64864864864853</v>
      </c>
      <c r="BA153" s="91">
        <f t="shared" si="300"/>
        <v>0.589030303448276</v>
      </c>
      <c r="BB153" s="91">
        <f t="shared" si="301"/>
        <v>0.60288984000000012</v>
      </c>
      <c r="BC153" s="91">
        <f t="shared" si="302"/>
        <v>0.57030120000000006</v>
      </c>
      <c r="BD153" s="92">
        <f t="shared" si="303"/>
        <v>0</v>
      </c>
      <c r="BE153" s="92">
        <f t="shared" si="304"/>
        <v>0</v>
      </c>
      <c r="BF153" s="92">
        <f t="shared" si="305"/>
        <v>0.25</v>
      </c>
      <c r="BG153" s="92">
        <f t="shared" si="306"/>
        <v>0.25</v>
      </c>
      <c r="BH153" s="92">
        <f t="shared" si="307"/>
        <v>0</v>
      </c>
      <c r="BI153" s="93">
        <f t="shared" si="308"/>
        <v>0.5</v>
      </c>
      <c r="BJ153" s="92">
        <f t="shared" si="309"/>
        <v>0</v>
      </c>
      <c r="BK153" s="92">
        <f t="shared" si="310"/>
        <v>0</v>
      </c>
      <c r="BL153" s="92">
        <f t="shared" si="311"/>
        <v>0.25</v>
      </c>
      <c r="BM153" s="92">
        <f t="shared" si="312"/>
        <v>0.25</v>
      </c>
      <c r="BN153" s="92">
        <f t="shared" si="313"/>
        <v>0</v>
      </c>
      <c r="BO153" s="93">
        <f t="shared" si="314"/>
        <v>0.5</v>
      </c>
      <c r="BQ153">
        <v>17</v>
      </c>
      <c r="BR153">
        <v>18</v>
      </c>
      <c r="BS153">
        <v>17</v>
      </c>
      <c r="BT153">
        <v>18</v>
      </c>
      <c r="BU153">
        <v>17.25</v>
      </c>
      <c r="BV153">
        <v>18.25</v>
      </c>
      <c r="BW153">
        <v>17.5</v>
      </c>
      <c r="BX153">
        <v>18.5</v>
      </c>
      <c r="BY153">
        <v>17.5</v>
      </c>
      <c r="BZ153">
        <v>18.5</v>
      </c>
    </row>
    <row r="154" spans="1:78" x14ac:dyDescent="0.2">
      <c r="A154" s="26">
        <v>27</v>
      </c>
      <c r="B154" s="26" t="s">
        <v>315</v>
      </c>
      <c r="C154" s="26" t="s">
        <v>104</v>
      </c>
      <c r="D154" s="74">
        <v>1</v>
      </c>
      <c r="E154" s="75">
        <v>21</v>
      </c>
      <c r="F154" s="76">
        <v>44</v>
      </c>
      <c r="G154" s="76">
        <v>4</v>
      </c>
      <c r="H154" s="77">
        <f>SUMIFS(RETETAR!$I$4:$I$967,RETETAR!$A$4:$A$967,$M154,RETETAR!$C$4:$C$967,"AMBELE")+SUMIFS(RETETAR!$I$4:$I$967,RETETAR!$A$4:$A$967,$M154,RETETAR!$C$4:$C$967,"INSTORE")</f>
        <v>4.4916080000000003</v>
      </c>
      <c r="I154" s="77">
        <f>SUMIFS(RETETAR!$I$4:$I$967,RETETAR!$A$4:$A$967,$M154,RETETAR!$C$4:$C$967,"AMBELE")+SUMIFS(RETETAR!$I$4:$I$967,RETETAR!$A$4:$A$967,$M154,RETETAR!$C$4:$C$967,"DELIVERY")</f>
        <v>4.4916080000000003</v>
      </c>
      <c r="J154" s="78">
        <f t="shared" si="270"/>
        <v>197.630752</v>
      </c>
      <c r="K154" s="78">
        <f t="shared" si="271"/>
        <v>17.966432000000001</v>
      </c>
      <c r="L154" s="78">
        <f t="shared" si="272"/>
        <v>215.597184</v>
      </c>
      <c r="M154" t="s">
        <v>315</v>
      </c>
      <c r="N154" s="79">
        <v>12</v>
      </c>
      <c r="O154" s="79">
        <v>13</v>
      </c>
      <c r="P154" s="80">
        <v>12.99</v>
      </c>
      <c r="Q154" s="80">
        <v>14.99</v>
      </c>
      <c r="R154" s="81">
        <f t="shared" si="273"/>
        <v>472.36363636363637</v>
      </c>
      <c r="S154" s="81">
        <f t="shared" si="274"/>
        <v>49.553719008264466</v>
      </c>
      <c r="T154" s="81">
        <f t="shared" si="275"/>
        <v>521.91735537190084</v>
      </c>
      <c r="U154" s="82">
        <f t="shared" si="276"/>
        <v>0.41308682645046868</v>
      </c>
      <c r="V154" s="82">
        <f t="shared" si="277"/>
        <v>0.41838688837567362</v>
      </c>
      <c r="W154" s="82">
        <f t="shared" si="278"/>
        <v>0.36256475517011338</v>
      </c>
      <c r="X154" s="83">
        <f>BS154+SCENARIU!$C$29+'AJUSTĂRI PE PRODUS'!$I$174</f>
        <v>12.99</v>
      </c>
      <c r="Y154" s="83">
        <f>BT154+SCENARIU!$C$29+'AJUSTĂRI PE PRODUS'!$J$174</f>
        <v>14.99</v>
      </c>
      <c r="Z154" s="84">
        <f t="shared" si="279"/>
        <v>472.36363636363637</v>
      </c>
      <c r="AA154" s="84">
        <f t="shared" si="280"/>
        <v>49.553719008264466</v>
      </c>
      <c r="AB154" s="84">
        <f t="shared" si="281"/>
        <v>521.91735537190084</v>
      </c>
      <c r="AC154" s="85">
        <f t="shared" si="282"/>
        <v>0.41308682645046868</v>
      </c>
      <c r="AD154" s="85">
        <f t="shared" si="283"/>
        <v>0.41838688837567362</v>
      </c>
      <c r="AE154" s="85">
        <f t="shared" si="284"/>
        <v>0.36256475517011338</v>
      </c>
      <c r="AF154" s="83">
        <f>BU154+SCENARIU!$C$29+SCENARIU!$D$29+'AJUSTĂRI PE PRODUS'!$I$174+'AJUSTĂRI PE PRODUS'!$N$174</f>
        <v>12.99</v>
      </c>
      <c r="AG154" s="83">
        <f>BV154+SCENARIU!$C$29+SCENARIU!$D$29+'AJUSTĂRI PE PRODUS'!$J$174+'AJUSTĂRI PE PRODUS'!$O$174</f>
        <v>14.99</v>
      </c>
      <c r="AH154" s="86">
        <f t="shared" si="285"/>
        <v>472.36363636363637</v>
      </c>
      <c r="AI154" s="86">
        <f t="shared" si="286"/>
        <v>49.553719008264466</v>
      </c>
      <c r="AJ154" s="86">
        <f t="shared" si="287"/>
        <v>521.91735537190084</v>
      </c>
      <c r="AK154" s="87">
        <f t="shared" si="288"/>
        <v>0.41308682645046868</v>
      </c>
      <c r="AL154" s="87">
        <f t="shared" si="289"/>
        <v>0.41838688837567362</v>
      </c>
      <c r="AM154" s="87">
        <f t="shared" si="290"/>
        <v>0.36256475517011338</v>
      </c>
      <c r="AN154" s="83">
        <f>BW154+SCENARIU!$C$29+SCENARIU!$D$29+SCENARIU!$E$29+'AJUSTĂRI PE PRODUS'!$I$174+'AJUSTĂRI PE PRODUS'!$N$174+'AJUSTĂRI PE PRODUS'!$S$174</f>
        <v>12.99</v>
      </c>
      <c r="AO154" s="83">
        <f>BX154+SCENARIU!$C$29+SCENARIU!$D$29+SCENARIU!$E$29+'AJUSTĂRI PE PRODUS'!$J$174+'AJUSTĂRI PE PRODUS'!$O$174+'AJUSTĂRI PE PRODUS'!$T$174</f>
        <v>14.99</v>
      </c>
      <c r="AP154" s="88">
        <f t="shared" si="291"/>
        <v>472.36363636363637</v>
      </c>
      <c r="AQ154" s="88">
        <f t="shared" si="292"/>
        <v>49.553719008264466</v>
      </c>
      <c r="AR154" s="88">
        <f t="shared" si="293"/>
        <v>521.91735537190084</v>
      </c>
      <c r="AS154" s="89">
        <f t="shared" si="294"/>
        <v>0.41308682645046868</v>
      </c>
      <c r="AT154" s="89">
        <f t="shared" si="295"/>
        <v>0.41838688837567362</v>
      </c>
      <c r="AU154" s="89">
        <f t="shared" si="296"/>
        <v>0.36256475517011338</v>
      </c>
      <c r="AV154" s="83">
        <f>BY154+SCENARIU!$C$29+SCENARIU!$D$29+SCENARIU!$E$29+SCENARIU!$F$29+'AJUSTĂRI PE PRODUS'!$I$174+'AJUSTĂRI PE PRODUS'!$N$174+'AJUSTĂRI PE PRODUS'!$S$174+'AJUSTĂRI PE PRODUS'!$X$174</f>
        <v>12.99</v>
      </c>
      <c r="AW154" s="83">
        <f>BZ154+SCENARIU!$C$29+SCENARIU!$D$29+SCENARIU!$E$29+SCENARIU!$F$29+'AJUSTĂRI PE PRODUS'!$J$174+'AJUSTĂRI PE PRODUS'!$O$174+'AJUSTĂRI PE PRODUS'!$T$174+'AJUSTĂRI PE PRODUS'!$Y$174</f>
        <v>14.99</v>
      </c>
      <c r="AX154" s="90">
        <f t="shared" si="297"/>
        <v>472.36363636363637</v>
      </c>
      <c r="AY154" s="90">
        <f t="shared" si="298"/>
        <v>49.553719008264466</v>
      </c>
      <c r="AZ154" s="90">
        <f t="shared" si="299"/>
        <v>521.91735537190084</v>
      </c>
      <c r="BA154" s="91">
        <f t="shared" si="300"/>
        <v>0.41308682645046868</v>
      </c>
      <c r="BB154" s="91">
        <f t="shared" si="301"/>
        <v>0.41838688837567362</v>
      </c>
      <c r="BC154" s="91">
        <f t="shared" si="302"/>
        <v>0.36256475517011338</v>
      </c>
      <c r="BD154" s="92">
        <f t="shared" si="303"/>
        <v>0.99000000000000021</v>
      </c>
      <c r="BE154" s="92">
        <f t="shared" si="304"/>
        <v>0</v>
      </c>
      <c r="BF154" s="92">
        <f t="shared" si="305"/>
        <v>0</v>
      </c>
      <c r="BG154" s="92">
        <f t="shared" si="306"/>
        <v>0</v>
      </c>
      <c r="BH154" s="92">
        <f t="shared" si="307"/>
        <v>0</v>
      </c>
      <c r="BI154" s="93">
        <f t="shared" si="308"/>
        <v>0.99000000000000021</v>
      </c>
      <c r="BJ154" s="92">
        <f t="shared" si="309"/>
        <v>1.9900000000000002</v>
      </c>
      <c r="BK154" s="92">
        <f t="shared" si="310"/>
        <v>0</v>
      </c>
      <c r="BL154" s="92">
        <f t="shared" si="311"/>
        <v>0</v>
      </c>
      <c r="BM154" s="92">
        <f t="shared" si="312"/>
        <v>0</v>
      </c>
      <c r="BN154" s="92">
        <f t="shared" si="313"/>
        <v>0</v>
      </c>
      <c r="BO154" s="93">
        <f t="shared" si="314"/>
        <v>1.9900000000000002</v>
      </c>
      <c r="BQ154">
        <v>12.99</v>
      </c>
      <c r="BR154">
        <v>14.99</v>
      </c>
      <c r="BS154">
        <v>12.99</v>
      </c>
      <c r="BT154">
        <v>14.99</v>
      </c>
      <c r="BU154">
        <v>12.99</v>
      </c>
      <c r="BV154">
        <v>14.99</v>
      </c>
      <c r="BW154">
        <v>12.99</v>
      </c>
      <c r="BX154">
        <v>14.99</v>
      </c>
      <c r="BY154">
        <v>12.99</v>
      </c>
      <c r="BZ154">
        <v>14.99</v>
      </c>
    </row>
    <row r="155" spans="1:78" x14ac:dyDescent="0.2">
      <c r="A155" s="26">
        <v>28</v>
      </c>
      <c r="B155" s="26" t="s">
        <v>316</v>
      </c>
      <c r="C155" s="26" t="s">
        <v>104</v>
      </c>
      <c r="D155" s="74">
        <v>1</v>
      </c>
      <c r="E155" s="75">
        <v>21</v>
      </c>
      <c r="F155" s="76">
        <v>11</v>
      </c>
      <c r="G155" s="76">
        <v>18</v>
      </c>
      <c r="H155" s="77">
        <f>SUMIFS(RETETAR!$I$4:$I$967,RETETAR!$A$4:$A$967,$M155,RETETAR!$C$4:$C$967,"AMBELE")+SUMIFS(RETETAR!$I$4:$I$967,RETETAR!$A$4:$A$967,$M155,RETETAR!$C$4:$C$967,"INSTORE")</f>
        <v>6.2458312500000002</v>
      </c>
      <c r="I155" s="77">
        <f>SUMIFS(RETETAR!$I$4:$I$967,RETETAR!$A$4:$A$967,$M155,RETETAR!$C$4:$C$967,"AMBELE")+SUMIFS(RETETAR!$I$4:$I$967,RETETAR!$A$4:$A$967,$M155,RETETAR!$C$4:$C$967,"DELIVERY")</f>
        <v>6.2458312500000002</v>
      </c>
      <c r="J155" s="78">
        <f t="shared" si="270"/>
        <v>68.70414375</v>
      </c>
      <c r="K155" s="78">
        <f t="shared" si="271"/>
        <v>112.42496250000001</v>
      </c>
      <c r="L155" s="78">
        <f t="shared" si="272"/>
        <v>181.12910625000001</v>
      </c>
      <c r="M155" t="s">
        <v>316</v>
      </c>
      <c r="N155" s="79">
        <v>15</v>
      </c>
      <c r="O155" s="79">
        <v>16</v>
      </c>
      <c r="P155" s="80">
        <v>15.99</v>
      </c>
      <c r="Q155" s="80">
        <v>16.989999999999998</v>
      </c>
      <c r="R155" s="81">
        <f t="shared" si="273"/>
        <v>145.36363636363637</v>
      </c>
      <c r="S155" s="81">
        <f t="shared" si="274"/>
        <v>252.74380165289253</v>
      </c>
      <c r="T155" s="81">
        <f t="shared" si="275"/>
        <v>398.10743801652893</v>
      </c>
      <c r="U155" s="82">
        <f t="shared" si="276"/>
        <v>0.45497543867160739</v>
      </c>
      <c r="V155" s="82">
        <f t="shared" si="277"/>
        <v>0.47263638602251407</v>
      </c>
      <c r="W155" s="82">
        <f t="shared" si="278"/>
        <v>0.44481788184226023</v>
      </c>
      <c r="X155" s="83">
        <f>BS155+SCENARIU!$C$29+'AJUSTĂRI PE PRODUS'!$I$176</f>
        <v>15.99</v>
      </c>
      <c r="Y155" s="83">
        <f>BT155+SCENARIU!$C$29+'AJUSTĂRI PE PRODUS'!$J$176</f>
        <v>16.989999999999998</v>
      </c>
      <c r="Z155" s="84">
        <f t="shared" si="279"/>
        <v>145.36363636363637</v>
      </c>
      <c r="AA155" s="84">
        <f t="shared" si="280"/>
        <v>252.74380165289253</v>
      </c>
      <c r="AB155" s="84">
        <f t="shared" si="281"/>
        <v>398.10743801652893</v>
      </c>
      <c r="AC155" s="85">
        <f t="shared" si="282"/>
        <v>0.45497543867160739</v>
      </c>
      <c r="AD155" s="85">
        <f t="shared" si="283"/>
        <v>0.47263638602251407</v>
      </c>
      <c r="AE155" s="85">
        <f t="shared" si="284"/>
        <v>0.44481788184226023</v>
      </c>
      <c r="AF155" s="83">
        <f>BU155+SCENARIU!$C$29+SCENARIU!$D$29+'AJUSTĂRI PE PRODUS'!$I$176+'AJUSTĂRI PE PRODUS'!$N$176</f>
        <v>15.99</v>
      </c>
      <c r="AG155" s="83">
        <f>BV155+SCENARIU!$C$29+SCENARIU!$D$29+'AJUSTĂRI PE PRODUS'!$J$176+'AJUSTĂRI PE PRODUS'!$O$176</f>
        <v>16.989999999999998</v>
      </c>
      <c r="AH155" s="86">
        <f t="shared" si="285"/>
        <v>145.36363636363637</v>
      </c>
      <c r="AI155" s="86">
        <f t="shared" si="286"/>
        <v>252.74380165289253</v>
      </c>
      <c r="AJ155" s="86">
        <f t="shared" si="287"/>
        <v>398.10743801652893</v>
      </c>
      <c r="AK155" s="87">
        <f t="shared" si="288"/>
        <v>0.45497543867160739</v>
      </c>
      <c r="AL155" s="87">
        <f t="shared" si="289"/>
        <v>0.47263638602251407</v>
      </c>
      <c r="AM155" s="87">
        <f t="shared" si="290"/>
        <v>0.44481788184226023</v>
      </c>
      <c r="AN155" s="83">
        <f>BW155+SCENARIU!$C$29+SCENARIU!$D$29+SCENARIU!$E$29+'AJUSTĂRI PE PRODUS'!$I$176+'AJUSTĂRI PE PRODUS'!$N$176+'AJUSTĂRI PE PRODUS'!$S$176</f>
        <v>15.99</v>
      </c>
      <c r="AO155" s="83">
        <f>BX155+SCENARIU!$C$29+SCENARIU!$D$29+SCENARIU!$E$29+'AJUSTĂRI PE PRODUS'!$J$176+'AJUSTĂRI PE PRODUS'!$O$176+'AJUSTĂRI PE PRODUS'!$T$176</f>
        <v>16.989999999999998</v>
      </c>
      <c r="AP155" s="88">
        <f t="shared" si="291"/>
        <v>145.36363636363637</v>
      </c>
      <c r="AQ155" s="88">
        <f t="shared" si="292"/>
        <v>252.74380165289253</v>
      </c>
      <c r="AR155" s="88">
        <f t="shared" si="293"/>
        <v>398.10743801652893</v>
      </c>
      <c r="AS155" s="89">
        <f t="shared" si="294"/>
        <v>0.45497543867160739</v>
      </c>
      <c r="AT155" s="89">
        <f t="shared" si="295"/>
        <v>0.47263638602251407</v>
      </c>
      <c r="AU155" s="89">
        <f t="shared" si="296"/>
        <v>0.44481788184226023</v>
      </c>
      <c r="AV155" s="83">
        <f>BY155+SCENARIU!$C$29+SCENARIU!$D$29+SCENARIU!$E$29+SCENARIU!$F$29+'AJUSTĂRI PE PRODUS'!$I$176+'AJUSTĂRI PE PRODUS'!$N$176+'AJUSTĂRI PE PRODUS'!$S$176+'AJUSTĂRI PE PRODUS'!$X$176</f>
        <v>15.99</v>
      </c>
      <c r="AW155" s="83">
        <f>BZ155+SCENARIU!$C$29+SCENARIU!$D$29+SCENARIU!$E$29+SCENARIU!$F$29+'AJUSTĂRI PE PRODUS'!$J$176+'AJUSTĂRI PE PRODUS'!$O$176+'AJUSTĂRI PE PRODUS'!$T$176+'AJUSTĂRI PE PRODUS'!$Y$176</f>
        <v>16.989999999999998</v>
      </c>
      <c r="AX155" s="90">
        <f t="shared" si="297"/>
        <v>145.36363636363637</v>
      </c>
      <c r="AY155" s="90">
        <f t="shared" si="298"/>
        <v>252.74380165289253</v>
      </c>
      <c r="AZ155" s="90">
        <f t="shared" si="299"/>
        <v>398.10743801652893</v>
      </c>
      <c r="BA155" s="91">
        <f t="shared" si="300"/>
        <v>0.45497543867160739</v>
      </c>
      <c r="BB155" s="91">
        <f t="shared" si="301"/>
        <v>0.47263638602251407</v>
      </c>
      <c r="BC155" s="91">
        <f t="shared" si="302"/>
        <v>0.44481788184226023</v>
      </c>
      <c r="BD155" s="92">
        <f t="shared" si="303"/>
        <v>0.99000000000000021</v>
      </c>
      <c r="BE155" s="92">
        <f t="shared" si="304"/>
        <v>0</v>
      </c>
      <c r="BF155" s="92">
        <f t="shared" si="305"/>
        <v>0</v>
      </c>
      <c r="BG155" s="92">
        <f t="shared" si="306"/>
        <v>0</v>
      </c>
      <c r="BH155" s="92">
        <f t="shared" si="307"/>
        <v>0</v>
      </c>
      <c r="BI155" s="93">
        <f t="shared" si="308"/>
        <v>0.99000000000000021</v>
      </c>
      <c r="BJ155" s="92">
        <f t="shared" si="309"/>
        <v>0.98999999999999844</v>
      </c>
      <c r="BK155" s="92">
        <f t="shared" si="310"/>
        <v>0</v>
      </c>
      <c r="BL155" s="92">
        <f t="shared" si="311"/>
        <v>0</v>
      </c>
      <c r="BM155" s="92">
        <f t="shared" si="312"/>
        <v>0</v>
      </c>
      <c r="BN155" s="92">
        <f t="shared" si="313"/>
        <v>0</v>
      </c>
      <c r="BO155" s="93">
        <f t="shared" si="314"/>
        <v>0.98999999999999844</v>
      </c>
      <c r="BQ155">
        <v>15.99</v>
      </c>
      <c r="BR155">
        <v>16.989999999999998</v>
      </c>
      <c r="BS155">
        <v>15.99</v>
      </c>
      <c r="BT155">
        <v>16.989999999999998</v>
      </c>
      <c r="BU155">
        <v>15.99</v>
      </c>
      <c r="BV155">
        <v>16.989999999999998</v>
      </c>
      <c r="BW155">
        <v>15.99</v>
      </c>
      <c r="BX155">
        <v>16.989999999999998</v>
      </c>
      <c r="BY155">
        <v>15.99</v>
      </c>
      <c r="BZ155">
        <v>16.989999999999998</v>
      </c>
    </row>
    <row r="156" spans="1:78" x14ac:dyDescent="0.2">
      <c r="A156" s="26">
        <v>29</v>
      </c>
      <c r="B156" s="26" t="s">
        <v>319</v>
      </c>
      <c r="C156" s="26" t="s">
        <v>104</v>
      </c>
      <c r="D156" s="74">
        <v>1</v>
      </c>
      <c r="E156" s="75">
        <v>21</v>
      </c>
      <c r="F156" s="76">
        <v>20</v>
      </c>
      <c r="G156" s="76">
        <v>5</v>
      </c>
      <c r="H156" s="77">
        <f>SUMIFS(RETETAR!$I$4:$I$967,RETETAR!$A$4:$A$967,$M156,RETETAR!$C$4:$C$967,"AMBELE")+SUMIFS(RETETAR!$I$4:$I$967,RETETAR!$A$4:$A$967,$M156,RETETAR!$C$4:$C$967,"INSTORE")</f>
        <v>5.6104965</v>
      </c>
      <c r="I156" s="77">
        <f>SUMIFS(RETETAR!$I$4:$I$967,RETETAR!$A$4:$A$967,$M156,RETETAR!$C$4:$C$967,"AMBELE")+SUMIFS(RETETAR!$I$4:$I$967,RETETAR!$A$4:$A$967,$M156,RETETAR!$C$4:$C$967,"DELIVERY")</f>
        <v>5.6104965</v>
      </c>
      <c r="J156" s="78">
        <f t="shared" si="270"/>
        <v>112.20993</v>
      </c>
      <c r="K156" s="78">
        <f t="shared" si="271"/>
        <v>28.0524825</v>
      </c>
      <c r="L156" s="78">
        <f t="shared" si="272"/>
        <v>140.26241250000001</v>
      </c>
      <c r="M156" t="s">
        <v>319</v>
      </c>
      <c r="N156" s="79">
        <v>13</v>
      </c>
      <c r="O156" s="79">
        <v>14</v>
      </c>
      <c r="P156" s="80">
        <v>13.99</v>
      </c>
      <c r="Q156" s="80">
        <v>14.99</v>
      </c>
      <c r="R156" s="81">
        <f t="shared" si="273"/>
        <v>231.23966942148763</v>
      </c>
      <c r="S156" s="81">
        <f t="shared" si="274"/>
        <v>61.942148760330582</v>
      </c>
      <c r="T156" s="81">
        <f t="shared" si="275"/>
        <v>293.18181818181824</v>
      </c>
      <c r="U156" s="82">
        <f t="shared" si="276"/>
        <v>0.47841443023255809</v>
      </c>
      <c r="V156" s="82">
        <f t="shared" si="277"/>
        <v>0.48525380736240165</v>
      </c>
      <c r="W156" s="82">
        <f t="shared" si="278"/>
        <v>0.45288197231487654</v>
      </c>
      <c r="X156" s="83">
        <f>BS156+SCENARIU!$C$29+'AJUSTĂRI PE PRODUS'!$I$178</f>
        <v>13.99</v>
      </c>
      <c r="Y156" s="83">
        <f>BT156+SCENARIU!$C$29+'AJUSTĂRI PE PRODUS'!$J$178</f>
        <v>14.99</v>
      </c>
      <c r="Z156" s="84">
        <f t="shared" si="279"/>
        <v>231.23966942148763</v>
      </c>
      <c r="AA156" s="84">
        <f t="shared" si="280"/>
        <v>61.942148760330582</v>
      </c>
      <c r="AB156" s="84">
        <f t="shared" si="281"/>
        <v>293.18181818181824</v>
      </c>
      <c r="AC156" s="85">
        <f t="shared" si="282"/>
        <v>0.47841443023255809</v>
      </c>
      <c r="AD156" s="85">
        <f t="shared" si="283"/>
        <v>0.48525380736240165</v>
      </c>
      <c r="AE156" s="85">
        <f t="shared" si="284"/>
        <v>0.45288197231487654</v>
      </c>
      <c r="AF156" s="83">
        <f>BU156+SCENARIU!$C$29+SCENARIU!$D$29+'AJUSTĂRI PE PRODUS'!$I$178+'AJUSTĂRI PE PRODUS'!$N$178</f>
        <v>13.99</v>
      </c>
      <c r="AG156" s="83">
        <f>BV156+SCENARIU!$C$29+SCENARIU!$D$29+'AJUSTĂRI PE PRODUS'!$J$178+'AJUSTĂRI PE PRODUS'!$O$178</f>
        <v>14.99</v>
      </c>
      <c r="AH156" s="86">
        <f t="shared" si="285"/>
        <v>231.23966942148763</v>
      </c>
      <c r="AI156" s="86">
        <f t="shared" si="286"/>
        <v>61.942148760330582</v>
      </c>
      <c r="AJ156" s="86">
        <f t="shared" si="287"/>
        <v>293.18181818181824</v>
      </c>
      <c r="AK156" s="87">
        <f t="shared" si="288"/>
        <v>0.47841443023255809</v>
      </c>
      <c r="AL156" s="87">
        <f t="shared" si="289"/>
        <v>0.48525380736240165</v>
      </c>
      <c r="AM156" s="87">
        <f t="shared" si="290"/>
        <v>0.45288197231487654</v>
      </c>
      <c r="AN156" s="83">
        <f>BW156+SCENARIU!$C$29+SCENARIU!$D$29+SCENARIU!$E$29+'AJUSTĂRI PE PRODUS'!$I$178+'AJUSTĂRI PE PRODUS'!$N$178+'AJUSTĂRI PE PRODUS'!$S$178</f>
        <v>13.99</v>
      </c>
      <c r="AO156" s="83">
        <f>BX156+SCENARIU!$C$29+SCENARIU!$D$29+SCENARIU!$E$29+'AJUSTĂRI PE PRODUS'!$J$178+'AJUSTĂRI PE PRODUS'!$O$178+'AJUSTĂRI PE PRODUS'!$T$178</f>
        <v>14.99</v>
      </c>
      <c r="AP156" s="88">
        <f t="shared" si="291"/>
        <v>231.23966942148763</v>
      </c>
      <c r="AQ156" s="88">
        <f t="shared" si="292"/>
        <v>61.942148760330582</v>
      </c>
      <c r="AR156" s="88">
        <f t="shared" si="293"/>
        <v>293.18181818181824</v>
      </c>
      <c r="AS156" s="89">
        <f t="shared" si="294"/>
        <v>0.47841443023255809</v>
      </c>
      <c r="AT156" s="89">
        <f t="shared" si="295"/>
        <v>0.48525380736240165</v>
      </c>
      <c r="AU156" s="89">
        <f t="shared" si="296"/>
        <v>0.45288197231487654</v>
      </c>
      <c r="AV156" s="83">
        <f>BY156+SCENARIU!$C$29+SCENARIU!$D$29+SCENARIU!$E$29+SCENARIU!$F$29+'AJUSTĂRI PE PRODUS'!$I$178+'AJUSTĂRI PE PRODUS'!$N$178+'AJUSTĂRI PE PRODUS'!$S$178+'AJUSTĂRI PE PRODUS'!$X$178</f>
        <v>13.99</v>
      </c>
      <c r="AW156" s="83">
        <f>BZ156+SCENARIU!$C$29+SCENARIU!$D$29+SCENARIU!$E$29+SCENARIU!$F$29+'AJUSTĂRI PE PRODUS'!$J$178+'AJUSTĂRI PE PRODUS'!$O$178+'AJUSTĂRI PE PRODUS'!$T$178+'AJUSTĂRI PE PRODUS'!$Y$178</f>
        <v>14.99</v>
      </c>
      <c r="AX156" s="90">
        <f t="shared" si="297"/>
        <v>231.23966942148763</v>
      </c>
      <c r="AY156" s="90">
        <f t="shared" si="298"/>
        <v>61.942148760330582</v>
      </c>
      <c r="AZ156" s="90">
        <f t="shared" si="299"/>
        <v>293.18181818181824</v>
      </c>
      <c r="BA156" s="91">
        <f t="shared" si="300"/>
        <v>0.47841443023255809</v>
      </c>
      <c r="BB156" s="91">
        <f t="shared" si="301"/>
        <v>0.48525380736240165</v>
      </c>
      <c r="BC156" s="91">
        <f t="shared" si="302"/>
        <v>0.45288197231487654</v>
      </c>
      <c r="BD156" s="92">
        <f t="shared" si="303"/>
        <v>0.99000000000000021</v>
      </c>
      <c r="BE156" s="92">
        <f t="shared" si="304"/>
        <v>0</v>
      </c>
      <c r="BF156" s="92">
        <f t="shared" si="305"/>
        <v>0</v>
      </c>
      <c r="BG156" s="92">
        <f t="shared" si="306"/>
        <v>0</v>
      </c>
      <c r="BH156" s="92">
        <f t="shared" si="307"/>
        <v>0</v>
      </c>
      <c r="BI156" s="93">
        <f t="shared" si="308"/>
        <v>0.99000000000000021</v>
      </c>
      <c r="BJ156" s="92">
        <f t="shared" si="309"/>
        <v>0.99000000000000021</v>
      </c>
      <c r="BK156" s="92">
        <f t="shared" si="310"/>
        <v>0</v>
      </c>
      <c r="BL156" s="92">
        <f t="shared" si="311"/>
        <v>0</v>
      </c>
      <c r="BM156" s="92">
        <f t="shared" si="312"/>
        <v>0</v>
      </c>
      <c r="BN156" s="92">
        <f t="shared" si="313"/>
        <v>0</v>
      </c>
      <c r="BO156" s="93">
        <f t="shared" si="314"/>
        <v>0.99000000000000021</v>
      </c>
      <c r="BQ156">
        <v>13.99</v>
      </c>
      <c r="BR156">
        <v>14.99</v>
      </c>
      <c r="BS156">
        <v>13.99</v>
      </c>
      <c r="BT156">
        <v>14.99</v>
      </c>
      <c r="BU156">
        <v>13.99</v>
      </c>
      <c r="BV156">
        <v>14.99</v>
      </c>
      <c r="BW156">
        <v>13.99</v>
      </c>
      <c r="BX156">
        <v>14.99</v>
      </c>
      <c r="BY156">
        <v>13.99</v>
      </c>
      <c r="BZ156">
        <v>14.99</v>
      </c>
    </row>
    <row r="157" spans="1:78" x14ac:dyDescent="0.2">
      <c r="A157" s="26">
        <v>30</v>
      </c>
      <c r="B157" s="26" t="s">
        <v>321</v>
      </c>
      <c r="C157" s="26" t="s">
        <v>104</v>
      </c>
      <c r="D157" s="74">
        <v>1</v>
      </c>
      <c r="E157" s="75">
        <v>21</v>
      </c>
      <c r="F157" s="76">
        <v>6</v>
      </c>
      <c r="G157" s="76">
        <v>9</v>
      </c>
      <c r="H157" s="77">
        <f>SUMIFS(RETETAR!$I$4:$I$967,RETETAR!$A$4:$A$967,$M157,RETETAR!$C$4:$C$967,"AMBELE")+SUMIFS(RETETAR!$I$4:$I$967,RETETAR!$A$4:$A$967,$M157,RETETAR!$C$4:$C$967,"INSTORE")</f>
        <v>6.8837952500000004</v>
      </c>
      <c r="I157" s="77">
        <f>SUMIFS(RETETAR!$I$4:$I$967,RETETAR!$A$4:$A$967,$M157,RETETAR!$C$4:$C$967,"AMBELE")+SUMIFS(RETETAR!$I$4:$I$967,RETETAR!$A$4:$A$967,$M157,RETETAR!$C$4:$C$967,"DELIVERY")</f>
        <v>6.8837952500000004</v>
      </c>
      <c r="J157" s="78">
        <f t="shared" si="270"/>
        <v>41.302771500000006</v>
      </c>
      <c r="K157" s="78">
        <f t="shared" si="271"/>
        <v>61.954157250000002</v>
      </c>
      <c r="L157" s="78">
        <f t="shared" si="272"/>
        <v>103.25692875000001</v>
      </c>
      <c r="M157" t="s">
        <v>321</v>
      </c>
      <c r="N157" s="79">
        <v>15</v>
      </c>
      <c r="O157" s="79">
        <v>16</v>
      </c>
      <c r="P157" s="80">
        <v>15.99</v>
      </c>
      <c r="Q157" s="80">
        <v>16.989999999999998</v>
      </c>
      <c r="R157" s="81">
        <f t="shared" si="273"/>
        <v>79.289256198347118</v>
      </c>
      <c r="S157" s="81">
        <f t="shared" si="274"/>
        <v>126.37190082644626</v>
      </c>
      <c r="T157" s="81">
        <f t="shared" si="275"/>
        <v>205.6611570247934</v>
      </c>
      <c r="U157" s="82">
        <f t="shared" si="276"/>
        <v>0.50207307127787826</v>
      </c>
      <c r="V157" s="82">
        <f t="shared" si="277"/>
        <v>0.52091258614759228</v>
      </c>
      <c r="W157" s="82">
        <f t="shared" si="278"/>
        <v>0.49025263404944092</v>
      </c>
      <c r="X157" s="83">
        <f>BS157+SCENARIU!$C$29+'AJUSTĂRI PE PRODUS'!$I$181</f>
        <v>15.99</v>
      </c>
      <c r="Y157" s="83">
        <f>BT157+SCENARIU!$C$29+'AJUSTĂRI PE PRODUS'!$J$181</f>
        <v>16.989999999999998</v>
      </c>
      <c r="Z157" s="84">
        <f t="shared" si="279"/>
        <v>79.289256198347118</v>
      </c>
      <c r="AA157" s="84">
        <f t="shared" si="280"/>
        <v>126.37190082644626</v>
      </c>
      <c r="AB157" s="84">
        <f t="shared" si="281"/>
        <v>205.6611570247934</v>
      </c>
      <c r="AC157" s="85">
        <f t="shared" si="282"/>
        <v>0.50207307127787826</v>
      </c>
      <c r="AD157" s="85">
        <f t="shared" si="283"/>
        <v>0.52091258614759228</v>
      </c>
      <c r="AE157" s="85">
        <f t="shared" si="284"/>
        <v>0.49025263404944092</v>
      </c>
      <c r="AF157" s="83">
        <f>BU157+SCENARIU!$C$29+SCENARIU!$D$29+'AJUSTĂRI PE PRODUS'!$I$181+'AJUSTĂRI PE PRODUS'!$N$181</f>
        <v>15.99</v>
      </c>
      <c r="AG157" s="83">
        <f>BV157+SCENARIU!$C$29+SCENARIU!$D$29+'AJUSTĂRI PE PRODUS'!$J$181+'AJUSTĂRI PE PRODUS'!$O$181</f>
        <v>16.989999999999998</v>
      </c>
      <c r="AH157" s="86">
        <f t="shared" si="285"/>
        <v>79.289256198347118</v>
      </c>
      <c r="AI157" s="86">
        <f t="shared" si="286"/>
        <v>126.37190082644626</v>
      </c>
      <c r="AJ157" s="86">
        <f t="shared" si="287"/>
        <v>205.6611570247934</v>
      </c>
      <c r="AK157" s="87">
        <f t="shared" si="288"/>
        <v>0.50207307127787826</v>
      </c>
      <c r="AL157" s="87">
        <f t="shared" si="289"/>
        <v>0.52091258614759228</v>
      </c>
      <c r="AM157" s="87">
        <f t="shared" si="290"/>
        <v>0.49025263404944092</v>
      </c>
      <c r="AN157" s="83">
        <f>BW157+SCENARIU!$C$29+SCENARIU!$D$29+SCENARIU!$E$29+'AJUSTĂRI PE PRODUS'!$I$181+'AJUSTĂRI PE PRODUS'!$N$181+'AJUSTĂRI PE PRODUS'!$S$181</f>
        <v>15.99</v>
      </c>
      <c r="AO157" s="83">
        <f>BX157+SCENARIU!$C$29+SCENARIU!$D$29+SCENARIU!$E$29+'AJUSTĂRI PE PRODUS'!$J$181+'AJUSTĂRI PE PRODUS'!$O$181+'AJUSTĂRI PE PRODUS'!$T$181</f>
        <v>16.989999999999998</v>
      </c>
      <c r="AP157" s="88">
        <f t="shared" si="291"/>
        <v>79.289256198347118</v>
      </c>
      <c r="AQ157" s="88">
        <f t="shared" si="292"/>
        <v>126.37190082644626</v>
      </c>
      <c r="AR157" s="88">
        <f t="shared" si="293"/>
        <v>205.6611570247934</v>
      </c>
      <c r="AS157" s="89">
        <f t="shared" si="294"/>
        <v>0.50207307127787826</v>
      </c>
      <c r="AT157" s="89">
        <f t="shared" si="295"/>
        <v>0.52091258614759228</v>
      </c>
      <c r="AU157" s="89">
        <f t="shared" si="296"/>
        <v>0.49025263404944092</v>
      </c>
      <c r="AV157" s="83">
        <f>BY157+SCENARIU!$C$29+SCENARIU!$D$29+SCENARIU!$E$29+SCENARIU!$F$29+'AJUSTĂRI PE PRODUS'!$I$181+'AJUSTĂRI PE PRODUS'!$N$181+'AJUSTĂRI PE PRODUS'!$S$181+'AJUSTĂRI PE PRODUS'!$X$181</f>
        <v>15.99</v>
      </c>
      <c r="AW157" s="83">
        <f>BZ157+SCENARIU!$C$29+SCENARIU!$D$29+SCENARIU!$E$29+SCENARIU!$F$29+'AJUSTĂRI PE PRODUS'!$J$181+'AJUSTĂRI PE PRODUS'!$O$181+'AJUSTĂRI PE PRODUS'!$T$181+'AJUSTĂRI PE PRODUS'!$Y$181</f>
        <v>16.989999999999998</v>
      </c>
      <c r="AX157" s="90">
        <f t="shared" si="297"/>
        <v>79.289256198347118</v>
      </c>
      <c r="AY157" s="90">
        <f t="shared" si="298"/>
        <v>126.37190082644626</v>
      </c>
      <c r="AZ157" s="90">
        <f t="shared" si="299"/>
        <v>205.6611570247934</v>
      </c>
      <c r="BA157" s="91">
        <f t="shared" si="300"/>
        <v>0.50207307127787826</v>
      </c>
      <c r="BB157" s="91">
        <f t="shared" si="301"/>
        <v>0.52091258614759228</v>
      </c>
      <c r="BC157" s="91">
        <f t="shared" si="302"/>
        <v>0.49025263404944092</v>
      </c>
      <c r="BD157" s="92">
        <f t="shared" si="303"/>
        <v>0.99000000000000021</v>
      </c>
      <c r="BE157" s="92">
        <f t="shared" si="304"/>
        <v>0</v>
      </c>
      <c r="BF157" s="92">
        <f t="shared" si="305"/>
        <v>0</v>
      </c>
      <c r="BG157" s="92">
        <f t="shared" si="306"/>
        <v>0</v>
      </c>
      <c r="BH157" s="92">
        <f t="shared" si="307"/>
        <v>0</v>
      </c>
      <c r="BI157" s="93">
        <f t="shared" si="308"/>
        <v>0.99000000000000021</v>
      </c>
      <c r="BJ157" s="92">
        <f t="shared" si="309"/>
        <v>0.98999999999999844</v>
      </c>
      <c r="BK157" s="92">
        <f t="shared" si="310"/>
        <v>0</v>
      </c>
      <c r="BL157" s="92">
        <f t="shared" si="311"/>
        <v>0</v>
      </c>
      <c r="BM157" s="92">
        <f t="shared" si="312"/>
        <v>0</v>
      </c>
      <c r="BN157" s="92">
        <f t="shared" si="313"/>
        <v>0</v>
      </c>
      <c r="BO157" s="93">
        <f t="shared" si="314"/>
        <v>0.98999999999999844</v>
      </c>
      <c r="BQ157">
        <v>15.99</v>
      </c>
      <c r="BR157">
        <v>16.989999999999998</v>
      </c>
      <c r="BS157">
        <v>15.99</v>
      </c>
      <c r="BT157">
        <v>16.989999999999998</v>
      </c>
      <c r="BU157">
        <v>15.99</v>
      </c>
      <c r="BV157">
        <v>16.989999999999998</v>
      </c>
      <c r="BW157">
        <v>15.99</v>
      </c>
      <c r="BX157">
        <v>16.989999999999998</v>
      </c>
      <c r="BY157">
        <v>15.99</v>
      </c>
      <c r="BZ157">
        <v>16.989999999999998</v>
      </c>
    </row>
    <row r="158" spans="1:78" x14ac:dyDescent="0.2">
      <c r="A158" s="26">
        <v>31</v>
      </c>
      <c r="B158" s="26" t="s">
        <v>322</v>
      </c>
      <c r="C158" s="26" t="s">
        <v>104</v>
      </c>
      <c r="D158" s="74">
        <v>1</v>
      </c>
      <c r="E158" s="75">
        <v>21</v>
      </c>
      <c r="F158" s="76">
        <v>12</v>
      </c>
      <c r="G158" s="76">
        <v>5</v>
      </c>
      <c r="H158" s="77">
        <f>SUMIFS(RETETAR!$I$4:$I$967,RETETAR!$A$4:$A$967,$M158,RETETAR!$C$4:$C$967,"AMBELE")+SUMIFS(RETETAR!$I$4:$I$967,RETETAR!$A$4:$A$967,$M158,RETETAR!$C$4:$C$967,"INSTORE")</f>
        <v>6.2484605000000002</v>
      </c>
      <c r="I158" s="77">
        <f>SUMIFS(RETETAR!$I$4:$I$967,RETETAR!$A$4:$A$967,$M158,RETETAR!$C$4:$C$967,"AMBELE")+SUMIFS(RETETAR!$I$4:$I$967,RETETAR!$A$4:$A$967,$M158,RETETAR!$C$4:$C$967,"DELIVERY")</f>
        <v>6.2484605000000002</v>
      </c>
      <c r="J158" s="78">
        <f t="shared" si="270"/>
        <v>74.981526000000002</v>
      </c>
      <c r="K158" s="78">
        <f t="shared" si="271"/>
        <v>31.242302500000001</v>
      </c>
      <c r="L158" s="78">
        <f t="shared" si="272"/>
        <v>106.2238285</v>
      </c>
      <c r="M158" t="s">
        <v>322</v>
      </c>
      <c r="N158" s="79">
        <v>13</v>
      </c>
      <c r="O158" s="79">
        <v>14</v>
      </c>
      <c r="P158" s="80">
        <v>13.99</v>
      </c>
      <c r="Q158" s="80">
        <v>14.99</v>
      </c>
      <c r="R158" s="81">
        <f t="shared" si="273"/>
        <v>138.74380165289256</v>
      </c>
      <c r="S158" s="81">
        <f t="shared" si="274"/>
        <v>61.942148760330582</v>
      </c>
      <c r="T158" s="81">
        <f t="shared" si="275"/>
        <v>200.68595041322314</v>
      </c>
      <c r="U158" s="82">
        <f t="shared" si="276"/>
        <v>0.52930376182926331</v>
      </c>
      <c r="V158" s="82">
        <f t="shared" si="277"/>
        <v>0.54043153716940673</v>
      </c>
      <c r="W158" s="82">
        <f t="shared" si="278"/>
        <v>0.50437873282188128</v>
      </c>
      <c r="X158" s="83">
        <f>BS158+SCENARIU!$C$29+'AJUSTĂRI PE PRODUS'!$I$182</f>
        <v>13.99</v>
      </c>
      <c r="Y158" s="83">
        <f>BT158+SCENARIU!$C$29+'AJUSTĂRI PE PRODUS'!$J$182</f>
        <v>14.99</v>
      </c>
      <c r="Z158" s="84">
        <f t="shared" si="279"/>
        <v>138.74380165289256</v>
      </c>
      <c r="AA158" s="84">
        <f t="shared" si="280"/>
        <v>61.942148760330582</v>
      </c>
      <c r="AB158" s="84">
        <f t="shared" si="281"/>
        <v>200.68595041322314</v>
      </c>
      <c r="AC158" s="85">
        <f t="shared" si="282"/>
        <v>0.52930376182926331</v>
      </c>
      <c r="AD158" s="85">
        <f t="shared" si="283"/>
        <v>0.54043153716940673</v>
      </c>
      <c r="AE158" s="85">
        <f t="shared" si="284"/>
        <v>0.50437873282188128</v>
      </c>
      <c r="AF158" s="83">
        <f>BU158+SCENARIU!$C$29+SCENARIU!$D$29+'AJUSTĂRI PE PRODUS'!$I$182+'AJUSTĂRI PE PRODUS'!$N$182</f>
        <v>13.99</v>
      </c>
      <c r="AG158" s="83">
        <f>BV158+SCENARIU!$C$29+SCENARIU!$D$29+'AJUSTĂRI PE PRODUS'!$J$182+'AJUSTĂRI PE PRODUS'!$O$182</f>
        <v>14.99</v>
      </c>
      <c r="AH158" s="86">
        <f t="shared" si="285"/>
        <v>138.74380165289256</v>
      </c>
      <c r="AI158" s="86">
        <f t="shared" si="286"/>
        <v>61.942148760330582</v>
      </c>
      <c r="AJ158" s="86">
        <f t="shared" si="287"/>
        <v>200.68595041322314</v>
      </c>
      <c r="AK158" s="87">
        <f t="shared" si="288"/>
        <v>0.52930376182926331</v>
      </c>
      <c r="AL158" s="87">
        <f t="shared" si="289"/>
        <v>0.54043153716940673</v>
      </c>
      <c r="AM158" s="87">
        <f t="shared" si="290"/>
        <v>0.50437873282188128</v>
      </c>
      <c r="AN158" s="83">
        <f>BW158+SCENARIU!$C$29+SCENARIU!$D$29+SCENARIU!$E$29+'AJUSTĂRI PE PRODUS'!$I$182+'AJUSTĂRI PE PRODUS'!$N$182+'AJUSTĂRI PE PRODUS'!$S$182</f>
        <v>13.99</v>
      </c>
      <c r="AO158" s="83">
        <f>BX158+SCENARIU!$C$29+SCENARIU!$D$29+SCENARIU!$E$29+'AJUSTĂRI PE PRODUS'!$J$182+'AJUSTĂRI PE PRODUS'!$O$182+'AJUSTĂRI PE PRODUS'!$T$182</f>
        <v>14.99</v>
      </c>
      <c r="AP158" s="88">
        <f t="shared" si="291"/>
        <v>138.74380165289256</v>
      </c>
      <c r="AQ158" s="88">
        <f t="shared" si="292"/>
        <v>61.942148760330582</v>
      </c>
      <c r="AR158" s="88">
        <f t="shared" si="293"/>
        <v>200.68595041322314</v>
      </c>
      <c r="AS158" s="89">
        <f t="shared" si="294"/>
        <v>0.52930376182926331</v>
      </c>
      <c r="AT158" s="89">
        <f t="shared" si="295"/>
        <v>0.54043153716940673</v>
      </c>
      <c r="AU158" s="89">
        <f t="shared" si="296"/>
        <v>0.50437873282188128</v>
      </c>
      <c r="AV158" s="83">
        <f>BY158+SCENARIU!$C$29+SCENARIU!$D$29+SCENARIU!$E$29+SCENARIU!$F$29+'AJUSTĂRI PE PRODUS'!$I$182+'AJUSTĂRI PE PRODUS'!$N$182+'AJUSTĂRI PE PRODUS'!$S$182+'AJUSTĂRI PE PRODUS'!$X$182</f>
        <v>13.99</v>
      </c>
      <c r="AW158" s="83">
        <f>BZ158+SCENARIU!$C$29+SCENARIU!$D$29+SCENARIU!$E$29+SCENARIU!$F$29+'AJUSTĂRI PE PRODUS'!$J$182+'AJUSTĂRI PE PRODUS'!$O$182+'AJUSTĂRI PE PRODUS'!$T$182+'AJUSTĂRI PE PRODUS'!$Y$182</f>
        <v>14.99</v>
      </c>
      <c r="AX158" s="90">
        <f t="shared" si="297"/>
        <v>138.74380165289256</v>
      </c>
      <c r="AY158" s="90">
        <f t="shared" si="298"/>
        <v>61.942148760330582</v>
      </c>
      <c r="AZ158" s="90">
        <f t="shared" si="299"/>
        <v>200.68595041322314</v>
      </c>
      <c r="BA158" s="91">
        <f t="shared" si="300"/>
        <v>0.52930376182926331</v>
      </c>
      <c r="BB158" s="91">
        <f t="shared" si="301"/>
        <v>0.54043153716940673</v>
      </c>
      <c r="BC158" s="91">
        <f t="shared" si="302"/>
        <v>0.50437873282188128</v>
      </c>
      <c r="BD158" s="92">
        <f t="shared" si="303"/>
        <v>0.99000000000000021</v>
      </c>
      <c r="BE158" s="92">
        <f t="shared" si="304"/>
        <v>0</v>
      </c>
      <c r="BF158" s="92">
        <f t="shared" si="305"/>
        <v>0</v>
      </c>
      <c r="BG158" s="92">
        <f t="shared" si="306"/>
        <v>0</v>
      </c>
      <c r="BH158" s="92">
        <f t="shared" si="307"/>
        <v>0</v>
      </c>
      <c r="BI158" s="93">
        <f t="shared" si="308"/>
        <v>0.99000000000000021</v>
      </c>
      <c r="BJ158" s="92">
        <f t="shared" si="309"/>
        <v>0.99000000000000021</v>
      </c>
      <c r="BK158" s="92">
        <f t="shared" si="310"/>
        <v>0</v>
      </c>
      <c r="BL158" s="92">
        <f t="shared" si="311"/>
        <v>0</v>
      </c>
      <c r="BM158" s="92">
        <f t="shared" si="312"/>
        <v>0</v>
      </c>
      <c r="BN158" s="92">
        <f t="shared" si="313"/>
        <v>0</v>
      </c>
      <c r="BO158" s="93">
        <f t="shared" si="314"/>
        <v>0.99000000000000021</v>
      </c>
      <c r="BQ158">
        <v>13.99</v>
      </c>
      <c r="BR158">
        <v>14.99</v>
      </c>
      <c r="BS158">
        <v>13.99</v>
      </c>
      <c r="BT158">
        <v>14.99</v>
      </c>
      <c r="BU158">
        <v>13.99</v>
      </c>
      <c r="BV158">
        <v>14.99</v>
      </c>
      <c r="BW158">
        <v>13.99</v>
      </c>
      <c r="BX158">
        <v>14.99</v>
      </c>
      <c r="BY158">
        <v>13.99</v>
      </c>
      <c r="BZ158">
        <v>14.99</v>
      </c>
    </row>
    <row r="159" spans="1:78" x14ac:dyDescent="0.2">
      <c r="A159" s="26">
        <v>32</v>
      </c>
      <c r="B159" s="26" t="s">
        <v>327</v>
      </c>
      <c r="C159" s="26" t="s">
        <v>104</v>
      </c>
      <c r="D159" s="74">
        <v>1</v>
      </c>
      <c r="E159" s="75">
        <v>11</v>
      </c>
      <c r="F159" s="76">
        <v>25</v>
      </c>
      <c r="G159" s="76">
        <v>0</v>
      </c>
      <c r="H159" s="77">
        <f>SUMIFS(RETETAR!$I$4:$I$967,RETETAR!$A$4:$A$967,$M159,RETETAR!$C$4:$C$967,"AMBELE")+SUMIFS(RETETAR!$I$4:$I$967,RETETAR!$A$4:$A$967,$M159,RETETAR!$C$4:$C$967,"INSTORE")</f>
        <v>0.6508316999999999</v>
      </c>
      <c r="I159" s="77">
        <f>SUMIFS(RETETAR!$I$4:$I$967,RETETAR!$A$4:$A$967,$M159,RETETAR!$C$4:$C$967,"AMBELE")+SUMIFS(RETETAR!$I$4:$I$967,RETETAR!$A$4:$A$967,$M159,RETETAR!$C$4:$C$967,"DELIVERY")</f>
        <v>0</v>
      </c>
      <c r="J159" s="78">
        <f t="shared" si="270"/>
        <v>16.270792499999999</v>
      </c>
      <c r="K159" s="78">
        <f t="shared" si="271"/>
        <v>0</v>
      </c>
      <c r="L159" s="78">
        <f t="shared" si="272"/>
        <v>16.270792499999999</v>
      </c>
      <c r="M159" t="s">
        <v>327</v>
      </c>
      <c r="N159" s="79">
        <v>3.5</v>
      </c>
      <c r="O159" s="79"/>
      <c r="P159" s="80">
        <v>3.5</v>
      </c>
      <c r="Q159" s="80"/>
      <c r="R159" s="81">
        <f t="shared" si="273"/>
        <v>78.828828828828819</v>
      </c>
      <c r="S159" s="81">
        <f t="shared" si="274"/>
        <v>0</v>
      </c>
      <c r="T159" s="81">
        <f t="shared" si="275"/>
        <v>78.828828828828819</v>
      </c>
      <c r="U159" s="82">
        <f t="shared" si="276"/>
        <v>0.20640662485714287</v>
      </c>
      <c r="V159" s="82">
        <f t="shared" si="277"/>
        <v>0.20640662485714287</v>
      </c>
      <c r="W159" s="82" t="str">
        <f t="shared" si="278"/>
        <v/>
      </c>
      <c r="X159" s="83">
        <f>BS159+SCENARIU!$C$29+'AJUSTĂRI PE PRODUS'!$I$187</f>
        <v>3.5</v>
      </c>
      <c r="Y159" s="83"/>
      <c r="Z159" s="84">
        <f t="shared" si="279"/>
        <v>78.828828828828819</v>
      </c>
      <c r="AA159" s="84">
        <f t="shared" si="280"/>
        <v>0</v>
      </c>
      <c r="AB159" s="84">
        <f t="shared" si="281"/>
        <v>78.828828828828819</v>
      </c>
      <c r="AC159" s="85">
        <f t="shared" si="282"/>
        <v>0.20640662485714287</v>
      </c>
      <c r="AD159" s="85">
        <f t="shared" si="283"/>
        <v>0.20640662485714287</v>
      </c>
      <c r="AE159" s="85" t="str">
        <f t="shared" si="284"/>
        <v/>
      </c>
      <c r="AF159" s="83">
        <f>BU159+SCENARIU!$C$29+SCENARIU!$D$29+'AJUSTĂRI PE PRODUS'!$I$187+'AJUSTĂRI PE PRODUS'!$N$187</f>
        <v>3.5</v>
      </c>
      <c r="AG159" s="83"/>
      <c r="AH159" s="86">
        <f t="shared" si="285"/>
        <v>78.828828828828819</v>
      </c>
      <c r="AI159" s="86">
        <f t="shared" si="286"/>
        <v>0</v>
      </c>
      <c r="AJ159" s="86">
        <f t="shared" si="287"/>
        <v>78.828828828828819</v>
      </c>
      <c r="AK159" s="87">
        <f t="shared" si="288"/>
        <v>0.20640662485714287</v>
      </c>
      <c r="AL159" s="87">
        <f t="shared" si="289"/>
        <v>0.20640662485714287</v>
      </c>
      <c r="AM159" s="87" t="str">
        <f t="shared" si="290"/>
        <v/>
      </c>
      <c r="AN159" s="83">
        <f>BW159+SCENARIU!$C$29+SCENARIU!$D$29+SCENARIU!$E$29+'AJUSTĂRI PE PRODUS'!$I$187+'AJUSTĂRI PE PRODUS'!$N$187+'AJUSTĂRI PE PRODUS'!$S$187</f>
        <v>3.5</v>
      </c>
      <c r="AO159" s="83"/>
      <c r="AP159" s="88">
        <f t="shared" si="291"/>
        <v>78.828828828828819</v>
      </c>
      <c r="AQ159" s="88">
        <f t="shared" si="292"/>
        <v>0</v>
      </c>
      <c r="AR159" s="88">
        <f t="shared" si="293"/>
        <v>78.828828828828819</v>
      </c>
      <c r="AS159" s="89">
        <f t="shared" si="294"/>
        <v>0.20640662485714287</v>
      </c>
      <c r="AT159" s="89">
        <f t="shared" si="295"/>
        <v>0.20640662485714287</v>
      </c>
      <c r="AU159" s="89" t="str">
        <f t="shared" si="296"/>
        <v/>
      </c>
      <c r="AV159" s="83">
        <f>BY159+SCENARIU!$C$29+SCENARIU!$D$29+SCENARIU!$E$29+SCENARIU!$F$29+'AJUSTĂRI PE PRODUS'!$I$187+'AJUSTĂRI PE PRODUS'!$N$187+'AJUSTĂRI PE PRODUS'!$S$187+'AJUSTĂRI PE PRODUS'!$X$187</f>
        <v>3.5</v>
      </c>
      <c r="AW159" s="83"/>
      <c r="AX159" s="90">
        <f t="shared" si="297"/>
        <v>78.828828828828819</v>
      </c>
      <c r="AY159" s="90">
        <f t="shared" si="298"/>
        <v>0</v>
      </c>
      <c r="AZ159" s="90">
        <f t="shared" si="299"/>
        <v>78.828828828828819</v>
      </c>
      <c r="BA159" s="91">
        <f t="shared" si="300"/>
        <v>0.20640662485714287</v>
      </c>
      <c r="BB159" s="91">
        <f t="shared" si="301"/>
        <v>0.20640662485714287</v>
      </c>
      <c r="BC159" s="91" t="str">
        <f t="shared" si="302"/>
        <v/>
      </c>
      <c r="BD159" s="92">
        <f t="shared" si="303"/>
        <v>0</v>
      </c>
      <c r="BE159" s="92">
        <f t="shared" si="304"/>
        <v>0</v>
      </c>
      <c r="BF159" s="92">
        <f t="shared" si="305"/>
        <v>0</v>
      </c>
      <c r="BG159" s="92">
        <f t="shared" si="306"/>
        <v>0</v>
      </c>
      <c r="BH159" s="92">
        <f t="shared" si="307"/>
        <v>0</v>
      </c>
      <c r="BI159" s="93">
        <f t="shared" si="308"/>
        <v>0</v>
      </c>
      <c r="BJ159" s="92" t="str">
        <f t="shared" si="309"/>
        <v/>
      </c>
      <c r="BK159" s="92" t="str">
        <f t="shared" si="310"/>
        <v/>
      </c>
      <c r="BL159" s="92" t="str">
        <f t="shared" si="311"/>
        <v/>
      </c>
      <c r="BM159" s="92" t="str">
        <f t="shared" si="312"/>
        <v/>
      </c>
      <c r="BN159" s="92" t="str">
        <f t="shared" si="313"/>
        <v/>
      </c>
      <c r="BO159" s="93" t="str">
        <f t="shared" si="314"/>
        <v/>
      </c>
      <c r="BQ159">
        <v>3.5</v>
      </c>
      <c r="BS159">
        <v>3.5</v>
      </c>
      <c r="BU159">
        <v>3.5</v>
      </c>
      <c r="BW159">
        <v>3.5</v>
      </c>
      <c r="BY159">
        <v>3.5</v>
      </c>
    </row>
    <row r="160" spans="1:78" x14ac:dyDescent="0.2">
      <c r="A160" s="26">
        <v>33</v>
      </c>
      <c r="B160" s="26" t="s">
        <v>333</v>
      </c>
      <c r="C160" s="26" t="s">
        <v>104</v>
      </c>
      <c r="D160" s="74">
        <v>1</v>
      </c>
      <c r="E160" s="75">
        <v>11</v>
      </c>
      <c r="F160" s="76">
        <v>8</v>
      </c>
      <c r="G160" s="76">
        <v>0</v>
      </c>
      <c r="H160" s="77">
        <f>SUMIFS(RETETAR!$I$4:$I$967,RETETAR!$A$4:$A$967,$M160,RETETAR!$C$4:$C$967,"AMBELE")+SUMIFS(RETETAR!$I$4:$I$967,RETETAR!$A$4:$A$967,$M160,RETETAR!$C$4:$C$967,"INSTORE")</f>
        <v>0.61350800000000005</v>
      </c>
      <c r="I160" s="77">
        <f>SUMIFS(RETETAR!$I$4:$I$967,RETETAR!$A$4:$A$967,$M160,RETETAR!$C$4:$C$967,"AMBELE")+SUMIFS(RETETAR!$I$4:$I$967,RETETAR!$A$4:$A$967,$M160,RETETAR!$C$4:$C$967,"DELIVERY")</f>
        <v>0</v>
      </c>
      <c r="J160" s="78">
        <f t="shared" si="270"/>
        <v>4.9080640000000004</v>
      </c>
      <c r="K160" s="78">
        <f t="shared" si="271"/>
        <v>0</v>
      </c>
      <c r="L160" s="78">
        <f t="shared" si="272"/>
        <v>4.9080640000000004</v>
      </c>
      <c r="M160" t="s">
        <v>333</v>
      </c>
      <c r="N160" s="79">
        <v>3.5</v>
      </c>
      <c r="O160" s="79"/>
      <c r="P160" s="80">
        <v>3.5</v>
      </c>
      <c r="Q160" s="80"/>
      <c r="R160" s="81">
        <f t="shared" si="273"/>
        <v>25.225225225225223</v>
      </c>
      <c r="S160" s="81">
        <f t="shared" si="274"/>
        <v>0</v>
      </c>
      <c r="T160" s="81">
        <f t="shared" si="275"/>
        <v>25.225225225225223</v>
      </c>
      <c r="U160" s="82">
        <f t="shared" si="276"/>
        <v>0.19456968000000002</v>
      </c>
      <c r="V160" s="82">
        <f t="shared" si="277"/>
        <v>0.19456968000000002</v>
      </c>
      <c r="W160" s="82" t="str">
        <f t="shared" si="278"/>
        <v/>
      </c>
      <c r="X160" s="83">
        <f>BS160+SCENARIU!$C$29+'AJUSTĂRI PE PRODUS'!$I$193</f>
        <v>3.5</v>
      </c>
      <c r="Y160" s="83"/>
      <c r="Z160" s="84">
        <f t="shared" si="279"/>
        <v>25.225225225225223</v>
      </c>
      <c r="AA160" s="84">
        <f t="shared" si="280"/>
        <v>0</v>
      </c>
      <c r="AB160" s="84">
        <f t="shared" si="281"/>
        <v>25.225225225225223</v>
      </c>
      <c r="AC160" s="85">
        <f t="shared" si="282"/>
        <v>0.19456968000000002</v>
      </c>
      <c r="AD160" s="85">
        <f t="shared" si="283"/>
        <v>0.19456968000000002</v>
      </c>
      <c r="AE160" s="85" t="str">
        <f t="shared" si="284"/>
        <v/>
      </c>
      <c r="AF160" s="83">
        <f>BU160+SCENARIU!$C$29+SCENARIU!$D$29+'AJUSTĂRI PE PRODUS'!$I$193+'AJUSTĂRI PE PRODUS'!$N$193</f>
        <v>3.5</v>
      </c>
      <c r="AG160" s="83"/>
      <c r="AH160" s="86">
        <f t="shared" si="285"/>
        <v>25.225225225225223</v>
      </c>
      <c r="AI160" s="86">
        <f t="shared" si="286"/>
        <v>0</v>
      </c>
      <c r="AJ160" s="86">
        <f t="shared" si="287"/>
        <v>25.225225225225223</v>
      </c>
      <c r="AK160" s="87">
        <f t="shared" si="288"/>
        <v>0.19456968000000002</v>
      </c>
      <c r="AL160" s="87">
        <f t="shared" si="289"/>
        <v>0.19456968000000002</v>
      </c>
      <c r="AM160" s="87" t="str">
        <f t="shared" si="290"/>
        <v/>
      </c>
      <c r="AN160" s="83">
        <f>BW160+SCENARIU!$C$29+SCENARIU!$D$29+SCENARIU!$E$29+'AJUSTĂRI PE PRODUS'!$I$193+'AJUSTĂRI PE PRODUS'!$N$193+'AJUSTĂRI PE PRODUS'!$S$193</f>
        <v>3.5</v>
      </c>
      <c r="AO160" s="83"/>
      <c r="AP160" s="88">
        <f t="shared" si="291"/>
        <v>25.225225225225223</v>
      </c>
      <c r="AQ160" s="88">
        <f t="shared" si="292"/>
        <v>0</v>
      </c>
      <c r="AR160" s="88">
        <f t="shared" si="293"/>
        <v>25.225225225225223</v>
      </c>
      <c r="AS160" s="89">
        <f t="shared" si="294"/>
        <v>0.19456968000000002</v>
      </c>
      <c r="AT160" s="89">
        <f t="shared" si="295"/>
        <v>0.19456968000000002</v>
      </c>
      <c r="AU160" s="89" t="str">
        <f t="shared" si="296"/>
        <v/>
      </c>
      <c r="AV160" s="83">
        <f>BY160+SCENARIU!$C$29+SCENARIU!$D$29+SCENARIU!$E$29+SCENARIU!$F$29+'AJUSTĂRI PE PRODUS'!$I$193+'AJUSTĂRI PE PRODUS'!$N$193+'AJUSTĂRI PE PRODUS'!$S$193+'AJUSTĂRI PE PRODUS'!$X$193</f>
        <v>3.5</v>
      </c>
      <c r="AW160" s="83"/>
      <c r="AX160" s="90">
        <f t="shared" si="297"/>
        <v>25.225225225225223</v>
      </c>
      <c r="AY160" s="90">
        <f t="shared" si="298"/>
        <v>0</v>
      </c>
      <c r="AZ160" s="90">
        <f t="shared" si="299"/>
        <v>25.225225225225223</v>
      </c>
      <c r="BA160" s="91">
        <f t="shared" si="300"/>
        <v>0.19456968000000002</v>
      </c>
      <c r="BB160" s="91">
        <f t="shared" si="301"/>
        <v>0.19456968000000002</v>
      </c>
      <c r="BC160" s="91" t="str">
        <f t="shared" si="302"/>
        <v/>
      </c>
      <c r="BD160" s="92">
        <f t="shared" si="303"/>
        <v>0</v>
      </c>
      <c r="BE160" s="92">
        <f t="shared" si="304"/>
        <v>0</v>
      </c>
      <c r="BF160" s="92">
        <f t="shared" si="305"/>
        <v>0</v>
      </c>
      <c r="BG160" s="92">
        <f t="shared" si="306"/>
        <v>0</v>
      </c>
      <c r="BH160" s="92">
        <f t="shared" si="307"/>
        <v>0</v>
      </c>
      <c r="BI160" s="93">
        <f t="shared" si="308"/>
        <v>0</v>
      </c>
      <c r="BJ160" s="92" t="str">
        <f t="shared" si="309"/>
        <v/>
      </c>
      <c r="BK160" s="92" t="str">
        <f t="shared" si="310"/>
        <v/>
      </c>
      <c r="BL160" s="92" t="str">
        <f t="shared" si="311"/>
        <v/>
      </c>
      <c r="BM160" s="92" t="str">
        <f t="shared" si="312"/>
        <v/>
      </c>
      <c r="BN160" s="92" t="str">
        <f t="shared" si="313"/>
        <v/>
      </c>
      <c r="BO160" s="93" t="str">
        <f t="shared" si="314"/>
        <v/>
      </c>
      <c r="BQ160">
        <v>3.5</v>
      </c>
      <c r="BS160">
        <v>3.5</v>
      </c>
      <c r="BU160">
        <v>3.5</v>
      </c>
      <c r="BW160">
        <v>3.5</v>
      </c>
      <c r="BY160">
        <v>3.5</v>
      </c>
    </row>
    <row r="161" spans="1:78" x14ac:dyDescent="0.2">
      <c r="A161" s="26">
        <v>34</v>
      </c>
      <c r="B161" s="26" t="s">
        <v>336</v>
      </c>
      <c r="C161" s="26" t="s">
        <v>104</v>
      </c>
      <c r="D161" s="74">
        <v>1</v>
      </c>
      <c r="E161" s="75">
        <v>11</v>
      </c>
      <c r="F161" s="76">
        <v>3</v>
      </c>
      <c r="G161" s="76">
        <v>0</v>
      </c>
      <c r="H161" s="77">
        <f>SUMIFS(RETETAR!$I$4:$I$967,RETETAR!$A$4:$A$967,$M161,RETETAR!$C$4:$C$967,"AMBELE")+SUMIFS(RETETAR!$I$4:$I$967,RETETAR!$A$4:$A$967,$M161,RETETAR!$C$4:$C$967,"INSTORE")</f>
        <v>0.62573600000000007</v>
      </c>
      <c r="I161" s="77">
        <f>SUMIFS(RETETAR!$I$4:$I$967,RETETAR!$A$4:$A$967,$M161,RETETAR!$C$4:$C$967,"AMBELE")+SUMIFS(RETETAR!$I$4:$I$967,RETETAR!$A$4:$A$967,$M161,RETETAR!$C$4:$C$967,"DELIVERY")</f>
        <v>0</v>
      </c>
      <c r="J161" s="78">
        <f t="shared" si="270"/>
        <v>1.8772080000000002</v>
      </c>
      <c r="K161" s="78">
        <f t="shared" si="271"/>
        <v>0</v>
      </c>
      <c r="L161" s="78">
        <f t="shared" si="272"/>
        <v>1.8772080000000002</v>
      </c>
      <c r="M161" t="s">
        <v>336</v>
      </c>
      <c r="N161" s="79">
        <v>3.5</v>
      </c>
      <c r="O161" s="79"/>
      <c r="P161" s="80">
        <v>3.5</v>
      </c>
      <c r="Q161" s="80"/>
      <c r="R161" s="81">
        <f t="shared" si="273"/>
        <v>9.4594594594594597</v>
      </c>
      <c r="S161" s="81">
        <f t="shared" si="274"/>
        <v>0</v>
      </c>
      <c r="T161" s="81">
        <f t="shared" si="275"/>
        <v>9.4594594594594597</v>
      </c>
      <c r="U161" s="82">
        <f t="shared" si="276"/>
        <v>0.19844770285714289</v>
      </c>
      <c r="V161" s="82">
        <f t="shared" si="277"/>
        <v>0.19844770285714289</v>
      </c>
      <c r="W161" s="82" t="str">
        <f t="shared" si="278"/>
        <v/>
      </c>
      <c r="X161" s="83">
        <f>BS161+SCENARIU!$C$29+'AJUSTĂRI PE PRODUS'!$I$196</f>
        <v>3.5</v>
      </c>
      <c r="Y161" s="83"/>
      <c r="Z161" s="84">
        <f t="shared" si="279"/>
        <v>9.4594594594594597</v>
      </c>
      <c r="AA161" s="84">
        <f t="shared" si="280"/>
        <v>0</v>
      </c>
      <c r="AB161" s="84">
        <f t="shared" si="281"/>
        <v>9.4594594594594597</v>
      </c>
      <c r="AC161" s="85">
        <f t="shared" si="282"/>
        <v>0.19844770285714289</v>
      </c>
      <c r="AD161" s="85">
        <f t="shared" si="283"/>
        <v>0.19844770285714289</v>
      </c>
      <c r="AE161" s="85" t="str">
        <f t="shared" si="284"/>
        <v/>
      </c>
      <c r="AF161" s="83">
        <f>BU161+SCENARIU!$C$29+SCENARIU!$D$29+'AJUSTĂRI PE PRODUS'!$I$196+'AJUSTĂRI PE PRODUS'!$N$196</f>
        <v>3.5</v>
      </c>
      <c r="AG161" s="83"/>
      <c r="AH161" s="86">
        <f t="shared" si="285"/>
        <v>9.4594594594594597</v>
      </c>
      <c r="AI161" s="86">
        <f t="shared" si="286"/>
        <v>0</v>
      </c>
      <c r="AJ161" s="86">
        <f t="shared" si="287"/>
        <v>9.4594594594594597</v>
      </c>
      <c r="AK161" s="87">
        <f t="shared" si="288"/>
        <v>0.19844770285714289</v>
      </c>
      <c r="AL161" s="87">
        <f t="shared" si="289"/>
        <v>0.19844770285714289</v>
      </c>
      <c r="AM161" s="87" t="str">
        <f t="shared" si="290"/>
        <v/>
      </c>
      <c r="AN161" s="83">
        <f>BW161+SCENARIU!$C$29+SCENARIU!$D$29+SCENARIU!$E$29+'AJUSTĂRI PE PRODUS'!$I$196+'AJUSTĂRI PE PRODUS'!$N$196+'AJUSTĂRI PE PRODUS'!$S$196</f>
        <v>3.5</v>
      </c>
      <c r="AO161" s="83"/>
      <c r="AP161" s="88">
        <f t="shared" si="291"/>
        <v>9.4594594594594597</v>
      </c>
      <c r="AQ161" s="88">
        <f t="shared" si="292"/>
        <v>0</v>
      </c>
      <c r="AR161" s="88">
        <f t="shared" si="293"/>
        <v>9.4594594594594597</v>
      </c>
      <c r="AS161" s="89">
        <f t="shared" si="294"/>
        <v>0.19844770285714289</v>
      </c>
      <c r="AT161" s="89">
        <f t="shared" si="295"/>
        <v>0.19844770285714289</v>
      </c>
      <c r="AU161" s="89" t="str">
        <f t="shared" si="296"/>
        <v/>
      </c>
      <c r="AV161" s="83">
        <f>BY161+SCENARIU!$C$29+SCENARIU!$D$29+SCENARIU!$E$29+SCENARIU!$F$29+'AJUSTĂRI PE PRODUS'!$I$196+'AJUSTĂRI PE PRODUS'!$N$196+'AJUSTĂRI PE PRODUS'!$S$196+'AJUSTĂRI PE PRODUS'!$X$196</f>
        <v>3.5</v>
      </c>
      <c r="AW161" s="83"/>
      <c r="AX161" s="90">
        <f t="shared" si="297"/>
        <v>9.4594594594594597</v>
      </c>
      <c r="AY161" s="90">
        <f t="shared" si="298"/>
        <v>0</v>
      </c>
      <c r="AZ161" s="90">
        <f t="shared" si="299"/>
        <v>9.4594594594594597</v>
      </c>
      <c r="BA161" s="91">
        <f t="shared" si="300"/>
        <v>0.19844770285714289</v>
      </c>
      <c r="BB161" s="91">
        <f t="shared" si="301"/>
        <v>0.19844770285714289</v>
      </c>
      <c r="BC161" s="91" t="str">
        <f t="shared" si="302"/>
        <v/>
      </c>
      <c r="BD161" s="92">
        <f t="shared" si="303"/>
        <v>0</v>
      </c>
      <c r="BE161" s="92">
        <f t="shared" si="304"/>
        <v>0</v>
      </c>
      <c r="BF161" s="92">
        <f t="shared" si="305"/>
        <v>0</v>
      </c>
      <c r="BG161" s="92">
        <f t="shared" si="306"/>
        <v>0</v>
      </c>
      <c r="BH161" s="92">
        <f t="shared" si="307"/>
        <v>0</v>
      </c>
      <c r="BI161" s="93">
        <f t="shared" si="308"/>
        <v>0</v>
      </c>
      <c r="BJ161" s="92" t="str">
        <f t="shared" si="309"/>
        <v/>
      </c>
      <c r="BK161" s="92" t="str">
        <f t="shared" si="310"/>
        <v/>
      </c>
      <c r="BL161" s="92" t="str">
        <f t="shared" si="311"/>
        <v/>
      </c>
      <c r="BM161" s="92" t="str">
        <f t="shared" si="312"/>
        <v/>
      </c>
      <c r="BN161" s="92" t="str">
        <f t="shared" si="313"/>
        <v/>
      </c>
      <c r="BO161" s="93" t="str">
        <f t="shared" si="314"/>
        <v/>
      </c>
      <c r="BQ161">
        <v>3.5</v>
      </c>
      <c r="BS161">
        <v>3.5</v>
      </c>
      <c r="BU161">
        <v>3.5</v>
      </c>
      <c r="BW161">
        <v>3.5</v>
      </c>
      <c r="BY161">
        <v>3.5</v>
      </c>
    </row>
    <row r="162" spans="1:78" x14ac:dyDescent="0.2">
      <c r="A162" s="94" t="s">
        <v>441</v>
      </c>
      <c r="B162" s="95"/>
      <c r="C162" s="95"/>
      <c r="D162" s="95"/>
      <c r="E162" s="95"/>
      <c r="F162" s="95"/>
      <c r="G162" s="95"/>
      <c r="H162" s="95"/>
      <c r="I162" s="95"/>
      <c r="J162" s="95"/>
      <c r="K162" s="95"/>
      <c r="L162" s="96">
        <f>SUM(L128:L161)</f>
        <v>23561.386222653997</v>
      </c>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5"/>
      <c r="AS162" s="95"/>
      <c r="AT162" s="95"/>
      <c r="AU162" s="95"/>
      <c r="AV162" s="95"/>
      <c r="AW162" s="95"/>
      <c r="AX162" s="95"/>
      <c r="AY162" s="95"/>
      <c r="AZ162" s="95"/>
      <c r="BA162" s="95"/>
      <c r="BB162" s="95"/>
      <c r="BC162" s="95"/>
      <c r="BD162" s="95"/>
      <c r="BE162" s="95"/>
      <c r="BF162" s="95"/>
      <c r="BG162" s="95"/>
      <c r="BH162" s="95"/>
      <c r="BI162" s="95"/>
      <c r="BJ162" s="95"/>
      <c r="BK162" s="95"/>
      <c r="BL162" s="95"/>
      <c r="BM162" s="95"/>
      <c r="BN162" s="95"/>
      <c r="BO162" s="95"/>
    </row>
    <row r="163" spans="1:78" x14ac:dyDescent="0.2">
      <c r="A163" s="72" t="s">
        <v>105</v>
      </c>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row>
    <row r="164" spans="1:78" x14ac:dyDescent="0.2">
      <c r="A164" s="26">
        <v>1</v>
      </c>
      <c r="B164" s="26" t="s">
        <v>187</v>
      </c>
      <c r="C164" s="26" t="s">
        <v>105</v>
      </c>
      <c r="D164" s="74">
        <v>1</v>
      </c>
      <c r="E164" s="75">
        <v>11</v>
      </c>
      <c r="F164" s="76">
        <v>1104</v>
      </c>
      <c r="G164" s="76">
        <v>643</v>
      </c>
      <c r="H164" s="77">
        <f>SUMIFS(RETETAR!$I$4:$I$967,RETETAR!$A$4:$A$967,$M164,RETETAR!$C$4:$C$967,"AMBELE")+SUMIFS(RETETAR!$I$4:$I$967,RETETAR!$A$4:$A$967,$M164,RETETAR!$C$4:$C$967,"INSTORE")</f>
        <v>5.9517059999999997</v>
      </c>
      <c r="I164" s="77">
        <f>SUMIFS(RETETAR!$I$4:$I$967,RETETAR!$A$4:$A$967,$M164,RETETAR!$C$4:$C$967,"AMBELE")+SUMIFS(RETETAR!$I$4:$I$967,RETETAR!$A$4:$A$967,$M164,RETETAR!$C$4:$C$967,"DELIVERY")</f>
        <v>5.9517059999999997</v>
      </c>
      <c r="J164" s="78">
        <f t="shared" ref="J164:J196" si="315">$H164*$F164</f>
        <v>6570.6834239999998</v>
      </c>
      <c r="K164" s="78">
        <f t="shared" ref="K164:K196" si="316">$I164*$G164</f>
        <v>3826.946958</v>
      </c>
      <c r="L164" s="78">
        <f t="shared" ref="L164:L196" si="317">$J164+$K164</f>
        <v>10397.630381999999</v>
      </c>
      <c r="M164" t="s">
        <v>187</v>
      </c>
      <c r="N164" s="79">
        <v>15</v>
      </c>
      <c r="O164" s="79">
        <v>15</v>
      </c>
      <c r="P164" s="80">
        <v>15</v>
      </c>
      <c r="Q164" s="80">
        <v>15</v>
      </c>
      <c r="R164" s="81">
        <f t="shared" ref="R164:R196" si="318">IF(P164="",0,P164/(1+$E164/100)*$F164)</f>
        <v>14918.918918918918</v>
      </c>
      <c r="S164" s="81">
        <f t="shared" ref="S164:S196" si="319">IF(Q164="",0,Q164/(1+$E164/100)*$G164)</f>
        <v>8689.1891891891883</v>
      </c>
      <c r="T164" s="81">
        <f t="shared" ref="T164:T196" si="320">R164+S164</f>
        <v>23608.108108108107</v>
      </c>
      <c r="U164" s="82">
        <f t="shared" ref="U164:U196" si="321">IF(OR(T164=0,$L164=0),"",$L164/T164)</f>
        <v>0.44042624400000002</v>
      </c>
      <c r="V164" s="82">
        <f t="shared" ref="V164:V196" si="322">IF(OR(R164=0,$J164=0),"",$J164/R164)</f>
        <v>0.44042624400000002</v>
      </c>
      <c r="W164" s="82">
        <f t="shared" ref="W164:W196" si="323">IF(OR(S164=0,$K164=0),"",$K164/S164)</f>
        <v>0.44042624400000002</v>
      </c>
      <c r="X164" s="83">
        <f>BS164+SCENARIU!$C$30+'AJUSTĂRI PE PRODUS'!$I$51</f>
        <v>15</v>
      </c>
      <c r="Y164" s="83">
        <f>BT164+SCENARIU!$C$30+'AJUSTĂRI PE PRODUS'!$J$51</f>
        <v>15</v>
      </c>
      <c r="Z164" s="84">
        <f t="shared" ref="Z164:Z196" si="324">IF(X164="",0,X164/(1+$E164/100)*$F164)</f>
        <v>14918.918918918918</v>
      </c>
      <c r="AA164" s="84">
        <f t="shared" ref="AA164:AA196" si="325">IF(Y164="",0,Y164/(1+$E164/100)*$G164)</f>
        <v>8689.1891891891883</v>
      </c>
      <c r="AB164" s="84">
        <f t="shared" ref="AB164:AB196" si="326">Z164+AA164</f>
        <v>23608.108108108107</v>
      </c>
      <c r="AC164" s="85">
        <f t="shared" ref="AC164:AC196" si="327">IF(OR(AB164=0,$L164=0),"",$L164/AB164)</f>
        <v>0.44042624400000002</v>
      </c>
      <c r="AD164" s="85">
        <f t="shared" ref="AD164:AD196" si="328">IF(OR(Z164=0,$J164=0),"",$J164/Z164)</f>
        <v>0.44042624400000002</v>
      </c>
      <c r="AE164" s="85">
        <f t="shared" ref="AE164:AE196" si="329">IF(OR(AA164=0,$K164=0),"",$K164/AA164)</f>
        <v>0.44042624400000002</v>
      </c>
      <c r="AF164" s="83">
        <f>BU164+SCENARIU!$C$30+SCENARIU!$D$30+'AJUSTĂRI PE PRODUS'!$I$51+'AJUSTĂRI PE PRODUS'!$N$51</f>
        <v>15.49</v>
      </c>
      <c r="AG164" s="83">
        <f>BV164+SCENARIU!$C$30+SCENARIU!$D$30+'AJUSTĂRI PE PRODUS'!$J$51+'AJUSTĂRI PE PRODUS'!$O$51</f>
        <v>15.49</v>
      </c>
      <c r="AH164" s="86">
        <f t="shared" ref="AH164:AH196" si="330">IF(AF164="",0,AF164/(1+$E164/100)*$F164)</f>
        <v>15406.270270270268</v>
      </c>
      <c r="AI164" s="86">
        <f t="shared" ref="AI164:AI196" si="331">IF(AG164="",0,AG164/(1+$E164/100)*$G164)</f>
        <v>8973.0360360360355</v>
      </c>
      <c r="AJ164" s="86">
        <f t="shared" ref="AJ164:AJ196" si="332">AH164+AI164</f>
        <v>24379.306306306302</v>
      </c>
      <c r="AK164" s="87">
        <f t="shared" ref="AK164:AK196" si="333">IF(OR(AJ164=0,$L164=0),"",$L164/AJ164)</f>
        <v>0.4264941032924468</v>
      </c>
      <c r="AL164" s="87">
        <f t="shared" ref="AL164:AL196" si="334">IF(OR(AH164=0,$J164=0),"",$J164/AH164)</f>
        <v>0.4264941032924468</v>
      </c>
      <c r="AM164" s="87">
        <f t="shared" ref="AM164:AM196" si="335">IF(OR(AI164=0,$K164=0),"",$K164/AI164)</f>
        <v>0.42649410329244675</v>
      </c>
      <c r="AN164" s="83">
        <f>BW164+SCENARIU!$C$30+SCENARIU!$D$30+SCENARIU!$E$30+'AJUSTĂRI PE PRODUS'!$I$51+'AJUSTĂRI PE PRODUS'!$N$51+'AJUSTĂRI PE PRODUS'!$S$51</f>
        <v>15.99</v>
      </c>
      <c r="AO164" s="83">
        <f>BX164+SCENARIU!$C$30+SCENARIU!$D$30+SCENARIU!$E$30+'AJUSTĂRI PE PRODUS'!$J$51+'AJUSTĂRI PE PRODUS'!$O$51+'AJUSTĂRI PE PRODUS'!$T$51</f>
        <v>15.99</v>
      </c>
      <c r="AP164" s="88">
        <f t="shared" ref="AP164:AP196" si="336">IF(AN164="",0,AN164/(1+$E164/100)*$F164)</f>
        <v>15903.567567567565</v>
      </c>
      <c r="AQ164" s="88">
        <f t="shared" ref="AQ164:AQ196" si="337">IF(AO164="",0,AO164/(1+$E164/100)*$G164)</f>
        <v>9262.6756756756749</v>
      </c>
      <c r="AR164" s="88">
        <f t="shared" ref="AR164:AR196" si="338">AP164+AQ164</f>
        <v>25166.24324324324</v>
      </c>
      <c r="AS164" s="89">
        <f t="shared" ref="AS164:AS196" si="339">IF(OR(AR164=0,$L164=0),"",$L164/AR164)</f>
        <v>0.41315782739212009</v>
      </c>
      <c r="AT164" s="89">
        <f t="shared" ref="AT164:AT196" si="340">IF(OR(AP164=0,$J164=0),"",$J164/AP164)</f>
        <v>0.41315782739212015</v>
      </c>
      <c r="AU164" s="89">
        <f t="shared" ref="AU164:AU196" si="341">IF(OR(AQ164=0,$K164=0),"",$K164/AQ164)</f>
        <v>0.41315782739212009</v>
      </c>
      <c r="AV164" s="83">
        <f>BY164+SCENARIU!$C$30+SCENARIU!$D$30+SCENARIU!$E$30+SCENARIU!$F$30+'AJUSTĂRI PE PRODUS'!$I$51+'AJUSTĂRI PE PRODUS'!$N$51+'AJUSTĂRI PE PRODUS'!$S$51+'AJUSTĂRI PE PRODUS'!$X$51</f>
        <v>15.99</v>
      </c>
      <c r="AW164" s="83">
        <f>BZ164+SCENARIU!$C$30+SCENARIU!$D$30+SCENARIU!$E$30+SCENARIU!$F$30+'AJUSTĂRI PE PRODUS'!$J$51+'AJUSTĂRI PE PRODUS'!$O$51+'AJUSTĂRI PE PRODUS'!$T$51+'AJUSTĂRI PE PRODUS'!$Y$51</f>
        <v>15.99</v>
      </c>
      <c r="AX164" s="90">
        <f t="shared" ref="AX164:AX196" si="342">IF(AV164="",0,AV164/(1+$E164/100)*$F164)</f>
        <v>15903.567567567565</v>
      </c>
      <c r="AY164" s="90">
        <f t="shared" ref="AY164:AY196" si="343">IF(AW164="",0,AW164/(1+$E164/100)*$G164)</f>
        <v>9262.6756756756749</v>
      </c>
      <c r="AZ164" s="90">
        <f t="shared" ref="AZ164:AZ196" si="344">AX164+AY164</f>
        <v>25166.24324324324</v>
      </c>
      <c r="BA164" s="91">
        <f t="shared" ref="BA164:BA196" si="345">IF(OR(AZ164=0,$L164=0),"",$L164/AZ164)</f>
        <v>0.41315782739212009</v>
      </c>
      <c r="BB164" s="91">
        <f t="shared" ref="BB164:BB196" si="346">IF(OR(AX164=0,$J164=0),"",$J164/AX164)</f>
        <v>0.41315782739212015</v>
      </c>
      <c r="BC164" s="91">
        <f t="shared" ref="BC164:BC196" si="347">IF(OR(AY164=0,$K164=0),"",$K164/AY164)</f>
        <v>0.41315782739212009</v>
      </c>
      <c r="BD164" s="92">
        <f t="shared" ref="BD164:BD196" si="348">IF(OR($N164="",P164=""),"",P164-$N164)</f>
        <v>0</v>
      </c>
      <c r="BE164" s="92">
        <f t="shared" ref="BE164:BE196" si="349">IF(OR(P164="",X164=""),"",X164-P164)</f>
        <v>0</v>
      </c>
      <c r="BF164" s="92">
        <f t="shared" ref="BF164:BF196" si="350">IF(OR(X164="",AF164=""),"",AF164-X164)</f>
        <v>0.49000000000000021</v>
      </c>
      <c r="BG164" s="92">
        <f t="shared" ref="BG164:BG196" si="351">IF(OR(AF164="",AN164=""),"",AN164-AF164)</f>
        <v>0.5</v>
      </c>
      <c r="BH164" s="92">
        <f t="shared" ref="BH164:BH196" si="352">IF(OR(AN164="",AV164=""),"",AV164-AN164)</f>
        <v>0</v>
      </c>
      <c r="BI164" s="93">
        <f t="shared" ref="BI164:BI196" si="353">IF(OR($N164="",AV164=""),"",AV164-$N164)</f>
        <v>0.99000000000000021</v>
      </c>
      <c r="BJ164" s="92">
        <f t="shared" ref="BJ164:BJ196" si="354">IF(OR($O164="",Q164=""),"",Q164-$O164)</f>
        <v>0</v>
      </c>
      <c r="BK164" s="92">
        <f t="shared" ref="BK164:BK196" si="355">IF(OR(Q164="",Y164=""),"",Y164-Q164)</f>
        <v>0</v>
      </c>
      <c r="BL164" s="92">
        <f t="shared" ref="BL164:BL196" si="356">IF(OR(Y164="",AG164=""),"",AG164-Y164)</f>
        <v>0.49000000000000021</v>
      </c>
      <c r="BM164" s="92">
        <f t="shared" ref="BM164:BM196" si="357">IF(OR(AG164="",AO164=""),"",AO164-AG164)</f>
        <v>0.5</v>
      </c>
      <c r="BN164" s="92">
        <f t="shared" ref="BN164:BN196" si="358">IF(OR(AO164="",AW164=""),"",AW164-AO164)</f>
        <v>0</v>
      </c>
      <c r="BO164" s="93">
        <f t="shared" ref="BO164:BO196" si="359">IF(OR($O164="",AW164=""),"",AW164-$O164)</f>
        <v>0.99000000000000021</v>
      </c>
      <c r="BQ164">
        <v>15</v>
      </c>
      <c r="BR164">
        <v>15</v>
      </c>
      <c r="BS164">
        <v>15</v>
      </c>
      <c r="BT164">
        <v>15</v>
      </c>
      <c r="BU164">
        <v>15.49</v>
      </c>
      <c r="BV164">
        <v>15.49</v>
      </c>
      <c r="BW164">
        <v>15.99</v>
      </c>
      <c r="BX164">
        <v>15.99</v>
      </c>
      <c r="BY164">
        <v>15.99</v>
      </c>
      <c r="BZ164">
        <v>15.99</v>
      </c>
    </row>
    <row r="165" spans="1:78" x14ac:dyDescent="0.2">
      <c r="A165" s="26">
        <v>2</v>
      </c>
      <c r="B165" s="26" t="s">
        <v>191</v>
      </c>
      <c r="C165" s="26" t="s">
        <v>105</v>
      </c>
      <c r="D165" s="74">
        <v>1</v>
      </c>
      <c r="E165" s="75">
        <v>11</v>
      </c>
      <c r="F165" s="76">
        <v>1282</v>
      </c>
      <c r="G165" s="76">
        <v>478</v>
      </c>
      <c r="H165" s="77">
        <f>SUMIFS(RETETAR!$I$4:$I$967,RETETAR!$A$4:$A$967,$M165,RETETAR!$C$4:$C$967,"AMBELE")+SUMIFS(RETETAR!$I$4:$I$967,RETETAR!$A$4:$A$967,$M165,RETETAR!$C$4:$C$967,"INSTORE")</f>
        <v>4.0885889999999998</v>
      </c>
      <c r="I165" s="77">
        <f>SUMIFS(RETETAR!$I$4:$I$967,RETETAR!$A$4:$A$967,$M165,RETETAR!$C$4:$C$967,"AMBELE")+SUMIFS(RETETAR!$I$4:$I$967,RETETAR!$A$4:$A$967,$M165,RETETAR!$C$4:$C$967,"DELIVERY")</f>
        <v>6.2315889999999996</v>
      </c>
      <c r="J165" s="78">
        <f t="shared" si="315"/>
        <v>5241.5710979999994</v>
      </c>
      <c r="K165" s="78">
        <f t="shared" si="316"/>
        <v>2978.6995419999998</v>
      </c>
      <c r="L165" s="78">
        <f t="shared" si="317"/>
        <v>8220.2706399999988</v>
      </c>
      <c r="M165" t="s">
        <v>191</v>
      </c>
      <c r="N165" s="79">
        <v>12</v>
      </c>
      <c r="O165" s="79">
        <v>14</v>
      </c>
      <c r="P165" s="80">
        <v>12</v>
      </c>
      <c r="Q165" s="80">
        <v>14</v>
      </c>
      <c r="R165" s="81">
        <f t="shared" si="318"/>
        <v>13859.459459459458</v>
      </c>
      <c r="S165" s="81">
        <f t="shared" si="319"/>
        <v>6028.8288288288286</v>
      </c>
      <c r="T165" s="81">
        <f t="shared" si="320"/>
        <v>19888.288288288288</v>
      </c>
      <c r="U165" s="82">
        <f t="shared" si="321"/>
        <v>0.41332217840188434</v>
      </c>
      <c r="V165" s="82">
        <f t="shared" si="322"/>
        <v>0.37819448249999998</v>
      </c>
      <c r="W165" s="82">
        <f t="shared" si="323"/>
        <v>0.494075985</v>
      </c>
      <c r="X165" s="83">
        <f>BS165+SCENARIU!$C$30+'AJUSTĂRI PE PRODUS'!$I$57</f>
        <v>12</v>
      </c>
      <c r="Y165" s="83">
        <f>BT165+SCENARIU!$C$30+'AJUSTĂRI PE PRODUS'!$J$57</f>
        <v>14</v>
      </c>
      <c r="Z165" s="84">
        <f t="shared" si="324"/>
        <v>13859.459459459458</v>
      </c>
      <c r="AA165" s="84">
        <f t="shared" si="325"/>
        <v>6028.8288288288286</v>
      </c>
      <c r="AB165" s="84">
        <f t="shared" si="326"/>
        <v>19888.288288288288</v>
      </c>
      <c r="AC165" s="85">
        <f t="shared" si="327"/>
        <v>0.41332217840188434</v>
      </c>
      <c r="AD165" s="85">
        <f t="shared" si="328"/>
        <v>0.37819448249999998</v>
      </c>
      <c r="AE165" s="85">
        <f t="shared" si="329"/>
        <v>0.494075985</v>
      </c>
      <c r="AF165" s="83">
        <f>BU165+SCENARIU!$C$30+SCENARIU!$D$30+'AJUSTĂRI PE PRODUS'!$I$57+'AJUSTĂRI PE PRODUS'!$N$57</f>
        <v>12.49</v>
      </c>
      <c r="AG165" s="83">
        <f>BV165+SCENARIU!$C$30+SCENARIU!$D$30+'AJUSTĂRI PE PRODUS'!$J$57+'AJUSTĂRI PE PRODUS'!$O$57</f>
        <v>14.49</v>
      </c>
      <c r="AH165" s="86">
        <f t="shared" si="330"/>
        <v>14425.387387387387</v>
      </c>
      <c r="AI165" s="86">
        <f t="shared" si="331"/>
        <v>6239.8378378378375</v>
      </c>
      <c r="AJ165" s="86">
        <f t="shared" si="332"/>
        <v>20665.225225225226</v>
      </c>
      <c r="AK165" s="87">
        <f t="shared" si="333"/>
        <v>0.3977827751892023</v>
      </c>
      <c r="AL165" s="87">
        <f t="shared" si="334"/>
        <v>0.36335738911128901</v>
      </c>
      <c r="AM165" s="87">
        <f t="shared" si="335"/>
        <v>0.47736810144927538</v>
      </c>
      <c r="AN165" s="83">
        <f>BW165+SCENARIU!$C$30+SCENARIU!$D$30+SCENARIU!$E$30+'AJUSTĂRI PE PRODUS'!$I$57+'AJUSTĂRI PE PRODUS'!$N$57+'AJUSTĂRI PE PRODUS'!$S$57</f>
        <v>12.99</v>
      </c>
      <c r="AO165" s="83">
        <f>BX165+SCENARIU!$C$30+SCENARIU!$D$30+SCENARIU!$E$30+'AJUSTĂRI PE PRODUS'!$J$57+'AJUSTĂRI PE PRODUS'!$O$57+'AJUSTĂRI PE PRODUS'!$T$57</f>
        <v>14.99</v>
      </c>
      <c r="AP165" s="88">
        <f t="shared" si="336"/>
        <v>15002.864864864863</v>
      </c>
      <c r="AQ165" s="88">
        <f t="shared" si="337"/>
        <v>6455.1531531531527</v>
      </c>
      <c r="AR165" s="88">
        <f t="shared" si="338"/>
        <v>21458.018018018018</v>
      </c>
      <c r="AS165" s="89">
        <f t="shared" si="339"/>
        <v>0.38308620270043325</v>
      </c>
      <c r="AT165" s="89">
        <f t="shared" si="340"/>
        <v>0.3493713464203233</v>
      </c>
      <c r="AU165" s="89">
        <f t="shared" si="341"/>
        <v>0.46144521614409606</v>
      </c>
      <c r="AV165" s="83">
        <f>BY165+SCENARIU!$C$30+SCENARIU!$D$30+SCENARIU!$E$30+SCENARIU!$F$30+'AJUSTĂRI PE PRODUS'!$I$57+'AJUSTĂRI PE PRODUS'!$N$57+'AJUSTĂRI PE PRODUS'!$S$57+'AJUSTĂRI PE PRODUS'!$X$57</f>
        <v>12.99</v>
      </c>
      <c r="AW165" s="83">
        <f>BZ165+SCENARIU!$C$30+SCENARIU!$D$30+SCENARIU!$E$30+SCENARIU!$F$30+'AJUSTĂRI PE PRODUS'!$J$57+'AJUSTĂRI PE PRODUS'!$O$57+'AJUSTĂRI PE PRODUS'!$T$57+'AJUSTĂRI PE PRODUS'!$Y$57</f>
        <v>14.99</v>
      </c>
      <c r="AX165" s="90">
        <f t="shared" si="342"/>
        <v>15002.864864864863</v>
      </c>
      <c r="AY165" s="90">
        <f t="shared" si="343"/>
        <v>6455.1531531531527</v>
      </c>
      <c r="AZ165" s="90">
        <f t="shared" si="344"/>
        <v>21458.018018018018</v>
      </c>
      <c r="BA165" s="91">
        <f t="shared" si="345"/>
        <v>0.38308620270043325</v>
      </c>
      <c r="BB165" s="91">
        <f t="shared" si="346"/>
        <v>0.3493713464203233</v>
      </c>
      <c r="BC165" s="91">
        <f t="shared" si="347"/>
        <v>0.46144521614409606</v>
      </c>
      <c r="BD165" s="92">
        <f t="shared" si="348"/>
        <v>0</v>
      </c>
      <c r="BE165" s="92">
        <f t="shared" si="349"/>
        <v>0</v>
      </c>
      <c r="BF165" s="92">
        <f t="shared" si="350"/>
        <v>0.49000000000000021</v>
      </c>
      <c r="BG165" s="92">
        <f t="shared" si="351"/>
        <v>0.5</v>
      </c>
      <c r="BH165" s="92">
        <f t="shared" si="352"/>
        <v>0</v>
      </c>
      <c r="BI165" s="93">
        <f t="shared" si="353"/>
        <v>0.99000000000000021</v>
      </c>
      <c r="BJ165" s="92">
        <f t="shared" si="354"/>
        <v>0</v>
      </c>
      <c r="BK165" s="92">
        <f t="shared" si="355"/>
        <v>0</v>
      </c>
      <c r="BL165" s="92">
        <f t="shared" si="356"/>
        <v>0.49000000000000021</v>
      </c>
      <c r="BM165" s="92">
        <f t="shared" si="357"/>
        <v>0.5</v>
      </c>
      <c r="BN165" s="92">
        <f t="shared" si="358"/>
        <v>0</v>
      </c>
      <c r="BO165" s="93">
        <f t="shared" si="359"/>
        <v>0.99000000000000021</v>
      </c>
      <c r="BQ165">
        <v>12</v>
      </c>
      <c r="BR165">
        <v>14</v>
      </c>
      <c r="BS165">
        <v>12</v>
      </c>
      <c r="BT165">
        <v>14</v>
      </c>
      <c r="BU165">
        <v>12.49</v>
      </c>
      <c r="BV165">
        <v>14.49</v>
      </c>
      <c r="BW165">
        <v>12.99</v>
      </c>
      <c r="BX165">
        <v>14.99</v>
      </c>
      <c r="BY165">
        <v>12.99</v>
      </c>
      <c r="BZ165">
        <v>14.99</v>
      </c>
    </row>
    <row r="166" spans="1:78" x14ac:dyDescent="0.2">
      <c r="A166" s="26">
        <v>3</v>
      </c>
      <c r="B166" s="26" t="s">
        <v>204</v>
      </c>
      <c r="C166" s="26" t="s">
        <v>105</v>
      </c>
      <c r="D166" s="74">
        <v>1</v>
      </c>
      <c r="E166" s="75">
        <v>11</v>
      </c>
      <c r="F166" s="76">
        <v>982</v>
      </c>
      <c r="G166" s="76">
        <v>351</v>
      </c>
      <c r="H166" s="77">
        <f>SUMIFS(RETETAR!$I$4:$I$967,RETETAR!$A$4:$A$967,$M166,RETETAR!$C$4:$C$967,"AMBELE")+SUMIFS(RETETAR!$I$4:$I$967,RETETAR!$A$4:$A$967,$M166,RETETAR!$C$4:$C$967,"INSTORE")</f>
        <v>4.0885889999999998</v>
      </c>
      <c r="I166" s="77">
        <f>SUMIFS(RETETAR!$I$4:$I$967,RETETAR!$A$4:$A$967,$M166,RETETAR!$C$4:$C$967,"AMBELE")+SUMIFS(RETETAR!$I$4:$I$967,RETETAR!$A$4:$A$967,$M166,RETETAR!$C$4:$C$967,"DELIVERY")</f>
        <v>4.0885889999999998</v>
      </c>
      <c r="J166" s="78">
        <f t="shared" si="315"/>
        <v>4014.9943979999998</v>
      </c>
      <c r="K166" s="78">
        <f t="shared" si="316"/>
        <v>1435.0947389999999</v>
      </c>
      <c r="L166" s="78">
        <f t="shared" si="317"/>
        <v>5450.0891369999999</v>
      </c>
      <c r="M166" t="s">
        <v>204</v>
      </c>
      <c r="N166" s="79">
        <v>12</v>
      </c>
      <c r="O166" s="79">
        <v>14</v>
      </c>
      <c r="P166" s="80">
        <v>12</v>
      </c>
      <c r="Q166" s="80">
        <v>14</v>
      </c>
      <c r="R166" s="81">
        <f t="shared" si="318"/>
        <v>10616.216216216217</v>
      </c>
      <c r="S166" s="81">
        <f t="shared" si="319"/>
        <v>4427.0270270270266</v>
      </c>
      <c r="T166" s="81">
        <f t="shared" si="320"/>
        <v>15043.243243243243</v>
      </c>
      <c r="U166" s="82">
        <f t="shared" si="321"/>
        <v>0.3622948222583543</v>
      </c>
      <c r="V166" s="82">
        <f t="shared" si="322"/>
        <v>0.37819448249999998</v>
      </c>
      <c r="W166" s="82">
        <f t="shared" si="323"/>
        <v>0.32416669928571429</v>
      </c>
      <c r="X166" s="83">
        <f>BS166+SCENARIU!$C$30+'AJUSTĂRI PE PRODUS'!$I$64</f>
        <v>12</v>
      </c>
      <c r="Y166" s="83">
        <f>BT166+SCENARIU!$C$30+'AJUSTĂRI PE PRODUS'!$J$64</f>
        <v>14</v>
      </c>
      <c r="Z166" s="84">
        <f t="shared" si="324"/>
        <v>10616.216216216217</v>
      </c>
      <c r="AA166" s="84">
        <f t="shared" si="325"/>
        <v>4427.0270270270266</v>
      </c>
      <c r="AB166" s="84">
        <f t="shared" si="326"/>
        <v>15043.243243243243</v>
      </c>
      <c r="AC166" s="85">
        <f t="shared" si="327"/>
        <v>0.3622948222583543</v>
      </c>
      <c r="AD166" s="85">
        <f t="shared" si="328"/>
        <v>0.37819448249999998</v>
      </c>
      <c r="AE166" s="85">
        <f t="shared" si="329"/>
        <v>0.32416669928571429</v>
      </c>
      <c r="AF166" s="83">
        <f>BU166+SCENARIU!$C$30+SCENARIU!$D$30+'AJUSTĂRI PE PRODUS'!$I$64+'AJUSTĂRI PE PRODUS'!$N$64</f>
        <v>12.49</v>
      </c>
      <c r="AG166" s="83">
        <f>BV166+SCENARIU!$C$30+SCENARIU!$D$30+'AJUSTĂRI PE PRODUS'!$J$64+'AJUSTĂRI PE PRODUS'!$O$64</f>
        <v>14.49</v>
      </c>
      <c r="AH166" s="86">
        <f t="shared" si="330"/>
        <v>11049.71171171171</v>
      </c>
      <c r="AI166" s="86">
        <f t="shared" si="331"/>
        <v>4581.9729729729725</v>
      </c>
      <c r="AJ166" s="86">
        <f t="shared" si="332"/>
        <v>15631.684684684682</v>
      </c>
      <c r="AK166" s="87">
        <f t="shared" si="333"/>
        <v>0.34865654258877071</v>
      </c>
      <c r="AL166" s="87">
        <f t="shared" si="334"/>
        <v>0.36335738911128906</v>
      </c>
      <c r="AM166" s="87">
        <f t="shared" si="335"/>
        <v>0.31320454037267081</v>
      </c>
      <c r="AN166" s="83">
        <f>BW166+SCENARIU!$C$30+SCENARIU!$D$30+SCENARIU!$E$30+'AJUSTĂRI PE PRODUS'!$I$64+'AJUSTĂRI PE PRODUS'!$N$64+'AJUSTĂRI PE PRODUS'!$S$64</f>
        <v>12.99</v>
      </c>
      <c r="AO166" s="83">
        <f>BX166+SCENARIU!$C$30+SCENARIU!$D$30+SCENARIU!$E$30+'AJUSTĂRI PE PRODUS'!$J$64+'AJUSTĂRI PE PRODUS'!$O$64+'AJUSTĂRI PE PRODUS'!$T$64</f>
        <v>14.99</v>
      </c>
      <c r="AP166" s="88">
        <f t="shared" si="336"/>
        <v>11492.054054054053</v>
      </c>
      <c r="AQ166" s="88">
        <f t="shared" si="337"/>
        <v>4740.0810810810808</v>
      </c>
      <c r="AR166" s="88">
        <f t="shared" si="338"/>
        <v>16232.135135135133</v>
      </c>
      <c r="AS166" s="89">
        <f t="shared" si="339"/>
        <v>0.33575922647434436</v>
      </c>
      <c r="AT166" s="89">
        <f t="shared" si="340"/>
        <v>0.34937134642032336</v>
      </c>
      <c r="AU166" s="89">
        <f t="shared" si="341"/>
        <v>0.30275742428285524</v>
      </c>
      <c r="AV166" s="83">
        <f>BY166+SCENARIU!$C$30+SCENARIU!$D$30+SCENARIU!$E$30+SCENARIU!$F$30+'AJUSTĂRI PE PRODUS'!$I$64+'AJUSTĂRI PE PRODUS'!$N$64+'AJUSTĂRI PE PRODUS'!$S$64+'AJUSTĂRI PE PRODUS'!$X$64</f>
        <v>12.99</v>
      </c>
      <c r="AW166" s="83">
        <f>BZ166+SCENARIU!$C$30+SCENARIU!$D$30+SCENARIU!$E$30+SCENARIU!$F$30+'AJUSTĂRI PE PRODUS'!$J$64+'AJUSTĂRI PE PRODUS'!$O$64+'AJUSTĂRI PE PRODUS'!$T$64+'AJUSTĂRI PE PRODUS'!$Y$64</f>
        <v>14.99</v>
      </c>
      <c r="AX166" s="90">
        <f t="shared" si="342"/>
        <v>11492.054054054053</v>
      </c>
      <c r="AY166" s="90">
        <f t="shared" si="343"/>
        <v>4740.0810810810808</v>
      </c>
      <c r="AZ166" s="90">
        <f t="shared" si="344"/>
        <v>16232.135135135133</v>
      </c>
      <c r="BA166" s="91">
        <f t="shared" si="345"/>
        <v>0.33575922647434436</v>
      </c>
      <c r="BB166" s="91">
        <f t="shared" si="346"/>
        <v>0.34937134642032336</v>
      </c>
      <c r="BC166" s="91">
        <f t="shared" si="347"/>
        <v>0.30275742428285524</v>
      </c>
      <c r="BD166" s="92">
        <f t="shared" si="348"/>
        <v>0</v>
      </c>
      <c r="BE166" s="92">
        <f t="shared" si="349"/>
        <v>0</v>
      </c>
      <c r="BF166" s="92">
        <f t="shared" si="350"/>
        <v>0.49000000000000021</v>
      </c>
      <c r="BG166" s="92">
        <f t="shared" si="351"/>
        <v>0.5</v>
      </c>
      <c r="BH166" s="92">
        <f t="shared" si="352"/>
        <v>0</v>
      </c>
      <c r="BI166" s="93">
        <f t="shared" si="353"/>
        <v>0.99000000000000021</v>
      </c>
      <c r="BJ166" s="92">
        <f t="shared" si="354"/>
        <v>0</v>
      </c>
      <c r="BK166" s="92">
        <f t="shared" si="355"/>
        <v>0</v>
      </c>
      <c r="BL166" s="92">
        <f t="shared" si="356"/>
        <v>0.49000000000000021</v>
      </c>
      <c r="BM166" s="92">
        <f t="shared" si="357"/>
        <v>0.5</v>
      </c>
      <c r="BN166" s="92">
        <f t="shared" si="358"/>
        <v>0</v>
      </c>
      <c r="BO166" s="93">
        <f t="shared" si="359"/>
        <v>0.99000000000000021</v>
      </c>
      <c r="BQ166">
        <v>12</v>
      </c>
      <c r="BR166">
        <v>14</v>
      </c>
      <c r="BS166">
        <v>12</v>
      </c>
      <c r="BT166">
        <v>14</v>
      </c>
      <c r="BU166">
        <v>12.49</v>
      </c>
      <c r="BV166">
        <v>14.49</v>
      </c>
      <c r="BW166">
        <v>12.99</v>
      </c>
      <c r="BX166">
        <v>14.99</v>
      </c>
      <c r="BY166">
        <v>12.99</v>
      </c>
      <c r="BZ166">
        <v>14.99</v>
      </c>
    </row>
    <row r="167" spans="1:78" x14ac:dyDescent="0.2">
      <c r="A167" s="26">
        <v>4</v>
      </c>
      <c r="B167" s="26" t="s">
        <v>215</v>
      </c>
      <c r="C167" s="26" t="s">
        <v>105</v>
      </c>
      <c r="D167" s="74">
        <v>1</v>
      </c>
      <c r="E167" s="75">
        <v>11</v>
      </c>
      <c r="F167" s="76">
        <v>748</v>
      </c>
      <c r="G167" s="76">
        <v>284</v>
      </c>
      <c r="H167" s="77">
        <f>SUMIFS(RETETAR!$I$4:$I$967,RETETAR!$A$4:$A$967,$M167,RETETAR!$C$4:$C$967,"AMBELE")+SUMIFS(RETETAR!$I$4:$I$967,RETETAR!$A$4:$A$967,$M167,RETETAR!$C$4:$C$967,"INSTORE")</f>
        <v>3.7485889999999999</v>
      </c>
      <c r="I167" s="77">
        <f>SUMIFS(RETETAR!$I$4:$I$967,RETETAR!$A$4:$A$967,$M167,RETETAR!$C$4:$C$967,"AMBELE")+SUMIFS(RETETAR!$I$4:$I$967,RETETAR!$A$4:$A$967,$M167,RETETAR!$C$4:$C$967,"DELIVERY")</f>
        <v>3.7485889999999999</v>
      </c>
      <c r="J167" s="78">
        <f t="shared" si="315"/>
        <v>2803.9445719999999</v>
      </c>
      <c r="K167" s="78">
        <f t="shared" si="316"/>
        <v>1064.5992759999999</v>
      </c>
      <c r="L167" s="78">
        <f t="shared" si="317"/>
        <v>3868.5438479999998</v>
      </c>
      <c r="M167" t="s">
        <v>215</v>
      </c>
      <c r="N167" s="79">
        <v>10</v>
      </c>
      <c r="O167" s="79">
        <v>12</v>
      </c>
      <c r="P167" s="80">
        <v>10</v>
      </c>
      <c r="Q167" s="80">
        <v>12</v>
      </c>
      <c r="R167" s="81">
        <f t="shared" si="318"/>
        <v>6738.738738738738</v>
      </c>
      <c r="S167" s="81">
        <f t="shared" si="319"/>
        <v>3070.27027027027</v>
      </c>
      <c r="T167" s="81">
        <f t="shared" si="320"/>
        <v>9809.0090090090089</v>
      </c>
      <c r="U167" s="82">
        <f t="shared" si="321"/>
        <v>0.39438681771491546</v>
      </c>
      <c r="V167" s="82">
        <f t="shared" si="322"/>
        <v>0.41609337900000004</v>
      </c>
      <c r="W167" s="82">
        <f t="shared" si="323"/>
        <v>0.34674448250000001</v>
      </c>
      <c r="X167" s="83">
        <f>BS167+SCENARIU!$C$30+'AJUSTĂRI PE PRODUS'!$I$77</f>
        <v>10</v>
      </c>
      <c r="Y167" s="83">
        <f>BT167+SCENARIU!$C$30+'AJUSTĂRI PE PRODUS'!$J$77</f>
        <v>12</v>
      </c>
      <c r="Z167" s="84">
        <f t="shared" si="324"/>
        <v>6738.738738738738</v>
      </c>
      <c r="AA167" s="84">
        <f t="shared" si="325"/>
        <v>3070.27027027027</v>
      </c>
      <c r="AB167" s="84">
        <f t="shared" si="326"/>
        <v>9809.0090090090089</v>
      </c>
      <c r="AC167" s="85">
        <f t="shared" si="327"/>
        <v>0.39438681771491546</v>
      </c>
      <c r="AD167" s="85">
        <f t="shared" si="328"/>
        <v>0.41609337900000004</v>
      </c>
      <c r="AE167" s="85">
        <f t="shared" si="329"/>
        <v>0.34674448250000001</v>
      </c>
      <c r="AF167" s="83">
        <f>BU167+SCENARIU!$C$30+SCENARIU!$D$30+'AJUSTĂRI PE PRODUS'!$I$77+'AJUSTĂRI PE PRODUS'!$N$77</f>
        <v>10.49</v>
      </c>
      <c r="AG167" s="83">
        <f>BV167+SCENARIU!$C$30+SCENARIU!$D$30+'AJUSTĂRI PE PRODUS'!$J$77+'AJUSTĂRI PE PRODUS'!$O$77</f>
        <v>12.49</v>
      </c>
      <c r="AH167" s="86">
        <f t="shared" si="330"/>
        <v>7068.9369369369369</v>
      </c>
      <c r="AI167" s="86">
        <f t="shared" si="331"/>
        <v>3195.6396396396394</v>
      </c>
      <c r="AJ167" s="86">
        <f t="shared" si="332"/>
        <v>10264.576576576575</v>
      </c>
      <c r="AK167" s="87">
        <f t="shared" si="333"/>
        <v>0.37688294486768104</v>
      </c>
      <c r="AL167" s="87">
        <f t="shared" si="334"/>
        <v>0.39665717731172545</v>
      </c>
      <c r="AM167" s="87">
        <f t="shared" si="335"/>
        <v>0.33314121617293835</v>
      </c>
      <c r="AN167" s="83">
        <f>BW167+SCENARIU!$C$30+SCENARIU!$D$30+SCENARIU!$E$30+'AJUSTĂRI PE PRODUS'!$I$77+'AJUSTĂRI PE PRODUS'!$N$77+'AJUSTĂRI PE PRODUS'!$S$77</f>
        <v>10.99</v>
      </c>
      <c r="AO167" s="83">
        <f>BX167+SCENARIU!$C$30+SCENARIU!$D$30+SCENARIU!$E$30+'AJUSTĂRI PE PRODUS'!$J$77+'AJUSTĂRI PE PRODUS'!$O$77+'AJUSTĂRI PE PRODUS'!$T$77</f>
        <v>12.99</v>
      </c>
      <c r="AP167" s="88">
        <f t="shared" si="336"/>
        <v>7405.8738738738739</v>
      </c>
      <c r="AQ167" s="88">
        <f t="shared" si="337"/>
        <v>3323.5675675675675</v>
      </c>
      <c r="AR167" s="88">
        <f t="shared" si="338"/>
        <v>10729.441441441442</v>
      </c>
      <c r="AS167" s="89">
        <f t="shared" si="339"/>
        <v>0.36055407628752406</v>
      </c>
      <c r="AT167" s="89">
        <f t="shared" si="340"/>
        <v>0.37861089990900815</v>
      </c>
      <c r="AU167" s="89">
        <f t="shared" si="341"/>
        <v>0.32031822863741338</v>
      </c>
      <c r="AV167" s="83">
        <f>BY167+SCENARIU!$C$30+SCENARIU!$D$30+SCENARIU!$E$30+SCENARIU!$F$30+'AJUSTĂRI PE PRODUS'!$I$77+'AJUSTĂRI PE PRODUS'!$N$77+'AJUSTĂRI PE PRODUS'!$S$77+'AJUSTĂRI PE PRODUS'!$X$77</f>
        <v>10.99</v>
      </c>
      <c r="AW167" s="83">
        <f>BZ167+SCENARIU!$C$30+SCENARIU!$D$30+SCENARIU!$E$30+SCENARIU!$F$30+'AJUSTĂRI PE PRODUS'!$J$77+'AJUSTĂRI PE PRODUS'!$O$77+'AJUSTĂRI PE PRODUS'!$T$77+'AJUSTĂRI PE PRODUS'!$Y$77</f>
        <v>12.99</v>
      </c>
      <c r="AX167" s="90">
        <f t="shared" si="342"/>
        <v>7405.8738738738739</v>
      </c>
      <c r="AY167" s="90">
        <f t="shared" si="343"/>
        <v>3323.5675675675675</v>
      </c>
      <c r="AZ167" s="90">
        <f t="shared" si="344"/>
        <v>10729.441441441442</v>
      </c>
      <c r="BA167" s="91">
        <f t="shared" si="345"/>
        <v>0.36055407628752406</v>
      </c>
      <c r="BB167" s="91">
        <f t="shared" si="346"/>
        <v>0.37861089990900815</v>
      </c>
      <c r="BC167" s="91">
        <f t="shared" si="347"/>
        <v>0.32031822863741338</v>
      </c>
      <c r="BD167" s="92">
        <f t="shared" si="348"/>
        <v>0</v>
      </c>
      <c r="BE167" s="92">
        <f t="shared" si="349"/>
        <v>0</v>
      </c>
      <c r="BF167" s="92">
        <f t="shared" si="350"/>
        <v>0.49000000000000021</v>
      </c>
      <c r="BG167" s="92">
        <f t="shared" si="351"/>
        <v>0.5</v>
      </c>
      <c r="BH167" s="92">
        <f t="shared" si="352"/>
        <v>0</v>
      </c>
      <c r="BI167" s="93">
        <f t="shared" si="353"/>
        <v>0.99000000000000021</v>
      </c>
      <c r="BJ167" s="92">
        <f t="shared" si="354"/>
        <v>0</v>
      </c>
      <c r="BK167" s="92">
        <f t="shared" si="355"/>
        <v>0</v>
      </c>
      <c r="BL167" s="92">
        <f t="shared" si="356"/>
        <v>0.49000000000000021</v>
      </c>
      <c r="BM167" s="92">
        <f t="shared" si="357"/>
        <v>0.5</v>
      </c>
      <c r="BN167" s="92">
        <f t="shared" si="358"/>
        <v>0</v>
      </c>
      <c r="BO167" s="93">
        <f t="shared" si="359"/>
        <v>0.99000000000000021</v>
      </c>
      <c r="BQ167">
        <v>10</v>
      </c>
      <c r="BR167">
        <v>12</v>
      </c>
      <c r="BS167">
        <v>10</v>
      </c>
      <c r="BT167">
        <v>12</v>
      </c>
      <c r="BU167">
        <v>10.49</v>
      </c>
      <c r="BV167">
        <v>12.49</v>
      </c>
      <c r="BW167">
        <v>10.99</v>
      </c>
      <c r="BX167">
        <v>12.99</v>
      </c>
      <c r="BY167">
        <v>10.99</v>
      </c>
      <c r="BZ167">
        <v>12.99</v>
      </c>
    </row>
    <row r="168" spans="1:78" x14ac:dyDescent="0.2">
      <c r="A168" s="26">
        <v>5</v>
      </c>
      <c r="B168" s="26" t="s">
        <v>219</v>
      </c>
      <c r="C168" s="26" t="s">
        <v>105</v>
      </c>
      <c r="D168" s="74">
        <v>1</v>
      </c>
      <c r="E168" s="75">
        <v>11</v>
      </c>
      <c r="F168" s="76">
        <v>713</v>
      </c>
      <c r="G168" s="76">
        <v>296</v>
      </c>
      <c r="H168" s="77">
        <f>SUMIFS(RETETAR!$I$4:$I$967,RETETAR!$A$4:$A$967,$M168,RETETAR!$C$4:$C$967,"AMBELE")+SUMIFS(RETETAR!$I$4:$I$967,RETETAR!$A$4:$A$967,$M168,RETETAR!$C$4:$C$967,"INSTORE")</f>
        <v>2.9758529999999999</v>
      </c>
      <c r="I168" s="77">
        <f>SUMIFS(RETETAR!$I$4:$I$967,RETETAR!$A$4:$A$967,$M168,RETETAR!$C$4:$C$967,"AMBELE")+SUMIFS(RETETAR!$I$4:$I$967,RETETAR!$A$4:$A$967,$M168,RETETAR!$C$4:$C$967,"DELIVERY")</f>
        <v>2.9758529999999999</v>
      </c>
      <c r="J168" s="78">
        <f t="shared" si="315"/>
        <v>2121.7831889999998</v>
      </c>
      <c r="K168" s="78">
        <f t="shared" si="316"/>
        <v>880.85248799999999</v>
      </c>
      <c r="L168" s="78">
        <f t="shared" si="317"/>
        <v>3002.6356769999998</v>
      </c>
      <c r="M168" t="s">
        <v>219</v>
      </c>
      <c r="N168" s="79">
        <v>10</v>
      </c>
      <c r="O168" s="79">
        <v>10</v>
      </c>
      <c r="P168" s="80">
        <v>10</v>
      </c>
      <c r="Q168" s="80">
        <v>10</v>
      </c>
      <c r="R168" s="81">
        <f t="shared" si="318"/>
        <v>6423.4234234234227</v>
      </c>
      <c r="S168" s="81">
        <f t="shared" si="319"/>
        <v>2666.6666666666661</v>
      </c>
      <c r="T168" s="81">
        <f t="shared" si="320"/>
        <v>9090.0900900900888</v>
      </c>
      <c r="U168" s="82">
        <f t="shared" si="321"/>
        <v>0.33031968300000003</v>
      </c>
      <c r="V168" s="82">
        <f t="shared" si="322"/>
        <v>0.33031968299999998</v>
      </c>
      <c r="W168" s="82">
        <f t="shared" si="323"/>
        <v>0.33031968300000009</v>
      </c>
      <c r="X168" s="83">
        <f>BS168+SCENARIU!$C$30+'AJUSTĂRI PE PRODUS'!$I$78</f>
        <v>10</v>
      </c>
      <c r="Y168" s="83">
        <f>BT168+SCENARIU!$C$30+'AJUSTĂRI PE PRODUS'!$J$78</f>
        <v>10</v>
      </c>
      <c r="Z168" s="84">
        <f t="shared" si="324"/>
        <v>6423.4234234234227</v>
      </c>
      <c r="AA168" s="84">
        <f t="shared" si="325"/>
        <v>2666.6666666666661</v>
      </c>
      <c r="AB168" s="84">
        <f t="shared" si="326"/>
        <v>9090.0900900900888</v>
      </c>
      <c r="AC168" s="85">
        <f t="shared" si="327"/>
        <v>0.33031968300000003</v>
      </c>
      <c r="AD168" s="85">
        <f t="shared" si="328"/>
        <v>0.33031968299999998</v>
      </c>
      <c r="AE168" s="85">
        <f t="shared" si="329"/>
        <v>0.33031968300000009</v>
      </c>
      <c r="AF168" s="83">
        <f>BU168+SCENARIU!$C$30+SCENARIU!$D$30+'AJUSTĂRI PE PRODUS'!$I$78+'AJUSTĂRI PE PRODUS'!$N$78</f>
        <v>10.49</v>
      </c>
      <c r="AG168" s="83">
        <f>BV168+SCENARIU!$C$30+SCENARIU!$D$30+'AJUSTĂRI PE PRODUS'!$J$78+'AJUSTĂRI PE PRODUS'!$O$78</f>
        <v>10.49</v>
      </c>
      <c r="AH168" s="86">
        <f t="shared" si="330"/>
        <v>6738.1711711711714</v>
      </c>
      <c r="AI168" s="86">
        <f t="shared" si="331"/>
        <v>2797.3333333333335</v>
      </c>
      <c r="AJ168" s="86">
        <f t="shared" si="332"/>
        <v>9535.5045045045044</v>
      </c>
      <c r="AK168" s="87">
        <f t="shared" si="333"/>
        <v>0.31489006959008575</v>
      </c>
      <c r="AL168" s="87">
        <f t="shared" si="334"/>
        <v>0.31489006959008575</v>
      </c>
      <c r="AM168" s="87">
        <f t="shared" si="335"/>
        <v>0.31489006959008575</v>
      </c>
      <c r="AN168" s="83">
        <f>BW168+SCENARIU!$C$30+SCENARIU!$D$30+SCENARIU!$E$30+'AJUSTĂRI PE PRODUS'!$I$78+'AJUSTĂRI PE PRODUS'!$N$78+'AJUSTĂRI PE PRODUS'!$S$78</f>
        <v>10.99</v>
      </c>
      <c r="AO168" s="83">
        <f>BX168+SCENARIU!$C$30+SCENARIU!$D$30+SCENARIU!$E$30+'AJUSTĂRI PE PRODUS'!$J$78+'AJUSTĂRI PE PRODUS'!$O$78+'AJUSTĂRI PE PRODUS'!$T$78</f>
        <v>10.99</v>
      </c>
      <c r="AP168" s="88">
        <f t="shared" si="336"/>
        <v>7059.3423423423419</v>
      </c>
      <c r="AQ168" s="88">
        <f t="shared" si="337"/>
        <v>2930.6666666666665</v>
      </c>
      <c r="AR168" s="88">
        <f t="shared" si="338"/>
        <v>9990.0090090090089</v>
      </c>
      <c r="AS168" s="89">
        <f t="shared" si="339"/>
        <v>0.30056386078252956</v>
      </c>
      <c r="AT168" s="89">
        <f t="shared" si="340"/>
        <v>0.30056386078252956</v>
      </c>
      <c r="AU168" s="89">
        <f t="shared" si="341"/>
        <v>0.30056386078252961</v>
      </c>
      <c r="AV168" s="83">
        <f>BY168+SCENARIU!$C$30+SCENARIU!$D$30+SCENARIU!$E$30+SCENARIU!$F$30+'AJUSTĂRI PE PRODUS'!$I$78+'AJUSTĂRI PE PRODUS'!$N$78+'AJUSTĂRI PE PRODUS'!$S$78+'AJUSTĂRI PE PRODUS'!$X$78</f>
        <v>10.99</v>
      </c>
      <c r="AW168" s="83">
        <f>BZ168+SCENARIU!$C$30+SCENARIU!$D$30+SCENARIU!$E$30+SCENARIU!$F$30+'AJUSTĂRI PE PRODUS'!$J$78+'AJUSTĂRI PE PRODUS'!$O$78+'AJUSTĂRI PE PRODUS'!$T$78+'AJUSTĂRI PE PRODUS'!$Y$78</f>
        <v>10.99</v>
      </c>
      <c r="AX168" s="90">
        <f t="shared" si="342"/>
        <v>7059.3423423423419</v>
      </c>
      <c r="AY168" s="90">
        <f t="shared" si="343"/>
        <v>2930.6666666666665</v>
      </c>
      <c r="AZ168" s="90">
        <f t="shared" si="344"/>
        <v>9990.0090090090089</v>
      </c>
      <c r="BA168" s="91">
        <f t="shared" si="345"/>
        <v>0.30056386078252956</v>
      </c>
      <c r="BB168" s="91">
        <f t="shared" si="346"/>
        <v>0.30056386078252956</v>
      </c>
      <c r="BC168" s="91">
        <f t="shared" si="347"/>
        <v>0.30056386078252961</v>
      </c>
      <c r="BD168" s="92">
        <f t="shared" si="348"/>
        <v>0</v>
      </c>
      <c r="BE168" s="92">
        <f t="shared" si="349"/>
        <v>0</v>
      </c>
      <c r="BF168" s="92">
        <f t="shared" si="350"/>
        <v>0.49000000000000021</v>
      </c>
      <c r="BG168" s="92">
        <f t="shared" si="351"/>
        <v>0.5</v>
      </c>
      <c r="BH168" s="92">
        <f t="shared" si="352"/>
        <v>0</v>
      </c>
      <c r="BI168" s="93">
        <f t="shared" si="353"/>
        <v>0.99000000000000021</v>
      </c>
      <c r="BJ168" s="92">
        <f t="shared" si="354"/>
        <v>0</v>
      </c>
      <c r="BK168" s="92">
        <f t="shared" si="355"/>
        <v>0</v>
      </c>
      <c r="BL168" s="92">
        <f t="shared" si="356"/>
        <v>0.49000000000000021</v>
      </c>
      <c r="BM168" s="92">
        <f t="shared" si="357"/>
        <v>0.5</v>
      </c>
      <c r="BN168" s="92">
        <f t="shared" si="358"/>
        <v>0</v>
      </c>
      <c r="BO168" s="93">
        <f t="shared" si="359"/>
        <v>0.99000000000000021</v>
      </c>
      <c r="BQ168">
        <v>10</v>
      </c>
      <c r="BR168">
        <v>10</v>
      </c>
      <c r="BS168">
        <v>10</v>
      </c>
      <c r="BT168">
        <v>10</v>
      </c>
      <c r="BU168">
        <v>10.49</v>
      </c>
      <c r="BV168">
        <v>10.49</v>
      </c>
      <c r="BW168">
        <v>10.99</v>
      </c>
      <c r="BX168">
        <v>10.99</v>
      </c>
      <c r="BY168">
        <v>10.99</v>
      </c>
      <c r="BZ168">
        <v>10.99</v>
      </c>
    </row>
    <row r="169" spans="1:78" x14ac:dyDescent="0.2">
      <c r="A169" s="26">
        <v>6</v>
      </c>
      <c r="B169" s="26" t="s">
        <v>226</v>
      </c>
      <c r="C169" s="26" t="s">
        <v>105</v>
      </c>
      <c r="D169" s="74">
        <v>1</v>
      </c>
      <c r="E169" s="75">
        <v>11</v>
      </c>
      <c r="F169" s="76">
        <v>435</v>
      </c>
      <c r="G169" s="76">
        <v>0</v>
      </c>
      <c r="H169" s="77">
        <f>SUMIFS(RETETAR!$I$4:$I$967,RETETAR!$A$4:$A$967,$M169,RETETAR!$C$4:$C$967,"AMBELE")+SUMIFS(RETETAR!$I$4:$I$967,RETETAR!$A$4:$A$967,$M169,RETETAR!$C$4:$C$967,"INSTORE")</f>
        <v>5.1509999999999998</v>
      </c>
      <c r="I169" s="77">
        <f>SUMIFS(RETETAR!$I$4:$I$967,RETETAR!$A$4:$A$967,$M169,RETETAR!$C$4:$C$967,"AMBELE")+SUMIFS(RETETAR!$I$4:$I$967,RETETAR!$A$4:$A$967,$M169,RETETAR!$C$4:$C$967,"DELIVERY")</f>
        <v>5.1509999999999998</v>
      </c>
      <c r="J169" s="78">
        <f t="shared" si="315"/>
        <v>2240.6849999999999</v>
      </c>
      <c r="K169" s="78">
        <f t="shared" si="316"/>
        <v>0</v>
      </c>
      <c r="L169" s="78">
        <f t="shared" si="317"/>
        <v>2240.6849999999999</v>
      </c>
      <c r="M169" t="s">
        <v>442</v>
      </c>
      <c r="N169" s="79">
        <v>18</v>
      </c>
      <c r="O169" s="79"/>
      <c r="P169" s="80">
        <v>18</v>
      </c>
      <c r="Q169" s="80"/>
      <c r="R169" s="81">
        <f t="shared" si="318"/>
        <v>7054.0540540540533</v>
      </c>
      <c r="S169" s="81">
        <f t="shared" si="319"/>
        <v>0</v>
      </c>
      <c r="T169" s="81">
        <f t="shared" si="320"/>
        <v>7054.0540540540533</v>
      </c>
      <c r="U169" s="82">
        <f t="shared" si="321"/>
        <v>0.31764500000000001</v>
      </c>
      <c r="V169" s="82">
        <f t="shared" si="322"/>
        <v>0.31764500000000001</v>
      </c>
      <c r="W169" s="82" t="str">
        <f t="shared" si="323"/>
        <v/>
      </c>
      <c r="X169" s="83">
        <f>BS169+SCENARIU!$C$30+'AJUSTĂRI PE PRODUS'!$I$91</f>
        <v>18</v>
      </c>
      <c r="Y169" s="83"/>
      <c r="Z169" s="84">
        <f t="shared" si="324"/>
        <v>7054.0540540540533</v>
      </c>
      <c r="AA169" s="84">
        <f t="shared" si="325"/>
        <v>0</v>
      </c>
      <c r="AB169" s="84">
        <f t="shared" si="326"/>
        <v>7054.0540540540533</v>
      </c>
      <c r="AC169" s="85">
        <f t="shared" si="327"/>
        <v>0.31764500000000001</v>
      </c>
      <c r="AD169" s="85">
        <f t="shared" si="328"/>
        <v>0.31764500000000001</v>
      </c>
      <c r="AE169" s="85" t="str">
        <f t="shared" si="329"/>
        <v/>
      </c>
      <c r="AF169" s="83">
        <f>BU169+SCENARIU!$C$30+SCENARIU!$D$30+'AJUSTĂRI PE PRODUS'!$I$91+'AJUSTĂRI PE PRODUS'!$N$91</f>
        <v>18.489999999999998</v>
      </c>
      <c r="AG169" s="83"/>
      <c r="AH169" s="86">
        <f t="shared" si="330"/>
        <v>7246.0810810810799</v>
      </c>
      <c r="AI169" s="86">
        <f t="shared" si="331"/>
        <v>0</v>
      </c>
      <c r="AJ169" s="86">
        <f t="shared" si="332"/>
        <v>7246.0810810810799</v>
      </c>
      <c r="AK169" s="87">
        <f t="shared" si="333"/>
        <v>0.30922714981070853</v>
      </c>
      <c r="AL169" s="87">
        <f t="shared" si="334"/>
        <v>0.30922714981070853</v>
      </c>
      <c r="AM169" s="87" t="str">
        <f t="shared" si="335"/>
        <v/>
      </c>
      <c r="AN169" s="83">
        <f>BW169+SCENARIU!$C$30+SCENARIU!$D$30+SCENARIU!$E$30+'AJUSTĂRI PE PRODUS'!$I$91+'AJUSTĂRI PE PRODUS'!$N$91+'AJUSTĂRI PE PRODUS'!$S$91</f>
        <v>18.989999999999998</v>
      </c>
      <c r="AO169" s="83"/>
      <c r="AP169" s="88">
        <f t="shared" si="336"/>
        <v>7442.0270270270257</v>
      </c>
      <c r="AQ169" s="88">
        <f t="shared" si="337"/>
        <v>0</v>
      </c>
      <c r="AR169" s="88">
        <f t="shared" si="338"/>
        <v>7442.0270270270257</v>
      </c>
      <c r="AS169" s="89">
        <f t="shared" si="339"/>
        <v>0.30108530805687206</v>
      </c>
      <c r="AT169" s="89">
        <f t="shared" si="340"/>
        <v>0.30108530805687206</v>
      </c>
      <c r="AU169" s="89" t="str">
        <f t="shared" si="341"/>
        <v/>
      </c>
      <c r="AV169" s="83">
        <f>BY169+SCENARIU!$C$30+SCENARIU!$D$30+SCENARIU!$E$30+SCENARIU!$F$30+'AJUSTĂRI PE PRODUS'!$I$91+'AJUSTĂRI PE PRODUS'!$N$91+'AJUSTĂRI PE PRODUS'!$S$91+'AJUSTĂRI PE PRODUS'!$X$91</f>
        <v>18.989999999999998</v>
      </c>
      <c r="AW169" s="83"/>
      <c r="AX169" s="90">
        <f t="shared" si="342"/>
        <v>7442.0270270270257</v>
      </c>
      <c r="AY169" s="90">
        <f t="shared" si="343"/>
        <v>0</v>
      </c>
      <c r="AZ169" s="90">
        <f t="shared" si="344"/>
        <v>7442.0270270270257</v>
      </c>
      <c r="BA169" s="91">
        <f t="shared" si="345"/>
        <v>0.30108530805687206</v>
      </c>
      <c r="BB169" s="91">
        <f t="shared" si="346"/>
        <v>0.30108530805687206</v>
      </c>
      <c r="BC169" s="91" t="str">
        <f t="shared" si="347"/>
        <v/>
      </c>
      <c r="BD169" s="92">
        <f t="shared" si="348"/>
        <v>0</v>
      </c>
      <c r="BE169" s="92">
        <f t="shared" si="349"/>
        <v>0</v>
      </c>
      <c r="BF169" s="92">
        <f t="shared" si="350"/>
        <v>0.48999999999999844</v>
      </c>
      <c r="BG169" s="92">
        <f t="shared" si="351"/>
        <v>0.5</v>
      </c>
      <c r="BH169" s="92">
        <f t="shared" si="352"/>
        <v>0</v>
      </c>
      <c r="BI169" s="93">
        <f t="shared" si="353"/>
        <v>0.98999999999999844</v>
      </c>
      <c r="BJ169" s="92" t="str">
        <f t="shared" si="354"/>
        <v/>
      </c>
      <c r="BK169" s="92" t="str">
        <f t="shared" si="355"/>
        <v/>
      </c>
      <c r="BL169" s="92" t="str">
        <f t="shared" si="356"/>
        <v/>
      </c>
      <c r="BM169" s="92" t="str">
        <f t="shared" si="357"/>
        <v/>
      </c>
      <c r="BN169" s="92" t="str">
        <f t="shared" si="358"/>
        <v/>
      </c>
      <c r="BO169" s="93" t="str">
        <f t="shared" si="359"/>
        <v/>
      </c>
      <c r="BQ169">
        <v>18</v>
      </c>
      <c r="BS169">
        <v>18</v>
      </c>
      <c r="BU169">
        <v>18.489999999999998</v>
      </c>
      <c r="BW169">
        <v>18.989999999999998</v>
      </c>
      <c r="BY169">
        <v>18.989999999999998</v>
      </c>
    </row>
    <row r="170" spans="1:78" x14ac:dyDescent="0.2">
      <c r="A170" s="26">
        <v>7</v>
      </c>
      <c r="B170" s="26" t="s">
        <v>230</v>
      </c>
      <c r="C170" s="26" t="s">
        <v>105</v>
      </c>
      <c r="D170" s="74">
        <v>1</v>
      </c>
      <c r="E170" s="75">
        <v>11</v>
      </c>
      <c r="F170" s="76">
        <v>239</v>
      </c>
      <c r="G170" s="76">
        <v>224</v>
      </c>
      <c r="H170" s="77">
        <f>SUMIFS(RETETAR!$I$4:$I$967,RETETAR!$A$4:$A$967,$M170,RETETAR!$C$4:$C$967,"AMBELE")+SUMIFS(RETETAR!$I$4:$I$967,RETETAR!$A$4:$A$967,$M170,RETETAR!$C$4:$C$967,"INSTORE")</f>
        <v>4.0641350000000003</v>
      </c>
      <c r="I170" s="77">
        <f>SUMIFS(RETETAR!$I$4:$I$967,RETETAR!$A$4:$A$967,$M170,RETETAR!$C$4:$C$967,"AMBELE")+SUMIFS(RETETAR!$I$4:$I$967,RETETAR!$A$4:$A$967,$M170,RETETAR!$C$4:$C$967,"DELIVERY")</f>
        <v>6.1651349999999994</v>
      </c>
      <c r="J170" s="78">
        <f t="shared" si="315"/>
        <v>971.3282650000001</v>
      </c>
      <c r="K170" s="78">
        <f t="shared" si="316"/>
        <v>1380.9902399999999</v>
      </c>
      <c r="L170" s="78">
        <f t="shared" si="317"/>
        <v>2352.3185050000002</v>
      </c>
      <c r="M170" t="s">
        <v>443</v>
      </c>
      <c r="N170" s="79">
        <v>14</v>
      </c>
      <c r="O170" s="79">
        <v>16</v>
      </c>
      <c r="P170" s="80">
        <v>14</v>
      </c>
      <c r="Q170" s="80">
        <v>16</v>
      </c>
      <c r="R170" s="81">
        <f t="shared" si="318"/>
        <v>3014.4144144144143</v>
      </c>
      <c r="S170" s="81">
        <f t="shared" si="319"/>
        <v>3228.8288288288286</v>
      </c>
      <c r="T170" s="81">
        <f t="shared" si="320"/>
        <v>6243.2432432432433</v>
      </c>
      <c r="U170" s="82">
        <f t="shared" si="321"/>
        <v>0.37677828867965368</v>
      </c>
      <c r="V170" s="82">
        <f t="shared" si="322"/>
        <v>0.3222278464285715</v>
      </c>
      <c r="W170" s="82">
        <f t="shared" si="323"/>
        <v>0.42770624062500001</v>
      </c>
      <c r="X170" s="83">
        <f>BS170+SCENARIU!$C$30+'AJUSTĂRI PE PRODUS'!$I$95</f>
        <v>14</v>
      </c>
      <c r="Y170" s="83">
        <f>BT170+SCENARIU!$C$30+'AJUSTĂRI PE PRODUS'!$J$95</f>
        <v>16</v>
      </c>
      <c r="Z170" s="84">
        <f t="shared" si="324"/>
        <v>3014.4144144144143</v>
      </c>
      <c r="AA170" s="84">
        <f t="shared" si="325"/>
        <v>3228.8288288288286</v>
      </c>
      <c r="AB170" s="84">
        <f t="shared" si="326"/>
        <v>6243.2432432432433</v>
      </c>
      <c r="AC170" s="85">
        <f t="shared" si="327"/>
        <v>0.37677828867965368</v>
      </c>
      <c r="AD170" s="85">
        <f t="shared" si="328"/>
        <v>0.3222278464285715</v>
      </c>
      <c r="AE170" s="85">
        <f t="shared" si="329"/>
        <v>0.42770624062500001</v>
      </c>
      <c r="AF170" s="83">
        <f>BU170+SCENARIU!$C$30+SCENARIU!$D$30+'AJUSTĂRI PE PRODUS'!$I$95+'AJUSTĂRI PE PRODUS'!$N$95</f>
        <v>14.49</v>
      </c>
      <c r="AG170" s="83">
        <f>BV170+SCENARIU!$C$30+SCENARIU!$D$30+'AJUSTĂRI PE PRODUS'!$J$95+'AJUSTĂRI PE PRODUS'!$O$95</f>
        <v>16.489999999999998</v>
      </c>
      <c r="AH170" s="86">
        <f t="shared" si="330"/>
        <v>3119.9189189189187</v>
      </c>
      <c r="AI170" s="86">
        <f t="shared" si="331"/>
        <v>3327.7117117117114</v>
      </c>
      <c r="AJ170" s="86">
        <f t="shared" si="332"/>
        <v>6447.6306306306305</v>
      </c>
      <c r="AK170" s="87">
        <f t="shared" si="333"/>
        <v>0.36483456323085373</v>
      </c>
      <c r="AL170" s="87">
        <f t="shared" si="334"/>
        <v>0.31133125258799177</v>
      </c>
      <c r="AM170" s="87">
        <f t="shared" si="335"/>
        <v>0.41499695876288661</v>
      </c>
      <c r="AN170" s="83">
        <f>BW170+SCENARIU!$C$30+SCENARIU!$D$30+SCENARIU!$E$30+'AJUSTĂRI PE PRODUS'!$I$95+'AJUSTĂRI PE PRODUS'!$N$95+'AJUSTĂRI PE PRODUS'!$S$95</f>
        <v>14.99</v>
      </c>
      <c r="AO170" s="83">
        <f>BX170+SCENARIU!$C$30+SCENARIU!$D$30+SCENARIU!$E$30+'AJUSTĂRI PE PRODUS'!$J$95+'AJUSTĂRI PE PRODUS'!$O$95+'AJUSTĂRI PE PRODUS'!$T$95</f>
        <v>16.989999999999998</v>
      </c>
      <c r="AP170" s="88">
        <f t="shared" si="336"/>
        <v>3227.5765765765764</v>
      </c>
      <c r="AQ170" s="88">
        <f t="shared" si="337"/>
        <v>3428.6126126126119</v>
      </c>
      <c r="AR170" s="88">
        <f t="shared" si="338"/>
        <v>6656.1891891891883</v>
      </c>
      <c r="AS170" s="89">
        <f t="shared" si="339"/>
        <v>0.35340319184745761</v>
      </c>
      <c r="AT170" s="89">
        <f t="shared" si="340"/>
        <v>0.30094662108072051</v>
      </c>
      <c r="AU170" s="89">
        <f t="shared" si="341"/>
        <v>0.40278398175397295</v>
      </c>
      <c r="AV170" s="83">
        <f>BY170+SCENARIU!$C$30+SCENARIU!$D$30+SCENARIU!$E$30+SCENARIU!$F$30+'AJUSTĂRI PE PRODUS'!$I$95+'AJUSTĂRI PE PRODUS'!$N$95+'AJUSTĂRI PE PRODUS'!$S$95+'AJUSTĂRI PE PRODUS'!$X$95</f>
        <v>14.99</v>
      </c>
      <c r="AW170" s="83">
        <f>BZ170+SCENARIU!$C$30+SCENARIU!$D$30+SCENARIU!$E$30+SCENARIU!$F$30+'AJUSTĂRI PE PRODUS'!$J$95+'AJUSTĂRI PE PRODUS'!$O$95+'AJUSTĂRI PE PRODUS'!$T$95+'AJUSTĂRI PE PRODUS'!$Y$95</f>
        <v>16.989999999999998</v>
      </c>
      <c r="AX170" s="90">
        <f t="shared" si="342"/>
        <v>3227.5765765765764</v>
      </c>
      <c r="AY170" s="90">
        <f t="shared" si="343"/>
        <v>3428.6126126126119</v>
      </c>
      <c r="AZ170" s="90">
        <f t="shared" si="344"/>
        <v>6656.1891891891883</v>
      </c>
      <c r="BA170" s="91">
        <f t="shared" si="345"/>
        <v>0.35340319184745761</v>
      </c>
      <c r="BB170" s="91">
        <f t="shared" si="346"/>
        <v>0.30094662108072051</v>
      </c>
      <c r="BC170" s="91">
        <f t="shared" si="347"/>
        <v>0.40278398175397295</v>
      </c>
      <c r="BD170" s="92">
        <f t="shared" si="348"/>
        <v>0</v>
      </c>
      <c r="BE170" s="92">
        <f t="shared" si="349"/>
        <v>0</v>
      </c>
      <c r="BF170" s="92">
        <f t="shared" si="350"/>
        <v>0.49000000000000021</v>
      </c>
      <c r="BG170" s="92">
        <f t="shared" si="351"/>
        <v>0.5</v>
      </c>
      <c r="BH170" s="92">
        <f t="shared" si="352"/>
        <v>0</v>
      </c>
      <c r="BI170" s="93">
        <f t="shared" si="353"/>
        <v>0.99000000000000021</v>
      </c>
      <c r="BJ170" s="92">
        <f t="shared" si="354"/>
        <v>0</v>
      </c>
      <c r="BK170" s="92">
        <f t="shared" si="355"/>
        <v>0</v>
      </c>
      <c r="BL170" s="92">
        <f t="shared" si="356"/>
        <v>0.48999999999999844</v>
      </c>
      <c r="BM170" s="92">
        <f t="shared" si="357"/>
        <v>0.5</v>
      </c>
      <c r="BN170" s="92">
        <f t="shared" si="358"/>
        <v>0</v>
      </c>
      <c r="BO170" s="93">
        <f t="shared" si="359"/>
        <v>0.98999999999999844</v>
      </c>
      <c r="BQ170">
        <v>14</v>
      </c>
      <c r="BR170">
        <v>16</v>
      </c>
      <c r="BS170">
        <v>14</v>
      </c>
      <c r="BT170">
        <v>16</v>
      </c>
      <c r="BU170">
        <v>14.49</v>
      </c>
      <c r="BV170">
        <v>16.489999999999998</v>
      </c>
      <c r="BW170">
        <v>14.99</v>
      </c>
      <c r="BX170">
        <v>16.989999999999998</v>
      </c>
      <c r="BY170">
        <v>14.99</v>
      </c>
      <c r="BZ170">
        <v>16.989999999999998</v>
      </c>
    </row>
    <row r="171" spans="1:78" x14ac:dyDescent="0.2">
      <c r="A171" s="26">
        <v>8</v>
      </c>
      <c r="B171" s="26" t="s">
        <v>234</v>
      </c>
      <c r="C171" s="26" t="s">
        <v>105</v>
      </c>
      <c r="D171" s="74">
        <v>1</v>
      </c>
      <c r="E171" s="75">
        <v>11</v>
      </c>
      <c r="F171" s="76">
        <v>353</v>
      </c>
      <c r="G171" s="76">
        <v>0</v>
      </c>
      <c r="H171" s="77">
        <f>SUMIFS(RETETAR!$I$4:$I$967,RETETAR!$A$4:$A$967,$M171,RETETAR!$C$4:$C$967,"AMBELE")+SUMIFS(RETETAR!$I$4:$I$967,RETETAR!$A$4:$A$967,$M171,RETETAR!$C$4:$C$967,"INSTORE")</f>
        <v>6.0671349999999995</v>
      </c>
      <c r="I171" s="77">
        <f>SUMIFS(RETETAR!$I$4:$I$967,RETETAR!$A$4:$A$967,$M171,RETETAR!$C$4:$C$967,"AMBELE")+SUMIFS(RETETAR!$I$4:$I$967,RETETAR!$A$4:$A$967,$M171,RETETAR!$C$4:$C$967,"DELIVERY")</f>
        <v>6.0671349999999995</v>
      </c>
      <c r="J171" s="78">
        <f t="shared" si="315"/>
        <v>2141.6986549999997</v>
      </c>
      <c r="K171" s="78">
        <f t="shared" si="316"/>
        <v>0</v>
      </c>
      <c r="L171" s="78">
        <f t="shared" si="317"/>
        <v>2141.6986549999997</v>
      </c>
      <c r="M171" t="s">
        <v>444</v>
      </c>
      <c r="N171" s="79">
        <v>18</v>
      </c>
      <c r="O171" s="79"/>
      <c r="P171" s="80">
        <v>18</v>
      </c>
      <c r="Q171" s="80"/>
      <c r="R171" s="81">
        <f t="shared" si="318"/>
        <v>5724.3243243243232</v>
      </c>
      <c r="S171" s="81">
        <f t="shared" si="319"/>
        <v>0</v>
      </c>
      <c r="T171" s="81">
        <f t="shared" si="320"/>
        <v>5724.3243243243232</v>
      </c>
      <c r="U171" s="82">
        <f t="shared" si="321"/>
        <v>0.37413999166666667</v>
      </c>
      <c r="V171" s="82">
        <f t="shared" si="322"/>
        <v>0.37413999166666667</v>
      </c>
      <c r="W171" s="82" t="str">
        <f t="shared" si="323"/>
        <v/>
      </c>
      <c r="X171" s="83">
        <f>BS171+SCENARIU!$C$30+'AJUSTĂRI PE PRODUS'!$I$97</f>
        <v>18</v>
      </c>
      <c r="Y171" s="83"/>
      <c r="Z171" s="84">
        <f t="shared" si="324"/>
        <v>5724.3243243243232</v>
      </c>
      <c r="AA171" s="84">
        <f t="shared" si="325"/>
        <v>0</v>
      </c>
      <c r="AB171" s="84">
        <f t="shared" si="326"/>
        <v>5724.3243243243232</v>
      </c>
      <c r="AC171" s="85">
        <f t="shared" si="327"/>
        <v>0.37413999166666667</v>
      </c>
      <c r="AD171" s="85">
        <f t="shared" si="328"/>
        <v>0.37413999166666667</v>
      </c>
      <c r="AE171" s="85" t="str">
        <f t="shared" si="329"/>
        <v/>
      </c>
      <c r="AF171" s="83">
        <f>BU171+SCENARIU!$C$30+SCENARIU!$D$30+'AJUSTĂRI PE PRODUS'!$I$97+'AJUSTĂRI PE PRODUS'!$N$97</f>
        <v>18.489999999999998</v>
      </c>
      <c r="AG171" s="83"/>
      <c r="AH171" s="86">
        <f t="shared" si="330"/>
        <v>5880.1531531531518</v>
      </c>
      <c r="AI171" s="86">
        <f t="shared" si="331"/>
        <v>0</v>
      </c>
      <c r="AJ171" s="86">
        <f t="shared" si="332"/>
        <v>5880.1531531531518</v>
      </c>
      <c r="AK171" s="87">
        <f t="shared" si="333"/>
        <v>0.36422497836668472</v>
      </c>
      <c r="AL171" s="87">
        <f t="shared" si="334"/>
        <v>0.36422497836668472</v>
      </c>
      <c r="AM171" s="87" t="str">
        <f t="shared" si="335"/>
        <v/>
      </c>
      <c r="AN171" s="83">
        <f>BW171+SCENARIU!$C$30+SCENARIU!$D$30+SCENARIU!$E$30+'AJUSTĂRI PE PRODUS'!$I$97+'AJUSTĂRI PE PRODUS'!$N$97+'AJUSTĂRI PE PRODUS'!$S$97</f>
        <v>18.989999999999998</v>
      </c>
      <c r="AO171" s="83"/>
      <c r="AP171" s="88">
        <f t="shared" si="336"/>
        <v>6039.1621621621607</v>
      </c>
      <c r="AQ171" s="88">
        <f t="shared" si="337"/>
        <v>0</v>
      </c>
      <c r="AR171" s="88">
        <f t="shared" si="338"/>
        <v>6039.1621621621607</v>
      </c>
      <c r="AS171" s="89">
        <f t="shared" si="339"/>
        <v>0.35463506319115329</v>
      </c>
      <c r="AT171" s="89">
        <f t="shared" si="340"/>
        <v>0.35463506319115329</v>
      </c>
      <c r="AU171" s="89" t="str">
        <f t="shared" si="341"/>
        <v/>
      </c>
      <c r="AV171" s="83">
        <f>BY171+SCENARIU!$C$30+SCENARIU!$D$30+SCENARIU!$E$30+SCENARIU!$F$30+'AJUSTĂRI PE PRODUS'!$I$97+'AJUSTĂRI PE PRODUS'!$N$97+'AJUSTĂRI PE PRODUS'!$S$97+'AJUSTĂRI PE PRODUS'!$X$97</f>
        <v>18.989999999999998</v>
      </c>
      <c r="AW171" s="83"/>
      <c r="AX171" s="90">
        <f t="shared" si="342"/>
        <v>6039.1621621621607</v>
      </c>
      <c r="AY171" s="90">
        <f t="shared" si="343"/>
        <v>0</v>
      </c>
      <c r="AZ171" s="90">
        <f t="shared" si="344"/>
        <v>6039.1621621621607</v>
      </c>
      <c r="BA171" s="91">
        <f t="shared" si="345"/>
        <v>0.35463506319115329</v>
      </c>
      <c r="BB171" s="91">
        <f t="shared" si="346"/>
        <v>0.35463506319115329</v>
      </c>
      <c r="BC171" s="91" t="str">
        <f t="shared" si="347"/>
        <v/>
      </c>
      <c r="BD171" s="92">
        <f t="shared" si="348"/>
        <v>0</v>
      </c>
      <c r="BE171" s="92">
        <f t="shared" si="349"/>
        <v>0</v>
      </c>
      <c r="BF171" s="92">
        <f t="shared" si="350"/>
        <v>0.48999999999999844</v>
      </c>
      <c r="BG171" s="92">
        <f t="shared" si="351"/>
        <v>0.5</v>
      </c>
      <c r="BH171" s="92">
        <f t="shared" si="352"/>
        <v>0</v>
      </c>
      <c r="BI171" s="93">
        <f t="shared" si="353"/>
        <v>0.98999999999999844</v>
      </c>
      <c r="BJ171" s="92" t="str">
        <f t="shared" si="354"/>
        <v/>
      </c>
      <c r="BK171" s="92" t="str">
        <f t="shared" si="355"/>
        <v/>
      </c>
      <c r="BL171" s="92" t="str">
        <f t="shared" si="356"/>
        <v/>
      </c>
      <c r="BM171" s="92" t="str">
        <f t="shared" si="357"/>
        <v/>
      </c>
      <c r="BN171" s="92" t="str">
        <f t="shared" si="358"/>
        <v/>
      </c>
      <c r="BO171" s="93" t="str">
        <f t="shared" si="359"/>
        <v/>
      </c>
      <c r="BQ171">
        <v>18</v>
      </c>
      <c r="BS171">
        <v>18</v>
      </c>
      <c r="BU171">
        <v>18.489999999999998</v>
      </c>
      <c r="BW171">
        <v>18.989999999999998</v>
      </c>
      <c r="BY171">
        <v>18.989999999999998</v>
      </c>
    </row>
    <row r="172" spans="1:78" x14ac:dyDescent="0.2">
      <c r="A172" s="26">
        <v>9</v>
      </c>
      <c r="B172" s="26" t="s">
        <v>238</v>
      </c>
      <c r="C172" s="26" t="s">
        <v>105</v>
      </c>
      <c r="D172" s="74">
        <v>1</v>
      </c>
      <c r="E172" s="75">
        <v>11</v>
      </c>
      <c r="F172" s="76">
        <v>245</v>
      </c>
      <c r="G172" s="76">
        <v>190</v>
      </c>
      <c r="H172" s="77">
        <f>SUMIFS(RETETAR!$I$4:$I$967,RETETAR!$A$4:$A$967,$M172,RETETAR!$C$4:$C$967,"AMBELE")+SUMIFS(RETETAR!$I$4:$I$967,RETETAR!$A$4:$A$967,$M172,RETETAR!$C$4:$C$967,"INSTORE")</f>
        <v>3.1480000000000001</v>
      </c>
      <c r="I172" s="77">
        <f>SUMIFS(RETETAR!$I$4:$I$967,RETETAR!$A$4:$A$967,$M172,RETETAR!$C$4:$C$967,"AMBELE")+SUMIFS(RETETAR!$I$4:$I$967,RETETAR!$A$4:$A$967,$M172,RETETAR!$C$4:$C$967,"DELIVERY")</f>
        <v>5.2489999999999997</v>
      </c>
      <c r="J172" s="78">
        <f t="shared" si="315"/>
        <v>771.26</v>
      </c>
      <c r="K172" s="78">
        <f t="shared" si="316"/>
        <v>997.31</v>
      </c>
      <c r="L172" s="78">
        <f t="shared" si="317"/>
        <v>1768.57</v>
      </c>
      <c r="M172" t="s">
        <v>445</v>
      </c>
      <c r="N172" s="79">
        <v>12</v>
      </c>
      <c r="O172" s="79">
        <v>14</v>
      </c>
      <c r="P172" s="80">
        <v>12</v>
      </c>
      <c r="Q172" s="80">
        <v>14</v>
      </c>
      <c r="R172" s="81">
        <f t="shared" si="318"/>
        <v>2648.6486486486488</v>
      </c>
      <c r="S172" s="81">
        <f t="shared" si="319"/>
        <v>2396.3963963963961</v>
      </c>
      <c r="T172" s="81">
        <f t="shared" si="320"/>
        <v>5045.0450450450444</v>
      </c>
      <c r="U172" s="82">
        <f t="shared" si="321"/>
        <v>0.35055583928571432</v>
      </c>
      <c r="V172" s="82">
        <f t="shared" si="322"/>
        <v>0.29119</v>
      </c>
      <c r="W172" s="82">
        <f t="shared" si="323"/>
        <v>0.41617071428571434</v>
      </c>
      <c r="X172" s="83">
        <f>BS172+SCENARIU!$C$30+'AJUSTĂRI PE PRODUS'!$I$100</f>
        <v>12</v>
      </c>
      <c r="Y172" s="83">
        <f>BT172+SCENARIU!$C$30+'AJUSTĂRI PE PRODUS'!$J$100</f>
        <v>14</v>
      </c>
      <c r="Z172" s="84">
        <f t="shared" si="324"/>
        <v>2648.6486486486488</v>
      </c>
      <c r="AA172" s="84">
        <f t="shared" si="325"/>
        <v>2396.3963963963961</v>
      </c>
      <c r="AB172" s="84">
        <f t="shared" si="326"/>
        <v>5045.0450450450444</v>
      </c>
      <c r="AC172" s="85">
        <f t="shared" si="327"/>
        <v>0.35055583928571432</v>
      </c>
      <c r="AD172" s="85">
        <f t="shared" si="328"/>
        <v>0.29119</v>
      </c>
      <c r="AE172" s="85">
        <f t="shared" si="329"/>
        <v>0.41617071428571434</v>
      </c>
      <c r="AF172" s="83">
        <f>BU172+SCENARIU!$C$30+SCENARIU!$D$30+'AJUSTĂRI PE PRODUS'!$I$100+'AJUSTĂRI PE PRODUS'!$N$100</f>
        <v>12.49</v>
      </c>
      <c r="AG172" s="83">
        <f>BV172+SCENARIU!$C$30+SCENARIU!$D$30+'AJUSTĂRI PE PRODUS'!$J$100+'AJUSTĂRI PE PRODUS'!$O$100</f>
        <v>14.49</v>
      </c>
      <c r="AH172" s="86">
        <f t="shared" si="330"/>
        <v>2756.8018018018015</v>
      </c>
      <c r="AI172" s="86">
        <f t="shared" si="331"/>
        <v>2480.27027027027</v>
      </c>
      <c r="AJ172" s="86">
        <f t="shared" si="332"/>
        <v>5237.072072072071</v>
      </c>
      <c r="AK172" s="87">
        <f t="shared" si="333"/>
        <v>0.33770205482397675</v>
      </c>
      <c r="AL172" s="87">
        <f t="shared" si="334"/>
        <v>0.27976621297037635</v>
      </c>
      <c r="AM172" s="87">
        <f t="shared" si="335"/>
        <v>0.40209730848861286</v>
      </c>
      <c r="AN172" s="83">
        <f>BW172+SCENARIU!$C$30+SCENARIU!$D$30+SCENARIU!$E$30+'AJUSTĂRI PE PRODUS'!$I$100+'AJUSTĂRI PE PRODUS'!$N$100+'AJUSTĂRI PE PRODUS'!$S$100</f>
        <v>12.99</v>
      </c>
      <c r="AO172" s="83">
        <f>BX172+SCENARIU!$C$30+SCENARIU!$D$30+SCENARIU!$E$30+'AJUSTĂRI PE PRODUS'!$J$100+'AJUSTĂRI PE PRODUS'!$O$100+'AJUSTĂRI PE PRODUS'!$T$100</f>
        <v>14.99</v>
      </c>
      <c r="AP172" s="88">
        <f t="shared" si="336"/>
        <v>2867.1621621621621</v>
      </c>
      <c r="AQ172" s="88">
        <f t="shared" si="337"/>
        <v>2565.8558558558557</v>
      </c>
      <c r="AR172" s="88">
        <f t="shared" si="338"/>
        <v>5433.0180180180178</v>
      </c>
      <c r="AS172" s="89">
        <f t="shared" si="339"/>
        <v>0.32552257219371045</v>
      </c>
      <c r="AT172" s="89">
        <f t="shared" si="340"/>
        <v>0.26899769053117784</v>
      </c>
      <c r="AU172" s="89">
        <f t="shared" si="341"/>
        <v>0.3886851234156104</v>
      </c>
      <c r="AV172" s="83">
        <f>BY172+SCENARIU!$C$30+SCENARIU!$D$30+SCENARIU!$E$30+SCENARIU!$F$30+'AJUSTĂRI PE PRODUS'!$I$100+'AJUSTĂRI PE PRODUS'!$N$100+'AJUSTĂRI PE PRODUS'!$S$100+'AJUSTĂRI PE PRODUS'!$X$100</f>
        <v>12.99</v>
      </c>
      <c r="AW172" s="83">
        <f>BZ172+SCENARIU!$C$30+SCENARIU!$D$30+SCENARIU!$E$30+SCENARIU!$F$30+'AJUSTĂRI PE PRODUS'!$J$100+'AJUSTĂRI PE PRODUS'!$O$100+'AJUSTĂRI PE PRODUS'!$T$100+'AJUSTĂRI PE PRODUS'!$Y$100</f>
        <v>14.99</v>
      </c>
      <c r="AX172" s="90">
        <f t="shared" si="342"/>
        <v>2867.1621621621621</v>
      </c>
      <c r="AY172" s="90">
        <f t="shared" si="343"/>
        <v>2565.8558558558557</v>
      </c>
      <c r="AZ172" s="90">
        <f t="shared" si="344"/>
        <v>5433.0180180180178</v>
      </c>
      <c r="BA172" s="91">
        <f t="shared" si="345"/>
        <v>0.32552257219371045</v>
      </c>
      <c r="BB172" s="91">
        <f t="shared" si="346"/>
        <v>0.26899769053117784</v>
      </c>
      <c r="BC172" s="91">
        <f t="shared" si="347"/>
        <v>0.3886851234156104</v>
      </c>
      <c r="BD172" s="92">
        <f t="shared" si="348"/>
        <v>0</v>
      </c>
      <c r="BE172" s="92">
        <f t="shared" si="349"/>
        <v>0</v>
      </c>
      <c r="BF172" s="92">
        <f t="shared" si="350"/>
        <v>0.49000000000000021</v>
      </c>
      <c r="BG172" s="92">
        <f t="shared" si="351"/>
        <v>0.5</v>
      </c>
      <c r="BH172" s="92">
        <f t="shared" si="352"/>
        <v>0</v>
      </c>
      <c r="BI172" s="93">
        <f t="shared" si="353"/>
        <v>0.99000000000000021</v>
      </c>
      <c r="BJ172" s="92">
        <f t="shared" si="354"/>
        <v>0</v>
      </c>
      <c r="BK172" s="92">
        <f t="shared" si="355"/>
        <v>0</v>
      </c>
      <c r="BL172" s="92">
        <f t="shared" si="356"/>
        <v>0.49000000000000021</v>
      </c>
      <c r="BM172" s="92">
        <f t="shared" si="357"/>
        <v>0.5</v>
      </c>
      <c r="BN172" s="92">
        <f t="shared" si="358"/>
        <v>0</v>
      </c>
      <c r="BO172" s="93">
        <f t="shared" si="359"/>
        <v>0.99000000000000021</v>
      </c>
      <c r="BQ172">
        <v>12</v>
      </c>
      <c r="BR172">
        <v>14</v>
      </c>
      <c r="BS172">
        <v>12</v>
      </c>
      <c r="BT172">
        <v>14</v>
      </c>
      <c r="BU172">
        <v>12.49</v>
      </c>
      <c r="BV172">
        <v>14.49</v>
      </c>
      <c r="BW172">
        <v>12.99</v>
      </c>
      <c r="BX172">
        <v>14.99</v>
      </c>
      <c r="BY172">
        <v>12.99</v>
      </c>
      <c r="BZ172">
        <v>14.99</v>
      </c>
    </row>
    <row r="173" spans="1:78" x14ac:dyDescent="0.2">
      <c r="A173" s="26">
        <v>10</v>
      </c>
      <c r="B173" s="26" t="s">
        <v>242</v>
      </c>
      <c r="C173" s="26" t="s">
        <v>105</v>
      </c>
      <c r="D173" s="74">
        <v>1</v>
      </c>
      <c r="E173" s="75">
        <v>11</v>
      </c>
      <c r="F173" s="76">
        <v>155</v>
      </c>
      <c r="G173" s="76">
        <v>171</v>
      </c>
      <c r="H173" s="77">
        <f>SUMIFS(RETETAR!$I$4:$I$967,RETETAR!$A$4:$A$967,$M173,RETETAR!$C$4:$C$967,"AMBELE")+SUMIFS(RETETAR!$I$4:$I$967,RETETAR!$A$4:$A$967,$M173,RETETAR!$C$4:$C$967,"INSTORE")</f>
        <v>4.4600500000000007</v>
      </c>
      <c r="I173" s="77">
        <f>SUMIFS(RETETAR!$I$4:$I$967,RETETAR!$A$4:$A$967,$M173,RETETAR!$C$4:$C$967,"AMBELE")+SUMIFS(RETETAR!$I$4:$I$967,RETETAR!$A$4:$A$967,$M173,RETETAR!$C$4:$C$967,"DELIVERY")</f>
        <v>6.5610499999999998</v>
      </c>
      <c r="J173" s="78">
        <f t="shared" si="315"/>
        <v>691.30775000000017</v>
      </c>
      <c r="K173" s="78">
        <f t="shared" si="316"/>
        <v>1121.9395500000001</v>
      </c>
      <c r="L173" s="78">
        <f t="shared" si="317"/>
        <v>1813.2473000000002</v>
      </c>
      <c r="M173" t="s">
        <v>446</v>
      </c>
      <c r="N173" s="79">
        <v>14</v>
      </c>
      <c r="O173" s="79">
        <v>16</v>
      </c>
      <c r="P173" s="80">
        <v>14</v>
      </c>
      <c r="Q173" s="80">
        <v>16</v>
      </c>
      <c r="R173" s="81">
        <f t="shared" si="318"/>
        <v>1954.9549549549547</v>
      </c>
      <c r="S173" s="81">
        <f t="shared" si="319"/>
        <v>2464.8648648648646</v>
      </c>
      <c r="T173" s="81">
        <f t="shared" si="320"/>
        <v>4419.8198198198188</v>
      </c>
      <c r="U173" s="82">
        <f t="shared" si="321"/>
        <v>0.41025366958825943</v>
      </c>
      <c r="V173" s="82">
        <f t="shared" si="322"/>
        <v>0.35361825000000013</v>
      </c>
      <c r="W173" s="82">
        <f t="shared" si="323"/>
        <v>0.45517284375000006</v>
      </c>
      <c r="X173" s="83">
        <f>BS173+SCENARIU!$C$30+'AJUSTĂRI PE PRODUS'!$I$105</f>
        <v>14</v>
      </c>
      <c r="Y173" s="83">
        <f>BT173+SCENARIU!$C$30+'AJUSTĂRI PE PRODUS'!$J$105</f>
        <v>16</v>
      </c>
      <c r="Z173" s="84">
        <f t="shared" si="324"/>
        <v>1954.9549549549547</v>
      </c>
      <c r="AA173" s="84">
        <f t="shared" si="325"/>
        <v>2464.8648648648646</v>
      </c>
      <c r="AB173" s="84">
        <f t="shared" si="326"/>
        <v>4419.8198198198188</v>
      </c>
      <c r="AC173" s="85">
        <f t="shared" si="327"/>
        <v>0.41025366958825943</v>
      </c>
      <c r="AD173" s="85">
        <f t="shared" si="328"/>
        <v>0.35361825000000013</v>
      </c>
      <c r="AE173" s="85">
        <f t="shared" si="329"/>
        <v>0.45517284375000006</v>
      </c>
      <c r="AF173" s="83">
        <f>BU173+SCENARIU!$C$30+SCENARIU!$D$30+'AJUSTĂRI PE PRODUS'!$I$105+'AJUSTĂRI PE PRODUS'!$N$105</f>
        <v>14.49</v>
      </c>
      <c r="AG173" s="83">
        <f>BV173+SCENARIU!$C$30+SCENARIU!$D$30+'AJUSTĂRI PE PRODUS'!$J$105+'AJUSTĂRI PE PRODUS'!$O$105</f>
        <v>16.489999999999998</v>
      </c>
      <c r="AH173" s="86">
        <f t="shared" si="330"/>
        <v>2023.3783783783781</v>
      </c>
      <c r="AI173" s="86">
        <f t="shared" si="331"/>
        <v>2540.3513513513508</v>
      </c>
      <c r="AJ173" s="86">
        <f t="shared" si="332"/>
        <v>4563.7297297297291</v>
      </c>
      <c r="AK173" s="87">
        <f t="shared" si="333"/>
        <v>0.39731697698658053</v>
      </c>
      <c r="AL173" s="87">
        <f t="shared" si="334"/>
        <v>0.34166014492753638</v>
      </c>
      <c r="AM173" s="87">
        <f t="shared" si="335"/>
        <v>0.44164739235900558</v>
      </c>
      <c r="AN173" s="83">
        <f>BW173+SCENARIU!$C$30+SCENARIU!$D$30+SCENARIU!$E$30+'AJUSTĂRI PE PRODUS'!$I$105+'AJUSTĂRI PE PRODUS'!$N$105+'AJUSTĂRI PE PRODUS'!$S$105</f>
        <v>14.99</v>
      </c>
      <c r="AO173" s="83">
        <f>BX173+SCENARIU!$C$30+SCENARIU!$D$30+SCENARIU!$E$30+'AJUSTĂRI PE PRODUS'!$J$105+'AJUSTĂRI PE PRODUS'!$O$105+'AJUSTĂRI PE PRODUS'!$T$105</f>
        <v>16.989999999999998</v>
      </c>
      <c r="AP173" s="88">
        <f t="shared" si="336"/>
        <v>2093.198198198198</v>
      </c>
      <c r="AQ173" s="88">
        <f t="shared" si="337"/>
        <v>2617.3783783783779</v>
      </c>
      <c r="AR173" s="88">
        <f t="shared" si="338"/>
        <v>4710.5765765765755</v>
      </c>
      <c r="AS173" s="89">
        <f t="shared" si="339"/>
        <v>0.3849310738342317</v>
      </c>
      <c r="AT173" s="89">
        <f t="shared" si="340"/>
        <v>0.33026387591727829</v>
      </c>
      <c r="AU173" s="89">
        <f t="shared" si="341"/>
        <v>0.42865011771630379</v>
      </c>
      <c r="AV173" s="83">
        <f>BY173+SCENARIU!$C$30+SCENARIU!$D$30+SCENARIU!$E$30+SCENARIU!$F$30+'AJUSTĂRI PE PRODUS'!$I$105+'AJUSTĂRI PE PRODUS'!$N$105+'AJUSTĂRI PE PRODUS'!$S$105+'AJUSTĂRI PE PRODUS'!$X$105</f>
        <v>14.99</v>
      </c>
      <c r="AW173" s="83">
        <f>BZ173+SCENARIU!$C$30+SCENARIU!$D$30+SCENARIU!$E$30+SCENARIU!$F$30+'AJUSTĂRI PE PRODUS'!$J$105+'AJUSTĂRI PE PRODUS'!$O$105+'AJUSTĂRI PE PRODUS'!$T$105+'AJUSTĂRI PE PRODUS'!$Y$105</f>
        <v>16.989999999999998</v>
      </c>
      <c r="AX173" s="90">
        <f t="shared" si="342"/>
        <v>2093.198198198198</v>
      </c>
      <c r="AY173" s="90">
        <f t="shared" si="343"/>
        <v>2617.3783783783779</v>
      </c>
      <c r="AZ173" s="90">
        <f t="shared" si="344"/>
        <v>4710.5765765765755</v>
      </c>
      <c r="BA173" s="91">
        <f t="shared" si="345"/>
        <v>0.3849310738342317</v>
      </c>
      <c r="BB173" s="91">
        <f t="shared" si="346"/>
        <v>0.33026387591727829</v>
      </c>
      <c r="BC173" s="91">
        <f t="shared" si="347"/>
        <v>0.42865011771630379</v>
      </c>
      <c r="BD173" s="92">
        <f t="shared" si="348"/>
        <v>0</v>
      </c>
      <c r="BE173" s="92">
        <f t="shared" si="349"/>
        <v>0</v>
      </c>
      <c r="BF173" s="92">
        <f t="shared" si="350"/>
        <v>0.49000000000000021</v>
      </c>
      <c r="BG173" s="92">
        <f t="shared" si="351"/>
        <v>0.5</v>
      </c>
      <c r="BH173" s="92">
        <f t="shared" si="352"/>
        <v>0</v>
      </c>
      <c r="BI173" s="93">
        <f t="shared" si="353"/>
        <v>0.99000000000000021</v>
      </c>
      <c r="BJ173" s="92">
        <f t="shared" si="354"/>
        <v>0</v>
      </c>
      <c r="BK173" s="92">
        <f t="shared" si="355"/>
        <v>0</v>
      </c>
      <c r="BL173" s="92">
        <f t="shared" si="356"/>
        <v>0.48999999999999844</v>
      </c>
      <c r="BM173" s="92">
        <f t="shared" si="357"/>
        <v>0.5</v>
      </c>
      <c r="BN173" s="92">
        <f t="shared" si="358"/>
        <v>0</v>
      </c>
      <c r="BO173" s="93">
        <f t="shared" si="359"/>
        <v>0.98999999999999844</v>
      </c>
      <c r="BQ173">
        <v>14</v>
      </c>
      <c r="BR173">
        <v>16</v>
      </c>
      <c r="BS173">
        <v>14</v>
      </c>
      <c r="BT173">
        <v>16</v>
      </c>
      <c r="BU173">
        <v>14.49</v>
      </c>
      <c r="BV173">
        <v>16.489999999999998</v>
      </c>
      <c r="BW173">
        <v>14.99</v>
      </c>
      <c r="BX173">
        <v>16.989999999999998</v>
      </c>
      <c r="BY173">
        <v>14.99</v>
      </c>
      <c r="BZ173">
        <v>16.989999999999998</v>
      </c>
    </row>
    <row r="174" spans="1:78" x14ac:dyDescent="0.2">
      <c r="A174" s="26">
        <v>11</v>
      </c>
      <c r="B174" s="26" t="s">
        <v>244</v>
      </c>
      <c r="C174" s="26" t="s">
        <v>105</v>
      </c>
      <c r="D174" s="74">
        <v>1</v>
      </c>
      <c r="E174" s="75">
        <v>11</v>
      </c>
      <c r="F174" s="76">
        <v>259</v>
      </c>
      <c r="G174" s="76">
        <v>0</v>
      </c>
      <c r="H174" s="77">
        <f>SUMIFS(RETETAR!$I$4:$I$967,RETETAR!$A$4:$A$967,$M174,RETETAR!$C$4:$C$967,"AMBELE")+SUMIFS(RETETAR!$I$4:$I$967,RETETAR!$A$4:$A$967,$M174,RETETAR!$C$4:$C$967,"INSTORE")</f>
        <v>6.46305</v>
      </c>
      <c r="I174" s="77">
        <f>SUMIFS(RETETAR!$I$4:$I$967,RETETAR!$A$4:$A$967,$M174,RETETAR!$C$4:$C$967,"AMBELE")+SUMIFS(RETETAR!$I$4:$I$967,RETETAR!$A$4:$A$967,$M174,RETETAR!$C$4:$C$967,"DELIVERY")</f>
        <v>6.46305</v>
      </c>
      <c r="J174" s="78">
        <f t="shared" si="315"/>
        <v>1673.92995</v>
      </c>
      <c r="K174" s="78">
        <f t="shared" si="316"/>
        <v>0</v>
      </c>
      <c r="L174" s="78">
        <f t="shared" si="317"/>
        <v>1673.92995</v>
      </c>
      <c r="M174" t="s">
        <v>447</v>
      </c>
      <c r="N174" s="79">
        <v>18</v>
      </c>
      <c r="O174" s="79"/>
      <c r="P174" s="80">
        <v>18</v>
      </c>
      <c r="Q174" s="80"/>
      <c r="R174" s="81">
        <f t="shared" si="318"/>
        <v>4199.9999999999991</v>
      </c>
      <c r="S174" s="81">
        <f t="shared" si="319"/>
        <v>0</v>
      </c>
      <c r="T174" s="81">
        <f t="shared" si="320"/>
        <v>4199.9999999999991</v>
      </c>
      <c r="U174" s="82">
        <f t="shared" si="321"/>
        <v>0.39855475000000007</v>
      </c>
      <c r="V174" s="82">
        <f t="shared" si="322"/>
        <v>0.39855475000000007</v>
      </c>
      <c r="W174" s="82" t="str">
        <f t="shared" si="323"/>
        <v/>
      </c>
      <c r="X174" s="83">
        <f>BS174+SCENARIU!$C$30+'AJUSTĂRI PE PRODUS'!$I$108</f>
        <v>18</v>
      </c>
      <c r="Y174" s="83"/>
      <c r="Z174" s="84">
        <f t="shared" si="324"/>
        <v>4199.9999999999991</v>
      </c>
      <c r="AA174" s="84">
        <f t="shared" si="325"/>
        <v>0</v>
      </c>
      <c r="AB174" s="84">
        <f t="shared" si="326"/>
        <v>4199.9999999999991</v>
      </c>
      <c r="AC174" s="85">
        <f t="shared" si="327"/>
        <v>0.39855475000000007</v>
      </c>
      <c r="AD174" s="85">
        <f t="shared" si="328"/>
        <v>0.39855475000000007</v>
      </c>
      <c r="AE174" s="85" t="str">
        <f t="shared" si="329"/>
        <v/>
      </c>
      <c r="AF174" s="83">
        <f>BU174+SCENARIU!$C$30+SCENARIU!$D$30+'AJUSTĂRI PE PRODUS'!$I$108+'AJUSTĂRI PE PRODUS'!$N$108</f>
        <v>18.489999999999998</v>
      </c>
      <c r="AG174" s="83"/>
      <c r="AH174" s="86">
        <f t="shared" si="330"/>
        <v>4314.333333333333</v>
      </c>
      <c r="AI174" s="86">
        <f t="shared" si="331"/>
        <v>0</v>
      </c>
      <c r="AJ174" s="86">
        <f t="shared" si="332"/>
        <v>4314.333333333333</v>
      </c>
      <c r="AK174" s="87">
        <f t="shared" si="333"/>
        <v>0.38799272579772853</v>
      </c>
      <c r="AL174" s="87">
        <f t="shared" si="334"/>
        <v>0.38799272579772853</v>
      </c>
      <c r="AM174" s="87" t="str">
        <f t="shared" si="335"/>
        <v/>
      </c>
      <c r="AN174" s="83">
        <f>BW174+SCENARIU!$C$30+SCENARIU!$D$30+SCENARIU!$E$30+'AJUSTĂRI PE PRODUS'!$I$108+'AJUSTĂRI PE PRODUS'!$N$108+'AJUSTĂRI PE PRODUS'!$S$108</f>
        <v>18.989999999999998</v>
      </c>
      <c r="AO174" s="83"/>
      <c r="AP174" s="88">
        <f t="shared" si="336"/>
        <v>4430.9999999999991</v>
      </c>
      <c r="AQ174" s="88">
        <f t="shared" si="337"/>
        <v>0</v>
      </c>
      <c r="AR174" s="88">
        <f t="shared" si="338"/>
        <v>4430.9999999999991</v>
      </c>
      <c r="AS174" s="89">
        <f t="shared" si="339"/>
        <v>0.37777701421800952</v>
      </c>
      <c r="AT174" s="89">
        <f t="shared" si="340"/>
        <v>0.37777701421800952</v>
      </c>
      <c r="AU174" s="89" t="str">
        <f t="shared" si="341"/>
        <v/>
      </c>
      <c r="AV174" s="83">
        <f>BY174+SCENARIU!$C$30+SCENARIU!$D$30+SCENARIU!$E$30+SCENARIU!$F$30+'AJUSTĂRI PE PRODUS'!$I$108+'AJUSTĂRI PE PRODUS'!$N$108+'AJUSTĂRI PE PRODUS'!$S$108+'AJUSTĂRI PE PRODUS'!$X$108</f>
        <v>18.989999999999998</v>
      </c>
      <c r="AW174" s="83"/>
      <c r="AX174" s="90">
        <f t="shared" si="342"/>
        <v>4430.9999999999991</v>
      </c>
      <c r="AY174" s="90">
        <f t="shared" si="343"/>
        <v>0</v>
      </c>
      <c r="AZ174" s="90">
        <f t="shared" si="344"/>
        <v>4430.9999999999991</v>
      </c>
      <c r="BA174" s="91">
        <f t="shared" si="345"/>
        <v>0.37777701421800952</v>
      </c>
      <c r="BB174" s="91">
        <f t="shared" si="346"/>
        <v>0.37777701421800952</v>
      </c>
      <c r="BC174" s="91" t="str">
        <f t="shared" si="347"/>
        <v/>
      </c>
      <c r="BD174" s="92">
        <f t="shared" si="348"/>
        <v>0</v>
      </c>
      <c r="BE174" s="92">
        <f t="shared" si="349"/>
        <v>0</v>
      </c>
      <c r="BF174" s="92">
        <f t="shared" si="350"/>
        <v>0.48999999999999844</v>
      </c>
      <c r="BG174" s="92">
        <f t="shared" si="351"/>
        <v>0.5</v>
      </c>
      <c r="BH174" s="92">
        <f t="shared" si="352"/>
        <v>0</v>
      </c>
      <c r="BI174" s="93">
        <f t="shared" si="353"/>
        <v>0.98999999999999844</v>
      </c>
      <c r="BJ174" s="92" t="str">
        <f t="shared" si="354"/>
        <v/>
      </c>
      <c r="BK174" s="92" t="str">
        <f t="shared" si="355"/>
        <v/>
      </c>
      <c r="BL174" s="92" t="str">
        <f t="shared" si="356"/>
        <v/>
      </c>
      <c r="BM174" s="92" t="str">
        <f t="shared" si="357"/>
        <v/>
      </c>
      <c r="BN174" s="92" t="str">
        <f t="shared" si="358"/>
        <v/>
      </c>
      <c r="BO174" s="93" t="str">
        <f t="shared" si="359"/>
        <v/>
      </c>
      <c r="BQ174">
        <v>18</v>
      </c>
      <c r="BS174">
        <v>18</v>
      </c>
      <c r="BU174">
        <v>18.489999999999998</v>
      </c>
      <c r="BW174">
        <v>18.989999999999998</v>
      </c>
      <c r="BY174">
        <v>18.989999999999998</v>
      </c>
    </row>
    <row r="175" spans="1:78" x14ac:dyDescent="0.2">
      <c r="A175" s="26">
        <v>12</v>
      </c>
      <c r="B175" s="26" t="s">
        <v>245</v>
      </c>
      <c r="C175" s="26" t="s">
        <v>105</v>
      </c>
      <c r="D175" s="74">
        <v>1</v>
      </c>
      <c r="E175" s="75">
        <v>11</v>
      </c>
      <c r="F175" s="76">
        <v>257</v>
      </c>
      <c r="G175" s="76">
        <v>0</v>
      </c>
      <c r="H175" s="77">
        <f>SUMIFS(RETETAR!$I$4:$I$967,RETETAR!$A$4:$A$967,$M175,RETETAR!$C$4:$C$967,"AMBELE")+SUMIFS(RETETAR!$I$4:$I$967,RETETAR!$A$4:$A$967,$M175,RETETAR!$C$4:$C$967,"INSTORE")</f>
        <v>6.46305</v>
      </c>
      <c r="I175" s="77">
        <f>SUMIFS(RETETAR!$I$4:$I$967,RETETAR!$A$4:$A$967,$M175,RETETAR!$C$4:$C$967,"AMBELE")+SUMIFS(RETETAR!$I$4:$I$967,RETETAR!$A$4:$A$967,$M175,RETETAR!$C$4:$C$967,"DELIVERY")</f>
        <v>6.46305</v>
      </c>
      <c r="J175" s="78">
        <f t="shared" si="315"/>
        <v>1661.0038500000001</v>
      </c>
      <c r="K175" s="78">
        <f t="shared" si="316"/>
        <v>0</v>
      </c>
      <c r="L175" s="78">
        <f t="shared" si="317"/>
        <v>1661.0038500000001</v>
      </c>
      <c r="M175" t="s">
        <v>448</v>
      </c>
      <c r="N175" s="79">
        <v>18</v>
      </c>
      <c r="O175" s="79"/>
      <c r="P175" s="80">
        <v>18</v>
      </c>
      <c r="Q175" s="80"/>
      <c r="R175" s="81">
        <f t="shared" si="318"/>
        <v>4167.5675675675666</v>
      </c>
      <c r="S175" s="81">
        <f t="shared" si="319"/>
        <v>0</v>
      </c>
      <c r="T175" s="81">
        <f t="shared" si="320"/>
        <v>4167.5675675675666</v>
      </c>
      <c r="U175" s="82">
        <f t="shared" si="321"/>
        <v>0.39855475000000012</v>
      </c>
      <c r="V175" s="82">
        <f t="shared" si="322"/>
        <v>0.39855475000000012</v>
      </c>
      <c r="W175" s="82" t="str">
        <f t="shared" si="323"/>
        <v/>
      </c>
      <c r="X175" s="83">
        <f>BS175+SCENARIU!$C$30+'AJUSTĂRI PE PRODUS'!$I$109</f>
        <v>18</v>
      </c>
      <c r="Y175" s="83"/>
      <c r="Z175" s="84">
        <f t="shared" si="324"/>
        <v>4167.5675675675666</v>
      </c>
      <c r="AA175" s="84">
        <f t="shared" si="325"/>
        <v>0</v>
      </c>
      <c r="AB175" s="84">
        <f t="shared" si="326"/>
        <v>4167.5675675675666</v>
      </c>
      <c r="AC175" s="85">
        <f t="shared" si="327"/>
        <v>0.39855475000000012</v>
      </c>
      <c r="AD175" s="85">
        <f t="shared" si="328"/>
        <v>0.39855475000000012</v>
      </c>
      <c r="AE175" s="85" t="str">
        <f t="shared" si="329"/>
        <v/>
      </c>
      <c r="AF175" s="83">
        <f>BU175+SCENARIU!$C$30+SCENARIU!$D$30+'AJUSTĂRI PE PRODUS'!$I$109+'AJUSTĂRI PE PRODUS'!$N$109</f>
        <v>18.489999999999998</v>
      </c>
      <c r="AG175" s="83"/>
      <c r="AH175" s="86">
        <f t="shared" si="330"/>
        <v>4281.0180180180178</v>
      </c>
      <c r="AI175" s="86">
        <f t="shared" si="331"/>
        <v>0</v>
      </c>
      <c r="AJ175" s="86">
        <f t="shared" si="332"/>
        <v>4281.0180180180178</v>
      </c>
      <c r="AK175" s="87">
        <f t="shared" si="333"/>
        <v>0.38799272579772853</v>
      </c>
      <c r="AL175" s="87">
        <f t="shared" si="334"/>
        <v>0.38799272579772853</v>
      </c>
      <c r="AM175" s="87" t="str">
        <f t="shared" si="335"/>
        <v/>
      </c>
      <c r="AN175" s="83">
        <f>BW175+SCENARIU!$C$30+SCENARIU!$D$30+SCENARIU!$E$30+'AJUSTĂRI PE PRODUS'!$I$109+'AJUSTĂRI PE PRODUS'!$N$109+'AJUSTĂRI PE PRODUS'!$S$109</f>
        <v>18.989999999999998</v>
      </c>
      <c r="AO175" s="83"/>
      <c r="AP175" s="88">
        <f t="shared" si="336"/>
        <v>4396.7837837837833</v>
      </c>
      <c r="AQ175" s="88">
        <f t="shared" si="337"/>
        <v>0</v>
      </c>
      <c r="AR175" s="88">
        <f t="shared" si="338"/>
        <v>4396.7837837837833</v>
      </c>
      <c r="AS175" s="89">
        <f t="shared" si="339"/>
        <v>0.37777701421800952</v>
      </c>
      <c r="AT175" s="89">
        <f t="shared" si="340"/>
        <v>0.37777701421800952</v>
      </c>
      <c r="AU175" s="89" t="str">
        <f t="shared" si="341"/>
        <v/>
      </c>
      <c r="AV175" s="83">
        <f>BY175+SCENARIU!$C$30+SCENARIU!$D$30+SCENARIU!$E$30+SCENARIU!$F$30+'AJUSTĂRI PE PRODUS'!$I$109+'AJUSTĂRI PE PRODUS'!$N$109+'AJUSTĂRI PE PRODUS'!$S$109+'AJUSTĂRI PE PRODUS'!$X$109</f>
        <v>18.989999999999998</v>
      </c>
      <c r="AW175" s="83"/>
      <c r="AX175" s="90">
        <f t="shared" si="342"/>
        <v>4396.7837837837833</v>
      </c>
      <c r="AY175" s="90">
        <f t="shared" si="343"/>
        <v>0</v>
      </c>
      <c r="AZ175" s="90">
        <f t="shared" si="344"/>
        <v>4396.7837837837833</v>
      </c>
      <c r="BA175" s="91">
        <f t="shared" si="345"/>
        <v>0.37777701421800952</v>
      </c>
      <c r="BB175" s="91">
        <f t="shared" si="346"/>
        <v>0.37777701421800952</v>
      </c>
      <c r="BC175" s="91" t="str">
        <f t="shared" si="347"/>
        <v/>
      </c>
      <c r="BD175" s="92">
        <f t="shared" si="348"/>
        <v>0</v>
      </c>
      <c r="BE175" s="92">
        <f t="shared" si="349"/>
        <v>0</v>
      </c>
      <c r="BF175" s="92">
        <f t="shared" si="350"/>
        <v>0.48999999999999844</v>
      </c>
      <c r="BG175" s="92">
        <f t="shared" si="351"/>
        <v>0.5</v>
      </c>
      <c r="BH175" s="92">
        <f t="shared" si="352"/>
        <v>0</v>
      </c>
      <c r="BI175" s="93">
        <f t="shared" si="353"/>
        <v>0.98999999999999844</v>
      </c>
      <c r="BJ175" s="92" t="str">
        <f t="shared" si="354"/>
        <v/>
      </c>
      <c r="BK175" s="92" t="str">
        <f t="shared" si="355"/>
        <v/>
      </c>
      <c r="BL175" s="92" t="str">
        <f t="shared" si="356"/>
        <v/>
      </c>
      <c r="BM175" s="92" t="str">
        <f t="shared" si="357"/>
        <v/>
      </c>
      <c r="BN175" s="92" t="str">
        <f t="shared" si="358"/>
        <v/>
      </c>
      <c r="BO175" s="93" t="str">
        <f t="shared" si="359"/>
        <v/>
      </c>
      <c r="BQ175">
        <v>18</v>
      </c>
      <c r="BS175">
        <v>18</v>
      </c>
      <c r="BU175">
        <v>18.489999999999998</v>
      </c>
      <c r="BW175">
        <v>18.989999999999998</v>
      </c>
      <c r="BY175">
        <v>18.989999999999998</v>
      </c>
    </row>
    <row r="176" spans="1:78" x14ac:dyDescent="0.2">
      <c r="A176" s="26">
        <v>13</v>
      </c>
      <c r="B176" s="26" t="s">
        <v>250</v>
      </c>
      <c r="C176" s="26" t="s">
        <v>105</v>
      </c>
      <c r="D176" s="74">
        <v>1</v>
      </c>
      <c r="E176" s="75">
        <v>11</v>
      </c>
      <c r="F176" s="76">
        <v>127</v>
      </c>
      <c r="G176" s="76">
        <v>133</v>
      </c>
      <c r="H176" s="77">
        <f>SUMIFS(RETETAR!$I$4:$I$967,RETETAR!$A$4:$A$967,$M176,RETETAR!$C$4:$C$967,"AMBELE")+SUMIFS(RETETAR!$I$4:$I$967,RETETAR!$A$4:$A$967,$M176,RETETAR!$C$4:$C$967,"INSTORE")</f>
        <v>4.4600500000000007</v>
      </c>
      <c r="I176" s="77">
        <f>SUMIFS(RETETAR!$I$4:$I$967,RETETAR!$A$4:$A$967,$M176,RETETAR!$C$4:$C$967,"AMBELE")+SUMIFS(RETETAR!$I$4:$I$967,RETETAR!$A$4:$A$967,$M176,RETETAR!$C$4:$C$967,"DELIVERY")</f>
        <v>6.5610499999999998</v>
      </c>
      <c r="J176" s="78">
        <f t="shared" si="315"/>
        <v>566.42635000000007</v>
      </c>
      <c r="K176" s="78">
        <f t="shared" si="316"/>
        <v>872.61964999999998</v>
      </c>
      <c r="L176" s="78">
        <f t="shared" si="317"/>
        <v>1439.046</v>
      </c>
      <c r="M176" t="s">
        <v>449</v>
      </c>
      <c r="N176" s="79">
        <v>14</v>
      </c>
      <c r="O176" s="79">
        <v>16</v>
      </c>
      <c r="P176" s="80">
        <v>14</v>
      </c>
      <c r="Q176" s="80">
        <v>16</v>
      </c>
      <c r="R176" s="81">
        <f t="shared" si="318"/>
        <v>1601.8018018018017</v>
      </c>
      <c r="S176" s="81">
        <f t="shared" si="319"/>
        <v>1917.117117117117</v>
      </c>
      <c r="T176" s="81">
        <f t="shared" si="320"/>
        <v>3518.9189189189187</v>
      </c>
      <c r="U176" s="82">
        <f t="shared" si="321"/>
        <v>0.4089454838709678</v>
      </c>
      <c r="V176" s="82">
        <f t="shared" si="322"/>
        <v>0.35361825000000008</v>
      </c>
      <c r="W176" s="82">
        <f t="shared" si="323"/>
        <v>0.45517284375</v>
      </c>
      <c r="X176" s="83">
        <f>BS176+SCENARIU!$C$30+'AJUSTĂRI PE PRODUS'!$I$116</f>
        <v>14</v>
      </c>
      <c r="Y176" s="83">
        <f>BT176+SCENARIU!$C$30+'AJUSTĂRI PE PRODUS'!$J$116</f>
        <v>16</v>
      </c>
      <c r="Z176" s="84">
        <f t="shared" si="324"/>
        <v>1601.8018018018017</v>
      </c>
      <c r="AA176" s="84">
        <f t="shared" si="325"/>
        <v>1917.117117117117</v>
      </c>
      <c r="AB176" s="84">
        <f t="shared" si="326"/>
        <v>3518.9189189189187</v>
      </c>
      <c r="AC176" s="85">
        <f t="shared" si="327"/>
        <v>0.4089454838709678</v>
      </c>
      <c r="AD176" s="85">
        <f t="shared" si="328"/>
        <v>0.35361825000000008</v>
      </c>
      <c r="AE176" s="85">
        <f t="shared" si="329"/>
        <v>0.45517284375</v>
      </c>
      <c r="AF176" s="83">
        <f>BU176+SCENARIU!$C$30+SCENARIU!$D$30+'AJUSTĂRI PE PRODUS'!$I$116+'AJUSTĂRI PE PRODUS'!$N$116</f>
        <v>14.49</v>
      </c>
      <c r="AG176" s="83">
        <f>BV176+SCENARIU!$C$30+SCENARIU!$D$30+'AJUSTĂRI PE PRODUS'!$J$116+'AJUSTĂRI PE PRODUS'!$O$116</f>
        <v>16.489999999999998</v>
      </c>
      <c r="AH176" s="86">
        <f t="shared" si="330"/>
        <v>1657.8648648648648</v>
      </c>
      <c r="AI176" s="86">
        <f t="shared" si="331"/>
        <v>1975.8288288288286</v>
      </c>
      <c r="AJ176" s="86">
        <f t="shared" si="332"/>
        <v>3633.6936936936936</v>
      </c>
      <c r="AK176" s="87">
        <f t="shared" si="333"/>
        <v>0.39602842762929541</v>
      </c>
      <c r="AL176" s="87">
        <f t="shared" si="334"/>
        <v>0.34166014492753627</v>
      </c>
      <c r="AM176" s="87">
        <f t="shared" si="335"/>
        <v>0.44164739235900552</v>
      </c>
      <c r="AN176" s="83">
        <f>BW176+SCENARIU!$C$30+SCENARIU!$D$30+SCENARIU!$E$30+'AJUSTĂRI PE PRODUS'!$I$116+'AJUSTĂRI PE PRODUS'!$N$116+'AJUSTĂRI PE PRODUS'!$S$116</f>
        <v>14.99</v>
      </c>
      <c r="AO176" s="83">
        <f>BX176+SCENARIU!$C$30+SCENARIU!$D$30+SCENARIU!$E$30+'AJUSTĂRI PE PRODUS'!$J$116+'AJUSTĂRI PE PRODUS'!$O$116+'AJUSTĂRI PE PRODUS'!$T$116</f>
        <v>16.989999999999998</v>
      </c>
      <c r="AP176" s="88">
        <f t="shared" si="336"/>
        <v>1715.0720720720719</v>
      </c>
      <c r="AQ176" s="88">
        <f t="shared" si="337"/>
        <v>2035.7387387387384</v>
      </c>
      <c r="AR176" s="88">
        <f t="shared" si="338"/>
        <v>3750.8108108108104</v>
      </c>
      <c r="AS176" s="89">
        <f t="shared" si="339"/>
        <v>0.38366264591439697</v>
      </c>
      <c r="AT176" s="89">
        <f t="shared" si="340"/>
        <v>0.33026387591727824</v>
      </c>
      <c r="AU176" s="89">
        <f t="shared" si="341"/>
        <v>0.42865011771630374</v>
      </c>
      <c r="AV176" s="83">
        <f>BY176+SCENARIU!$C$30+SCENARIU!$D$30+SCENARIU!$E$30+SCENARIU!$F$30+'AJUSTĂRI PE PRODUS'!$I$116+'AJUSTĂRI PE PRODUS'!$N$116+'AJUSTĂRI PE PRODUS'!$S$116+'AJUSTĂRI PE PRODUS'!$X$116</f>
        <v>14.99</v>
      </c>
      <c r="AW176" s="83">
        <f>BZ176+SCENARIU!$C$30+SCENARIU!$D$30+SCENARIU!$E$30+SCENARIU!$F$30+'AJUSTĂRI PE PRODUS'!$J$116+'AJUSTĂRI PE PRODUS'!$O$116+'AJUSTĂRI PE PRODUS'!$T$116+'AJUSTĂRI PE PRODUS'!$Y$116</f>
        <v>16.989999999999998</v>
      </c>
      <c r="AX176" s="90">
        <f t="shared" si="342"/>
        <v>1715.0720720720719</v>
      </c>
      <c r="AY176" s="90">
        <f t="shared" si="343"/>
        <v>2035.7387387387384</v>
      </c>
      <c r="AZ176" s="90">
        <f t="shared" si="344"/>
        <v>3750.8108108108104</v>
      </c>
      <c r="BA176" s="91">
        <f t="shared" si="345"/>
        <v>0.38366264591439697</v>
      </c>
      <c r="BB176" s="91">
        <f t="shared" si="346"/>
        <v>0.33026387591727824</v>
      </c>
      <c r="BC176" s="91">
        <f t="shared" si="347"/>
        <v>0.42865011771630374</v>
      </c>
      <c r="BD176" s="92">
        <f t="shared" si="348"/>
        <v>0</v>
      </c>
      <c r="BE176" s="92">
        <f t="shared" si="349"/>
        <v>0</v>
      </c>
      <c r="BF176" s="92">
        <f t="shared" si="350"/>
        <v>0.49000000000000021</v>
      </c>
      <c r="BG176" s="92">
        <f t="shared" si="351"/>
        <v>0.5</v>
      </c>
      <c r="BH176" s="92">
        <f t="shared" si="352"/>
        <v>0</v>
      </c>
      <c r="BI176" s="93">
        <f t="shared" si="353"/>
        <v>0.99000000000000021</v>
      </c>
      <c r="BJ176" s="92">
        <f t="shared" si="354"/>
        <v>0</v>
      </c>
      <c r="BK176" s="92">
        <f t="shared" si="355"/>
        <v>0</v>
      </c>
      <c r="BL176" s="92">
        <f t="shared" si="356"/>
        <v>0.48999999999999844</v>
      </c>
      <c r="BM176" s="92">
        <f t="shared" si="357"/>
        <v>0.5</v>
      </c>
      <c r="BN176" s="92">
        <f t="shared" si="358"/>
        <v>0</v>
      </c>
      <c r="BO176" s="93">
        <f t="shared" si="359"/>
        <v>0.98999999999999844</v>
      </c>
      <c r="BQ176">
        <v>14</v>
      </c>
      <c r="BR176">
        <v>16</v>
      </c>
      <c r="BS176">
        <v>14</v>
      </c>
      <c r="BT176">
        <v>16</v>
      </c>
      <c r="BU176">
        <v>14.49</v>
      </c>
      <c r="BV176">
        <v>16.489999999999998</v>
      </c>
      <c r="BW176">
        <v>14.99</v>
      </c>
      <c r="BX176">
        <v>16.989999999999998</v>
      </c>
      <c r="BY176">
        <v>14.99</v>
      </c>
      <c r="BZ176">
        <v>16.989999999999998</v>
      </c>
    </row>
    <row r="177" spans="1:78" x14ac:dyDescent="0.2">
      <c r="A177" s="26">
        <v>14</v>
      </c>
      <c r="B177" s="26" t="s">
        <v>258</v>
      </c>
      <c r="C177" s="26" t="s">
        <v>105</v>
      </c>
      <c r="D177" s="74">
        <v>1</v>
      </c>
      <c r="E177" s="75">
        <v>11</v>
      </c>
      <c r="F177" s="76">
        <v>198</v>
      </c>
      <c r="G177" s="76">
        <v>0</v>
      </c>
      <c r="H177" s="77">
        <f>SUMIFS(RETETAR!$I$4:$I$967,RETETAR!$A$4:$A$967,$M177,RETETAR!$C$4:$C$967,"AMBELE")+SUMIFS(RETETAR!$I$4:$I$967,RETETAR!$A$4:$A$967,$M177,RETETAR!$C$4:$C$967,"INSTORE")</f>
        <v>6.5751502999999998</v>
      </c>
      <c r="I177" s="77">
        <f>SUMIFS(RETETAR!$I$4:$I$967,RETETAR!$A$4:$A$967,$M177,RETETAR!$C$4:$C$967,"AMBELE")+SUMIFS(RETETAR!$I$4:$I$967,RETETAR!$A$4:$A$967,$M177,RETETAR!$C$4:$C$967,"DELIVERY")</f>
        <v>0</v>
      </c>
      <c r="J177" s="78">
        <f t="shared" si="315"/>
        <v>1301.8797594</v>
      </c>
      <c r="K177" s="78">
        <f t="shared" si="316"/>
        <v>0</v>
      </c>
      <c r="L177" s="78">
        <f t="shared" si="317"/>
        <v>1301.8797594</v>
      </c>
      <c r="M177" t="s">
        <v>450</v>
      </c>
      <c r="N177" s="79">
        <v>16</v>
      </c>
      <c r="O177" s="79">
        <v>16</v>
      </c>
      <c r="P177" s="80">
        <v>16</v>
      </c>
      <c r="Q177" s="80">
        <v>16</v>
      </c>
      <c r="R177" s="81">
        <f t="shared" si="318"/>
        <v>2854.0540540540537</v>
      </c>
      <c r="S177" s="81">
        <f t="shared" si="319"/>
        <v>0</v>
      </c>
      <c r="T177" s="81">
        <f t="shared" si="320"/>
        <v>2854.0540540540537</v>
      </c>
      <c r="U177" s="82">
        <f t="shared" si="321"/>
        <v>0.45615105206250006</v>
      </c>
      <c r="V177" s="82">
        <f t="shared" si="322"/>
        <v>0.45615105206250006</v>
      </c>
      <c r="W177" s="82" t="str">
        <f t="shared" si="323"/>
        <v/>
      </c>
      <c r="X177" s="83">
        <f>BS177+SCENARIU!$C$30+'AJUSTĂRI PE PRODUS'!$I$123</f>
        <v>16</v>
      </c>
      <c r="Y177" s="83">
        <f>BT177+SCENARIU!$C$30+'AJUSTĂRI PE PRODUS'!$J$123</f>
        <v>16</v>
      </c>
      <c r="Z177" s="84">
        <f t="shared" si="324"/>
        <v>2854.0540540540537</v>
      </c>
      <c r="AA177" s="84">
        <f t="shared" si="325"/>
        <v>0</v>
      </c>
      <c r="AB177" s="84">
        <f t="shared" si="326"/>
        <v>2854.0540540540537</v>
      </c>
      <c r="AC177" s="85">
        <f t="shared" si="327"/>
        <v>0.45615105206250006</v>
      </c>
      <c r="AD177" s="85">
        <f t="shared" si="328"/>
        <v>0.45615105206250006</v>
      </c>
      <c r="AE177" s="85" t="str">
        <f t="shared" si="329"/>
        <v/>
      </c>
      <c r="AF177" s="83">
        <f>BU177+SCENARIU!$C$30+SCENARIU!$D$30+'AJUSTĂRI PE PRODUS'!$I$123+'AJUSTĂRI PE PRODUS'!$N$123</f>
        <v>16.989999999999998</v>
      </c>
      <c r="AG177" s="83">
        <f>BV177+SCENARIU!$C$30+SCENARIU!$D$30+'AJUSTĂRI PE PRODUS'!$J$123+'AJUSTĂRI PE PRODUS'!$O$123</f>
        <v>16.989999999999998</v>
      </c>
      <c r="AH177" s="86">
        <f t="shared" si="330"/>
        <v>3030.6486486486483</v>
      </c>
      <c r="AI177" s="86">
        <f t="shared" si="331"/>
        <v>0</v>
      </c>
      <c r="AJ177" s="86">
        <f t="shared" si="332"/>
        <v>3030.6486486486483</v>
      </c>
      <c r="AK177" s="87">
        <f t="shared" si="333"/>
        <v>0.4295713262507358</v>
      </c>
      <c r="AL177" s="87">
        <f t="shared" si="334"/>
        <v>0.4295713262507358</v>
      </c>
      <c r="AM177" s="87" t="str">
        <f t="shared" si="335"/>
        <v/>
      </c>
      <c r="AN177" s="83">
        <f>BW177+SCENARIU!$C$30+SCENARIU!$D$30+SCENARIU!$E$30+'AJUSTĂRI PE PRODUS'!$I$123+'AJUSTĂRI PE PRODUS'!$N$123+'AJUSTĂRI PE PRODUS'!$S$123</f>
        <v>17.489999999999998</v>
      </c>
      <c r="AO177" s="83">
        <f>BX177+SCENARIU!$C$30+SCENARIU!$D$30+SCENARIU!$E$30+'AJUSTĂRI PE PRODUS'!$J$123+'AJUSTĂRI PE PRODUS'!$O$123+'AJUSTĂRI PE PRODUS'!$T$123</f>
        <v>17.489999999999998</v>
      </c>
      <c r="AP177" s="88">
        <f t="shared" si="336"/>
        <v>3119.8378378378375</v>
      </c>
      <c r="AQ177" s="88">
        <f t="shared" si="337"/>
        <v>0</v>
      </c>
      <c r="AR177" s="88">
        <f t="shared" si="338"/>
        <v>3119.8378378378375</v>
      </c>
      <c r="AS177" s="89">
        <f t="shared" si="339"/>
        <v>0.41729084236706693</v>
      </c>
      <c r="AT177" s="89">
        <f t="shared" si="340"/>
        <v>0.41729084236706693</v>
      </c>
      <c r="AU177" s="89" t="str">
        <f t="shared" si="341"/>
        <v/>
      </c>
      <c r="AV177" s="83">
        <f>BY177+SCENARIU!$C$30+SCENARIU!$D$30+SCENARIU!$E$30+SCENARIU!$F$30+'AJUSTĂRI PE PRODUS'!$I$123+'AJUSTĂRI PE PRODUS'!$N$123+'AJUSTĂRI PE PRODUS'!$S$123+'AJUSTĂRI PE PRODUS'!$X$123</f>
        <v>17.489999999999998</v>
      </c>
      <c r="AW177" s="83">
        <f>BZ177+SCENARIU!$C$30+SCENARIU!$D$30+SCENARIU!$E$30+SCENARIU!$F$30+'AJUSTĂRI PE PRODUS'!$J$123+'AJUSTĂRI PE PRODUS'!$O$123+'AJUSTĂRI PE PRODUS'!$T$123+'AJUSTĂRI PE PRODUS'!$Y$123</f>
        <v>17.489999999999998</v>
      </c>
      <c r="AX177" s="90">
        <f t="shared" si="342"/>
        <v>3119.8378378378375</v>
      </c>
      <c r="AY177" s="90">
        <f t="shared" si="343"/>
        <v>0</v>
      </c>
      <c r="AZ177" s="90">
        <f t="shared" si="344"/>
        <v>3119.8378378378375</v>
      </c>
      <c r="BA177" s="91">
        <f t="shared" si="345"/>
        <v>0.41729084236706693</v>
      </c>
      <c r="BB177" s="91">
        <f t="shared" si="346"/>
        <v>0.41729084236706693</v>
      </c>
      <c r="BC177" s="91" t="str">
        <f t="shared" si="347"/>
        <v/>
      </c>
      <c r="BD177" s="92">
        <f t="shared" si="348"/>
        <v>0</v>
      </c>
      <c r="BE177" s="92">
        <f t="shared" si="349"/>
        <v>0</v>
      </c>
      <c r="BF177" s="92">
        <f t="shared" si="350"/>
        <v>0.98999999999999844</v>
      </c>
      <c r="BG177" s="92">
        <f t="shared" si="351"/>
        <v>0.5</v>
      </c>
      <c r="BH177" s="92">
        <f t="shared" si="352"/>
        <v>0</v>
      </c>
      <c r="BI177" s="93">
        <f t="shared" si="353"/>
        <v>1.4899999999999984</v>
      </c>
      <c r="BJ177" s="92">
        <f t="shared" si="354"/>
        <v>0</v>
      </c>
      <c r="BK177" s="92">
        <f t="shared" si="355"/>
        <v>0</v>
      </c>
      <c r="BL177" s="92">
        <f t="shared" si="356"/>
        <v>0.98999999999999844</v>
      </c>
      <c r="BM177" s="92">
        <f t="shared" si="357"/>
        <v>0.5</v>
      </c>
      <c r="BN177" s="92">
        <f t="shared" si="358"/>
        <v>0</v>
      </c>
      <c r="BO177" s="93">
        <f t="shared" si="359"/>
        <v>1.4899999999999984</v>
      </c>
      <c r="BQ177">
        <v>16</v>
      </c>
      <c r="BR177">
        <v>16</v>
      </c>
      <c r="BS177">
        <v>16</v>
      </c>
      <c r="BT177">
        <v>16</v>
      </c>
      <c r="BU177">
        <v>16.989999999999998</v>
      </c>
      <c r="BV177">
        <v>16.989999999999998</v>
      </c>
      <c r="BW177">
        <v>17.489999999999998</v>
      </c>
      <c r="BX177">
        <v>17.489999999999998</v>
      </c>
      <c r="BY177">
        <v>17.489999999999998</v>
      </c>
      <c r="BZ177">
        <v>17.489999999999998</v>
      </c>
    </row>
    <row r="178" spans="1:78" x14ac:dyDescent="0.2">
      <c r="A178" s="26">
        <v>15</v>
      </c>
      <c r="B178" s="26" t="s">
        <v>262</v>
      </c>
      <c r="C178" s="26" t="s">
        <v>105</v>
      </c>
      <c r="D178" s="74">
        <v>1</v>
      </c>
      <c r="E178" s="75">
        <v>11</v>
      </c>
      <c r="F178" s="76">
        <v>182</v>
      </c>
      <c r="G178" s="76">
        <v>0</v>
      </c>
      <c r="H178" s="77">
        <f>SUMIFS(RETETAR!$I$4:$I$967,RETETAR!$A$4:$A$967,$M178,RETETAR!$C$4:$C$967,"AMBELE")+SUMIFS(RETETAR!$I$4:$I$967,RETETAR!$A$4:$A$967,$M178,RETETAR!$C$4:$C$967,"INSTORE")</f>
        <v>6.5994327500000001</v>
      </c>
      <c r="I178" s="77">
        <f>SUMIFS(RETETAR!$I$4:$I$967,RETETAR!$A$4:$A$967,$M178,RETETAR!$C$4:$C$967,"AMBELE")+SUMIFS(RETETAR!$I$4:$I$967,RETETAR!$A$4:$A$967,$M178,RETETAR!$C$4:$C$967,"DELIVERY")</f>
        <v>0</v>
      </c>
      <c r="J178" s="78">
        <f t="shared" si="315"/>
        <v>1201.0967605000001</v>
      </c>
      <c r="K178" s="78">
        <f t="shared" si="316"/>
        <v>0</v>
      </c>
      <c r="L178" s="78">
        <f t="shared" si="317"/>
        <v>1201.0967605000001</v>
      </c>
      <c r="M178" t="s">
        <v>451</v>
      </c>
      <c r="N178" s="79">
        <v>16</v>
      </c>
      <c r="O178" s="79">
        <v>16</v>
      </c>
      <c r="P178" s="80">
        <v>16</v>
      </c>
      <c r="Q178" s="80">
        <v>16</v>
      </c>
      <c r="R178" s="81">
        <f t="shared" si="318"/>
        <v>2623.4234234234232</v>
      </c>
      <c r="S178" s="81">
        <f t="shared" si="319"/>
        <v>0</v>
      </c>
      <c r="T178" s="81">
        <f t="shared" si="320"/>
        <v>2623.4234234234232</v>
      </c>
      <c r="U178" s="82">
        <f t="shared" si="321"/>
        <v>0.45783564703125007</v>
      </c>
      <c r="V178" s="82">
        <f t="shared" si="322"/>
        <v>0.45783564703125007</v>
      </c>
      <c r="W178" s="82" t="str">
        <f t="shared" si="323"/>
        <v/>
      </c>
      <c r="X178" s="83">
        <f>BS178+SCENARIU!$C$30+'AJUSTĂRI PE PRODUS'!$I$125</f>
        <v>16</v>
      </c>
      <c r="Y178" s="83">
        <f>BT178+SCENARIU!$C$30+'AJUSTĂRI PE PRODUS'!$J$125</f>
        <v>16</v>
      </c>
      <c r="Z178" s="84">
        <f t="shared" si="324"/>
        <v>2623.4234234234232</v>
      </c>
      <c r="AA178" s="84">
        <f t="shared" si="325"/>
        <v>0</v>
      </c>
      <c r="AB178" s="84">
        <f t="shared" si="326"/>
        <v>2623.4234234234232</v>
      </c>
      <c r="AC178" s="85">
        <f t="shared" si="327"/>
        <v>0.45783564703125007</v>
      </c>
      <c r="AD178" s="85">
        <f t="shared" si="328"/>
        <v>0.45783564703125007</v>
      </c>
      <c r="AE178" s="85" t="str">
        <f t="shared" si="329"/>
        <v/>
      </c>
      <c r="AF178" s="83">
        <f>BU178+SCENARIU!$C$30+SCENARIU!$D$30+'AJUSTĂRI PE PRODUS'!$I$125+'AJUSTĂRI PE PRODUS'!$N$125</f>
        <v>16.989999999999998</v>
      </c>
      <c r="AG178" s="83">
        <f>BV178+SCENARIU!$C$30+SCENARIU!$D$30+'AJUSTĂRI PE PRODUS'!$J$125+'AJUSTĂRI PE PRODUS'!$O$125</f>
        <v>16.989999999999998</v>
      </c>
      <c r="AH178" s="86">
        <f t="shared" si="330"/>
        <v>2785.7477477477473</v>
      </c>
      <c r="AI178" s="86">
        <f t="shared" si="331"/>
        <v>0</v>
      </c>
      <c r="AJ178" s="86">
        <f t="shared" si="332"/>
        <v>2785.7477477477473</v>
      </c>
      <c r="AK178" s="87">
        <f t="shared" si="333"/>
        <v>0.43115776059446742</v>
      </c>
      <c r="AL178" s="87">
        <f t="shared" si="334"/>
        <v>0.43115776059446742</v>
      </c>
      <c r="AM178" s="87" t="str">
        <f t="shared" si="335"/>
        <v/>
      </c>
      <c r="AN178" s="83">
        <f>BW178+SCENARIU!$C$30+SCENARIU!$D$30+SCENARIU!$E$30+'AJUSTĂRI PE PRODUS'!$I$125+'AJUSTĂRI PE PRODUS'!$N$125+'AJUSTĂRI PE PRODUS'!$S$125</f>
        <v>17.489999999999998</v>
      </c>
      <c r="AO178" s="83">
        <f>BX178+SCENARIU!$C$30+SCENARIU!$D$30+SCENARIU!$E$30+'AJUSTĂRI PE PRODUS'!$J$125+'AJUSTĂRI PE PRODUS'!$O$125+'AJUSTĂRI PE PRODUS'!$T$125</f>
        <v>17.489999999999998</v>
      </c>
      <c r="AP178" s="88">
        <f t="shared" si="336"/>
        <v>2867.7297297297291</v>
      </c>
      <c r="AQ178" s="88">
        <f t="shared" si="337"/>
        <v>0</v>
      </c>
      <c r="AR178" s="88">
        <f t="shared" si="338"/>
        <v>2867.7297297297291</v>
      </c>
      <c r="AS178" s="89">
        <f t="shared" si="339"/>
        <v>0.41883192409948555</v>
      </c>
      <c r="AT178" s="89">
        <f t="shared" si="340"/>
        <v>0.41883192409948555</v>
      </c>
      <c r="AU178" s="89" t="str">
        <f t="shared" si="341"/>
        <v/>
      </c>
      <c r="AV178" s="83">
        <f>BY178+SCENARIU!$C$30+SCENARIU!$D$30+SCENARIU!$E$30+SCENARIU!$F$30+'AJUSTĂRI PE PRODUS'!$I$125+'AJUSTĂRI PE PRODUS'!$N$125+'AJUSTĂRI PE PRODUS'!$S$125+'AJUSTĂRI PE PRODUS'!$X$125</f>
        <v>17.489999999999998</v>
      </c>
      <c r="AW178" s="83">
        <f>BZ178+SCENARIU!$C$30+SCENARIU!$D$30+SCENARIU!$E$30+SCENARIU!$F$30+'AJUSTĂRI PE PRODUS'!$J$125+'AJUSTĂRI PE PRODUS'!$O$125+'AJUSTĂRI PE PRODUS'!$T$125+'AJUSTĂRI PE PRODUS'!$Y$125</f>
        <v>17.489999999999998</v>
      </c>
      <c r="AX178" s="90">
        <f t="shared" si="342"/>
        <v>2867.7297297297291</v>
      </c>
      <c r="AY178" s="90">
        <f t="shared" si="343"/>
        <v>0</v>
      </c>
      <c r="AZ178" s="90">
        <f t="shared" si="344"/>
        <v>2867.7297297297291</v>
      </c>
      <c r="BA178" s="91">
        <f t="shared" si="345"/>
        <v>0.41883192409948555</v>
      </c>
      <c r="BB178" s="91">
        <f t="shared" si="346"/>
        <v>0.41883192409948555</v>
      </c>
      <c r="BC178" s="91" t="str">
        <f t="shared" si="347"/>
        <v/>
      </c>
      <c r="BD178" s="92">
        <f t="shared" si="348"/>
        <v>0</v>
      </c>
      <c r="BE178" s="92">
        <f t="shared" si="349"/>
        <v>0</v>
      </c>
      <c r="BF178" s="92">
        <f t="shared" si="350"/>
        <v>0.98999999999999844</v>
      </c>
      <c r="BG178" s="92">
        <f t="shared" si="351"/>
        <v>0.5</v>
      </c>
      <c r="BH178" s="92">
        <f t="shared" si="352"/>
        <v>0</v>
      </c>
      <c r="BI178" s="93">
        <f t="shared" si="353"/>
        <v>1.4899999999999984</v>
      </c>
      <c r="BJ178" s="92">
        <f t="shared" si="354"/>
        <v>0</v>
      </c>
      <c r="BK178" s="92">
        <f t="shared" si="355"/>
        <v>0</v>
      </c>
      <c r="BL178" s="92">
        <f t="shared" si="356"/>
        <v>0.98999999999999844</v>
      </c>
      <c r="BM178" s="92">
        <f t="shared" si="357"/>
        <v>0.5</v>
      </c>
      <c r="BN178" s="92">
        <f t="shared" si="358"/>
        <v>0</v>
      </c>
      <c r="BO178" s="93">
        <f t="shared" si="359"/>
        <v>1.4899999999999984</v>
      </c>
      <c r="BQ178">
        <v>16</v>
      </c>
      <c r="BR178">
        <v>16</v>
      </c>
      <c r="BS178">
        <v>16</v>
      </c>
      <c r="BT178">
        <v>16</v>
      </c>
      <c r="BU178">
        <v>16.989999999999998</v>
      </c>
      <c r="BV178">
        <v>16.989999999999998</v>
      </c>
      <c r="BW178">
        <v>17.489999999999998</v>
      </c>
      <c r="BX178">
        <v>17.489999999999998</v>
      </c>
      <c r="BY178">
        <v>17.489999999999998</v>
      </c>
      <c r="BZ178">
        <v>17.489999999999998</v>
      </c>
    </row>
    <row r="179" spans="1:78" x14ac:dyDescent="0.2">
      <c r="A179" s="26">
        <v>16</v>
      </c>
      <c r="B179" s="26" t="s">
        <v>271</v>
      </c>
      <c r="C179" s="26" t="s">
        <v>105</v>
      </c>
      <c r="D179" s="74">
        <v>1</v>
      </c>
      <c r="E179" s="75">
        <v>11</v>
      </c>
      <c r="F179" s="76">
        <v>124</v>
      </c>
      <c r="G179" s="76">
        <v>0</v>
      </c>
      <c r="H179" s="77">
        <f>SUMIFS(RETETAR!$I$4:$I$967,RETETAR!$A$4:$A$967,$M179,RETETAR!$C$4:$C$967,"AMBELE")+SUMIFS(RETETAR!$I$4:$I$967,RETETAR!$A$4:$A$967,$M179,RETETAR!$C$4:$C$967,"INSTORE")</f>
        <v>6.6439551999999997</v>
      </c>
      <c r="I179" s="77">
        <f>SUMIFS(RETETAR!$I$4:$I$967,RETETAR!$A$4:$A$967,$M179,RETETAR!$C$4:$C$967,"AMBELE")+SUMIFS(RETETAR!$I$4:$I$967,RETETAR!$A$4:$A$967,$M179,RETETAR!$C$4:$C$967,"DELIVERY")</f>
        <v>5.8974776000000002</v>
      </c>
      <c r="J179" s="78">
        <f t="shared" si="315"/>
        <v>823.85044479999999</v>
      </c>
      <c r="K179" s="78">
        <f t="shared" si="316"/>
        <v>0</v>
      </c>
      <c r="L179" s="78">
        <f t="shared" si="317"/>
        <v>823.85044479999999</v>
      </c>
      <c r="M179" t="s">
        <v>452</v>
      </c>
      <c r="N179" s="79">
        <v>18</v>
      </c>
      <c r="O179" s="79"/>
      <c r="P179" s="80">
        <v>18</v>
      </c>
      <c r="Q179" s="80"/>
      <c r="R179" s="81">
        <f t="shared" si="318"/>
        <v>2010.8108108108106</v>
      </c>
      <c r="S179" s="81">
        <f t="shared" si="319"/>
        <v>0</v>
      </c>
      <c r="T179" s="81">
        <f t="shared" si="320"/>
        <v>2010.8108108108106</v>
      </c>
      <c r="U179" s="82">
        <f t="shared" si="321"/>
        <v>0.40971057066666672</v>
      </c>
      <c r="V179" s="82">
        <f t="shared" si="322"/>
        <v>0.40971057066666672</v>
      </c>
      <c r="W179" s="82" t="str">
        <f t="shared" si="323"/>
        <v/>
      </c>
      <c r="X179" s="83">
        <f>BS179+SCENARIU!$C$30+'AJUSTĂRI PE PRODUS'!$I$134</f>
        <v>18</v>
      </c>
      <c r="Y179" s="83"/>
      <c r="Z179" s="84">
        <f t="shared" si="324"/>
        <v>2010.8108108108106</v>
      </c>
      <c r="AA179" s="84">
        <f t="shared" si="325"/>
        <v>0</v>
      </c>
      <c r="AB179" s="84">
        <f t="shared" si="326"/>
        <v>2010.8108108108106</v>
      </c>
      <c r="AC179" s="85">
        <f t="shared" si="327"/>
        <v>0.40971057066666672</v>
      </c>
      <c r="AD179" s="85">
        <f t="shared" si="328"/>
        <v>0.40971057066666672</v>
      </c>
      <c r="AE179" s="85" t="str">
        <f t="shared" si="329"/>
        <v/>
      </c>
      <c r="AF179" s="83">
        <f>BU179+SCENARIU!$C$30+SCENARIU!$D$30+'AJUSTĂRI PE PRODUS'!$I$134+'AJUSTĂRI PE PRODUS'!$N$134</f>
        <v>18.489999999999998</v>
      </c>
      <c r="AG179" s="83"/>
      <c r="AH179" s="86">
        <f t="shared" si="330"/>
        <v>2065.5495495495493</v>
      </c>
      <c r="AI179" s="86">
        <f t="shared" si="331"/>
        <v>0</v>
      </c>
      <c r="AJ179" s="86">
        <f t="shared" si="332"/>
        <v>2065.5495495495493</v>
      </c>
      <c r="AK179" s="87">
        <f t="shared" si="333"/>
        <v>0.39885290816657659</v>
      </c>
      <c r="AL179" s="87">
        <f t="shared" si="334"/>
        <v>0.39885290816657659</v>
      </c>
      <c r="AM179" s="87" t="str">
        <f t="shared" si="335"/>
        <v/>
      </c>
      <c r="AN179" s="83">
        <f>BW179+SCENARIU!$C$30+SCENARIU!$D$30+SCENARIU!$E$30+'AJUSTĂRI PE PRODUS'!$I$134+'AJUSTĂRI PE PRODUS'!$N$134+'AJUSTĂRI PE PRODUS'!$S$134</f>
        <v>18.989999999999998</v>
      </c>
      <c r="AO179" s="83"/>
      <c r="AP179" s="88">
        <f t="shared" si="336"/>
        <v>2121.405405405405</v>
      </c>
      <c r="AQ179" s="88">
        <f t="shared" si="337"/>
        <v>0</v>
      </c>
      <c r="AR179" s="88">
        <f t="shared" si="338"/>
        <v>2121.405405405405</v>
      </c>
      <c r="AS179" s="89">
        <f t="shared" si="339"/>
        <v>0.38835125181674574</v>
      </c>
      <c r="AT179" s="89">
        <f t="shared" si="340"/>
        <v>0.38835125181674574</v>
      </c>
      <c r="AU179" s="89" t="str">
        <f t="shared" si="341"/>
        <v/>
      </c>
      <c r="AV179" s="83">
        <f>BY179+SCENARIU!$C$30+SCENARIU!$D$30+SCENARIU!$E$30+SCENARIU!$F$30+'AJUSTĂRI PE PRODUS'!$I$134+'AJUSTĂRI PE PRODUS'!$N$134+'AJUSTĂRI PE PRODUS'!$S$134+'AJUSTĂRI PE PRODUS'!$X$134</f>
        <v>18.989999999999998</v>
      </c>
      <c r="AW179" s="83"/>
      <c r="AX179" s="90">
        <f t="shared" si="342"/>
        <v>2121.405405405405</v>
      </c>
      <c r="AY179" s="90">
        <f t="shared" si="343"/>
        <v>0</v>
      </c>
      <c r="AZ179" s="90">
        <f t="shared" si="344"/>
        <v>2121.405405405405</v>
      </c>
      <c r="BA179" s="91">
        <f t="shared" si="345"/>
        <v>0.38835125181674574</v>
      </c>
      <c r="BB179" s="91">
        <f t="shared" si="346"/>
        <v>0.38835125181674574</v>
      </c>
      <c r="BC179" s="91" t="str">
        <f t="shared" si="347"/>
        <v/>
      </c>
      <c r="BD179" s="92">
        <f t="shared" si="348"/>
        <v>0</v>
      </c>
      <c r="BE179" s="92">
        <f t="shared" si="349"/>
        <v>0</v>
      </c>
      <c r="BF179" s="92">
        <f t="shared" si="350"/>
        <v>0.48999999999999844</v>
      </c>
      <c r="BG179" s="92">
        <f t="shared" si="351"/>
        <v>0.5</v>
      </c>
      <c r="BH179" s="92">
        <f t="shared" si="352"/>
        <v>0</v>
      </c>
      <c r="BI179" s="93">
        <f t="shared" si="353"/>
        <v>0.98999999999999844</v>
      </c>
      <c r="BJ179" s="92" t="str">
        <f t="shared" si="354"/>
        <v/>
      </c>
      <c r="BK179" s="92" t="str">
        <f t="shared" si="355"/>
        <v/>
      </c>
      <c r="BL179" s="92" t="str">
        <f t="shared" si="356"/>
        <v/>
      </c>
      <c r="BM179" s="92" t="str">
        <f t="shared" si="357"/>
        <v/>
      </c>
      <c r="BN179" s="92" t="str">
        <f t="shared" si="358"/>
        <v/>
      </c>
      <c r="BO179" s="93" t="str">
        <f t="shared" si="359"/>
        <v/>
      </c>
      <c r="BQ179">
        <v>18</v>
      </c>
      <c r="BS179">
        <v>18</v>
      </c>
      <c r="BU179">
        <v>18.489999999999998</v>
      </c>
      <c r="BW179">
        <v>18.989999999999998</v>
      </c>
      <c r="BY179">
        <v>18.989999999999998</v>
      </c>
    </row>
    <row r="180" spans="1:78" x14ac:dyDescent="0.2">
      <c r="A180" s="26">
        <v>17</v>
      </c>
      <c r="B180" s="26" t="s">
        <v>272</v>
      </c>
      <c r="C180" s="26" t="s">
        <v>105</v>
      </c>
      <c r="D180" s="74">
        <v>1</v>
      </c>
      <c r="E180" s="75">
        <v>11</v>
      </c>
      <c r="F180" s="76">
        <v>119</v>
      </c>
      <c r="G180" s="76">
        <v>0</v>
      </c>
      <c r="H180" s="77">
        <f>SUMIFS(RETETAR!$I$4:$I$967,RETETAR!$A$4:$A$967,$M180,RETETAR!$C$4:$C$967,"AMBELE")+SUMIFS(RETETAR!$I$4:$I$967,RETETAR!$A$4:$A$967,$M180,RETETAR!$C$4:$C$967,"INSTORE")</f>
        <v>6.5014327500000002</v>
      </c>
      <c r="I180" s="77">
        <f>SUMIFS(RETETAR!$I$4:$I$967,RETETAR!$A$4:$A$967,$M180,RETETAR!$C$4:$C$967,"AMBELE")+SUMIFS(RETETAR!$I$4:$I$967,RETETAR!$A$4:$A$967,$M180,RETETAR!$C$4:$C$967,"DELIVERY")</f>
        <v>0</v>
      </c>
      <c r="J180" s="78">
        <f t="shared" si="315"/>
        <v>773.67049725000004</v>
      </c>
      <c r="K180" s="78">
        <f t="shared" si="316"/>
        <v>0</v>
      </c>
      <c r="L180" s="78">
        <f t="shared" si="317"/>
        <v>773.67049725000004</v>
      </c>
      <c r="M180" t="s">
        <v>453</v>
      </c>
      <c r="N180" s="79">
        <v>18</v>
      </c>
      <c r="O180" s="79"/>
      <c r="P180" s="80">
        <v>18</v>
      </c>
      <c r="Q180" s="80"/>
      <c r="R180" s="81">
        <f t="shared" si="318"/>
        <v>1929.7297297297296</v>
      </c>
      <c r="S180" s="81">
        <f t="shared" si="319"/>
        <v>0</v>
      </c>
      <c r="T180" s="81">
        <f t="shared" si="320"/>
        <v>1929.7297297297296</v>
      </c>
      <c r="U180" s="82">
        <f t="shared" si="321"/>
        <v>0.40092168625000008</v>
      </c>
      <c r="V180" s="82">
        <f t="shared" si="322"/>
        <v>0.40092168625000008</v>
      </c>
      <c r="W180" s="82" t="str">
        <f t="shared" si="323"/>
        <v/>
      </c>
      <c r="X180" s="83">
        <f>BS180+SCENARIU!$C$30+'AJUSTĂRI PE PRODUS'!$I$135</f>
        <v>18</v>
      </c>
      <c r="Y180" s="83"/>
      <c r="Z180" s="84">
        <f t="shared" si="324"/>
        <v>1929.7297297297296</v>
      </c>
      <c r="AA180" s="84">
        <f t="shared" si="325"/>
        <v>0</v>
      </c>
      <c r="AB180" s="84">
        <f t="shared" si="326"/>
        <v>1929.7297297297296</v>
      </c>
      <c r="AC180" s="85">
        <f t="shared" si="327"/>
        <v>0.40092168625000008</v>
      </c>
      <c r="AD180" s="85">
        <f t="shared" si="328"/>
        <v>0.40092168625000008</v>
      </c>
      <c r="AE180" s="85" t="str">
        <f t="shared" si="329"/>
        <v/>
      </c>
      <c r="AF180" s="83">
        <f>BU180+SCENARIU!$C$30+SCENARIU!$D$30+'AJUSTĂRI PE PRODUS'!$I$135+'AJUSTĂRI PE PRODUS'!$N$135</f>
        <v>18.989999999999998</v>
      </c>
      <c r="AG180" s="83"/>
      <c r="AH180" s="86">
        <f t="shared" si="330"/>
        <v>2035.8648648648646</v>
      </c>
      <c r="AI180" s="86">
        <f t="shared" si="331"/>
        <v>0</v>
      </c>
      <c r="AJ180" s="86">
        <f t="shared" si="332"/>
        <v>2035.8648648648646</v>
      </c>
      <c r="AK180" s="87">
        <f t="shared" si="333"/>
        <v>0.38002055568720389</v>
      </c>
      <c r="AL180" s="87">
        <f t="shared" si="334"/>
        <v>0.38002055568720389</v>
      </c>
      <c r="AM180" s="87" t="str">
        <f t="shared" si="335"/>
        <v/>
      </c>
      <c r="AN180" s="83">
        <f>BW180+SCENARIU!$C$30+SCENARIU!$D$30+SCENARIU!$E$30+'AJUSTĂRI PE PRODUS'!$I$135+'AJUSTĂRI PE PRODUS'!$N$135+'AJUSTĂRI PE PRODUS'!$S$135</f>
        <v>19.489999999999998</v>
      </c>
      <c r="AO180" s="83"/>
      <c r="AP180" s="88">
        <f t="shared" si="336"/>
        <v>2089.468468468468</v>
      </c>
      <c r="AQ180" s="88">
        <f t="shared" si="337"/>
        <v>0</v>
      </c>
      <c r="AR180" s="88">
        <f t="shared" si="338"/>
        <v>2089.468468468468</v>
      </c>
      <c r="AS180" s="89">
        <f t="shared" si="339"/>
        <v>0.37027143932786055</v>
      </c>
      <c r="AT180" s="89">
        <f t="shared" si="340"/>
        <v>0.37027143932786055</v>
      </c>
      <c r="AU180" s="89" t="str">
        <f t="shared" si="341"/>
        <v/>
      </c>
      <c r="AV180" s="83">
        <f>BY180+SCENARIU!$C$30+SCENARIU!$D$30+SCENARIU!$E$30+SCENARIU!$F$30+'AJUSTĂRI PE PRODUS'!$I$135+'AJUSTĂRI PE PRODUS'!$N$135+'AJUSTĂRI PE PRODUS'!$S$135+'AJUSTĂRI PE PRODUS'!$X$135</f>
        <v>19.489999999999998</v>
      </c>
      <c r="AW180" s="83"/>
      <c r="AX180" s="90">
        <f t="shared" si="342"/>
        <v>2089.468468468468</v>
      </c>
      <c r="AY180" s="90">
        <f t="shared" si="343"/>
        <v>0</v>
      </c>
      <c r="AZ180" s="90">
        <f t="shared" si="344"/>
        <v>2089.468468468468</v>
      </c>
      <c r="BA180" s="91">
        <f t="shared" si="345"/>
        <v>0.37027143932786055</v>
      </c>
      <c r="BB180" s="91">
        <f t="shared" si="346"/>
        <v>0.37027143932786055</v>
      </c>
      <c r="BC180" s="91" t="str">
        <f t="shared" si="347"/>
        <v/>
      </c>
      <c r="BD180" s="92">
        <f t="shared" si="348"/>
        <v>0</v>
      </c>
      <c r="BE180" s="92">
        <f t="shared" si="349"/>
        <v>0</v>
      </c>
      <c r="BF180" s="92">
        <f t="shared" si="350"/>
        <v>0.98999999999999844</v>
      </c>
      <c r="BG180" s="92">
        <f t="shared" si="351"/>
        <v>0.5</v>
      </c>
      <c r="BH180" s="92">
        <f t="shared" si="352"/>
        <v>0</v>
      </c>
      <c r="BI180" s="93">
        <f t="shared" si="353"/>
        <v>1.4899999999999984</v>
      </c>
      <c r="BJ180" s="92" t="str">
        <f t="shared" si="354"/>
        <v/>
      </c>
      <c r="BK180" s="92" t="str">
        <f t="shared" si="355"/>
        <v/>
      </c>
      <c r="BL180" s="92" t="str">
        <f t="shared" si="356"/>
        <v/>
      </c>
      <c r="BM180" s="92" t="str">
        <f t="shared" si="357"/>
        <v/>
      </c>
      <c r="BN180" s="92" t="str">
        <f t="shared" si="358"/>
        <v/>
      </c>
      <c r="BO180" s="93" t="str">
        <f t="shared" si="359"/>
        <v/>
      </c>
      <c r="BQ180">
        <v>18</v>
      </c>
      <c r="BS180">
        <v>18</v>
      </c>
      <c r="BU180">
        <v>18.989999999999998</v>
      </c>
      <c r="BW180">
        <v>19.489999999999998</v>
      </c>
      <c r="BY180">
        <v>19.489999999999998</v>
      </c>
    </row>
    <row r="181" spans="1:78" x14ac:dyDescent="0.2">
      <c r="A181" s="26">
        <v>18</v>
      </c>
      <c r="B181" s="26" t="s">
        <v>273</v>
      </c>
      <c r="C181" s="26" t="s">
        <v>105</v>
      </c>
      <c r="D181" s="74">
        <v>1</v>
      </c>
      <c r="E181" s="75">
        <v>11</v>
      </c>
      <c r="F181" s="76">
        <v>105</v>
      </c>
      <c r="G181" s="76">
        <v>0</v>
      </c>
      <c r="H181" s="77">
        <f>SUMIFS(RETETAR!$I$4:$I$967,RETETAR!$A$4:$A$967,$M181,RETETAR!$C$4:$C$967,"AMBELE")+SUMIFS(RETETAR!$I$4:$I$967,RETETAR!$A$4:$A$967,$M181,RETETAR!$C$4:$C$967,"INSTORE")</f>
        <v>5.20526</v>
      </c>
      <c r="I181" s="77">
        <f>SUMIFS(RETETAR!$I$4:$I$967,RETETAR!$A$4:$A$967,$M181,RETETAR!$C$4:$C$967,"AMBELE")+SUMIFS(RETETAR!$I$4:$I$967,RETETAR!$A$4:$A$967,$M181,RETETAR!$C$4:$C$967,"DELIVERY")</f>
        <v>0</v>
      </c>
      <c r="J181" s="78">
        <f t="shared" si="315"/>
        <v>546.55229999999995</v>
      </c>
      <c r="K181" s="78">
        <f t="shared" si="316"/>
        <v>0</v>
      </c>
      <c r="L181" s="78">
        <f t="shared" si="317"/>
        <v>546.55229999999995</v>
      </c>
      <c r="M181" t="s">
        <v>273</v>
      </c>
      <c r="N181" s="79">
        <v>19.899999999999999</v>
      </c>
      <c r="O181" s="79"/>
      <c r="P181" s="80">
        <v>19.899999999999999</v>
      </c>
      <c r="Q181" s="80"/>
      <c r="R181" s="81">
        <f t="shared" si="318"/>
        <v>1882.4324324324321</v>
      </c>
      <c r="S181" s="81">
        <f t="shared" si="319"/>
        <v>0</v>
      </c>
      <c r="T181" s="81">
        <f t="shared" si="320"/>
        <v>1882.4324324324321</v>
      </c>
      <c r="U181" s="82">
        <f t="shared" si="321"/>
        <v>0.29034364824120606</v>
      </c>
      <c r="V181" s="82">
        <f t="shared" si="322"/>
        <v>0.29034364824120606</v>
      </c>
      <c r="W181" s="82" t="str">
        <f t="shared" si="323"/>
        <v/>
      </c>
      <c r="X181" s="83">
        <f>BS181+SCENARIU!$C$30+'AJUSTĂRI PE PRODUS'!$I$136</f>
        <v>19.899999999999999</v>
      </c>
      <c r="Y181" s="83"/>
      <c r="Z181" s="84">
        <f t="shared" si="324"/>
        <v>1882.4324324324321</v>
      </c>
      <c r="AA181" s="84">
        <f t="shared" si="325"/>
        <v>0</v>
      </c>
      <c r="AB181" s="84">
        <f t="shared" si="326"/>
        <v>1882.4324324324321</v>
      </c>
      <c r="AC181" s="85">
        <f t="shared" si="327"/>
        <v>0.29034364824120606</v>
      </c>
      <c r="AD181" s="85">
        <f t="shared" si="328"/>
        <v>0.29034364824120606</v>
      </c>
      <c r="AE181" s="85" t="str">
        <f t="shared" si="329"/>
        <v/>
      </c>
      <c r="AF181" s="83">
        <f>BU181+SCENARIU!$C$30+SCENARIU!$D$30+'AJUSTĂRI PE PRODUS'!$I$136+'AJUSTĂRI PE PRODUS'!$N$136</f>
        <v>20.49</v>
      </c>
      <c r="AG181" s="83"/>
      <c r="AH181" s="86">
        <f t="shared" si="330"/>
        <v>1938.2432432432429</v>
      </c>
      <c r="AI181" s="86">
        <f t="shared" si="331"/>
        <v>0</v>
      </c>
      <c r="AJ181" s="86">
        <f t="shared" si="332"/>
        <v>1938.2432432432429</v>
      </c>
      <c r="AK181" s="87">
        <f t="shared" si="333"/>
        <v>0.28198333821376281</v>
      </c>
      <c r="AL181" s="87">
        <f t="shared" si="334"/>
        <v>0.28198333821376281</v>
      </c>
      <c r="AM181" s="87" t="str">
        <f t="shared" si="335"/>
        <v/>
      </c>
      <c r="AN181" s="83">
        <f>BW181+SCENARIU!$C$30+SCENARIU!$D$30+SCENARIU!$E$30+'AJUSTĂRI PE PRODUS'!$I$136+'AJUSTĂRI PE PRODUS'!$N$136+'AJUSTĂRI PE PRODUS'!$S$136</f>
        <v>20.99</v>
      </c>
      <c r="AO181" s="83"/>
      <c r="AP181" s="88">
        <f t="shared" si="336"/>
        <v>1985.5405405405402</v>
      </c>
      <c r="AQ181" s="88">
        <f t="shared" si="337"/>
        <v>0</v>
      </c>
      <c r="AR181" s="88">
        <f t="shared" si="338"/>
        <v>1985.5405405405402</v>
      </c>
      <c r="AS181" s="89">
        <f t="shared" si="339"/>
        <v>0.27526625059552168</v>
      </c>
      <c r="AT181" s="89">
        <f t="shared" si="340"/>
        <v>0.27526625059552168</v>
      </c>
      <c r="AU181" s="89" t="str">
        <f t="shared" si="341"/>
        <v/>
      </c>
      <c r="AV181" s="83">
        <f>BY181+SCENARIU!$C$30+SCENARIU!$D$30+SCENARIU!$E$30+SCENARIU!$F$30+'AJUSTĂRI PE PRODUS'!$I$136+'AJUSTĂRI PE PRODUS'!$N$136+'AJUSTĂRI PE PRODUS'!$S$136+'AJUSTĂRI PE PRODUS'!$X$136</f>
        <v>20.99</v>
      </c>
      <c r="AW181" s="83"/>
      <c r="AX181" s="90">
        <f t="shared" si="342"/>
        <v>1985.5405405405402</v>
      </c>
      <c r="AY181" s="90">
        <f t="shared" si="343"/>
        <v>0</v>
      </c>
      <c r="AZ181" s="90">
        <f t="shared" si="344"/>
        <v>1985.5405405405402</v>
      </c>
      <c r="BA181" s="91">
        <f t="shared" si="345"/>
        <v>0.27526625059552168</v>
      </c>
      <c r="BB181" s="91">
        <f t="shared" si="346"/>
        <v>0.27526625059552168</v>
      </c>
      <c r="BC181" s="91" t="str">
        <f t="shared" si="347"/>
        <v/>
      </c>
      <c r="BD181" s="92">
        <f t="shared" si="348"/>
        <v>0</v>
      </c>
      <c r="BE181" s="92">
        <f t="shared" si="349"/>
        <v>0</v>
      </c>
      <c r="BF181" s="92">
        <f t="shared" si="350"/>
        <v>0.58999999999999986</v>
      </c>
      <c r="BG181" s="92">
        <f t="shared" si="351"/>
        <v>0.5</v>
      </c>
      <c r="BH181" s="92">
        <f t="shared" si="352"/>
        <v>0</v>
      </c>
      <c r="BI181" s="93">
        <f t="shared" si="353"/>
        <v>1.0899999999999999</v>
      </c>
      <c r="BJ181" s="92" t="str">
        <f t="shared" si="354"/>
        <v/>
      </c>
      <c r="BK181" s="92" t="str">
        <f t="shared" si="355"/>
        <v/>
      </c>
      <c r="BL181" s="92" t="str">
        <f t="shared" si="356"/>
        <v/>
      </c>
      <c r="BM181" s="92" t="str">
        <f t="shared" si="357"/>
        <v/>
      </c>
      <c r="BN181" s="92" t="str">
        <f t="shared" si="358"/>
        <v/>
      </c>
      <c r="BO181" s="93" t="str">
        <f t="shared" si="359"/>
        <v/>
      </c>
      <c r="BQ181">
        <v>19.899999999999999</v>
      </c>
      <c r="BS181">
        <v>19.899999999999999</v>
      </c>
      <c r="BU181">
        <v>20.49</v>
      </c>
      <c r="BW181">
        <v>20.99</v>
      </c>
      <c r="BY181">
        <v>20.99</v>
      </c>
    </row>
    <row r="182" spans="1:78" x14ac:dyDescent="0.2">
      <c r="A182" s="26">
        <v>19</v>
      </c>
      <c r="B182" s="26" t="s">
        <v>274</v>
      </c>
      <c r="C182" s="26" t="s">
        <v>105</v>
      </c>
      <c r="D182" s="74">
        <v>1</v>
      </c>
      <c r="E182" s="75">
        <v>11</v>
      </c>
      <c r="F182" s="76">
        <v>113</v>
      </c>
      <c r="G182" s="76">
        <v>0</v>
      </c>
      <c r="H182" s="77">
        <f>SUMIFS(RETETAR!$I$4:$I$967,RETETAR!$A$4:$A$967,$M182,RETETAR!$C$4:$C$967,"AMBELE")+SUMIFS(RETETAR!$I$4:$I$967,RETETAR!$A$4:$A$967,$M182,RETETAR!$C$4:$C$967,"INSTORE")</f>
        <v>6.4771502999999999</v>
      </c>
      <c r="I182" s="77">
        <f>SUMIFS(RETETAR!$I$4:$I$967,RETETAR!$A$4:$A$967,$M182,RETETAR!$C$4:$C$967,"AMBELE")+SUMIFS(RETETAR!$I$4:$I$967,RETETAR!$A$4:$A$967,$M182,RETETAR!$C$4:$C$967,"DELIVERY")</f>
        <v>0</v>
      </c>
      <c r="J182" s="78">
        <f t="shared" si="315"/>
        <v>731.91798389999997</v>
      </c>
      <c r="K182" s="78">
        <f t="shared" si="316"/>
        <v>0</v>
      </c>
      <c r="L182" s="78">
        <f t="shared" si="317"/>
        <v>731.91798389999997</v>
      </c>
      <c r="M182" t="s">
        <v>454</v>
      </c>
      <c r="N182" s="79">
        <v>18</v>
      </c>
      <c r="O182" s="79"/>
      <c r="P182" s="80">
        <v>18</v>
      </c>
      <c r="Q182" s="80"/>
      <c r="R182" s="81">
        <f t="shared" si="318"/>
        <v>1832.4324324324323</v>
      </c>
      <c r="S182" s="81">
        <f t="shared" si="319"/>
        <v>0</v>
      </c>
      <c r="T182" s="81">
        <f t="shared" si="320"/>
        <v>1832.4324324324323</v>
      </c>
      <c r="U182" s="82">
        <f t="shared" si="321"/>
        <v>0.39942426850000001</v>
      </c>
      <c r="V182" s="82">
        <f t="shared" si="322"/>
        <v>0.39942426850000001</v>
      </c>
      <c r="W182" s="82" t="str">
        <f t="shared" si="323"/>
        <v/>
      </c>
      <c r="X182" s="83">
        <f>BS182+SCENARIU!$C$30+'AJUSTĂRI PE PRODUS'!$I$139</f>
        <v>18</v>
      </c>
      <c r="Y182" s="83"/>
      <c r="Z182" s="84">
        <f t="shared" si="324"/>
        <v>1832.4324324324323</v>
      </c>
      <c r="AA182" s="84">
        <f t="shared" si="325"/>
        <v>0</v>
      </c>
      <c r="AB182" s="84">
        <f t="shared" si="326"/>
        <v>1832.4324324324323</v>
      </c>
      <c r="AC182" s="85">
        <f t="shared" si="327"/>
        <v>0.39942426850000001</v>
      </c>
      <c r="AD182" s="85">
        <f t="shared" si="328"/>
        <v>0.39942426850000001</v>
      </c>
      <c r="AE182" s="85" t="str">
        <f t="shared" si="329"/>
        <v/>
      </c>
      <c r="AF182" s="83">
        <f>BU182+SCENARIU!$C$30+SCENARIU!$D$30+'AJUSTĂRI PE PRODUS'!$I$139+'AJUSTĂRI PE PRODUS'!$N$139</f>
        <v>18.989999999999998</v>
      </c>
      <c r="AG182" s="83"/>
      <c r="AH182" s="86">
        <f t="shared" si="330"/>
        <v>1933.2162162162158</v>
      </c>
      <c r="AI182" s="86">
        <f t="shared" si="331"/>
        <v>0</v>
      </c>
      <c r="AJ182" s="86">
        <f t="shared" si="332"/>
        <v>1933.2162162162158</v>
      </c>
      <c r="AK182" s="87">
        <f t="shared" si="333"/>
        <v>0.37860120236966832</v>
      </c>
      <c r="AL182" s="87">
        <f t="shared" si="334"/>
        <v>0.37860120236966832</v>
      </c>
      <c r="AM182" s="87" t="str">
        <f t="shared" si="335"/>
        <v/>
      </c>
      <c r="AN182" s="83">
        <f>BW182+SCENARIU!$C$30+SCENARIU!$D$30+SCENARIU!$E$30+'AJUSTĂRI PE PRODUS'!$I$139+'AJUSTĂRI PE PRODUS'!$N$139+'AJUSTĂRI PE PRODUS'!$S$139</f>
        <v>19.489999999999998</v>
      </c>
      <c r="AO182" s="83"/>
      <c r="AP182" s="88">
        <f t="shared" si="336"/>
        <v>1984.1171171171168</v>
      </c>
      <c r="AQ182" s="88">
        <f t="shared" si="337"/>
        <v>0</v>
      </c>
      <c r="AR182" s="88">
        <f t="shared" si="338"/>
        <v>1984.1171171171168</v>
      </c>
      <c r="AS182" s="89">
        <f t="shared" si="339"/>
        <v>0.36888849835813242</v>
      </c>
      <c r="AT182" s="89">
        <f t="shared" si="340"/>
        <v>0.36888849835813242</v>
      </c>
      <c r="AU182" s="89" t="str">
        <f t="shared" si="341"/>
        <v/>
      </c>
      <c r="AV182" s="83">
        <f>BY182+SCENARIU!$C$30+SCENARIU!$D$30+SCENARIU!$E$30+SCENARIU!$F$30+'AJUSTĂRI PE PRODUS'!$I$139+'AJUSTĂRI PE PRODUS'!$N$139+'AJUSTĂRI PE PRODUS'!$S$139+'AJUSTĂRI PE PRODUS'!$X$139</f>
        <v>19.489999999999998</v>
      </c>
      <c r="AW182" s="83"/>
      <c r="AX182" s="90">
        <f t="shared" si="342"/>
        <v>1984.1171171171168</v>
      </c>
      <c r="AY182" s="90">
        <f t="shared" si="343"/>
        <v>0</v>
      </c>
      <c r="AZ182" s="90">
        <f t="shared" si="344"/>
        <v>1984.1171171171168</v>
      </c>
      <c r="BA182" s="91">
        <f t="shared" si="345"/>
        <v>0.36888849835813242</v>
      </c>
      <c r="BB182" s="91">
        <f t="shared" si="346"/>
        <v>0.36888849835813242</v>
      </c>
      <c r="BC182" s="91" t="str">
        <f t="shared" si="347"/>
        <v/>
      </c>
      <c r="BD182" s="92">
        <f t="shared" si="348"/>
        <v>0</v>
      </c>
      <c r="BE182" s="92">
        <f t="shared" si="349"/>
        <v>0</v>
      </c>
      <c r="BF182" s="92">
        <f t="shared" si="350"/>
        <v>0.98999999999999844</v>
      </c>
      <c r="BG182" s="92">
        <f t="shared" si="351"/>
        <v>0.5</v>
      </c>
      <c r="BH182" s="92">
        <f t="shared" si="352"/>
        <v>0</v>
      </c>
      <c r="BI182" s="93">
        <f t="shared" si="353"/>
        <v>1.4899999999999984</v>
      </c>
      <c r="BJ182" s="92" t="str">
        <f t="shared" si="354"/>
        <v/>
      </c>
      <c r="BK182" s="92" t="str">
        <f t="shared" si="355"/>
        <v/>
      </c>
      <c r="BL182" s="92" t="str">
        <f t="shared" si="356"/>
        <v/>
      </c>
      <c r="BM182" s="92" t="str">
        <f t="shared" si="357"/>
        <v/>
      </c>
      <c r="BN182" s="92" t="str">
        <f t="shared" si="358"/>
        <v/>
      </c>
      <c r="BO182" s="93" t="str">
        <f t="shared" si="359"/>
        <v/>
      </c>
      <c r="BQ182">
        <v>18</v>
      </c>
      <c r="BS182">
        <v>18</v>
      </c>
      <c r="BU182">
        <v>18.989999999999998</v>
      </c>
      <c r="BW182">
        <v>19.489999999999998</v>
      </c>
      <c r="BY182">
        <v>19.489999999999998</v>
      </c>
    </row>
    <row r="183" spans="1:78" x14ac:dyDescent="0.2">
      <c r="A183" s="26">
        <v>20</v>
      </c>
      <c r="B183" s="26" t="s">
        <v>289</v>
      </c>
      <c r="C183" s="26" t="s">
        <v>105</v>
      </c>
      <c r="D183" s="74">
        <v>1</v>
      </c>
      <c r="E183" s="75">
        <v>11</v>
      </c>
      <c r="F183" s="76">
        <v>56</v>
      </c>
      <c r="G183" s="76">
        <v>48</v>
      </c>
      <c r="H183" s="77">
        <f>SUMIFS(RETETAR!$I$4:$I$967,RETETAR!$A$4:$A$967,$M183,RETETAR!$C$4:$C$967,"AMBELE")+SUMIFS(RETETAR!$I$4:$I$967,RETETAR!$A$4:$A$967,$M183,RETETAR!$C$4:$C$967,"INSTORE")</f>
        <v>3.8944776000000001</v>
      </c>
      <c r="I183" s="77">
        <f>SUMIFS(RETETAR!$I$4:$I$967,RETETAR!$A$4:$A$967,$M183,RETETAR!$C$4:$C$967,"AMBELE")+SUMIFS(RETETAR!$I$4:$I$967,RETETAR!$A$4:$A$967,$M183,RETETAR!$C$4:$C$967,"DELIVERY")</f>
        <v>5.9954776000000001</v>
      </c>
      <c r="J183" s="78">
        <f t="shared" si="315"/>
        <v>218.09074559999999</v>
      </c>
      <c r="K183" s="78">
        <f t="shared" si="316"/>
        <v>287.78292479999999</v>
      </c>
      <c r="L183" s="78">
        <f t="shared" si="317"/>
        <v>505.87367039999998</v>
      </c>
      <c r="M183" t="s">
        <v>455</v>
      </c>
      <c r="N183" s="79">
        <v>14</v>
      </c>
      <c r="O183" s="79">
        <v>16</v>
      </c>
      <c r="P183" s="80">
        <v>14</v>
      </c>
      <c r="Q183" s="80">
        <v>16</v>
      </c>
      <c r="R183" s="81">
        <f t="shared" si="318"/>
        <v>706.30630630630628</v>
      </c>
      <c r="S183" s="81">
        <f t="shared" si="319"/>
        <v>691.89189189189187</v>
      </c>
      <c r="T183" s="81">
        <f t="shared" si="320"/>
        <v>1398.198198198198</v>
      </c>
      <c r="U183" s="82">
        <f t="shared" si="321"/>
        <v>0.36180397818556703</v>
      </c>
      <c r="V183" s="82">
        <f t="shared" si="322"/>
        <v>0.30877643828571427</v>
      </c>
      <c r="W183" s="82">
        <f t="shared" si="323"/>
        <v>0.41593625849999999</v>
      </c>
      <c r="X183" s="83">
        <f>BS183+SCENARIU!$C$30+'AJUSTĂRI PE PRODUS'!$I$154</f>
        <v>14</v>
      </c>
      <c r="Y183" s="83">
        <f>BT183+SCENARIU!$C$30+'AJUSTĂRI PE PRODUS'!$J$154</f>
        <v>16</v>
      </c>
      <c r="Z183" s="84">
        <f t="shared" si="324"/>
        <v>706.30630630630628</v>
      </c>
      <c r="AA183" s="84">
        <f t="shared" si="325"/>
        <v>691.89189189189187</v>
      </c>
      <c r="AB183" s="84">
        <f t="shared" si="326"/>
        <v>1398.198198198198</v>
      </c>
      <c r="AC183" s="85">
        <f t="shared" si="327"/>
        <v>0.36180397818556703</v>
      </c>
      <c r="AD183" s="85">
        <f t="shared" si="328"/>
        <v>0.30877643828571427</v>
      </c>
      <c r="AE183" s="85">
        <f t="shared" si="329"/>
        <v>0.41593625849999999</v>
      </c>
      <c r="AF183" s="83">
        <f>BU183+SCENARIU!$C$30+SCENARIU!$D$30+'AJUSTĂRI PE PRODUS'!$I$154+'AJUSTĂRI PE PRODUS'!$N$154</f>
        <v>14.49</v>
      </c>
      <c r="AG183" s="83">
        <f>BV183+SCENARIU!$C$30+SCENARIU!$D$30+'AJUSTĂRI PE PRODUS'!$J$154+'AJUSTĂRI PE PRODUS'!$O$154</f>
        <v>16.489999999999998</v>
      </c>
      <c r="AH183" s="86">
        <f t="shared" si="330"/>
        <v>731.02702702702697</v>
      </c>
      <c r="AI183" s="86">
        <f t="shared" si="331"/>
        <v>713.08108108108104</v>
      </c>
      <c r="AJ183" s="86">
        <f t="shared" si="332"/>
        <v>1444.1081081081079</v>
      </c>
      <c r="AK183" s="87">
        <f t="shared" si="333"/>
        <v>0.35030180050905829</v>
      </c>
      <c r="AL183" s="87">
        <f t="shared" si="334"/>
        <v>0.29833472298136648</v>
      </c>
      <c r="AM183" s="87">
        <f t="shared" si="335"/>
        <v>0.40357672140691331</v>
      </c>
      <c r="AN183" s="83">
        <f>BW183+SCENARIU!$C$30+SCENARIU!$D$30+SCENARIU!$E$30+'AJUSTĂRI PE PRODUS'!$I$154+'AJUSTĂRI PE PRODUS'!$N$154+'AJUSTĂRI PE PRODUS'!$S$154</f>
        <v>14.99</v>
      </c>
      <c r="AO183" s="83">
        <f>BX183+SCENARIU!$C$30+SCENARIU!$D$30+SCENARIU!$E$30+'AJUSTĂRI PE PRODUS'!$J$154+'AJUSTĂRI PE PRODUS'!$O$154+'AJUSTĂRI PE PRODUS'!$T$154</f>
        <v>16.989999999999998</v>
      </c>
      <c r="AP183" s="88">
        <f t="shared" si="336"/>
        <v>756.25225225225222</v>
      </c>
      <c r="AQ183" s="88">
        <f t="shared" si="337"/>
        <v>734.7027027027026</v>
      </c>
      <c r="AR183" s="88">
        <f t="shared" si="338"/>
        <v>1490.9549549549547</v>
      </c>
      <c r="AS183" s="89">
        <f t="shared" si="339"/>
        <v>0.33929507307971196</v>
      </c>
      <c r="AT183" s="89">
        <f t="shared" si="340"/>
        <v>0.28838359813208808</v>
      </c>
      <c r="AU183" s="89">
        <f t="shared" si="341"/>
        <v>0.39169983143025311</v>
      </c>
      <c r="AV183" s="83">
        <f>BY183+SCENARIU!$C$30+SCENARIU!$D$30+SCENARIU!$E$30+SCENARIU!$F$30+'AJUSTĂRI PE PRODUS'!$I$154+'AJUSTĂRI PE PRODUS'!$N$154+'AJUSTĂRI PE PRODUS'!$S$154+'AJUSTĂRI PE PRODUS'!$X$154</f>
        <v>14.99</v>
      </c>
      <c r="AW183" s="83">
        <f>BZ183+SCENARIU!$C$30+SCENARIU!$D$30+SCENARIU!$E$30+SCENARIU!$F$30+'AJUSTĂRI PE PRODUS'!$J$154+'AJUSTĂRI PE PRODUS'!$O$154+'AJUSTĂRI PE PRODUS'!$T$154+'AJUSTĂRI PE PRODUS'!$Y$154</f>
        <v>16.989999999999998</v>
      </c>
      <c r="AX183" s="90">
        <f t="shared" si="342"/>
        <v>756.25225225225222</v>
      </c>
      <c r="AY183" s="90">
        <f t="shared" si="343"/>
        <v>734.7027027027026</v>
      </c>
      <c r="AZ183" s="90">
        <f t="shared" si="344"/>
        <v>1490.9549549549547</v>
      </c>
      <c r="BA183" s="91">
        <f t="shared" si="345"/>
        <v>0.33929507307971196</v>
      </c>
      <c r="BB183" s="91">
        <f t="shared" si="346"/>
        <v>0.28838359813208808</v>
      </c>
      <c r="BC183" s="91">
        <f t="shared" si="347"/>
        <v>0.39169983143025311</v>
      </c>
      <c r="BD183" s="92">
        <f t="shared" si="348"/>
        <v>0</v>
      </c>
      <c r="BE183" s="92">
        <f t="shared" si="349"/>
        <v>0</v>
      </c>
      <c r="BF183" s="92">
        <f t="shared" si="350"/>
        <v>0.49000000000000021</v>
      </c>
      <c r="BG183" s="92">
        <f t="shared" si="351"/>
        <v>0.5</v>
      </c>
      <c r="BH183" s="92">
        <f t="shared" si="352"/>
        <v>0</v>
      </c>
      <c r="BI183" s="93">
        <f t="shared" si="353"/>
        <v>0.99000000000000021</v>
      </c>
      <c r="BJ183" s="92">
        <f t="shared" si="354"/>
        <v>0</v>
      </c>
      <c r="BK183" s="92">
        <f t="shared" si="355"/>
        <v>0</v>
      </c>
      <c r="BL183" s="92">
        <f t="shared" si="356"/>
        <v>0.48999999999999844</v>
      </c>
      <c r="BM183" s="92">
        <f t="shared" si="357"/>
        <v>0.5</v>
      </c>
      <c r="BN183" s="92">
        <f t="shared" si="358"/>
        <v>0</v>
      </c>
      <c r="BO183" s="93">
        <f t="shared" si="359"/>
        <v>0.98999999999999844</v>
      </c>
      <c r="BQ183">
        <v>14</v>
      </c>
      <c r="BR183">
        <v>16</v>
      </c>
      <c r="BS183">
        <v>14</v>
      </c>
      <c r="BT183">
        <v>16</v>
      </c>
      <c r="BU183">
        <v>14.49</v>
      </c>
      <c r="BV183">
        <v>16.489999999999998</v>
      </c>
      <c r="BW183">
        <v>14.99</v>
      </c>
      <c r="BX183">
        <v>16.989999999999998</v>
      </c>
      <c r="BY183">
        <v>14.99</v>
      </c>
      <c r="BZ183">
        <v>16.989999999999998</v>
      </c>
    </row>
    <row r="184" spans="1:78" x14ac:dyDescent="0.2">
      <c r="A184" s="26">
        <v>21</v>
      </c>
      <c r="B184" s="26" t="s">
        <v>291</v>
      </c>
      <c r="C184" s="26" t="s">
        <v>105</v>
      </c>
      <c r="D184" s="74">
        <v>1</v>
      </c>
      <c r="E184" s="75">
        <v>11</v>
      </c>
      <c r="F184" s="76">
        <v>106</v>
      </c>
      <c r="G184" s="76">
        <v>0</v>
      </c>
      <c r="H184" s="77">
        <f>SUMIFS(RETETAR!$I$4:$I$967,RETETAR!$A$4:$A$967,$M184,RETETAR!$C$4:$C$967,"AMBELE")+SUMIFS(RETETAR!$I$4:$I$967,RETETAR!$A$4:$A$967,$M184,RETETAR!$C$4:$C$967,"INSTORE")</f>
        <v>4.4984327500000001</v>
      </c>
      <c r="I184" s="77">
        <f>SUMIFS(RETETAR!$I$4:$I$967,RETETAR!$A$4:$A$967,$M184,RETETAR!$C$4:$C$967,"AMBELE")+SUMIFS(RETETAR!$I$4:$I$967,RETETAR!$A$4:$A$967,$M184,RETETAR!$C$4:$C$967,"DELIVERY")</f>
        <v>0</v>
      </c>
      <c r="J184" s="78">
        <f t="shared" si="315"/>
        <v>476.83387149999999</v>
      </c>
      <c r="K184" s="78">
        <f t="shared" si="316"/>
        <v>0</v>
      </c>
      <c r="L184" s="78">
        <f t="shared" si="317"/>
        <v>476.83387149999999</v>
      </c>
      <c r="M184" t="s">
        <v>456</v>
      </c>
      <c r="N184" s="79">
        <v>14</v>
      </c>
      <c r="O184" s="79"/>
      <c r="P184" s="80">
        <v>14</v>
      </c>
      <c r="Q184" s="80"/>
      <c r="R184" s="81">
        <f t="shared" si="318"/>
        <v>1336.9369369369369</v>
      </c>
      <c r="S184" s="81">
        <f t="shared" si="319"/>
        <v>0</v>
      </c>
      <c r="T184" s="81">
        <f t="shared" si="320"/>
        <v>1336.9369369369369</v>
      </c>
      <c r="U184" s="82">
        <f t="shared" si="321"/>
        <v>0.35666145374999997</v>
      </c>
      <c r="V184" s="82">
        <f t="shared" si="322"/>
        <v>0.35666145374999997</v>
      </c>
      <c r="W184" s="82" t="str">
        <f t="shared" si="323"/>
        <v/>
      </c>
      <c r="X184" s="83">
        <f>BS184+SCENARIU!$C$30+'AJUSTĂRI PE PRODUS'!$I$157</f>
        <v>14</v>
      </c>
      <c r="Y184" s="83"/>
      <c r="Z184" s="84">
        <f t="shared" si="324"/>
        <v>1336.9369369369369</v>
      </c>
      <c r="AA184" s="84">
        <f t="shared" si="325"/>
        <v>0</v>
      </c>
      <c r="AB184" s="84">
        <f t="shared" si="326"/>
        <v>1336.9369369369369</v>
      </c>
      <c r="AC184" s="85">
        <f t="shared" si="327"/>
        <v>0.35666145374999997</v>
      </c>
      <c r="AD184" s="85">
        <f t="shared" si="328"/>
        <v>0.35666145374999997</v>
      </c>
      <c r="AE184" s="85" t="str">
        <f t="shared" si="329"/>
        <v/>
      </c>
      <c r="AF184" s="83">
        <f>BU184+SCENARIU!$C$30+SCENARIU!$D$30+'AJUSTĂRI PE PRODUS'!$I$157+'AJUSTĂRI PE PRODUS'!$N$157</f>
        <v>14.49</v>
      </c>
      <c r="AG184" s="83"/>
      <c r="AH184" s="86">
        <f t="shared" si="330"/>
        <v>1383.7297297297296</v>
      </c>
      <c r="AI184" s="86">
        <f t="shared" si="331"/>
        <v>0</v>
      </c>
      <c r="AJ184" s="86">
        <f t="shared" si="332"/>
        <v>1383.7297297297296</v>
      </c>
      <c r="AK184" s="87">
        <f t="shared" si="333"/>
        <v>0.34460043840579713</v>
      </c>
      <c r="AL184" s="87">
        <f t="shared" si="334"/>
        <v>0.34460043840579713</v>
      </c>
      <c r="AM184" s="87" t="str">
        <f t="shared" si="335"/>
        <v/>
      </c>
      <c r="AN184" s="83">
        <f>BW184+SCENARIU!$C$30+SCENARIU!$D$30+SCENARIU!$E$30+'AJUSTĂRI PE PRODUS'!$I$157+'AJUSTĂRI PE PRODUS'!$N$157+'AJUSTĂRI PE PRODUS'!$S$157</f>
        <v>14.99</v>
      </c>
      <c r="AO184" s="83"/>
      <c r="AP184" s="88">
        <f t="shared" si="336"/>
        <v>1431.4774774774774</v>
      </c>
      <c r="AQ184" s="88">
        <f t="shared" si="337"/>
        <v>0</v>
      </c>
      <c r="AR184" s="88">
        <f t="shared" si="338"/>
        <v>1431.4774774774774</v>
      </c>
      <c r="AS184" s="89">
        <f t="shared" si="339"/>
        <v>0.33310609422948634</v>
      </c>
      <c r="AT184" s="89">
        <f t="shared" si="340"/>
        <v>0.33310609422948634</v>
      </c>
      <c r="AU184" s="89" t="str">
        <f t="shared" si="341"/>
        <v/>
      </c>
      <c r="AV184" s="83">
        <f>BY184+SCENARIU!$C$30+SCENARIU!$D$30+SCENARIU!$E$30+SCENARIU!$F$30+'AJUSTĂRI PE PRODUS'!$I$157+'AJUSTĂRI PE PRODUS'!$N$157+'AJUSTĂRI PE PRODUS'!$S$157+'AJUSTĂRI PE PRODUS'!$X$157</f>
        <v>14.99</v>
      </c>
      <c r="AW184" s="83"/>
      <c r="AX184" s="90">
        <f t="shared" si="342"/>
        <v>1431.4774774774774</v>
      </c>
      <c r="AY184" s="90">
        <f t="shared" si="343"/>
        <v>0</v>
      </c>
      <c r="AZ184" s="90">
        <f t="shared" si="344"/>
        <v>1431.4774774774774</v>
      </c>
      <c r="BA184" s="91">
        <f t="shared" si="345"/>
        <v>0.33310609422948634</v>
      </c>
      <c r="BB184" s="91">
        <f t="shared" si="346"/>
        <v>0.33310609422948634</v>
      </c>
      <c r="BC184" s="91" t="str">
        <f t="shared" si="347"/>
        <v/>
      </c>
      <c r="BD184" s="92">
        <f t="shared" si="348"/>
        <v>0</v>
      </c>
      <c r="BE184" s="92">
        <f t="shared" si="349"/>
        <v>0</v>
      </c>
      <c r="BF184" s="92">
        <f t="shared" si="350"/>
        <v>0.49000000000000021</v>
      </c>
      <c r="BG184" s="92">
        <f t="shared" si="351"/>
        <v>0.5</v>
      </c>
      <c r="BH184" s="92">
        <f t="shared" si="352"/>
        <v>0</v>
      </c>
      <c r="BI184" s="93">
        <f t="shared" si="353"/>
        <v>0.99000000000000021</v>
      </c>
      <c r="BJ184" s="92" t="str">
        <f t="shared" si="354"/>
        <v/>
      </c>
      <c r="BK184" s="92" t="str">
        <f t="shared" si="355"/>
        <v/>
      </c>
      <c r="BL184" s="92" t="str">
        <f t="shared" si="356"/>
        <v/>
      </c>
      <c r="BM184" s="92" t="str">
        <f t="shared" si="357"/>
        <v/>
      </c>
      <c r="BN184" s="92" t="str">
        <f t="shared" si="358"/>
        <v/>
      </c>
      <c r="BO184" s="93" t="str">
        <f t="shared" si="359"/>
        <v/>
      </c>
      <c r="BQ184">
        <v>14</v>
      </c>
      <c r="BS184">
        <v>14</v>
      </c>
      <c r="BU184">
        <v>14.49</v>
      </c>
      <c r="BW184">
        <v>14.99</v>
      </c>
      <c r="BY184">
        <v>14.99</v>
      </c>
    </row>
    <row r="185" spans="1:78" x14ac:dyDescent="0.2">
      <c r="A185" s="26">
        <v>22</v>
      </c>
      <c r="B185" s="26" t="s">
        <v>306</v>
      </c>
      <c r="C185" s="26" t="s">
        <v>105</v>
      </c>
      <c r="D185" s="74">
        <v>1</v>
      </c>
      <c r="E185" s="75">
        <v>11</v>
      </c>
      <c r="F185" s="76">
        <v>74</v>
      </c>
      <c r="G185" s="76">
        <v>0</v>
      </c>
      <c r="H185" s="77">
        <f>SUMIFS(RETETAR!$I$4:$I$967,RETETAR!$A$4:$A$967,$M185,RETETAR!$C$4:$C$967,"AMBELE")+SUMIFS(RETETAR!$I$4:$I$967,RETETAR!$A$4:$A$967,$M185,RETETAR!$C$4:$C$967,"INSTORE")</f>
        <v>4.4741502999999998</v>
      </c>
      <c r="I185" s="77">
        <f>SUMIFS(RETETAR!$I$4:$I$967,RETETAR!$A$4:$A$967,$M185,RETETAR!$C$4:$C$967,"AMBELE")+SUMIFS(RETETAR!$I$4:$I$967,RETETAR!$A$4:$A$967,$M185,RETETAR!$C$4:$C$967,"DELIVERY")</f>
        <v>0</v>
      </c>
      <c r="J185" s="78">
        <f t="shared" si="315"/>
        <v>331.08712220000001</v>
      </c>
      <c r="K185" s="78">
        <f t="shared" si="316"/>
        <v>0</v>
      </c>
      <c r="L185" s="78">
        <f t="shared" si="317"/>
        <v>331.08712220000001</v>
      </c>
      <c r="M185" t="s">
        <v>457</v>
      </c>
      <c r="N185" s="79">
        <v>14</v>
      </c>
      <c r="O185" s="79"/>
      <c r="P185" s="80">
        <v>14</v>
      </c>
      <c r="Q185" s="80"/>
      <c r="R185" s="81">
        <f t="shared" si="318"/>
        <v>933.33333333333326</v>
      </c>
      <c r="S185" s="81">
        <f t="shared" si="319"/>
        <v>0</v>
      </c>
      <c r="T185" s="81">
        <f t="shared" si="320"/>
        <v>933.33333333333326</v>
      </c>
      <c r="U185" s="82">
        <f t="shared" si="321"/>
        <v>0.35473620235714287</v>
      </c>
      <c r="V185" s="82">
        <f t="shared" si="322"/>
        <v>0.35473620235714287</v>
      </c>
      <c r="W185" s="82" t="str">
        <f t="shared" si="323"/>
        <v/>
      </c>
      <c r="X185" s="83">
        <f>BS185+SCENARIU!$C$30+'AJUSTĂRI PE PRODUS'!$I$167</f>
        <v>14</v>
      </c>
      <c r="Y185" s="83"/>
      <c r="Z185" s="84">
        <f t="shared" si="324"/>
        <v>933.33333333333326</v>
      </c>
      <c r="AA185" s="84">
        <f t="shared" si="325"/>
        <v>0</v>
      </c>
      <c r="AB185" s="84">
        <f t="shared" si="326"/>
        <v>933.33333333333326</v>
      </c>
      <c r="AC185" s="85">
        <f t="shared" si="327"/>
        <v>0.35473620235714287</v>
      </c>
      <c r="AD185" s="85">
        <f t="shared" si="328"/>
        <v>0.35473620235714287</v>
      </c>
      <c r="AE185" s="85" t="str">
        <f t="shared" si="329"/>
        <v/>
      </c>
      <c r="AF185" s="83">
        <f>BU185+SCENARIU!$C$30+SCENARIU!$D$30+'AJUSTĂRI PE PRODUS'!$I$167+'AJUSTĂRI PE PRODUS'!$N$167</f>
        <v>14.49</v>
      </c>
      <c r="AG185" s="83"/>
      <c r="AH185" s="86">
        <f t="shared" si="330"/>
        <v>965.99999999999989</v>
      </c>
      <c r="AI185" s="86">
        <f t="shared" si="331"/>
        <v>0</v>
      </c>
      <c r="AJ185" s="86">
        <f t="shared" si="332"/>
        <v>965.99999999999989</v>
      </c>
      <c r="AK185" s="87">
        <f t="shared" si="333"/>
        <v>0.34274029213250523</v>
      </c>
      <c r="AL185" s="87">
        <f t="shared" si="334"/>
        <v>0.34274029213250523</v>
      </c>
      <c r="AM185" s="87" t="str">
        <f t="shared" si="335"/>
        <v/>
      </c>
      <c r="AN185" s="83">
        <f>BW185+SCENARIU!$C$30+SCENARIU!$D$30+SCENARIU!$E$30+'AJUSTĂRI PE PRODUS'!$I$167+'AJUSTĂRI PE PRODUS'!$N$167+'AJUSTĂRI PE PRODUS'!$S$167</f>
        <v>14.99</v>
      </c>
      <c r="AO185" s="83"/>
      <c r="AP185" s="88">
        <f t="shared" si="336"/>
        <v>999.33333333333326</v>
      </c>
      <c r="AQ185" s="88">
        <f t="shared" si="337"/>
        <v>0</v>
      </c>
      <c r="AR185" s="88">
        <f t="shared" si="338"/>
        <v>999.33333333333326</v>
      </c>
      <c r="AS185" s="89">
        <f t="shared" si="339"/>
        <v>0.33130799419613077</v>
      </c>
      <c r="AT185" s="89">
        <f t="shared" si="340"/>
        <v>0.33130799419613077</v>
      </c>
      <c r="AU185" s="89" t="str">
        <f t="shared" si="341"/>
        <v/>
      </c>
      <c r="AV185" s="83">
        <f>BY185+SCENARIU!$C$30+SCENARIU!$D$30+SCENARIU!$E$30+SCENARIU!$F$30+'AJUSTĂRI PE PRODUS'!$I$167+'AJUSTĂRI PE PRODUS'!$N$167+'AJUSTĂRI PE PRODUS'!$S$167+'AJUSTĂRI PE PRODUS'!$X$167</f>
        <v>14.99</v>
      </c>
      <c r="AW185" s="83"/>
      <c r="AX185" s="90">
        <f t="shared" si="342"/>
        <v>999.33333333333326</v>
      </c>
      <c r="AY185" s="90">
        <f t="shared" si="343"/>
        <v>0</v>
      </c>
      <c r="AZ185" s="90">
        <f t="shared" si="344"/>
        <v>999.33333333333326</v>
      </c>
      <c r="BA185" s="91">
        <f t="shared" si="345"/>
        <v>0.33130799419613077</v>
      </c>
      <c r="BB185" s="91">
        <f t="shared" si="346"/>
        <v>0.33130799419613077</v>
      </c>
      <c r="BC185" s="91" t="str">
        <f t="shared" si="347"/>
        <v/>
      </c>
      <c r="BD185" s="92">
        <f t="shared" si="348"/>
        <v>0</v>
      </c>
      <c r="BE185" s="92">
        <f t="shared" si="349"/>
        <v>0</v>
      </c>
      <c r="BF185" s="92">
        <f t="shared" si="350"/>
        <v>0.49000000000000021</v>
      </c>
      <c r="BG185" s="92">
        <f t="shared" si="351"/>
        <v>0.5</v>
      </c>
      <c r="BH185" s="92">
        <f t="shared" si="352"/>
        <v>0</v>
      </c>
      <c r="BI185" s="93">
        <f t="shared" si="353"/>
        <v>0.99000000000000021</v>
      </c>
      <c r="BJ185" s="92" t="str">
        <f t="shared" si="354"/>
        <v/>
      </c>
      <c r="BK185" s="92" t="str">
        <f t="shared" si="355"/>
        <v/>
      </c>
      <c r="BL185" s="92" t="str">
        <f t="shared" si="356"/>
        <v/>
      </c>
      <c r="BM185" s="92" t="str">
        <f t="shared" si="357"/>
        <v/>
      </c>
      <c r="BN185" s="92" t="str">
        <f t="shared" si="358"/>
        <v/>
      </c>
      <c r="BO185" s="93" t="str">
        <f t="shared" si="359"/>
        <v/>
      </c>
      <c r="BQ185">
        <v>14</v>
      </c>
      <c r="BS185">
        <v>14</v>
      </c>
      <c r="BU185">
        <v>14.49</v>
      </c>
      <c r="BW185">
        <v>14.99</v>
      </c>
      <c r="BY185">
        <v>14.99</v>
      </c>
    </row>
    <row r="186" spans="1:78" x14ac:dyDescent="0.2">
      <c r="A186" s="26">
        <v>23</v>
      </c>
      <c r="B186" s="26" t="s">
        <v>320</v>
      </c>
      <c r="C186" s="26" t="s">
        <v>105</v>
      </c>
      <c r="D186" s="74">
        <v>1</v>
      </c>
      <c r="E186" s="75">
        <v>11</v>
      </c>
      <c r="F186" s="76">
        <v>71</v>
      </c>
      <c r="G186" s="76">
        <v>0</v>
      </c>
      <c r="H186" s="77">
        <f>SUMIFS(RETETAR!$I$4:$I$967,RETETAR!$A$4:$A$967,$M186,RETETAR!$C$4:$C$967,"AMBELE")+SUMIFS(RETETAR!$I$4:$I$967,RETETAR!$A$4:$A$967,$M186,RETETAR!$C$4:$C$967,"INSTORE")</f>
        <v>1.9260790000000001</v>
      </c>
      <c r="I186" s="77">
        <f>SUMIFS(RETETAR!$I$4:$I$967,RETETAR!$A$4:$A$967,$M186,RETETAR!$C$4:$C$967,"AMBELE")+SUMIFS(RETETAR!$I$4:$I$967,RETETAR!$A$4:$A$967,$M186,RETETAR!$C$4:$C$967,"DELIVERY")</f>
        <v>1.9260790000000001</v>
      </c>
      <c r="J186" s="78">
        <f t="shared" si="315"/>
        <v>136.751609</v>
      </c>
      <c r="K186" s="78">
        <f t="shared" si="316"/>
        <v>0</v>
      </c>
      <c r="L186" s="78">
        <f t="shared" si="317"/>
        <v>136.751609</v>
      </c>
      <c r="M186" t="s">
        <v>320</v>
      </c>
      <c r="N186" s="79">
        <v>4</v>
      </c>
      <c r="O186" s="79"/>
      <c r="P186" s="80">
        <v>4</v>
      </c>
      <c r="Q186" s="80"/>
      <c r="R186" s="81">
        <f t="shared" si="318"/>
        <v>255.85585585585582</v>
      </c>
      <c r="S186" s="81">
        <f t="shared" si="319"/>
        <v>0</v>
      </c>
      <c r="T186" s="81">
        <f t="shared" si="320"/>
        <v>255.85585585585582</v>
      </c>
      <c r="U186" s="82">
        <f t="shared" si="321"/>
        <v>0.53448692250000007</v>
      </c>
      <c r="V186" s="82">
        <f t="shared" si="322"/>
        <v>0.53448692250000007</v>
      </c>
      <c r="W186" s="82" t="str">
        <f t="shared" si="323"/>
        <v/>
      </c>
      <c r="X186" s="83">
        <f>BS186+SCENARIU!$C$30+'AJUSTĂRI PE PRODUS'!$I$180</f>
        <v>4</v>
      </c>
      <c r="Y186" s="83"/>
      <c r="Z186" s="84">
        <f t="shared" si="324"/>
        <v>255.85585585585582</v>
      </c>
      <c r="AA186" s="84">
        <f t="shared" si="325"/>
        <v>0</v>
      </c>
      <c r="AB186" s="84">
        <f t="shared" si="326"/>
        <v>255.85585585585582</v>
      </c>
      <c r="AC186" s="85">
        <f t="shared" si="327"/>
        <v>0.53448692250000007</v>
      </c>
      <c r="AD186" s="85">
        <f t="shared" si="328"/>
        <v>0.53448692250000007</v>
      </c>
      <c r="AE186" s="85" t="str">
        <f t="shared" si="329"/>
        <v/>
      </c>
      <c r="AF186" s="83">
        <f>BU186+SCENARIU!$C$30+SCENARIU!$D$30+'AJUSTĂRI PE PRODUS'!$I$180+'AJUSTĂRI PE PRODUS'!$N$180</f>
        <v>4.49</v>
      </c>
      <c r="AG186" s="83"/>
      <c r="AH186" s="86">
        <f t="shared" si="330"/>
        <v>287.19819819819821</v>
      </c>
      <c r="AI186" s="86">
        <f t="shared" si="331"/>
        <v>0</v>
      </c>
      <c r="AJ186" s="86">
        <f t="shared" si="332"/>
        <v>287.19819819819821</v>
      </c>
      <c r="AK186" s="87">
        <f t="shared" si="333"/>
        <v>0.47615761469933182</v>
      </c>
      <c r="AL186" s="87">
        <f t="shared" si="334"/>
        <v>0.47615761469933182</v>
      </c>
      <c r="AM186" s="87" t="str">
        <f t="shared" si="335"/>
        <v/>
      </c>
      <c r="AN186" s="83">
        <f>BW186+SCENARIU!$C$30+SCENARIU!$D$30+SCENARIU!$E$30+'AJUSTĂRI PE PRODUS'!$I$180+'AJUSTĂRI PE PRODUS'!$N$180+'AJUSTĂRI PE PRODUS'!$S$180</f>
        <v>4.99</v>
      </c>
      <c r="AO186" s="83"/>
      <c r="AP186" s="88">
        <f t="shared" si="336"/>
        <v>319.18018018018017</v>
      </c>
      <c r="AQ186" s="88">
        <f t="shared" si="337"/>
        <v>0</v>
      </c>
      <c r="AR186" s="88">
        <f t="shared" si="338"/>
        <v>319.18018018018017</v>
      </c>
      <c r="AS186" s="89">
        <f t="shared" si="339"/>
        <v>0.42844643086172346</v>
      </c>
      <c r="AT186" s="89">
        <f t="shared" si="340"/>
        <v>0.42844643086172346</v>
      </c>
      <c r="AU186" s="89" t="str">
        <f t="shared" si="341"/>
        <v/>
      </c>
      <c r="AV186" s="83">
        <f>BY186+SCENARIU!$C$30+SCENARIU!$D$30+SCENARIU!$E$30+SCENARIU!$F$30+'AJUSTĂRI PE PRODUS'!$I$180+'AJUSTĂRI PE PRODUS'!$N$180+'AJUSTĂRI PE PRODUS'!$S$180+'AJUSTĂRI PE PRODUS'!$X$180</f>
        <v>4.99</v>
      </c>
      <c r="AW186" s="83"/>
      <c r="AX186" s="90">
        <f t="shared" si="342"/>
        <v>319.18018018018017</v>
      </c>
      <c r="AY186" s="90">
        <f t="shared" si="343"/>
        <v>0</v>
      </c>
      <c r="AZ186" s="90">
        <f t="shared" si="344"/>
        <v>319.18018018018017</v>
      </c>
      <c r="BA186" s="91">
        <f t="shared" si="345"/>
        <v>0.42844643086172346</v>
      </c>
      <c r="BB186" s="91">
        <f t="shared" si="346"/>
        <v>0.42844643086172346</v>
      </c>
      <c r="BC186" s="91" t="str">
        <f t="shared" si="347"/>
        <v/>
      </c>
      <c r="BD186" s="92">
        <f t="shared" si="348"/>
        <v>0</v>
      </c>
      <c r="BE186" s="92">
        <f t="shared" si="349"/>
        <v>0</v>
      </c>
      <c r="BF186" s="92">
        <f t="shared" si="350"/>
        <v>0.49000000000000021</v>
      </c>
      <c r="BG186" s="92">
        <f t="shared" si="351"/>
        <v>0.5</v>
      </c>
      <c r="BH186" s="92">
        <f t="shared" si="352"/>
        <v>0</v>
      </c>
      <c r="BI186" s="93">
        <f t="shared" si="353"/>
        <v>0.99000000000000021</v>
      </c>
      <c r="BJ186" s="92" t="str">
        <f t="shared" si="354"/>
        <v/>
      </c>
      <c r="BK186" s="92" t="str">
        <f t="shared" si="355"/>
        <v/>
      </c>
      <c r="BL186" s="92" t="str">
        <f t="shared" si="356"/>
        <v/>
      </c>
      <c r="BM186" s="92" t="str">
        <f t="shared" si="357"/>
        <v/>
      </c>
      <c r="BN186" s="92" t="str">
        <f t="shared" si="358"/>
        <v/>
      </c>
      <c r="BO186" s="93" t="str">
        <f t="shared" si="359"/>
        <v/>
      </c>
      <c r="BQ186">
        <v>4</v>
      </c>
      <c r="BS186">
        <v>4</v>
      </c>
      <c r="BU186">
        <v>4.49</v>
      </c>
      <c r="BW186">
        <v>4.99</v>
      </c>
      <c r="BY186">
        <v>4.99</v>
      </c>
    </row>
    <row r="187" spans="1:78" x14ac:dyDescent="0.2">
      <c r="A187" s="26">
        <v>24</v>
      </c>
      <c r="B187" s="26" t="s">
        <v>325</v>
      </c>
      <c r="C187" s="26" t="s">
        <v>105</v>
      </c>
      <c r="D187" s="74">
        <v>1</v>
      </c>
      <c r="E187" s="75">
        <v>11</v>
      </c>
      <c r="F187" s="76">
        <v>39</v>
      </c>
      <c r="G187" s="76">
        <v>0</v>
      </c>
      <c r="H187" s="77">
        <f>SUMIFS(RETETAR!$I$4:$I$967,RETETAR!$A$4:$A$967,$M187,RETETAR!$C$4:$C$967,"AMBELE")+SUMIFS(RETETAR!$I$4:$I$967,RETETAR!$A$4:$A$967,$M187,RETETAR!$C$4:$C$967,"INSTORE")</f>
        <v>1.3706854000000002</v>
      </c>
      <c r="I187" s="77">
        <f>SUMIFS(RETETAR!$I$4:$I$967,RETETAR!$A$4:$A$967,$M187,RETETAR!$C$4:$C$967,"AMBELE")+SUMIFS(RETETAR!$I$4:$I$967,RETETAR!$A$4:$A$967,$M187,RETETAR!$C$4:$C$967,"DELIVERY")</f>
        <v>1.3706854000000002</v>
      </c>
      <c r="J187" s="78">
        <f t="shared" si="315"/>
        <v>53.456730600000007</v>
      </c>
      <c r="K187" s="78">
        <f t="shared" si="316"/>
        <v>0</v>
      </c>
      <c r="L187" s="78">
        <f t="shared" si="317"/>
        <v>53.456730600000007</v>
      </c>
      <c r="M187" t="s">
        <v>325</v>
      </c>
      <c r="N187" s="79">
        <v>4</v>
      </c>
      <c r="O187" s="79"/>
      <c r="P187" s="80">
        <v>4</v>
      </c>
      <c r="Q187" s="80"/>
      <c r="R187" s="81">
        <f t="shared" si="318"/>
        <v>140.54054054054052</v>
      </c>
      <c r="S187" s="81">
        <f t="shared" si="319"/>
        <v>0</v>
      </c>
      <c r="T187" s="81">
        <f t="shared" si="320"/>
        <v>140.54054054054052</v>
      </c>
      <c r="U187" s="82">
        <f t="shared" si="321"/>
        <v>0.38036519850000011</v>
      </c>
      <c r="V187" s="82">
        <f t="shared" si="322"/>
        <v>0.38036519850000011</v>
      </c>
      <c r="W187" s="82" t="str">
        <f t="shared" si="323"/>
        <v/>
      </c>
      <c r="X187" s="83">
        <f>BS187+SCENARIU!$C$30+'AJUSTĂRI PE PRODUS'!$I$185</f>
        <v>4</v>
      </c>
      <c r="Y187" s="83"/>
      <c r="Z187" s="84">
        <f t="shared" si="324"/>
        <v>140.54054054054052</v>
      </c>
      <c r="AA187" s="84">
        <f t="shared" si="325"/>
        <v>0</v>
      </c>
      <c r="AB187" s="84">
        <f t="shared" si="326"/>
        <v>140.54054054054052</v>
      </c>
      <c r="AC187" s="85">
        <f t="shared" si="327"/>
        <v>0.38036519850000011</v>
      </c>
      <c r="AD187" s="85">
        <f t="shared" si="328"/>
        <v>0.38036519850000011</v>
      </c>
      <c r="AE187" s="85" t="str">
        <f t="shared" si="329"/>
        <v/>
      </c>
      <c r="AF187" s="83">
        <f>BU187+SCENARIU!$C$30+SCENARIU!$D$30+'AJUSTĂRI PE PRODUS'!$I$185+'AJUSTĂRI PE PRODUS'!$N$185</f>
        <v>4.49</v>
      </c>
      <c r="AG187" s="83"/>
      <c r="AH187" s="86">
        <f t="shared" si="330"/>
        <v>157.75675675675674</v>
      </c>
      <c r="AI187" s="86">
        <f t="shared" si="331"/>
        <v>0</v>
      </c>
      <c r="AJ187" s="86">
        <f t="shared" si="332"/>
        <v>157.75675675675674</v>
      </c>
      <c r="AK187" s="87">
        <f t="shared" si="333"/>
        <v>0.33885541069042324</v>
      </c>
      <c r="AL187" s="87">
        <f t="shared" si="334"/>
        <v>0.33885541069042324</v>
      </c>
      <c r="AM187" s="87" t="str">
        <f t="shared" si="335"/>
        <v/>
      </c>
      <c r="AN187" s="83">
        <f>BW187+SCENARIU!$C$30+SCENARIU!$D$30+SCENARIU!$E$30+'AJUSTĂRI PE PRODUS'!$I$185+'AJUSTĂRI PE PRODUS'!$N$185+'AJUSTĂRI PE PRODUS'!$S$185</f>
        <v>4.99</v>
      </c>
      <c r="AO187" s="83"/>
      <c r="AP187" s="88">
        <f t="shared" si="336"/>
        <v>175.32432432432432</v>
      </c>
      <c r="AQ187" s="88">
        <f t="shared" si="337"/>
        <v>0</v>
      </c>
      <c r="AR187" s="88">
        <f t="shared" si="338"/>
        <v>175.32432432432432</v>
      </c>
      <c r="AS187" s="89">
        <f t="shared" si="339"/>
        <v>0.30490196272545095</v>
      </c>
      <c r="AT187" s="89">
        <f t="shared" si="340"/>
        <v>0.30490196272545095</v>
      </c>
      <c r="AU187" s="89" t="str">
        <f t="shared" si="341"/>
        <v/>
      </c>
      <c r="AV187" s="83">
        <f>BY187+SCENARIU!$C$30+SCENARIU!$D$30+SCENARIU!$E$30+SCENARIU!$F$30+'AJUSTĂRI PE PRODUS'!$I$185+'AJUSTĂRI PE PRODUS'!$N$185+'AJUSTĂRI PE PRODUS'!$S$185+'AJUSTĂRI PE PRODUS'!$X$185</f>
        <v>4.99</v>
      </c>
      <c r="AW187" s="83"/>
      <c r="AX187" s="90">
        <f t="shared" si="342"/>
        <v>175.32432432432432</v>
      </c>
      <c r="AY187" s="90">
        <f t="shared" si="343"/>
        <v>0</v>
      </c>
      <c r="AZ187" s="90">
        <f t="shared" si="344"/>
        <v>175.32432432432432</v>
      </c>
      <c r="BA187" s="91">
        <f t="shared" si="345"/>
        <v>0.30490196272545095</v>
      </c>
      <c r="BB187" s="91">
        <f t="shared" si="346"/>
        <v>0.30490196272545095</v>
      </c>
      <c r="BC187" s="91" t="str">
        <f t="shared" si="347"/>
        <v/>
      </c>
      <c r="BD187" s="92">
        <f t="shared" si="348"/>
        <v>0</v>
      </c>
      <c r="BE187" s="92">
        <f t="shared" si="349"/>
        <v>0</v>
      </c>
      <c r="BF187" s="92">
        <f t="shared" si="350"/>
        <v>0.49000000000000021</v>
      </c>
      <c r="BG187" s="92">
        <f t="shared" si="351"/>
        <v>0.5</v>
      </c>
      <c r="BH187" s="92">
        <f t="shared" si="352"/>
        <v>0</v>
      </c>
      <c r="BI187" s="93">
        <f t="shared" si="353"/>
        <v>0.99000000000000021</v>
      </c>
      <c r="BJ187" s="92" t="str">
        <f t="shared" si="354"/>
        <v/>
      </c>
      <c r="BK187" s="92" t="str">
        <f t="shared" si="355"/>
        <v/>
      </c>
      <c r="BL187" s="92" t="str">
        <f t="shared" si="356"/>
        <v/>
      </c>
      <c r="BM187" s="92" t="str">
        <f t="shared" si="357"/>
        <v/>
      </c>
      <c r="BN187" s="92" t="str">
        <f t="shared" si="358"/>
        <v/>
      </c>
      <c r="BO187" s="93" t="str">
        <f t="shared" si="359"/>
        <v/>
      </c>
      <c r="BQ187">
        <v>4</v>
      </c>
      <c r="BS187">
        <v>4</v>
      </c>
      <c r="BU187">
        <v>4.49</v>
      </c>
      <c r="BW187">
        <v>4.99</v>
      </c>
      <c r="BY187">
        <v>4.99</v>
      </c>
    </row>
    <row r="188" spans="1:78" x14ac:dyDescent="0.2">
      <c r="A188" s="26">
        <v>25</v>
      </c>
      <c r="B188" s="26" t="s">
        <v>328</v>
      </c>
      <c r="C188" s="26" t="s">
        <v>105</v>
      </c>
      <c r="D188" s="74">
        <v>1</v>
      </c>
      <c r="E188" s="75">
        <v>11</v>
      </c>
      <c r="F188" s="76">
        <v>15</v>
      </c>
      <c r="G188" s="76">
        <v>0</v>
      </c>
      <c r="H188" s="77">
        <f>SUMIFS(RETETAR!$I$4:$I$967,RETETAR!$A$4:$A$967,$M188,RETETAR!$C$4:$C$967,"AMBELE")+SUMIFS(RETETAR!$I$4:$I$967,RETETAR!$A$4:$A$967,$M188,RETETAR!$C$4:$C$967,"INSTORE")</f>
        <v>0.28000000000000003</v>
      </c>
      <c r="I188" s="77">
        <f>SUMIFS(RETETAR!$I$4:$I$967,RETETAR!$A$4:$A$967,$M188,RETETAR!$C$4:$C$967,"AMBELE")+SUMIFS(RETETAR!$I$4:$I$967,RETETAR!$A$4:$A$967,$M188,RETETAR!$C$4:$C$967,"DELIVERY")</f>
        <v>0.28000000000000003</v>
      </c>
      <c r="J188" s="78">
        <f t="shared" si="315"/>
        <v>4.2</v>
      </c>
      <c r="K188" s="78">
        <f t="shared" si="316"/>
        <v>0</v>
      </c>
      <c r="L188" s="78">
        <f t="shared" si="317"/>
        <v>4.2</v>
      </c>
      <c r="M188" t="s">
        <v>328</v>
      </c>
      <c r="N188" s="79">
        <v>3</v>
      </c>
      <c r="O188" s="79"/>
      <c r="P188" s="80">
        <v>3</v>
      </c>
      <c r="Q188" s="80"/>
      <c r="R188" s="81">
        <f t="shared" si="318"/>
        <v>40.54054054054054</v>
      </c>
      <c r="S188" s="81">
        <f t="shared" si="319"/>
        <v>0</v>
      </c>
      <c r="T188" s="81">
        <f t="shared" si="320"/>
        <v>40.54054054054054</v>
      </c>
      <c r="U188" s="82">
        <f t="shared" si="321"/>
        <v>0.10360000000000001</v>
      </c>
      <c r="V188" s="82">
        <f t="shared" si="322"/>
        <v>0.10360000000000001</v>
      </c>
      <c r="W188" s="82" t="str">
        <f t="shared" si="323"/>
        <v/>
      </c>
      <c r="X188" s="83">
        <f>BS188+SCENARIU!$C$30+'AJUSTĂRI PE PRODUS'!$I$188</f>
        <v>3</v>
      </c>
      <c r="Y188" s="83"/>
      <c r="Z188" s="84">
        <f t="shared" si="324"/>
        <v>40.54054054054054</v>
      </c>
      <c r="AA188" s="84">
        <f t="shared" si="325"/>
        <v>0</v>
      </c>
      <c r="AB188" s="84">
        <f t="shared" si="326"/>
        <v>40.54054054054054</v>
      </c>
      <c r="AC188" s="85">
        <f t="shared" si="327"/>
        <v>0.10360000000000001</v>
      </c>
      <c r="AD188" s="85">
        <f t="shared" si="328"/>
        <v>0.10360000000000001</v>
      </c>
      <c r="AE188" s="85" t="str">
        <f t="shared" si="329"/>
        <v/>
      </c>
      <c r="AF188" s="83">
        <f>BU188+SCENARIU!$C$30+SCENARIU!$D$30+'AJUSTĂRI PE PRODUS'!$I$188+'AJUSTĂRI PE PRODUS'!$N$188</f>
        <v>3.49</v>
      </c>
      <c r="AG188" s="83"/>
      <c r="AH188" s="86">
        <f t="shared" si="330"/>
        <v>47.162162162162161</v>
      </c>
      <c r="AI188" s="86">
        <f t="shared" si="331"/>
        <v>0</v>
      </c>
      <c r="AJ188" s="86">
        <f t="shared" si="332"/>
        <v>47.162162162162161</v>
      </c>
      <c r="AK188" s="87">
        <f t="shared" si="333"/>
        <v>8.9054441260744993E-2</v>
      </c>
      <c r="AL188" s="87">
        <f t="shared" si="334"/>
        <v>8.9054441260744993E-2</v>
      </c>
      <c r="AM188" s="87" t="str">
        <f t="shared" si="335"/>
        <v/>
      </c>
      <c r="AN188" s="83">
        <f>BW188+SCENARIU!$C$30+SCENARIU!$D$30+SCENARIU!$E$30+'AJUSTĂRI PE PRODUS'!$I$188+'AJUSTĂRI PE PRODUS'!$N$188+'AJUSTĂRI PE PRODUS'!$S$188</f>
        <v>3.99</v>
      </c>
      <c r="AO188" s="83"/>
      <c r="AP188" s="88">
        <f t="shared" si="336"/>
        <v>53.918918918918912</v>
      </c>
      <c r="AQ188" s="88">
        <f t="shared" si="337"/>
        <v>0</v>
      </c>
      <c r="AR188" s="88">
        <f t="shared" si="338"/>
        <v>53.918918918918912</v>
      </c>
      <c r="AS188" s="89">
        <f t="shared" si="339"/>
        <v>7.789473684210528E-2</v>
      </c>
      <c r="AT188" s="89">
        <f t="shared" si="340"/>
        <v>7.789473684210528E-2</v>
      </c>
      <c r="AU188" s="89" t="str">
        <f t="shared" si="341"/>
        <v/>
      </c>
      <c r="AV188" s="83">
        <f>BY188+SCENARIU!$C$30+SCENARIU!$D$30+SCENARIU!$E$30+SCENARIU!$F$30+'AJUSTĂRI PE PRODUS'!$I$188+'AJUSTĂRI PE PRODUS'!$N$188+'AJUSTĂRI PE PRODUS'!$S$188+'AJUSTĂRI PE PRODUS'!$X$188</f>
        <v>3.99</v>
      </c>
      <c r="AW188" s="83"/>
      <c r="AX188" s="90">
        <f t="shared" si="342"/>
        <v>53.918918918918912</v>
      </c>
      <c r="AY188" s="90">
        <f t="shared" si="343"/>
        <v>0</v>
      </c>
      <c r="AZ188" s="90">
        <f t="shared" si="344"/>
        <v>53.918918918918912</v>
      </c>
      <c r="BA188" s="91">
        <f t="shared" si="345"/>
        <v>7.789473684210528E-2</v>
      </c>
      <c r="BB188" s="91">
        <f t="shared" si="346"/>
        <v>7.789473684210528E-2</v>
      </c>
      <c r="BC188" s="91" t="str">
        <f t="shared" si="347"/>
        <v/>
      </c>
      <c r="BD188" s="92">
        <f t="shared" si="348"/>
        <v>0</v>
      </c>
      <c r="BE188" s="92">
        <f t="shared" si="349"/>
        <v>0</v>
      </c>
      <c r="BF188" s="92">
        <f t="shared" si="350"/>
        <v>0.49000000000000021</v>
      </c>
      <c r="BG188" s="92">
        <f t="shared" si="351"/>
        <v>0.5</v>
      </c>
      <c r="BH188" s="92">
        <f t="shared" si="352"/>
        <v>0</v>
      </c>
      <c r="BI188" s="93">
        <f t="shared" si="353"/>
        <v>0.99000000000000021</v>
      </c>
      <c r="BJ188" s="92" t="str">
        <f t="shared" si="354"/>
        <v/>
      </c>
      <c r="BK188" s="92" t="str">
        <f t="shared" si="355"/>
        <v/>
      </c>
      <c r="BL188" s="92" t="str">
        <f t="shared" si="356"/>
        <v/>
      </c>
      <c r="BM188" s="92" t="str">
        <f t="shared" si="357"/>
        <v/>
      </c>
      <c r="BN188" s="92" t="str">
        <f t="shared" si="358"/>
        <v/>
      </c>
      <c r="BO188" s="93" t="str">
        <f t="shared" si="359"/>
        <v/>
      </c>
      <c r="BQ188">
        <v>3</v>
      </c>
      <c r="BS188">
        <v>3</v>
      </c>
      <c r="BU188">
        <v>3.49</v>
      </c>
      <c r="BW188">
        <v>3.99</v>
      </c>
      <c r="BY188">
        <v>3.99</v>
      </c>
    </row>
    <row r="189" spans="1:78" x14ac:dyDescent="0.2">
      <c r="A189" s="26">
        <v>26</v>
      </c>
      <c r="B189" s="26" t="s">
        <v>329</v>
      </c>
      <c r="C189" s="26" t="s">
        <v>105</v>
      </c>
      <c r="D189" s="74">
        <v>1</v>
      </c>
      <c r="E189" s="75">
        <v>11</v>
      </c>
      <c r="F189" s="76">
        <v>3</v>
      </c>
      <c r="G189" s="76">
        <v>0</v>
      </c>
      <c r="H189" s="77">
        <f>SUMIFS(RETETAR!$I$4:$I$967,RETETAR!$A$4:$A$967,$M189,RETETAR!$C$4:$C$967,"AMBELE")+SUMIFS(RETETAR!$I$4:$I$967,RETETAR!$A$4:$A$967,$M189,RETETAR!$C$4:$C$967,"INSTORE")</f>
        <v>4.6576000000000004</v>
      </c>
      <c r="I189" s="77">
        <f>SUMIFS(RETETAR!$I$4:$I$967,RETETAR!$A$4:$A$967,$M189,RETETAR!$C$4:$C$967,"AMBELE")+SUMIFS(RETETAR!$I$4:$I$967,RETETAR!$A$4:$A$967,$M189,RETETAR!$C$4:$C$967,"DELIVERY")</f>
        <v>6.7585999999999995</v>
      </c>
      <c r="J189" s="78">
        <f t="shared" si="315"/>
        <v>13.972800000000001</v>
      </c>
      <c r="K189" s="78">
        <f t="shared" si="316"/>
        <v>0</v>
      </c>
      <c r="L189" s="78">
        <f t="shared" si="317"/>
        <v>13.972800000000001</v>
      </c>
      <c r="M189" t="s">
        <v>458</v>
      </c>
      <c r="N189" s="79">
        <v>14</v>
      </c>
      <c r="O189" s="79">
        <v>16</v>
      </c>
      <c r="P189" s="80">
        <v>14</v>
      </c>
      <c r="Q189" s="80">
        <v>16</v>
      </c>
      <c r="R189" s="81">
        <f t="shared" si="318"/>
        <v>37.837837837837839</v>
      </c>
      <c r="S189" s="81">
        <f t="shared" si="319"/>
        <v>0</v>
      </c>
      <c r="T189" s="81">
        <f t="shared" si="320"/>
        <v>37.837837837837839</v>
      </c>
      <c r="U189" s="82">
        <f t="shared" si="321"/>
        <v>0.36928114285714286</v>
      </c>
      <c r="V189" s="82">
        <f t="shared" si="322"/>
        <v>0.36928114285714286</v>
      </c>
      <c r="W189" s="82" t="str">
        <f t="shared" si="323"/>
        <v/>
      </c>
      <c r="X189" s="83">
        <f>BS189+SCENARIU!$C$30+'AJUSTĂRI PE PRODUS'!$I$189</f>
        <v>14</v>
      </c>
      <c r="Y189" s="83">
        <f>BT189+SCENARIU!$C$30+'AJUSTĂRI PE PRODUS'!$J$189</f>
        <v>16</v>
      </c>
      <c r="Z189" s="84">
        <f t="shared" si="324"/>
        <v>37.837837837837839</v>
      </c>
      <c r="AA189" s="84">
        <f t="shared" si="325"/>
        <v>0</v>
      </c>
      <c r="AB189" s="84">
        <f t="shared" si="326"/>
        <v>37.837837837837839</v>
      </c>
      <c r="AC189" s="85">
        <f t="shared" si="327"/>
        <v>0.36928114285714286</v>
      </c>
      <c r="AD189" s="85">
        <f t="shared" si="328"/>
        <v>0.36928114285714286</v>
      </c>
      <c r="AE189" s="85" t="str">
        <f t="shared" si="329"/>
        <v/>
      </c>
      <c r="AF189" s="83">
        <f>BU189+SCENARIU!$C$30+SCENARIU!$D$30+'AJUSTĂRI PE PRODUS'!$I$189+'AJUSTĂRI PE PRODUS'!$N$189</f>
        <v>14.49</v>
      </c>
      <c r="AG189" s="83">
        <f>BV189+SCENARIU!$C$30+SCENARIU!$D$30+'AJUSTĂRI PE PRODUS'!$J$189+'AJUSTĂRI PE PRODUS'!$O$189</f>
        <v>16.489999999999998</v>
      </c>
      <c r="AH189" s="86">
        <f t="shared" si="330"/>
        <v>39.162162162162161</v>
      </c>
      <c r="AI189" s="86">
        <f t="shared" si="331"/>
        <v>0</v>
      </c>
      <c r="AJ189" s="86">
        <f t="shared" si="332"/>
        <v>39.162162162162161</v>
      </c>
      <c r="AK189" s="87">
        <f t="shared" si="333"/>
        <v>0.35679337474120087</v>
      </c>
      <c r="AL189" s="87">
        <f t="shared" si="334"/>
        <v>0.35679337474120087</v>
      </c>
      <c r="AM189" s="87" t="str">
        <f t="shared" si="335"/>
        <v/>
      </c>
      <c r="AN189" s="83">
        <f>BW189+SCENARIU!$C$30+SCENARIU!$D$30+SCENARIU!$E$30+'AJUSTĂRI PE PRODUS'!$I$189+'AJUSTĂRI PE PRODUS'!$N$189+'AJUSTĂRI PE PRODUS'!$S$189</f>
        <v>14.99</v>
      </c>
      <c r="AO189" s="83">
        <f>BX189+SCENARIU!$C$30+SCENARIU!$D$30+SCENARIU!$E$30+'AJUSTĂRI PE PRODUS'!$J$189+'AJUSTĂRI PE PRODUS'!$O$189+'AJUSTĂRI PE PRODUS'!$T$189</f>
        <v>16.989999999999998</v>
      </c>
      <c r="AP189" s="88">
        <f t="shared" si="336"/>
        <v>40.513513513513509</v>
      </c>
      <c r="AQ189" s="88">
        <f t="shared" si="337"/>
        <v>0</v>
      </c>
      <c r="AR189" s="88">
        <f t="shared" si="338"/>
        <v>40.513513513513509</v>
      </c>
      <c r="AS189" s="89">
        <f t="shared" si="339"/>
        <v>0.3448923282188126</v>
      </c>
      <c r="AT189" s="89">
        <f t="shared" si="340"/>
        <v>0.3448923282188126</v>
      </c>
      <c r="AU189" s="89" t="str">
        <f t="shared" si="341"/>
        <v/>
      </c>
      <c r="AV189" s="83">
        <f>BY189+SCENARIU!$C$30+SCENARIU!$D$30+SCENARIU!$E$30+SCENARIU!$F$30+'AJUSTĂRI PE PRODUS'!$I$189+'AJUSTĂRI PE PRODUS'!$N$189+'AJUSTĂRI PE PRODUS'!$S$189+'AJUSTĂRI PE PRODUS'!$X$189</f>
        <v>14.99</v>
      </c>
      <c r="AW189" s="83">
        <f>BZ189+SCENARIU!$C$30+SCENARIU!$D$30+SCENARIU!$E$30+SCENARIU!$F$30+'AJUSTĂRI PE PRODUS'!$J$189+'AJUSTĂRI PE PRODUS'!$O$189+'AJUSTĂRI PE PRODUS'!$T$189+'AJUSTĂRI PE PRODUS'!$Y$189</f>
        <v>16.989999999999998</v>
      </c>
      <c r="AX189" s="90">
        <f t="shared" si="342"/>
        <v>40.513513513513509</v>
      </c>
      <c r="AY189" s="90">
        <f t="shared" si="343"/>
        <v>0</v>
      </c>
      <c r="AZ189" s="90">
        <f t="shared" si="344"/>
        <v>40.513513513513509</v>
      </c>
      <c r="BA189" s="91">
        <f t="shared" si="345"/>
        <v>0.3448923282188126</v>
      </c>
      <c r="BB189" s="91">
        <f t="shared" si="346"/>
        <v>0.3448923282188126</v>
      </c>
      <c r="BC189" s="91" t="str">
        <f t="shared" si="347"/>
        <v/>
      </c>
      <c r="BD189" s="92">
        <f t="shared" si="348"/>
        <v>0</v>
      </c>
      <c r="BE189" s="92">
        <f t="shared" si="349"/>
        <v>0</v>
      </c>
      <c r="BF189" s="92">
        <f t="shared" si="350"/>
        <v>0.49000000000000021</v>
      </c>
      <c r="BG189" s="92">
        <f t="shared" si="351"/>
        <v>0.5</v>
      </c>
      <c r="BH189" s="92">
        <f t="shared" si="352"/>
        <v>0</v>
      </c>
      <c r="BI189" s="93">
        <f t="shared" si="353"/>
        <v>0.99000000000000021</v>
      </c>
      <c r="BJ189" s="92">
        <f t="shared" si="354"/>
        <v>0</v>
      </c>
      <c r="BK189" s="92">
        <f t="shared" si="355"/>
        <v>0</v>
      </c>
      <c r="BL189" s="92">
        <f t="shared" si="356"/>
        <v>0.48999999999999844</v>
      </c>
      <c r="BM189" s="92">
        <f t="shared" si="357"/>
        <v>0.5</v>
      </c>
      <c r="BN189" s="92">
        <f t="shared" si="358"/>
        <v>0</v>
      </c>
      <c r="BO189" s="93">
        <f t="shared" si="359"/>
        <v>0.98999999999999844</v>
      </c>
      <c r="BQ189">
        <v>14</v>
      </c>
      <c r="BR189">
        <v>16</v>
      </c>
      <c r="BS189">
        <v>14</v>
      </c>
      <c r="BT189">
        <v>16</v>
      </c>
      <c r="BU189">
        <v>14.49</v>
      </c>
      <c r="BV189">
        <v>16.489999999999998</v>
      </c>
      <c r="BW189">
        <v>14.99</v>
      </c>
      <c r="BX189">
        <v>16.989999999999998</v>
      </c>
      <c r="BY189">
        <v>14.99</v>
      </c>
      <c r="BZ189">
        <v>16.989999999999998</v>
      </c>
    </row>
    <row r="190" spans="1:78" x14ac:dyDescent="0.2">
      <c r="A190" s="26">
        <v>27</v>
      </c>
      <c r="B190" s="26" t="s">
        <v>330</v>
      </c>
      <c r="C190" s="26" t="s">
        <v>105</v>
      </c>
      <c r="D190" s="74">
        <v>1</v>
      </c>
      <c r="E190" s="75">
        <v>11</v>
      </c>
      <c r="F190" s="76">
        <v>13</v>
      </c>
      <c r="G190" s="76">
        <v>0</v>
      </c>
      <c r="H190" s="77">
        <f>SUMIFS(RETETAR!$I$4:$I$967,RETETAR!$A$4:$A$967,$M190,RETETAR!$C$4:$C$967,"AMBELE")+SUMIFS(RETETAR!$I$4:$I$967,RETETAR!$A$4:$A$967,$M190,RETETAR!$C$4:$C$967,"INSTORE")</f>
        <v>0.82452150000000002</v>
      </c>
      <c r="I190" s="77">
        <f>SUMIFS(RETETAR!$I$4:$I$967,RETETAR!$A$4:$A$967,$M190,RETETAR!$C$4:$C$967,"AMBELE")+SUMIFS(RETETAR!$I$4:$I$967,RETETAR!$A$4:$A$967,$M190,RETETAR!$C$4:$C$967,"DELIVERY")</f>
        <v>0.82452150000000002</v>
      </c>
      <c r="J190" s="78">
        <f t="shared" si="315"/>
        <v>10.7187795</v>
      </c>
      <c r="K190" s="78">
        <f t="shared" si="316"/>
        <v>0</v>
      </c>
      <c r="L190" s="78">
        <f t="shared" si="317"/>
        <v>10.7187795</v>
      </c>
      <c r="M190" t="s">
        <v>330</v>
      </c>
      <c r="N190" s="79">
        <v>3</v>
      </c>
      <c r="O190" s="79"/>
      <c r="P190" s="80">
        <v>3</v>
      </c>
      <c r="Q190" s="80"/>
      <c r="R190" s="81">
        <f t="shared" si="318"/>
        <v>35.135135135135137</v>
      </c>
      <c r="S190" s="81">
        <f t="shared" si="319"/>
        <v>0</v>
      </c>
      <c r="T190" s="81">
        <f t="shared" si="320"/>
        <v>35.135135135135137</v>
      </c>
      <c r="U190" s="82">
        <f t="shared" si="321"/>
        <v>0.30507295499999998</v>
      </c>
      <c r="V190" s="82">
        <f t="shared" si="322"/>
        <v>0.30507295499999998</v>
      </c>
      <c r="W190" s="82" t="str">
        <f t="shared" si="323"/>
        <v/>
      </c>
      <c r="X190" s="83">
        <f>BS190+SCENARIU!$C$30+'AJUSTĂRI PE PRODUS'!$I$190</f>
        <v>3</v>
      </c>
      <c r="Y190" s="83"/>
      <c r="Z190" s="84">
        <f t="shared" si="324"/>
        <v>35.135135135135137</v>
      </c>
      <c r="AA190" s="84">
        <f t="shared" si="325"/>
        <v>0</v>
      </c>
      <c r="AB190" s="84">
        <f t="shared" si="326"/>
        <v>35.135135135135137</v>
      </c>
      <c r="AC190" s="85">
        <f t="shared" si="327"/>
        <v>0.30507295499999998</v>
      </c>
      <c r="AD190" s="85">
        <f t="shared" si="328"/>
        <v>0.30507295499999998</v>
      </c>
      <c r="AE190" s="85" t="str">
        <f t="shared" si="329"/>
        <v/>
      </c>
      <c r="AF190" s="83">
        <f>BU190+SCENARIU!$C$30+SCENARIU!$D$30+'AJUSTĂRI PE PRODUS'!$I$190+'AJUSTĂRI PE PRODUS'!$N$190</f>
        <v>3.49</v>
      </c>
      <c r="AG190" s="83"/>
      <c r="AH190" s="86">
        <f t="shared" si="330"/>
        <v>40.873873873873869</v>
      </c>
      <c r="AI190" s="86">
        <f t="shared" si="331"/>
        <v>0</v>
      </c>
      <c r="AJ190" s="86">
        <f t="shared" si="332"/>
        <v>40.873873873873869</v>
      </c>
      <c r="AK190" s="87">
        <f t="shared" si="333"/>
        <v>0.26224036246418342</v>
      </c>
      <c r="AL190" s="87">
        <f t="shared" si="334"/>
        <v>0.26224036246418342</v>
      </c>
      <c r="AM190" s="87" t="str">
        <f t="shared" si="335"/>
        <v/>
      </c>
      <c r="AN190" s="83">
        <f>BW190+SCENARIU!$C$30+SCENARIU!$D$30+SCENARIU!$E$30+'AJUSTĂRI PE PRODUS'!$I$190+'AJUSTĂRI PE PRODUS'!$N$190+'AJUSTĂRI PE PRODUS'!$S$190</f>
        <v>3.99</v>
      </c>
      <c r="AO190" s="83"/>
      <c r="AP190" s="88">
        <f t="shared" si="336"/>
        <v>46.729729729729726</v>
      </c>
      <c r="AQ190" s="88">
        <f t="shared" si="337"/>
        <v>0</v>
      </c>
      <c r="AR190" s="88">
        <f t="shared" si="338"/>
        <v>46.729729729729726</v>
      </c>
      <c r="AS190" s="89">
        <f t="shared" si="339"/>
        <v>0.22937816165413535</v>
      </c>
      <c r="AT190" s="89">
        <f t="shared" si="340"/>
        <v>0.22937816165413535</v>
      </c>
      <c r="AU190" s="89" t="str">
        <f t="shared" si="341"/>
        <v/>
      </c>
      <c r="AV190" s="83">
        <f>BY190+SCENARIU!$C$30+SCENARIU!$D$30+SCENARIU!$E$30+SCENARIU!$F$30+'AJUSTĂRI PE PRODUS'!$I$190+'AJUSTĂRI PE PRODUS'!$N$190+'AJUSTĂRI PE PRODUS'!$S$190+'AJUSTĂRI PE PRODUS'!$X$190</f>
        <v>3.99</v>
      </c>
      <c r="AW190" s="83"/>
      <c r="AX190" s="90">
        <f t="shared" si="342"/>
        <v>46.729729729729726</v>
      </c>
      <c r="AY190" s="90">
        <f t="shared" si="343"/>
        <v>0</v>
      </c>
      <c r="AZ190" s="90">
        <f t="shared" si="344"/>
        <v>46.729729729729726</v>
      </c>
      <c r="BA190" s="91">
        <f t="shared" si="345"/>
        <v>0.22937816165413535</v>
      </c>
      <c r="BB190" s="91">
        <f t="shared" si="346"/>
        <v>0.22937816165413535</v>
      </c>
      <c r="BC190" s="91" t="str">
        <f t="shared" si="347"/>
        <v/>
      </c>
      <c r="BD190" s="92">
        <f t="shared" si="348"/>
        <v>0</v>
      </c>
      <c r="BE190" s="92">
        <f t="shared" si="349"/>
        <v>0</v>
      </c>
      <c r="BF190" s="92">
        <f t="shared" si="350"/>
        <v>0.49000000000000021</v>
      </c>
      <c r="BG190" s="92">
        <f t="shared" si="351"/>
        <v>0.5</v>
      </c>
      <c r="BH190" s="92">
        <f t="shared" si="352"/>
        <v>0</v>
      </c>
      <c r="BI190" s="93">
        <f t="shared" si="353"/>
        <v>0.99000000000000021</v>
      </c>
      <c r="BJ190" s="92" t="str">
        <f t="shared" si="354"/>
        <v/>
      </c>
      <c r="BK190" s="92" t="str">
        <f t="shared" si="355"/>
        <v/>
      </c>
      <c r="BL190" s="92" t="str">
        <f t="shared" si="356"/>
        <v/>
      </c>
      <c r="BM190" s="92" t="str">
        <f t="shared" si="357"/>
        <v/>
      </c>
      <c r="BN190" s="92" t="str">
        <f t="shared" si="358"/>
        <v/>
      </c>
      <c r="BO190" s="93" t="str">
        <f t="shared" si="359"/>
        <v/>
      </c>
      <c r="BQ190">
        <v>3</v>
      </c>
      <c r="BS190">
        <v>3</v>
      </c>
      <c r="BU190">
        <v>3.49</v>
      </c>
      <c r="BW190">
        <v>3.99</v>
      </c>
      <c r="BY190">
        <v>3.99</v>
      </c>
    </row>
    <row r="191" spans="1:78" x14ac:dyDescent="0.2">
      <c r="A191" s="26">
        <v>28</v>
      </c>
      <c r="B191" s="26" t="s">
        <v>331</v>
      </c>
      <c r="C191" s="26" t="s">
        <v>105</v>
      </c>
      <c r="D191" s="74">
        <v>1</v>
      </c>
      <c r="E191" s="75">
        <v>11</v>
      </c>
      <c r="F191" s="76">
        <v>9</v>
      </c>
      <c r="G191" s="76">
        <v>0</v>
      </c>
      <c r="H191" s="77">
        <f>SUMIFS(RETETAR!$I$4:$I$967,RETETAR!$A$4:$A$967,$M191,RETETAR!$C$4:$C$967,"AMBELE")+SUMIFS(RETETAR!$I$4:$I$967,RETETAR!$A$4:$A$967,$M191,RETETAR!$C$4:$C$967,"INSTORE")</f>
        <v>1.3120500000000002</v>
      </c>
      <c r="I191" s="77">
        <f>SUMIFS(RETETAR!$I$4:$I$967,RETETAR!$A$4:$A$967,$M191,RETETAR!$C$4:$C$967,"AMBELE")+SUMIFS(RETETAR!$I$4:$I$967,RETETAR!$A$4:$A$967,$M191,RETETAR!$C$4:$C$967,"DELIVERY")</f>
        <v>0</v>
      </c>
      <c r="J191" s="78">
        <f t="shared" si="315"/>
        <v>11.808450000000001</v>
      </c>
      <c r="K191" s="78">
        <f t="shared" si="316"/>
        <v>0</v>
      </c>
      <c r="L191" s="78">
        <f t="shared" si="317"/>
        <v>11.808450000000001</v>
      </c>
      <c r="M191" t="s">
        <v>331</v>
      </c>
      <c r="N191" s="79">
        <v>4</v>
      </c>
      <c r="O191" s="79">
        <v>3</v>
      </c>
      <c r="P191" s="80">
        <v>4</v>
      </c>
      <c r="Q191" s="80">
        <v>3</v>
      </c>
      <c r="R191" s="81">
        <f t="shared" si="318"/>
        <v>32.432432432432428</v>
      </c>
      <c r="S191" s="81">
        <f t="shared" si="319"/>
        <v>0</v>
      </c>
      <c r="T191" s="81">
        <f t="shared" si="320"/>
        <v>32.432432432432428</v>
      </c>
      <c r="U191" s="82">
        <f t="shared" si="321"/>
        <v>0.36409387500000007</v>
      </c>
      <c r="V191" s="82">
        <f t="shared" si="322"/>
        <v>0.36409387500000007</v>
      </c>
      <c r="W191" s="82" t="str">
        <f t="shared" si="323"/>
        <v/>
      </c>
      <c r="X191" s="83">
        <f>BS191+SCENARIU!$C$30+'AJUSTĂRI PE PRODUS'!$I$191</f>
        <v>4</v>
      </c>
      <c r="Y191" s="83">
        <f>BT191+SCENARIU!$C$30+'AJUSTĂRI PE PRODUS'!$J$191</f>
        <v>3</v>
      </c>
      <c r="Z191" s="84">
        <f t="shared" si="324"/>
        <v>32.432432432432428</v>
      </c>
      <c r="AA191" s="84">
        <f t="shared" si="325"/>
        <v>0</v>
      </c>
      <c r="AB191" s="84">
        <f t="shared" si="326"/>
        <v>32.432432432432428</v>
      </c>
      <c r="AC191" s="85">
        <f t="shared" si="327"/>
        <v>0.36409387500000007</v>
      </c>
      <c r="AD191" s="85">
        <f t="shared" si="328"/>
        <v>0.36409387500000007</v>
      </c>
      <c r="AE191" s="85" t="str">
        <f t="shared" si="329"/>
        <v/>
      </c>
      <c r="AF191" s="83">
        <f>BU191+SCENARIU!$C$30+SCENARIU!$D$30+'AJUSTĂRI PE PRODUS'!$I$191+'AJUSTĂRI PE PRODUS'!$N$191</f>
        <v>4.49</v>
      </c>
      <c r="AG191" s="83">
        <f>BV191+SCENARIU!$C$30+SCENARIU!$D$30+'AJUSTĂRI PE PRODUS'!$J$191+'AJUSTĂRI PE PRODUS'!$O$191</f>
        <v>3.49</v>
      </c>
      <c r="AH191" s="86">
        <f t="shared" si="330"/>
        <v>36.405405405405403</v>
      </c>
      <c r="AI191" s="86">
        <f t="shared" si="331"/>
        <v>0</v>
      </c>
      <c r="AJ191" s="86">
        <f t="shared" si="332"/>
        <v>36.405405405405403</v>
      </c>
      <c r="AK191" s="87">
        <f t="shared" si="333"/>
        <v>0.32435979955456573</v>
      </c>
      <c r="AL191" s="87">
        <f t="shared" si="334"/>
        <v>0.32435979955456573</v>
      </c>
      <c r="AM191" s="87" t="str">
        <f t="shared" si="335"/>
        <v/>
      </c>
      <c r="AN191" s="83">
        <f>BW191+SCENARIU!$C$30+SCENARIU!$D$30+SCENARIU!$E$30+'AJUSTĂRI PE PRODUS'!$I$191+'AJUSTĂRI PE PRODUS'!$N$191+'AJUSTĂRI PE PRODUS'!$S$191</f>
        <v>4.49</v>
      </c>
      <c r="AO191" s="83">
        <f>BX191+SCENARIU!$C$30+SCENARIU!$D$30+SCENARIU!$E$30+'AJUSTĂRI PE PRODUS'!$J$191+'AJUSTĂRI PE PRODUS'!$O$191+'AJUSTĂRI PE PRODUS'!$T$191</f>
        <v>3.49</v>
      </c>
      <c r="AP191" s="88">
        <f t="shared" si="336"/>
        <v>36.405405405405403</v>
      </c>
      <c r="AQ191" s="88">
        <f t="shared" si="337"/>
        <v>0</v>
      </c>
      <c r="AR191" s="88">
        <f t="shared" si="338"/>
        <v>36.405405405405403</v>
      </c>
      <c r="AS191" s="89">
        <f t="shared" si="339"/>
        <v>0.32435979955456573</v>
      </c>
      <c r="AT191" s="89">
        <f t="shared" si="340"/>
        <v>0.32435979955456573</v>
      </c>
      <c r="AU191" s="89" t="str">
        <f t="shared" si="341"/>
        <v/>
      </c>
      <c r="AV191" s="83">
        <f>BY191+SCENARIU!$C$30+SCENARIU!$D$30+SCENARIU!$E$30+SCENARIU!$F$30+'AJUSTĂRI PE PRODUS'!$I$191+'AJUSTĂRI PE PRODUS'!$N$191+'AJUSTĂRI PE PRODUS'!$S$191+'AJUSTĂRI PE PRODUS'!$X$191</f>
        <v>4.49</v>
      </c>
      <c r="AW191" s="83">
        <f>BZ191+SCENARIU!$C$30+SCENARIU!$D$30+SCENARIU!$E$30+SCENARIU!$F$30+'AJUSTĂRI PE PRODUS'!$J$191+'AJUSTĂRI PE PRODUS'!$O$191+'AJUSTĂRI PE PRODUS'!$T$191+'AJUSTĂRI PE PRODUS'!$Y$191</f>
        <v>3.49</v>
      </c>
      <c r="AX191" s="90">
        <f t="shared" si="342"/>
        <v>36.405405405405403</v>
      </c>
      <c r="AY191" s="90">
        <f t="shared" si="343"/>
        <v>0</v>
      </c>
      <c r="AZ191" s="90">
        <f t="shared" si="344"/>
        <v>36.405405405405403</v>
      </c>
      <c r="BA191" s="91">
        <f t="shared" si="345"/>
        <v>0.32435979955456573</v>
      </c>
      <c r="BB191" s="91">
        <f t="shared" si="346"/>
        <v>0.32435979955456573</v>
      </c>
      <c r="BC191" s="91" t="str">
        <f t="shared" si="347"/>
        <v/>
      </c>
      <c r="BD191" s="92">
        <f t="shared" si="348"/>
        <v>0</v>
      </c>
      <c r="BE191" s="92">
        <f t="shared" si="349"/>
        <v>0</v>
      </c>
      <c r="BF191" s="92">
        <f t="shared" si="350"/>
        <v>0.49000000000000021</v>
      </c>
      <c r="BG191" s="92">
        <f t="shared" si="351"/>
        <v>0</v>
      </c>
      <c r="BH191" s="92">
        <f t="shared" si="352"/>
        <v>0</v>
      </c>
      <c r="BI191" s="93">
        <f t="shared" si="353"/>
        <v>0.49000000000000021</v>
      </c>
      <c r="BJ191" s="92">
        <f t="shared" si="354"/>
        <v>0</v>
      </c>
      <c r="BK191" s="92">
        <f t="shared" si="355"/>
        <v>0</v>
      </c>
      <c r="BL191" s="92">
        <f t="shared" si="356"/>
        <v>0.49000000000000021</v>
      </c>
      <c r="BM191" s="92">
        <f t="shared" si="357"/>
        <v>0</v>
      </c>
      <c r="BN191" s="92">
        <f t="shared" si="358"/>
        <v>0</v>
      </c>
      <c r="BO191" s="93">
        <f t="shared" si="359"/>
        <v>0.49000000000000021</v>
      </c>
      <c r="BQ191">
        <v>4</v>
      </c>
      <c r="BR191">
        <v>3</v>
      </c>
      <c r="BS191">
        <v>4</v>
      </c>
      <c r="BT191">
        <v>3</v>
      </c>
      <c r="BU191">
        <v>4.49</v>
      </c>
      <c r="BV191">
        <v>3.49</v>
      </c>
      <c r="BW191">
        <v>4.49</v>
      </c>
      <c r="BX191">
        <v>3.49</v>
      </c>
      <c r="BY191">
        <v>4.49</v>
      </c>
      <c r="BZ191">
        <v>3.49</v>
      </c>
    </row>
    <row r="192" spans="1:78" x14ac:dyDescent="0.2">
      <c r="A192" s="26">
        <v>29</v>
      </c>
      <c r="B192" s="26" t="s">
        <v>332</v>
      </c>
      <c r="C192" s="26" t="s">
        <v>105</v>
      </c>
      <c r="D192" s="74">
        <v>1</v>
      </c>
      <c r="E192" s="75">
        <v>11</v>
      </c>
      <c r="F192" s="76">
        <v>11</v>
      </c>
      <c r="G192" s="76">
        <v>0</v>
      </c>
      <c r="H192" s="77">
        <f>SUMIFS(RETETAR!$I$4:$I$967,RETETAR!$A$4:$A$967,$M192,RETETAR!$C$4:$C$967,"AMBELE")+SUMIFS(RETETAR!$I$4:$I$967,RETETAR!$A$4:$A$967,$M192,RETETAR!$C$4:$C$967,"INSTORE")</f>
        <v>0.68</v>
      </c>
      <c r="I192" s="77">
        <f>SUMIFS(RETETAR!$I$4:$I$967,RETETAR!$A$4:$A$967,$M192,RETETAR!$C$4:$C$967,"AMBELE")+SUMIFS(RETETAR!$I$4:$I$967,RETETAR!$A$4:$A$967,$M192,RETETAR!$C$4:$C$967,"DELIVERY")</f>
        <v>0.68</v>
      </c>
      <c r="J192" s="78">
        <f t="shared" si="315"/>
        <v>7.48</v>
      </c>
      <c r="K192" s="78">
        <f t="shared" si="316"/>
        <v>0</v>
      </c>
      <c r="L192" s="78">
        <f t="shared" si="317"/>
        <v>7.48</v>
      </c>
      <c r="M192" t="s">
        <v>332</v>
      </c>
      <c r="N192" s="79">
        <v>3</v>
      </c>
      <c r="O192" s="79"/>
      <c r="P192" s="80">
        <v>3</v>
      </c>
      <c r="Q192" s="80"/>
      <c r="R192" s="81">
        <f t="shared" si="318"/>
        <v>29.72972972972973</v>
      </c>
      <c r="S192" s="81">
        <f t="shared" si="319"/>
        <v>0</v>
      </c>
      <c r="T192" s="81">
        <f t="shared" si="320"/>
        <v>29.72972972972973</v>
      </c>
      <c r="U192" s="82">
        <f t="shared" si="321"/>
        <v>0.25159999999999999</v>
      </c>
      <c r="V192" s="82">
        <f t="shared" si="322"/>
        <v>0.25159999999999999</v>
      </c>
      <c r="W192" s="82" t="str">
        <f t="shared" si="323"/>
        <v/>
      </c>
      <c r="X192" s="83">
        <f>BS192+SCENARIU!$C$30+'AJUSTĂRI PE PRODUS'!$I$192</f>
        <v>3</v>
      </c>
      <c r="Y192" s="83"/>
      <c r="Z192" s="84">
        <f t="shared" si="324"/>
        <v>29.72972972972973</v>
      </c>
      <c r="AA192" s="84">
        <f t="shared" si="325"/>
        <v>0</v>
      </c>
      <c r="AB192" s="84">
        <f t="shared" si="326"/>
        <v>29.72972972972973</v>
      </c>
      <c r="AC192" s="85">
        <f t="shared" si="327"/>
        <v>0.25159999999999999</v>
      </c>
      <c r="AD192" s="85">
        <f t="shared" si="328"/>
        <v>0.25159999999999999</v>
      </c>
      <c r="AE192" s="85" t="str">
        <f t="shared" si="329"/>
        <v/>
      </c>
      <c r="AF192" s="83">
        <f>BU192+SCENARIU!$C$30+SCENARIU!$D$30+'AJUSTĂRI PE PRODUS'!$I$192+'AJUSTĂRI PE PRODUS'!$N$192</f>
        <v>3.49</v>
      </c>
      <c r="AG192" s="83"/>
      <c r="AH192" s="86">
        <f t="shared" si="330"/>
        <v>34.585585585585584</v>
      </c>
      <c r="AI192" s="86">
        <f t="shared" si="331"/>
        <v>0</v>
      </c>
      <c r="AJ192" s="86">
        <f t="shared" si="332"/>
        <v>34.585585585585584</v>
      </c>
      <c r="AK192" s="87">
        <f t="shared" si="333"/>
        <v>0.21627507163323784</v>
      </c>
      <c r="AL192" s="87">
        <f t="shared" si="334"/>
        <v>0.21627507163323784</v>
      </c>
      <c r="AM192" s="87" t="str">
        <f t="shared" si="335"/>
        <v/>
      </c>
      <c r="AN192" s="83">
        <f>BW192+SCENARIU!$C$30+SCENARIU!$D$30+SCENARIU!$E$30+'AJUSTĂRI PE PRODUS'!$I$192+'AJUSTĂRI PE PRODUS'!$N$192+'AJUSTĂRI PE PRODUS'!$S$192</f>
        <v>3.99</v>
      </c>
      <c r="AO192" s="83"/>
      <c r="AP192" s="88">
        <f t="shared" si="336"/>
        <v>39.54054054054054</v>
      </c>
      <c r="AQ192" s="88">
        <f t="shared" si="337"/>
        <v>0</v>
      </c>
      <c r="AR192" s="88">
        <f t="shared" si="338"/>
        <v>39.54054054054054</v>
      </c>
      <c r="AS192" s="89">
        <f t="shared" si="339"/>
        <v>0.18917293233082708</v>
      </c>
      <c r="AT192" s="89">
        <f t="shared" si="340"/>
        <v>0.18917293233082708</v>
      </c>
      <c r="AU192" s="89" t="str">
        <f t="shared" si="341"/>
        <v/>
      </c>
      <c r="AV192" s="83">
        <f>BY192+SCENARIU!$C$30+SCENARIU!$D$30+SCENARIU!$E$30+SCENARIU!$F$30+'AJUSTĂRI PE PRODUS'!$I$192+'AJUSTĂRI PE PRODUS'!$N$192+'AJUSTĂRI PE PRODUS'!$S$192+'AJUSTĂRI PE PRODUS'!$X$192</f>
        <v>3.99</v>
      </c>
      <c r="AW192" s="83"/>
      <c r="AX192" s="90">
        <f t="shared" si="342"/>
        <v>39.54054054054054</v>
      </c>
      <c r="AY192" s="90">
        <f t="shared" si="343"/>
        <v>0</v>
      </c>
      <c r="AZ192" s="90">
        <f t="shared" si="344"/>
        <v>39.54054054054054</v>
      </c>
      <c r="BA192" s="91">
        <f t="shared" si="345"/>
        <v>0.18917293233082708</v>
      </c>
      <c r="BB192" s="91">
        <f t="shared" si="346"/>
        <v>0.18917293233082708</v>
      </c>
      <c r="BC192" s="91" t="str">
        <f t="shared" si="347"/>
        <v/>
      </c>
      <c r="BD192" s="92">
        <f t="shared" si="348"/>
        <v>0</v>
      </c>
      <c r="BE192" s="92">
        <f t="shared" si="349"/>
        <v>0</v>
      </c>
      <c r="BF192" s="92">
        <f t="shared" si="350"/>
        <v>0.49000000000000021</v>
      </c>
      <c r="BG192" s="92">
        <f t="shared" si="351"/>
        <v>0.5</v>
      </c>
      <c r="BH192" s="92">
        <f t="shared" si="352"/>
        <v>0</v>
      </c>
      <c r="BI192" s="93">
        <f t="shared" si="353"/>
        <v>0.99000000000000021</v>
      </c>
      <c r="BJ192" s="92" t="str">
        <f t="shared" si="354"/>
        <v/>
      </c>
      <c r="BK192" s="92" t="str">
        <f t="shared" si="355"/>
        <v/>
      </c>
      <c r="BL192" s="92" t="str">
        <f t="shared" si="356"/>
        <v/>
      </c>
      <c r="BM192" s="92" t="str">
        <f t="shared" si="357"/>
        <v/>
      </c>
      <c r="BN192" s="92" t="str">
        <f t="shared" si="358"/>
        <v/>
      </c>
      <c r="BO192" s="93" t="str">
        <f t="shared" si="359"/>
        <v/>
      </c>
      <c r="BQ192">
        <v>3</v>
      </c>
      <c r="BS192">
        <v>3</v>
      </c>
      <c r="BU192">
        <v>3.49</v>
      </c>
      <c r="BW192">
        <v>3.99</v>
      </c>
      <c r="BY192">
        <v>3.99</v>
      </c>
    </row>
    <row r="193" spans="1:78" x14ac:dyDescent="0.2">
      <c r="A193" s="26">
        <v>30</v>
      </c>
      <c r="B193" s="26" t="s">
        <v>334</v>
      </c>
      <c r="C193" s="26" t="s">
        <v>105</v>
      </c>
      <c r="D193" s="74">
        <v>1</v>
      </c>
      <c r="E193" s="75">
        <v>11</v>
      </c>
      <c r="F193" s="76">
        <v>6</v>
      </c>
      <c r="G193" s="76">
        <v>0</v>
      </c>
      <c r="H193" s="77">
        <f>SUMIFS(RETETAR!$I$4:$I$967,RETETAR!$A$4:$A$967,$M193,RETETAR!$C$4:$C$967,"AMBELE")+SUMIFS(RETETAR!$I$4:$I$967,RETETAR!$A$4:$A$967,$M193,RETETAR!$C$4:$C$967,"INSTORE")</f>
        <v>1.3120500000000002</v>
      </c>
      <c r="I193" s="77">
        <f>SUMIFS(RETETAR!$I$4:$I$967,RETETAR!$A$4:$A$967,$M193,RETETAR!$C$4:$C$967,"AMBELE")+SUMIFS(RETETAR!$I$4:$I$967,RETETAR!$A$4:$A$967,$M193,RETETAR!$C$4:$C$967,"DELIVERY")</f>
        <v>0</v>
      </c>
      <c r="J193" s="78">
        <f t="shared" si="315"/>
        <v>7.872300000000001</v>
      </c>
      <c r="K193" s="78">
        <f t="shared" si="316"/>
        <v>0</v>
      </c>
      <c r="L193" s="78">
        <f t="shared" si="317"/>
        <v>7.872300000000001</v>
      </c>
      <c r="M193" t="s">
        <v>334</v>
      </c>
      <c r="N193" s="79">
        <v>4</v>
      </c>
      <c r="O193" s="79"/>
      <c r="P193" s="80">
        <v>4</v>
      </c>
      <c r="Q193" s="80"/>
      <c r="R193" s="81">
        <f t="shared" si="318"/>
        <v>21.621621621621621</v>
      </c>
      <c r="S193" s="81">
        <f t="shared" si="319"/>
        <v>0</v>
      </c>
      <c r="T193" s="81">
        <f t="shared" si="320"/>
        <v>21.621621621621621</v>
      </c>
      <c r="U193" s="82">
        <f t="shared" si="321"/>
        <v>0.36409387500000007</v>
      </c>
      <c r="V193" s="82">
        <f t="shared" si="322"/>
        <v>0.36409387500000007</v>
      </c>
      <c r="W193" s="82" t="str">
        <f t="shared" si="323"/>
        <v/>
      </c>
      <c r="X193" s="83">
        <f>BS193+SCENARIU!$C$30+'AJUSTĂRI PE PRODUS'!$I$194</f>
        <v>4</v>
      </c>
      <c r="Y193" s="83"/>
      <c r="Z193" s="84">
        <f t="shared" si="324"/>
        <v>21.621621621621621</v>
      </c>
      <c r="AA193" s="84">
        <f t="shared" si="325"/>
        <v>0</v>
      </c>
      <c r="AB193" s="84">
        <f t="shared" si="326"/>
        <v>21.621621621621621</v>
      </c>
      <c r="AC193" s="85">
        <f t="shared" si="327"/>
        <v>0.36409387500000007</v>
      </c>
      <c r="AD193" s="85">
        <f t="shared" si="328"/>
        <v>0.36409387500000007</v>
      </c>
      <c r="AE193" s="85" t="str">
        <f t="shared" si="329"/>
        <v/>
      </c>
      <c r="AF193" s="83">
        <f>BU193+SCENARIU!$C$30+SCENARIU!$D$30+'AJUSTĂRI PE PRODUS'!$I$194+'AJUSTĂRI PE PRODUS'!$N$194</f>
        <v>4.49</v>
      </c>
      <c r="AG193" s="83"/>
      <c r="AH193" s="86">
        <f t="shared" si="330"/>
        <v>24.27027027027027</v>
      </c>
      <c r="AI193" s="86">
        <f t="shared" si="331"/>
        <v>0</v>
      </c>
      <c r="AJ193" s="86">
        <f t="shared" si="332"/>
        <v>24.27027027027027</v>
      </c>
      <c r="AK193" s="87">
        <f t="shared" si="333"/>
        <v>0.32435979955456573</v>
      </c>
      <c r="AL193" s="87">
        <f t="shared" si="334"/>
        <v>0.32435979955456573</v>
      </c>
      <c r="AM193" s="87" t="str">
        <f t="shared" si="335"/>
        <v/>
      </c>
      <c r="AN193" s="83">
        <f>BW193+SCENARIU!$C$30+SCENARIU!$D$30+SCENARIU!$E$30+'AJUSTĂRI PE PRODUS'!$I$194+'AJUSTĂRI PE PRODUS'!$N$194+'AJUSTĂRI PE PRODUS'!$S$194</f>
        <v>4.49</v>
      </c>
      <c r="AO193" s="83"/>
      <c r="AP193" s="88">
        <f t="shared" si="336"/>
        <v>24.27027027027027</v>
      </c>
      <c r="AQ193" s="88">
        <f t="shared" si="337"/>
        <v>0</v>
      </c>
      <c r="AR193" s="88">
        <f t="shared" si="338"/>
        <v>24.27027027027027</v>
      </c>
      <c r="AS193" s="89">
        <f t="shared" si="339"/>
        <v>0.32435979955456573</v>
      </c>
      <c r="AT193" s="89">
        <f t="shared" si="340"/>
        <v>0.32435979955456573</v>
      </c>
      <c r="AU193" s="89" t="str">
        <f t="shared" si="341"/>
        <v/>
      </c>
      <c r="AV193" s="83">
        <f>BY193+SCENARIU!$C$30+SCENARIU!$D$30+SCENARIU!$E$30+SCENARIU!$F$30+'AJUSTĂRI PE PRODUS'!$I$194+'AJUSTĂRI PE PRODUS'!$N$194+'AJUSTĂRI PE PRODUS'!$S$194+'AJUSTĂRI PE PRODUS'!$X$194</f>
        <v>4.49</v>
      </c>
      <c r="AW193" s="83"/>
      <c r="AX193" s="90">
        <f t="shared" si="342"/>
        <v>24.27027027027027</v>
      </c>
      <c r="AY193" s="90">
        <f t="shared" si="343"/>
        <v>0</v>
      </c>
      <c r="AZ193" s="90">
        <f t="shared" si="344"/>
        <v>24.27027027027027</v>
      </c>
      <c r="BA193" s="91">
        <f t="shared" si="345"/>
        <v>0.32435979955456573</v>
      </c>
      <c r="BB193" s="91">
        <f t="shared" si="346"/>
        <v>0.32435979955456573</v>
      </c>
      <c r="BC193" s="91" t="str">
        <f t="shared" si="347"/>
        <v/>
      </c>
      <c r="BD193" s="92">
        <f t="shared" si="348"/>
        <v>0</v>
      </c>
      <c r="BE193" s="92">
        <f t="shared" si="349"/>
        <v>0</v>
      </c>
      <c r="BF193" s="92">
        <f t="shared" si="350"/>
        <v>0.49000000000000021</v>
      </c>
      <c r="BG193" s="92">
        <f t="shared" si="351"/>
        <v>0</v>
      </c>
      <c r="BH193" s="92">
        <f t="shared" si="352"/>
        <v>0</v>
      </c>
      <c r="BI193" s="93">
        <f t="shared" si="353"/>
        <v>0.49000000000000021</v>
      </c>
      <c r="BJ193" s="92" t="str">
        <f t="shared" si="354"/>
        <v/>
      </c>
      <c r="BK193" s="92" t="str">
        <f t="shared" si="355"/>
        <v/>
      </c>
      <c r="BL193" s="92" t="str">
        <f t="shared" si="356"/>
        <v/>
      </c>
      <c r="BM193" s="92" t="str">
        <f t="shared" si="357"/>
        <v/>
      </c>
      <c r="BN193" s="92" t="str">
        <f t="shared" si="358"/>
        <v/>
      </c>
      <c r="BO193" s="93" t="str">
        <f t="shared" si="359"/>
        <v/>
      </c>
      <c r="BQ193">
        <v>4</v>
      </c>
      <c r="BS193">
        <v>4</v>
      </c>
      <c r="BU193">
        <v>4.49</v>
      </c>
      <c r="BW193">
        <v>4.49</v>
      </c>
      <c r="BY193">
        <v>4.49</v>
      </c>
    </row>
    <row r="194" spans="1:78" x14ac:dyDescent="0.2">
      <c r="A194" s="26">
        <v>31</v>
      </c>
      <c r="B194" s="26" t="s">
        <v>337</v>
      </c>
      <c r="C194" s="26" t="s">
        <v>105</v>
      </c>
      <c r="D194" s="74">
        <v>1</v>
      </c>
      <c r="E194" s="75">
        <v>11</v>
      </c>
      <c r="F194" s="76">
        <v>1</v>
      </c>
      <c r="G194" s="76">
        <v>0</v>
      </c>
      <c r="H194" s="77">
        <f>SUMIFS(RETETAR!$I$4:$I$967,RETETAR!$A$4:$A$967,$M194,RETETAR!$C$4:$C$967,"AMBELE")+SUMIFS(RETETAR!$I$4:$I$967,RETETAR!$A$4:$A$967,$M194,RETETAR!$C$4:$C$967,"INSTORE")</f>
        <v>1.3261503000000001</v>
      </c>
      <c r="I194" s="77">
        <f>SUMIFS(RETETAR!$I$4:$I$967,RETETAR!$A$4:$A$967,$M194,RETETAR!$C$4:$C$967,"AMBELE")+SUMIFS(RETETAR!$I$4:$I$967,RETETAR!$A$4:$A$967,$M194,RETETAR!$C$4:$C$967,"DELIVERY")</f>
        <v>0</v>
      </c>
      <c r="J194" s="78">
        <f t="shared" si="315"/>
        <v>1.3261503000000001</v>
      </c>
      <c r="K194" s="78">
        <f t="shared" si="316"/>
        <v>0</v>
      </c>
      <c r="L194" s="78">
        <f t="shared" si="317"/>
        <v>1.3261503000000001</v>
      </c>
      <c r="M194" t="s">
        <v>337</v>
      </c>
      <c r="N194" s="79">
        <v>4</v>
      </c>
      <c r="O194" s="79"/>
      <c r="P194" s="80">
        <v>4</v>
      </c>
      <c r="Q194" s="80"/>
      <c r="R194" s="81">
        <f t="shared" si="318"/>
        <v>3.6036036036036032</v>
      </c>
      <c r="S194" s="81">
        <f t="shared" si="319"/>
        <v>0</v>
      </c>
      <c r="T194" s="81">
        <f t="shared" si="320"/>
        <v>3.6036036036036032</v>
      </c>
      <c r="U194" s="82">
        <f t="shared" si="321"/>
        <v>0.36800670825000009</v>
      </c>
      <c r="V194" s="82">
        <f t="shared" si="322"/>
        <v>0.36800670825000009</v>
      </c>
      <c r="W194" s="82" t="str">
        <f t="shared" si="323"/>
        <v/>
      </c>
      <c r="X194" s="83">
        <f>BS194+SCENARIU!$C$30+'AJUSTĂRI PE PRODUS'!$I$197</f>
        <v>4</v>
      </c>
      <c r="Y194" s="83"/>
      <c r="Z194" s="84">
        <f t="shared" si="324"/>
        <v>3.6036036036036032</v>
      </c>
      <c r="AA194" s="84">
        <f t="shared" si="325"/>
        <v>0</v>
      </c>
      <c r="AB194" s="84">
        <f t="shared" si="326"/>
        <v>3.6036036036036032</v>
      </c>
      <c r="AC194" s="85">
        <f t="shared" si="327"/>
        <v>0.36800670825000009</v>
      </c>
      <c r="AD194" s="85">
        <f t="shared" si="328"/>
        <v>0.36800670825000009</v>
      </c>
      <c r="AE194" s="85" t="str">
        <f t="shared" si="329"/>
        <v/>
      </c>
      <c r="AF194" s="83">
        <f>BU194+SCENARIU!$C$30+SCENARIU!$D$30+'AJUSTĂRI PE PRODUS'!$I$197+'AJUSTĂRI PE PRODUS'!$N$197</f>
        <v>4.49</v>
      </c>
      <c r="AG194" s="83"/>
      <c r="AH194" s="86">
        <f t="shared" si="330"/>
        <v>4.045045045045045</v>
      </c>
      <c r="AI194" s="86">
        <f t="shared" si="331"/>
        <v>0</v>
      </c>
      <c r="AJ194" s="86">
        <f t="shared" si="332"/>
        <v>4.045045045045045</v>
      </c>
      <c r="AK194" s="87">
        <f t="shared" si="333"/>
        <v>0.32784561982182631</v>
      </c>
      <c r="AL194" s="87">
        <f t="shared" si="334"/>
        <v>0.32784561982182631</v>
      </c>
      <c r="AM194" s="87" t="str">
        <f t="shared" si="335"/>
        <v/>
      </c>
      <c r="AN194" s="83">
        <f>BW194+SCENARIU!$C$30+SCENARIU!$D$30+SCENARIU!$E$30+'AJUSTĂRI PE PRODUS'!$I$197+'AJUSTĂRI PE PRODUS'!$N$197+'AJUSTĂRI PE PRODUS'!$S$197</f>
        <v>4.49</v>
      </c>
      <c r="AO194" s="83"/>
      <c r="AP194" s="88">
        <f t="shared" si="336"/>
        <v>4.045045045045045</v>
      </c>
      <c r="AQ194" s="88">
        <f t="shared" si="337"/>
        <v>0</v>
      </c>
      <c r="AR194" s="88">
        <f t="shared" si="338"/>
        <v>4.045045045045045</v>
      </c>
      <c r="AS194" s="89">
        <f t="shared" si="339"/>
        <v>0.32784561982182631</v>
      </c>
      <c r="AT194" s="89">
        <f t="shared" si="340"/>
        <v>0.32784561982182631</v>
      </c>
      <c r="AU194" s="89" t="str">
        <f t="shared" si="341"/>
        <v/>
      </c>
      <c r="AV194" s="83">
        <f>BY194+SCENARIU!$C$30+SCENARIU!$D$30+SCENARIU!$E$30+SCENARIU!$F$30+'AJUSTĂRI PE PRODUS'!$I$197+'AJUSTĂRI PE PRODUS'!$N$197+'AJUSTĂRI PE PRODUS'!$S$197+'AJUSTĂRI PE PRODUS'!$X$197</f>
        <v>4.49</v>
      </c>
      <c r="AW194" s="83"/>
      <c r="AX194" s="90">
        <f t="shared" si="342"/>
        <v>4.045045045045045</v>
      </c>
      <c r="AY194" s="90">
        <f t="shared" si="343"/>
        <v>0</v>
      </c>
      <c r="AZ194" s="90">
        <f t="shared" si="344"/>
        <v>4.045045045045045</v>
      </c>
      <c r="BA194" s="91">
        <f t="shared" si="345"/>
        <v>0.32784561982182631</v>
      </c>
      <c r="BB194" s="91">
        <f t="shared" si="346"/>
        <v>0.32784561982182631</v>
      </c>
      <c r="BC194" s="91" t="str">
        <f t="shared" si="347"/>
        <v/>
      </c>
      <c r="BD194" s="92">
        <f t="shared" si="348"/>
        <v>0</v>
      </c>
      <c r="BE194" s="92">
        <f t="shared" si="349"/>
        <v>0</v>
      </c>
      <c r="BF194" s="92">
        <f t="shared" si="350"/>
        <v>0.49000000000000021</v>
      </c>
      <c r="BG194" s="92">
        <f t="shared" si="351"/>
        <v>0</v>
      </c>
      <c r="BH194" s="92">
        <f t="shared" si="352"/>
        <v>0</v>
      </c>
      <c r="BI194" s="93">
        <f t="shared" si="353"/>
        <v>0.49000000000000021</v>
      </c>
      <c r="BJ194" s="92" t="str">
        <f t="shared" si="354"/>
        <v/>
      </c>
      <c r="BK194" s="92" t="str">
        <f t="shared" si="355"/>
        <v/>
      </c>
      <c r="BL194" s="92" t="str">
        <f t="shared" si="356"/>
        <v/>
      </c>
      <c r="BM194" s="92" t="str">
        <f t="shared" si="357"/>
        <v/>
      </c>
      <c r="BN194" s="92" t="str">
        <f t="shared" si="358"/>
        <v/>
      </c>
      <c r="BO194" s="93" t="str">
        <f t="shared" si="359"/>
        <v/>
      </c>
      <c r="BQ194">
        <v>4</v>
      </c>
      <c r="BS194">
        <v>4</v>
      </c>
      <c r="BU194">
        <v>4.49</v>
      </c>
      <c r="BW194">
        <v>4.49</v>
      </c>
      <c r="BY194">
        <v>4.49</v>
      </c>
    </row>
    <row r="195" spans="1:78" x14ac:dyDescent="0.2">
      <c r="A195" s="26">
        <v>32</v>
      </c>
      <c r="B195" s="26" t="s">
        <v>338</v>
      </c>
      <c r="C195" s="26" t="s">
        <v>105</v>
      </c>
      <c r="D195" s="74">
        <v>1</v>
      </c>
      <c r="E195" s="75">
        <v>11</v>
      </c>
      <c r="F195" s="76">
        <v>1</v>
      </c>
      <c r="G195" s="76">
        <v>0</v>
      </c>
      <c r="H195" s="77">
        <f>SUMIFS(RETETAR!$I$4:$I$967,RETETAR!$A$4:$A$967,$M195,RETETAR!$C$4:$C$967,"AMBELE")+SUMIFS(RETETAR!$I$4:$I$967,RETETAR!$A$4:$A$967,$M195,RETETAR!$C$4:$C$967,"INSTORE")</f>
        <v>1.3504327500000002</v>
      </c>
      <c r="I195" s="77">
        <f>SUMIFS(RETETAR!$I$4:$I$967,RETETAR!$A$4:$A$967,$M195,RETETAR!$C$4:$C$967,"AMBELE")+SUMIFS(RETETAR!$I$4:$I$967,RETETAR!$A$4:$A$967,$M195,RETETAR!$C$4:$C$967,"DELIVERY")</f>
        <v>0</v>
      </c>
      <c r="J195" s="78">
        <f t="shared" si="315"/>
        <v>1.3504327500000002</v>
      </c>
      <c r="K195" s="78">
        <f t="shared" si="316"/>
        <v>0</v>
      </c>
      <c r="L195" s="78">
        <f t="shared" si="317"/>
        <v>1.3504327500000002</v>
      </c>
      <c r="M195" t="s">
        <v>338</v>
      </c>
      <c r="N195" s="79">
        <v>4</v>
      </c>
      <c r="O195" s="79"/>
      <c r="P195" s="80">
        <v>4</v>
      </c>
      <c r="Q195" s="80"/>
      <c r="R195" s="81">
        <f t="shared" si="318"/>
        <v>3.6036036036036032</v>
      </c>
      <c r="S195" s="81">
        <f t="shared" si="319"/>
        <v>0</v>
      </c>
      <c r="T195" s="81">
        <f t="shared" si="320"/>
        <v>3.6036036036036032</v>
      </c>
      <c r="U195" s="82">
        <f t="shared" si="321"/>
        <v>0.37474508812500007</v>
      </c>
      <c r="V195" s="82">
        <f t="shared" si="322"/>
        <v>0.37474508812500007</v>
      </c>
      <c r="W195" s="82" t="str">
        <f t="shared" si="323"/>
        <v/>
      </c>
      <c r="X195" s="83">
        <f>BS195+SCENARIU!$C$30+'AJUSTĂRI PE PRODUS'!$I$198</f>
        <v>4</v>
      </c>
      <c r="Y195" s="83"/>
      <c r="Z195" s="84">
        <f t="shared" si="324"/>
        <v>3.6036036036036032</v>
      </c>
      <c r="AA195" s="84">
        <f t="shared" si="325"/>
        <v>0</v>
      </c>
      <c r="AB195" s="84">
        <f t="shared" si="326"/>
        <v>3.6036036036036032</v>
      </c>
      <c r="AC195" s="85">
        <f t="shared" si="327"/>
        <v>0.37474508812500007</v>
      </c>
      <c r="AD195" s="85">
        <f t="shared" si="328"/>
        <v>0.37474508812500007</v>
      </c>
      <c r="AE195" s="85" t="str">
        <f t="shared" si="329"/>
        <v/>
      </c>
      <c r="AF195" s="83">
        <f>BU195+SCENARIU!$C$30+SCENARIU!$D$30+'AJUSTĂRI PE PRODUS'!$I$198+'AJUSTĂRI PE PRODUS'!$N$198</f>
        <v>4.49</v>
      </c>
      <c r="AG195" s="83"/>
      <c r="AH195" s="86">
        <f t="shared" si="330"/>
        <v>4.045045045045045</v>
      </c>
      <c r="AI195" s="86">
        <f t="shared" si="331"/>
        <v>0</v>
      </c>
      <c r="AJ195" s="86">
        <f t="shared" si="332"/>
        <v>4.045045045045045</v>
      </c>
      <c r="AK195" s="87">
        <f t="shared" si="333"/>
        <v>0.33384863084632521</v>
      </c>
      <c r="AL195" s="87">
        <f t="shared" si="334"/>
        <v>0.33384863084632521</v>
      </c>
      <c r="AM195" s="87" t="str">
        <f t="shared" si="335"/>
        <v/>
      </c>
      <c r="AN195" s="83">
        <f>BW195+SCENARIU!$C$30+SCENARIU!$D$30+SCENARIU!$E$30+'AJUSTĂRI PE PRODUS'!$I$198+'AJUSTĂRI PE PRODUS'!$N$198+'AJUSTĂRI PE PRODUS'!$S$198</f>
        <v>4.49</v>
      </c>
      <c r="AO195" s="83"/>
      <c r="AP195" s="88">
        <f t="shared" si="336"/>
        <v>4.045045045045045</v>
      </c>
      <c r="AQ195" s="88">
        <f t="shared" si="337"/>
        <v>0</v>
      </c>
      <c r="AR195" s="88">
        <f t="shared" si="338"/>
        <v>4.045045045045045</v>
      </c>
      <c r="AS195" s="89">
        <f t="shared" si="339"/>
        <v>0.33384863084632521</v>
      </c>
      <c r="AT195" s="89">
        <f t="shared" si="340"/>
        <v>0.33384863084632521</v>
      </c>
      <c r="AU195" s="89" t="str">
        <f t="shared" si="341"/>
        <v/>
      </c>
      <c r="AV195" s="83">
        <f>BY195+SCENARIU!$C$30+SCENARIU!$D$30+SCENARIU!$E$30+SCENARIU!$F$30+'AJUSTĂRI PE PRODUS'!$I$198+'AJUSTĂRI PE PRODUS'!$N$198+'AJUSTĂRI PE PRODUS'!$S$198+'AJUSTĂRI PE PRODUS'!$X$198</f>
        <v>4.49</v>
      </c>
      <c r="AW195" s="83"/>
      <c r="AX195" s="90">
        <f t="shared" si="342"/>
        <v>4.045045045045045</v>
      </c>
      <c r="AY195" s="90">
        <f t="shared" si="343"/>
        <v>0</v>
      </c>
      <c r="AZ195" s="90">
        <f t="shared" si="344"/>
        <v>4.045045045045045</v>
      </c>
      <c r="BA195" s="91">
        <f t="shared" si="345"/>
        <v>0.33384863084632521</v>
      </c>
      <c r="BB195" s="91">
        <f t="shared" si="346"/>
        <v>0.33384863084632521</v>
      </c>
      <c r="BC195" s="91" t="str">
        <f t="shared" si="347"/>
        <v/>
      </c>
      <c r="BD195" s="92">
        <f t="shared" si="348"/>
        <v>0</v>
      </c>
      <c r="BE195" s="92">
        <f t="shared" si="349"/>
        <v>0</v>
      </c>
      <c r="BF195" s="92">
        <f t="shared" si="350"/>
        <v>0.49000000000000021</v>
      </c>
      <c r="BG195" s="92">
        <f t="shared" si="351"/>
        <v>0</v>
      </c>
      <c r="BH195" s="92">
        <f t="shared" si="352"/>
        <v>0</v>
      </c>
      <c r="BI195" s="93">
        <f t="shared" si="353"/>
        <v>0.49000000000000021</v>
      </c>
      <c r="BJ195" s="92" t="str">
        <f t="shared" si="354"/>
        <v/>
      </c>
      <c r="BK195" s="92" t="str">
        <f t="shared" si="355"/>
        <v/>
      </c>
      <c r="BL195" s="92" t="str">
        <f t="shared" si="356"/>
        <v/>
      </c>
      <c r="BM195" s="92" t="str">
        <f t="shared" si="357"/>
        <v/>
      </c>
      <c r="BN195" s="92" t="str">
        <f t="shared" si="358"/>
        <v/>
      </c>
      <c r="BO195" s="93" t="str">
        <f t="shared" si="359"/>
        <v/>
      </c>
      <c r="BQ195">
        <v>4</v>
      </c>
      <c r="BS195">
        <v>4</v>
      </c>
      <c r="BU195">
        <v>4.49</v>
      </c>
      <c r="BW195">
        <v>4.49</v>
      </c>
      <c r="BY195">
        <v>4.49</v>
      </c>
    </row>
    <row r="196" spans="1:78" x14ac:dyDescent="0.2">
      <c r="A196" s="26">
        <v>33</v>
      </c>
      <c r="B196" s="26" t="s">
        <v>339</v>
      </c>
      <c r="C196" s="26" t="s">
        <v>105</v>
      </c>
      <c r="D196" s="74">
        <v>1</v>
      </c>
      <c r="E196" s="75">
        <v>11</v>
      </c>
      <c r="F196" s="76">
        <v>1</v>
      </c>
      <c r="G196" s="76">
        <v>0</v>
      </c>
      <c r="H196" s="77">
        <f>SUMIFS(RETETAR!$I$4:$I$967,RETETAR!$A$4:$A$967,$M196,RETETAR!$C$4:$C$967,"AMBELE")+SUMIFS(RETETAR!$I$4:$I$967,RETETAR!$A$4:$A$967,$M196,RETETAR!$C$4:$C$967,"INSTORE")</f>
        <v>0.74647760000000007</v>
      </c>
      <c r="I196" s="77">
        <f>SUMIFS(RETETAR!$I$4:$I$967,RETETAR!$A$4:$A$967,$M196,RETETAR!$C$4:$C$967,"AMBELE")+SUMIFS(RETETAR!$I$4:$I$967,RETETAR!$A$4:$A$967,$M196,RETETAR!$C$4:$C$967,"DELIVERY")</f>
        <v>0.74647760000000007</v>
      </c>
      <c r="J196" s="78">
        <f t="shared" si="315"/>
        <v>0.74647760000000007</v>
      </c>
      <c r="K196" s="78">
        <f t="shared" si="316"/>
        <v>0</v>
      </c>
      <c r="L196" s="78">
        <f t="shared" si="317"/>
        <v>0.74647760000000007</v>
      </c>
      <c r="M196" t="s">
        <v>339</v>
      </c>
      <c r="N196" s="79">
        <v>3</v>
      </c>
      <c r="O196" s="79"/>
      <c r="P196" s="80">
        <v>3</v>
      </c>
      <c r="Q196" s="80"/>
      <c r="R196" s="81">
        <f t="shared" si="318"/>
        <v>2.7027027027027026</v>
      </c>
      <c r="S196" s="81">
        <f t="shared" si="319"/>
        <v>0</v>
      </c>
      <c r="T196" s="81">
        <f t="shared" si="320"/>
        <v>2.7027027027027026</v>
      </c>
      <c r="U196" s="82">
        <f t="shared" si="321"/>
        <v>0.27619671200000001</v>
      </c>
      <c r="V196" s="82">
        <f t="shared" si="322"/>
        <v>0.27619671200000001</v>
      </c>
      <c r="W196" s="82" t="str">
        <f t="shared" si="323"/>
        <v/>
      </c>
      <c r="X196" s="83">
        <f>BS196+SCENARIU!$C$30+'AJUSTĂRI PE PRODUS'!$I$199</f>
        <v>3</v>
      </c>
      <c r="Y196" s="83"/>
      <c r="Z196" s="84">
        <f t="shared" si="324"/>
        <v>2.7027027027027026</v>
      </c>
      <c r="AA196" s="84">
        <f t="shared" si="325"/>
        <v>0</v>
      </c>
      <c r="AB196" s="84">
        <f t="shared" si="326"/>
        <v>2.7027027027027026</v>
      </c>
      <c r="AC196" s="85">
        <f t="shared" si="327"/>
        <v>0.27619671200000001</v>
      </c>
      <c r="AD196" s="85">
        <f t="shared" si="328"/>
        <v>0.27619671200000001</v>
      </c>
      <c r="AE196" s="85" t="str">
        <f t="shared" si="329"/>
        <v/>
      </c>
      <c r="AF196" s="83">
        <f>BU196+SCENARIU!$C$30+SCENARIU!$D$30+'AJUSTĂRI PE PRODUS'!$I$199+'AJUSTĂRI PE PRODUS'!$N$199</f>
        <v>3.49</v>
      </c>
      <c r="AG196" s="83"/>
      <c r="AH196" s="86">
        <f t="shared" si="330"/>
        <v>3.144144144144144</v>
      </c>
      <c r="AI196" s="86">
        <f t="shared" si="331"/>
        <v>0</v>
      </c>
      <c r="AJ196" s="86">
        <f t="shared" si="332"/>
        <v>3.144144144144144</v>
      </c>
      <c r="AK196" s="87">
        <f t="shared" si="333"/>
        <v>0.23741837707736393</v>
      </c>
      <c r="AL196" s="87">
        <f t="shared" si="334"/>
        <v>0.23741837707736393</v>
      </c>
      <c r="AM196" s="87" t="str">
        <f t="shared" si="335"/>
        <v/>
      </c>
      <c r="AN196" s="83">
        <f>BW196+SCENARIU!$C$30+SCENARIU!$D$30+SCENARIU!$E$30+'AJUSTĂRI PE PRODUS'!$I$199+'AJUSTĂRI PE PRODUS'!$N$199+'AJUSTĂRI PE PRODUS'!$S$199</f>
        <v>3.99</v>
      </c>
      <c r="AO196" s="83"/>
      <c r="AP196" s="88">
        <f t="shared" si="336"/>
        <v>3.5945945945945943</v>
      </c>
      <c r="AQ196" s="88">
        <f t="shared" si="337"/>
        <v>0</v>
      </c>
      <c r="AR196" s="88">
        <f t="shared" si="338"/>
        <v>3.5945945945945943</v>
      </c>
      <c r="AS196" s="89">
        <f t="shared" si="339"/>
        <v>0.20766670075187973</v>
      </c>
      <c r="AT196" s="89">
        <f t="shared" si="340"/>
        <v>0.20766670075187973</v>
      </c>
      <c r="AU196" s="89" t="str">
        <f t="shared" si="341"/>
        <v/>
      </c>
      <c r="AV196" s="83">
        <f>BY196+SCENARIU!$C$30+SCENARIU!$D$30+SCENARIU!$E$30+SCENARIU!$F$30+'AJUSTĂRI PE PRODUS'!$I$199+'AJUSTĂRI PE PRODUS'!$N$199+'AJUSTĂRI PE PRODUS'!$S$199+'AJUSTĂRI PE PRODUS'!$X$199</f>
        <v>3.99</v>
      </c>
      <c r="AW196" s="83"/>
      <c r="AX196" s="90">
        <f t="shared" si="342"/>
        <v>3.5945945945945943</v>
      </c>
      <c r="AY196" s="90">
        <f t="shared" si="343"/>
        <v>0</v>
      </c>
      <c r="AZ196" s="90">
        <f t="shared" si="344"/>
        <v>3.5945945945945943</v>
      </c>
      <c r="BA196" s="91">
        <f t="shared" si="345"/>
        <v>0.20766670075187973</v>
      </c>
      <c r="BB196" s="91">
        <f t="shared" si="346"/>
        <v>0.20766670075187973</v>
      </c>
      <c r="BC196" s="91" t="str">
        <f t="shared" si="347"/>
        <v/>
      </c>
      <c r="BD196" s="92">
        <f t="shared" si="348"/>
        <v>0</v>
      </c>
      <c r="BE196" s="92">
        <f t="shared" si="349"/>
        <v>0</v>
      </c>
      <c r="BF196" s="92">
        <f t="shared" si="350"/>
        <v>0.49000000000000021</v>
      </c>
      <c r="BG196" s="92">
        <f t="shared" si="351"/>
        <v>0.5</v>
      </c>
      <c r="BH196" s="92">
        <f t="shared" si="352"/>
        <v>0</v>
      </c>
      <c r="BI196" s="93">
        <f t="shared" si="353"/>
        <v>0.99000000000000021</v>
      </c>
      <c r="BJ196" s="92" t="str">
        <f t="shared" si="354"/>
        <v/>
      </c>
      <c r="BK196" s="92" t="str">
        <f t="shared" si="355"/>
        <v/>
      </c>
      <c r="BL196" s="92" t="str">
        <f t="shared" si="356"/>
        <v/>
      </c>
      <c r="BM196" s="92" t="str">
        <f t="shared" si="357"/>
        <v/>
      </c>
      <c r="BN196" s="92" t="str">
        <f t="shared" si="358"/>
        <v/>
      </c>
      <c r="BO196" s="93" t="str">
        <f t="shared" si="359"/>
        <v/>
      </c>
      <c r="BQ196">
        <v>3</v>
      </c>
      <c r="BS196">
        <v>3</v>
      </c>
      <c r="BU196">
        <v>3.49</v>
      </c>
      <c r="BW196">
        <v>3.99</v>
      </c>
      <c r="BY196">
        <v>3.99</v>
      </c>
    </row>
    <row r="197" spans="1:78" x14ac:dyDescent="0.2">
      <c r="A197" s="94" t="s">
        <v>459</v>
      </c>
      <c r="B197" s="95"/>
      <c r="C197" s="95"/>
      <c r="D197" s="95"/>
      <c r="E197" s="95"/>
      <c r="F197" s="95"/>
      <c r="G197" s="95"/>
      <c r="H197" s="95"/>
      <c r="I197" s="95"/>
      <c r="J197" s="95"/>
      <c r="K197" s="95"/>
      <c r="L197" s="96">
        <f>SUM(L164:L196)</f>
        <v>52972.115083700002</v>
      </c>
      <c r="M197" s="95"/>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95"/>
      <c r="BG197" s="95"/>
      <c r="BH197" s="95"/>
      <c r="BI197" s="95"/>
      <c r="BJ197" s="95"/>
      <c r="BK197" s="95"/>
      <c r="BL197" s="95"/>
      <c r="BM197" s="95"/>
      <c r="BN197" s="95"/>
      <c r="BO197" s="95"/>
    </row>
    <row r="198" spans="1:78" x14ac:dyDescent="0.2">
      <c r="A198" s="72" t="s">
        <v>106</v>
      </c>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row>
    <row r="199" spans="1:78" x14ac:dyDescent="0.2">
      <c r="A199" s="26">
        <v>1</v>
      </c>
      <c r="B199" s="26" t="s">
        <v>236</v>
      </c>
      <c r="C199" s="26" t="s">
        <v>106</v>
      </c>
      <c r="D199" s="74">
        <v>1</v>
      </c>
      <c r="E199" s="75">
        <v>11</v>
      </c>
      <c r="F199" s="76">
        <v>805</v>
      </c>
      <c r="G199" s="76">
        <v>397</v>
      </c>
      <c r="H199" s="77">
        <f>SUMIFS(RETETAR!$I$4:$I$967,RETETAR!$A$4:$A$967,$M199,RETETAR!$C$4:$C$967,"AMBELE")+SUMIFS(RETETAR!$I$4:$I$967,RETETAR!$A$4:$A$967,$M199,RETETAR!$C$4:$C$967,"INSTORE")</f>
        <v>0.76500000000000001</v>
      </c>
      <c r="I199" s="77">
        <f>SUMIFS(RETETAR!$I$4:$I$967,RETETAR!$A$4:$A$967,$M199,RETETAR!$C$4:$C$967,"AMBELE")+SUMIFS(RETETAR!$I$4:$I$967,RETETAR!$A$4:$A$967,$M199,RETETAR!$C$4:$C$967,"DELIVERY")</f>
        <v>0.76500000000000001</v>
      </c>
      <c r="J199" s="78">
        <f t="shared" ref="J199:J204" si="360">$H199*$F199</f>
        <v>615.82500000000005</v>
      </c>
      <c r="K199" s="78">
        <f t="shared" ref="K199:K204" si="361">$I199*$G199</f>
        <v>303.70499999999998</v>
      </c>
      <c r="L199" s="78">
        <f t="shared" ref="L199:L204" si="362">$J199+$K199</f>
        <v>919.53</v>
      </c>
      <c r="M199" t="s">
        <v>236</v>
      </c>
      <c r="N199" s="79">
        <v>5</v>
      </c>
      <c r="O199" s="79">
        <v>5</v>
      </c>
      <c r="P199" s="80">
        <v>5</v>
      </c>
      <c r="Q199" s="80">
        <v>5</v>
      </c>
      <c r="R199" s="81">
        <f t="shared" ref="R199:R204" si="363">IF(P199="",0,P199/(1+$E199/100)*$F199)</f>
        <v>3626.1261261261257</v>
      </c>
      <c r="S199" s="81">
        <f t="shared" ref="S199:S204" si="364">IF(Q199="",0,Q199/(1+$E199/100)*$G199)</f>
        <v>1788.288288288288</v>
      </c>
      <c r="T199" s="81">
        <f t="shared" ref="T199:T204" si="365">R199+S199</f>
        <v>5414.4144144144138</v>
      </c>
      <c r="U199" s="82">
        <f t="shared" ref="U199:U204" si="366">IF(OR(T199=0,$L199=0),"",$L199/T199)</f>
        <v>0.16983000000000001</v>
      </c>
      <c r="V199" s="82">
        <f t="shared" ref="V199:V204" si="367">IF(OR(R199=0,$J199=0),"",$J199/R199)</f>
        <v>0.16983000000000004</v>
      </c>
      <c r="W199" s="82">
        <f t="shared" ref="W199:W204" si="368">IF(OR(S199=0,$K199=0),"",$K199/S199)</f>
        <v>0.16983000000000001</v>
      </c>
      <c r="X199" s="83">
        <f>BS199+SCENARIU!$C$31+'AJUSTĂRI PE PRODUS'!$I$98</f>
        <v>5</v>
      </c>
      <c r="Y199" s="83">
        <f>BT199+SCENARIU!$C$31+'AJUSTĂRI PE PRODUS'!$J$98</f>
        <v>5</v>
      </c>
      <c r="Z199" s="84">
        <f t="shared" ref="Z199:Z204" si="369">IF(X199="",0,X199/(1+$E199/100)*$F199)</f>
        <v>3626.1261261261257</v>
      </c>
      <c r="AA199" s="84">
        <f t="shared" ref="AA199:AA204" si="370">IF(Y199="",0,Y199/(1+$E199/100)*$G199)</f>
        <v>1788.288288288288</v>
      </c>
      <c r="AB199" s="84">
        <f t="shared" ref="AB199:AB204" si="371">Z199+AA199</f>
        <v>5414.4144144144138</v>
      </c>
      <c r="AC199" s="85">
        <f t="shared" ref="AC199:AC204" si="372">IF(OR(AB199=0,$L199=0),"",$L199/AB199)</f>
        <v>0.16983000000000001</v>
      </c>
      <c r="AD199" s="85">
        <f t="shared" ref="AD199:AD204" si="373">IF(OR(Z199=0,$J199=0),"",$J199/Z199)</f>
        <v>0.16983000000000004</v>
      </c>
      <c r="AE199" s="85">
        <f t="shared" ref="AE199:AE204" si="374">IF(OR(AA199=0,$K199=0),"",$K199/AA199)</f>
        <v>0.16983000000000001</v>
      </c>
      <c r="AF199" s="83">
        <f>BU199+SCENARIU!$C$31+SCENARIU!$D$31+'AJUSTĂRI PE PRODUS'!$I$98+'AJUSTĂRI PE PRODUS'!$N$98</f>
        <v>5</v>
      </c>
      <c r="AG199" s="83">
        <f>BV199+SCENARIU!$C$31+SCENARIU!$D$31+'AJUSTĂRI PE PRODUS'!$J$98+'AJUSTĂRI PE PRODUS'!$O$98</f>
        <v>5</v>
      </c>
      <c r="AH199" s="86">
        <f t="shared" ref="AH199:AH204" si="375">IF(AF199="",0,AF199/(1+$E199/100)*$F199)</f>
        <v>3626.1261261261257</v>
      </c>
      <c r="AI199" s="86">
        <f t="shared" ref="AI199:AI204" si="376">IF(AG199="",0,AG199/(1+$E199/100)*$G199)</f>
        <v>1788.288288288288</v>
      </c>
      <c r="AJ199" s="86">
        <f t="shared" ref="AJ199:AJ204" si="377">AH199+AI199</f>
        <v>5414.4144144144138</v>
      </c>
      <c r="AK199" s="87">
        <f t="shared" ref="AK199:AK204" si="378">IF(OR(AJ199=0,$L199=0),"",$L199/AJ199)</f>
        <v>0.16983000000000001</v>
      </c>
      <c r="AL199" s="87">
        <f t="shared" ref="AL199:AL204" si="379">IF(OR(AH199=0,$J199=0),"",$J199/AH199)</f>
        <v>0.16983000000000004</v>
      </c>
      <c r="AM199" s="87">
        <f t="shared" ref="AM199:AM204" si="380">IF(OR(AI199=0,$K199=0),"",$K199/AI199)</f>
        <v>0.16983000000000001</v>
      </c>
      <c r="AN199" s="83">
        <f>BW199+SCENARIU!$C$31+SCENARIU!$D$31+SCENARIU!$E$31+'AJUSTĂRI PE PRODUS'!$I$98+'AJUSTĂRI PE PRODUS'!$N$98+'AJUSTĂRI PE PRODUS'!$S$98</f>
        <v>5</v>
      </c>
      <c r="AO199" s="83">
        <f>BX199+SCENARIU!$C$31+SCENARIU!$D$31+SCENARIU!$E$31+'AJUSTĂRI PE PRODUS'!$J$98+'AJUSTĂRI PE PRODUS'!$O$98+'AJUSTĂRI PE PRODUS'!$T$98</f>
        <v>5</v>
      </c>
      <c r="AP199" s="88">
        <f t="shared" ref="AP199:AP204" si="381">IF(AN199="",0,AN199/(1+$E199/100)*$F199)</f>
        <v>3626.1261261261257</v>
      </c>
      <c r="AQ199" s="88">
        <f t="shared" ref="AQ199:AQ204" si="382">IF(AO199="",0,AO199/(1+$E199/100)*$G199)</f>
        <v>1788.288288288288</v>
      </c>
      <c r="AR199" s="88">
        <f t="shared" ref="AR199:AR204" si="383">AP199+AQ199</f>
        <v>5414.4144144144138</v>
      </c>
      <c r="AS199" s="89">
        <f t="shared" ref="AS199:AS204" si="384">IF(OR(AR199=0,$L199=0),"",$L199/AR199)</f>
        <v>0.16983000000000001</v>
      </c>
      <c r="AT199" s="89">
        <f t="shared" ref="AT199:AT204" si="385">IF(OR(AP199=0,$J199=0),"",$J199/AP199)</f>
        <v>0.16983000000000004</v>
      </c>
      <c r="AU199" s="89">
        <f t="shared" ref="AU199:AU204" si="386">IF(OR(AQ199=0,$K199=0),"",$K199/AQ199)</f>
        <v>0.16983000000000001</v>
      </c>
      <c r="AV199" s="83">
        <f>BY199+SCENARIU!$C$31+SCENARIU!$D$31+SCENARIU!$E$31+SCENARIU!$F$31+'AJUSTĂRI PE PRODUS'!$I$98+'AJUSTĂRI PE PRODUS'!$N$98+'AJUSTĂRI PE PRODUS'!$S$98+'AJUSTĂRI PE PRODUS'!$X$98</f>
        <v>5</v>
      </c>
      <c r="AW199" s="83">
        <f>BZ199+SCENARIU!$C$31+SCENARIU!$D$31+SCENARIU!$E$31+SCENARIU!$F$31+'AJUSTĂRI PE PRODUS'!$J$98+'AJUSTĂRI PE PRODUS'!$O$98+'AJUSTĂRI PE PRODUS'!$T$98+'AJUSTĂRI PE PRODUS'!$Y$98</f>
        <v>5</v>
      </c>
      <c r="AX199" s="90">
        <f t="shared" ref="AX199:AX204" si="387">IF(AV199="",0,AV199/(1+$E199/100)*$F199)</f>
        <v>3626.1261261261257</v>
      </c>
      <c r="AY199" s="90">
        <f t="shared" ref="AY199:AY204" si="388">IF(AW199="",0,AW199/(1+$E199/100)*$G199)</f>
        <v>1788.288288288288</v>
      </c>
      <c r="AZ199" s="90">
        <f t="shared" ref="AZ199:AZ204" si="389">AX199+AY199</f>
        <v>5414.4144144144138</v>
      </c>
      <c r="BA199" s="91">
        <f t="shared" ref="BA199:BA204" si="390">IF(OR(AZ199=0,$L199=0),"",$L199/AZ199)</f>
        <v>0.16983000000000001</v>
      </c>
      <c r="BB199" s="91">
        <f t="shared" ref="BB199:BB204" si="391">IF(OR(AX199=0,$J199=0),"",$J199/AX199)</f>
        <v>0.16983000000000004</v>
      </c>
      <c r="BC199" s="91">
        <f t="shared" ref="BC199:BC204" si="392">IF(OR(AY199=0,$K199=0),"",$K199/AY199)</f>
        <v>0.16983000000000001</v>
      </c>
      <c r="BD199" s="92">
        <f t="shared" ref="BD199:BD204" si="393">IF(OR($N199="",P199=""),"",P199-$N199)</f>
        <v>0</v>
      </c>
      <c r="BE199" s="92">
        <f t="shared" ref="BE199:BE204" si="394">IF(OR(P199="",X199=""),"",X199-P199)</f>
        <v>0</v>
      </c>
      <c r="BF199" s="92">
        <f t="shared" ref="BF199:BF204" si="395">IF(OR(X199="",AF199=""),"",AF199-X199)</f>
        <v>0</v>
      </c>
      <c r="BG199" s="92">
        <f t="shared" ref="BG199:BG204" si="396">IF(OR(AF199="",AN199=""),"",AN199-AF199)</f>
        <v>0</v>
      </c>
      <c r="BH199" s="92">
        <f t="shared" ref="BH199:BH204" si="397">IF(OR(AN199="",AV199=""),"",AV199-AN199)</f>
        <v>0</v>
      </c>
      <c r="BI199" s="93">
        <f t="shared" ref="BI199:BI204" si="398">IF(OR($N199="",AV199=""),"",AV199-$N199)</f>
        <v>0</v>
      </c>
      <c r="BJ199" s="92">
        <f t="shared" ref="BJ199:BJ204" si="399">IF(OR($O199="",Q199=""),"",Q199-$O199)</f>
        <v>0</v>
      </c>
      <c r="BK199" s="92">
        <f t="shared" ref="BK199:BK204" si="400">IF(OR(Q199="",Y199=""),"",Y199-Q199)</f>
        <v>0</v>
      </c>
      <c r="BL199" s="92">
        <f t="shared" ref="BL199:BL204" si="401">IF(OR(Y199="",AG199=""),"",AG199-Y199)</f>
        <v>0</v>
      </c>
      <c r="BM199" s="92">
        <f t="shared" ref="BM199:BM204" si="402">IF(OR(AG199="",AO199=""),"",AO199-AG199)</f>
        <v>0</v>
      </c>
      <c r="BN199" s="92">
        <f t="shared" ref="BN199:BN204" si="403">IF(OR(AO199="",AW199=""),"",AW199-AO199)</f>
        <v>0</v>
      </c>
      <c r="BO199" s="93">
        <f t="shared" ref="BO199:BO204" si="404">IF(OR($O199="",AW199=""),"",AW199-$O199)</f>
        <v>0</v>
      </c>
      <c r="BQ199">
        <v>5</v>
      </c>
      <c r="BR199">
        <v>5</v>
      </c>
      <c r="BS199">
        <v>5</v>
      </c>
      <c r="BT199">
        <v>5</v>
      </c>
      <c r="BU199">
        <v>5</v>
      </c>
      <c r="BV199">
        <v>5</v>
      </c>
      <c r="BW199">
        <v>5</v>
      </c>
      <c r="BX199">
        <v>5</v>
      </c>
      <c r="BY199">
        <v>5</v>
      </c>
      <c r="BZ199">
        <v>5</v>
      </c>
    </row>
    <row r="200" spans="1:78" x14ac:dyDescent="0.2">
      <c r="A200" s="26">
        <v>2</v>
      </c>
      <c r="B200" s="26" t="s">
        <v>237</v>
      </c>
      <c r="C200" s="26" t="s">
        <v>106</v>
      </c>
      <c r="D200" s="74">
        <v>1</v>
      </c>
      <c r="E200" s="75">
        <v>11</v>
      </c>
      <c r="F200" s="76">
        <v>713</v>
      </c>
      <c r="G200" s="76">
        <v>483</v>
      </c>
      <c r="H200" s="77">
        <f>SUMIFS(RETETAR!$I$4:$I$967,RETETAR!$A$4:$A$967,$M200,RETETAR!$C$4:$C$967,"AMBELE")+SUMIFS(RETETAR!$I$4:$I$967,RETETAR!$A$4:$A$967,$M200,RETETAR!$C$4:$C$967,"INSTORE")</f>
        <v>1.42165604</v>
      </c>
      <c r="I200" s="77">
        <f>SUMIFS(RETETAR!$I$4:$I$967,RETETAR!$A$4:$A$967,$M200,RETETAR!$C$4:$C$967,"AMBELE")+SUMIFS(RETETAR!$I$4:$I$967,RETETAR!$A$4:$A$967,$M200,RETETAR!$C$4:$C$967,"DELIVERY")</f>
        <v>1.42165604</v>
      </c>
      <c r="J200" s="78">
        <f t="shared" si="360"/>
        <v>1013.64075652</v>
      </c>
      <c r="K200" s="78">
        <f t="shared" si="361"/>
        <v>686.65986731999999</v>
      </c>
      <c r="L200" s="78">
        <f t="shared" si="362"/>
        <v>1700.3006238399998</v>
      </c>
      <c r="M200" t="s">
        <v>237</v>
      </c>
      <c r="N200" s="79">
        <v>5</v>
      </c>
      <c r="O200" s="79">
        <v>2</v>
      </c>
      <c r="P200" s="80">
        <v>5</v>
      </c>
      <c r="Q200" s="80">
        <v>5</v>
      </c>
      <c r="R200" s="81">
        <f t="shared" si="363"/>
        <v>3211.7117117117114</v>
      </c>
      <c r="S200" s="81">
        <f t="shared" si="364"/>
        <v>2175.6756756756754</v>
      </c>
      <c r="T200" s="81">
        <f t="shared" si="365"/>
        <v>5387.3873873873872</v>
      </c>
      <c r="U200" s="82">
        <f t="shared" si="366"/>
        <v>0.31560764087999998</v>
      </c>
      <c r="V200" s="82">
        <f t="shared" si="367"/>
        <v>0.31560764088000004</v>
      </c>
      <c r="W200" s="82">
        <f t="shared" si="368"/>
        <v>0.31560764088000004</v>
      </c>
      <c r="X200" s="83">
        <f>BS200+SCENARIU!$C$31+'AJUSTĂRI PE PRODUS'!$I$110</f>
        <v>5</v>
      </c>
      <c r="Y200" s="83">
        <f>BT200+SCENARIU!$C$31+'AJUSTĂRI PE PRODUS'!$J$110</f>
        <v>5</v>
      </c>
      <c r="Z200" s="84">
        <f t="shared" si="369"/>
        <v>3211.7117117117114</v>
      </c>
      <c r="AA200" s="84">
        <f t="shared" si="370"/>
        <v>2175.6756756756754</v>
      </c>
      <c r="AB200" s="84">
        <f t="shared" si="371"/>
        <v>5387.3873873873872</v>
      </c>
      <c r="AC200" s="85">
        <f t="shared" si="372"/>
        <v>0.31560764087999998</v>
      </c>
      <c r="AD200" s="85">
        <f t="shared" si="373"/>
        <v>0.31560764088000004</v>
      </c>
      <c r="AE200" s="85">
        <f t="shared" si="374"/>
        <v>0.31560764088000004</v>
      </c>
      <c r="AF200" s="83">
        <f>BU200+SCENARIU!$C$31+SCENARIU!$D$31+'AJUSTĂRI PE PRODUS'!$I$110+'AJUSTĂRI PE PRODUS'!$N$110</f>
        <v>5</v>
      </c>
      <c r="AG200" s="83">
        <f>BV200+SCENARIU!$C$31+SCENARIU!$D$31+'AJUSTĂRI PE PRODUS'!$J$110+'AJUSTĂRI PE PRODUS'!$O$110</f>
        <v>5</v>
      </c>
      <c r="AH200" s="86">
        <f t="shared" si="375"/>
        <v>3211.7117117117114</v>
      </c>
      <c r="AI200" s="86">
        <f t="shared" si="376"/>
        <v>2175.6756756756754</v>
      </c>
      <c r="AJ200" s="86">
        <f t="shared" si="377"/>
        <v>5387.3873873873872</v>
      </c>
      <c r="AK200" s="87">
        <f t="shared" si="378"/>
        <v>0.31560764087999998</v>
      </c>
      <c r="AL200" s="87">
        <f t="shared" si="379"/>
        <v>0.31560764088000004</v>
      </c>
      <c r="AM200" s="87">
        <f t="shared" si="380"/>
        <v>0.31560764088000004</v>
      </c>
      <c r="AN200" s="83">
        <f>BW200+SCENARIU!$C$31+SCENARIU!$D$31+SCENARIU!$E$31+'AJUSTĂRI PE PRODUS'!$I$110+'AJUSTĂRI PE PRODUS'!$N$110+'AJUSTĂRI PE PRODUS'!$S$110</f>
        <v>5</v>
      </c>
      <c r="AO200" s="83">
        <f>BX200+SCENARIU!$C$31+SCENARIU!$D$31+SCENARIU!$E$31+'AJUSTĂRI PE PRODUS'!$J$110+'AJUSTĂRI PE PRODUS'!$O$110+'AJUSTĂRI PE PRODUS'!$T$110</f>
        <v>5</v>
      </c>
      <c r="AP200" s="88">
        <f t="shared" si="381"/>
        <v>3211.7117117117114</v>
      </c>
      <c r="AQ200" s="88">
        <f t="shared" si="382"/>
        <v>2175.6756756756754</v>
      </c>
      <c r="AR200" s="88">
        <f t="shared" si="383"/>
        <v>5387.3873873873872</v>
      </c>
      <c r="AS200" s="89">
        <f t="shared" si="384"/>
        <v>0.31560764087999998</v>
      </c>
      <c r="AT200" s="89">
        <f t="shared" si="385"/>
        <v>0.31560764088000004</v>
      </c>
      <c r="AU200" s="89">
        <f t="shared" si="386"/>
        <v>0.31560764088000004</v>
      </c>
      <c r="AV200" s="83">
        <f>BY200+SCENARIU!$C$31+SCENARIU!$D$31+SCENARIU!$E$31+SCENARIU!$F$31+'AJUSTĂRI PE PRODUS'!$I$110+'AJUSTĂRI PE PRODUS'!$N$110+'AJUSTĂRI PE PRODUS'!$S$110+'AJUSTĂRI PE PRODUS'!$X$110</f>
        <v>5</v>
      </c>
      <c r="AW200" s="83">
        <f>BZ200+SCENARIU!$C$31+SCENARIU!$D$31+SCENARIU!$E$31+SCENARIU!$F$31+'AJUSTĂRI PE PRODUS'!$J$110+'AJUSTĂRI PE PRODUS'!$O$110+'AJUSTĂRI PE PRODUS'!$T$110+'AJUSTĂRI PE PRODUS'!$Y$110</f>
        <v>5</v>
      </c>
      <c r="AX200" s="90">
        <f t="shared" si="387"/>
        <v>3211.7117117117114</v>
      </c>
      <c r="AY200" s="90">
        <f t="shared" si="388"/>
        <v>2175.6756756756754</v>
      </c>
      <c r="AZ200" s="90">
        <f t="shared" si="389"/>
        <v>5387.3873873873872</v>
      </c>
      <c r="BA200" s="91">
        <f t="shared" si="390"/>
        <v>0.31560764087999998</v>
      </c>
      <c r="BB200" s="91">
        <f t="shared" si="391"/>
        <v>0.31560764088000004</v>
      </c>
      <c r="BC200" s="91">
        <f t="shared" si="392"/>
        <v>0.31560764088000004</v>
      </c>
      <c r="BD200" s="92">
        <f t="shared" si="393"/>
        <v>0</v>
      </c>
      <c r="BE200" s="92">
        <f t="shared" si="394"/>
        <v>0</v>
      </c>
      <c r="BF200" s="92">
        <f t="shared" si="395"/>
        <v>0</v>
      </c>
      <c r="BG200" s="92">
        <f t="shared" si="396"/>
        <v>0</v>
      </c>
      <c r="BH200" s="92">
        <f t="shared" si="397"/>
        <v>0</v>
      </c>
      <c r="BI200" s="93">
        <f t="shared" si="398"/>
        <v>0</v>
      </c>
      <c r="BJ200" s="92">
        <f t="shared" si="399"/>
        <v>3</v>
      </c>
      <c r="BK200" s="92">
        <f t="shared" si="400"/>
        <v>0</v>
      </c>
      <c r="BL200" s="92">
        <f t="shared" si="401"/>
        <v>0</v>
      </c>
      <c r="BM200" s="92">
        <f t="shared" si="402"/>
        <v>0</v>
      </c>
      <c r="BN200" s="92">
        <f t="shared" si="403"/>
        <v>0</v>
      </c>
      <c r="BO200" s="93">
        <f t="shared" si="404"/>
        <v>3</v>
      </c>
      <c r="BQ200">
        <v>5</v>
      </c>
      <c r="BR200">
        <v>5</v>
      </c>
      <c r="BS200">
        <v>5</v>
      </c>
      <c r="BT200">
        <v>5</v>
      </c>
      <c r="BU200">
        <v>5</v>
      </c>
      <c r="BV200">
        <v>5</v>
      </c>
      <c r="BW200">
        <v>5</v>
      </c>
      <c r="BX200">
        <v>5</v>
      </c>
      <c r="BY200">
        <v>5</v>
      </c>
      <c r="BZ200">
        <v>5</v>
      </c>
    </row>
    <row r="201" spans="1:78" x14ac:dyDescent="0.2">
      <c r="A201" s="26">
        <v>3</v>
      </c>
      <c r="B201" s="26" t="s">
        <v>256</v>
      </c>
      <c r="C201" s="26" t="s">
        <v>106</v>
      </c>
      <c r="D201" s="74">
        <v>1</v>
      </c>
      <c r="E201" s="75">
        <v>11</v>
      </c>
      <c r="F201" s="76">
        <v>620</v>
      </c>
      <c r="G201" s="76">
        <v>497</v>
      </c>
      <c r="H201" s="77">
        <f>SUMIFS(RETETAR!$I$4:$I$967,RETETAR!$A$4:$A$967,$M201,RETETAR!$C$4:$C$967,"AMBELE")+SUMIFS(RETETAR!$I$4:$I$967,RETETAR!$A$4:$A$967,$M201,RETETAR!$C$4:$C$967,"INSTORE")</f>
        <v>0.63</v>
      </c>
      <c r="I201" s="77">
        <f>SUMIFS(RETETAR!$I$4:$I$967,RETETAR!$A$4:$A$967,$M201,RETETAR!$C$4:$C$967,"AMBELE")+SUMIFS(RETETAR!$I$4:$I$967,RETETAR!$A$4:$A$967,$M201,RETETAR!$C$4:$C$967,"DELIVERY")</f>
        <v>0.63</v>
      </c>
      <c r="J201" s="78">
        <f t="shared" si="360"/>
        <v>390.6</v>
      </c>
      <c r="K201" s="78">
        <f t="shared" si="361"/>
        <v>313.11</v>
      </c>
      <c r="L201" s="78">
        <f t="shared" si="362"/>
        <v>703.71</v>
      </c>
      <c r="M201" t="s">
        <v>256</v>
      </c>
      <c r="N201" s="79">
        <v>3</v>
      </c>
      <c r="O201" s="79">
        <v>3</v>
      </c>
      <c r="P201" s="80">
        <v>3</v>
      </c>
      <c r="Q201" s="80">
        <v>3</v>
      </c>
      <c r="R201" s="81">
        <f t="shared" si="363"/>
        <v>1675.6756756756756</v>
      </c>
      <c r="S201" s="81">
        <f t="shared" si="364"/>
        <v>1343.2432432432431</v>
      </c>
      <c r="T201" s="81">
        <f t="shared" si="365"/>
        <v>3018.9189189189187</v>
      </c>
      <c r="U201" s="82">
        <f t="shared" si="366"/>
        <v>0.23310000000000003</v>
      </c>
      <c r="V201" s="82">
        <f t="shared" si="367"/>
        <v>0.23310000000000003</v>
      </c>
      <c r="W201" s="82">
        <f t="shared" si="368"/>
        <v>0.23310000000000003</v>
      </c>
      <c r="X201" s="83">
        <f>BS201+SCENARIU!$C$31+'AJUSTĂRI PE PRODUS'!$I$120</f>
        <v>3</v>
      </c>
      <c r="Y201" s="83">
        <f>BT201+SCENARIU!$C$31+'AJUSTĂRI PE PRODUS'!$J$120</f>
        <v>3</v>
      </c>
      <c r="Z201" s="84">
        <f t="shared" si="369"/>
        <v>1675.6756756756756</v>
      </c>
      <c r="AA201" s="84">
        <f t="shared" si="370"/>
        <v>1343.2432432432431</v>
      </c>
      <c r="AB201" s="84">
        <f t="shared" si="371"/>
        <v>3018.9189189189187</v>
      </c>
      <c r="AC201" s="85">
        <f t="shared" si="372"/>
        <v>0.23310000000000003</v>
      </c>
      <c r="AD201" s="85">
        <f t="shared" si="373"/>
        <v>0.23310000000000003</v>
      </c>
      <c r="AE201" s="85">
        <f t="shared" si="374"/>
        <v>0.23310000000000003</v>
      </c>
      <c r="AF201" s="83">
        <f>BU201+SCENARIU!$C$31+SCENARIU!$D$31+'AJUSTĂRI PE PRODUS'!$I$120+'AJUSTĂRI PE PRODUS'!$N$120</f>
        <v>3</v>
      </c>
      <c r="AG201" s="83">
        <f>BV201+SCENARIU!$C$31+SCENARIU!$D$31+'AJUSTĂRI PE PRODUS'!$J$120+'AJUSTĂRI PE PRODUS'!$O$120</f>
        <v>3</v>
      </c>
      <c r="AH201" s="86">
        <f t="shared" si="375"/>
        <v>1675.6756756756756</v>
      </c>
      <c r="AI201" s="86">
        <f t="shared" si="376"/>
        <v>1343.2432432432431</v>
      </c>
      <c r="AJ201" s="86">
        <f t="shared" si="377"/>
        <v>3018.9189189189187</v>
      </c>
      <c r="AK201" s="87">
        <f t="shared" si="378"/>
        <v>0.23310000000000003</v>
      </c>
      <c r="AL201" s="87">
        <f t="shared" si="379"/>
        <v>0.23310000000000003</v>
      </c>
      <c r="AM201" s="87">
        <f t="shared" si="380"/>
        <v>0.23310000000000003</v>
      </c>
      <c r="AN201" s="83">
        <f>BW201+SCENARIU!$C$31+SCENARIU!$D$31+SCENARIU!$E$31+'AJUSTĂRI PE PRODUS'!$I$120+'AJUSTĂRI PE PRODUS'!$N$120+'AJUSTĂRI PE PRODUS'!$S$120</f>
        <v>3</v>
      </c>
      <c r="AO201" s="83">
        <f>BX201+SCENARIU!$C$31+SCENARIU!$D$31+SCENARIU!$E$31+'AJUSTĂRI PE PRODUS'!$J$120+'AJUSTĂRI PE PRODUS'!$O$120+'AJUSTĂRI PE PRODUS'!$T$120</f>
        <v>3</v>
      </c>
      <c r="AP201" s="88">
        <f t="shared" si="381"/>
        <v>1675.6756756756756</v>
      </c>
      <c r="AQ201" s="88">
        <f t="shared" si="382"/>
        <v>1343.2432432432431</v>
      </c>
      <c r="AR201" s="88">
        <f t="shared" si="383"/>
        <v>3018.9189189189187</v>
      </c>
      <c r="AS201" s="89">
        <f t="shared" si="384"/>
        <v>0.23310000000000003</v>
      </c>
      <c r="AT201" s="89">
        <f t="shared" si="385"/>
        <v>0.23310000000000003</v>
      </c>
      <c r="AU201" s="89">
        <f t="shared" si="386"/>
        <v>0.23310000000000003</v>
      </c>
      <c r="AV201" s="83">
        <f>BY201+SCENARIU!$C$31+SCENARIU!$D$31+SCENARIU!$E$31+SCENARIU!$F$31+'AJUSTĂRI PE PRODUS'!$I$120+'AJUSTĂRI PE PRODUS'!$N$120+'AJUSTĂRI PE PRODUS'!$S$120+'AJUSTĂRI PE PRODUS'!$X$120</f>
        <v>3</v>
      </c>
      <c r="AW201" s="83">
        <f>BZ201+SCENARIU!$C$31+SCENARIU!$D$31+SCENARIU!$E$31+SCENARIU!$F$31+'AJUSTĂRI PE PRODUS'!$J$120+'AJUSTĂRI PE PRODUS'!$O$120+'AJUSTĂRI PE PRODUS'!$T$120+'AJUSTĂRI PE PRODUS'!$Y$120</f>
        <v>3</v>
      </c>
      <c r="AX201" s="90">
        <f t="shared" si="387"/>
        <v>1675.6756756756756</v>
      </c>
      <c r="AY201" s="90">
        <f t="shared" si="388"/>
        <v>1343.2432432432431</v>
      </c>
      <c r="AZ201" s="90">
        <f t="shared" si="389"/>
        <v>3018.9189189189187</v>
      </c>
      <c r="BA201" s="91">
        <f t="shared" si="390"/>
        <v>0.23310000000000003</v>
      </c>
      <c r="BB201" s="91">
        <f t="shared" si="391"/>
        <v>0.23310000000000003</v>
      </c>
      <c r="BC201" s="91">
        <f t="shared" si="392"/>
        <v>0.23310000000000003</v>
      </c>
      <c r="BD201" s="92">
        <f t="shared" si="393"/>
        <v>0</v>
      </c>
      <c r="BE201" s="92">
        <f t="shared" si="394"/>
        <v>0</v>
      </c>
      <c r="BF201" s="92">
        <f t="shared" si="395"/>
        <v>0</v>
      </c>
      <c r="BG201" s="92">
        <f t="shared" si="396"/>
        <v>0</v>
      </c>
      <c r="BH201" s="92">
        <f t="shared" si="397"/>
        <v>0</v>
      </c>
      <c r="BI201" s="93">
        <f t="shared" si="398"/>
        <v>0</v>
      </c>
      <c r="BJ201" s="92">
        <f t="shared" si="399"/>
        <v>0</v>
      </c>
      <c r="BK201" s="92">
        <f t="shared" si="400"/>
        <v>0</v>
      </c>
      <c r="BL201" s="92">
        <f t="shared" si="401"/>
        <v>0</v>
      </c>
      <c r="BM201" s="92">
        <f t="shared" si="402"/>
        <v>0</v>
      </c>
      <c r="BN201" s="92">
        <f t="shared" si="403"/>
        <v>0</v>
      </c>
      <c r="BO201" s="93">
        <f t="shared" si="404"/>
        <v>0</v>
      </c>
      <c r="BQ201">
        <v>3</v>
      </c>
      <c r="BR201">
        <v>3</v>
      </c>
      <c r="BS201">
        <v>3</v>
      </c>
      <c r="BT201">
        <v>3</v>
      </c>
      <c r="BU201">
        <v>3</v>
      </c>
      <c r="BV201">
        <v>3</v>
      </c>
      <c r="BW201">
        <v>3</v>
      </c>
      <c r="BX201">
        <v>3</v>
      </c>
      <c r="BY201">
        <v>3</v>
      </c>
      <c r="BZ201">
        <v>3</v>
      </c>
    </row>
    <row r="202" spans="1:78" x14ac:dyDescent="0.2">
      <c r="A202" s="26">
        <v>4</v>
      </c>
      <c r="B202" s="26" t="s">
        <v>261</v>
      </c>
      <c r="C202" s="26" t="s">
        <v>106</v>
      </c>
      <c r="D202" s="74">
        <v>1</v>
      </c>
      <c r="E202" s="75">
        <v>11</v>
      </c>
      <c r="F202" s="76">
        <v>318</v>
      </c>
      <c r="G202" s="76">
        <v>284</v>
      </c>
      <c r="H202" s="77">
        <f>SUMIFS(RETETAR!$I$4:$I$967,RETETAR!$A$4:$A$967,$M202,RETETAR!$C$4:$C$967,"AMBELE")+SUMIFS(RETETAR!$I$4:$I$967,RETETAR!$A$4:$A$967,$M202,RETETAR!$C$4:$C$967,"INSTORE")</f>
        <v>0.49199999999999999</v>
      </c>
      <c r="I202" s="77">
        <f>SUMIFS(RETETAR!$I$4:$I$967,RETETAR!$A$4:$A$967,$M202,RETETAR!$C$4:$C$967,"AMBELE")+SUMIFS(RETETAR!$I$4:$I$967,RETETAR!$A$4:$A$967,$M202,RETETAR!$C$4:$C$967,"DELIVERY")</f>
        <v>0.49199999999999999</v>
      </c>
      <c r="J202" s="78">
        <f t="shared" si="360"/>
        <v>156.45599999999999</v>
      </c>
      <c r="K202" s="78">
        <f t="shared" si="361"/>
        <v>139.72800000000001</v>
      </c>
      <c r="L202" s="78">
        <f t="shared" si="362"/>
        <v>296.18399999999997</v>
      </c>
      <c r="M202" t="s">
        <v>261</v>
      </c>
      <c r="N202" s="79">
        <v>5</v>
      </c>
      <c r="O202" s="79">
        <v>5</v>
      </c>
      <c r="P202" s="80">
        <v>5</v>
      </c>
      <c r="Q202" s="80">
        <v>5</v>
      </c>
      <c r="R202" s="81">
        <f t="shared" si="363"/>
        <v>1432.4324324324323</v>
      </c>
      <c r="S202" s="81">
        <f t="shared" si="364"/>
        <v>1279.2792792792791</v>
      </c>
      <c r="T202" s="81">
        <f t="shared" si="365"/>
        <v>2711.7117117117114</v>
      </c>
      <c r="U202" s="82">
        <f t="shared" si="366"/>
        <v>0.109224</v>
      </c>
      <c r="V202" s="82">
        <f t="shared" si="367"/>
        <v>0.109224</v>
      </c>
      <c r="W202" s="82">
        <f t="shared" si="368"/>
        <v>0.10922400000000003</v>
      </c>
      <c r="X202" s="83">
        <f>BS202+SCENARIU!$C$31+'AJUSTĂRI PE PRODUS'!$I$124</f>
        <v>5</v>
      </c>
      <c r="Y202" s="83">
        <f>BT202+SCENARIU!$C$31+'AJUSTĂRI PE PRODUS'!$J$124</f>
        <v>5</v>
      </c>
      <c r="Z202" s="84">
        <f t="shared" si="369"/>
        <v>1432.4324324324323</v>
      </c>
      <c r="AA202" s="84">
        <f t="shared" si="370"/>
        <v>1279.2792792792791</v>
      </c>
      <c r="AB202" s="84">
        <f t="shared" si="371"/>
        <v>2711.7117117117114</v>
      </c>
      <c r="AC202" s="85">
        <f t="shared" si="372"/>
        <v>0.109224</v>
      </c>
      <c r="AD202" s="85">
        <f t="shared" si="373"/>
        <v>0.109224</v>
      </c>
      <c r="AE202" s="85">
        <f t="shared" si="374"/>
        <v>0.10922400000000003</v>
      </c>
      <c r="AF202" s="83">
        <f>BU202+SCENARIU!$C$31+SCENARIU!$D$31+'AJUSTĂRI PE PRODUS'!$I$124+'AJUSTĂRI PE PRODUS'!$N$124</f>
        <v>5</v>
      </c>
      <c r="AG202" s="83">
        <f>BV202+SCENARIU!$C$31+SCENARIU!$D$31+'AJUSTĂRI PE PRODUS'!$J$124+'AJUSTĂRI PE PRODUS'!$O$124</f>
        <v>5</v>
      </c>
      <c r="AH202" s="86">
        <f t="shared" si="375"/>
        <v>1432.4324324324323</v>
      </c>
      <c r="AI202" s="86">
        <f t="shared" si="376"/>
        <v>1279.2792792792791</v>
      </c>
      <c r="AJ202" s="86">
        <f t="shared" si="377"/>
        <v>2711.7117117117114</v>
      </c>
      <c r="AK202" s="87">
        <f t="shared" si="378"/>
        <v>0.109224</v>
      </c>
      <c r="AL202" s="87">
        <f t="shared" si="379"/>
        <v>0.109224</v>
      </c>
      <c r="AM202" s="87">
        <f t="shared" si="380"/>
        <v>0.10922400000000003</v>
      </c>
      <c r="AN202" s="83">
        <f>BW202+SCENARIU!$C$31+SCENARIU!$D$31+SCENARIU!$E$31+'AJUSTĂRI PE PRODUS'!$I$124+'AJUSTĂRI PE PRODUS'!$N$124+'AJUSTĂRI PE PRODUS'!$S$124</f>
        <v>5</v>
      </c>
      <c r="AO202" s="83">
        <f>BX202+SCENARIU!$C$31+SCENARIU!$D$31+SCENARIU!$E$31+'AJUSTĂRI PE PRODUS'!$J$124+'AJUSTĂRI PE PRODUS'!$O$124+'AJUSTĂRI PE PRODUS'!$T$124</f>
        <v>5</v>
      </c>
      <c r="AP202" s="88">
        <f t="shared" si="381"/>
        <v>1432.4324324324323</v>
      </c>
      <c r="AQ202" s="88">
        <f t="shared" si="382"/>
        <v>1279.2792792792791</v>
      </c>
      <c r="AR202" s="88">
        <f t="shared" si="383"/>
        <v>2711.7117117117114</v>
      </c>
      <c r="AS202" s="89">
        <f t="shared" si="384"/>
        <v>0.109224</v>
      </c>
      <c r="AT202" s="89">
        <f t="shared" si="385"/>
        <v>0.109224</v>
      </c>
      <c r="AU202" s="89">
        <f t="shared" si="386"/>
        <v>0.10922400000000003</v>
      </c>
      <c r="AV202" s="83">
        <f>BY202+SCENARIU!$C$31+SCENARIU!$D$31+SCENARIU!$E$31+SCENARIU!$F$31+'AJUSTĂRI PE PRODUS'!$I$124+'AJUSTĂRI PE PRODUS'!$N$124+'AJUSTĂRI PE PRODUS'!$S$124+'AJUSTĂRI PE PRODUS'!$X$124</f>
        <v>5</v>
      </c>
      <c r="AW202" s="83">
        <f>BZ202+SCENARIU!$C$31+SCENARIU!$D$31+SCENARIU!$E$31+SCENARIU!$F$31+'AJUSTĂRI PE PRODUS'!$J$124+'AJUSTĂRI PE PRODUS'!$O$124+'AJUSTĂRI PE PRODUS'!$T$124+'AJUSTĂRI PE PRODUS'!$Y$124</f>
        <v>5</v>
      </c>
      <c r="AX202" s="90">
        <f t="shared" si="387"/>
        <v>1432.4324324324323</v>
      </c>
      <c r="AY202" s="90">
        <f t="shared" si="388"/>
        <v>1279.2792792792791</v>
      </c>
      <c r="AZ202" s="90">
        <f t="shared" si="389"/>
        <v>2711.7117117117114</v>
      </c>
      <c r="BA202" s="91">
        <f t="shared" si="390"/>
        <v>0.109224</v>
      </c>
      <c r="BB202" s="91">
        <f t="shared" si="391"/>
        <v>0.109224</v>
      </c>
      <c r="BC202" s="91">
        <f t="shared" si="392"/>
        <v>0.10922400000000003</v>
      </c>
      <c r="BD202" s="92">
        <f t="shared" si="393"/>
        <v>0</v>
      </c>
      <c r="BE202" s="92">
        <f t="shared" si="394"/>
        <v>0</v>
      </c>
      <c r="BF202" s="92">
        <f t="shared" si="395"/>
        <v>0</v>
      </c>
      <c r="BG202" s="92">
        <f t="shared" si="396"/>
        <v>0</v>
      </c>
      <c r="BH202" s="92">
        <f t="shared" si="397"/>
        <v>0</v>
      </c>
      <c r="BI202" s="93">
        <f t="shared" si="398"/>
        <v>0</v>
      </c>
      <c r="BJ202" s="92">
        <f t="shared" si="399"/>
        <v>0</v>
      </c>
      <c r="BK202" s="92">
        <f t="shared" si="400"/>
        <v>0</v>
      </c>
      <c r="BL202" s="92">
        <f t="shared" si="401"/>
        <v>0</v>
      </c>
      <c r="BM202" s="92">
        <f t="shared" si="402"/>
        <v>0</v>
      </c>
      <c r="BN202" s="92">
        <f t="shared" si="403"/>
        <v>0</v>
      </c>
      <c r="BO202" s="93">
        <f t="shared" si="404"/>
        <v>0</v>
      </c>
      <c r="BQ202">
        <v>5</v>
      </c>
      <c r="BR202">
        <v>5</v>
      </c>
      <c r="BS202">
        <v>5</v>
      </c>
      <c r="BT202">
        <v>5</v>
      </c>
      <c r="BU202">
        <v>5</v>
      </c>
      <c r="BV202">
        <v>5</v>
      </c>
      <c r="BW202">
        <v>5</v>
      </c>
      <c r="BX202">
        <v>5</v>
      </c>
      <c r="BY202">
        <v>5</v>
      </c>
      <c r="BZ202">
        <v>5</v>
      </c>
    </row>
    <row r="203" spans="1:78" x14ac:dyDescent="0.2">
      <c r="A203" s="26">
        <v>5</v>
      </c>
      <c r="B203" s="26" t="s">
        <v>275</v>
      </c>
      <c r="C203" s="26" t="s">
        <v>106</v>
      </c>
      <c r="D203" s="74">
        <v>1</v>
      </c>
      <c r="E203" s="75">
        <v>11</v>
      </c>
      <c r="F203" s="76">
        <v>282</v>
      </c>
      <c r="G203" s="76">
        <v>733</v>
      </c>
      <c r="H203" s="77">
        <f>SUMIFS(RETETAR!$I$4:$I$967,RETETAR!$A$4:$A$967,$M203,RETETAR!$C$4:$C$967,"AMBELE")+SUMIFS(RETETAR!$I$4:$I$967,RETETAR!$A$4:$A$967,$M203,RETETAR!$C$4:$C$967,"INSTORE")</f>
        <v>0.24671808000000003</v>
      </c>
      <c r="I203" s="77">
        <f>SUMIFS(RETETAR!$I$4:$I$967,RETETAR!$A$4:$A$967,$M203,RETETAR!$C$4:$C$967,"AMBELE")+SUMIFS(RETETAR!$I$4:$I$967,RETETAR!$A$4:$A$967,$M203,RETETAR!$C$4:$C$967,"DELIVERY")</f>
        <v>0.24671808000000003</v>
      </c>
      <c r="J203" s="78">
        <f t="shared" si="360"/>
        <v>69.574498560000009</v>
      </c>
      <c r="K203" s="78">
        <f t="shared" si="361"/>
        <v>180.84435264000001</v>
      </c>
      <c r="L203" s="78">
        <f t="shared" si="362"/>
        <v>250.41885120000001</v>
      </c>
      <c r="M203" t="s">
        <v>275</v>
      </c>
      <c r="N203" s="79">
        <v>2</v>
      </c>
      <c r="O203" s="79">
        <v>5</v>
      </c>
      <c r="P203" s="80">
        <v>2</v>
      </c>
      <c r="Q203" s="80">
        <v>2</v>
      </c>
      <c r="R203" s="81">
        <f t="shared" si="363"/>
        <v>508.10810810810807</v>
      </c>
      <c r="S203" s="81">
        <f t="shared" si="364"/>
        <v>1320.7207207207205</v>
      </c>
      <c r="T203" s="81">
        <f t="shared" si="365"/>
        <v>1828.8288288288286</v>
      </c>
      <c r="U203" s="82">
        <f t="shared" si="366"/>
        <v>0.13692853440000002</v>
      </c>
      <c r="V203" s="82">
        <f t="shared" si="367"/>
        <v>0.13692853440000002</v>
      </c>
      <c r="W203" s="82">
        <f t="shared" si="368"/>
        <v>0.13692853440000002</v>
      </c>
      <c r="X203" s="83">
        <f>BS203+SCENARIU!$C$31+'AJUSTĂRI PE PRODUS'!$I$111</f>
        <v>2</v>
      </c>
      <c r="Y203" s="83">
        <f>BT203+SCENARIU!$C$31+'AJUSTĂRI PE PRODUS'!$J$111</f>
        <v>2</v>
      </c>
      <c r="Z203" s="84">
        <f t="shared" si="369"/>
        <v>508.10810810810807</v>
      </c>
      <c r="AA203" s="84">
        <f t="shared" si="370"/>
        <v>1320.7207207207205</v>
      </c>
      <c r="AB203" s="84">
        <f t="shared" si="371"/>
        <v>1828.8288288288286</v>
      </c>
      <c r="AC203" s="85">
        <f t="shared" si="372"/>
        <v>0.13692853440000002</v>
      </c>
      <c r="AD203" s="85">
        <f t="shared" si="373"/>
        <v>0.13692853440000002</v>
      </c>
      <c r="AE203" s="85">
        <f t="shared" si="374"/>
        <v>0.13692853440000002</v>
      </c>
      <c r="AF203" s="83">
        <f>BU203+SCENARIU!$C$31+SCENARIU!$D$31+'AJUSTĂRI PE PRODUS'!$I$111+'AJUSTĂRI PE PRODUS'!$N$111</f>
        <v>2</v>
      </c>
      <c r="AG203" s="83">
        <f>BV203+SCENARIU!$C$31+SCENARIU!$D$31+'AJUSTĂRI PE PRODUS'!$J$111+'AJUSTĂRI PE PRODUS'!$O$111</f>
        <v>2</v>
      </c>
      <c r="AH203" s="86">
        <f t="shared" si="375"/>
        <v>508.10810810810807</v>
      </c>
      <c r="AI203" s="86">
        <f t="shared" si="376"/>
        <v>1320.7207207207205</v>
      </c>
      <c r="AJ203" s="86">
        <f t="shared" si="377"/>
        <v>1828.8288288288286</v>
      </c>
      <c r="AK203" s="87">
        <f t="shared" si="378"/>
        <v>0.13692853440000002</v>
      </c>
      <c r="AL203" s="87">
        <f t="shared" si="379"/>
        <v>0.13692853440000002</v>
      </c>
      <c r="AM203" s="87">
        <f t="shared" si="380"/>
        <v>0.13692853440000002</v>
      </c>
      <c r="AN203" s="83">
        <f>BW203+SCENARIU!$C$31+SCENARIU!$D$31+SCENARIU!$E$31+'AJUSTĂRI PE PRODUS'!$I$111+'AJUSTĂRI PE PRODUS'!$N$111+'AJUSTĂRI PE PRODUS'!$S$111</f>
        <v>2</v>
      </c>
      <c r="AO203" s="83">
        <f>BX203+SCENARIU!$C$31+SCENARIU!$D$31+SCENARIU!$E$31+'AJUSTĂRI PE PRODUS'!$J$111+'AJUSTĂRI PE PRODUS'!$O$111+'AJUSTĂRI PE PRODUS'!$T$111</f>
        <v>2</v>
      </c>
      <c r="AP203" s="88">
        <f t="shared" si="381"/>
        <v>508.10810810810807</v>
      </c>
      <c r="AQ203" s="88">
        <f t="shared" si="382"/>
        <v>1320.7207207207205</v>
      </c>
      <c r="AR203" s="88">
        <f t="shared" si="383"/>
        <v>1828.8288288288286</v>
      </c>
      <c r="AS203" s="89">
        <f t="shared" si="384"/>
        <v>0.13692853440000002</v>
      </c>
      <c r="AT203" s="89">
        <f t="shared" si="385"/>
        <v>0.13692853440000002</v>
      </c>
      <c r="AU203" s="89">
        <f t="shared" si="386"/>
        <v>0.13692853440000002</v>
      </c>
      <c r="AV203" s="83">
        <f>BY203+SCENARIU!$C$31+SCENARIU!$D$31+SCENARIU!$E$31+SCENARIU!$F$31+'AJUSTĂRI PE PRODUS'!$I$111+'AJUSTĂRI PE PRODUS'!$N$111+'AJUSTĂRI PE PRODUS'!$S$111+'AJUSTĂRI PE PRODUS'!$X$111</f>
        <v>2</v>
      </c>
      <c r="AW203" s="83">
        <f>BZ203+SCENARIU!$C$31+SCENARIU!$D$31+SCENARIU!$E$31+SCENARIU!$F$31+'AJUSTĂRI PE PRODUS'!$J$111+'AJUSTĂRI PE PRODUS'!$O$111+'AJUSTĂRI PE PRODUS'!$T$111+'AJUSTĂRI PE PRODUS'!$Y$111</f>
        <v>2</v>
      </c>
      <c r="AX203" s="90">
        <f t="shared" si="387"/>
        <v>508.10810810810807</v>
      </c>
      <c r="AY203" s="90">
        <f t="shared" si="388"/>
        <v>1320.7207207207205</v>
      </c>
      <c r="AZ203" s="90">
        <f t="shared" si="389"/>
        <v>1828.8288288288286</v>
      </c>
      <c r="BA203" s="91">
        <f t="shared" si="390"/>
        <v>0.13692853440000002</v>
      </c>
      <c r="BB203" s="91">
        <f t="shared" si="391"/>
        <v>0.13692853440000002</v>
      </c>
      <c r="BC203" s="91">
        <f t="shared" si="392"/>
        <v>0.13692853440000002</v>
      </c>
      <c r="BD203" s="92">
        <f t="shared" si="393"/>
        <v>0</v>
      </c>
      <c r="BE203" s="92">
        <f t="shared" si="394"/>
        <v>0</v>
      </c>
      <c r="BF203" s="92">
        <f t="shared" si="395"/>
        <v>0</v>
      </c>
      <c r="BG203" s="92">
        <f t="shared" si="396"/>
        <v>0</v>
      </c>
      <c r="BH203" s="92">
        <f t="shared" si="397"/>
        <v>0</v>
      </c>
      <c r="BI203" s="93">
        <f t="shared" si="398"/>
        <v>0</v>
      </c>
      <c r="BJ203" s="92">
        <f t="shared" si="399"/>
        <v>-3</v>
      </c>
      <c r="BK203" s="92">
        <f t="shared" si="400"/>
        <v>0</v>
      </c>
      <c r="BL203" s="92">
        <f t="shared" si="401"/>
        <v>0</v>
      </c>
      <c r="BM203" s="92">
        <f t="shared" si="402"/>
        <v>0</v>
      </c>
      <c r="BN203" s="92">
        <f t="shared" si="403"/>
        <v>0</v>
      </c>
      <c r="BO203" s="93">
        <f t="shared" si="404"/>
        <v>-3</v>
      </c>
      <c r="BQ203">
        <v>2</v>
      </c>
      <c r="BR203">
        <v>2</v>
      </c>
      <c r="BS203">
        <v>2</v>
      </c>
      <c r="BT203">
        <v>2</v>
      </c>
      <c r="BU203">
        <v>2</v>
      </c>
      <c r="BV203">
        <v>2</v>
      </c>
      <c r="BW203">
        <v>2</v>
      </c>
      <c r="BX203">
        <v>2</v>
      </c>
      <c r="BY203">
        <v>2</v>
      </c>
      <c r="BZ203">
        <v>2</v>
      </c>
    </row>
    <row r="204" spans="1:78" x14ac:dyDescent="0.2">
      <c r="A204" s="26">
        <v>6</v>
      </c>
      <c r="B204" s="26" t="s">
        <v>317</v>
      </c>
      <c r="C204" s="26" t="s">
        <v>106</v>
      </c>
      <c r="D204" s="74">
        <v>1</v>
      </c>
      <c r="E204" s="75">
        <v>11</v>
      </c>
      <c r="F204" s="76">
        <v>30</v>
      </c>
      <c r="G204" s="76">
        <v>30</v>
      </c>
      <c r="H204" s="77">
        <f>SUMIFS(RETETAR!$I$4:$I$967,RETETAR!$A$4:$A$967,$M204,RETETAR!$C$4:$C$967,"AMBELE")+SUMIFS(RETETAR!$I$4:$I$967,RETETAR!$A$4:$A$967,$M204,RETETAR!$C$4:$C$967,"INSTORE")</f>
        <v>2.8513823600000001</v>
      </c>
      <c r="I204" s="77">
        <f>SUMIFS(RETETAR!$I$4:$I$967,RETETAR!$A$4:$A$967,$M204,RETETAR!$C$4:$C$967,"AMBELE")+SUMIFS(RETETAR!$I$4:$I$967,RETETAR!$A$4:$A$967,$M204,RETETAR!$C$4:$C$967,"DELIVERY")</f>
        <v>2.8513823600000001</v>
      </c>
      <c r="J204" s="78">
        <f t="shared" si="360"/>
        <v>85.541470799999999</v>
      </c>
      <c r="K204" s="78">
        <f t="shared" si="361"/>
        <v>85.541470799999999</v>
      </c>
      <c r="L204" s="78">
        <f t="shared" si="362"/>
        <v>171.0829416</v>
      </c>
      <c r="M204" t="s">
        <v>317</v>
      </c>
      <c r="N204" s="79">
        <v>7</v>
      </c>
      <c r="O204" s="79">
        <v>7</v>
      </c>
      <c r="P204" s="80">
        <v>7</v>
      </c>
      <c r="Q204" s="80">
        <v>7</v>
      </c>
      <c r="R204" s="81">
        <f t="shared" si="363"/>
        <v>189.18918918918916</v>
      </c>
      <c r="S204" s="81">
        <f t="shared" si="364"/>
        <v>189.18918918918916</v>
      </c>
      <c r="T204" s="81">
        <f t="shared" si="365"/>
        <v>378.37837837837833</v>
      </c>
      <c r="U204" s="82">
        <f t="shared" si="366"/>
        <v>0.4521477742285715</v>
      </c>
      <c r="V204" s="82">
        <f t="shared" si="367"/>
        <v>0.4521477742285715</v>
      </c>
      <c r="W204" s="82">
        <f t="shared" si="368"/>
        <v>0.4521477742285715</v>
      </c>
      <c r="X204" s="83">
        <f>BS204+SCENARIU!$C$31+'AJUSTĂRI PE PRODUS'!$I$177</f>
        <v>7</v>
      </c>
      <c r="Y204" s="83">
        <f>BT204+SCENARIU!$C$31+'AJUSTĂRI PE PRODUS'!$J$177</f>
        <v>7</v>
      </c>
      <c r="Z204" s="84">
        <f t="shared" si="369"/>
        <v>189.18918918918916</v>
      </c>
      <c r="AA204" s="84">
        <f t="shared" si="370"/>
        <v>189.18918918918916</v>
      </c>
      <c r="AB204" s="84">
        <f t="shared" si="371"/>
        <v>378.37837837837833</v>
      </c>
      <c r="AC204" s="85">
        <f t="shared" si="372"/>
        <v>0.4521477742285715</v>
      </c>
      <c r="AD204" s="85">
        <f t="shared" si="373"/>
        <v>0.4521477742285715</v>
      </c>
      <c r="AE204" s="85">
        <f t="shared" si="374"/>
        <v>0.4521477742285715</v>
      </c>
      <c r="AF204" s="83">
        <f>BU204+SCENARIU!$C$31+SCENARIU!$D$31+'AJUSTĂRI PE PRODUS'!$I$177+'AJUSTĂRI PE PRODUS'!$N$177</f>
        <v>7</v>
      </c>
      <c r="AG204" s="83">
        <f>BV204+SCENARIU!$C$31+SCENARIU!$D$31+'AJUSTĂRI PE PRODUS'!$J$177+'AJUSTĂRI PE PRODUS'!$O$177</f>
        <v>7</v>
      </c>
      <c r="AH204" s="86">
        <f t="shared" si="375"/>
        <v>189.18918918918916</v>
      </c>
      <c r="AI204" s="86">
        <f t="shared" si="376"/>
        <v>189.18918918918916</v>
      </c>
      <c r="AJ204" s="86">
        <f t="shared" si="377"/>
        <v>378.37837837837833</v>
      </c>
      <c r="AK204" s="87">
        <f t="shared" si="378"/>
        <v>0.4521477742285715</v>
      </c>
      <c r="AL204" s="87">
        <f t="shared" si="379"/>
        <v>0.4521477742285715</v>
      </c>
      <c r="AM204" s="87">
        <f t="shared" si="380"/>
        <v>0.4521477742285715</v>
      </c>
      <c r="AN204" s="83">
        <f>BW204+SCENARIU!$C$31+SCENARIU!$D$31+SCENARIU!$E$31+'AJUSTĂRI PE PRODUS'!$I$177+'AJUSTĂRI PE PRODUS'!$N$177+'AJUSTĂRI PE PRODUS'!$S$177</f>
        <v>7</v>
      </c>
      <c r="AO204" s="83">
        <f>BX204+SCENARIU!$C$31+SCENARIU!$D$31+SCENARIU!$E$31+'AJUSTĂRI PE PRODUS'!$J$177+'AJUSTĂRI PE PRODUS'!$O$177+'AJUSTĂRI PE PRODUS'!$T$177</f>
        <v>7</v>
      </c>
      <c r="AP204" s="88">
        <f t="shared" si="381"/>
        <v>189.18918918918916</v>
      </c>
      <c r="AQ204" s="88">
        <f t="shared" si="382"/>
        <v>189.18918918918916</v>
      </c>
      <c r="AR204" s="88">
        <f t="shared" si="383"/>
        <v>378.37837837837833</v>
      </c>
      <c r="AS204" s="89">
        <f t="shared" si="384"/>
        <v>0.4521477742285715</v>
      </c>
      <c r="AT204" s="89">
        <f t="shared" si="385"/>
        <v>0.4521477742285715</v>
      </c>
      <c r="AU204" s="89">
        <f t="shared" si="386"/>
        <v>0.4521477742285715</v>
      </c>
      <c r="AV204" s="83">
        <f>BY204+SCENARIU!$C$31+SCENARIU!$D$31+SCENARIU!$E$31+SCENARIU!$F$31+'AJUSTĂRI PE PRODUS'!$I$177+'AJUSTĂRI PE PRODUS'!$N$177+'AJUSTĂRI PE PRODUS'!$S$177+'AJUSTĂRI PE PRODUS'!$X$177</f>
        <v>7</v>
      </c>
      <c r="AW204" s="83">
        <f>BZ204+SCENARIU!$C$31+SCENARIU!$D$31+SCENARIU!$E$31+SCENARIU!$F$31+'AJUSTĂRI PE PRODUS'!$J$177+'AJUSTĂRI PE PRODUS'!$O$177+'AJUSTĂRI PE PRODUS'!$T$177+'AJUSTĂRI PE PRODUS'!$Y$177</f>
        <v>7</v>
      </c>
      <c r="AX204" s="90">
        <f t="shared" si="387"/>
        <v>189.18918918918916</v>
      </c>
      <c r="AY204" s="90">
        <f t="shared" si="388"/>
        <v>189.18918918918916</v>
      </c>
      <c r="AZ204" s="90">
        <f t="shared" si="389"/>
        <v>378.37837837837833</v>
      </c>
      <c r="BA204" s="91">
        <f t="shared" si="390"/>
        <v>0.4521477742285715</v>
      </c>
      <c r="BB204" s="91">
        <f t="shared" si="391"/>
        <v>0.4521477742285715</v>
      </c>
      <c r="BC204" s="91">
        <f t="shared" si="392"/>
        <v>0.4521477742285715</v>
      </c>
      <c r="BD204" s="92">
        <f t="shared" si="393"/>
        <v>0</v>
      </c>
      <c r="BE204" s="92">
        <f t="shared" si="394"/>
        <v>0</v>
      </c>
      <c r="BF204" s="92">
        <f t="shared" si="395"/>
        <v>0</v>
      </c>
      <c r="BG204" s="92">
        <f t="shared" si="396"/>
        <v>0</v>
      </c>
      <c r="BH204" s="92">
        <f t="shared" si="397"/>
        <v>0</v>
      </c>
      <c r="BI204" s="93">
        <f t="shared" si="398"/>
        <v>0</v>
      </c>
      <c r="BJ204" s="92">
        <f t="shared" si="399"/>
        <v>0</v>
      </c>
      <c r="BK204" s="92">
        <f t="shared" si="400"/>
        <v>0</v>
      </c>
      <c r="BL204" s="92">
        <f t="shared" si="401"/>
        <v>0</v>
      </c>
      <c r="BM204" s="92">
        <f t="shared" si="402"/>
        <v>0</v>
      </c>
      <c r="BN204" s="92">
        <f t="shared" si="403"/>
        <v>0</v>
      </c>
      <c r="BO204" s="93">
        <f t="shared" si="404"/>
        <v>0</v>
      </c>
      <c r="BQ204">
        <v>7</v>
      </c>
      <c r="BR204">
        <v>7</v>
      </c>
      <c r="BS204">
        <v>7</v>
      </c>
      <c r="BT204">
        <v>7</v>
      </c>
      <c r="BU204">
        <v>7</v>
      </c>
      <c r="BV204">
        <v>7</v>
      </c>
      <c r="BW204">
        <v>7</v>
      </c>
      <c r="BX204">
        <v>7</v>
      </c>
      <c r="BY204">
        <v>7</v>
      </c>
      <c r="BZ204">
        <v>7</v>
      </c>
    </row>
    <row r="205" spans="1:78" x14ac:dyDescent="0.2">
      <c r="A205" s="94" t="s">
        <v>460</v>
      </c>
      <c r="B205" s="95"/>
      <c r="C205" s="95"/>
      <c r="D205" s="95"/>
      <c r="E205" s="95"/>
      <c r="F205" s="95"/>
      <c r="G205" s="95"/>
      <c r="H205" s="95"/>
      <c r="I205" s="95"/>
      <c r="J205" s="95"/>
      <c r="K205" s="95"/>
      <c r="L205" s="96">
        <f>SUM(L199:L204)</f>
        <v>4041.2264166400005</v>
      </c>
      <c r="M205" s="95"/>
      <c r="N205" s="95"/>
      <c r="O205" s="95"/>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c r="AM205" s="95"/>
      <c r="AN205" s="95"/>
      <c r="AO205" s="95"/>
      <c r="AP205" s="95"/>
      <c r="AQ205" s="95"/>
      <c r="AR205" s="95"/>
      <c r="AS205" s="95"/>
      <c r="AT205" s="95"/>
      <c r="AU205" s="95"/>
      <c r="AV205" s="95"/>
      <c r="AW205" s="95"/>
      <c r="AX205" s="95"/>
      <c r="AY205" s="95"/>
      <c r="AZ205" s="95"/>
      <c r="BA205" s="95"/>
      <c r="BB205" s="95"/>
      <c r="BC205" s="95"/>
      <c r="BD205" s="95"/>
      <c r="BE205" s="95"/>
      <c r="BF205" s="95"/>
      <c r="BG205" s="95"/>
      <c r="BH205" s="95"/>
      <c r="BI205" s="95"/>
      <c r="BJ205" s="95"/>
      <c r="BK205" s="95"/>
      <c r="BL205" s="95"/>
      <c r="BM205" s="95"/>
      <c r="BN205" s="95"/>
      <c r="BO205" s="95"/>
    </row>
    <row r="206" spans="1:78" x14ac:dyDescent="0.2">
      <c r="A206" s="72" t="s">
        <v>107</v>
      </c>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row>
    <row r="207" spans="1:78" x14ac:dyDescent="0.2">
      <c r="A207" s="26">
        <v>1</v>
      </c>
      <c r="B207" s="26" t="s">
        <v>181</v>
      </c>
      <c r="C207" s="26" t="s">
        <v>107</v>
      </c>
      <c r="D207" s="74">
        <v>1</v>
      </c>
      <c r="E207" s="75">
        <v>11</v>
      </c>
      <c r="F207" s="76">
        <v>971</v>
      </c>
      <c r="G207" s="76">
        <v>865</v>
      </c>
      <c r="H207" s="77">
        <f>SUMIFS(RETETAR!$I$4:$I$967,RETETAR!$A$4:$A$967,$M207,RETETAR!$C$4:$C$967,"AMBELE")+SUMIFS(RETETAR!$I$4:$I$967,RETETAR!$A$4:$A$967,$M207,RETETAR!$C$4:$C$967,"INSTORE")</f>
        <v>5.82185826</v>
      </c>
      <c r="I207" s="77">
        <f>SUMIFS(RETETAR!$I$4:$I$967,RETETAR!$A$4:$A$967,$M207,RETETAR!$C$4:$C$967,"AMBELE")+SUMIFS(RETETAR!$I$4:$I$967,RETETAR!$A$4:$A$967,$M207,RETETAR!$C$4:$C$967,"DELIVERY")</f>
        <v>5.82185826</v>
      </c>
      <c r="J207" s="78">
        <f>$H207*$F207</f>
        <v>5653.0243704599998</v>
      </c>
      <c r="K207" s="78">
        <f>$I207*$G207</f>
        <v>5035.9073949000003</v>
      </c>
      <c r="L207" s="78">
        <f>$J207+$K207</f>
        <v>10688.931765360001</v>
      </c>
      <c r="M207" t="s">
        <v>181</v>
      </c>
      <c r="N207" s="79">
        <v>16.5</v>
      </c>
      <c r="O207" s="79">
        <v>16.5</v>
      </c>
      <c r="P207" s="80">
        <v>16.5</v>
      </c>
      <c r="Q207" s="80">
        <v>16.5</v>
      </c>
      <c r="R207" s="81">
        <f>IF(P207="",0,P207/(1+$E207/100)*$F207)</f>
        <v>14433.783783783781</v>
      </c>
      <c r="S207" s="81">
        <f>IF(Q207="",0,Q207/(1+$E207/100)*$G207)</f>
        <v>12858.108108108107</v>
      </c>
      <c r="T207" s="81">
        <f>R207+S207</f>
        <v>27291.891891891886</v>
      </c>
      <c r="U207" s="82">
        <f>IF(OR(T207=0,$L207=0),"",$L207/T207)</f>
        <v>0.39165228294545468</v>
      </c>
      <c r="V207" s="82">
        <f>IF(OR(R207=0,$J207=0),"",$J207/R207)</f>
        <v>0.39165228294545457</v>
      </c>
      <c r="W207" s="82">
        <f>IF(OR(S207=0,$K207=0),"",$K207/S207)</f>
        <v>0.39165228294545462</v>
      </c>
      <c r="X207" s="83">
        <f>BS207+SCENARIU!$C$32+'AJUSTĂRI PE PRODUS'!$I$46</f>
        <v>16.5</v>
      </c>
      <c r="Y207" s="83">
        <f>BT207+SCENARIU!$C$32+'AJUSTĂRI PE PRODUS'!$J$46</f>
        <v>16.5</v>
      </c>
      <c r="Z207" s="84">
        <f>IF(X207="",0,X207/(1+$E207/100)*$F207)</f>
        <v>14433.783783783781</v>
      </c>
      <c r="AA207" s="84">
        <f>IF(Y207="",0,Y207/(1+$E207/100)*$G207)</f>
        <v>12858.108108108107</v>
      </c>
      <c r="AB207" s="84">
        <f>Z207+AA207</f>
        <v>27291.891891891886</v>
      </c>
      <c r="AC207" s="85">
        <f>IF(OR(AB207=0,$L207=0),"",$L207/AB207)</f>
        <v>0.39165228294545468</v>
      </c>
      <c r="AD207" s="85">
        <f>IF(OR(Z207=0,$J207=0),"",$J207/Z207)</f>
        <v>0.39165228294545457</v>
      </c>
      <c r="AE207" s="85">
        <f>IF(OR(AA207=0,$K207=0),"",$K207/AA207)</f>
        <v>0.39165228294545462</v>
      </c>
      <c r="AF207" s="83">
        <f>BU207+SCENARIU!$C$32+SCENARIU!$D$32+'AJUSTĂRI PE PRODUS'!$I$46+'AJUSTĂRI PE PRODUS'!$N$46</f>
        <v>16.5</v>
      </c>
      <c r="AG207" s="83">
        <f>BV207+SCENARIU!$C$32+SCENARIU!$D$32+'AJUSTĂRI PE PRODUS'!$J$46+'AJUSTĂRI PE PRODUS'!$O$46</f>
        <v>16.5</v>
      </c>
      <c r="AH207" s="86">
        <f>IF(AF207="",0,AF207/(1+$E207/100)*$F207)</f>
        <v>14433.783783783781</v>
      </c>
      <c r="AI207" s="86">
        <f>IF(AG207="",0,AG207/(1+$E207/100)*$G207)</f>
        <v>12858.108108108107</v>
      </c>
      <c r="AJ207" s="86">
        <f>AH207+AI207</f>
        <v>27291.891891891886</v>
      </c>
      <c r="AK207" s="87">
        <f>IF(OR(AJ207=0,$L207=0),"",$L207/AJ207)</f>
        <v>0.39165228294545468</v>
      </c>
      <c r="AL207" s="87">
        <f>IF(OR(AH207=0,$J207=0),"",$J207/AH207)</f>
        <v>0.39165228294545457</v>
      </c>
      <c r="AM207" s="87">
        <f>IF(OR(AI207=0,$K207=0),"",$K207/AI207)</f>
        <v>0.39165228294545462</v>
      </c>
      <c r="AN207" s="83">
        <f>BW207+SCENARIU!$C$32+SCENARIU!$D$32+SCENARIU!$E$32+'AJUSTĂRI PE PRODUS'!$I$46+'AJUSTĂRI PE PRODUS'!$N$46+'AJUSTĂRI PE PRODUS'!$S$46</f>
        <v>16.5</v>
      </c>
      <c r="AO207" s="83">
        <f>BX207+SCENARIU!$C$32+SCENARIU!$D$32+SCENARIU!$E$32+'AJUSTĂRI PE PRODUS'!$J$46+'AJUSTĂRI PE PRODUS'!$O$46+'AJUSTĂRI PE PRODUS'!$T$46</f>
        <v>16.5</v>
      </c>
      <c r="AP207" s="88">
        <f>IF(AN207="",0,AN207/(1+$E207/100)*$F207)</f>
        <v>14433.783783783781</v>
      </c>
      <c r="AQ207" s="88">
        <f>IF(AO207="",0,AO207/(1+$E207/100)*$G207)</f>
        <v>12858.108108108107</v>
      </c>
      <c r="AR207" s="88">
        <f>AP207+AQ207</f>
        <v>27291.891891891886</v>
      </c>
      <c r="AS207" s="89">
        <f>IF(OR(AR207=0,$L207=0),"",$L207/AR207)</f>
        <v>0.39165228294545468</v>
      </c>
      <c r="AT207" s="89">
        <f>IF(OR(AP207=0,$J207=0),"",$J207/AP207)</f>
        <v>0.39165228294545457</v>
      </c>
      <c r="AU207" s="89">
        <f>IF(OR(AQ207=0,$K207=0),"",$K207/AQ207)</f>
        <v>0.39165228294545462</v>
      </c>
      <c r="AV207" s="83">
        <f>BY207+SCENARIU!$C$32+SCENARIU!$D$32+SCENARIU!$E$32+SCENARIU!$F$32+'AJUSTĂRI PE PRODUS'!$I$46+'AJUSTĂRI PE PRODUS'!$N$46+'AJUSTĂRI PE PRODUS'!$S$46+'AJUSTĂRI PE PRODUS'!$X$46</f>
        <v>16.5</v>
      </c>
      <c r="AW207" s="83">
        <f>BZ207+SCENARIU!$C$32+SCENARIU!$D$32+SCENARIU!$E$32+SCENARIU!$F$32+'AJUSTĂRI PE PRODUS'!$J$46+'AJUSTĂRI PE PRODUS'!$O$46+'AJUSTĂRI PE PRODUS'!$T$46+'AJUSTĂRI PE PRODUS'!$Y$46</f>
        <v>16.5</v>
      </c>
      <c r="AX207" s="90">
        <f>IF(AV207="",0,AV207/(1+$E207/100)*$F207)</f>
        <v>14433.783783783781</v>
      </c>
      <c r="AY207" s="90">
        <f>IF(AW207="",0,AW207/(1+$E207/100)*$G207)</f>
        <v>12858.108108108107</v>
      </c>
      <c r="AZ207" s="90">
        <f>AX207+AY207</f>
        <v>27291.891891891886</v>
      </c>
      <c r="BA207" s="91">
        <f>IF(OR(AZ207=0,$L207=0),"",$L207/AZ207)</f>
        <v>0.39165228294545468</v>
      </c>
      <c r="BB207" s="91">
        <f>IF(OR(AX207=0,$J207=0),"",$J207/AX207)</f>
        <v>0.39165228294545457</v>
      </c>
      <c r="BC207" s="91">
        <f>IF(OR(AY207=0,$K207=0),"",$K207/AY207)</f>
        <v>0.39165228294545462</v>
      </c>
      <c r="BD207" s="92">
        <f>IF(OR($N207="",P207=""),"",P207-$N207)</f>
        <v>0</v>
      </c>
      <c r="BE207" s="92">
        <f>IF(OR(P207="",X207=""),"",X207-P207)</f>
        <v>0</v>
      </c>
      <c r="BF207" s="92">
        <f>IF(OR(X207="",AF207=""),"",AF207-X207)</f>
        <v>0</v>
      </c>
      <c r="BG207" s="92">
        <f>IF(OR(AF207="",AN207=""),"",AN207-AF207)</f>
        <v>0</v>
      </c>
      <c r="BH207" s="92">
        <f>IF(OR(AN207="",AV207=""),"",AV207-AN207)</f>
        <v>0</v>
      </c>
      <c r="BI207" s="93">
        <f>IF(OR($N207="",AV207=""),"",AV207-$N207)</f>
        <v>0</v>
      </c>
      <c r="BJ207" s="92">
        <f>IF(OR($O207="",Q207=""),"",Q207-$O207)</f>
        <v>0</v>
      </c>
      <c r="BK207" s="92">
        <f>IF(OR(Q207="",Y207=""),"",Y207-Q207)</f>
        <v>0</v>
      </c>
      <c r="BL207" s="92">
        <f>IF(OR(Y207="",AG207=""),"",AG207-Y207)</f>
        <v>0</v>
      </c>
      <c r="BM207" s="92">
        <f>IF(OR(AG207="",AO207=""),"",AO207-AG207)</f>
        <v>0</v>
      </c>
      <c r="BN207" s="92">
        <f>IF(OR(AO207="",AW207=""),"",AW207-AO207)</f>
        <v>0</v>
      </c>
      <c r="BO207" s="93">
        <f>IF(OR($O207="",AW207=""),"",AW207-$O207)</f>
        <v>0</v>
      </c>
      <c r="BQ207">
        <v>16.5</v>
      </c>
      <c r="BR207">
        <v>16.5</v>
      </c>
      <c r="BS207">
        <v>16.5</v>
      </c>
      <c r="BT207">
        <v>16.5</v>
      </c>
      <c r="BU207">
        <v>16.5</v>
      </c>
      <c r="BV207">
        <v>16.5</v>
      </c>
      <c r="BW207">
        <v>16.5</v>
      </c>
      <c r="BX207">
        <v>16.5</v>
      </c>
      <c r="BY207">
        <v>16.5</v>
      </c>
      <c r="BZ207">
        <v>16.5</v>
      </c>
    </row>
    <row r="208" spans="1:78" x14ac:dyDescent="0.2">
      <c r="A208" s="26">
        <v>2</v>
      </c>
      <c r="B208" s="26" t="s">
        <v>220</v>
      </c>
      <c r="C208" s="26" t="s">
        <v>107</v>
      </c>
      <c r="D208" s="74">
        <v>1</v>
      </c>
      <c r="E208" s="75">
        <v>11</v>
      </c>
      <c r="F208" s="76">
        <v>355</v>
      </c>
      <c r="G208" s="76">
        <v>562</v>
      </c>
      <c r="H208" s="77">
        <f>SUMIFS(RETETAR!$I$4:$I$967,RETETAR!$A$4:$A$967,$M208,RETETAR!$C$4:$C$967,"AMBELE")+SUMIFS(RETETAR!$I$4:$I$967,RETETAR!$A$4:$A$967,$M208,RETETAR!$C$4:$C$967,"INSTORE")</f>
        <v>3.4865000000000004</v>
      </c>
      <c r="I208" s="77">
        <f>SUMIFS(RETETAR!$I$4:$I$967,RETETAR!$A$4:$A$967,$M208,RETETAR!$C$4:$C$967,"AMBELE")+SUMIFS(RETETAR!$I$4:$I$967,RETETAR!$A$4:$A$967,$M208,RETETAR!$C$4:$C$967,"DELIVERY")</f>
        <v>3.4865000000000004</v>
      </c>
      <c r="J208" s="78">
        <f>$H208*$F208</f>
        <v>1237.7075000000002</v>
      </c>
      <c r="K208" s="78">
        <f>$I208*$G208</f>
        <v>1959.4130000000002</v>
      </c>
      <c r="L208" s="78">
        <f>$J208+$K208</f>
        <v>3197.1205000000004</v>
      </c>
      <c r="M208" t="s">
        <v>220</v>
      </c>
      <c r="N208" s="79">
        <v>10</v>
      </c>
      <c r="O208" s="79">
        <v>10</v>
      </c>
      <c r="P208" s="80">
        <v>10.25</v>
      </c>
      <c r="Q208" s="80">
        <v>10.25</v>
      </c>
      <c r="R208" s="81">
        <f>IF(P208="",0,P208/(1+$E208/100)*$F208)</f>
        <v>3278.1531531531527</v>
      </c>
      <c r="S208" s="81">
        <f>IF(Q208="",0,Q208/(1+$E208/100)*$G208)</f>
        <v>5189.6396396396385</v>
      </c>
      <c r="T208" s="81">
        <f>R208+S208</f>
        <v>8467.7927927927922</v>
      </c>
      <c r="U208" s="82">
        <f>IF(OR(T208=0,$L208=0),"",$L208/T208)</f>
        <v>0.37756243902439035</v>
      </c>
      <c r="V208" s="82">
        <f>IF(OR(R208=0,$J208=0),"",$J208/R208)</f>
        <v>0.37756243902439035</v>
      </c>
      <c r="W208" s="82">
        <f>IF(OR(S208=0,$K208=0),"",$K208/S208)</f>
        <v>0.37756243902439035</v>
      </c>
      <c r="X208" s="83">
        <f>BS208+SCENARIU!$C$32+'AJUSTĂRI PE PRODUS'!$I$82</f>
        <v>10.5</v>
      </c>
      <c r="Y208" s="83">
        <f>BT208+SCENARIU!$C$32+'AJUSTĂRI PE PRODUS'!$J$82</f>
        <v>10.5</v>
      </c>
      <c r="Z208" s="84">
        <f>IF(X208="",0,X208/(1+$E208/100)*$F208)</f>
        <v>3358.1081081081074</v>
      </c>
      <c r="AA208" s="84">
        <f>IF(Y208="",0,Y208/(1+$E208/100)*$G208)</f>
        <v>5316.2162162162149</v>
      </c>
      <c r="AB208" s="84">
        <f>Z208+AA208</f>
        <v>8674.3243243243232</v>
      </c>
      <c r="AC208" s="85">
        <f>IF(OR(AB208=0,$L208=0),"",$L208/AB208)</f>
        <v>0.36857285714285726</v>
      </c>
      <c r="AD208" s="85">
        <f>IF(OR(Z208=0,$J208=0),"",$J208/Z208)</f>
        <v>0.36857285714285726</v>
      </c>
      <c r="AE208" s="85">
        <f>IF(OR(AA208=0,$K208=0),"",$K208/AA208)</f>
        <v>0.36857285714285726</v>
      </c>
      <c r="AF208" s="83">
        <f>BU208+SCENARIU!$C$32+SCENARIU!$D$32+'AJUSTĂRI PE PRODUS'!$I$82+'AJUSTĂRI PE PRODUS'!$N$82</f>
        <v>10.5</v>
      </c>
      <c r="AG208" s="83">
        <f>BV208+SCENARIU!$C$32+SCENARIU!$D$32+'AJUSTĂRI PE PRODUS'!$J$82+'AJUSTĂRI PE PRODUS'!$O$82</f>
        <v>10.5</v>
      </c>
      <c r="AH208" s="86">
        <f>IF(AF208="",0,AF208/(1+$E208/100)*$F208)</f>
        <v>3358.1081081081074</v>
      </c>
      <c r="AI208" s="86">
        <f>IF(AG208="",0,AG208/(1+$E208/100)*$G208)</f>
        <v>5316.2162162162149</v>
      </c>
      <c r="AJ208" s="86">
        <f>AH208+AI208</f>
        <v>8674.3243243243232</v>
      </c>
      <c r="AK208" s="87">
        <f>IF(OR(AJ208=0,$L208=0),"",$L208/AJ208)</f>
        <v>0.36857285714285726</v>
      </c>
      <c r="AL208" s="87">
        <f>IF(OR(AH208=0,$J208=0),"",$J208/AH208)</f>
        <v>0.36857285714285726</v>
      </c>
      <c r="AM208" s="87">
        <f>IF(OR(AI208=0,$K208=0),"",$K208/AI208)</f>
        <v>0.36857285714285726</v>
      </c>
      <c r="AN208" s="83">
        <f>BW208+SCENARIU!$C$32+SCENARIU!$D$32+SCENARIU!$E$32+'AJUSTĂRI PE PRODUS'!$I$82+'AJUSTĂRI PE PRODUS'!$N$82+'AJUSTĂRI PE PRODUS'!$S$82</f>
        <v>10.5</v>
      </c>
      <c r="AO208" s="83">
        <f>BX208+SCENARIU!$C$32+SCENARIU!$D$32+SCENARIU!$E$32+'AJUSTĂRI PE PRODUS'!$J$82+'AJUSTĂRI PE PRODUS'!$O$82+'AJUSTĂRI PE PRODUS'!$T$82</f>
        <v>10.5</v>
      </c>
      <c r="AP208" s="88">
        <f>IF(AN208="",0,AN208/(1+$E208/100)*$F208)</f>
        <v>3358.1081081081074</v>
      </c>
      <c r="AQ208" s="88">
        <f>IF(AO208="",0,AO208/(1+$E208/100)*$G208)</f>
        <v>5316.2162162162149</v>
      </c>
      <c r="AR208" s="88">
        <f>AP208+AQ208</f>
        <v>8674.3243243243232</v>
      </c>
      <c r="AS208" s="89">
        <f>IF(OR(AR208=0,$L208=0),"",$L208/AR208)</f>
        <v>0.36857285714285726</v>
      </c>
      <c r="AT208" s="89">
        <f>IF(OR(AP208=0,$J208=0),"",$J208/AP208)</f>
        <v>0.36857285714285726</v>
      </c>
      <c r="AU208" s="89">
        <f>IF(OR(AQ208=0,$K208=0),"",$K208/AQ208)</f>
        <v>0.36857285714285726</v>
      </c>
      <c r="AV208" s="83">
        <f>BY208+SCENARIU!$C$32+SCENARIU!$D$32+SCENARIU!$E$32+SCENARIU!$F$32+'AJUSTĂRI PE PRODUS'!$I$82+'AJUSTĂRI PE PRODUS'!$N$82+'AJUSTĂRI PE PRODUS'!$S$82+'AJUSTĂRI PE PRODUS'!$X$82</f>
        <v>10.99</v>
      </c>
      <c r="AW208" s="83">
        <f>BZ208+SCENARIU!$C$32+SCENARIU!$D$32+SCENARIU!$E$32+SCENARIU!$F$32+'AJUSTĂRI PE PRODUS'!$J$82+'AJUSTĂRI PE PRODUS'!$O$82+'AJUSTĂRI PE PRODUS'!$T$82+'AJUSTĂRI PE PRODUS'!$Y$82</f>
        <v>10.99</v>
      </c>
      <c r="AX208" s="90">
        <f>IF(AV208="",0,AV208/(1+$E208/100)*$F208)</f>
        <v>3514.8198198198197</v>
      </c>
      <c r="AY208" s="90">
        <f>IF(AW208="",0,AW208/(1+$E208/100)*$G208)</f>
        <v>5564.3063063063064</v>
      </c>
      <c r="AZ208" s="90">
        <f>AX208+AY208</f>
        <v>9079.1261261261261</v>
      </c>
      <c r="BA208" s="91">
        <f>IF(OR(AZ208=0,$L208=0),"",$L208/AZ208)</f>
        <v>0.35213967242948141</v>
      </c>
      <c r="BB208" s="91">
        <f>IF(OR(AX208=0,$J208=0),"",$J208/AX208)</f>
        <v>0.35213967242948141</v>
      </c>
      <c r="BC208" s="91">
        <f>IF(OR(AY208=0,$K208=0),"",$K208/AY208)</f>
        <v>0.35213967242948141</v>
      </c>
      <c r="BD208" s="92">
        <f>IF(OR($N208="",P208=""),"",P208-$N208)</f>
        <v>0.25</v>
      </c>
      <c r="BE208" s="92">
        <f>IF(OR(P208="",X208=""),"",X208-P208)</f>
        <v>0.25</v>
      </c>
      <c r="BF208" s="92">
        <f>IF(OR(X208="",AF208=""),"",AF208-X208)</f>
        <v>0</v>
      </c>
      <c r="BG208" s="92">
        <f>IF(OR(AF208="",AN208=""),"",AN208-AF208)</f>
        <v>0</v>
      </c>
      <c r="BH208" s="92">
        <f>IF(OR(AN208="",AV208=""),"",AV208-AN208)</f>
        <v>0.49000000000000021</v>
      </c>
      <c r="BI208" s="93">
        <f>IF(OR($N208="",AV208=""),"",AV208-$N208)</f>
        <v>0.99000000000000021</v>
      </c>
      <c r="BJ208" s="92">
        <f>IF(OR($O208="",Q208=""),"",Q208-$O208)</f>
        <v>0.25</v>
      </c>
      <c r="BK208" s="92">
        <f>IF(OR(Q208="",Y208=""),"",Y208-Q208)</f>
        <v>0.25</v>
      </c>
      <c r="BL208" s="92">
        <f>IF(OR(Y208="",AG208=""),"",AG208-Y208)</f>
        <v>0</v>
      </c>
      <c r="BM208" s="92">
        <f>IF(OR(AG208="",AO208=""),"",AO208-AG208)</f>
        <v>0</v>
      </c>
      <c r="BN208" s="92">
        <f>IF(OR(AO208="",AW208=""),"",AW208-AO208)</f>
        <v>0.49000000000000021</v>
      </c>
      <c r="BO208" s="93">
        <f>IF(OR($O208="",AW208=""),"",AW208-$O208)</f>
        <v>0.99000000000000021</v>
      </c>
      <c r="BQ208">
        <v>10.25</v>
      </c>
      <c r="BR208">
        <v>10.25</v>
      </c>
      <c r="BS208">
        <v>10.5</v>
      </c>
      <c r="BT208">
        <v>10.5</v>
      </c>
      <c r="BU208">
        <v>10.5</v>
      </c>
      <c r="BV208">
        <v>10.5</v>
      </c>
      <c r="BW208">
        <v>10.5</v>
      </c>
      <c r="BX208">
        <v>10.5</v>
      </c>
      <c r="BY208">
        <v>10.99</v>
      </c>
      <c r="BZ208">
        <v>10.99</v>
      </c>
    </row>
    <row r="209" spans="1:78" x14ac:dyDescent="0.2">
      <c r="A209" s="94" t="s">
        <v>461</v>
      </c>
      <c r="B209" s="95"/>
      <c r="C209" s="95"/>
      <c r="D209" s="95"/>
      <c r="E209" s="95"/>
      <c r="F209" s="95"/>
      <c r="G209" s="95"/>
      <c r="H209" s="95"/>
      <c r="I209" s="95"/>
      <c r="J209" s="95"/>
      <c r="K209" s="95"/>
      <c r="L209" s="96">
        <f>SUM(L207:L208)</f>
        <v>13886.052265360002</v>
      </c>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5"/>
      <c r="AS209" s="95"/>
      <c r="AT209" s="95"/>
      <c r="AU209" s="95"/>
      <c r="AV209" s="95"/>
      <c r="AW209" s="95"/>
      <c r="AX209" s="95"/>
      <c r="AY209" s="95"/>
      <c r="AZ209" s="95"/>
      <c r="BA209" s="95"/>
      <c r="BB209" s="95"/>
      <c r="BC209" s="95"/>
      <c r="BD209" s="95"/>
      <c r="BE209" s="95"/>
      <c r="BF209" s="95"/>
      <c r="BG209" s="95"/>
      <c r="BH209" s="95"/>
      <c r="BI209" s="95"/>
      <c r="BJ209" s="95"/>
      <c r="BK209" s="95"/>
      <c r="BL209" s="95"/>
      <c r="BM209" s="95"/>
      <c r="BN209" s="95"/>
      <c r="BO209" s="95"/>
    </row>
    <row r="210" spans="1:78" x14ac:dyDescent="0.2">
      <c r="A210" s="72" t="s">
        <v>108</v>
      </c>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row>
    <row r="211" spans="1:78" x14ac:dyDescent="0.2">
      <c r="A211" s="26">
        <v>1</v>
      </c>
      <c r="B211" s="26" t="s">
        <v>228</v>
      </c>
      <c r="C211" s="26" t="s">
        <v>108</v>
      </c>
      <c r="D211" s="74">
        <v>1</v>
      </c>
      <c r="E211" s="75">
        <v>11</v>
      </c>
      <c r="F211" s="76">
        <v>182</v>
      </c>
      <c r="G211" s="76">
        <v>233</v>
      </c>
      <c r="H211" s="77">
        <f>SUMIFS(RETETAR!$I$4:$I$967,RETETAR!$A$4:$A$967,$M211,RETETAR!$C$4:$C$967,"AMBELE")+SUMIFS(RETETAR!$I$4:$I$967,RETETAR!$A$4:$A$967,$M211,RETETAR!$C$4:$C$967,"INSTORE")</f>
        <v>6.5134083999999994</v>
      </c>
      <c r="I211" s="77">
        <f>SUMIFS(RETETAR!$I$4:$I$967,RETETAR!$A$4:$A$967,$M211,RETETAR!$C$4:$C$967,"AMBELE")+SUMIFS(RETETAR!$I$4:$I$967,RETETAR!$A$4:$A$967,$M211,RETETAR!$C$4:$C$967,"DELIVERY")</f>
        <v>6.5134083999999994</v>
      </c>
      <c r="J211" s="78">
        <f>$H211*$F211</f>
        <v>1185.4403287999999</v>
      </c>
      <c r="K211" s="78">
        <f>$I211*$G211</f>
        <v>1517.6241571999999</v>
      </c>
      <c r="L211" s="78">
        <f>$J211+$K211</f>
        <v>2703.0644859999998</v>
      </c>
      <c r="M211" t="s">
        <v>228</v>
      </c>
      <c r="N211" s="79">
        <v>17</v>
      </c>
      <c r="O211" s="79">
        <v>20</v>
      </c>
      <c r="P211" s="80">
        <v>17</v>
      </c>
      <c r="Q211" s="80">
        <v>20</v>
      </c>
      <c r="R211" s="81">
        <f>IF(P211="",0,P211/(1+$E211/100)*$F211)</f>
        <v>2787.3873873873872</v>
      </c>
      <c r="S211" s="81">
        <f>IF(Q211="",0,Q211/(1+$E211/100)*$G211)</f>
        <v>4198.1981981981971</v>
      </c>
      <c r="T211" s="81">
        <f>R211+S211</f>
        <v>6985.5855855855843</v>
      </c>
      <c r="U211" s="82">
        <f>IF(OR(T211=0,$L211=0),"",$L211/T211)</f>
        <v>0.38694887534949707</v>
      </c>
      <c r="V211" s="82">
        <f>IF(OR(R211=0,$J211=0),"",$J211/R211)</f>
        <v>0.42528725435294118</v>
      </c>
      <c r="W211" s="82">
        <f>IF(OR(S211=0,$K211=0),"",$K211/S211)</f>
        <v>0.36149416620000008</v>
      </c>
      <c r="X211" s="83">
        <f>BS211+SCENARIU!$C$33+'AJUSTĂRI PE PRODUS'!$I$80</f>
        <v>17</v>
      </c>
      <c r="Y211" s="83">
        <f>BT211+SCENARIU!$C$33+'AJUSTĂRI PE PRODUS'!$J$80</f>
        <v>20</v>
      </c>
      <c r="Z211" s="84">
        <f>IF(X211="",0,X211/(1+$E211/100)*$F211)</f>
        <v>2787.3873873873872</v>
      </c>
      <c r="AA211" s="84">
        <f>IF(Y211="",0,Y211/(1+$E211/100)*$G211)</f>
        <v>4198.1981981981971</v>
      </c>
      <c r="AB211" s="84">
        <f>Z211+AA211</f>
        <v>6985.5855855855843</v>
      </c>
      <c r="AC211" s="85">
        <f>IF(OR(AB211=0,$L211=0),"",$L211/AB211)</f>
        <v>0.38694887534949707</v>
      </c>
      <c r="AD211" s="85">
        <f>IF(OR(Z211=0,$J211=0),"",$J211/Z211)</f>
        <v>0.42528725435294118</v>
      </c>
      <c r="AE211" s="85">
        <f>IF(OR(AA211=0,$K211=0),"",$K211/AA211)</f>
        <v>0.36149416620000008</v>
      </c>
      <c r="AF211" s="83">
        <f>BU211+SCENARIU!$C$33+SCENARIU!$D$33+'AJUSTĂRI PE PRODUS'!$I$80+'AJUSTĂRI PE PRODUS'!$N$80</f>
        <v>17</v>
      </c>
      <c r="AG211" s="83">
        <f>BV211+SCENARIU!$C$33+SCENARIU!$D$33+'AJUSTĂRI PE PRODUS'!$J$80+'AJUSTĂRI PE PRODUS'!$O$80</f>
        <v>20</v>
      </c>
      <c r="AH211" s="86">
        <f>IF(AF211="",0,AF211/(1+$E211/100)*$F211)</f>
        <v>2787.3873873873872</v>
      </c>
      <c r="AI211" s="86">
        <f>IF(AG211="",0,AG211/(1+$E211/100)*$G211)</f>
        <v>4198.1981981981971</v>
      </c>
      <c r="AJ211" s="86">
        <f>AH211+AI211</f>
        <v>6985.5855855855843</v>
      </c>
      <c r="AK211" s="87">
        <f>IF(OR(AJ211=0,$L211=0),"",$L211/AJ211)</f>
        <v>0.38694887534949707</v>
      </c>
      <c r="AL211" s="87">
        <f>IF(OR(AH211=0,$J211=0),"",$J211/AH211)</f>
        <v>0.42528725435294118</v>
      </c>
      <c r="AM211" s="87">
        <f>IF(OR(AI211=0,$K211=0),"",$K211/AI211)</f>
        <v>0.36149416620000008</v>
      </c>
      <c r="AN211" s="83">
        <f>BW211+SCENARIU!$C$33+SCENARIU!$D$33+SCENARIU!$E$33+'AJUSTĂRI PE PRODUS'!$I$80+'AJUSTĂRI PE PRODUS'!$N$80+'AJUSTĂRI PE PRODUS'!$S$80</f>
        <v>17</v>
      </c>
      <c r="AO211" s="83">
        <f>BX211+SCENARIU!$C$33+SCENARIU!$D$33+SCENARIU!$E$33+'AJUSTĂRI PE PRODUS'!$J$80+'AJUSTĂRI PE PRODUS'!$O$80+'AJUSTĂRI PE PRODUS'!$T$80</f>
        <v>20</v>
      </c>
      <c r="AP211" s="88">
        <f>IF(AN211="",0,AN211/(1+$E211/100)*$F211)</f>
        <v>2787.3873873873872</v>
      </c>
      <c r="AQ211" s="88">
        <f>IF(AO211="",0,AO211/(1+$E211/100)*$G211)</f>
        <v>4198.1981981981971</v>
      </c>
      <c r="AR211" s="88">
        <f>AP211+AQ211</f>
        <v>6985.5855855855843</v>
      </c>
      <c r="AS211" s="89">
        <f>IF(OR(AR211=0,$L211=0),"",$L211/AR211)</f>
        <v>0.38694887534949707</v>
      </c>
      <c r="AT211" s="89">
        <f>IF(OR(AP211=0,$J211=0),"",$J211/AP211)</f>
        <v>0.42528725435294118</v>
      </c>
      <c r="AU211" s="89">
        <f>IF(OR(AQ211=0,$K211=0),"",$K211/AQ211)</f>
        <v>0.36149416620000008</v>
      </c>
      <c r="AV211" s="83">
        <f>BY211+SCENARIU!$C$33+SCENARIU!$D$33+SCENARIU!$E$33+SCENARIU!$F$33+'AJUSTĂRI PE PRODUS'!$I$80+'AJUSTĂRI PE PRODUS'!$N$80+'AJUSTĂRI PE PRODUS'!$S$80+'AJUSTĂRI PE PRODUS'!$X$80</f>
        <v>17</v>
      </c>
      <c r="AW211" s="83">
        <f>BZ211+SCENARIU!$C$33+SCENARIU!$D$33+SCENARIU!$E$33+SCENARIU!$F$33+'AJUSTĂRI PE PRODUS'!$J$80+'AJUSTĂRI PE PRODUS'!$O$80+'AJUSTĂRI PE PRODUS'!$T$80+'AJUSTĂRI PE PRODUS'!$Y$80</f>
        <v>20</v>
      </c>
      <c r="AX211" s="90">
        <f>IF(AV211="",0,AV211/(1+$E211/100)*$F211)</f>
        <v>2787.3873873873872</v>
      </c>
      <c r="AY211" s="90">
        <f>IF(AW211="",0,AW211/(1+$E211/100)*$G211)</f>
        <v>4198.1981981981971</v>
      </c>
      <c r="AZ211" s="90">
        <f>AX211+AY211</f>
        <v>6985.5855855855843</v>
      </c>
      <c r="BA211" s="91">
        <f>IF(OR(AZ211=0,$L211=0),"",$L211/AZ211)</f>
        <v>0.38694887534949707</v>
      </c>
      <c r="BB211" s="91">
        <f>IF(OR(AX211=0,$J211=0),"",$J211/AX211)</f>
        <v>0.42528725435294118</v>
      </c>
      <c r="BC211" s="91">
        <f>IF(OR(AY211=0,$K211=0),"",$K211/AY211)</f>
        <v>0.36149416620000008</v>
      </c>
      <c r="BD211" s="92">
        <f>IF(OR($N211="",P211=""),"",P211-$N211)</f>
        <v>0</v>
      </c>
      <c r="BE211" s="92">
        <f>IF(OR(P211="",X211=""),"",X211-P211)</f>
        <v>0</v>
      </c>
      <c r="BF211" s="92">
        <f>IF(OR(X211="",AF211=""),"",AF211-X211)</f>
        <v>0</v>
      </c>
      <c r="BG211" s="92">
        <f>IF(OR(AF211="",AN211=""),"",AN211-AF211)</f>
        <v>0</v>
      </c>
      <c r="BH211" s="92">
        <f>IF(OR(AN211="",AV211=""),"",AV211-AN211)</f>
        <v>0</v>
      </c>
      <c r="BI211" s="93">
        <f>IF(OR($N211="",AV211=""),"",AV211-$N211)</f>
        <v>0</v>
      </c>
      <c r="BJ211" s="92">
        <f>IF(OR($O211="",Q211=""),"",Q211-$O211)</f>
        <v>0</v>
      </c>
      <c r="BK211" s="92">
        <f>IF(OR(Q211="",Y211=""),"",Y211-Q211)</f>
        <v>0</v>
      </c>
      <c r="BL211" s="92">
        <f>IF(OR(Y211="",AG211=""),"",AG211-Y211)</f>
        <v>0</v>
      </c>
      <c r="BM211" s="92">
        <f>IF(OR(AG211="",AO211=""),"",AO211-AG211)</f>
        <v>0</v>
      </c>
      <c r="BN211" s="92">
        <f>IF(OR(AO211="",AW211=""),"",AW211-AO211)</f>
        <v>0</v>
      </c>
      <c r="BO211" s="93">
        <f>IF(OR($O211="",AW211=""),"",AW211-$O211)</f>
        <v>0</v>
      </c>
      <c r="BQ211">
        <v>17</v>
      </c>
      <c r="BR211">
        <v>20</v>
      </c>
      <c r="BS211">
        <v>17</v>
      </c>
      <c r="BT211">
        <v>20</v>
      </c>
      <c r="BU211">
        <v>17</v>
      </c>
      <c r="BV211">
        <v>20</v>
      </c>
      <c r="BW211">
        <v>17</v>
      </c>
      <c r="BX211">
        <v>20</v>
      </c>
      <c r="BY211">
        <v>17</v>
      </c>
      <c r="BZ211">
        <v>20</v>
      </c>
    </row>
    <row r="212" spans="1:78" x14ac:dyDescent="0.2">
      <c r="A212" s="26">
        <v>2</v>
      </c>
      <c r="B212" s="26" t="s">
        <v>251</v>
      </c>
      <c r="C212" s="26" t="s">
        <v>108</v>
      </c>
      <c r="D212" s="74">
        <v>1</v>
      </c>
      <c r="E212" s="75">
        <v>11</v>
      </c>
      <c r="F212" s="76">
        <v>53</v>
      </c>
      <c r="G212" s="76">
        <v>147</v>
      </c>
      <c r="H212" s="77">
        <f>SUMIFS(RETETAR!$I$4:$I$967,RETETAR!$A$4:$A$967,$M212,RETETAR!$C$4:$C$967,"AMBELE")+SUMIFS(RETETAR!$I$4:$I$967,RETETAR!$A$4:$A$967,$M212,RETETAR!$C$4:$C$967,"INSTORE")</f>
        <v>6.9208649400000004</v>
      </c>
      <c r="I212" s="77">
        <f>SUMIFS(RETETAR!$I$4:$I$967,RETETAR!$A$4:$A$967,$M212,RETETAR!$C$4:$C$967,"AMBELE")+SUMIFS(RETETAR!$I$4:$I$967,RETETAR!$A$4:$A$967,$M212,RETETAR!$C$4:$C$967,"DELIVERY")</f>
        <v>6.9208649400000004</v>
      </c>
      <c r="J212" s="78">
        <f>$H212*$F212</f>
        <v>366.80584182000001</v>
      </c>
      <c r="K212" s="78">
        <f>$I212*$G212</f>
        <v>1017.3671461800001</v>
      </c>
      <c r="L212" s="78">
        <f>$J212+$K212</f>
        <v>1384.172988</v>
      </c>
      <c r="M212" t="s">
        <v>251</v>
      </c>
      <c r="N212" s="79">
        <v>17</v>
      </c>
      <c r="O212" s="79">
        <v>20</v>
      </c>
      <c r="P212" s="80">
        <v>17</v>
      </c>
      <c r="Q212" s="80">
        <v>20</v>
      </c>
      <c r="R212" s="81">
        <f>IF(P212="",0,P212/(1+$E212/100)*$F212)</f>
        <v>811.71171171171159</v>
      </c>
      <c r="S212" s="81">
        <f>IF(Q212="",0,Q212/(1+$E212/100)*$G212)</f>
        <v>2648.6486486486483</v>
      </c>
      <c r="T212" s="81">
        <f>R212+S212</f>
        <v>3460.3603603603597</v>
      </c>
      <c r="U212" s="82">
        <f>IF(OR(T212=0,$L212=0),"",$L212/T212)</f>
        <v>0.40000833550637865</v>
      </c>
      <c r="V212" s="82">
        <f>IF(OR(R212=0,$J212=0),"",$J212/R212)</f>
        <v>0.4518917696117648</v>
      </c>
      <c r="W212" s="82">
        <f>IF(OR(S212=0,$K212=0),"",$K212/S212)</f>
        <v>0.38410800417000007</v>
      </c>
      <c r="X212" s="83">
        <f>BS212+SCENARIU!$C$33+'AJUSTĂRI PE PRODUS'!$I$103</f>
        <v>17</v>
      </c>
      <c r="Y212" s="83">
        <f>BT212+SCENARIU!$C$33+'AJUSTĂRI PE PRODUS'!$J$103</f>
        <v>20</v>
      </c>
      <c r="Z212" s="84">
        <f>IF(X212="",0,X212/(1+$E212/100)*$F212)</f>
        <v>811.71171171171159</v>
      </c>
      <c r="AA212" s="84">
        <f>IF(Y212="",0,Y212/(1+$E212/100)*$G212)</f>
        <v>2648.6486486486483</v>
      </c>
      <c r="AB212" s="84">
        <f>Z212+AA212</f>
        <v>3460.3603603603597</v>
      </c>
      <c r="AC212" s="85">
        <f>IF(OR(AB212=0,$L212=0),"",$L212/AB212)</f>
        <v>0.40000833550637865</v>
      </c>
      <c r="AD212" s="85">
        <f>IF(OR(Z212=0,$J212=0),"",$J212/Z212)</f>
        <v>0.4518917696117648</v>
      </c>
      <c r="AE212" s="85">
        <f>IF(OR(AA212=0,$K212=0),"",$K212/AA212)</f>
        <v>0.38410800417000007</v>
      </c>
      <c r="AF212" s="83">
        <f>BU212+SCENARIU!$C$33+SCENARIU!$D$33+'AJUSTĂRI PE PRODUS'!$I$103+'AJUSTĂRI PE PRODUS'!$N$103</f>
        <v>17</v>
      </c>
      <c r="AG212" s="83">
        <f>BV212+SCENARIU!$C$33+SCENARIU!$D$33+'AJUSTĂRI PE PRODUS'!$J$103+'AJUSTĂRI PE PRODUS'!$O$103</f>
        <v>20</v>
      </c>
      <c r="AH212" s="86">
        <f>IF(AF212="",0,AF212/(1+$E212/100)*$F212)</f>
        <v>811.71171171171159</v>
      </c>
      <c r="AI212" s="86">
        <f>IF(AG212="",0,AG212/(1+$E212/100)*$G212)</f>
        <v>2648.6486486486483</v>
      </c>
      <c r="AJ212" s="86">
        <f>AH212+AI212</f>
        <v>3460.3603603603597</v>
      </c>
      <c r="AK212" s="87">
        <f>IF(OR(AJ212=0,$L212=0),"",$L212/AJ212)</f>
        <v>0.40000833550637865</v>
      </c>
      <c r="AL212" s="87">
        <f>IF(OR(AH212=0,$J212=0),"",$J212/AH212)</f>
        <v>0.4518917696117648</v>
      </c>
      <c r="AM212" s="87">
        <f>IF(OR(AI212=0,$K212=0),"",$K212/AI212)</f>
        <v>0.38410800417000007</v>
      </c>
      <c r="AN212" s="83">
        <f>BW212+SCENARIU!$C$33+SCENARIU!$D$33+SCENARIU!$E$33+'AJUSTĂRI PE PRODUS'!$I$103+'AJUSTĂRI PE PRODUS'!$N$103+'AJUSTĂRI PE PRODUS'!$S$103</f>
        <v>17</v>
      </c>
      <c r="AO212" s="83">
        <f>BX212+SCENARIU!$C$33+SCENARIU!$D$33+SCENARIU!$E$33+'AJUSTĂRI PE PRODUS'!$J$103+'AJUSTĂRI PE PRODUS'!$O$103+'AJUSTĂRI PE PRODUS'!$T$103</f>
        <v>20</v>
      </c>
      <c r="AP212" s="88">
        <f>IF(AN212="",0,AN212/(1+$E212/100)*$F212)</f>
        <v>811.71171171171159</v>
      </c>
      <c r="AQ212" s="88">
        <f>IF(AO212="",0,AO212/(1+$E212/100)*$G212)</f>
        <v>2648.6486486486483</v>
      </c>
      <c r="AR212" s="88">
        <f>AP212+AQ212</f>
        <v>3460.3603603603597</v>
      </c>
      <c r="AS212" s="89">
        <f>IF(OR(AR212=0,$L212=0),"",$L212/AR212)</f>
        <v>0.40000833550637865</v>
      </c>
      <c r="AT212" s="89">
        <f>IF(OR(AP212=0,$J212=0),"",$J212/AP212)</f>
        <v>0.4518917696117648</v>
      </c>
      <c r="AU212" s="89">
        <f>IF(OR(AQ212=0,$K212=0),"",$K212/AQ212)</f>
        <v>0.38410800417000007</v>
      </c>
      <c r="AV212" s="83">
        <f>BY212+SCENARIU!$C$33+SCENARIU!$D$33+SCENARIU!$E$33+SCENARIU!$F$33+'AJUSTĂRI PE PRODUS'!$I$103+'AJUSTĂRI PE PRODUS'!$N$103+'AJUSTĂRI PE PRODUS'!$S$103+'AJUSTĂRI PE PRODUS'!$X$103</f>
        <v>17</v>
      </c>
      <c r="AW212" s="83">
        <f>BZ212+SCENARIU!$C$33+SCENARIU!$D$33+SCENARIU!$E$33+SCENARIU!$F$33+'AJUSTĂRI PE PRODUS'!$J$103+'AJUSTĂRI PE PRODUS'!$O$103+'AJUSTĂRI PE PRODUS'!$T$103+'AJUSTĂRI PE PRODUS'!$Y$103</f>
        <v>20</v>
      </c>
      <c r="AX212" s="90">
        <f>IF(AV212="",0,AV212/(1+$E212/100)*$F212)</f>
        <v>811.71171171171159</v>
      </c>
      <c r="AY212" s="90">
        <f>IF(AW212="",0,AW212/(1+$E212/100)*$G212)</f>
        <v>2648.6486486486483</v>
      </c>
      <c r="AZ212" s="90">
        <f>AX212+AY212</f>
        <v>3460.3603603603597</v>
      </c>
      <c r="BA212" s="91">
        <f>IF(OR(AZ212=0,$L212=0),"",$L212/AZ212)</f>
        <v>0.40000833550637865</v>
      </c>
      <c r="BB212" s="91">
        <f>IF(OR(AX212=0,$J212=0),"",$J212/AX212)</f>
        <v>0.4518917696117648</v>
      </c>
      <c r="BC212" s="91">
        <f>IF(OR(AY212=0,$K212=0),"",$K212/AY212)</f>
        <v>0.38410800417000007</v>
      </c>
      <c r="BD212" s="92">
        <f>IF(OR($N212="",P212=""),"",P212-$N212)</f>
        <v>0</v>
      </c>
      <c r="BE212" s="92">
        <f>IF(OR(P212="",X212=""),"",X212-P212)</f>
        <v>0</v>
      </c>
      <c r="BF212" s="92">
        <f>IF(OR(X212="",AF212=""),"",AF212-X212)</f>
        <v>0</v>
      </c>
      <c r="BG212" s="92">
        <f>IF(OR(AF212="",AN212=""),"",AN212-AF212)</f>
        <v>0</v>
      </c>
      <c r="BH212" s="92">
        <f>IF(OR(AN212="",AV212=""),"",AV212-AN212)</f>
        <v>0</v>
      </c>
      <c r="BI212" s="93">
        <f>IF(OR($N212="",AV212=""),"",AV212-$N212)</f>
        <v>0</v>
      </c>
      <c r="BJ212" s="92">
        <f>IF(OR($O212="",Q212=""),"",Q212-$O212)</f>
        <v>0</v>
      </c>
      <c r="BK212" s="92">
        <f>IF(OR(Q212="",Y212=""),"",Y212-Q212)</f>
        <v>0</v>
      </c>
      <c r="BL212" s="92">
        <f>IF(OR(Y212="",AG212=""),"",AG212-Y212)</f>
        <v>0</v>
      </c>
      <c r="BM212" s="92">
        <f>IF(OR(AG212="",AO212=""),"",AO212-AG212)</f>
        <v>0</v>
      </c>
      <c r="BN212" s="92">
        <f>IF(OR(AO212="",AW212=""),"",AW212-AO212)</f>
        <v>0</v>
      </c>
      <c r="BO212" s="93">
        <f>IF(OR($O212="",AW212=""),"",AW212-$O212)</f>
        <v>0</v>
      </c>
      <c r="BQ212">
        <v>17</v>
      </c>
      <c r="BR212">
        <v>20</v>
      </c>
      <c r="BS212">
        <v>17</v>
      </c>
      <c r="BT212">
        <v>20</v>
      </c>
      <c r="BU212">
        <v>17</v>
      </c>
      <c r="BV212">
        <v>20</v>
      </c>
      <c r="BW212">
        <v>17</v>
      </c>
      <c r="BX212">
        <v>20</v>
      </c>
      <c r="BY212">
        <v>17</v>
      </c>
      <c r="BZ212">
        <v>20</v>
      </c>
    </row>
    <row r="213" spans="1:78" x14ac:dyDescent="0.2">
      <c r="A213" s="26">
        <v>3</v>
      </c>
      <c r="B213" s="26" t="s">
        <v>268</v>
      </c>
      <c r="C213" s="26" t="s">
        <v>108</v>
      </c>
      <c r="D213" s="74">
        <v>1</v>
      </c>
      <c r="E213" s="75">
        <v>11</v>
      </c>
      <c r="F213" s="76">
        <v>31</v>
      </c>
      <c r="G213" s="76">
        <v>78</v>
      </c>
      <c r="H213" s="77">
        <f>SUMIFS(RETETAR!$I$4:$I$967,RETETAR!$A$4:$A$967,$M213,RETETAR!$C$4:$C$967,"AMBELE")+SUMIFS(RETETAR!$I$4:$I$967,RETETAR!$A$4:$A$967,$M213,RETETAR!$C$4:$C$967,"INSTORE")</f>
        <v>7.4889992000000003</v>
      </c>
      <c r="I213" s="77">
        <f>SUMIFS(RETETAR!$I$4:$I$967,RETETAR!$A$4:$A$967,$M213,RETETAR!$C$4:$C$967,"AMBELE")+SUMIFS(RETETAR!$I$4:$I$967,RETETAR!$A$4:$A$967,$M213,RETETAR!$C$4:$C$967,"DELIVERY")</f>
        <v>7.4889992000000003</v>
      </c>
      <c r="J213" s="78">
        <f>$H213*$F213</f>
        <v>232.15897520000001</v>
      </c>
      <c r="K213" s="78">
        <f>$I213*$G213</f>
        <v>584.14193760000001</v>
      </c>
      <c r="L213" s="78">
        <f>$J213+$K213</f>
        <v>816.30091279999999</v>
      </c>
      <c r="M213" t="s">
        <v>268</v>
      </c>
      <c r="N213" s="79">
        <v>20</v>
      </c>
      <c r="O213" s="79">
        <v>23</v>
      </c>
      <c r="P213" s="80">
        <v>20</v>
      </c>
      <c r="Q213" s="80">
        <v>23</v>
      </c>
      <c r="R213" s="81">
        <f>IF(P213="",0,P213/(1+$E213/100)*$F213)</f>
        <v>558.5585585585585</v>
      </c>
      <c r="S213" s="81">
        <f>IF(Q213="",0,Q213/(1+$E213/100)*$G213)</f>
        <v>1616.2162162162163</v>
      </c>
      <c r="T213" s="81">
        <f>R213+S213</f>
        <v>2174.7747747747749</v>
      </c>
      <c r="U213" s="82">
        <f>IF(OR(T213=0,$L213=0),"",$L213/T213)</f>
        <v>0.37534963264623028</v>
      </c>
      <c r="V213" s="82">
        <f>IF(OR(R213=0,$J213=0),"",$J213/R213)</f>
        <v>0.41563945560000004</v>
      </c>
      <c r="W213" s="82">
        <f>IF(OR(S213=0,$K213=0),"",$K213/S213)</f>
        <v>0.36142561356521741</v>
      </c>
      <c r="X213" s="83">
        <f>BS213+SCENARIU!$C$33+'AJUSTĂRI PE PRODUS'!$I$122</f>
        <v>20</v>
      </c>
      <c r="Y213" s="83">
        <f>BT213+SCENARIU!$C$33+'AJUSTĂRI PE PRODUS'!$J$122</f>
        <v>23</v>
      </c>
      <c r="Z213" s="84">
        <f>IF(X213="",0,X213/(1+$E213/100)*$F213)</f>
        <v>558.5585585585585</v>
      </c>
      <c r="AA213" s="84">
        <f>IF(Y213="",0,Y213/(1+$E213/100)*$G213)</f>
        <v>1616.2162162162163</v>
      </c>
      <c r="AB213" s="84">
        <f>Z213+AA213</f>
        <v>2174.7747747747749</v>
      </c>
      <c r="AC213" s="85">
        <f>IF(OR(AB213=0,$L213=0),"",$L213/AB213)</f>
        <v>0.37534963264623028</v>
      </c>
      <c r="AD213" s="85">
        <f>IF(OR(Z213=0,$J213=0),"",$J213/Z213)</f>
        <v>0.41563945560000004</v>
      </c>
      <c r="AE213" s="85">
        <f>IF(OR(AA213=0,$K213=0),"",$K213/AA213)</f>
        <v>0.36142561356521741</v>
      </c>
      <c r="AF213" s="83">
        <f>BU213+SCENARIU!$C$33+SCENARIU!$D$33+'AJUSTĂRI PE PRODUS'!$I$122+'AJUSTĂRI PE PRODUS'!$N$122</f>
        <v>20</v>
      </c>
      <c r="AG213" s="83">
        <f>BV213+SCENARIU!$C$33+SCENARIU!$D$33+'AJUSTĂRI PE PRODUS'!$J$122+'AJUSTĂRI PE PRODUS'!$O$122</f>
        <v>23</v>
      </c>
      <c r="AH213" s="86">
        <f>IF(AF213="",0,AF213/(1+$E213/100)*$F213)</f>
        <v>558.5585585585585</v>
      </c>
      <c r="AI213" s="86">
        <f>IF(AG213="",0,AG213/(1+$E213/100)*$G213)</f>
        <v>1616.2162162162163</v>
      </c>
      <c r="AJ213" s="86">
        <f>AH213+AI213</f>
        <v>2174.7747747747749</v>
      </c>
      <c r="AK213" s="87">
        <f>IF(OR(AJ213=0,$L213=0),"",$L213/AJ213)</f>
        <v>0.37534963264623028</v>
      </c>
      <c r="AL213" s="87">
        <f>IF(OR(AH213=0,$J213=0),"",$J213/AH213)</f>
        <v>0.41563945560000004</v>
      </c>
      <c r="AM213" s="87">
        <f>IF(OR(AI213=0,$K213=0),"",$K213/AI213)</f>
        <v>0.36142561356521741</v>
      </c>
      <c r="AN213" s="83">
        <f>BW213+SCENARIU!$C$33+SCENARIU!$D$33+SCENARIU!$E$33+'AJUSTĂRI PE PRODUS'!$I$122+'AJUSTĂRI PE PRODUS'!$N$122+'AJUSTĂRI PE PRODUS'!$S$122</f>
        <v>20</v>
      </c>
      <c r="AO213" s="83">
        <f>BX213+SCENARIU!$C$33+SCENARIU!$D$33+SCENARIU!$E$33+'AJUSTĂRI PE PRODUS'!$J$122+'AJUSTĂRI PE PRODUS'!$O$122+'AJUSTĂRI PE PRODUS'!$T$122</f>
        <v>23</v>
      </c>
      <c r="AP213" s="88">
        <f>IF(AN213="",0,AN213/(1+$E213/100)*$F213)</f>
        <v>558.5585585585585</v>
      </c>
      <c r="AQ213" s="88">
        <f>IF(AO213="",0,AO213/(1+$E213/100)*$G213)</f>
        <v>1616.2162162162163</v>
      </c>
      <c r="AR213" s="88">
        <f>AP213+AQ213</f>
        <v>2174.7747747747749</v>
      </c>
      <c r="AS213" s="89">
        <f>IF(OR(AR213=0,$L213=0),"",$L213/AR213)</f>
        <v>0.37534963264623028</v>
      </c>
      <c r="AT213" s="89">
        <f>IF(OR(AP213=0,$J213=0),"",$J213/AP213)</f>
        <v>0.41563945560000004</v>
      </c>
      <c r="AU213" s="89">
        <f>IF(OR(AQ213=0,$K213=0),"",$K213/AQ213)</f>
        <v>0.36142561356521741</v>
      </c>
      <c r="AV213" s="83">
        <f>BY213+SCENARIU!$C$33+SCENARIU!$D$33+SCENARIU!$E$33+SCENARIU!$F$33+'AJUSTĂRI PE PRODUS'!$I$122+'AJUSTĂRI PE PRODUS'!$N$122+'AJUSTĂRI PE PRODUS'!$S$122+'AJUSTĂRI PE PRODUS'!$X$122</f>
        <v>20</v>
      </c>
      <c r="AW213" s="83">
        <f>BZ213+SCENARIU!$C$33+SCENARIU!$D$33+SCENARIU!$E$33+SCENARIU!$F$33+'AJUSTĂRI PE PRODUS'!$J$122+'AJUSTĂRI PE PRODUS'!$O$122+'AJUSTĂRI PE PRODUS'!$T$122+'AJUSTĂRI PE PRODUS'!$Y$122</f>
        <v>23</v>
      </c>
      <c r="AX213" s="90">
        <f>IF(AV213="",0,AV213/(1+$E213/100)*$F213)</f>
        <v>558.5585585585585</v>
      </c>
      <c r="AY213" s="90">
        <f>IF(AW213="",0,AW213/(1+$E213/100)*$G213)</f>
        <v>1616.2162162162163</v>
      </c>
      <c r="AZ213" s="90">
        <f>AX213+AY213</f>
        <v>2174.7747747747749</v>
      </c>
      <c r="BA213" s="91">
        <f>IF(OR(AZ213=0,$L213=0),"",$L213/AZ213)</f>
        <v>0.37534963264623028</v>
      </c>
      <c r="BB213" s="91">
        <f>IF(OR(AX213=0,$J213=0),"",$J213/AX213)</f>
        <v>0.41563945560000004</v>
      </c>
      <c r="BC213" s="91">
        <f>IF(OR(AY213=0,$K213=0),"",$K213/AY213)</f>
        <v>0.36142561356521741</v>
      </c>
      <c r="BD213" s="92">
        <f>IF(OR($N213="",P213=""),"",P213-$N213)</f>
        <v>0</v>
      </c>
      <c r="BE213" s="92">
        <f>IF(OR(P213="",X213=""),"",X213-P213)</f>
        <v>0</v>
      </c>
      <c r="BF213" s="92">
        <f>IF(OR(X213="",AF213=""),"",AF213-X213)</f>
        <v>0</v>
      </c>
      <c r="BG213" s="92">
        <f>IF(OR(AF213="",AN213=""),"",AN213-AF213)</f>
        <v>0</v>
      </c>
      <c r="BH213" s="92">
        <f>IF(OR(AN213="",AV213=""),"",AV213-AN213)</f>
        <v>0</v>
      </c>
      <c r="BI213" s="93">
        <f>IF(OR($N213="",AV213=""),"",AV213-$N213)</f>
        <v>0</v>
      </c>
      <c r="BJ213" s="92">
        <f>IF(OR($O213="",Q213=""),"",Q213-$O213)</f>
        <v>0</v>
      </c>
      <c r="BK213" s="92">
        <f>IF(OR(Q213="",Y213=""),"",Y213-Q213)</f>
        <v>0</v>
      </c>
      <c r="BL213" s="92">
        <f>IF(OR(Y213="",AG213=""),"",AG213-Y213)</f>
        <v>0</v>
      </c>
      <c r="BM213" s="92">
        <f>IF(OR(AG213="",AO213=""),"",AO213-AG213)</f>
        <v>0</v>
      </c>
      <c r="BN213" s="92">
        <f>IF(OR(AO213="",AW213=""),"",AW213-AO213)</f>
        <v>0</v>
      </c>
      <c r="BO213" s="93">
        <f>IF(OR($O213="",AW213=""),"",AW213-$O213)</f>
        <v>0</v>
      </c>
      <c r="BQ213">
        <v>20</v>
      </c>
      <c r="BR213">
        <v>23</v>
      </c>
      <c r="BS213">
        <v>20</v>
      </c>
      <c r="BT213">
        <v>23</v>
      </c>
      <c r="BU213">
        <v>20</v>
      </c>
      <c r="BV213">
        <v>23</v>
      </c>
      <c r="BW213">
        <v>20</v>
      </c>
      <c r="BX213">
        <v>23</v>
      </c>
      <c r="BY213">
        <v>20</v>
      </c>
      <c r="BZ213">
        <v>23</v>
      </c>
    </row>
    <row r="214" spans="1:78" x14ac:dyDescent="0.2">
      <c r="A214" s="26">
        <v>4</v>
      </c>
      <c r="B214" s="26" t="s">
        <v>292</v>
      </c>
      <c r="C214" s="26" t="s">
        <v>108</v>
      </c>
      <c r="D214" s="74">
        <v>1</v>
      </c>
      <c r="E214" s="75">
        <v>11</v>
      </c>
      <c r="F214" s="76">
        <v>35</v>
      </c>
      <c r="G214" s="76">
        <v>44</v>
      </c>
      <c r="H214" s="77">
        <f>SUMIFS(RETETAR!$I$4:$I$967,RETETAR!$A$4:$A$967,$M214,RETETAR!$C$4:$C$967,"AMBELE")+SUMIFS(RETETAR!$I$4:$I$967,RETETAR!$A$4:$A$967,$M214,RETETAR!$C$4:$C$967,"INSTORE")</f>
        <v>7.7168501999999997</v>
      </c>
      <c r="I214" s="77">
        <f>SUMIFS(RETETAR!$I$4:$I$967,RETETAR!$A$4:$A$967,$M214,RETETAR!$C$4:$C$967,"AMBELE")+SUMIFS(RETETAR!$I$4:$I$967,RETETAR!$A$4:$A$967,$M214,RETETAR!$C$4:$C$967,"DELIVERY")</f>
        <v>7.7168501999999997</v>
      </c>
      <c r="J214" s="78">
        <f>$H214*$F214</f>
        <v>270.08975699999996</v>
      </c>
      <c r="K214" s="78">
        <f>$I214*$G214</f>
        <v>339.5414088</v>
      </c>
      <c r="L214" s="78">
        <f>$J214+$K214</f>
        <v>609.63116579999996</v>
      </c>
      <c r="M214" t="s">
        <v>292</v>
      </c>
      <c r="N214" s="79">
        <v>17</v>
      </c>
      <c r="O214" s="79">
        <v>20</v>
      </c>
      <c r="P214" s="80">
        <v>17</v>
      </c>
      <c r="Q214" s="80">
        <v>20</v>
      </c>
      <c r="R214" s="81">
        <f>IF(P214="",0,P214/(1+$E214/100)*$F214)</f>
        <v>536.03603603603597</v>
      </c>
      <c r="S214" s="81">
        <f>IF(Q214="",0,Q214/(1+$E214/100)*$G214)</f>
        <v>792.79279279279262</v>
      </c>
      <c r="T214" s="81">
        <f>R214+S214</f>
        <v>1328.8288288288286</v>
      </c>
      <c r="U214" s="82">
        <f>IF(OR(T214=0,$L214=0),"",$L214/T214)</f>
        <v>0.45877328409355939</v>
      </c>
      <c r="V214" s="82">
        <f>IF(OR(R214=0,$J214=0),"",$J214/R214)</f>
        <v>0.5038649248235294</v>
      </c>
      <c r="W214" s="82">
        <f>IF(OR(S214=0,$K214=0),"",$K214/S214)</f>
        <v>0.4282851861000001</v>
      </c>
      <c r="X214" s="83">
        <f>BS214+SCENARIU!$C$33+'AJUSTĂRI PE PRODUS'!$I$144</f>
        <v>17</v>
      </c>
      <c r="Y214" s="83">
        <f>BT214+SCENARIU!$C$33+'AJUSTĂRI PE PRODUS'!$J$144</f>
        <v>20</v>
      </c>
      <c r="Z214" s="84">
        <f>IF(X214="",0,X214/(1+$E214/100)*$F214)</f>
        <v>536.03603603603597</v>
      </c>
      <c r="AA214" s="84">
        <f>IF(Y214="",0,Y214/(1+$E214/100)*$G214)</f>
        <v>792.79279279279262</v>
      </c>
      <c r="AB214" s="84">
        <f>Z214+AA214</f>
        <v>1328.8288288288286</v>
      </c>
      <c r="AC214" s="85">
        <f>IF(OR(AB214=0,$L214=0),"",$L214/AB214)</f>
        <v>0.45877328409355939</v>
      </c>
      <c r="AD214" s="85">
        <f>IF(OR(Z214=0,$J214=0),"",$J214/Z214)</f>
        <v>0.5038649248235294</v>
      </c>
      <c r="AE214" s="85">
        <f>IF(OR(AA214=0,$K214=0),"",$K214/AA214)</f>
        <v>0.4282851861000001</v>
      </c>
      <c r="AF214" s="83">
        <f>BU214+SCENARIU!$C$33+SCENARIU!$D$33+'AJUSTĂRI PE PRODUS'!$I$144+'AJUSTĂRI PE PRODUS'!$N$144</f>
        <v>17</v>
      </c>
      <c r="AG214" s="83">
        <f>BV214+SCENARIU!$C$33+SCENARIU!$D$33+'AJUSTĂRI PE PRODUS'!$J$144+'AJUSTĂRI PE PRODUS'!$O$144</f>
        <v>20</v>
      </c>
      <c r="AH214" s="86">
        <f>IF(AF214="",0,AF214/(1+$E214/100)*$F214)</f>
        <v>536.03603603603597</v>
      </c>
      <c r="AI214" s="86">
        <f>IF(AG214="",0,AG214/(1+$E214/100)*$G214)</f>
        <v>792.79279279279262</v>
      </c>
      <c r="AJ214" s="86">
        <f>AH214+AI214</f>
        <v>1328.8288288288286</v>
      </c>
      <c r="AK214" s="87">
        <f>IF(OR(AJ214=0,$L214=0),"",$L214/AJ214)</f>
        <v>0.45877328409355939</v>
      </c>
      <c r="AL214" s="87">
        <f>IF(OR(AH214=0,$J214=0),"",$J214/AH214)</f>
        <v>0.5038649248235294</v>
      </c>
      <c r="AM214" s="87">
        <f>IF(OR(AI214=0,$K214=0),"",$K214/AI214)</f>
        <v>0.4282851861000001</v>
      </c>
      <c r="AN214" s="83">
        <f>BW214+SCENARIU!$C$33+SCENARIU!$D$33+SCENARIU!$E$33+'AJUSTĂRI PE PRODUS'!$I$144+'AJUSTĂRI PE PRODUS'!$N$144+'AJUSTĂRI PE PRODUS'!$S$144</f>
        <v>17</v>
      </c>
      <c r="AO214" s="83">
        <f>BX214+SCENARIU!$C$33+SCENARIU!$D$33+SCENARIU!$E$33+'AJUSTĂRI PE PRODUS'!$J$144+'AJUSTĂRI PE PRODUS'!$O$144+'AJUSTĂRI PE PRODUS'!$T$144</f>
        <v>20</v>
      </c>
      <c r="AP214" s="88">
        <f>IF(AN214="",0,AN214/(1+$E214/100)*$F214)</f>
        <v>536.03603603603597</v>
      </c>
      <c r="AQ214" s="88">
        <f>IF(AO214="",0,AO214/(1+$E214/100)*$G214)</f>
        <v>792.79279279279262</v>
      </c>
      <c r="AR214" s="88">
        <f>AP214+AQ214</f>
        <v>1328.8288288288286</v>
      </c>
      <c r="AS214" s="89">
        <f>IF(OR(AR214=0,$L214=0),"",$L214/AR214)</f>
        <v>0.45877328409355939</v>
      </c>
      <c r="AT214" s="89">
        <f>IF(OR(AP214=0,$J214=0),"",$J214/AP214)</f>
        <v>0.5038649248235294</v>
      </c>
      <c r="AU214" s="89">
        <f>IF(OR(AQ214=0,$K214=0),"",$K214/AQ214)</f>
        <v>0.4282851861000001</v>
      </c>
      <c r="AV214" s="83">
        <f>BY214+SCENARIU!$C$33+SCENARIU!$D$33+SCENARIU!$E$33+SCENARIU!$F$33+'AJUSTĂRI PE PRODUS'!$I$144+'AJUSTĂRI PE PRODUS'!$N$144+'AJUSTĂRI PE PRODUS'!$S$144+'AJUSTĂRI PE PRODUS'!$X$144</f>
        <v>17</v>
      </c>
      <c r="AW214" s="83">
        <f>BZ214+SCENARIU!$C$33+SCENARIU!$D$33+SCENARIU!$E$33+SCENARIU!$F$33+'AJUSTĂRI PE PRODUS'!$J$144+'AJUSTĂRI PE PRODUS'!$O$144+'AJUSTĂRI PE PRODUS'!$T$144+'AJUSTĂRI PE PRODUS'!$Y$144</f>
        <v>20</v>
      </c>
      <c r="AX214" s="90">
        <f>IF(AV214="",0,AV214/(1+$E214/100)*$F214)</f>
        <v>536.03603603603597</v>
      </c>
      <c r="AY214" s="90">
        <f>IF(AW214="",0,AW214/(1+$E214/100)*$G214)</f>
        <v>792.79279279279262</v>
      </c>
      <c r="AZ214" s="90">
        <f>AX214+AY214</f>
        <v>1328.8288288288286</v>
      </c>
      <c r="BA214" s="91">
        <f>IF(OR(AZ214=0,$L214=0),"",$L214/AZ214)</f>
        <v>0.45877328409355939</v>
      </c>
      <c r="BB214" s="91">
        <f>IF(OR(AX214=0,$J214=0),"",$J214/AX214)</f>
        <v>0.5038649248235294</v>
      </c>
      <c r="BC214" s="91">
        <f>IF(OR(AY214=0,$K214=0),"",$K214/AY214)</f>
        <v>0.4282851861000001</v>
      </c>
      <c r="BD214" s="92">
        <f>IF(OR($N214="",P214=""),"",P214-$N214)</f>
        <v>0</v>
      </c>
      <c r="BE214" s="92">
        <f>IF(OR(P214="",X214=""),"",X214-P214)</f>
        <v>0</v>
      </c>
      <c r="BF214" s="92">
        <f>IF(OR(X214="",AF214=""),"",AF214-X214)</f>
        <v>0</v>
      </c>
      <c r="BG214" s="92">
        <f>IF(OR(AF214="",AN214=""),"",AN214-AF214)</f>
        <v>0</v>
      </c>
      <c r="BH214" s="92">
        <f>IF(OR(AN214="",AV214=""),"",AV214-AN214)</f>
        <v>0</v>
      </c>
      <c r="BI214" s="93">
        <f>IF(OR($N214="",AV214=""),"",AV214-$N214)</f>
        <v>0</v>
      </c>
      <c r="BJ214" s="92">
        <f>IF(OR($O214="",Q214=""),"",Q214-$O214)</f>
        <v>0</v>
      </c>
      <c r="BK214" s="92">
        <f>IF(OR(Q214="",Y214=""),"",Y214-Q214)</f>
        <v>0</v>
      </c>
      <c r="BL214" s="92">
        <f>IF(OR(Y214="",AG214=""),"",AG214-Y214)</f>
        <v>0</v>
      </c>
      <c r="BM214" s="92">
        <f>IF(OR(AG214="",AO214=""),"",AO214-AG214)</f>
        <v>0</v>
      </c>
      <c r="BN214" s="92">
        <f>IF(OR(AO214="",AW214=""),"",AW214-AO214)</f>
        <v>0</v>
      </c>
      <c r="BO214" s="93">
        <f>IF(OR($O214="",AW214=""),"",AW214-$O214)</f>
        <v>0</v>
      </c>
      <c r="BQ214">
        <v>17</v>
      </c>
      <c r="BR214">
        <v>20</v>
      </c>
      <c r="BS214">
        <v>17</v>
      </c>
      <c r="BT214">
        <v>20</v>
      </c>
      <c r="BU214">
        <v>17</v>
      </c>
      <c r="BV214">
        <v>20</v>
      </c>
      <c r="BW214">
        <v>17</v>
      </c>
      <c r="BX214">
        <v>20</v>
      </c>
      <c r="BY214">
        <v>17</v>
      </c>
      <c r="BZ214">
        <v>20</v>
      </c>
    </row>
    <row r="215" spans="1:78" x14ac:dyDescent="0.2">
      <c r="A215" s="26">
        <v>5</v>
      </c>
      <c r="B215" s="26" t="s">
        <v>298</v>
      </c>
      <c r="C215" s="26" t="s">
        <v>108</v>
      </c>
      <c r="D215" s="74">
        <v>1</v>
      </c>
      <c r="E215" s="75">
        <v>11</v>
      </c>
      <c r="F215" s="76">
        <v>35</v>
      </c>
      <c r="G215" s="76">
        <v>37</v>
      </c>
      <c r="H215" s="77">
        <f>SUMIFS(RETETAR!$I$4:$I$967,RETETAR!$A$4:$A$967,$M215,RETETAR!$C$4:$C$967,"AMBELE")+SUMIFS(RETETAR!$I$4:$I$967,RETETAR!$A$4:$A$967,$M215,RETETAR!$C$4:$C$967,"INSTORE")</f>
        <v>7.4614672000000004</v>
      </c>
      <c r="I215" s="77">
        <f>SUMIFS(RETETAR!$I$4:$I$967,RETETAR!$A$4:$A$967,$M215,RETETAR!$C$4:$C$967,"AMBELE")+SUMIFS(RETETAR!$I$4:$I$967,RETETAR!$A$4:$A$967,$M215,RETETAR!$C$4:$C$967,"DELIVERY")</f>
        <v>7.4614672000000004</v>
      </c>
      <c r="J215" s="78">
        <f>$H215*$F215</f>
        <v>261.15135200000003</v>
      </c>
      <c r="K215" s="78">
        <f>$I215*$G215</f>
        <v>276.07428640000001</v>
      </c>
      <c r="L215" s="78">
        <f>$J215+$K215</f>
        <v>537.22563839999998</v>
      </c>
      <c r="M215" t="s">
        <v>298</v>
      </c>
      <c r="N215" s="79">
        <v>17</v>
      </c>
      <c r="O215" s="79">
        <v>20</v>
      </c>
      <c r="P215" s="80">
        <v>17</v>
      </c>
      <c r="Q215" s="80">
        <v>20</v>
      </c>
      <c r="R215" s="81">
        <f>IF(P215="",0,P215/(1+$E215/100)*$F215)</f>
        <v>536.03603603603597</v>
      </c>
      <c r="S215" s="81">
        <f>IF(Q215="",0,Q215/(1+$E215/100)*$G215)</f>
        <v>666.66666666666652</v>
      </c>
      <c r="T215" s="81">
        <f>R215+S215</f>
        <v>1202.7027027027025</v>
      </c>
      <c r="U215" s="82">
        <f>IF(OR(T215=0,$L215=0),"",$L215/T215)</f>
        <v>0.44668199147865173</v>
      </c>
      <c r="V215" s="82">
        <f>IF(OR(R215=0,$J215=0),"",$J215/R215)</f>
        <v>0.4871899171764707</v>
      </c>
      <c r="W215" s="82">
        <f>IF(OR(S215=0,$K215=0),"",$K215/S215)</f>
        <v>0.41411142960000008</v>
      </c>
      <c r="X215" s="83">
        <f>BS215+SCENARIU!$C$33+'AJUSTĂRI PE PRODUS'!$I$151</f>
        <v>17</v>
      </c>
      <c r="Y215" s="83">
        <f>BT215+SCENARIU!$C$33+'AJUSTĂRI PE PRODUS'!$J$151</f>
        <v>20</v>
      </c>
      <c r="Z215" s="84">
        <f>IF(X215="",0,X215/(1+$E215/100)*$F215)</f>
        <v>536.03603603603597</v>
      </c>
      <c r="AA215" s="84">
        <f>IF(Y215="",0,Y215/(1+$E215/100)*$G215)</f>
        <v>666.66666666666652</v>
      </c>
      <c r="AB215" s="84">
        <f>Z215+AA215</f>
        <v>1202.7027027027025</v>
      </c>
      <c r="AC215" s="85">
        <f>IF(OR(AB215=0,$L215=0),"",$L215/AB215)</f>
        <v>0.44668199147865173</v>
      </c>
      <c r="AD215" s="85">
        <f>IF(OR(Z215=0,$J215=0),"",$J215/Z215)</f>
        <v>0.4871899171764707</v>
      </c>
      <c r="AE215" s="85">
        <f>IF(OR(AA215=0,$K215=0),"",$K215/AA215)</f>
        <v>0.41411142960000008</v>
      </c>
      <c r="AF215" s="83">
        <f>BU215+SCENARIU!$C$33+SCENARIU!$D$33+'AJUSTĂRI PE PRODUS'!$I$151+'AJUSTĂRI PE PRODUS'!$N$151</f>
        <v>17</v>
      </c>
      <c r="AG215" s="83">
        <f>BV215+SCENARIU!$C$33+SCENARIU!$D$33+'AJUSTĂRI PE PRODUS'!$J$151+'AJUSTĂRI PE PRODUS'!$O$151</f>
        <v>20</v>
      </c>
      <c r="AH215" s="86">
        <f>IF(AF215="",0,AF215/(1+$E215/100)*$F215)</f>
        <v>536.03603603603597</v>
      </c>
      <c r="AI215" s="86">
        <f>IF(AG215="",0,AG215/(1+$E215/100)*$G215)</f>
        <v>666.66666666666652</v>
      </c>
      <c r="AJ215" s="86">
        <f>AH215+AI215</f>
        <v>1202.7027027027025</v>
      </c>
      <c r="AK215" s="87">
        <f>IF(OR(AJ215=0,$L215=0),"",$L215/AJ215)</f>
        <v>0.44668199147865173</v>
      </c>
      <c r="AL215" s="87">
        <f>IF(OR(AH215=0,$J215=0),"",$J215/AH215)</f>
        <v>0.4871899171764707</v>
      </c>
      <c r="AM215" s="87">
        <f>IF(OR(AI215=0,$K215=0),"",$K215/AI215)</f>
        <v>0.41411142960000008</v>
      </c>
      <c r="AN215" s="83">
        <f>BW215+SCENARIU!$C$33+SCENARIU!$D$33+SCENARIU!$E$33+'AJUSTĂRI PE PRODUS'!$I$151+'AJUSTĂRI PE PRODUS'!$N$151+'AJUSTĂRI PE PRODUS'!$S$151</f>
        <v>17</v>
      </c>
      <c r="AO215" s="83">
        <f>BX215+SCENARIU!$C$33+SCENARIU!$D$33+SCENARIU!$E$33+'AJUSTĂRI PE PRODUS'!$J$151+'AJUSTĂRI PE PRODUS'!$O$151+'AJUSTĂRI PE PRODUS'!$T$151</f>
        <v>20</v>
      </c>
      <c r="AP215" s="88">
        <f>IF(AN215="",0,AN215/(1+$E215/100)*$F215)</f>
        <v>536.03603603603597</v>
      </c>
      <c r="AQ215" s="88">
        <f>IF(AO215="",0,AO215/(1+$E215/100)*$G215)</f>
        <v>666.66666666666652</v>
      </c>
      <c r="AR215" s="88">
        <f>AP215+AQ215</f>
        <v>1202.7027027027025</v>
      </c>
      <c r="AS215" s="89">
        <f>IF(OR(AR215=0,$L215=0),"",$L215/AR215)</f>
        <v>0.44668199147865173</v>
      </c>
      <c r="AT215" s="89">
        <f>IF(OR(AP215=0,$J215=0),"",$J215/AP215)</f>
        <v>0.4871899171764707</v>
      </c>
      <c r="AU215" s="89">
        <f>IF(OR(AQ215=0,$K215=0),"",$K215/AQ215)</f>
        <v>0.41411142960000008</v>
      </c>
      <c r="AV215" s="83">
        <f>BY215+SCENARIU!$C$33+SCENARIU!$D$33+SCENARIU!$E$33+SCENARIU!$F$33+'AJUSTĂRI PE PRODUS'!$I$151+'AJUSTĂRI PE PRODUS'!$N$151+'AJUSTĂRI PE PRODUS'!$S$151+'AJUSTĂRI PE PRODUS'!$X$151</f>
        <v>17</v>
      </c>
      <c r="AW215" s="83">
        <f>BZ215+SCENARIU!$C$33+SCENARIU!$D$33+SCENARIU!$E$33+SCENARIU!$F$33+'AJUSTĂRI PE PRODUS'!$J$151+'AJUSTĂRI PE PRODUS'!$O$151+'AJUSTĂRI PE PRODUS'!$T$151+'AJUSTĂRI PE PRODUS'!$Y$151</f>
        <v>20</v>
      </c>
      <c r="AX215" s="90">
        <f>IF(AV215="",0,AV215/(1+$E215/100)*$F215)</f>
        <v>536.03603603603597</v>
      </c>
      <c r="AY215" s="90">
        <f>IF(AW215="",0,AW215/(1+$E215/100)*$G215)</f>
        <v>666.66666666666652</v>
      </c>
      <c r="AZ215" s="90">
        <f>AX215+AY215</f>
        <v>1202.7027027027025</v>
      </c>
      <c r="BA215" s="91">
        <f>IF(OR(AZ215=0,$L215=0),"",$L215/AZ215)</f>
        <v>0.44668199147865173</v>
      </c>
      <c r="BB215" s="91">
        <f>IF(OR(AX215=0,$J215=0),"",$J215/AX215)</f>
        <v>0.4871899171764707</v>
      </c>
      <c r="BC215" s="91">
        <f>IF(OR(AY215=0,$K215=0),"",$K215/AY215)</f>
        <v>0.41411142960000008</v>
      </c>
      <c r="BD215" s="92">
        <f>IF(OR($N215="",P215=""),"",P215-$N215)</f>
        <v>0</v>
      </c>
      <c r="BE215" s="92">
        <f>IF(OR(P215="",X215=""),"",X215-P215)</f>
        <v>0</v>
      </c>
      <c r="BF215" s="92">
        <f>IF(OR(X215="",AF215=""),"",AF215-X215)</f>
        <v>0</v>
      </c>
      <c r="BG215" s="92">
        <f>IF(OR(AF215="",AN215=""),"",AN215-AF215)</f>
        <v>0</v>
      </c>
      <c r="BH215" s="92">
        <f>IF(OR(AN215="",AV215=""),"",AV215-AN215)</f>
        <v>0</v>
      </c>
      <c r="BI215" s="93">
        <f>IF(OR($N215="",AV215=""),"",AV215-$N215)</f>
        <v>0</v>
      </c>
      <c r="BJ215" s="92">
        <f>IF(OR($O215="",Q215=""),"",Q215-$O215)</f>
        <v>0</v>
      </c>
      <c r="BK215" s="92">
        <f>IF(OR(Q215="",Y215=""),"",Y215-Q215)</f>
        <v>0</v>
      </c>
      <c r="BL215" s="92">
        <f>IF(OR(Y215="",AG215=""),"",AG215-Y215)</f>
        <v>0</v>
      </c>
      <c r="BM215" s="92">
        <f>IF(OR(AG215="",AO215=""),"",AO215-AG215)</f>
        <v>0</v>
      </c>
      <c r="BN215" s="92">
        <f>IF(OR(AO215="",AW215=""),"",AW215-AO215)</f>
        <v>0</v>
      </c>
      <c r="BO215" s="93">
        <f>IF(OR($O215="",AW215=""),"",AW215-$O215)</f>
        <v>0</v>
      </c>
      <c r="BQ215">
        <v>17</v>
      </c>
      <c r="BR215">
        <v>20</v>
      </c>
      <c r="BS215">
        <v>17</v>
      </c>
      <c r="BT215">
        <v>20</v>
      </c>
      <c r="BU215">
        <v>17</v>
      </c>
      <c r="BV215">
        <v>20</v>
      </c>
      <c r="BW215">
        <v>17</v>
      </c>
      <c r="BX215">
        <v>20</v>
      </c>
      <c r="BY215">
        <v>17</v>
      </c>
      <c r="BZ215">
        <v>20</v>
      </c>
    </row>
    <row r="216" spans="1:78" x14ac:dyDescent="0.2">
      <c r="A216" s="94" t="s">
        <v>462</v>
      </c>
      <c r="B216" s="95"/>
      <c r="C216" s="95"/>
      <c r="D216" s="95"/>
      <c r="E216" s="95"/>
      <c r="F216" s="95"/>
      <c r="G216" s="95"/>
      <c r="H216" s="95"/>
      <c r="I216" s="95"/>
      <c r="J216" s="95"/>
      <c r="K216" s="95"/>
      <c r="L216" s="96">
        <f>SUM(L211:L215)</f>
        <v>6050.3951910000005</v>
      </c>
      <c r="M216" s="95"/>
      <c r="N216" s="95"/>
      <c r="O216" s="95"/>
      <c r="P216" s="95"/>
      <c r="Q216" s="95"/>
      <c r="R216" s="95"/>
      <c r="S216" s="95"/>
      <c r="T216" s="95"/>
      <c r="U216" s="95"/>
      <c r="V216" s="95"/>
      <c r="W216" s="95"/>
      <c r="X216" s="95"/>
      <c r="Y216" s="95"/>
      <c r="Z216" s="95"/>
      <c r="AA216" s="95"/>
      <c r="AB216" s="95"/>
      <c r="AC216" s="95"/>
      <c r="AD216" s="95"/>
      <c r="AE216" s="95"/>
      <c r="AF216" s="95"/>
      <c r="AG216" s="95"/>
      <c r="AH216" s="95"/>
      <c r="AI216" s="95"/>
      <c r="AJ216" s="95"/>
      <c r="AK216" s="95"/>
      <c r="AL216" s="95"/>
      <c r="AM216" s="95"/>
      <c r="AN216" s="95"/>
      <c r="AO216" s="95"/>
      <c r="AP216" s="95"/>
      <c r="AQ216" s="95"/>
      <c r="AR216" s="95"/>
      <c r="AS216" s="95"/>
      <c r="AT216" s="95"/>
      <c r="AU216" s="95"/>
      <c r="AV216" s="95"/>
      <c r="AW216" s="95"/>
      <c r="AX216" s="95"/>
      <c r="AY216" s="95"/>
      <c r="AZ216" s="95"/>
      <c r="BA216" s="95"/>
      <c r="BB216" s="95"/>
      <c r="BC216" s="95"/>
      <c r="BD216" s="95"/>
      <c r="BE216" s="95"/>
      <c r="BF216" s="95"/>
      <c r="BG216" s="95"/>
      <c r="BH216" s="95"/>
      <c r="BI216" s="95"/>
      <c r="BJ216" s="95"/>
      <c r="BK216" s="95"/>
      <c r="BL216" s="95"/>
      <c r="BM216" s="95"/>
      <c r="BN216" s="95"/>
      <c r="BO216" s="95"/>
    </row>
    <row r="217" spans="1:78" x14ac:dyDescent="0.2">
      <c r="A217" s="72" t="s">
        <v>109</v>
      </c>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row>
    <row r="218" spans="1:78" x14ac:dyDescent="0.2">
      <c r="A218" s="26">
        <v>1</v>
      </c>
      <c r="B218" s="26" t="s">
        <v>194</v>
      </c>
      <c r="C218" s="26" t="s">
        <v>109</v>
      </c>
      <c r="D218" s="74">
        <v>1</v>
      </c>
      <c r="E218" s="75">
        <v>11</v>
      </c>
      <c r="F218" s="76">
        <v>448</v>
      </c>
      <c r="G218" s="76">
        <v>114</v>
      </c>
      <c r="H218" s="77">
        <f>SUMIFS(RETETAR!$I$4:$I$967,RETETAR!$A$4:$A$967,$M218,RETETAR!$C$4:$C$967,"AMBELE")+SUMIFS(RETETAR!$I$4:$I$967,RETETAR!$A$4:$A$967,$M218,RETETAR!$C$4:$C$967,"INSTORE")</f>
        <v>21.483146496800003</v>
      </c>
      <c r="I218" s="77">
        <f>SUMIFS(RETETAR!$I$4:$I$967,RETETAR!$A$4:$A$967,$M218,RETETAR!$C$4:$C$967,"AMBELE")+SUMIFS(RETETAR!$I$4:$I$967,RETETAR!$A$4:$A$967,$M218,RETETAR!$C$4:$C$967,"DELIVERY")</f>
        <v>23.031317720000004</v>
      </c>
      <c r="J218" s="78">
        <f>$H218*$F218</f>
        <v>9624.4496305664015</v>
      </c>
      <c r="K218" s="78">
        <f>$I218*$G218</f>
        <v>2625.5702200800006</v>
      </c>
      <c r="L218" s="78">
        <f>$J218+$K218</f>
        <v>12250.019850646402</v>
      </c>
      <c r="M218" t="s">
        <v>194</v>
      </c>
      <c r="N218" s="79">
        <v>39</v>
      </c>
      <c r="O218" s="79">
        <v>39</v>
      </c>
      <c r="P218" s="80">
        <v>39</v>
      </c>
      <c r="Q218" s="80">
        <v>39</v>
      </c>
      <c r="R218" s="81">
        <f>IF(P218="",0,P218/(1+$E218/100)*$F218)</f>
        <v>15740.540540540538</v>
      </c>
      <c r="S218" s="81">
        <f>IF(Q218="",0,Q218/(1+$E218/100)*$G218)</f>
        <v>4005.405405405405</v>
      </c>
      <c r="T218" s="81">
        <f>R218+S218</f>
        <v>19745.945945945943</v>
      </c>
      <c r="U218" s="82">
        <f>IF(OR(T218=0,$L218=0),"",$L218/T218)</f>
        <v>0.62038151447292222</v>
      </c>
      <c r="V218" s="82">
        <f>IF(OR(R218=0,$J218=0),"",$J218/R218)</f>
        <v>0.61144340029353861</v>
      </c>
      <c r="W218" s="82">
        <f>IF(OR(S218=0,$K218=0),"",$K218/S218)</f>
        <v>0.65550673510769253</v>
      </c>
      <c r="X218" s="83">
        <f>BS218+SCENARIU!$C$34+'AJUSTĂRI PE PRODUS'!$I$68</f>
        <v>39</v>
      </c>
      <c r="Y218" s="83">
        <f>BT218+SCENARIU!$C$34+'AJUSTĂRI PE PRODUS'!$J$68</f>
        <v>39</v>
      </c>
      <c r="Z218" s="84">
        <f>IF(X218="",0,X218/(1+$E218/100)*$F218)</f>
        <v>15740.540540540538</v>
      </c>
      <c r="AA218" s="84">
        <f>IF(Y218="",0,Y218/(1+$E218/100)*$G218)</f>
        <v>4005.405405405405</v>
      </c>
      <c r="AB218" s="84">
        <f>Z218+AA218</f>
        <v>19745.945945945943</v>
      </c>
      <c r="AC218" s="85">
        <f>IF(OR(AB218=0,$L218=0),"",$L218/AB218)</f>
        <v>0.62038151447292222</v>
      </c>
      <c r="AD218" s="85">
        <f>IF(OR(Z218=0,$J218=0),"",$J218/Z218)</f>
        <v>0.61144340029353861</v>
      </c>
      <c r="AE218" s="85">
        <f>IF(OR(AA218=0,$K218=0),"",$K218/AA218)</f>
        <v>0.65550673510769253</v>
      </c>
      <c r="AF218" s="83">
        <f>BU218+SCENARIU!$C$34+SCENARIU!$D$34+'AJUSTĂRI PE PRODUS'!$I$68+'AJUSTĂRI PE PRODUS'!$N$68</f>
        <v>39</v>
      </c>
      <c r="AG218" s="83">
        <f>BV218+SCENARIU!$C$34+SCENARIU!$D$34+'AJUSTĂRI PE PRODUS'!$J$68+'AJUSTĂRI PE PRODUS'!$O$68</f>
        <v>39</v>
      </c>
      <c r="AH218" s="86">
        <f>IF(AF218="",0,AF218/(1+$E218/100)*$F218)</f>
        <v>15740.540540540538</v>
      </c>
      <c r="AI218" s="86">
        <f>IF(AG218="",0,AG218/(1+$E218/100)*$G218)</f>
        <v>4005.405405405405</v>
      </c>
      <c r="AJ218" s="86">
        <f>AH218+AI218</f>
        <v>19745.945945945943</v>
      </c>
      <c r="AK218" s="87">
        <f>IF(OR(AJ218=0,$L218=0),"",$L218/AJ218)</f>
        <v>0.62038151447292222</v>
      </c>
      <c r="AL218" s="87">
        <f>IF(OR(AH218=0,$J218=0),"",$J218/AH218)</f>
        <v>0.61144340029353861</v>
      </c>
      <c r="AM218" s="87">
        <f>IF(OR(AI218=0,$K218=0),"",$K218/AI218)</f>
        <v>0.65550673510769253</v>
      </c>
      <c r="AN218" s="83">
        <f>BW218+SCENARIU!$C$34+SCENARIU!$D$34+SCENARIU!$E$34+'AJUSTĂRI PE PRODUS'!$I$68+'AJUSTĂRI PE PRODUS'!$N$68+'AJUSTĂRI PE PRODUS'!$S$68</f>
        <v>39</v>
      </c>
      <c r="AO218" s="83">
        <f>BX218+SCENARIU!$C$34+SCENARIU!$D$34+SCENARIU!$E$34+'AJUSTĂRI PE PRODUS'!$J$68+'AJUSTĂRI PE PRODUS'!$O$68+'AJUSTĂRI PE PRODUS'!$T$68</f>
        <v>39</v>
      </c>
      <c r="AP218" s="88">
        <f>IF(AN218="",0,AN218/(1+$E218/100)*$F218)</f>
        <v>15740.540540540538</v>
      </c>
      <c r="AQ218" s="88">
        <f>IF(AO218="",0,AO218/(1+$E218/100)*$G218)</f>
        <v>4005.405405405405</v>
      </c>
      <c r="AR218" s="88">
        <f>AP218+AQ218</f>
        <v>19745.945945945943</v>
      </c>
      <c r="AS218" s="89">
        <f>IF(OR(AR218=0,$L218=0),"",$L218/AR218)</f>
        <v>0.62038151447292222</v>
      </c>
      <c r="AT218" s="89">
        <f>IF(OR(AP218=0,$J218=0),"",$J218/AP218)</f>
        <v>0.61144340029353861</v>
      </c>
      <c r="AU218" s="89">
        <f>IF(OR(AQ218=0,$K218=0),"",$K218/AQ218)</f>
        <v>0.65550673510769253</v>
      </c>
      <c r="AV218" s="83">
        <f>BY218+SCENARIU!$C$34+SCENARIU!$D$34+SCENARIU!$E$34+SCENARIU!$F$34+'AJUSTĂRI PE PRODUS'!$I$68+'AJUSTĂRI PE PRODUS'!$N$68+'AJUSTĂRI PE PRODUS'!$S$68+'AJUSTĂRI PE PRODUS'!$X$68</f>
        <v>39</v>
      </c>
      <c r="AW218" s="83">
        <f>BZ218+SCENARIU!$C$34+SCENARIU!$D$34+SCENARIU!$E$34+SCENARIU!$F$34+'AJUSTĂRI PE PRODUS'!$J$68+'AJUSTĂRI PE PRODUS'!$O$68+'AJUSTĂRI PE PRODUS'!$T$68+'AJUSTĂRI PE PRODUS'!$Y$68</f>
        <v>39</v>
      </c>
      <c r="AX218" s="90">
        <f>IF(AV218="",0,AV218/(1+$E218/100)*$F218)</f>
        <v>15740.540540540538</v>
      </c>
      <c r="AY218" s="90">
        <f>IF(AW218="",0,AW218/(1+$E218/100)*$G218)</f>
        <v>4005.405405405405</v>
      </c>
      <c r="AZ218" s="90">
        <f>AX218+AY218</f>
        <v>19745.945945945943</v>
      </c>
      <c r="BA218" s="91">
        <f>IF(OR(AZ218=0,$L218=0),"",$L218/AZ218)</f>
        <v>0.62038151447292222</v>
      </c>
      <c r="BB218" s="91">
        <f>IF(OR(AX218=0,$J218=0),"",$J218/AX218)</f>
        <v>0.61144340029353861</v>
      </c>
      <c r="BC218" s="91">
        <f>IF(OR(AY218=0,$K218=0),"",$K218/AY218)</f>
        <v>0.65550673510769253</v>
      </c>
      <c r="BD218" s="92">
        <f>IF(OR($N218="",P218=""),"",P218-$N218)</f>
        <v>0</v>
      </c>
      <c r="BE218" s="92">
        <f>IF(OR(P218="",X218=""),"",X218-P218)</f>
        <v>0</v>
      </c>
      <c r="BF218" s="92">
        <f>IF(OR(X218="",AF218=""),"",AF218-X218)</f>
        <v>0</v>
      </c>
      <c r="BG218" s="92">
        <f>IF(OR(AF218="",AN218=""),"",AN218-AF218)</f>
        <v>0</v>
      </c>
      <c r="BH218" s="92">
        <f>IF(OR(AN218="",AV218=""),"",AV218-AN218)</f>
        <v>0</v>
      </c>
      <c r="BI218" s="93">
        <f>IF(OR($N218="",AV218=""),"",AV218-$N218)</f>
        <v>0</v>
      </c>
      <c r="BJ218" s="92">
        <f>IF(OR($O218="",Q218=""),"",Q218-$O218)</f>
        <v>0</v>
      </c>
      <c r="BK218" s="92">
        <f>IF(OR(Q218="",Y218=""),"",Y218-Q218)</f>
        <v>0</v>
      </c>
      <c r="BL218" s="92">
        <f>IF(OR(Y218="",AG218=""),"",AG218-Y218)</f>
        <v>0</v>
      </c>
      <c r="BM218" s="92">
        <f>IF(OR(AG218="",AO218=""),"",AO218-AG218)</f>
        <v>0</v>
      </c>
      <c r="BN218" s="92">
        <f>IF(OR(AO218="",AW218=""),"",AW218-AO218)</f>
        <v>0</v>
      </c>
      <c r="BO218" s="93">
        <f>IF(OR($O218="",AW218=""),"",AW218-$O218)</f>
        <v>0</v>
      </c>
      <c r="BQ218">
        <v>39</v>
      </c>
      <c r="BR218">
        <v>39</v>
      </c>
      <c r="BS218">
        <v>39</v>
      </c>
      <c r="BT218">
        <v>39</v>
      </c>
      <c r="BU218">
        <v>39</v>
      </c>
      <c r="BV218">
        <v>39</v>
      </c>
      <c r="BW218">
        <v>39</v>
      </c>
      <c r="BX218">
        <v>39</v>
      </c>
      <c r="BY218">
        <v>39</v>
      </c>
      <c r="BZ218">
        <v>39</v>
      </c>
    </row>
    <row r="219" spans="1:78" x14ac:dyDescent="0.2">
      <c r="A219" s="26">
        <v>2</v>
      </c>
      <c r="B219" s="26" t="s">
        <v>195</v>
      </c>
      <c r="C219" s="26" t="s">
        <v>109</v>
      </c>
      <c r="D219" s="74">
        <v>1</v>
      </c>
      <c r="E219" s="75">
        <v>11</v>
      </c>
      <c r="F219" s="76">
        <v>455</v>
      </c>
      <c r="G219" s="76">
        <v>106</v>
      </c>
      <c r="H219" s="77">
        <f>SUMIFS(RETETAR!$I$4:$I$967,RETETAR!$A$4:$A$967,$M219,RETETAR!$C$4:$C$967,"AMBELE")+SUMIFS(RETETAR!$I$4:$I$967,RETETAR!$A$4:$A$967,$M219,RETETAR!$C$4:$C$967,"INSTORE")</f>
        <v>20.303856056800004</v>
      </c>
      <c r="I219" s="77">
        <f>SUMIFS(RETETAR!$I$4:$I$967,RETETAR!$A$4:$A$967,$M219,RETETAR!$C$4:$C$967,"AMBELE")+SUMIFS(RETETAR!$I$4:$I$967,RETETAR!$A$4:$A$967,$M219,RETETAR!$C$4:$C$967,"DELIVERY")</f>
        <v>21.852027280000001</v>
      </c>
      <c r="J219" s="78">
        <f>$H219*$F219</f>
        <v>9238.2545058440028</v>
      </c>
      <c r="K219" s="78">
        <f>$I219*$G219</f>
        <v>2316.3148916800001</v>
      </c>
      <c r="L219" s="78">
        <f>$J219+$K219</f>
        <v>11554.569397524003</v>
      </c>
      <c r="M219" t="s">
        <v>195</v>
      </c>
      <c r="N219" s="79">
        <v>39</v>
      </c>
      <c r="O219" s="79">
        <v>39</v>
      </c>
      <c r="P219" s="80">
        <v>39</v>
      </c>
      <c r="Q219" s="80">
        <v>39</v>
      </c>
      <c r="R219" s="81">
        <f>IF(P219="",0,P219/(1+$E219/100)*$F219)</f>
        <v>15986.486486486485</v>
      </c>
      <c r="S219" s="81">
        <f>IF(Q219="",0,Q219/(1+$E219/100)*$G219)</f>
        <v>3724.3243243243237</v>
      </c>
      <c r="T219" s="81">
        <f>R219+S219</f>
        <v>19710.81081081081</v>
      </c>
      <c r="U219" s="82">
        <f>IF(OR(T219=0,$L219=0),"",$L219/T219)</f>
        <v>0.58620467257423303</v>
      </c>
      <c r="V219" s="82">
        <f>IF(OR(R219=0,$J219=0),"",$J219/R219)</f>
        <v>0.57787898007815408</v>
      </c>
      <c r="W219" s="82">
        <f>IF(OR(S219=0,$K219=0),"",$K219/S219)</f>
        <v>0.62194231489230778</v>
      </c>
      <c r="X219" s="83">
        <f>BS219+SCENARIU!$C$34+'AJUSTĂRI PE PRODUS'!$I$69</f>
        <v>39</v>
      </c>
      <c r="Y219" s="83">
        <f>BT219+SCENARIU!$C$34+'AJUSTĂRI PE PRODUS'!$J$69</f>
        <v>39</v>
      </c>
      <c r="Z219" s="84">
        <f>IF(X219="",0,X219/(1+$E219/100)*$F219)</f>
        <v>15986.486486486485</v>
      </c>
      <c r="AA219" s="84">
        <f>IF(Y219="",0,Y219/(1+$E219/100)*$G219)</f>
        <v>3724.3243243243237</v>
      </c>
      <c r="AB219" s="84">
        <f>Z219+AA219</f>
        <v>19710.81081081081</v>
      </c>
      <c r="AC219" s="85">
        <f>IF(OR(AB219=0,$L219=0),"",$L219/AB219)</f>
        <v>0.58620467257423303</v>
      </c>
      <c r="AD219" s="85">
        <f>IF(OR(Z219=0,$J219=0),"",$J219/Z219)</f>
        <v>0.57787898007815408</v>
      </c>
      <c r="AE219" s="85">
        <f>IF(OR(AA219=0,$K219=0),"",$K219/AA219)</f>
        <v>0.62194231489230778</v>
      </c>
      <c r="AF219" s="83">
        <f>BU219+SCENARIU!$C$34+SCENARIU!$D$34+'AJUSTĂRI PE PRODUS'!$I$69+'AJUSTĂRI PE PRODUS'!$N$69</f>
        <v>39</v>
      </c>
      <c r="AG219" s="83">
        <f>BV219+SCENARIU!$C$34+SCENARIU!$D$34+'AJUSTĂRI PE PRODUS'!$J$69+'AJUSTĂRI PE PRODUS'!$O$69</f>
        <v>39</v>
      </c>
      <c r="AH219" s="86">
        <f>IF(AF219="",0,AF219/(1+$E219/100)*$F219)</f>
        <v>15986.486486486485</v>
      </c>
      <c r="AI219" s="86">
        <f>IF(AG219="",0,AG219/(1+$E219/100)*$G219)</f>
        <v>3724.3243243243237</v>
      </c>
      <c r="AJ219" s="86">
        <f>AH219+AI219</f>
        <v>19710.81081081081</v>
      </c>
      <c r="AK219" s="87">
        <f>IF(OR(AJ219=0,$L219=0),"",$L219/AJ219)</f>
        <v>0.58620467257423303</v>
      </c>
      <c r="AL219" s="87">
        <f>IF(OR(AH219=0,$J219=0),"",$J219/AH219)</f>
        <v>0.57787898007815408</v>
      </c>
      <c r="AM219" s="87">
        <f>IF(OR(AI219=0,$K219=0),"",$K219/AI219)</f>
        <v>0.62194231489230778</v>
      </c>
      <c r="AN219" s="83">
        <f>BW219+SCENARIU!$C$34+SCENARIU!$D$34+SCENARIU!$E$34+'AJUSTĂRI PE PRODUS'!$I$69+'AJUSTĂRI PE PRODUS'!$N$69+'AJUSTĂRI PE PRODUS'!$S$69</f>
        <v>39</v>
      </c>
      <c r="AO219" s="83">
        <f>BX219+SCENARIU!$C$34+SCENARIU!$D$34+SCENARIU!$E$34+'AJUSTĂRI PE PRODUS'!$J$69+'AJUSTĂRI PE PRODUS'!$O$69+'AJUSTĂRI PE PRODUS'!$T$69</f>
        <v>39</v>
      </c>
      <c r="AP219" s="88">
        <f>IF(AN219="",0,AN219/(1+$E219/100)*$F219)</f>
        <v>15986.486486486485</v>
      </c>
      <c r="AQ219" s="88">
        <f>IF(AO219="",0,AO219/(1+$E219/100)*$G219)</f>
        <v>3724.3243243243237</v>
      </c>
      <c r="AR219" s="88">
        <f>AP219+AQ219</f>
        <v>19710.81081081081</v>
      </c>
      <c r="AS219" s="89">
        <f>IF(OR(AR219=0,$L219=0),"",$L219/AR219)</f>
        <v>0.58620467257423303</v>
      </c>
      <c r="AT219" s="89">
        <f>IF(OR(AP219=0,$J219=0),"",$J219/AP219)</f>
        <v>0.57787898007815408</v>
      </c>
      <c r="AU219" s="89">
        <f>IF(OR(AQ219=0,$K219=0),"",$K219/AQ219)</f>
        <v>0.62194231489230778</v>
      </c>
      <c r="AV219" s="83">
        <f>BY219+SCENARIU!$C$34+SCENARIU!$D$34+SCENARIU!$E$34+SCENARIU!$F$34+'AJUSTĂRI PE PRODUS'!$I$69+'AJUSTĂRI PE PRODUS'!$N$69+'AJUSTĂRI PE PRODUS'!$S$69+'AJUSTĂRI PE PRODUS'!$X$69</f>
        <v>39</v>
      </c>
      <c r="AW219" s="83">
        <f>BZ219+SCENARIU!$C$34+SCENARIU!$D$34+SCENARIU!$E$34+SCENARIU!$F$34+'AJUSTĂRI PE PRODUS'!$J$69+'AJUSTĂRI PE PRODUS'!$O$69+'AJUSTĂRI PE PRODUS'!$T$69+'AJUSTĂRI PE PRODUS'!$Y$69</f>
        <v>39</v>
      </c>
      <c r="AX219" s="90">
        <f>IF(AV219="",0,AV219/(1+$E219/100)*$F219)</f>
        <v>15986.486486486485</v>
      </c>
      <c r="AY219" s="90">
        <f>IF(AW219="",0,AW219/(1+$E219/100)*$G219)</f>
        <v>3724.3243243243237</v>
      </c>
      <c r="AZ219" s="90">
        <f>AX219+AY219</f>
        <v>19710.81081081081</v>
      </c>
      <c r="BA219" s="91">
        <f>IF(OR(AZ219=0,$L219=0),"",$L219/AZ219)</f>
        <v>0.58620467257423303</v>
      </c>
      <c r="BB219" s="91">
        <f>IF(OR(AX219=0,$J219=0),"",$J219/AX219)</f>
        <v>0.57787898007815408</v>
      </c>
      <c r="BC219" s="91">
        <f>IF(OR(AY219=0,$K219=0),"",$K219/AY219)</f>
        <v>0.62194231489230778</v>
      </c>
      <c r="BD219" s="92">
        <f>IF(OR($N219="",P219=""),"",P219-$N219)</f>
        <v>0</v>
      </c>
      <c r="BE219" s="92">
        <f>IF(OR(P219="",X219=""),"",X219-P219)</f>
        <v>0</v>
      </c>
      <c r="BF219" s="92">
        <f>IF(OR(X219="",AF219=""),"",AF219-X219)</f>
        <v>0</v>
      </c>
      <c r="BG219" s="92">
        <f>IF(OR(AF219="",AN219=""),"",AN219-AF219)</f>
        <v>0</v>
      </c>
      <c r="BH219" s="92">
        <f>IF(OR(AN219="",AV219=""),"",AV219-AN219)</f>
        <v>0</v>
      </c>
      <c r="BI219" s="93">
        <f>IF(OR($N219="",AV219=""),"",AV219-$N219)</f>
        <v>0</v>
      </c>
      <c r="BJ219" s="92">
        <f>IF(OR($O219="",Q219=""),"",Q219-$O219)</f>
        <v>0</v>
      </c>
      <c r="BK219" s="92">
        <f>IF(OR(Q219="",Y219=""),"",Y219-Q219)</f>
        <v>0</v>
      </c>
      <c r="BL219" s="92">
        <f>IF(OR(Y219="",AG219=""),"",AG219-Y219)</f>
        <v>0</v>
      </c>
      <c r="BM219" s="92">
        <f>IF(OR(AG219="",AO219=""),"",AO219-AG219)</f>
        <v>0</v>
      </c>
      <c r="BN219" s="92">
        <f>IF(OR(AO219="",AW219=""),"",AW219-AO219)</f>
        <v>0</v>
      </c>
      <c r="BO219" s="93">
        <f>IF(OR($O219="",AW219=""),"",AW219-$O219)</f>
        <v>0</v>
      </c>
      <c r="BQ219">
        <v>39</v>
      </c>
      <c r="BR219">
        <v>39</v>
      </c>
      <c r="BS219">
        <v>39</v>
      </c>
      <c r="BT219">
        <v>39</v>
      </c>
      <c r="BU219">
        <v>39</v>
      </c>
      <c r="BV219">
        <v>39</v>
      </c>
      <c r="BW219">
        <v>39</v>
      </c>
      <c r="BX219">
        <v>39</v>
      </c>
      <c r="BY219">
        <v>39</v>
      </c>
      <c r="BZ219">
        <v>39</v>
      </c>
    </row>
    <row r="220" spans="1:78" x14ac:dyDescent="0.2">
      <c r="A220" s="26">
        <v>3</v>
      </c>
      <c r="B220" s="26" t="s">
        <v>214</v>
      </c>
      <c r="C220" s="26" t="s">
        <v>109</v>
      </c>
      <c r="D220" s="74">
        <v>1</v>
      </c>
      <c r="E220" s="75">
        <v>11</v>
      </c>
      <c r="F220" s="76">
        <v>247</v>
      </c>
      <c r="G220" s="76">
        <v>41</v>
      </c>
      <c r="H220" s="77">
        <f>SUMIFS(RETETAR!$I$4:$I$967,RETETAR!$A$4:$A$967,$M220,RETETAR!$C$4:$C$967,"AMBELE")+SUMIFS(RETETAR!$I$4:$I$967,RETETAR!$A$4:$A$967,$M220,RETETAR!$C$4:$C$967,"INSTORE")</f>
        <v>23.571288196800001</v>
      </c>
      <c r="I220" s="77">
        <f>SUMIFS(RETETAR!$I$4:$I$967,RETETAR!$A$4:$A$967,$M220,RETETAR!$C$4:$C$967,"AMBELE")+SUMIFS(RETETAR!$I$4:$I$967,RETETAR!$A$4:$A$967,$M220,RETETAR!$C$4:$C$967,"DELIVERY")</f>
        <v>25.119459419999998</v>
      </c>
      <c r="J220" s="78">
        <f>$H220*$F220</f>
        <v>5822.1081846096004</v>
      </c>
      <c r="K220" s="78">
        <f>$I220*$G220</f>
        <v>1029.89783622</v>
      </c>
      <c r="L220" s="78">
        <f>$J220+$K220</f>
        <v>6852.0060208295999</v>
      </c>
      <c r="M220" t="s">
        <v>214</v>
      </c>
      <c r="N220" s="79">
        <v>39</v>
      </c>
      <c r="O220" s="79">
        <v>39</v>
      </c>
      <c r="P220" s="80">
        <v>39</v>
      </c>
      <c r="Q220" s="80">
        <v>39</v>
      </c>
      <c r="R220" s="81">
        <f>IF(P220="",0,P220/(1+$E220/100)*$F220)</f>
        <v>8678.3783783783765</v>
      </c>
      <c r="S220" s="81">
        <f>IF(Q220="",0,Q220/(1+$E220/100)*$G220)</f>
        <v>1440.5405405405404</v>
      </c>
      <c r="T220" s="81">
        <f>R220+S220</f>
        <v>10118.918918918916</v>
      </c>
      <c r="U220" s="82">
        <f>IF(OR(T220=0,$L220=0),"",$L220/T220)</f>
        <v>0.67714803090463482</v>
      </c>
      <c r="V220" s="82">
        <f>IF(OR(R220=0,$J220=0),"",$J220/R220)</f>
        <v>0.67087512560123097</v>
      </c>
      <c r="W220" s="82">
        <f>IF(OR(S220=0,$K220=0),"",$K220/S220)</f>
        <v>0.71493846041538467</v>
      </c>
      <c r="X220" s="83">
        <f>BS220+SCENARIU!$C$34+'AJUSTĂRI PE PRODUS'!$I$89</f>
        <v>39</v>
      </c>
      <c r="Y220" s="83">
        <f>BT220+SCENARIU!$C$34+'AJUSTĂRI PE PRODUS'!$J$89</f>
        <v>39</v>
      </c>
      <c r="Z220" s="84">
        <f>IF(X220="",0,X220/(1+$E220/100)*$F220)</f>
        <v>8678.3783783783765</v>
      </c>
      <c r="AA220" s="84">
        <f>IF(Y220="",0,Y220/(1+$E220/100)*$G220)</f>
        <v>1440.5405405405404</v>
      </c>
      <c r="AB220" s="84">
        <f>Z220+AA220</f>
        <v>10118.918918918916</v>
      </c>
      <c r="AC220" s="85">
        <f>IF(OR(AB220=0,$L220=0),"",$L220/AB220)</f>
        <v>0.67714803090463482</v>
      </c>
      <c r="AD220" s="85">
        <f>IF(OR(Z220=0,$J220=0),"",$J220/Z220)</f>
        <v>0.67087512560123097</v>
      </c>
      <c r="AE220" s="85">
        <f>IF(OR(AA220=0,$K220=0),"",$K220/AA220)</f>
        <v>0.71493846041538467</v>
      </c>
      <c r="AF220" s="83">
        <f>BU220+SCENARIU!$C$34+SCENARIU!$D$34+'AJUSTĂRI PE PRODUS'!$I$89+'AJUSTĂRI PE PRODUS'!$N$89</f>
        <v>39</v>
      </c>
      <c r="AG220" s="83">
        <f>BV220+SCENARIU!$C$34+SCENARIU!$D$34+'AJUSTĂRI PE PRODUS'!$J$89+'AJUSTĂRI PE PRODUS'!$O$89</f>
        <v>39</v>
      </c>
      <c r="AH220" s="86">
        <f>IF(AF220="",0,AF220/(1+$E220/100)*$F220)</f>
        <v>8678.3783783783765</v>
      </c>
      <c r="AI220" s="86">
        <f>IF(AG220="",0,AG220/(1+$E220/100)*$G220)</f>
        <v>1440.5405405405404</v>
      </c>
      <c r="AJ220" s="86">
        <f>AH220+AI220</f>
        <v>10118.918918918916</v>
      </c>
      <c r="AK220" s="87">
        <f>IF(OR(AJ220=0,$L220=0),"",$L220/AJ220)</f>
        <v>0.67714803090463482</v>
      </c>
      <c r="AL220" s="87">
        <f>IF(OR(AH220=0,$J220=0),"",$J220/AH220)</f>
        <v>0.67087512560123097</v>
      </c>
      <c r="AM220" s="87">
        <f>IF(OR(AI220=0,$K220=0),"",$K220/AI220)</f>
        <v>0.71493846041538467</v>
      </c>
      <c r="AN220" s="83">
        <f>BW220+SCENARIU!$C$34+SCENARIU!$D$34+SCENARIU!$E$34+'AJUSTĂRI PE PRODUS'!$I$89+'AJUSTĂRI PE PRODUS'!$N$89+'AJUSTĂRI PE PRODUS'!$S$89</f>
        <v>39</v>
      </c>
      <c r="AO220" s="83">
        <f>BX220+SCENARIU!$C$34+SCENARIU!$D$34+SCENARIU!$E$34+'AJUSTĂRI PE PRODUS'!$J$89+'AJUSTĂRI PE PRODUS'!$O$89+'AJUSTĂRI PE PRODUS'!$T$89</f>
        <v>39</v>
      </c>
      <c r="AP220" s="88">
        <f>IF(AN220="",0,AN220/(1+$E220/100)*$F220)</f>
        <v>8678.3783783783765</v>
      </c>
      <c r="AQ220" s="88">
        <f>IF(AO220="",0,AO220/(1+$E220/100)*$G220)</f>
        <v>1440.5405405405404</v>
      </c>
      <c r="AR220" s="88">
        <f>AP220+AQ220</f>
        <v>10118.918918918916</v>
      </c>
      <c r="AS220" s="89">
        <f>IF(OR(AR220=0,$L220=0),"",$L220/AR220)</f>
        <v>0.67714803090463482</v>
      </c>
      <c r="AT220" s="89">
        <f>IF(OR(AP220=0,$J220=0),"",$J220/AP220)</f>
        <v>0.67087512560123097</v>
      </c>
      <c r="AU220" s="89">
        <f>IF(OR(AQ220=0,$K220=0),"",$K220/AQ220)</f>
        <v>0.71493846041538467</v>
      </c>
      <c r="AV220" s="83">
        <f>BY220+SCENARIU!$C$34+SCENARIU!$D$34+SCENARIU!$E$34+SCENARIU!$F$34+'AJUSTĂRI PE PRODUS'!$I$89+'AJUSTĂRI PE PRODUS'!$N$89+'AJUSTĂRI PE PRODUS'!$S$89+'AJUSTĂRI PE PRODUS'!$X$89</f>
        <v>39</v>
      </c>
      <c r="AW220" s="83">
        <f>BZ220+SCENARIU!$C$34+SCENARIU!$D$34+SCENARIU!$E$34+SCENARIU!$F$34+'AJUSTĂRI PE PRODUS'!$J$89+'AJUSTĂRI PE PRODUS'!$O$89+'AJUSTĂRI PE PRODUS'!$T$89+'AJUSTĂRI PE PRODUS'!$Y$89</f>
        <v>39</v>
      </c>
      <c r="AX220" s="90">
        <f>IF(AV220="",0,AV220/(1+$E220/100)*$F220)</f>
        <v>8678.3783783783765</v>
      </c>
      <c r="AY220" s="90">
        <f>IF(AW220="",0,AW220/(1+$E220/100)*$G220)</f>
        <v>1440.5405405405404</v>
      </c>
      <c r="AZ220" s="90">
        <f>AX220+AY220</f>
        <v>10118.918918918916</v>
      </c>
      <c r="BA220" s="91">
        <f>IF(OR(AZ220=0,$L220=0),"",$L220/AZ220)</f>
        <v>0.67714803090463482</v>
      </c>
      <c r="BB220" s="91">
        <f>IF(OR(AX220=0,$J220=0),"",$J220/AX220)</f>
        <v>0.67087512560123097</v>
      </c>
      <c r="BC220" s="91">
        <f>IF(OR(AY220=0,$K220=0),"",$K220/AY220)</f>
        <v>0.71493846041538467</v>
      </c>
      <c r="BD220" s="92">
        <f>IF(OR($N220="",P220=""),"",P220-$N220)</f>
        <v>0</v>
      </c>
      <c r="BE220" s="92">
        <f>IF(OR(P220="",X220=""),"",X220-P220)</f>
        <v>0</v>
      </c>
      <c r="BF220" s="92">
        <f>IF(OR(X220="",AF220=""),"",AF220-X220)</f>
        <v>0</v>
      </c>
      <c r="BG220" s="92">
        <f>IF(OR(AF220="",AN220=""),"",AN220-AF220)</f>
        <v>0</v>
      </c>
      <c r="BH220" s="92">
        <f>IF(OR(AN220="",AV220=""),"",AV220-AN220)</f>
        <v>0</v>
      </c>
      <c r="BI220" s="93">
        <f>IF(OR($N220="",AV220=""),"",AV220-$N220)</f>
        <v>0</v>
      </c>
      <c r="BJ220" s="92">
        <f>IF(OR($O220="",Q220=""),"",Q220-$O220)</f>
        <v>0</v>
      </c>
      <c r="BK220" s="92">
        <f>IF(OR(Q220="",Y220=""),"",Y220-Q220)</f>
        <v>0</v>
      </c>
      <c r="BL220" s="92">
        <f>IF(OR(Y220="",AG220=""),"",AG220-Y220)</f>
        <v>0</v>
      </c>
      <c r="BM220" s="92">
        <f>IF(OR(AG220="",AO220=""),"",AO220-AG220)</f>
        <v>0</v>
      </c>
      <c r="BN220" s="92">
        <f>IF(OR(AO220="",AW220=""),"",AW220-AO220)</f>
        <v>0</v>
      </c>
      <c r="BO220" s="93">
        <f>IF(OR($O220="",AW220=""),"",AW220-$O220)</f>
        <v>0</v>
      </c>
      <c r="BQ220">
        <v>39</v>
      </c>
      <c r="BR220">
        <v>39</v>
      </c>
      <c r="BS220">
        <v>39</v>
      </c>
      <c r="BT220">
        <v>39</v>
      </c>
      <c r="BU220">
        <v>39</v>
      </c>
      <c r="BV220">
        <v>39</v>
      </c>
      <c r="BW220">
        <v>39</v>
      </c>
      <c r="BX220">
        <v>39</v>
      </c>
      <c r="BY220">
        <v>39</v>
      </c>
      <c r="BZ220">
        <v>39</v>
      </c>
    </row>
    <row r="221" spans="1:78" x14ac:dyDescent="0.2">
      <c r="A221" s="94" t="s">
        <v>463</v>
      </c>
      <c r="B221" s="95"/>
      <c r="C221" s="95"/>
      <c r="D221" s="95"/>
      <c r="E221" s="95"/>
      <c r="F221" s="95"/>
      <c r="G221" s="95"/>
      <c r="H221" s="95"/>
      <c r="I221" s="95"/>
      <c r="J221" s="95"/>
      <c r="K221" s="95"/>
      <c r="L221" s="96">
        <f>SUM(L218:L220)</f>
        <v>30656.595269000005</v>
      </c>
      <c r="M221" s="95"/>
      <c r="N221" s="95"/>
      <c r="O221" s="95"/>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95"/>
      <c r="AO221" s="95"/>
      <c r="AP221" s="95"/>
      <c r="AQ221" s="95"/>
      <c r="AR221" s="95"/>
      <c r="AS221" s="95"/>
      <c r="AT221" s="95"/>
      <c r="AU221" s="95"/>
      <c r="AV221" s="95"/>
      <c r="AW221" s="95"/>
      <c r="AX221" s="95"/>
      <c r="AY221" s="95"/>
      <c r="AZ221" s="95"/>
      <c r="BA221" s="95"/>
      <c r="BB221" s="95"/>
      <c r="BC221" s="95"/>
      <c r="BD221" s="95"/>
      <c r="BE221" s="95"/>
      <c r="BF221" s="95"/>
      <c r="BG221" s="95"/>
      <c r="BH221" s="95"/>
      <c r="BI221" s="95"/>
      <c r="BJ221" s="95"/>
      <c r="BK221" s="95"/>
      <c r="BL221" s="95"/>
      <c r="BM221" s="95"/>
      <c r="BN221" s="95"/>
      <c r="BO221" s="95"/>
    </row>
    <row r="222" spans="1:78" x14ac:dyDescent="0.2">
      <c r="A222" s="72" t="s">
        <v>110</v>
      </c>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row>
    <row r="223" spans="1:78" x14ac:dyDescent="0.2">
      <c r="A223" s="26">
        <v>1</v>
      </c>
      <c r="B223" s="26" t="s">
        <v>190</v>
      </c>
      <c r="C223" s="26" t="s">
        <v>110</v>
      </c>
      <c r="D223" s="97">
        <v>0</v>
      </c>
      <c r="E223" s="75">
        <v>11</v>
      </c>
      <c r="F223" s="76">
        <v>737</v>
      </c>
      <c r="G223" s="76">
        <v>0</v>
      </c>
      <c r="H223" s="77">
        <v>15.661899999999999</v>
      </c>
      <c r="I223" s="77">
        <v>15.661899999999999</v>
      </c>
      <c r="J223" s="78">
        <f>$H223*$F223</f>
        <v>11542.820299999999</v>
      </c>
      <c r="K223" s="78">
        <f>$I223*$G223</f>
        <v>0</v>
      </c>
      <c r="L223" s="78">
        <f>$J223+$K223</f>
        <v>11542.820299999999</v>
      </c>
      <c r="M223" t="s">
        <v>190</v>
      </c>
      <c r="N223" s="79">
        <v>29.99</v>
      </c>
      <c r="O223" s="79"/>
      <c r="P223" s="80">
        <v>29.99</v>
      </c>
      <c r="Q223" s="80"/>
      <c r="R223" s="81">
        <f>IF(P223="",0,P223/(1+$E223/100)*$F223)</f>
        <v>19912.279279279279</v>
      </c>
      <c r="S223" s="81">
        <f>IF(Q223="",0,Q223/(1+$E223/100)*$G223)</f>
        <v>0</v>
      </c>
      <c r="T223" s="81">
        <f>R223+S223</f>
        <v>19912.279279279279</v>
      </c>
      <c r="U223" s="82">
        <f>IF(OR(T223=0,$L223=0),"",$L223/T223)</f>
        <v>0.57968352784261423</v>
      </c>
      <c r="V223" s="82">
        <f>IF(OR(R223=0,$J223=0),"",$J223/R223)</f>
        <v>0.57968352784261423</v>
      </c>
      <c r="W223" s="82" t="str">
        <f>IF(OR(S223=0,$K223=0),"",$K223/S223)</f>
        <v/>
      </c>
      <c r="X223" s="83"/>
      <c r="Y223" s="83"/>
      <c r="Z223" s="84">
        <f>IF(X223="",0,X223/(1+$E223/100)*$F223)</f>
        <v>0</v>
      </c>
      <c r="AA223" s="84">
        <f>IF(Y223="",0,Y223/(1+$E223/100)*$G223)</f>
        <v>0</v>
      </c>
      <c r="AB223" s="84">
        <f>Z223+AA223</f>
        <v>0</v>
      </c>
      <c r="AC223" s="85" t="str">
        <f>IF(OR(AB223=0,$L223=0),"",$L223/AB223)</f>
        <v/>
      </c>
      <c r="AD223" s="85" t="str">
        <f>IF(OR(Z223=0,$J223=0),"",$J223/Z223)</f>
        <v/>
      </c>
      <c r="AE223" s="85" t="str">
        <f>IF(OR(AA223=0,$K223=0),"",$K223/AA223)</f>
        <v/>
      </c>
      <c r="AF223" s="83"/>
      <c r="AG223" s="83"/>
      <c r="AH223" s="86">
        <f>IF(AF223="",0,AF223/(1+$E223/100)*$F223)</f>
        <v>0</v>
      </c>
      <c r="AI223" s="86">
        <f>IF(AG223="",0,AG223/(1+$E223/100)*$G223)</f>
        <v>0</v>
      </c>
      <c r="AJ223" s="86">
        <f>AH223+AI223</f>
        <v>0</v>
      </c>
      <c r="AK223" s="87" t="str">
        <f>IF(OR(AJ223=0,$L223=0),"",$L223/AJ223)</f>
        <v/>
      </c>
      <c r="AL223" s="87" t="str">
        <f>IF(OR(AH223=0,$J223=0),"",$J223/AH223)</f>
        <v/>
      </c>
      <c r="AM223" s="87" t="str">
        <f>IF(OR(AI223=0,$K223=0),"",$K223/AI223)</f>
        <v/>
      </c>
      <c r="AN223" s="83"/>
      <c r="AO223" s="83"/>
      <c r="AP223" s="88">
        <f>IF(AN223="",0,AN223/(1+$E223/100)*$F223)</f>
        <v>0</v>
      </c>
      <c r="AQ223" s="88">
        <f>IF(AO223="",0,AO223/(1+$E223/100)*$G223)</f>
        <v>0</v>
      </c>
      <c r="AR223" s="88">
        <f>AP223+AQ223</f>
        <v>0</v>
      </c>
      <c r="AS223" s="89" t="str">
        <f>IF(OR(AR223=0,$L223=0),"",$L223/AR223)</f>
        <v/>
      </c>
      <c r="AT223" s="89" t="str">
        <f>IF(OR(AP223=0,$J223=0),"",$J223/AP223)</f>
        <v/>
      </c>
      <c r="AU223" s="89" t="str">
        <f>IF(OR(AQ223=0,$K223=0),"",$K223/AQ223)</f>
        <v/>
      </c>
      <c r="AV223" s="83"/>
      <c r="AW223" s="83"/>
      <c r="AX223" s="90">
        <f>IF(AV223="",0,AV223/(1+$E223/100)*$F223)</f>
        <v>0</v>
      </c>
      <c r="AY223" s="90">
        <f>IF(AW223="",0,AW223/(1+$E223/100)*$G223)</f>
        <v>0</v>
      </c>
      <c r="AZ223" s="90">
        <f>AX223+AY223</f>
        <v>0</v>
      </c>
      <c r="BA223" s="91" t="str">
        <f>IF(OR(AZ223=0,$L223=0),"",$L223/AZ223)</f>
        <v/>
      </c>
      <c r="BB223" s="91" t="str">
        <f>IF(OR(AX223=0,$J223=0),"",$J223/AX223)</f>
        <v/>
      </c>
      <c r="BC223" s="91" t="str">
        <f>IF(OR(AY223=0,$K223=0),"",$K223/AY223)</f>
        <v/>
      </c>
      <c r="BD223" s="92">
        <f>IF(OR($N223="",P223=""),"",P223-$N223)</f>
        <v>0</v>
      </c>
      <c r="BE223" s="92" t="str">
        <f>IF(OR(P223="",X223=""),"",X223-P223)</f>
        <v/>
      </c>
      <c r="BF223" s="92" t="str">
        <f>IF(OR(X223="",AF223=""),"",AF223-X223)</f>
        <v/>
      </c>
      <c r="BG223" s="92" t="str">
        <f>IF(OR(AF223="",AN223=""),"",AN223-AF223)</f>
        <v/>
      </c>
      <c r="BH223" s="92" t="str">
        <f>IF(OR(AN223="",AV223=""),"",AV223-AN223)</f>
        <v/>
      </c>
      <c r="BI223" s="93" t="str">
        <f>IF(OR($N223="",AV223=""),"",AV223-$N223)</f>
        <v/>
      </c>
      <c r="BJ223" s="92" t="str">
        <f>IF(OR($O223="",Q223=""),"",Q223-$O223)</f>
        <v/>
      </c>
      <c r="BK223" s="92" t="str">
        <f>IF(OR(Q223="",Y223=""),"",Y223-Q223)</f>
        <v/>
      </c>
      <c r="BL223" s="92" t="str">
        <f>IF(OR(Y223="",AG223=""),"",AG223-Y223)</f>
        <v/>
      </c>
      <c r="BM223" s="92" t="str">
        <f>IF(OR(AG223="",AO223=""),"",AO223-AG223)</f>
        <v/>
      </c>
      <c r="BN223" s="92" t="str">
        <f>IF(OR(AO223="",AW223=""),"",AW223-AO223)</f>
        <v/>
      </c>
      <c r="BO223" s="93" t="str">
        <f>IF(OR($O223="",AW223=""),"",AW223-$O223)</f>
        <v/>
      </c>
      <c r="BQ223">
        <v>29.99</v>
      </c>
    </row>
    <row r="224" spans="1:78" x14ac:dyDescent="0.2">
      <c r="A224" s="26">
        <v>2</v>
      </c>
      <c r="B224" s="26" t="s">
        <v>239</v>
      </c>
      <c r="C224" s="26" t="s">
        <v>110</v>
      </c>
      <c r="D224" s="97">
        <v>0</v>
      </c>
      <c r="E224" s="75">
        <v>11</v>
      </c>
      <c r="F224" s="76">
        <v>179</v>
      </c>
      <c r="G224" s="76">
        <v>0</v>
      </c>
      <c r="H224" s="77">
        <v>10.683</v>
      </c>
      <c r="I224" s="77">
        <v>10.683</v>
      </c>
      <c r="J224" s="78">
        <f>$H224*$F224</f>
        <v>1912.2570000000001</v>
      </c>
      <c r="K224" s="78">
        <f>$I224*$G224</f>
        <v>0</v>
      </c>
      <c r="L224" s="78">
        <f>$J224+$K224</f>
        <v>1912.2570000000001</v>
      </c>
      <c r="M224" t="s">
        <v>239</v>
      </c>
      <c r="N224" s="79">
        <v>29.99</v>
      </c>
      <c r="O224" s="79"/>
      <c r="P224" s="80">
        <v>29.99</v>
      </c>
      <c r="Q224" s="80"/>
      <c r="R224" s="81">
        <f>IF(P224="",0,P224/(1+$E224/100)*$F224)</f>
        <v>4836.2252252252247</v>
      </c>
      <c r="S224" s="81">
        <f>IF(Q224="",0,Q224/(1+$E224/100)*$G224)</f>
        <v>0</v>
      </c>
      <c r="T224" s="81">
        <f>R224+S224</f>
        <v>4836.2252252252247</v>
      </c>
      <c r="U224" s="82">
        <f>IF(OR(T224=0,$L224=0),"",$L224/T224)</f>
        <v>0.3954028009336446</v>
      </c>
      <c r="V224" s="82">
        <f>IF(OR(R224=0,$J224=0),"",$J224/R224)</f>
        <v>0.3954028009336446</v>
      </c>
      <c r="W224" s="82" t="str">
        <f>IF(OR(S224=0,$K224=0),"",$K224/S224)</f>
        <v/>
      </c>
      <c r="X224" s="83"/>
      <c r="Y224" s="83"/>
      <c r="Z224" s="84">
        <f>IF(X224="",0,X224/(1+$E224/100)*$F224)</f>
        <v>0</v>
      </c>
      <c r="AA224" s="84">
        <f>IF(Y224="",0,Y224/(1+$E224/100)*$G224)</f>
        <v>0</v>
      </c>
      <c r="AB224" s="84">
        <f>Z224+AA224</f>
        <v>0</v>
      </c>
      <c r="AC224" s="85" t="str">
        <f>IF(OR(AB224=0,$L224=0),"",$L224/AB224)</f>
        <v/>
      </c>
      <c r="AD224" s="85" t="str">
        <f>IF(OR(Z224=0,$J224=0),"",$J224/Z224)</f>
        <v/>
      </c>
      <c r="AE224" s="85" t="str">
        <f>IF(OR(AA224=0,$K224=0),"",$K224/AA224)</f>
        <v/>
      </c>
      <c r="AF224" s="83"/>
      <c r="AG224" s="83"/>
      <c r="AH224" s="86">
        <f>IF(AF224="",0,AF224/(1+$E224/100)*$F224)</f>
        <v>0</v>
      </c>
      <c r="AI224" s="86">
        <f>IF(AG224="",0,AG224/(1+$E224/100)*$G224)</f>
        <v>0</v>
      </c>
      <c r="AJ224" s="86">
        <f>AH224+AI224</f>
        <v>0</v>
      </c>
      <c r="AK224" s="87" t="str">
        <f>IF(OR(AJ224=0,$L224=0),"",$L224/AJ224)</f>
        <v/>
      </c>
      <c r="AL224" s="87" t="str">
        <f>IF(OR(AH224=0,$J224=0),"",$J224/AH224)</f>
        <v/>
      </c>
      <c r="AM224" s="87" t="str">
        <f>IF(OR(AI224=0,$K224=0),"",$K224/AI224)</f>
        <v/>
      </c>
      <c r="AN224" s="83"/>
      <c r="AO224" s="83"/>
      <c r="AP224" s="88">
        <f>IF(AN224="",0,AN224/(1+$E224/100)*$F224)</f>
        <v>0</v>
      </c>
      <c r="AQ224" s="88">
        <f>IF(AO224="",0,AO224/(1+$E224/100)*$G224)</f>
        <v>0</v>
      </c>
      <c r="AR224" s="88">
        <f>AP224+AQ224</f>
        <v>0</v>
      </c>
      <c r="AS224" s="89" t="str">
        <f>IF(OR(AR224=0,$L224=0),"",$L224/AR224)</f>
        <v/>
      </c>
      <c r="AT224" s="89" t="str">
        <f>IF(OR(AP224=0,$J224=0),"",$J224/AP224)</f>
        <v/>
      </c>
      <c r="AU224" s="89" t="str">
        <f>IF(OR(AQ224=0,$K224=0),"",$K224/AQ224)</f>
        <v/>
      </c>
      <c r="AV224" s="83"/>
      <c r="AW224" s="83"/>
      <c r="AX224" s="90">
        <f>IF(AV224="",0,AV224/(1+$E224/100)*$F224)</f>
        <v>0</v>
      </c>
      <c r="AY224" s="90">
        <f>IF(AW224="",0,AW224/(1+$E224/100)*$G224)</f>
        <v>0</v>
      </c>
      <c r="AZ224" s="90">
        <f>AX224+AY224</f>
        <v>0</v>
      </c>
      <c r="BA224" s="91" t="str">
        <f>IF(OR(AZ224=0,$L224=0),"",$L224/AZ224)</f>
        <v/>
      </c>
      <c r="BB224" s="91" t="str">
        <f>IF(OR(AX224=0,$J224=0),"",$J224/AX224)</f>
        <v/>
      </c>
      <c r="BC224" s="91" t="str">
        <f>IF(OR(AY224=0,$K224=0),"",$K224/AY224)</f>
        <v/>
      </c>
      <c r="BD224" s="92">
        <f>IF(OR($N224="",P224=""),"",P224-$N224)</f>
        <v>0</v>
      </c>
      <c r="BE224" s="92" t="str">
        <f>IF(OR(P224="",X224=""),"",X224-P224)</f>
        <v/>
      </c>
      <c r="BF224" s="92" t="str">
        <f>IF(OR(X224="",AF224=""),"",AF224-X224)</f>
        <v/>
      </c>
      <c r="BG224" s="92" t="str">
        <f>IF(OR(AF224="",AN224=""),"",AN224-AF224)</f>
        <v/>
      </c>
      <c r="BH224" s="92" t="str">
        <f>IF(OR(AN224="",AV224=""),"",AV224-AN224)</f>
        <v/>
      </c>
      <c r="BI224" s="93" t="str">
        <f>IF(OR($N224="",AV224=""),"",AV224-$N224)</f>
        <v/>
      </c>
      <c r="BJ224" s="92" t="str">
        <f>IF(OR($O224="",Q224=""),"",Q224-$O224)</f>
        <v/>
      </c>
      <c r="BK224" s="92" t="str">
        <f>IF(OR(Q224="",Y224=""),"",Y224-Q224)</f>
        <v/>
      </c>
      <c r="BL224" s="92" t="str">
        <f>IF(OR(Y224="",AG224=""),"",AG224-Y224)</f>
        <v/>
      </c>
      <c r="BM224" s="92" t="str">
        <f>IF(OR(AG224="",AO224=""),"",AO224-AG224)</f>
        <v/>
      </c>
      <c r="BN224" s="92" t="str">
        <f>IF(OR(AO224="",AW224=""),"",AW224-AO224)</f>
        <v/>
      </c>
      <c r="BO224" s="93" t="str">
        <f>IF(OR($O224="",AW224=""),"",AW224-$O224)</f>
        <v/>
      </c>
      <c r="BQ224">
        <v>29.99</v>
      </c>
    </row>
    <row r="225" spans="1:78" x14ac:dyDescent="0.2">
      <c r="A225" s="26">
        <v>3</v>
      </c>
      <c r="B225" s="26" t="s">
        <v>318</v>
      </c>
      <c r="C225" s="26" t="s">
        <v>110</v>
      </c>
      <c r="D225" s="74">
        <v>1</v>
      </c>
      <c r="E225" s="75">
        <v>11</v>
      </c>
      <c r="F225" s="76">
        <v>2</v>
      </c>
      <c r="G225" s="76">
        <v>0</v>
      </c>
      <c r="H225" s="77">
        <v>103.42140000000001</v>
      </c>
      <c r="I225" s="77">
        <v>103.42140000000001</v>
      </c>
      <c r="J225" s="78">
        <f>$H225*$F225</f>
        <v>206.84280000000001</v>
      </c>
      <c r="K225" s="78">
        <f>$I225*$G225</f>
        <v>0</v>
      </c>
      <c r="L225" s="78">
        <f>$J225+$K225</f>
        <v>206.84280000000001</v>
      </c>
      <c r="M225" t="s">
        <v>318</v>
      </c>
      <c r="N225" s="79">
        <v>168</v>
      </c>
      <c r="O225" s="79"/>
      <c r="P225" s="80">
        <v>168</v>
      </c>
      <c r="Q225" s="80"/>
      <c r="R225" s="81">
        <f>IF(P225="",0,P225/(1+$E225/100)*$F225)</f>
        <v>302.70270270270265</v>
      </c>
      <c r="S225" s="81">
        <f>IF(Q225="",0,Q225/(1+$E225/100)*$G225)</f>
        <v>0</v>
      </c>
      <c r="T225" s="81">
        <f>R225+S225</f>
        <v>302.70270270270265</v>
      </c>
      <c r="U225" s="82">
        <f>IF(OR(T225=0,$L225=0),"",$L225/T225)</f>
        <v>0.6833199642857144</v>
      </c>
      <c r="V225" s="82">
        <f>IF(OR(R225=0,$J225=0),"",$J225/R225)</f>
        <v>0.6833199642857144</v>
      </c>
      <c r="W225" s="82" t="str">
        <f>IF(OR(S225=0,$K225=0),"",$K225/S225)</f>
        <v/>
      </c>
      <c r="X225" s="83">
        <f>BS225+SCENARIU!$C$35+'AJUSTĂRI PE PRODUS'!$I$179</f>
        <v>168</v>
      </c>
      <c r="Y225" s="83"/>
      <c r="Z225" s="84">
        <f>IF(X225="",0,X225/(1+$E225/100)*$F225)</f>
        <v>302.70270270270265</v>
      </c>
      <c r="AA225" s="84">
        <f>IF(Y225="",0,Y225/(1+$E225/100)*$G225)</f>
        <v>0</v>
      </c>
      <c r="AB225" s="84">
        <f>Z225+AA225</f>
        <v>302.70270270270265</v>
      </c>
      <c r="AC225" s="85">
        <f>IF(OR(AB225=0,$L225=0),"",$L225/AB225)</f>
        <v>0.6833199642857144</v>
      </c>
      <c r="AD225" s="85">
        <f>IF(OR(Z225=0,$J225=0),"",$J225/Z225)</f>
        <v>0.6833199642857144</v>
      </c>
      <c r="AE225" s="85" t="str">
        <f>IF(OR(AA225=0,$K225=0),"",$K225/AA225)</f>
        <v/>
      </c>
      <c r="AF225" s="83">
        <f>BU225+SCENARIU!$C$35+SCENARIU!$D$35+'AJUSTĂRI PE PRODUS'!$I$179+'AJUSTĂRI PE PRODUS'!$N$179</f>
        <v>168</v>
      </c>
      <c r="AG225" s="83"/>
      <c r="AH225" s="86">
        <f>IF(AF225="",0,AF225/(1+$E225/100)*$F225)</f>
        <v>302.70270270270265</v>
      </c>
      <c r="AI225" s="86">
        <f>IF(AG225="",0,AG225/(1+$E225/100)*$G225)</f>
        <v>0</v>
      </c>
      <c r="AJ225" s="86">
        <f>AH225+AI225</f>
        <v>302.70270270270265</v>
      </c>
      <c r="AK225" s="87">
        <f>IF(OR(AJ225=0,$L225=0),"",$L225/AJ225)</f>
        <v>0.6833199642857144</v>
      </c>
      <c r="AL225" s="87">
        <f>IF(OR(AH225=0,$J225=0),"",$J225/AH225)</f>
        <v>0.6833199642857144</v>
      </c>
      <c r="AM225" s="87" t="str">
        <f>IF(OR(AI225=0,$K225=0),"",$K225/AI225)</f>
        <v/>
      </c>
      <c r="AN225" s="83">
        <f>BW225+SCENARIU!$C$35+SCENARIU!$D$35+SCENARIU!$E$35+'AJUSTĂRI PE PRODUS'!$I$179+'AJUSTĂRI PE PRODUS'!$N$179+'AJUSTĂRI PE PRODUS'!$S$179</f>
        <v>168</v>
      </c>
      <c r="AO225" s="83"/>
      <c r="AP225" s="88">
        <f>IF(AN225="",0,AN225/(1+$E225/100)*$F225)</f>
        <v>302.70270270270265</v>
      </c>
      <c r="AQ225" s="88">
        <f>IF(AO225="",0,AO225/(1+$E225/100)*$G225)</f>
        <v>0</v>
      </c>
      <c r="AR225" s="88">
        <f>AP225+AQ225</f>
        <v>302.70270270270265</v>
      </c>
      <c r="AS225" s="89">
        <f>IF(OR(AR225=0,$L225=0),"",$L225/AR225)</f>
        <v>0.6833199642857144</v>
      </c>
      <c r="AT225" s="89">
        <f>IF(OR(AP225=0,$J225=0),"",$J225/AP225)</f>
        <v>0.6833199642857144</v>
      </c>
      <c r="AU225" s="89" t="str">
        <f>IF(OR(AQ225=0,$K225=0),"",$K225/AQ225)</f>
        <v/>
      </c>
      <c r="AV225" s="83">
        <f>BY225+SCENARIU!$C$35+SCENARIU!$D$35+SCENARIU!$E$35+SCENARIU!$F$35+'AJUSTĂRI PE PRODUS'!$I$179+'AJUSTĂRI PE PRODUS'!$N$179+'AJUSTĂRI PE PRODUS'!$S$179+'AJUSTĂRI PE PRODUS'!$X$179</f>
        <v>168</v>
      </c>
      <c r="AW225" s="83"/>
      <c r="AX225" s="90">
        <f>IF(AV225="",0,AV225/(1+$E225/100)*$F225)</f>
        <v>302.70270270270265</v>
      </c>
      <c r="AY225" s="90">
        <f>IF(AW225="",0,AW225/(1+$E225/100)*$G225)</f>
        <v>0</v>
      </c>
      <c r="AZ225" s="90">
        <f>AX225+AY225</f>
        <v>302.70270270270265</v>
      </c>
      <c r="BA225" s="91">
        <f>IF(OR(AZ225=0,$L225=0),"",$L225/AZ225)</f>
        <v>0.6833199642857144</v>
      </c>
      <c r="BB225" s="91">
        <f>IF(OR(AX225=0,$J225=0),"",$J225/AX225)</f>
        <v>0.6833199642857144</v>
      </c>
      <c r="BC225" s="91" t="str">
        <f>IF(OR(AY225=0,$K225=0),"",$K225/AY225)</f>
        <v/>
      </c>
      <c r="BD225" s="92">
        <f>IF(OR($N225="",P225=""),"",P225-$N225)</f>
        <v>0</v>
      </c>
      <c r="BE225" s="92">
        <f>IF(OR(P225="",X225=""),"",X225-P225)</f>
        <v>0</v>
      </c>
      <c r="BF225" s="92">
        <f>IF(OR(X225="",AF225=""),"",AF225-X225)</f>
        <v>0</v>
      </c>
      <c r="BG225" s="92">
        <f>IF(OR(AF225="",AN225=""),"",AN225-AF225)</f>
        <v>0</v>
      </c>
      <c r="BH225" s="92">
        <f>IF(OR(AN225="",AV225=""),"",AV225-AN225)</f>
        <v>0</v>
      </c>
      <c r="BI225" s="93">
        <f>IF(OR($N225="",AV225=""),"",AV225-$N225)</f>
        <v>0</v>
      </c>
      <c r="BJ225" s="92" t="str">
        <f>IF(OR($O225="",Q225=""),"",Q225-$O225)</f>
        <v/>
      </c>
      <c r="BK225" s="92" t="str">
        <f>IF(OR(Q225="",Y225=""),"",Y225-Q225)</f>
        <v/>
      </c>
      <c r="BL225" s="92" t="str">
        <f>IF(OR(Y225="",AG225=""),"",AG225-Y225)</f>
        <v/>
      </c>
      <c r="BM225" s="92" t="str">
        <f>IF(OR(AG225="",AO225=""),"",AO225-AG225)</f>
        <v/>
      </c>
      <c r="BN225" s="92" t="str">
        <f>IF(OR(AO225="",AW225=""),"",AW225-AO225)</f>
        <v/>
      </c>
      <c r="BO225" s="93" t="str">
        <f>IF(OR($O225="",AW225=""),"",AW225-$O225)</f>
        <v/>
      </c>
      <c r="BQ225">
        <v>168</v>
      </c>
      <c r="BS225">
        <v>168</v>
      </c>
      <c r="BU225">
        <v>168</v>
      </c>
      <c r="BW225">
        <v>168</v>
      </c>
      <c r="BY225">
        <v>168</v>
      </c>
    </row>
    <row r="226" spans="1:78" x14ac:dyDescent="0.2">
      <c r="A226" s="94" t="s">
        <v>464</v>
      </c>
      <c r="B226" s="95"/>
      <c r="C226" s="95"/>
      <c r="D226" s="95"/>
      <c r="E226" s="95"/>
      <c r="F226" s="95"/>
      <c r="G226" s="95"/>
      <c r="H226" s="95"/>
      <c r="I226" s="95"/>
      <c r="J226" s="95"/>
      <c r="K226" s="95"/>
      <c r="L226" s="96">
        <f>SUM(L223:L225)</f>
        <v>13661.920099999999</v>
      </c>
      <c r="M226" s="95"/>
      <c r="N226" s="95"/>
      <c r="O226" s="95"/>
      <c r="P226" s="95"/>
      <c r="Q226" s="95"/>
      <c r="R226" s="95"/>
      <c r="S226" s="95"/>
      <c r="T226" s="95"/>
      <c r="U226" s="95"/>
      <c r="V226" s="95"/>
      <c r="W226" s="95"/>
      <c r="X226" s="95"/>
      <c r="Y226" s="95"/>
      <c r="Z226" s="95"/>
      <c r="AA226" s="95"/>
      <c r="AB226" s="95"/>
      <c r="AC226" s="95"/>
      <c r="AD226" s="95"/>
      <c r="AE226" s="95"/>
      <c r="AF226" s="95"/>
      <c r="AG226" s="95"/>
      <c r="AH226" s="95"/>
      <c r="AI226" s="95"/>
      <c r="AJ226" s="95"/>
      <c r="AK226" s="95"/>
      <c r="AL226" s="95"/>
      <c r="AM226" s="95"/>
      <c r="AN226" s="95"/>
      <c r="AO226" s="95"/>
      <c r="AP226" s="95"/>
      <c r="AQ226" s="95"/>
      <c r="AR226" s="95"/>
      <c r="AS226" s="95"/>
      <c r="AT226" s="95"/>
      <c r="AU226" s="95"/>
      <c r="AV226" s="95"/>
      <c r="AW226" s="95"/>
      <c r="AX226" s="95"/>
      <c r="AY226" s="95"/>
      <c r="AZ226" s="95"/>
      <c r="BA226" s="95"/>
      <c r="BB226" s="95"/>
      <c r="BC226" s="95"/>
      <c r="BD226" s="95"/>
      <c r="BE226" s="95"/>
      <c r="BF226" s="95"/>
      <c r="BG226" s="95"/>
      <c r="BH226" s="95"/>
      <c r="BI226" s="95"/>
      <c r="BJ226" s="95"/>
      <c r="BK226" s="95"/>
      <c r="BL226" s="95"/>
      <c r="BM226" s="95"/>
      <c r="BN226" s="95"/>
      <c r="BO226" s="95"/>
    </row>
    <row r="227" spans="1:78" x14ac:dyDescent="0.2">
      <c r="A227" s="72" t="s">
        <v>111</v>
      </c>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row>
    <row r="228" spans="1:78" x14ac:dyDescent="0.2">
      <c r="A228" s="26">
        <v>1</v>
      </c>
      <c r="B228" s="26" t="s">
        <v>294</v>
      </c>
      <c r="C228" s="26" t="s">
        <v>111</v>
      </c>
      <c r="D228" s="74">
        <v>1</v>
      </c>
      <c r="E228" s="75">
        <v>21</v>
      </c>
      <c r="F228" s="76">
        <v>8</v>
      </c>
      <c r="G228" s="76">
        <v>0</v>
      </c>
      <c r="H228" s="77">
        <f>SUMIFS(RETETAR!$I$4:$I$967,RETETAR!$A$4:$A$967,$M228,RETETAR!$C$4:$C$967,"AMBELE")+SUMIFS(RETETAR!$I$4:$I$967,RETETAR!$A$4:$A$967,$M228,RETETAR!$C$4:$C$967,"INSTORE")</f>
        <v>98.51</v>
      </c>
      <c r="I228" s="77">
        <f>SUMIFS(RETETAR!$I$4:$I$967,RETETAR!$A$4:$A$967,$M228,RETETAR!$C$4:$C$967,"AMBELE")+SUMIFS(RETETAR!$I$4:$I$967,RETETAR!$A$4:$A$967,$M228,RETETAR!$C$4:$C$967,"DELIVERY")</f>
        <v>98.51</v>
      </c>
      <c r="J228" s="78">
        <f>$H228*$F228</f>
        <v>788.08</v>
      </c>
      <c r="K228" s="78">
        <f>$I228*$G228</f>
        <v>0</v>
      </c>
      <c r="L228" s="78">
        <f>$J228+$K228</f>
        <v>788.08</v>
      </c>
      <c r="M228" t="s">
        <v>294</v>
      </c>
      <c r="N228" s="79">
        <v>200</v>
      </c>
      <c r="O228" s="79"/>
      <c r="P228" s="80">
        <v>200</v>
      </c>
      <c r="Q228" s="80"/>
      <c r="R228" s="81">
        <f>IF(P228="",0,P228/(1+$E228/100)*$F228)</f>
        <v>1322.3140495867769</v>
      </c>
      <c r="S228" s="81">
        <f>IF(Q228="",0,Q228/(1+$E228/100)*$G228)</f>
        <v>0</v>
      </c>
      <c r="T228" s="81">
        <f>R228+S228</f>
        <v>1322.3140495867769</v>
      </c>
      <c r="U228" s="82">
        <f>IF(OR(T228=0,$L228=0),"",$L228/T228)</f>
        <v>0.59598549999999995</v>
      </c>
      <c r="V228" s="82">
        <f>IF(OR(R228=0,$J228=0),"",$J228/R228)</f>
        <v>0.59598549999999995</v>
      </c>
      <c r="W228" s="82" t="str">
        <f>IF(OR(S228=0,$K228=0),"",$K228/S228)</f>
        <v/>
      </c>
      <c r="X228" s="83">
        <f>BS228+SCENARIU!$C$36+'AJUSTĂRI PE PRODUS'!$I$143</f>
        <v>200</v>
      </c>
      <c r="Y228" s="83"/>
      <c r="Z228" s="84">
        <f>IF(X228="",0,X228/(1+$E228/100)*$F228)</f>
        <v>1322.3140495867769</v>
      </c>
      <c r="AA228" s="84">
        <f>IF(Y228="",0,Y228/(1+$E228/100)*$G228)</f>
        <v>0</v>
      </c>
      <c r="AB228" s="84">
        <f>Z228+AA228</f>
        <v>1322.3140495867769</v>
      </c>
      <c r="AC228" s="85">
        <f>IF(OR(AB228=0,$L228=0),"",$L228/AB228)</f>
        <v>0.59598549999999995</v>
      </c>
      <c r="AD228" s="85">
        <f>IF(OR(Z228=0,$J228=0),"",$J228/Z228)</f>
        <v>0.59598549999999995</v>
      </c>
      <c r="AE228" s="85" t="str">
        <f>IF(OR(AA228=0,$K228=0),"",$K228/AA228)</f>
        <v/>
      </c>
      <c r="AF228" s="83">
        <f>BU228+SCENARIU!$C$36+SCENARIU!$D$36+'AJUSTĂRI PE PRODUS'!$I$143+'AJUSTĂRI PE PRODUS'!$N$143</f>
        <v>200</v>
      </c>
      <c r="AG228" s="83"/>
      <c r="AH228" s="86">
        <f>IF(AF228="",0,AF228/(1+$E228/100)*$F228)</f>
        <v>1322.3140495867769</v>
      </c>
      <c r="AI228" s="86">
        <f>IF(AG228="",0,AG228/(1+$E228/100)*$G228)</f>
        <v>0</v>
      </c>
      <c r="AJ228" s="86">
        <f>AH228+AI228</f>
        <v>1322.3140495867769</v>
      </c>
      <c r="AK228" s="87">
        <f>IF(OR(AJ228=0,$L228=0),"",$L228/AJ228)</f>
        <v>0.59598549999999995</v>
      </c>
      <c r="AL228" s="87">
        <f>IF(OR(AH228=0,$J228=0),"",$J228/AH228)</f>
        <v>0.59598549999999995</v>
      </c>
      <c r="AM228" s="87" t="str">
        <f>IF(OR(AI228=0,$K228=0),"",$K228/AI228)</f>
        <v/>
      </c>
      <c r="AN228" s="83">
        <f>BW228+SCENARIU!$C$36+SCENARIU!$D$36+SCENARIU!$E$36+'AJUSTĂRI PE PRODUS'!$I$143+'AJUSTĂRI PE PRODUS'!$N$143+'AJUSTĂRI PE PRODUS'!$S$143</f>
        <v>200</v>
      </c>
      <c r="AO228" s="83"/>
      <c r="AP228" s="88">
        <f>IF(AN228="",0,AN228/(1+$E228/100)*$F228)</f>
        <v>1322.3140495867769</v>
      </c>
      <c r="AQ228" s="88">
        <f>IF(AO228="",0,AO228/(1+$E228/100)*$G228)</f>
        <v>0</v>
      </c>
      <c r="AR228" s="88">
        <f>AP228+AQ228</f>
        <v>1322.3140495867769</v>
      </c>
      <c r="AS228" s="89">
        <f>IF(OR(AR228=0,$L228=0),"",$L228/AR228)</f>
        <v>0.59598549999999995</v>
      </c>
      <c r="AT228" s="89">
        <f>IF(OR(AP228=0,$J228=0),"",$J228/AP228)</f>
        <v>0.59598549999999995</v>
      </c>
      <c r="AU228" s="89" t="str">
        <f>IF(OR(AQ228=0,$K228=0),"",$K228/AQ228)</f>
        <v/>
      </c>
      <c r="AV228" s="83">
        <f>BY228+SCENARIU!$C$36+SCENARIU!$D$36+SCENARIU!$E$36+SCENARIU!$F$36+'AJUSTĂRI PE PRODUS'!$I$143+'AJUSTĂRI PE PRODUS'!$N$143+'AJUSTĂRI PE PRODUS'!$S$143+'AJUSTĂRI PE PRODUS'!$X$143</f>
        <v>200</v>
      </c>
      <c r="AW228" s="83"/>
      <c r="AX228" s="90">
        <f>IF(AV228="",0,AV228/(1+$E228/100)*$F228)</f>
        <v>1322.3140495867769</v>
      </c>
      <c r="AY228" s="90">
        <f>IF(AW228="",0,AW228/(1+$E228/100)*$G228)</f>
        <v>0</v>
      </c>
      <c r="AZ228" s="90">
        <f>AX228+AY228</f>
        <v>1322.3140495867769</v>
      </c>
      <c r="BA228" s="91">
        <f>IF(OR(AZ228=0,$L228=0),"",$L228/AZ228)</f>
        <v>0.59598549999999995</v>
      </c>
      <c r="BB228" s="91">
        <f>IF(OR(AX228=0,$J228=0),"",$J228/AX228)</f>
        <v>0.59598549999999995</v>
      </c>
      <c r="BC228" s="91" t="str">
        <f>IF(OR(AY228=0,$K228=0),"",$K228/AY228)</f>
        <v/>
      </c>
      <c r="BD228" s="92">
        <f>IF(OR($N228="",P228=""),"",P228-$N228)</f>
        <v>0</v>
      </c>
      <c r="BE228" s="92">
        <f>IF(OR(P228="",X228=""),"",X228-P228)</f>
        <v>0</v>
      </c>
      <c r="BF228" s="92">
        <f>IF(OR(X228="",AF228=""),"",AF228-X228)</f>
        <v>0</v>
      </c>
      <c r="BG228" s="92">
        <f>IF(OR(AF228="",AN228=""),"",AN228-AF228)</f>
        <v>0</v>
      </c>
      <c r="BH228" s="92">
        <f>IF(OR(AN228="",AV228=""),"",AV228-AN228)</f>
        <v>0</v>
      </c>
      <c r="BI228" s="93">
        <f>IF(OR($N228="",AV228=""),"",AV228-$N228)</f>
        <v>0</v>
      </c>
      <c r="BJ228" s="92" t="str">
        <f>IF(OR($O228="",Q228=""),"",Q228-$O228)</f>
        <v/>
      </c>
      <c r="BK228" s="92" t="str">
        <f>IF(OR(Q228="",Y228=""),"",Y228-Q228)</f>
        <v/>
      </c>
      <c r="BL228" s="92" t="str">
        <f>IF(OR(Y228="",AG228=""),"",AG228-Y228)</f>
        <v/>
      </c>
      <c r="BM228" s="92" t="str">
        <f>IF(OR(AG228="",AO228=""),"",AO228-AG228)</f>
        <v/>
      </c>
      <c r="BN228" s="92" t="str">
        <f>IF(OR(AO228="",AW228=""),"",AW228-AO228)</f>
        <v/>
      </c>
      <c r="BO228" s="93" t="str">
        <f>IF(OR($O228="",AW228=""),"",AW228-$O228)</f>
        <v/>
      </c>
      <c r="BQ228">
        <v>200</v>
      </c>
      <c r="BS228">
        <v>200</v>
      </c>
      <c r="BU228">
        <v>200</v>
      </c>
      <c r="BW228">
        <v>200</v>
      </c>
      <c r="BY228">
        <v>200</v>
      </c>
    </row>
    <row r="229" spans="1:78" x14ac:dyDescent="0.2">
      <c r="A229" s="26">
        <v>2</v>
      </c>
      <c r="B229" s="26" t="s">
        <v>308</v>
      </c>
      <c r="C229" s="26" t="s">
        <v>111</v>
      </c>
      <c r="D229" s="74">
        <v>1</v>
      </c>
      <c r="E229" s="75">
        <v>21</v>
      </c>
      <c r="F229" s="76">
        <v>53</v>
      </c>
      <c r="G229" s="76">
        <v>0</v>
      </c>
      <c r="H229" s="77">
        <f>SUMIFS(RETETAR!$I$4:$I$967,RETETAR!$A$4:$A$967,$M229,RETETAR!$C$4:$C$967,"AMBELE")+SUMIFS(RETETAR!$I$4:$I$967,RETETAR!$A$4:$A$967,$M229,RETETAR!$C$4:$C$967,"INSTORE")</f>
        <v>12.367000000000001</v>
      </c>
      <c r="I229" s="77">
        <f>SUMIFS(RETETAR!$I$4:$I$967,RETETAR!$A$4:$A$967,$M229,RETETAR!$C$4:$C$967,"AMBELE")+SUMIFS(RETETAR!$I$4:$I$967,RETETAR!$A$4:$A$967,$M229,RETETAR!$C$4:$C$967,"DELIVERY")</f>
        <v>12.367000000000001</v>
      </c>
      <c r="J229" s="78">
        <f>$H229*$F229</f>
        <v>655.45100000000002</v>
      </c>
      <c r="K229" s="78">
        <f>$I229*$G229</f>
        <v>0</v>
      </c>
      <c r="L229" s="78">
        <f>$J229+$K229</f>
        <v>655.45100000000002</v>
      </c>
      <c r="M229" t="s">
        <v>308</v>
      </c>
      <c r="N229" s="79">
        <v>20</v>
      </c>
      <c r="O229" s="79">
        <v>9</v>
      </c>
      <c r="P229" s="80">
        <v>20</v>
      </c>
      <c r="Q229" s="80">
        <v>9</v>
      </c>
      <c r="R229" s="81">
        <f>IF(P229="",0,P229/(1+$E229/100)*$F229)</f>
        <v>876.03305785123973</v>
      </c>
      <c r="S229" s="81">
        <f>IF(Q229="",0,Q229/(1+$E229/100)*$G229)</f>
        <v>0</v>
      </c>
      <c r="T229" s="81">
        <f>R229+S229</f>
        <v>876.03305785123973</v>
      </c>
      <c r="U229" s="82">
        <f>IF(OR(T229=0,$L229=0),"",$L229/T229)</f>
        <v>0.74820350000000002</v>
      </c>
      <c r="V229" s="82">
        <f>IF(OR(R229=0,$J229=0),"",$J229/R229)</f>
        <v>0.74820350000000002</v>
      </c>
      <c r="W229" s="82" t="str">
        <f>IF(OR(S229=0,$K229=0),"",$K229/S229)</f>
        <v/>
      </c>
      <c r="X229" s="83">
        <f>BS229+SCENARIU!$C$36+'AJUSTĂRI PE PRODUS'!$I$74</f>
        <v>20</v>
      </c>
      <c r="Y229" s="83">
        <f>BT229+SCENARIU!$C$36+'AJUSTĂRI PE PRODUS'!$J$74</f>
        <v>9</v>
      </c>
      <c r="Z229" s="84">
        <f>IF(X229="",0,X229/(1+$E229/100)*$F229)</f>
        <v>876.03305785123973</v>
      </c>
      <c r="AA229" s="84">
        <f>IF(Y229="",0,Y229/(1+$E229/100)*$G229)</f>
        <v>0</v>
      </c>
      <c r="AB229" s="84">
        <f>Z229+AA229</f>
        <v>876.03305785123973</v>
      </c>
      <c r="AC229" s="85">
        <f>IF(OR(AB229=0,$L229=0),"",$L229/AB229)</f>
        <v>0.74820350000000002</v>
      </c>
      <c r="AD229" s="85">
        <f>IF(OR(Z229=0,$J229=0),"",$J229/Z229)</f>
        <v>0.74820350000000002</v>
      </c>
      <c r="AE229" s="85" t="str">
        <f>IF(OR(AA229=0,$K229=0),"",$K229/AA229)</f>
        <v/>
      </c>
      <c r="AF229" s="83">
        <f>BU229+SCENARIU!$C$36+SCENARIU!$D$36+'AJUSTĂRI PE PRODUS'!$I$74+'AJUSTĂRI PE PRODUS'!$N$74</f>
        <v>20</v>
      </c>
      <c r="AG229" s="83">
        <f>BV229+SCENARIU!$C$36+SCENARIU!$D$36+'AJUSTĂRI PE PRODUS'!$J$74+'AJUSTĂRI PE PRODUS'!$O$74</f>
        <v>9</v>
      </c>
      <c r="AH229" s="86">
        <f>IF(AF229="",0,AF229/(1+$E229/100)*$F229)</f>
        <v>876.03305785123973</v>
      </c>
      <c r="AI229" s="86">
        <f>IF(AG229="",0,AG229/(1+$E229/100)*$G229)</f>
        <v>0</v>
      </c>
      <c r="AJ229" s="86">
        <f>AH229+AI229</f>
        <v>876.03305785123973</v>
      </c>
      <c r="AK229" s="87">
        <f>IF(OR(AJ229=0,$L229=0),"",$L229/AJ229)</f>
        <v>0.74820350000000002</v>
      </c>
      <c r="AL229" s="87">
        <f>IF(OR(AH229=0,$J229=0),"",$J229/AH229)</f>
        <v>0.74820350000000002</v>
      </c>
      <c r="AM229" s="87" t="str">
        <f>IF(OR(AI229=0,$K229=0),"",$K229/AI229)</f>
        <v/>
      </c>
      <c r="AN229" s="83">
        <f>BW229+SCENARIU!$C$36+SCENARIU!$D$36+SCENARIU!$E$36+'AJUSTĂRI PE PRODUS'!$I$74+'AJUSTĂRI PE PRODUS'!$N$74+'AJUSTĂRI PE PRODUS'!$S$74</f>
        <v>20</v>
      </c>
      <c r="AO229" s="83">
        <f>BX229+SCENARIU!$C$36+SCENARIU!$D$36+SCENARIU!$E$36+'AJUSTĂRI PE PRODUS'!$J$74+'AJUSTĂRI PE PRODUS'!$O$74+'AJUSTĂRI PE PRODUS'!$T$74</f>
        <v>9</v>
      </c>
      <c r="AP229" s="88">
        <f>IF(AN229="",0,AN229/(1+$E229/100)*$F229)</f>
        <v>876.03305785123973</v>
      </c>
      <c r="AQ229" s="88">
        <f>IF(AO229="",0,AO229/(1+$E229/100)*$G229)</f>
        <v>0</v>
      </c>
      <c r="AR229" s="88">
        <f>AP229+AQ229</f>
        <v>876.03305785123973</v>
      </c>
      <c r="AS229" s="89">
        <f>IF(OR(AR229=0,$L229=0),"",$L229/AR229)</f>
        <v>0.74820350000000002</v>
      </c>
      <c r="AT229" s="89">
        <f>IF(OR(AP229=0,$J229=0),"",$J229/AP229)</f>
        <v>0.74820350000000002</v>
      </c>
      <c r="AU229" s="89" t="str">
        <f>IF(OR(AQ229=0,$K229=0),"",$K229/AQ229)</f>
        <v/>
      </c>
      <c r="AV229" s="83">
        <f>BY229+SCENARIU!$C$36+SCENARIU!$D$36+SCENARIU!$E$36+SCENARIU!$F$36+'AJUSTĂRI PE PRODUS'!$I$74+'AJUSTĂRI PE PRODUS'!$N$74+'AJUSTĂRI PE PRODUS'!$S$74+'AJUSTĂRI PE PRODUS'!$X$74</f>
        <v>20</v>
      </c>
      <c r="AW229" s="83">
        <f>BZ229+SCENARIU!$C$36+SCENARIU!$D$36+SCENARIU!$E$36+SCENARIU!$F$36+'AJUSTĂRI PE PRODUS'!$J$74+'AJUSTĂRI PE PRODUS'!$O$74+'AJUSTĂRI PE PRODUS'!$T$74+'AJUSTĂRI PE PRODUS'!$Y$74</f>
        <v>9</v>
      </c>
      <c r="AX229" s="90">
        <f>IF(AV229="",0,AV229/(1+$E229/100)*$F229)</f>
        <v>876.03305785123973</v>
      </c>
      <c r="AY229" s="90">
        <f>IF(AW229="",0,AW229/(1+$E229/100)*$G229)</f>
        <v>0</v>
      </c>
      <c r="AZ229" s="90">
        <f>AX229+AY229</f>
        <v>876.03305785123973</v>
      </c>
      <c r="BA229" s="91">
        <f>IF(OR(AZ229=0,$L229=0),"",$L229/AZ229)</f>
        <v>0.74820350000000002</v>
      </c>
      <c r="BB229" s="91">
        <f>IF(OR(AX229=0,$J229=0),"",$J229/AX229)</f>
        <v>0.74820350000000002</v>
      </c>
      <c r="BC229" s="91" t="str">
        <f>IF(OR(AY229=0,$K229=0),"",$K229/AY229)</f>
        <v/>
      </c>
      <c r="BD229" s="92">
        <f>IF(OR($N229="",P229=""),"",P229-$N229)</f>
        <v>0</v>
      </c>
      <c r="BE229" s="92">
        <f>IF(OR(P229="",X229=""),"",X229-P229)</f>
        <v>0</v>
      </c>
      <c r="BF229" s="92">
        <f>IF(OR(X229="",AF229=""),"",AF229-X229)</f>
        <v>0</v>
      </c>
      <c r="BG229" s="92">
        <f>IF(OR(AF229="",AN229=""),"",AN229-AF229)</f>
        <v>0</v>
      </c>
      <c r="BH229" s="92">
        <f>IF(OR(AN229="",AV229=""),"",AV229-AN229)</f>
        <v>0</v>
      </c>
      <c r="BI229" s="93">
        <f>IF(OR($N229="",AV229=""),"",AV229-$N229)</f>
        <v>0</v>
      </c>
      <c r="BJ229" s="92">
        <f>IF(OR($O229="",Q229=""),"",Q229-$O229)</f>
        <v>0</v>
      </c>
      <c r="BK229" s="92">
        <f>IF(OR(Q229="",Y229=""),"",Y229-Q229)</f>
        <v>0</v>
      </c>
      <c r="BL229" s="92">
        <f>IF(OR(Y229="",AG229=""),"",AG229-Y229)</f>
        <v>0</v>
      </c>
      <c r="BM229" s="92">
        <f>IF(OR(AG229="",AO229=""),"",AO229-AG229)</f>
        <v>0</v>
      </c>
      <c r="BN229" s="92">
        <f>IF(OR(AO229="",AW229=""),"",AW229-AO229)</f>
        <v>0</v>
      </c>
      <c r="BO229" s="93">
        <f>IF(OR($O229="",AW229=""),"",AW229-$O229)</f>
        <v>0</v>
      </c>
      <c r="BQ229">
        <v>20</v>
      </c>
      <c r="BR229">
        <v>9</v>
      </c>
      <c r="BS229">
        <v>20</v>
      </c>
      <c r="BT229">
        <v>9</v>
      </c>
      <c r="BU229">
        <v>20</v>
      </c>
      <c r="BV229">
        <v>9</v>
      </c>
      <c r="BW229">
        <v>20</v>
      </c>
      <c r="BX229">
        <v>9</v>
      </c>
      <c r="BY229">
        <v>20</v>
      </c>
      <c r="BZ229">
        <v>9</v>
      </c>
    </row>
    <row r="230" spans="1:78" x14ac:dyDescent="0.2">
      <c r="A230" s="26">
        <v>3</v>
      </c>
      <c r="B230" s="26" t="s">
        <v>326</v>
      </c>
      <c r="C230" s="26" t="s">
        <v>111</v>
      </c>
      <c r="D230" s="74">
        <v>1</v>
      </c>
      <c r="E230" s="75">
        <v>21</v>
      </c>
      <c r="F230" s="76">
        <v>1</v>
      </c>
      <c r="G230" s="76">
        <v>0</v>
      </c>
      <c r="H230" s="77">
        <f>SUMIFS(RETETAR!$I$4:$I$967,RETETAR!$A$4:$A$967,$M230,RETETAR!$C$4:$C$967,"AMBELE")+SUMIFS(RETETAR!$I$4:$I$967,RETETAR!$A$4:$A$967,$M230,RETETAR!$C$4:$C$967,"INSTORE")</f>
        <v>92.31</v>
      </c>
      <c r="I230" s="77">
        <f>SUMIFS(RETETAR!$I$4:$I$967,RETETAR!$A$4:$A$967,$M230,RETETAR!$C$4:$C$967,"AMBELE")+SUMIFS(RETETAR!$I$4:$I$967,RETETAR!$A$4:$A$967,$M230,RETETAR!$C$4:$C$967,"DELIVERY")</f>
        <v>92.31</v>
      </c>
      <c r="J230" s="78">
        <f>$H230*$F230</f>
        <v>92.31</v>
      </c>
      <c r="K230" s="78">
        <f>$I230*$G230</f>
        <v>0</v>
      </c>
      <c r="L230" s="78">
        <f>$J230+$K230</f>
        <v>92.31</v>
      </c>
      <c r="M230" t="s">
        <v>326</v>
      </c>
      <c r="N230" s="79">
        <v>149</v>
      </c>
      <c r="O230" s="79"/>
      <c r="P230" s="80">
        <v>149</v>
      </c>
      <c r="Q230" s="80"/>
      <c r="R230" s="81">
        <f>IF(P230="",0,P230/(1+$E230/100)*$F230)</f>
        <v>123.14049586776859</v>
      </c>
      <c r="S230" s="81">
        <f>IF(Q230="",0,Q230/(1+$E230/100)*$G230)</f>
        <v>0</v>
      </c>
      <c r="T230" s="81">
        <f>R230+S230</f>
        <v>123.14049586776859</v>
      </c>
      <c r="U230" s="82">
        <f>IF(OR(T230=0,$L230=0),"",$L230/T230)</f>
        <v>0.74963154362416107</v>
      </c>
      <c r="V230" s="82">
        <f>IF(OR(R230=0,$J230=0),"",$J230/R230)</f>
        <v>0.74963154362416107</v>
      </c>
      <c r="W230" s="82" t="str">
        <f>IF(OR(S230=0,$K230=0),"",$K230/S230)</f>
        <v/>
      </c>
      <c r="X230" s="83">
        <f>BS230+SCENARIU!$C$36+'AJUSTĂRI PE PRODUS'!$I$186</f>
        <v>149</v>
      </c>
      <c r="Y230" s="83"/>
      <c r="Z230" s="84">
        <f>IF(X230="",0,X230/(1+$E230/100)*$F230)</f>
        <v>123.14049586776859</v>
      </c>
      <c r="AA230" s="84">
        <f>IF(Y230="",0,Y230/(1+$E230/100)*$G230)</f>
        <v>0</v>
      </c>
      <c r="AB230" s="84">
        <f>Z230+AA230</f>
        <v>123.14049586776859</v>
      </c>
      <c r="AC230" s="85">
        <f>IF(OR(AB230=0,$L230=0),"",$L230/AB230)</f>
        <v>0.74963154362416107</v>
      </c>
      <c r="AD230" s="85">
        <f>IF(OR(Z230=0,$J230=0),"",$J230/Z230)</f>
        <v>0.74963154362416107</v>
      </c>
      <c r="AE230" s="85" t="str">
        <f>IF(OR(AA230=0,$K230=0),"",$K230/AA230)</f>
        <v/>
      </c>
      <c r="AF230" s="83">
        <f>BU230+SCENARIU!$C$36+SCENARIU!$D$36+'AJUSTĂRI PE PRODUS'!$I$186+'AJUSTĂRI PE PRODUS'!$N$186</f>
        <v>149</v>
      </c>
      <c r="AG230" s="83"/>
      <c r="AH230" s="86">
        <f>IF(AF230="",0,AF230/(1+$E230/100)*$F230)</f>
        <v>123.14049586776859</v>
      </c>
      <c r="AI230" s="86">
        <f>IF(AG230="",0,AG230/(1+$E230/100)*$G230)</f>
        <v>0</v>
      </c>
      <c r="AJ230" s="86">
        <f>AH230+AI230</f>
        <v>123.14049586776859</v>
      </c>
      <c r="AK230" s="87">
        <f>IF(OR(AJ230=0,$L230=0),"",$L230/AJ230)</f>
        <v>0.74963154362416107</v>
      </c>
      <c r="AL230" s="87">
        <f>IF(OR(AH230=0,$J230=0),"",$J230/AH230)</f>
        <v>0.74963154362416107</v>
      </c>
      <c r="AM230" s="87" t="str">
        <f>IF(OR(AI230=0,$K230=0),"",$K230/AI230)</f>
        <v/>
      </c>
      <c r="AN230" s="83">
        <f>BW230+SCENARIU!$C$36+SCENARIU!$D$36+SCENARIU!$E$36+'AJUSTĂRI PE PRODUS'!$I$186+'AJUSTĂRI PE PRODUS'!$N$186+'AJUSTĂRI PE PRODUS'!$S$186</f>
        <v>149</v>
      </c>
      <c r="AO230" s="83"/>
      <c r="AP230" s="88">
        <f>IF(AN230="",0,AN230/(1+$E230/100)*$F230)</f>
        <v>123.14049586776859</v>
      </c>
      <c r="AQ230" s="88">
        <f>IF(AO230="",0,AO230/(1+$E230/100)*$G230)</f>
        <v>0</v>
      </c>
      <c r="AR230" s="88">
        <f>AP230+AQ230</f>
        <v>123.14049586776859</v>
      </c>
      <c r="AS230" s="89">
        <f>IF(OR(AR230=0,$L230=0),"",$L230/AR230)</f>
        <v>0.74963154362416107</v>
      </c>
      <c r="AT230" s="89">
        <f>IF(OR(AP230=0,$J230=0),"",$J230/AP230)</f>
        <v>0.74963154362416107</v>
      </c>
      <c r="AU230" s="89" t="str">
        <f>IF(OR(AQ230=0,$K230=0),"",$K230/AQ230)</f>
        <v/>
      </c>
      <c r="AV230" s="83">
        <f>BY230+SCENARIU!$C$36+SCENARIU!$D$36+SCENARIU!$E$36+SCENARIU!$F$36+'AJUSTĂRI PE PRODUS'!$I$186+'AJUSTĂRI PE PRODUS'!$N$186+'AJUSTĂRI PE PRODUS'!$S$186+'AJUSTĂRI PE PRODUS'!$X$186</f>
        <v>149</v>
      </c>
      <c r="AW230" s="83"/>
      <c r="AX230" s="90">
        <f>IF(AV230="",0,AV230/(1+$E230/100)*$F230)</f>
        <v>123.14049586776859</v>
      </c>
      <c r="AY230" s="90">
        <f>IF(AW230="",0,AW230/(1+$E230/100)*$G230)</f>
        <v>0</v>
      </c>
      <c r="AZ230" s="90">
        <f>AX230+AY230</f>
        <v>123.14049586776859</v>
      </c>
      <c r="BA230" s="91">
        <f>IF(OR(AZ230=0,$L230=0),"",$L230/AZ230)</f>
        <v>0.74963154362416107</v>
      </c>
      <c r="BB230" s="91">
        <f>IF(OR(AX230=0,$J230=0),"",$J230/AX230)</f>
        <v>0.74963154362416107</v>
      </c>
      <c r="BC230" s="91" t="str">
        <f>IF(OR(AY230=0,$K230=0),"",$K230/AY230)</f>
        <v/>
      </c>
      <c r="BD230" s="92">
        <f>IF(OR($N230="",P230=""),"",P230-$N230)</f>
        <v>0</v>
      </c>
      <c r="BE230" s="92">
        <f>IF(OR(P230="",X230=""),"",X230-P230)</f>
        <v>0</v>
      </c>
      <c r="BF230" s="92">
        <f>IF(OR(X230="",AF230=""),"",AF230-X230)</f>
        <v>0</v>
      </c>
      <c r="BG230" s="92">
        <f>IF(OR(AF230="",AN230=""),"",AN230-AF230)</f>
        <v>0</v>
      </c>
      <c r="BH230" s="92">
        <f>IF(OR(AN230="",AV230=""),"",AV230-AN230)</f>
        <v>0</v>
      </c>
      <c r="BI230" s="93">
        <f>IF(OR($N230="",AV230=""),"",AV230-$N230)</f>
        <v>0</v>
      </c>
      <c r="BJ230" s="92" t="str">
        <f>IF(OR($O230="",Q230=""),"",Q230-$O230)</f>
        <v/>
      </c>
      <c r="BK230" s="92" t="str">
        <f>IF(OR(Q230="",Y230=""),"",Y230-Q230)</f>
        <v/>
      </c>
      <c r="BL230" s="92" t="str">
        <f>IF(OR(Y230="",AG230=""),"",AG230-Y230)</f>
        <v/>
      </c>
      <c r="BM230" s="92" t="str">
        <f>IF(OR(AG230="",AO230=""),"",AO230-AG230)</f>
        <v/>
      </c>
      <c r="BN230" s="92" t="str">
        <f>IF(OR(AO230="",AW230=""),"",AW230-AO230)</f>
        <v/>
      </c>
      <c r="BO230" s="93" t="str">
        <f>IF(OR($O230="",AW230=""),"",AW230-$O230)</f>
        <v/>
      </c>
      <c r="BQ230">
        <v>149</v>
      </c>
      <c r="BS230">
        <v>149</v>
      </c>
      <c r="BU230">
        <v>149</v>
      </c>
      <c r="BW230">
        <v>149</v>
      </c>
      <c r="BY230">
        <v>149</v>
      </c>
    </row>
    <row r="231" spans="1:78" x14ac:dyDescent="0.2">
      <c r="A231" s="26">
        <v>4</v>
      </c>
      <c r="B231" s="26" t="s">
        <v>335</v>
      </c>
      <c r="C231" s="26" t="s">
        <v>111</v>
      </c>
      <c r="D231" s="74">
        <v>1</v>
      </c>
      <c r="E231" s="75">
        <v>21</v>
      </c>
      <c r="F231" s="76">
        <v>1</v>
      </c>
      <c r="G231" s="76">
        <v>0</v>
      </c>
      <c r="H231" s="77">
        <f>SUMIFS(RETETAR!$I$4:$I$967,RETETAR!$A$4:$A$967,$M231,RETETAR!$C$4:$C$967,"AMBELE")+SUMIFS(RETETAR!$I$4:$I$967,RETETAR!$A$4:$A$967,$M231,RETETAR!$C$4:$C$967,"INSTORE")</f>
        <v>5.76</v>
      </c>
      <c r="I231" s="77">
        <f>SUMIFS(RETETAR!$I$4:$I$967,RETETAR!$A$4:$A$967,$M231,RETETAR!$C$4:$C$967,"AMBELE")+SUMIFS(RETETAR!$I$4:$I$967,RETETAR!$A$4:$A$967,$M231,RETETAR!$C$4:$C$967,"DELIVERY")</f>
        <v>5.76</v>
      </c>
      <c r="J231" s="78">
        <f>$H231*$F231</f>
        <v>5.76</v>
      </c>
      <c r="K231" s="78">
        <f>$I231*$G231</f>
        <v>0</v>
      </c>
      <c r="L231" s="78">
        <f>$J231+$K231</f>
        <v>5.76</v>
      </c>
      <c r="M231" t="s">
        <v>335</v>
      </c>
      <c r="N231" s="79">
        <v>19.899999999999999</v>
      </c>
      <c r="O231" s="79"/>
      <c r="P231" s="80">
        <v>19.899999999999999</v>
      </c>
      <c r="Q231" s="80"/>
      <c r="R231" s="81">
        <f>IF(P231="",0,P231/(1+$E231/100)*$F231)</f>
        <v>16.446280991735538</v>
      </c>
      <c r="S231" s="81">
        <f>IF(Q231="",0,Q231/(1+$E231/100)*$G231)</f>
        <v>0</v>
      </c>
      <c r="T231" s="81">
        <f>R231+S231</f>
        <v>16.446280991735538</v>
      </c>
      <c r="U231" s="82">
        <f>IF(OR(T231=0,$L231=0),"",$L231/T231)</f>
        <v>0.35023115577889447</v>
      </c>
      <c r="V231" s="82">
        <f>IF(OR(R231=0,$J231=0),"",$J231/R231)</f>
        <v>0.35023115577889447</v>
      </c>
      <c r="W231" s="82" t="str">
        <f>IF(OR(S231=0,$K231=0),"",$K231/S231)</f>
        <v/>
      </c>
      <c r="X231" s="83">
        <f>BS231+SCENARIU!$C$36+'AJUSTĂRI PE PRODUS'!$I$195</f>
        <v>19.899999999999999</v>
      </c>
      <c r="Y231" s="83"/>
      <c r="Z231" s="84">
        <f>IF(X231="",0,X231/(1+$E231/100)*$F231)</f>
        <v>16.446280991735538</v>
      </c>
      <c r="AA231" s="84">
        <f>IF(Y231="",0,Y231/(1+$E231/100)*$G231)</f>
        <v>0</v>
      </c>
      <c r="AB231" s="84">
        <f>Z231+AA231</f>
        <v>16.446280991735538</v>
      </c>
      <c r="AC231" s="85">
        <f>IF(OR(AB231=0,$L231=0),"",$L231/AB231)</f>
        <v>0.35023115577889447</v>
      </c>
      <c r="AD231" s="85">
        <f>IF(OR(Z231=0,$J231=0),"",$J231/Z231)</f>
        <v>0.35023115577889447</v>
      </c>
      <c r="AE231" s="85" t="str">
        <f>IF(OR(AA231=0,$K231=0),"",$K231/AA231)</f>
        <v/>
      </c>
      <c r="AF231" s="83">
        <f>BU231+SCENARIU!$C$36+SCENARIU!$D$36+'AJUSTĂRI PE PRODUS'!$I$195+'AJUSTĂRI PE PRODUS'!$N$195</f>
        <v>19.899999999999999</v>
      </c>
      <c r="AG231" s="83"/>
      <c r="AH231" s="86">
        <f>IF(AF231="",0,AF231/(1+$E231/100)*$F231)</f>
        <v>16.446280991735538</v>
      </c>
      <c r="AI231" s="86">
        <f>IF(AG231="",0,AG231/(1+$E231/100)*$G231)</f>
        <v>0</v>
      </c>
      <c r="AJ231" s="86">
        <f>AH231+AI231</f>
        <v>16.446280991735538</v>
      </c>
      <c r="AK231" s="87">
        <f>IF(OR(AJ231=0,$L231=0),"",$L231/AJ231)</f>
        <v>0.35023115577889447</v>
      </c>
      <c r="AL231" s="87">
        <f>IF(OR(AH231=0,$J231=0),"",$J231/AH231)</f>
        <v>0.35023115577889447</v>
      </c>
      <c r="AM231" s="87" t="str">
        <f>IF(OR(AI231=0,$K231=0),"",$K231/AI231)</f>
        <v/>
      </c>
      <c r="AN231" s="83">
        <f>BW231+SCENARIU!$C$36+SCENARIU!$D$36+SCENARIU!$E$36+'AJUSTĂRI PE PRODUS'!$I$195+'AJUSTĂRI PE PRODUS'!$N$195+'AJUSTĂRI PE PRODUS'!$S$195</f>
        <v>19.899999999999999</v>
      </c>
      <c r="AO231" s="83"/>
      <c r="AP231" s="88">
        <f>IF(AN231="",0,AN231/(1+$E231/100)*$F231)</f>
        <v>16.446280991735538</v>
      </c>
      <c r="AQ231" s="88">
        <f>IF(AO231="",0,AO231/(1+$E231/100)*$G231)</f>
        <v>0</v>
      </c>
      <c r="AR231" s="88">
        <f>AP231+AQ231</f>
        <v>16.446280991735538</v>
      </c>
      <c r="AS231" s="89">
        <f>IF(OR(AR231=0,$L231=0),"",$L231/AR231)</f>
        <v>0.35023115577889447</v>
      </c>
      <c r="AT231" s="89">
        <f>IF(OR(AP231=0,$J231=0),"",$J231/AP231)</f>
        <v>0.35023115577889447</v>
      </c>
      <c r="AU231" s="89" t="str">
        <f>IF(OR(AQ231=0,$K231=0),"",$K231/AQ231)</f>
        <v/>
      </c>
      <c r="AV231" s="83">
        <f>BY231+SCENARIU!$C$36+SCENARIU!$D$36+SCENARIU!$E$36+SCENARIU!$F$36+'AJUSTĂRI PE PRODUS'!$I$195+'AJUSTĂRI PE PRODUS'!$N$195+'AJUSTĂRI PE PRODUS'!$S$195+'AJUSTĂRI PE PRODUS'!$X$195</f>
        <v>19.899999999999999</v>
      </c>
      <c r="AW231" s="83"/>
      <c r="AX231" s="90">
        <f>IF(AV231="",0,AV231/(1+$E231/100)*$F231)</f>
        <v>16.446280991735538</v>
      </c>
      <c r="AY231" s="90">
        <f>IF(AW231="",0,AW231/(1+$E231/100)*$G231)</f>
        <v>0</v>
      </c>
      <c r="AZ231" s="90">
        <f>AX231+AY231</f>
        <v>16.446280991735538</v>
      </c>
      <c r="BA231" s="91">
        <f>IF(OR(AZ231=0,$L231=0),"",$L231/AZ231)</f>
        <v>0.35023115577889447</v>
      </c>
      <c r="BB231" s="91">
        <f>IF(OR(AX231=0,$J231=0),"",$J231/AX231)</f>
        <v>0.35023115577889447</v>
      </c>
      <c r="BC231" s="91" t="str">
        <f>IF(OR(AY231=0,$K231=0),"",$K231/AY231)</f>
        <v/>
      </c>
      <c r="BD231" s="92">
        <f>IF(OR($N231="",P231=""),"",P231-$N231)</f>
        <v>0</v>
      </c>
      <c r="BE231" s="92">
        <f>IF(OR(P231="",X231=""),"",X231-P231)</f>
        <v>0</v>
      </c>
      <c r="BF231" s="92">
        <f>IF(OR(X231="",AF231=""),"",AF231-X231)</f>
        <v>0</v>
      </c>
      <c r="BG231" s="92">
        <f>IF(OR(AF231="",AN231=""),"",AN231-AF231)</f>
        <v>0</v>
      </c>
      <c r="BH231" s="92">
        <f>IF(OR(AN231="",AV231=""),"",AV231-AN231)</f>
        <v>0</v>
      </c>
      <c r="BI231" s="93">
        <f>IF(OR($N231="",AV231=""),"",AV231-$N231)</f>
        <v>0</v>
      </c>
      <c r="BJ231" s="92" t="str">
        <f>IF(OR($O231="",Q231=""),"",Q231-$O231)</f>
        <v/>
      </c>
      <c r="BK231" s="92" t="str">
        <f>IF(OR(Q231="",Y231=""),"",Y231-Q231)</f>
        <v/>
      </c>
      <c r="BL231" s="92" t="str">
        <f>IF(OR(Y231="",AG231=""),"",AG231-Y231)</f>
        <v/>
      </c>
      <c r="BM231" s="92" t="str">
        <f>IF(OR(AG231="",AO231=""),"",AO231-AG231)</f>
        <v/>
      </c>
      <c r="BN231" s="92" t="str">
        <f>IF(OR(AO231="",AW231=""),"",AW231-AO231)</f>
        <v/>
      </c>
      <c r="BO231" s="93" t="str">
        <f>IF(OR($O231="",AW231=""),"",AW231-$O231)</f>
        <v/>
      </c>
      <c r="BQ231">
        <v>19.899999999999999</v>
      </c>
      <c r="BS231">
        <v>19.899999999999999</v>
      </c>
      <c r="BU231">
        <v>19.899999999999999</v>
      </c>
      <c r="BW231">
        <v>19.899999999999999</v>
      </c>
      <c r="BY231">
        <v>19.899999999999999</v>
      </c>
    </row>
    <row r="232" spans="1:78" x14ac:dyDescent="0.2">
      <c r="A232" s="94" t="s">
        <v>465</v>
      </c>
      <c r="B232" s="95"/>
      <c r="C232" s="95"/>
      <c r="D232" s="95"/>
      <c r="E232" s="95"/>
      <c r="F232" s="95"/>
      <c r="G232" s="95"/>
      <c r="H232" s="95"/>
      <c r="I232" s="95"/>
      <c r="J232" s="95"/>
      <c r="K232" s="95"/>
      <c r="L232" s="96">
        <f>SUM(L228:L231)</f>
        <v>1541.6009999999999</v>
      </c>
      <c r="M232" s="95"/>
      <c r="N232" s="95"/>
      <c r="O232" s="95"/>
      <c r="P232" s="95"/>
      <c r="Q232" s="95"/>
      <c r="R232" s="95"/>
      <c r="S232" s="95"/>
      <c r="T232" s="95"/>
      <c r="U232" s="95"/>
      <c r="V232" s="95"/>
      <c r="W232" s="95"/>
      <c r="X232" s="95"/>
      <c r="Y232" s="95"/>
      <c r="Z232" s="95"/>
      <c r="AA232" s="95"/>
      <c r="AB232" s="95"/>
      <c r="AC232" s="95"/>
      <c r="AD232" s="95"/>
      <c r="AE232" s="95"/>
      <c r="AF232" s="95"/>
      <c r="AG232" s="95"/>
      <c r="AH232" s="95"/>
      <c r="AI232" s="95"/>
      <c r="AJ232" s="95"/>
      <c r="AK232" s="95"/>
      <c r="AL232" s="95"/>
      <c r="AM232" s="95"/>
      <c r="AN232" s="95"/>
      <c r="AO232" s="95"/>
      <c r="AP232" s="95"/>
      <c r="AQ232" s="95"/>
      <c r="AR232" s="95"/>
      <c r="AS232" s="95"/>
      <c r="AT232" s="95"/>
      <c r="AU232" s="95"/>
      <c r="AV232" s="95"/>
      <c r="AW232" s="95"/>
      <c r="AX232" s="95"/>
      <c r="AY232" s="95"/>
      <c r="AZ232" s="95"/>
      <c r="BA232" s="95"/>
      <c r="BB232" s="95"/>
      <c r="BC232" s="95"/>
      <c r="BD232" s="95"/>
      <c r="BE232" s="95"/>
      <c r="BF232" s="95"/>
      <c r="BG232" s="95"/>
      <c r="BH232" s="95"/>
      <c r="BI232" s="95"/>
      <c r="BJ232" s="95"/>
      <c r="BK232" s="95"/>
      <c r="BL232" s="95"/>
      <c r="BM232" s="95"/>
      <c r="BN232" s="95"/>
      <c r="BO232" s="95"/>
    </row>
    <row r="233" spans="1:78" x14ac:dyDescent="0.2">
      <c r="A233" s="72" t="s">
        <v>112</v>
      </c>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c r="BI233" s="73"/>
      <c r="BJ233" s="73"/>
      <c r="BK233" s="73"/>
      <c r="BL233" s="73"/>
      <c r="BM233" s="73"/>
      <c r="BN233" s="73"/>
      <c r="BO233" s="73"/>
    </row>
    <row r="234" spans="1:78" x14ac:dyDescent="0.2">
      <c r="A234" s="26">
        <v>1</v>
      </c>
      <c r="B234" s="26" t="s">
        <v>166</v>
      </c>
      <c r="C234" s="26" t="s">
        <v>112</v>
      </c>
      <c r="D234" s="74">
        <v>1</v>
      </c>
      <c r="E234" s="75">
        <v>11</v>
      </c>
      <c r="F234" s="76">
        <v>3077</v>
      </c>
      <c r="G234" s="76">
        <v>67784</v>
      </c>
      <c r="H234" s="77">
        <f>SUMIFS(RETETAR!$I$4:$I$967,RETETAR!$A$4:$A$967,$M234,RETETAR!$C$4:$C$967,"AMBELE")+SUMIFS(RETETAR!$I$4:$I$967,RETETAR!$A$4:$A$967,$M234,RETETAR!$C$4:$C$967,"INSTORE")</f>
        <v>0.52900000000000003</v>
      </c>
      <c r="I234" s="77">
        <f>SUMIFS(RETETAR!$I$4:$I$967,RETETAR!$A$4:$A$967,$M234,RETETAR!$C$4:$C$967,"AMBELE")+SUMIFS(RETETAR!$I$4:$I$967,RETETAR!$A$4:$A$967,$M234,RETETAR!$C$4:$C$967,"DELIVERY")</f>
        <v>0.52900000000000003</v>
      </c>
      <c r="J234" s="78">
        <f>$H234*$F234</f>
        <v>1627.7330000000002</v>
      </c>
      <c r="K234" s="78">
        <f>$I234*$G234</f>
        <v>35857.736000000004</v>
      </c>
      <c r="L234" s="78">
        <f>$J234+$K234</f>
        <v>37485.469000000005</v>
      </c>
      <c r="M234" t="s">
        <v>166</v>
      </c>
      <c r="N234" s="79">
        <v>0.5</v>
      </c>
      <c r="O234" s="79">
        <v>0.5</v>
      </c>
      <c r="P234" s="80">
        <v>0.75</v>
      </c>
      <c r="Q234" s="80">
        <v>0.75</v>
      </c>
      <c r="R234" s="81">
        <f>IF(P234="",0,P234/(1+$E234/100)*$F234)</f>
        <v>2079.0540540540542</v>
      </c>
      <c r="S234" s="81">
        <f>IF(Q234="",0,Q234/(1+$E234/100)*$G234)</f>
        <v>45800</v>
      </c>
      <c r="T234" s="81">
        <f>R234+S234</f>
        <v>47879.054054054053</v>
      </c>
      <c r="U234" s="82">
        <f>IF(OR(T234=0,$L234=0),"",$L234/T234)</f>
        <v>0.78292000000000006</v>
      </c>
      <c r="V234" s="82">
        <f>IF(OR(R234=0,$J234=0),"",$J234/R234)</f>
        <v>0.78292000000000006</v>
      </c>
      <c r="W234" s="82">
        <f>IF(OR(S234=0,$K234=0),"",$K234/S234)</f>
        <v>0.78292000000000006</v>
      </c>
      <c r="X234" s="83">
        <f>BS234+SCENARIU!$C$37+'AJUSTĂRI PE PRODUS'!$I$29</f>
        <v>0.99</v>
      </c>
      <c r="Y234" s="83">
        <f>BT234+SCENARIU!$C$37+'AJUSTĂRI PE PRODUS'!$J$29</f>
        <v>0.99</v>
      </c>
      <c r="Z234" s="84">
        <f>IF(X234="",0,X234/(1+$E234/100)*$F234)</f>
        <v>2744.3513513513508</v>
      </c>
      <c r="AA234" s="84">
        <f>IF(Y234="",0,Y234/(1+$E234/100)*$G234)</f>
        <v>60455.999999999993</v>
      </c>
      <c r="AB234" s="84">
        <f>Z234+AA234</f>
        <v>63200.351351351346</v>
      </c>
      <c r="AC234" s="85">
        <f>IF(OR(AB234=0,$L234=0),"",$L234/AB234)</f>
        <v>0.59312121212121227</v>
      </c>
      <c r="AD234" s="85">
        <f>IF(OR(Z234=0,$J234=0),"",$J234/Z234)</f>
        <v>0.59312121212121227</v>
      </c>
      <c r="AE234" s="85">
        <f>IF(OR(AA234=0,$K234=0),"",$K234/AA234)</f>
        <v>0.59312121212121227</v>
      </c>
      <c r="AF234" s="83">
        <f>BU234+SCENARIU!$C$37+SCENARIU!$D$37+'AJUSTĂRI PE PRODUS'!$I$29+'AJUSTĂRI PE PRODUS'!$N$29</f>
        <v>0.99</v>
      </c>
      <c r="AG234" s="83">
        <f>BV234+SCENARIU!$C$37+SCENARIU!$D$37+'AJUSTĂRI PE PRODUS'!$J$29+'AJUSTĂRI PE PRODUS'!$O$29</f>
        <v>0.99</v>
      </c>
      <c r="AH234" s="86">
        <f>IF(AF234="",0,AF234/(1+$E234/100)*$F234)</f>
        <v>2744.3513513513508</v>
      </c>
      <c r="AI234" s="86">
        <f>IF(AG234="",0,AG234/(1+$E234/100)*$G234)</f>
        <v>60455.999999999993</v>
      </c>
      <c r="AJ234" s="86">
        <f>AH234+AI234</f>
        <v>63200.351351351346</v>
      </c>
      <c r="AK234" s="87">
        <f>IF(OR(AJ234=0,$L234=0),"",$L234/AJ234)</f>
        <v>0.59312121212121227</v>
      </c>
      <c r="AL234" s="87">
        <f>IF(OR(AH234=0,$J234=0),"",$J234/AH234)</f>
        <v>0.59312121212121227</v>
      </c>
      <c r="AM234" s="87">
        <f>IF(OR(AI234=0,$K234=0),"",$K234/AI234)</f>
        <v>0.59312121212121227</v>
      </c>
      <c r="AN234" s="83">
        <f>BW234+SCENARIU!$C$37+SCENARIU!$D$37+SCENARIU!$E$37+'AJUSTĂRI PE PRODUS'!$I$29+'AJUSTĂRI PE PRODUS'!$N$29+'AJUSTĂRI PE PRODUS'!$S$29</f>
        <v>0.99</v>
      </c>
      <c r="AO234" s="83">
        <f>BX234+SCENARIU!$C$37+SCENARIU!$D$37+SCENARIU!$E$37+'AJUSTĂRI PE PRODUS'!$J$29+'AJUSTĂRI PE PRODUS'!$O$29+'AJUSTĂRI PE PRODUS'!$T$29</f>
        <v>0.99</v>
      </c>
      <c r="AP234" s="88">
        <f>IF(AN234="",0,AN234/(1+$E234/100)*$F234)</f>
        <v>2744.3513513513508</v>
      </c>
      <c r="AQ234" s="88">
        <f>IF(AO234="",0,AO234/(1+$E234/100)*$G234)</f>
        <v>60455.999999999993</v>
      </c>
      <c r="AR234" s="88">
        <f>AP234+AQ234</f>
        <v>63200.351351351346</v>
      </c>
      <c r="AS234" s="89">
        <f>IF(OR(AR234=0,$L234=0),"",$L234/AR234)</f>
        <v>0.59312121212121227</v>
      </c>
      <c r="AT234" s="89">
        <f>IF(OR(AP234=0,$J234=0),"",$J234/AP234)</f>
        <v>0.59312121212121227</v>
      </c>
      <c r="AU234" s="89">
        <f>IF(OR(AQ234=0,$K234=0),"",$K234/AQ234)</f>
        <v>0.59312121212121227</v>
      </c>
      <c r="AV234" s="83">
        <f>BY234+SCENARIU!$C$37+SCENARIU!$D$37+SCENARIU!$E$37+SCENARIU!$F$37+'AJUSTĂRI PE PRODUS'!$I$29+'AJUSTĂRI PE PRODUS'!$N$29+'AJUSTĂRI PE PRODUS'!$S$29+'AJUSTĂRI PE PRODUS'!$X$29</f>
        <v>0.99</v>
      </c>
      <c r="AW234" s="83">
        <f>BZ234+SCENARIU!$C$37+SCENARIU!$D$37+SCENARIU!$E$37+SCENARIU!$F$37+'AJUSTĂRI PE PRODUS'!$J$29+'AJUSTĂRI PE PRODUS'!$O$29+'AJUSTĂRI PE PRODUS'!$T$29+'AJUSTĂRI PE PRODUS'!$Y$29</f>
        <v>0.99</v>
      </c>
      <c r="AX234" s="90">
        <f>IF(AV234="",0,AV234/(1+$E234/100)*$F234)</f>
        <v>2744.3513513513508</v>
      </c>
      <c r="AY234" s="90">
        <f>IF(AW234="",0,AW234/(1+$E234/100)*$G234)</f>
        <v>60455.999999999993</v>
      </c>
      <c r="AZ234" s="90">
        <f>AX234+AY234</f>
        <v>63200.351351351346</v>
      </c>
      <c r="BA234" s="91">
        <f>IF(OR(AZ234=0,$L234=0),"",$L234/AZ234)</f>
        <v>0.59312121212121227</v>
      </c>
      <c r="BB234" s="91">
        <f>IF(OR(AX234=0,$J234=0),"",$J234/AX234)</f>
        <v>0.59312121212121227</v>
      </c>
      <c r="BC234" s="91">
        <f>IF(OR(AY234=0,$K234=0),"",$K234/AY234)</f>
        <v>0.59312121212121227</v>
      </c>
      <c r="BD234" s="92">
        <f>IF(OR($N234="",P234=""),"",P234-$N234)</f>
        <v>0.25</v>
      </c>
      <c r="BE234" s="92">
        <f>IF(OR(P234="",X234=""),"",X234-P234)</f>
        <v>0.24</v>
      </c>
      <c r="BF234" s="92">
        <f>IF(OR(X234="",AF234=""),"",AF234-X234)</f>
        <v>0</v>
      </c>
      <c r="BG234" s="92">
        <f>IF(OR(AF234="",AN234=""),"",AN234-AF234)</f>
        <v>0</v>
      </c>
      <c r="BH234" s="92">
        <f>IF(OR(AN234="",AV234=""),"",AV234-AN234)</f>
        <v>0</v>
      </c>
      <c r="BI234" s="93">
        <f>IF(OR($N234="",AV234=""),"",AV234-$N234)</f>
        <v>0.49</v>
      </c>
      <c r="BJ234" s="92">
        <f>IF(OR($O234="",Q234=""),"",Q234-$O234)</f>
        <v>0.25</v>
      </c>
      <c r="BK234" s="92">
        <f>IF(OR(Q234="",Y234=""),"",Y234-Q234)</f>
        <v>0.24</v>
      </c>
      <c r="BL234" s="92">
        <f>IF(OR(Y234="",AG234=""),"",AG234-Y234)</f>
        <v>0</v>
      </c>
      <c r="BM234" s="92">
        <f>IF(OR(AG234="",AO234=""),"",AO234-AG234)</f>
        <v>0</v>
      </c>
      <c r="BN234" s="92">
        <f>IF(OR(AO234="",AW234=""),"",AW234-AO234)</f>
        <v>0</v>
      </c>
      <c r="BO234" s="93">
        <f>IF(OR($O234="",AW234=""),"",AW234-$O234)</f>
        <v>0.49</v>
      </c>
      <c r="BQ234">
        <v>0.75</v>
      </c>
      <c r="BR234">
        <v>0.75</v>
      </c>
      <c r="BS234">
        <v>0.75</v>
      </c>
      <c r="BT234">
        <v>0.75</v>
      </c>
      <c r="BU234">
        <v>0.75</v>
      </c>
      <c r="BV234">
        <v>0.75</v>
      </c>
      <c r="BW234">
        <v>0.75</v>
      </c>
      <c r="BX234">
        <v>0.75</v>
      </c>
      <c r="BY234">
        <v>0.75</v>
      </c>
      <c r="BZ234">
        <v>0.75</v>
      </c>
    </row>
    <row r="235" spans="1:78" x14ac:dyDescent="0.2">
      <c r="A235" s="26">
        <v>2</v>
      </c>
      <c r="B235" s="26" t="s">
        <v>206</v>
      </c>
      <c r="C235" s="26" t="s">
        <v>112</v>
      </c>
      <c r="D235" s="74">
        <v>1</v>
      </c>
      <c r="E235" s="75">
        <v>11</v>
      </c>
      <c r="F235" s="76">
        <v>10831</v>
      </c>
      <c r="G235" s="76">
        <v>0</v>
      </c>
      <c r="H235" s="77">
        <f>SUMIFS(RETETAR!$I$4:$I$967,RETETAR!$A$4:$A$967,$M235,RETETAR!$C$4:$C$967,"AMBELE")+SUMIFS(RETETAR!$I$4:$I$967,RETETAR!$A$4:$A$967,$M235,RETETAR!$C$4:$C$967,"INSTORE")</f>
        <v>0.93899999999999995</v>
      </c>
      <c r="I235" s="77">
        <f>SUMIFS(RETETAR!$I$4:$I$967,RETETAR!$A$4:$A$967,$M235,RETETAR!$C$4:$C$967,"AMBELE")+SUMIFS(RETETAR!$I$4:$I$967,RETETAR!$A$4:$A$967,$M235,RETETAR!$C$4:$C$967,"DELIVERY")</f>
        <v>0</v>
      </c>
      <c r="J235" s="78">
        <f>$H235*$F235</f>
        <v>10170.308999999999</v>
      </c>
      <c r="K235" s="78">
        <f>$I235*$G235</f>
        <v>0</v>
      </c>
      <c r="L235" s="78">
        <f>$J235+$K235</f>
        <v>10170.308999999999</v>
      </c>
      <c r="M235" t="s">
        <v>206</v>
      </c>
      <c r="N235" s="79">
        <v>1</v>
      </c>
      <c r="O235" s="79"/>
      <c r="P235" s="80">
        <v>1.5</v>
      </c>
      <c r="Q235" s="80"/>
      <c r="R235" s="81">
        <f>IF(P235="",0,P235/(1+$E235/100)*$F235)</f>
        <v>14636.486486486487</v>
      </c>
      <c r="S235" s="81">
        <f>IF(Q235="",0,Q235/(1+$E235/100)*$G235)</f>
        <v>0</v>
      </c>
      <c r="T235" s="81">
        <f>R235+S235</f>
        <v>14636.486486486487</v>
      </c>
      <c r="U235" s="82">
        <f>IF(OR(T235=0,$L235=0),"",$L235/T235)</f>
        <v>0.69485999999999992</v>
      </c>
      <c r="V235" s="82">
        <f>IF(OR(R235=0,$J235=0),"",$J235/R235)</f>
        <v>0.69485999999999992</v>
      </c>
      <c r="W235" s="82" t="str">
        <f>IF(OR(S235=0,$K235=0),"",$K235/S235)</f>
        <v/>
      </c>
      <c r="X235" s="83">
        <f>BS235+SCENARIU!$C$37+'AJUSTĂRI PE PRODUS'!$I$67</f>
        <v>1.5</v>
      </c>
      <c r="Y235" s="83"/>
      <c r="Z235" s="84">
        <f>IF(X235="",0,X235/(1+$E235/100)*$F235)</f>
        <v>14636.486486486487</v>
      </c>
      <c r="AA235" s="84">
        <f>IF(Y235="",0,Y235/(1+$E235/100)*$G235)</f>
        <v>0</v>
      </c>
      <c r="AB235" s="84">
        <f>Z235+AA235</f>
        <v>14636.486486486487</v>
      </c>
      <c r="AC235" s="85">
        <f>IF(OR(AB235=0,$L235=0),"",$L235/AB235)</f>
        <v>0.69485999999999992</v>
      </c>
      <c r="AD235" s="85">
        <f>IF(OR(Z235=0,$J235=0),"",$J235/Z235)</f>
        <v>0.69485999999999992</v>
      </c>
      <c r="AE235" s="85" t="str">
        <f>IF(OR(AA235=0,$K235=0),"",$K235/AA235)</f>
        <v/>
      </c>
      <c r="AF235" s="83">
        <f>BU235+SCENARIU!$C$37+SCENARIU!$D$37+'AJUSTĂRI PE PRODUS'!$I$67+'AJUSTĂRI PE PRODUS'!$N$67</f>
        <v>1.5</v>
      </c>
      <c r="AG235" s="83"/>
      <c r="AH235" s="86">
        <f>IF(AF235="",0,AF235/(1+$E235/100)*$F235)</f>
        <v>14636.486486486487</v>
      </c>
      <c r="AI235" s="86">
        <f>IF(AG235="",0,AG235/(1+$E235/100)*$G235)</f>
        <v>0</v>
      </c>
      <c r="AJ235" s="86">
        <f>AH235+AI235</f>
        <v>14636.486486486487</v>
      </c>
      <c r="AK235" s="87">
        <f>IF(OR(AJ235=0,$L235=0),"",$L235/AJ235)</f>
        <v>0.69485999999999992</v>
      </c>
      <c r="AL235" s="87">
        <f>IF(OR(AH235=0,$J235=0),"",$J235/AH235)</f>
        <v>0.69485999999999992</v>
      </c>
      <c r="AM235" s="87" t="str">
        <f>IF(OR(AI235=0,$K235=0),"",$K235/AI235)</f>
        <v/>
      </c>
      <c r="AN235" s="83">
        <f>BW235+SCENARIU!$C$37+SCENARIU!$D$37+SCENARIU!$E$37+'AJUSTĂRI PE PRODUS'!$I$67+'AJUSTĂRI PE PRODUS'!$N$67+'AJUSTĂRI PE PRODUS'!$S$67</f>
        <v>1.5</v>
      </c>
      <c r="AO235" s="83"/>
      <c r="AP235" s="88">
        <f>IF(AN235="",0,AN235/(1+$E235/100)*$F235)</f>
        <v>14636.486486486487</v>
      </c>
      <c r="AQ235" s="88">
        <f>IF(AO235="",0,AO235/(1+$E235/100)*$G235)</f>
        <v>0</v>
      </c>
      <c r="AR235" s="88">
        <f>AP235+AQ235</f>
        <v>14636.486486486487</v>
      </c>
      <c r="AS235" s="89">
        <f>IF(OR(AR235=0,$L235=0),"",$L235/AR235)</f>
        <v>0.69485999999999992</v>
      </c>
      <c r="AT235" s="89">
        <f>IF(OR(AP235=0,$J235=0),"",$J235/AP235)</f>
        <v>0.69485999999999992</v>
      </c>
      <c r="AU235" s="89" t="str">
        <f>IF(OR(AQ235=0,$K235=0),"",$K235/AQ235)</f>
        <v/>
      </c>
      <c r="AV235" s="83">
        <f>BY235+SCENARIU!$C$37+SCENARIU!$D$37+SCENARIU!$E$37+SCENARIU!$F$37+'AJUSTĂRI PE PRODUS'!$I$67+'AJUSTĂRI PE PRODUS'!$N$67+'AJUSTĂRI PE PRODUS'!$S$67+'AJUSTĂRI PE PRODUS'!$X$67</f>
        <v>1.5</v>
      </c>
      <c r="AW235" s="83"/>
      <c r="AX235" s="90">
        <f>IF(AV235="",0,AV235/(1+$E235/100)*$F235)</f>
        <v>14636.486486486487</v>
      </c>
      <c r="AY235" s="90">
        <f>IF(AW235="",0,AW235/(1+$E235/100)*$G235)</f>
        <v>0</v>
      </c>
      <c r="AZ235" s="90">
        <f>AX235+AY235</f>
        <v>14636.486486486487</v>
      </c>
      <c r="BA235" s="91">
        <f>IF(OR(AZ235=0,$L235=0),"",$L235/AZ235)</f>
        <v>0.69485999999999992</v>
      </c>
      <c r="BB235" s="91">
        <f>IF(OR(AX235=0,$J235=0),"",$J235/AX235)</f>
        <v>0.69485999999999992</v>
      </c>
      <c r="BC235" s="91" t="str">
        <f>IF(OR(AY235=0,$K235=0),"",$K235/AY235)</f>
        <v/>
      </c>
      <c r="BD235" s="92">
        <f>IF(OR($N235="",P235=""),"",P235-$N235)</f>
        <v>0.5</v>
      </c>
      <c r="BE235" s="92">
        <f>IF(OR(P235="",X235=""),"",X235-P235)</f>
        <v>0</v>
      </c>
      <c r="BF235" s="92">
        <f>IF(OR(X235="",AF235=""),"",AF235-X235)</f>
        <v>0</v>
      </c>
      <c r="BG235" s="92">
        <f>IF(OR(AF235="",AN235=""),"",AN235-AF235)</f>
        <v>0</v>
      </c>
      <c r="BH235" s="92">
        <f>IF(OR(AN235="",AV235=""),"",AV235-AN235)</f>
        <v>0</v>
      </c>
      <c r="BI235" s="93">
        <f>IF(OR($N235="",AV235=""),"",AV235-$N235)</f>
        <v>0.5</v>
      </c>
      <c r="BJ235" s="92" t="str">
        <f>IF(OR($O235="",Q235=""),"",Q235-$O235)</f>
        <v/>
      </c>
      <c r="BK235" s="92" t="str">
        <f>IF(OR(Q235="",Y235=""),"",Y235-Q235)</f>
        <v/>
      </c>
      <c r="BL235" s="92" t="str">
        <f>IF(OR(Y235="",AG235=""),"",AG235-Y235)</f>
        <v/>
      </c>
      <c r="BM235" s="92" t="str">
        <f>IF(OR(AG235="",AO235=""),"",AO235-AG235)</f>
        <v/>
      </c>
      <c r="BN235" s="92" t="str">
        <f>IF(OR(AO235="",AW235=""),"",AW235-AO235)</f>
        <v/>
      </c>
      <c r="BO235" s="93" t="str">
        <f>IF(OR($O235="",AW235=""),"",AW235-$O235)</f>
        <v/>
      </c>
      <c r="BQ235">
        <v>1.5</v>
      </c>
      <c r="BS235">
        <v>1.5</v>
      </c>
      <c r="BU235">
        <v>1.5</v>
      </c>
      <c r="BW235">
        <v>1.5</v>
      </c>
      <c r="BY235">
        <v>1.5</v>
      </c>
    </row>
    <row r="236" spans="1:78" x14ac:dyDescent="0.2">
      <c r="A236" s="26">
        <v>3</v>
      </c>
      <c r="B236" s="26" t="s">
        <v>282</v>
      </c>
      <c r="C236" s="26" t="s">
        <v>112</v>
      </c>
      <c r="D236" s="74">
        <v>1</v>
      </c>
      <c r="E236" s="75">
        <v>11</v>
      </c>
      <c r="F236" s="76">
        <v>495</v>
      </c>
      <c r="G236" s="76">
        <v>410</v>
      </c>
      <c r="H236" s="77">
        <f>SUMIFS(RETETAR!$I$4:$I$967,RETETAR!$A$4:$A$967,$M236,RETETAR!$C$4:$C$967,"AMBELE")+SUMIFS(RETETAR!$I$4:$I$967,RETETAR!$A$4:$A$967,$M236,RETETAR!$C$4:$C$967,"INSTORE")</f>
        <v>0.76</v>
      </c>
      <c r="I236" s="77">
        <f>SUMIFS(RETETAR!$I$4:$I$967,RETETAR!$A$4:$A$967,$M236,RETETAR!$C$4:$C$967,"AMBELE")+SUMIFS(RETETAR!$I$4:$I$967,RETETAR!$A$4:$A$967,$M236,RETETAR!$C$4:$C$967,"DELIVERY")</f>
        <v>0.76</v>
      </c>
      <c r="J236" s="78">
        <f>$H236*$F236</f>
        <v>376.2</v>
      </c>
      <c r="K236" s="78">
        <f>$I236*$G236</f>
        <v>311.60000000000002</v>
      </c>
      <c r="L236" s="78">
        <f>$J236+$K236</f>
        <v>687.8</v>
      </c>
      <c r="M236" t="s">
        <v>282</v>
      </c>
      <c r="N236" s="79">
        <v>1.5</v>
      </c>
      <c r="O236" s="79">
        <v>2</v>
      </c>
      <c r="P236" s="80">
        <v>2</v>
      </c>
      <c r="Q236" s="80">
        <v>2</v>
      </c>
      <c r="R236" s="81">
        <f>IF(P236="",0,P236/(1+$E236/100)*$F236)</f>
        <v>891.89189189189176</v>
      </c>
      <c r="S236" s="81">
        <f>IF(Q236="",0,Q236/(1+$E236/100)*$G236)</f>
        <v>738.73873873873868</v>
      </c>
      <c r="T236" s="81">
        <f>R236+S236</f>
        <v>1630.6306306306305</v>
      </c>
      <c r="U236" s="82">
        <f>IF(OR(T236=0,$L236=0),"",$L236/T236)</f>
        <v>0.42180000000000001</v>
      </c>
      <c r="V236" s="82">
        <f>IF(OR(R236=0,$J236=0),"",$J236/R236)</f>
        <v>0.42180000000000006</v>
      </c>
      <c r="W236" s="82">
        <f>IF(OR(S236=0,$K236=0),"",$K236/S236)</f>
        <v>0.42180000000000006</v>
      </c>
      <c r="X236" s="83">
        <f>BS236+SCENARIU!$C$37+'AJUSTĂRI PE PRODUS'!$I$146</f>
        <v>2</v>
      </c>
      <c r="Y236" s="83">
        <f>BT236+SCENARIU!$C$37+'AJUSTĂRI PE PRODUS'!$J$146</f>
        <v>2</v>
      </c>
      <c r="Z236" s="84">
        <f>IF(X236="",0,X236/(1+$E236/100)*$F236)</f>
        <v>891.89189189189176</v>
      </c>
      <c r="AA236" s="84">
        <f>IF(Y236="",0,Y236/(1+$E236/100)*$G236)</f>
        <v>738.73873873873868</v>
      </c>
      <c r="AB236" s="84">
        <f>Z236+AA236</f>
        <v>1630.6306306306305</v>
      </c>
      <c r="AC236" s="85">
        <f>IF(OR(AB236=0,$L236=0),"",$L236/AB236)</f>
        <v>0.42180000000000001</v>
      </c>
      <c r="AD236" s="85">
        <f>IF(OR(Z236=0,$J236=0),"",$J236/Z236)</f>
        <v>0.42180000000000006</v>
      </c>
      <c r="AE236" s="85">
        <f>IF(OR(AA236=0,$K236=0),"",$K236/AA236)</f>
        <v>0.42180000000000006</v>
      </c>
      <c r="AF236" s="83">
        <f>BU236+SCENARIU!$C$37+SCENARIU!$D$37+'AJUSTĂRI PE PRODUS'!$I$146+'AJUSTĂRI PE PRODUS'!$N$146</f>
        <v>2</v>
      </c>
      <c r="AG236" s="83">
        <f>BV236+SCENARIU!$C$37+SCENARIU!$D$37+'AJUSTĂRI PE PRODUS'!$J$146+'AJUSTĂRI PE PRODUS'!$O$146</f>
        <v>2</v>
      </c>
      <c r="AH236" s="86">
        <f>IF(AF236="",0,AF236/(1+$E236/100)*$F236)</f>
        <v>891.89189189189176</v>
      </c>
      <c r="AI236" s="86">
        <f>IF(AG236="",0,AG236/(1+$E236/100)*$G236)</f>
        <v>738.73873873873868</v>
      </c>
      <c r="AJ236" s="86">
        <f>AH236+AI236</f>
        <v>1630.6306306306305</v>
      </c>
      <c r="AK236" s="87">
        <f>IF(OR(AJ236=0,$L236=0),"",$L236/AJ236)</f>
        <v>0.42180000000000001</v>
      </c>
      <c r="AL236" s="87">
        <f>IF(OR(AH236=0,$J236=0),"",$J236/AH236)</f>
        <v>0.42180000000000006</v>
      </c>
      <c r="AM236" s="87">
        <f>IF(OR(AI236=0,$K236=0),"",$K236/AI236)</f>
        <v>0.42180000000000006</v>
      </c>
      <c r="AN236" s="83">
        <f>BW236+SCENARIU!$C$37+SCENARIU!$D$37+SCENARIU!$E$37+'AJUSTĂRI PE PRODUS'!$I$146+'AJUSTĂRI PE PRODUS'!$N$146+'AJUSTĂRI PE PRODUS'!$S$146</f>
        <v>2</v>
      </c>
      <c r="AO236" s="83">
        <f>BX236+SCENARIU!$C$37+SCENARIU!$D$37+SCENARIU!$E$37+'AJUSTĂRI PE PRODUS'!$J$146+'AJUSTĂRI PE PRODUS'!$O$146+'AJUSTĂRI PE PRODUS'!$T$146</f>
        <v>2</v>
      </c>
      <c r="AP236" s="88">
        <f>IF(AN236="",0,AN236/(1+$E236/100)*$F236)</f>
        <v>891.89189189189176</v>
      </c>
      <c r="AQ236" s="88">
        <f>IF(AO236="",0,AO236/(1+$E236/100)*$G236)</f>
        <v>738.73873873873868</v>
      </c>
      <c r="AR236" s="88">
        <f>AP236+AQ236</f>
        <v>1630.6306306306305</v>
      </c>
      <c r="AS236" s="89">
        <f>IF(OR(AR236=0,$L236=0),"",$L236/AR236)</f>
        <v>0.42180000000000001</v>
      </c>
      <c r="AT236" s="89">
        <f>IF(OR(AP236=0,$J236=0),"",$J236/AP236)</f>
        <v>0.42180000000000006</v>
      </c>
      <c r="AU236" s="89">
        <f>IF(OR(AQ236=0,$K236=0),"",$K236/AQ236)</f>
        <v>0.42180000000000006</v>
      </c>
      <c r="AV236" s="83">
        <f>BY236+SCENARIU!$C$37+SCENARIU!$D$37+SCENARIU!$E$37+SCENARIU!$F$37+'AJUSTĂRI PE PRODUS'!$I$146+'AJUSTĂRI PE PRODUS'!$N$146+'AJUSTĂRI PE PRODUS'!$S$146+'AJUSTĂRI PE PRODUS'!$X$146</f>
        <v>2</v>
      </c>
      <c r="AW236" s="83">
        <f>BZ236+SCENARIU!$C$37+SCENARIU!$D$37+SCENARIU!$E$37+SCENARIU!$F$37+'AJUSTĂRI PE PRODUS'!$J$146+'AJUSTĂRI PE PRODUS'!$O$146+'AJUSTĂRI PE PRODUS'!$T$146+'AJUSTĂRI PE PRODUS'!$Y$146</f>
        <v>2</v>
      </c>
      <c r="AX236" s="90">
        <f>IF(AV236="",0,AV236/(1+$E236/100)*$F236)</f>
        <v>891.89189189189176</v>
      </c>
      <c r="AY236" s="90">
        <f>IF(AW236="",0,AW236/(1+$E236/100)*$G236)</f>
        <v>738.73873873873868</v>
      </c>
      <c r="AZ236" s="90">
        <f>AX236+AY236</f>
        <v>1630.6306306306305</v>
      </c>
      <c r="BA236" s="91">
        <f>IF(OR(AZ236=0,$L236=0),"",$L236/AZ236)</f>
        <v>0.42180000000000001</v>
      </c>
      <c r="BB236" s="91">
        <f>IF(OR(AX236=0,$J236=0),"",$J236/AX236)</f>
        <v>0.42180000000000006</v>
      </c>
      <c r="BC236" s="91">
        <f>IF(OR(AY236=0,$K236=0),"",$K236/AY236)</f>
        <v>0.42180000000000006</v>
      </c>
      <c r="BD236" s="92">
        <f>IF(OR($N236="",P236=""),"",P236-$N236)</f>
        <v>0.5</v>
      </c>
      <c r="BE236" s="92">
        <f>IF(OR(P236="",X236=""),"",X236-P236)</f>
        <v>0</v>
      </c>
      <c r="BF236" s="92">
        <f>IF(OR(X236="",AF236=""),"",AF236-X236)</f>
        <v>0</v>
      </c>
      <c r="BG236" s="92">
        <f>IF(OR(AF236="",AN236=""),"",AN236-AF236)</f>
        <v>0</v>
      </c>
      <c r="BH236" s="92">
        <f>IF(OR(AN236="",AV236=""),"",AV236-AN236)</f>
        <v>0</v>
      </c>
      <c r="BI236" s="93">
        <f>IF(OR($N236="",AV236=""),"",AV236-$N236)</f>
        <v>0.5</v>
      </c>
      <c r="BJ236" s="92">
        <f>IF(OR($O236="",Q236=""),"",Q236-$O236)</f>
        <v>0</v>
      </c>
      <c r="BK236" s="92">
        <f>IF(OR(Q236="",Y236=""),"",Y236-Q236)</f>
        <v>0</v>
      </c>
      <c r="BL236" s="92">
        <f>IF(OR(Y236="",AG236=""),"",AG236-Y236)</f>
        <v>0</v>
      </c>
      <c r="BM236" s="92">
        <f>IF(OR(AG236="",AO236=""),"",AO236-AG236)</f>
        <v>0</v>
      </c>
      <c r="BN236" s="92">
        <f>IF(OR(AO236="",AW236=""),"",AW236-AO236)</f>
        <v>0</v>
      </c>
      <c r="BO236" s="93">
        <f>IF(OR($O236="",AW236=""),"",AW236-$O236)</f>
        <v>0</v>
      </c>
      <c r="BQ236">
        <v>2</v>
      </c>
      <c r="BR236">
        <v>2</v>
      </c>
      <c r="BS236">
        <v>2</v>
      </c>
      <c r="BT236">
        <v>2</v>
      </c>
      <c r="BU236">
        <v>2</v>
      </c>
      <c r="BV236">
        <v>2</v>
      </c>
      <c r="BW236">
        <v>2</v>
      </c>
      <c r="BX236">
        <v>2</v>
      </c>
      <c r="BY236">
        <v>2</v>
      </c>
      <c r="BZ236">
        <v>2</v>
      </c>
    </row>
    <row r="237" spans="1:78" x14ac:dyDescent="0.2">
      <c r="A237" s="26">
        <v>4</v>
      </c>
      <c r="B237" s="26" t="s">
        <v>323</v>
      </c>
      <c r="C237" s="26" t="s">
        <v>112</v>
      </c>
      <c r="D237" s="74">
        <v>1</v>
      </c>
      <c r="E237" s="75">
        <v>11</v>
      </c>
      <c r="F237" s="76">
        <v>83</v>
      </c>
      <c r="G237" s="76">
        <v>0</v>
      </c>
      <c r="H237" s="77">
        <f>SUMIFS(RETETAR!$I$4:$I$967,RETETAR!$A$4:$A$967,$M237,RETETAR!$C$4:$C$967,"AMBELE")+SUMIFS(RETETAR!$I$4:$I$967,RETETAR!$A$4:$A$967,$M237,RETETAR!$C$4:$C$967,"INSTORE")</f>
        <v>1.6579999999999999</v>
      </c>
      <c r="I237" s="77">
        <f>SUMIFS(RETETAR!$I$4:$I$967,RETETAR!$A$4:$A$967,$M237,RETETAR!$C$4:$C$967,"AMBELE")+SUMIFS(RETETAR!$I$4:$I$967,RETETAR!$A$4:$A$967,$M237,RETETAR!$C$4:$C$967,"DELIVERY")</f>
        <v>0</v>
      </c>
      <c r="J237" s="78">
        <f>$H237*$F237</f>
        <v>137.614</v>
      </c>
      <c r="K237" s="78">
        <f>$I237*$G237</f>
        <v>0</v>
      </c>
      <c r="L237" s="78">
        <f>$J237+$K237</f>
        <v>137.614</v>
      </c>
      <c r="M237" t="s">
        <v>323</v>
      </c>
      <c r="N237" s="79">
        <v>2</v>
      </c>
      <c r="O237" s="79"/>
      <c r="P237" s="80">
        <v>2</v>
      </c>
      <c r="Q237" s="80"/>
      <c r="R237" s="81">
        <f>IF(P237="",0,P237/(1+$E237/100)*$F237)</f>
        <v>149.54954954954954</v>
      </c>
      <c r="S237" s="81">
        <f>IF(Q237="",0,Q237/(1+$E237/100)*$G237)</f>
        <v>0</v>
      </c>
      <c r="T237" s="81">
        <f>R237+S237</f>
        <v>149.54954954954954</v>
      </c>
      <c r="U237" s="82">
        <f>IF(OR(T237=0,$L237=0),"",$L237/T237)</f>
        <v>0.92019000000000006</v>
      </c>
      <c r="V237" s="82">
        <f>IF(OR(R237=0,$J237=0),"",$J237/R237)</f>
        <v>0.92019000000000006</v>
      </c>
      <c r="W237" s="82" t="str">
        <f>IF(OR(S237=0,$K237=0),"",$K237/S237)</f>
        <v/>
      </c>
      <c r="X237" s="83">
        <f>BS237+SCENARIU!$C$37+'AJUSTĂRI PE PRODUS'!$I$184</f>
        <v>2.4900000000000002</v>
      </c>
      <c r="Y237" s="83"/>
      <c r="Z237" s="84">
        <f>IF(X237="",0,X237/(1+$E237/100)*$F237)</f>
        <v>186.18918918918919</v>
      </c>
      <c r="AA237" s="84">
        <f>IF(Y237="",0,Y237/(1+$E237/100)*$G237)</f>
        <v>0</v>
      </c>
      <c r="AB237" s="84">
        <f>Z237+AA237</f>
        <v>186.18918918918919</v>
      </c>
      <c r="AC237" s="85">
        <f>IF(OR(AB237=0,$L237=0),"",$L237/AB237)</f>
        <v>0.73910843373493973</v>
      </c>
      <c r="AD237" s="85">
        <f>IF(OR(Z237=0,$J237=0),"",$J237/Z237)</f>
        <v>0.73910843373493973</v>
      </c>
      <c r="AE237" s="85" t="str">
        <f>IF(OR(AA237=0,$K237=0),"",$K237/AA237)</f>
        <v/>
      </c>
      <c r="AF237" s="83">
        <f>BU237+SCENARIU!$C$37+SCENARIU!$D$37+'AJUSTĂRI PE PRODUS'!$I$184+'AJUSTĂRI PE PRODUS'!$N$184</f>
        <v>2.4900000000000002</v>
      </c>
      <c r="AG237" s="83"/>
      <c r="AH237" s="86">
        <f>IF(AF237="",0,AF237/(1+$E237/100)*$F237)</f>
        <v>186.18918918918919</v>
      </c>
      <c r="AI237" s="86">
        <f>IF(AG237="",0,AG237/(1+$E237/100)*$G237)</f>
        <v>0</v>
      </c>
      <c r="AJ237" s="86">
        <f>AH237+AI237</f>
        <v>186.18918918918919</v>
      </c>
      <c r="AK237" s="87">
        <f>IF(OR(AJ237=0,$L237=0),"",$L237/AJ237)</f>
        <v>0.73910843373493973</v>
      </c>
      <c r="AL237" s="87">
        <f>IF(OR(AH237=0,$J237=0),"",$J237/AH237)</f>
        <v>0.73910843373493973</v>
      </c>
      <c r="AM237" s="87" t="str">
        <f>IF(OR(AI237=0,$K237=0),"",$K237/AI237)</f>
        <v/>
      </c>
      <c r="AN237" s="83">
        <f>BW237+SCENARIU!$C$37+SCENARIU!$D$37+SCENARIU!$E$37+'AJUSTĂRI PE PRODUS'!$I$184+'AJUSTĂRI PE PRODUS'!$N$184+'AJUSTĂRI PE PRODUS'!$S$184</f>
        <v>2.4900000000000002</v>
      </c>
      <c r="AO237" s="83"/>
      <c r="AP237" s="88">
        <f>IF(AN237="",0,AN237/(1+$E237/100)*$F237)</f>
        <v>186.18918918918919</v>
      </c>
      <c r="AQ237" s="88">
        <f>IF(AO237="",0,AO237/(1+$E237/100)*$G237)</f>
        <v>0</v>
      </c>
      <c r="AR237" s="88">
        <f>AP237+AQ237</f>
        <v>186.18918918918919</v>
      </c>
      <c r="AS237" s="89">
        <f>IF(OR(AR237=0,$L237=0),"",$L237/AR237)</f>
        <v>0.73910843373493973</v>
      </c>
      <c r="AT237" s="89">
        <f>IF(OR(AP237=0,$J237=0),"",$J237/AP237)</f>
        <v>0.73910843373493973</v>
      </c>
      <c r="AU237" s="89" t="str">
        <f>IF(OR(AQ237=0,$K237=0),"",$K237/AQ237)</f>
        <v/>
      </c>
      <c r="AV237" s="83">
        <f>BY237+SCENARIU!$C$37+SCENARIU!$D$37+SCENARIU!$E$37+SCENARIU!$F$37+'AJUSTĂRI PE PRODUS'!$I$184+'AJUSTĂRI PE PRODUS'!$N$184+'AJUSTĂRI PE PRODUS'!$S$184+'AJUSTĂRI PE PRODUS'!$X$184</f>
        <v>2.99</v>
      </c>
      <c r="AW237" s="83"/>
      <c r="AX237" s="90">
        <f>IF(AV237="",0,AV237/(1+$E237/100)*$F237)</f>
        <v>223.57657657657657</v>
      </c>
      <c r="AY237" s="90">
        <f>IF(AW237="",0,AW237/(1+$E237/100)*$G237)</f>
        <v>0</v>
      </c>
      <c r="AZ237" s="90">
        <f>AX237+AY237</f>
        <v>223.57657657657657</v>
      </c>
      <c r="BA237" s="91">
        <f>IF(OR(AZ237=0,$L237=0),"",$L237/AZ237)</f>
        <v>0.61551170568561875</v>
      </c>
      <c r="BB237" s="91">
        <f>IF(OR(AX237=0,$J237=0),"",$J237/AX237)</f>
        <v>0.61551170568561875</v>
      </c>
      <c r="BC237" s="91" t="str">
        <f>IF(OR(AY237=0,$K237=0),"",$K237/AY237)</f>
        <v/>
      </c>
      <c r="BD237" s="92">
        <f>IF(OR($N237="",P237=""),"",P237-$N237)</f>
        <v>0</v>
      </c>
      <c r="BE237" s="92">
        <f>IF(OR(P237="",X237=""),"",X237-P237)</f>
        <v>0.49000000000000021</v>
      </c>
      <c r="BF237" s="92">
        <f>IF(OR(X237="",AF237=""),"",AF237-X237)</f>
        <v>0</v>
      </c>
      <c r="BG237" s="92">
        <f>IF(OR(AF237="",AN237=""),"",AN237-AF237)</f>
        <v>0</v>
      </c>
      <c r="BH237" s="92">
        <f>IF(OR(AN237="",AV237=""),"",AV237-AN237)</f>
        <v>0.5</v>
      </c>
      <c r="BI237" s="93">
        <f>IF(OR($N237="",AV237=""),"",AV237-$N237)</f>
        <v>0.99000000000000021</v>
      </c>
      <c r="BJ237" s="92" t="str">
        <f>IF(OR($O237="",Q237=""),"",Q237-$O237)</f>
        <v/>
      </c>
      <c r="BK237" s="92" t="str">
        <f>IF(OR(Q237="",Y237=""),"",Y237-Q237)</f>
        <v/>
      </c>
      <c r="BL237" s="92" t="str">
        <f>IF(OR(Y237="",AG237=""),"",AG237-Y237)</f>
        <v/>
      </c>
      <c r="BM237" s="92" t="str">
        <f>IF(OR(AG237="",AO237=""),"",AO237-AG237)</f>
        <v/>
      </c>
      <c r="BN237" s="92" t="str">
        <f>IF(OR(AO237="",AW237=""),"",AW237-AO237)</f>
        <v/>
      </c>
      <c r="BO237" s="93" t="str">
        <f>IF(OR($O237="",AW237=""),"",AW237-$O237)</f>
        <v/>
      </c>
      <c r="BQ237">
        <v>2</v>
      </c>
      <c r="BS237">
        <v>2</v>
      </c>
      <c r="BU237">
        <v>2</v>
      </c>
      <c r="BW237">
        <v>2</v>
      </c>
      <c r="BY237">
        <v>2</v>
      </c>
    </row>
    <row r="238" spans="1:78" x14ac:dyDescent="0.2">
      <c r="A238" s="94" t="s">
        <v>466</v>
      </c>
      <c r="B238" s="95"/>
      <c r="C238" s="95"/>
      <c r="D238" s="95"/>
      <c r="E238" s="95"/>
      <c r="F238" s="95"/>
      <c r="G238" s="95"/>
      <c r="H238" s="95"/>
      <c r="I238" s="95"/>
      <c r="J238" s="95"/>
      <c r="K238" s="95"/>
      <c r="L238" s="96">
        <f>SUM(L234:L237)</f>
        <v>48481.19200000001</v>
      </c>
      <c r="M238" s="95"/>
      <c r="N238" s="95"/>
      <c r="O238" s="95"/>
      <c r="P238" s="95"/>
      <c r="Q238" s="95"/>
      <c r="R238" s="95"/>
      <c r="S238" s="95"/>
      <c r="T238" s="95"/>
      <c r="U238" s="95"/>
      <c r="V238" s="95"/>
      <c r="W238" s="95"/>
      <c r="X238" s="95"/>
      <c r="Y238" s="95"/>
      <c r="Z238" s="95"/>
      <c r="AA238" s="95"/>
      <c r="AB238" s="95"/>
      <c r="AC238" s="95"/>
      <c r="AD238" s="95"/>
      <c r="AE238" s="95"/>
      <c r="AF238" s="95"/>
      <c r="AG238" s="95"/>
      <c r="AH238" s="95"/>
      <c r="AI238" s="95"/>
      <c r="AJ238" s="95"/>
      <c r="AK238" s="95"/>
      <c r="AL238" s="95"/>
      <c r="AM238" s="95"/>
      <c r="AN238" s="95"/>
      <c r="AO238" s="95"/>
      <c r="AP238" s="95"/>
      <c r="AQ238" s="95"/>
      <c r="AR238" s="95"/>
      <c r="AS238" s="95"/>
      <c r="AT238" s="95"/>
      <c r="AU238" s="95"/>
      <c r="AV238" s="95"/>
      <c r="AW238" s="95"/>
      <c r="AX238" s="95"/>
      <c r="AY238" s="95"/>
      <c r="AZ238" s="95"/>
      <c r="BA238" s="95"/>
      <c r="BB238" s="95"/>
      <c r="BC238" s="95"/>
      <c r="BD238" s="95"/>
      <c r="BE238" s="95"/>
      <c r="BF238" s="95"/>
      <c r="BG238" s="95"/>
      <c r="BH238" s="95"/>
      <c r="BI238" s="95"/>
      <c r="BJ238" s="95"/>
      <c r="BK238" s="95"/>
      <c r="BL238" s="95"/>
      <c r="BM238" s="95"/>
      <c r="BN238" s="95"/>
      <c r="BO238" s="95"/>
    </row>
    <row r="239" spans="1:78" x14ac:dyDescent="0.2">
      <c r="A239" s="72" t="s">
        <v>113</v>
      </c>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c r="BI239" s="73"/>
      <c r="BJ239" s="73"/>
      <c r="BK239" s="73"/>
      <c r="BL239" s="73"/>
      <c r="BM239" s="73"/>
      <c r="BN239" s="73"/>
      <c r="BO239" s="73"/>
    </row>
    <row r="240" spans="1:78" x14ac:dyDescent="0.2">
      <c r="A240" s="26">
        <v>1</v>
      </c>
      <c r="B240" s="26" t="s">
        <v>287</v>
      </c>
      <c r="C240" s="26" t="s">
        <v>113</v>
      </c>
      <c r="D240" s="74">
        <v>1</v>
      </c>
      <c r="E240" s="75">
        <v>21</v>
      </c>
      <c r="F240" s="76">
        <v>0</v>
      </c>
      <c r="G240" s="76">
        <v>3437</v>
      </c>
      <c r="H240" s="77">
        <f>SUMIFS(RETETAR!$I$4:$I$967,RETETAR!$A$4:$A$967,$M240,RETETAR!$C$4:$C$967,"AMBELE")+SUMIFS(RETETAR!$I$4:$I$967,RETETAR!$A$4:$A$967,$M240,RETETAR!$C$4:$C$967,"INSTORE")</f>
        <v>0</v>
      </c>
      <c r="I240" s="77">
        <f>SUMIFS(RETETAR!$I$4:$I$967,RETETAR!$A$4:$A$967,$M240,RETETAR!$C$4:$C$967,"AMBELE")+SUMIFS(RETETAR!$I$4:$I$967,RETETAR!$A$4:$A$967,$M240,RETETAR!$C$4:$C$967,"DELIVERY")</f>
        <v>0.5</v>
      </c>
      <c r="J240" s="78">
        <f>$H240*$F240</f>
        <v>0</v>
      </c>
      <c r="K240" s="78">
        <f>$I240*$G240</f>
        <v>1718.5</v>
      </c>
      <c r="L240" s="78">
        <f>$J240+$K240</f>
        <v>1718.5</v>
      </c>
      <c r="M240" t="s">
        <v>287</v>
      </c>
      <c r="N240" s="79"/>
      <c r="O240" s="79">
        <v>0.5</v>
      </c>
      <c r="P240" s="80"/>
      <c r="Q240" s="80">
        <v>0.5</v>
      </c>
      <c r="R240" s="81">
        <f>IF(P240="",0,P240/(1+$E240/100)*$F240)</f>
        <v>0</v>
      </c>
      <c r="S240" s="81">
        <f>IF(Q240="",0,Q240/(1+$E240/100)*$G240)</f>
        <v>1420.2479338842975</v>
      </c>
      <c r="T240" s="81">
        <f>R240+S240</f>
        <v>1420.2479338842975</v>
      </c>
      <c r="U240" s="82">
        <f>IF(OR(T240=0,$L240=0),"",$L240/T240)</f>
        <v>1.21</v>
      </c>
      <c r="V240" s="82" t="str">
        <f>IF(OR(R240=0,$J240=0),"",$J240/R240)</f>
        <v/>
      </c>
      <c r="W240" s="82">
        <f>IF(OR(S240=0,$K240=0),"",$K240/S240)</f>
        <v>1.21</v>
      </c>
      <c r="X240" s="83"/>
      <c r="Y240" s="83">
        <f>BT240+SCENARIU!$C$38+'AJUSTĂRI PE PRODUS'!$J$148</f>
        <v>0.5</v>
      </c>
      <c r="Z240" s="84">
        <f>IF(X240="",0,X240/(1+$E240/100)*$F240)</f>
        <v>0</v>
      </c>
      <c r="AA240" s="84">
        <f>IF(Y240="",0,Y240/(1+$E240/100)*$G240)</f>
        <v>1420.2479338842975</v>
      </c>
      <c r="AB240" s="84">
        <f>Z240+AA240</f>
        <v>1420.2479338842975</v>
      </c>
      <c r="AC240" s="85">
        <f>IF(OR(AB240=0,$L240=0),"",$L240/AB240)</f>
        <v>1.21</v>
      </c>
      <c r="AD240" s="85" t="str">
        <f>IF(OR(Z240=0,$J240=0),"",$J240/Z240)</f>
        <v/>
      </c>
      <c r="AE240" s="85">
        <f>IF(OR(AA240=0,$K240=0),"",$K240/AA240)</f>
        <v>1.21</v>
      </c>
      <c r="AF240" s="83"/>
      <c r="AG240" s="83">
        <f>BV240+SCENARIU!$C$38+SCENARIU!$D$38+'AJUSTĂRI PE PRODUS'!$J$148+'AJUSTĂRI PE PRODUS'!$O$148</f>
        <v>0.5</v>
      </c>
      <c r="AH240" s="86">
        <f>IF(AF240="",0,AF240/(1+$E240/100)*$F240)</f>
        <v>0</v>
      </c>
      <c r="AI240" s="86">
        <f>IF(AG240="",0,AG240/(1+$E240/100)*$G240)</f>
        <v>1420.2479338842975</v>
      </c>
      <c r="AJ240" s="86">
        <f>AH240+AI240</f>
        <v>1420.2479338842975</v>
      </c>
      <c r="AK240" s="87">
        <f>IF(OR(AJ240=0,$L240=0),"",$L240/AJ240)</f>
        <v>1.21</v>
      </c>
      <c r="AL240" s="87" t="str">
        <f>IF(OR(AH240=0,$J240=0),"",$J240/AH240)</f>
        <v/>
      </c>
      <c r="AM240" s="87">
        <f>IF(OR(AI240=0,$K240=0),"",$K240/AI240)</f>
        <v>1.21</v>
      </c>
      <c r="AN240" s="83"/>
      <c r="AO240" s="83">
        <f>BX240+SCENARIU!$C$38+SCENARIU!$D$38+SCENARIU!$E$38+'AJUSTĂRI PE PRODUS'!$J$148+'AJUSTĂRI PE PRODUS'!$O$148+'AJUSTĂRI PE PRODUS'!$T$148</f>
        <v>0.5</v>
      </c>
      <c r="AP240" s="88">
        <f>IF(AN240="",0,AN240/(1+$E240/100)*$F240)</f>
        <v>0</v>
      </c>
      <c r="AQ240" s="88">
        <f>IF(AO240="",0,AO240/(1+$E240/100)*$G240)</f>
        <v>1420.2479338842975</v>
      </c>
      <c r="AR240" s="88">
        <f>AP240+AQ240</f>
        <v>1420.2479338842975</v>
      </c>
      <c r="AS240" s="89">
        <f>IF(OR(AR240=0,$L240=0),"",$L240/AR240)</f>
        <v>1.21</v>
      </c>
      <c r="AT240" s="89" t="str">
        <f>IF(OR(AP240=0,$J240=0),"",$J240/AP240)</f>
        <v/>
      </c>
      <c r="AU240" s="89">
        <f>IF(OR(AQ240=0,$K240=0),"",$K240/AQ240)</f>
        <v>1.21</v>
      </c>
      <c r="AV240" s="83"/>
      <c r="AW240" s="83">
        <f>BZ240+SCENARIU!$C$38+SCENARIU!$D$38+SCENARIU!$E$38+SCENARIU!$F$38+'AJUSTĂRI PE PRODUS'!$J$148+'AJUSTĂRI PE PRODUS'!$O$148+'AJUSTĂRI PE PRODUS'!$T$148+'AJUSTĂRI PE PRODUS'!$Y$148</f>
        <v>0.5</v>
      </c>
      <c r="AX240" s="90">
        <f>IF(AV240="",0,AV240/(1+$E240/100)*$F240)</f>
        <v>0</v>
      </c>
      <c r="AY240" s="90">
        <f>IF(AW240="",0,AW240/(1+$E240/100)*$G240)</f>
        <v>1420.2479338842975</v>
      </c>
      <c r="AZ240" s="90">
        <f>AX240+AY240</f>
        <v>1420.2479338842975</v>
      </c>
      <c r="BA240" s="91">
        <f>IF(OR(AZ240=0,$L240=0),"",$L240/AZ240)</f>
        <v>1.21</v>
      </c>
      <c r="BB240" s="91" t="str">
        <f>IF(OR(AX240=0,$J240=0),"",$J240/AX240)</f>
        <v/>
      </c>
      <c r="BC240" s="91">
        <f>IF(OR(AY240=0,$K240=0),"",$K240/AY240)</f>
        <v>1.21</v>
      </c>
      <c r="BD240" s="92" t="str">
        <f>IF(OR($N240="",P240=""),"",P240-$N240)</f>
        <v/>
      </c>
      <c r="BE240" s="92" t="str">
        <f>IF(OR(P240="",X240=""),"",X240-P240)</f>
        <v/>
      </c>
      <c r="BF240" s="92" t="str">
        <f>IF(OR(X240="",AF240=""),"",AF240-X240)</f>
        <v/>
      </c>
      <c r="BG240" s="92" t="str">
        <f>IF(OR(AF240="",AN240=""),"",AN240-AF240)</f>
        <v/>
      </c>
      <c r="BH240" s="92" t="str">
        <f>IF(OR(AN240="",AV240=""),"",AV240-AN240)</f>
        <v/>
      </c>
      <c r="BI240" s="93" t="str">
        <f>IF(OR($N240="",AV240=""),"",AV240-$N240)</f>
        <v/>
      </c>
      <c r="BJ240" s="92">
        <f>IF(OR($O240="",Q240=""),"",Q240-$O240)</f>
        <v>0</v>
      </c>
      <c r="BK240" s="92">
        <f>IF(OR(Q240="",Y240=""),"",Y240-Q240)</f>
        <v>0</v>
      </c>
      <c r="BL240" s="92">
        <f>IF(OR(Y240="",AG240=""),"",AG240-Y240)</f>
        <v>0</v>
      </c>
      <c r="BM240" s="92">
        <f>IF(OR(AG240="",AO240=""),"",AO240-AG240)</f>
        <v>0</v>
      </c>
      <c r="BN240" s="92">
        <f>IF(OR(AO240="",AW240=""),"",AW240-AO240)</f>
        <v>0</v>
      </c>
      <c r="BO240" s="93">
        <f>IF(OR($O240="",AW240=""),"",AW240-$O240)</f>
        <v>0</v>
      </c>
      <c r="BR240">
        <v>0.5</v>
      </c>
      <c r="BT240">
        <v>0.5</v>
      </c>
      <c r="BV240">
        <v>0.5</v>
      </c>
      <c r="BX240">
        <v>0.5</v>
      </c>
      <c r="BZ240">
        <v>0.5</v>
      </c>
    </row>
    <row r="241" spans="1:78" x14ac:dyDescent="0.2">
      <c r="A241" s="26">
        <v>2</v>
      </c>
      <c r="B241" s="26" t="s">
        <v>305</v>
      </c>
      <c r="C241" s="26" t="s">
        <v>113</v>
      </c>
      <c r="D241" s="74">
        <v>1</v>
      </c>
      <c r="E241" s="75">
        <v>21</v>
      </c>
      <c r="F241" s="76">
        <v>0</v>
      </c>
      <c r="G241" s="76">
        <v>2327</v>
      </c>
      <c r="H241" s="77">
        <f>SUMIFS(RETETAR!$I$4:$I$967,RETETAR!$A$4:$A$967,$M241,RETETAR!$C$4:$C$967,"AMBELE")+SUMIFS(RETETAR!$I$4:$I$967,RETETAR!$A$4:$A$967,$M241,RETETAR!$C$4:$C$967,"INSTORE")</f>
        <v>0</v>
      </c>
      <c r="I241" s="77">
        <f>SUMIFS(RETETAR!$I$4:$I$967,RETETAR!$A$4:$A$967,$M241,RETETAR!$C$4:$C$967,"AMBELE")+SUMIFS(RETETAR!$I$4:$I$967,RETETAR!$A$4:$A$967,$M241,RETETAR!$C$4:$C$967,"DELIVERY")</f>
        <v>0.5</v>
      </c>
      <c r="J241" s="78">
        <f>$H241*$F241</f>
        <v>0</v>
      </c>
      <c r="K241" s="78">
        <f>$I241*$G241</f>
        <v>1163.5</v>
      </c>
      <c r="L241" s="78">
        <f>$J241+$K241</f>
        <v>1163.5</v>
      </c>
      <c r="M241" t="s">
        <v>305</v>
      </c>
      <c r="N241" s="79"/>
      <c r="O241" s="79">
        <v>0.5</v>
      </c>
      <c r="P241" s="80"/>
      <c r="Q241" s="80">
        <v>0.5</v>
      </c>
      <c r="R241" s="81">
        <f>IF(P241="",0,P241/(1+$E241/100)*$F241)</f>
        <v>0</v>
      </c>
      <c r="S241" s="81">
        <f>IF(Q241="",0,Q241/(1+$E241/100)*$G241)</f>
        <v>961.57024793388427</v>
      </c>
      <c r="T241" s="81">
        <f>R241+S241</f>
        <v>961.57024793388427</v>
      </c>
      <c r="U241" s="82">
        <f>IF(OR(T241=0,$L241=0),"",$L241/T241)</f>
        <v>1.21</v>
      </c>
      <c r="V241" s="82" t="str">
        <f>IF(OR(R241=0,$J241=0),"",$J241/R241)</f>
        <v/>
      </c>
      <c r="W241" s="82">
        <f>IF(OR(S241=0,$K241=0),"",$K241/S241)</f>
        <v>1.21</v>
      </c>
      <c r="X241" s="83"/>
      <c r="Y241" s="83">
        <f>BT241+SCENARIU!$C$38+'AJUSTĂRI PE PRODUS'!$J$166</f>
        <v>0.5</v>
      </c>
      <c r="Z241" s="84">
        <f>IF(X241="",0,X241/(1+$E241/100)*$F241)</f>
        <v>0</v>
      </c>
      <c r="AA241" s="84">
        <f>IF(Y241="",0,Y241/(1+$E241/100)*$G241)</f>
        <v>961.57024793388427</v>
      </c>
      <c r="AB241" s="84">
        <f>Z241+AA241</f>
        <v>961.57024793388427</v>
      </c>
      <c r="AC241" s="85">
        <f>IF(OR(AB241=0,$L241=0),"",$L241/AB241)</f>
        <v>1.21</v>
      </c>
      <c r="AD241" s="85" t="str">
        <f>IF(OR(Z241=0,$J241=0),"",$J241/Z241)</f>
        <v/>
      </c>
      <c r="AE241" s="85">
        <f>IF(OR(AA241=0,$K241=0),"",$K241/AA241)</f>
        <v>1.21</v>
      </c>
      <c r="AF241" s="83"/>
      <c r="AG241" s="83">
        <f>BV241+SCENARIU!$C$38+SCENARIU!$D$38+'AJUSTĂRI PE PRODUS'!$J$166+'AJUSTĂRI PE PRODUS'!$O$166</f>
        <v>0.5</v>
      </c>
      <c r="AH241" s="86">
        <f>IF(AF241="",0,AF241/(1+$E241/100)*$F241)</f>
        <v>0</v>
      </c>
      <c r="AI241" s="86">
        <f>IF(AG241="",0,AG241/(1+$E241/100)*$G241)</f>
        <v>961.57024793388427</v>
      </c>
      <c r="AJ241" s="86">
        <f>AH241+AI241</f>
        <v>961.57024793388427</v>
      </c>
      <c r="AK241" s="87">
        <f>IF(OR(AJ241=0,$L241=0),"",$L241/AJ241)</f>
        <v>1.21</v>
      </c>
      <c r="AL241" s="87" t="str">
        <f>IF(OR(AH241=0,$J241=0),"",$J241/AH241)</f>
        <v/>
      </c>
      <c r="AM241" s="87">
        <f>IF(OR(AI241=0,$K241=0),"",$K241/AI241)</f>
        <v>1.21</v>
      </c>
      <c r="AN241" s="83"/>
      <c r="AO241" s="83">
        <f>BX241+SCENARIU!$C$38+SCENARIU!$D$38+SCENARIU!$E$38+'AJUSTĂRI PE PRODUS'!$J$166+'AJUSTĂRI PE PRODUS'!$O$166+'AJUSTĂRI PE PRODUS'!$T$166</f>
        <v>0.5</v>
      </c>
      <c r="AP241" s="88">
        <f>IF(AN241="",0,AN241/(1+$E241/100)*$F241)</f>
        <v>0</v>
      </c>
      <c r="AQ241" s="88">
        <f>IF(AO241="",0,AO241/(1+$E241/100)*$G241)</f>
        <v>961.57024793388427</v>
      </c>
      <c r="AR241" s="88">
        <f>AP241+AQ241</f>
        <v>961.57024793388427</v>
      </c>
      <c r="AS241" s="89">
        <f>IF(OR(AR241=0,$L241=0),"",$L241/AR241)</f>
        <v>1.21</v>
      </c>
      <c r="AT241" s="89" t="str">
        <f>IF(OR(AP241=0,$J241=0),"",$J241/AP241)</f>
        <v/>
      </c>
      <c r="AU241" s="89">
        <f>IF(OR(AQ241=0,$K241=0),"",$K241/AQ241)</f>
        <v>1.21</v>
      </c>
      <c r="AV241" s="83"/>
      <c r="AW241" s="83">
        <f>BZ241+SCENARIU!$C$38+SCENARIU!$D$38+SCENARIU!$E$38+SCENARIU!$F$38+'AJUSTĂRI PE PRODUS'!$J$166+'AJUSTĂRI PE PRODUS'!$O$166+'AJUSTĂRI PE PRODUS'!$T$166+'AJUSTĂRI PE PRODUS'!$Y$166</f>
        <v>0.5</v>
      </c>
      <c r="AX241" s="90">
        <f>IF(AV241="",0,AV241/(1+$E241/100)*$F241)</f>
        <v>0</v>
      </c>
      <c r="AY241" s="90">
        <f>IF(AW241="",0,AW241/(1+$E241/100)*$G241)</f>
        <v>961.57024793388427</v>
      </c>
      <c r="AZ241" s="90">
        <f>AX241+AY241</f>
        <v>961.57024793388427</v>
      </c>
      <c r="BA241" s="91">
        <f>IF(OR(AZ241=0,$L241=0),"",$L241/AZ241)</f>
        <v>1.21</v>
      </c>
      <c r="BB241" s="91" t="str">
        <f>IF(OR(AX241=0,$J241=0),"",$J241/AX241)</f>
        <v/>
      </c>
      <c r="BC241" s="91">
        <f>IF(OR(AY241=0,$K241=0),"",$K241/AY241)</f>
        <v>1.21</v>
      </c>
      <c r="BD241" s="92" t="str">
        <f>IF(OR($N241="",P241=""),"",P241-$N241)</f>
        <v/>
      </c>
      <c r="BE241" s="92" t="str">
        <f>IF(OR(P241="",X241=""),"",X241-P241)</f>
        <v/>
      </c>
      <c r="BF241" s="92" t="str">
        <f>IF(OR(X241="",AF241=""),"",AF241-X241)</f>
        <v/>
      </c>
      <c r="BG241" s="92" t="str">
        <f>IF(OR(AF241="",AN241=""),"",AN241-AF241)</f>
        <v/>
      </c>
      <c r="BH241" s="92" t="str">
        <f>IF(OR(AN241="",AV241=""),"",AV241-AN241)</f>
        <v/>
      </c>
      <c r="BI241" s="93" t="str">
        <f>IF(OR($N241="",AV241=""),"",AV241-$N241)</f>
        <v/>
      </c>
      <c r="BJ241" s="92">
        <f>IF(OR($O241="",Q241=""),"",Q241-$O241)</f>
        <v>0</v>
      </c>
      <c r="BK241" s="92">
        <f>IF(OR(Q241="",Y241=""),"",Y241-Q241)</f>
        <v>0</v>
      </c>
      <c r="BL241" s="92">
        <f>IF(OR(Y241="",AG241=""),"",AG241-Y241)</f>
        <v>0</v>
      </c>
      <c r="BM241" s="92">
        <f>IF(OR(AG241="",AO241=""),"",AO241-AG241)</f>
        <v>0</v>
      </c>
      <c r="BN241" s="92">
        <f>IF(OR(AO241="",AW241=""),"",AW241-AO241)</f>
        <v>0</v>
      </c>
      <c r="BO241" s="93">
        <f>IF(OR($O241="",AW241=""),"",AW241-$O241)</f>
        <v>0</v>
      </c>
      <c r="BR241">
        <v>0.5</v>
      </c>
      <c r="BT241">
        <v>0.5</v>
      </c>
      <c r="BV241">
        <v>0.5</v>
      </c>
      <c r="BX241">
        <v>0.5</v>
      </c>
      <c r="BZ241">
        <v>0.5</v>
      </c>
    </row>
    <row r="242" spans="1:78" x14ac:dyDescent="0.2">
      <c r="A242" s="26">
        <v>3</v>
      </c>
      <c r="B242" s="26" t="s">
        <v>324</v>
      </c>
      <c r="C242" s="26" t="s">
        <v>113</v>
      </c>
      <c r="D242" s="74">
        <v>1</v>
      </c>
      <c r="E242" s="75">
        <v>21</v>
      </c>
      <c r="F242" s="76">
        <v>0</v>
      </c>
      <c r="G242" s="76">
        <v>360</v>
      </c>
      <c r="H242" s="77">
        <f>SUMIFS(RETETAR!$I$4:$I$967,RETETAR!$A$4:$A$967,$M242,RETETAR!$C$4:$C$967,"AMBELE")+SUMIFS(RETETAR!$I$4:$I$967,RETETAR!$A$4:$A$967,$M242,RETETAR!$C$4:$C$967,"INSTORE")</f>
        <v>0</v>
      </c>
      <c r="I242" s="77">
        <f>SUMIFS(RETETAR!$I$4:$I$967,RETETAR!$A$4:$A$967,$M242,RETETAR!$C$4:$C$967,"AMBELE")+SUMIFS(RETETAR!$I$4:$I$967,RETETAR!$A$4:$A$967,$M242,RETETAR!$C$4:$C$967,"DELIVERY")</f>
        <v>0.5</v>
      </c>
      <c r="J242" s="78">
        <f>$H242*$F242</f>
        <v>0</v>
      </c>
      <c r="K242" s="78">
        <f>$I242*$G242</f>
        <v>180</v>
      </c>
      <c r="L242" s="78">
        <f>$J242+$K242</f>
        <v>180</v>
      </c>
      <c r="M242" t="s">
        <v>324</v>
      </c>
      <c r="N242" s="79"/>
      <c r="O242" s="79">
        <v>0.5</v>
      </c>
      <c r="P242" s="80"/>
      <c r="Q242" s="80">
        <v>0.5</v>
      </c>
      <c r="R242" s="81">
        <f>IF(P242="",0,P242/(1+$E242/100)*$F242)</f>
        <v>0</v>
      </c>
      <c r="S242" s="81">
        <f>IF(Q242="",0,Q242/(1+$E242/100)*$G242)</f>
        <v>148.7603305785124</v>
      </c>
      <c r="T242" s="81">
        <f>R242+S242</f>
        <v>148.7603305785124</v>
      </c>
      <c r="U242" s="82">
        <f>IF(OR(T242=0,$L242=0),"",$L242/T242)</f>
        <v>1.21</v>
      </c>
      <c r="V242" s="82" t="str">
        <f>IF(OR(R242=0,$J242=0),"",$J242/R242)</f>
        <v/>
      </c>
      <c r="W242" s="82">
        <f>IF(OR(S242=0,$K242=0),"",$K242/S242)</f>
        <v>1.21</v>
      </c>
      <c r="X242" s="83"/>
      <c r="Y242" s="83">
        <f>BT242+SCENARIU!$C$38+'AJUSTĂRI PE PRODUS'!$J$183</f>
        <v>0.5</v>
      </c>
      <c r="Z242" s="84">
        <f>IF(X242="",0,X242/(1+$E242/100)*$F242)</f>
        <v>0</v>
      </c>
      <c r="AA242" s="84">
        <f>IF(Y242="",0,Y242/(1+$E242/100)*$G242)</f>
        <v>148.7603305785124</v>
      </c>
      <c r="AB242" s="84">
        <f>Z242+AA242</f>
        <v>148.7603305785124</v>
      </c>
      <c r="AC242" s="85">
        <f>IF(OR(AB242=0,$L242=0),"",$L242/AB242)</f>
        <v>1.21</v>
      </c>
      <c r="AD242" s="85" t="str">
        <f>IF(OR(Z242=0,$J242=0),"",$J242/Z242)</f>
        <v/>
      </c>
      <c r="AE242" s="85">
        <f>IF(OR(AA242=0,$K242=0),"",$K242/AA242)</f>
        <v>1.21</v>
      </c>
      <c r="AF242" s="83"/>
      <c r="AG242" s="83">
        <f>BV242+SCENARIU!$C$38+SCENARIU!$D$38+'AJUSTĂRI PE PRODUS'!$J$183+'AJUSTĂRI PE PRODUS'!$O$183</f>
        <v>0.5</v>
      </c>
      <c r="AH242" s="86">
        <f>IF(AF242="",0,AF242/(1+$E242/100)*$F242)</f>
        <v>0</v>
      </c>
      <c r="AI242" s="86">
        <f>IF(AG242="",0,AG242/(1+$E242/100)*$G242)</f>
        <v>148.7603305785124</v>
      </c>
      <c r="AJ242" s="86">
        <f>AH242+AI242</f>
        <v>148.7603305785124</v>
      </c>
      <c r="AK242" s="87">
        <f>IF(OR(AJ242=0,$L242=0),"",$L242/AJ242)</f>
        <v>1.21</v>
      </c>
      <c r="AL242" s="87" t="str">
        <f>IF(OR(AH242=0,$J242=0),"",$J242/AH242)</f>
        <v/>
      </c>
      <c r="AM242" s="87">
        <f>IF(OR(AI242=0,$K242=0),"",$K242/AI242)</f>
        <v>1.21</v>
      </c>
      <c r="AN242" s="83"/>
      <c r="AO242" s="83">
        <f>BX242+SCENARIU!$C$38+SCENARIU!$D$38+SCENARIU!$E$38+'AJUSTĂRI PE PRODUS'!$J$183+'AJUSTĂRI PE PRODUS'!$O$183+'AJUSTĂRI PE PRODUS'!$T$183</f>
        <v>0.5</v>
      </c>
      <c r="AP242" s="88">
        <f>IF(AN242="",0,AN242/(1+$E242/100)*$F242)</f>
        <v>0</v>
      </c>
      <c r="AQ242" s="88">
        <f>IF(AO242="",0,AO242/(1+$E242/100)*$G242)</f>
        <v>148.7603305785124</v>
      </c>
      <c r="AR242" s="88">
        <f>AP242+AQ242</f>
        <v>148.7603305785124</v>
      </c>
      <c r="AS242" s="89">
        <f>IF(OR(AR242=0,$L242=0),"",$L242/AR242)</f>
        <v>1.21</v>
      </c>
      <c r="AT242" s="89" t="str">
        <f>IF(OR(AP242=0,$J242=0),"",$J242/AP242)</f>
        <v/>
      </c>
      <c r="AU242" s="89">
        <f>IF(OR(AQ242=0,$K242=0),"",$K242/AQ242)</f>
        <v>1.21</v>
      </c>
      <c r="AV242" s="83"/>
      <c r="AW242" s="83">
        <f>BZ242+SCENARIU!$C$38+SCENARIU!$D$38+SCENARIU!$E$38+SCENARIU!$F$38+'AJUSTĂRI PE PRODUS'!$J$183+'AJUSTĂRI PE PRODUS'!$O$183+'AJUSTĂRI PE PRODUS'!$T$183+'AJUSTĂRI PE PRODUS'!$Y$183</f>
        <v>0.5</v>
      </c>
      <c r="AX242" s="90">
        <f>IF(AV242="",0,AV242/(1+$E242/100)*$F242)</f>
        <v>0</v>
      </c>
      <c r="AY242" s="90">
        <f>IF(AW242="",0,AW242/(1+$E242/100)*$G242)</f>
        <v>148.7603305785124</v>
      </c>
      <c r="AZ242" s="90">
        <f>AX242+AY242</f>
        <v>148.7603305785124</v>
      </c>
      <c r="BA242" s="91">
        <f>IF(OR(AZ242=0,$L242=0),"",$L242/AZ242)</f>
        <v>1.21</v>
      </c>
      <c r="BB242" s="91" t="str">
        <f>IF(OR(AX242=0,$J242=0),"",$J242/AX242)</f>
        <v/>
      </c>
      <c r="BC242" s="91">
        <f>IF(OR(AY242=0,$K242=0),"",$K242/AY242)</f>
        <v>1.21</v>
      </c>
      <c r="BD242" s="92" t="str">
        <f>IF(OR($N242="",P242=""),"",P242-$N242)</f>
        <v/>
      </c>
      <c r="BE242" s="92" t="str">
        <f>IF(OR(P242="",X242=""),"",X242-P242)</f>
        <v/>
      </c>
      <c r="BF242" s="92" t="str">
        <f>IF(OR(X242="",AF242=""),"",AF242-X242)</f>
        <v/>
      </c>
      <c r="BG242" s="92" t="str">
        <f>IF(OR(AF242="",AN242=""),"",AN242-AF242)</f>
        <v/>
      </c>
      <c r="BH242" s="92" t="str">
        <f>IF(OR(AN242="",AV242=""),"",AV242-AN242)</f>
        <v/>
      </c>
      <c r="BI242" s="93" t="str">
        <f>IF(OR($N242="",AV242=""),"",AV242-$N242)</f>
        <v/>
      </c>
      <c r="BJ242" s="92">
        <f>IF(OR($O242="",Q242=""),"",Q242-$O242)</f>
        <v>0</v>
      </c>
      <c r="BK242" s="92">
        <f>IF(OR(Q242="",Y242=""),"",Y242-Q242)</f>
        <v>0</v>
      </c>
      <c r="BL242" s="92">
        <f>IF(OR(Y242="",AG242=""),"",AG242-Y242)</f>
        <v>0</v>
      </c>
      <c r="BM242" s="92">
        <f>IF(OR(AG242="",AO242=""),"",AO242-AG242)</f>
        <v>0</v>
      </c>
      <c r="BN242" s="92">
        <f>IF(OR(AO242="",AW242=""),"",AW242-AO242)</f>
        <v>0</v>
      </c>
      <c r="BO242" s="93">
        <f>IF(OR($O242="",AW242=""),"",AW242-$O242)</f>
        <v>0</v>
      </c>
      <c r="BR242">
        <v>0.5</v>
      </c>
      <c r="BT242">
        <v>0.5</v>
      </c>
      <c r="BV242">
        <v>0.5</v>
      </c>
      <c r="BX242">
        <v>0.5</v>
      </c>
      <c r="BZ242">
        <v>0.5</v>
      </c>
    </row>
    <row r="243" spans="1:78" x14ac:dyDescent="0.2">
      <c r="A243" s="94" t="s">
        <v>467</v>
      </c>
      <c r="B243" s="95"/>
      <c r="C243" s="95"/>
      <c r="D243" s="95"/>
      <c r="E243" s="95"/>
      <c r="F243" s="95"/>
      <c r="G243" s="95"/>
      <c r="H243" s="95"/>
      <c r="I243" s="95"/>
      <c r="J243" s="95"/>
      <c r="K243" s="95"/>
      <c r="L243" s="96">
        <f>SUM(L240:L242)</f>
        <v>3062</v>
      </c>
      <c r="M243" s="95"/>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c r="AR243" s="95"/>
      <c r="AS243" s="95"/>
      <c r="AT243" s="95"/>
      <c r="AU243" s="95"/>
      <c r="AV243" s="95"/>
      <c r="AW243" s="95"/>
      <c r="AX243" s="95"/>
      <c r="AY243" s="95"/>
      <c r="AZ243" s="95"/>
      <c r="BA243" s="95"/>
      <c r="BB243" s="95"/>
      <c r="BC243" s="95"/>
      <c r="BD243" s="95"/>
      <c r="BE243" s="95"/>
      <c r="BF243" s="95"/>
      <c r="BG243" s="95"/>
      <c r="BH243" s="95"/>
      <c r="BI243" s="95"/>
      <c r="BJ243" s="95"/>
      <c r="BK243" s="95"/>
      <c r="BL243" s="95"/>
      <c r="BM243" s="95"/>
      <c r="BN243" s="95"/>
      <c r="BO243" s="95"/>
    </row>
  </sheetData>
  <autoFilter ref="A5:BZ243" xr:uid="{00000000-0001-0000-0800-000000000000}"/>
  <mergeCells count="2">
    <mergeCell ref="A1:BO1"/>
    <mergeCell ref="A2:BO2"/>
  </mergeCells>
  <conditionalFormatting sqref="U6:W243">
    <cfRule type="cellIs" dxfId="14" priority="2" operator="greaterThan">
      <formula>0.55</formula>
    </cfRule>
    <cfRule type="cellIs" dxfId="13" priority="3" operator="between">
      <formula>0.45</formula>
      <formula>0.55</formula>
    </cfRule>
    <cfRule type="cellIs" dxfId="12" priority="4" operator="lessThan">
      <formula>0.45</formula>
    </cfRule>
  </conditionalFormatting>
  <conditionalFormatting sqref="AC6:AE243">
    <cfRule type="cellIs" dxfId="11" priority="11" operator="greaterThan">
      <formula>0.55</formula>
    </cfRule>
    <cfRule type="cellIs" dxfId="10" priority="12" operator="between">
      <formula>0.45</formula>
      <formula>0.55</formula>
    </cfRule>
    <cfRule type="cellIs" dxfId="9" priority="13" operator="lessThan">
      <formula>0.45</formula>
    </cfRule>
  </conditionalFormatting>
  <conditionalFormatting sqref="AK6:AM243">
    <cfRule type="cellIs" dxfId="8" priority="20" operator="greaterThan">
      <formula>0.55</formula>
    </cfRule>
    <cfRule type="cellIs" dxfId="7" priority="21" operator="between">
      <formula>0.45</formula>
      <formula>0.55</formula>
    </cfRule>
    <cfRule type="cellIs" dxfId="6" priority="22" operator="lessThan">
      <formula>0.45</formula>
    </cfRule>
  </conditionalFormatting>
  <conditionalFormatting sqref="AS6:AU243">
    <cfRule type="cellIs" dxfId="5" priority="29" operator="greaterThan">
      <formula>0.55</formula>
    </cfRule>
    <cfRule type="cellIs" dxfId="4" priority="30" operator="between">
      <formula>0.45</formula>
      <formula>0.55</formula>
    </cfRule>
    <cfRule type="cellIs" dxfId="3" priority="31" operator="lessThan">
      <formula>0.45</formula>
    </cfRule>
  </conditionalFormatting>
  <conditionalFormatting sqref="BA6:BC243">
    <cfRule type="cellIs" dxfId="2" priority="38" operator="greaterThan">
      <formula>0.55</formula>
    </cfRule>
    <cfRule type="cellIs" dxfId="1" priority="39" operator="between">
      <formula>0.45</formula>
      <formula>0.55</formula>
    </cfRule>
    <cfRule type="cellIs" dxfId="0" priority="40" operator="lessThan">
      <formula>0.45</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
  <sheetViews>
    <sheetView zoomScaleNormal="100" workbookViewId="0">
      <pane ySplit="4" topLeftCell="A5" activePane="bottomLeft" state="frozen"/>
      <selection pane="bottomLeft" sqref="A1:I1"/>
    </sheetView>
  </sheetViews>
  <sheetFormatPr baseColWidth="10" defaultColWidth="8.6640625" defaultRowHeight="15" x14ac:dyDescent="0.2"/>
  <cols>
    <col min="1" max="1" width="44" customWidth="1"/>
    <col min="2" max="2" width="18" customWidth="1"/>
    <col min="3" max="3" width="12" customWidth="1"/>
    <col min="4" max="4" width="11" customWidth="1"/>
    <col min="5" max="9" width="13" customWidth="1"/>
  </cols>
  <sheetData>
    <row r="1" spans="1:9" ht="19" x14ac:dyDescent="0.2">
      <c r="A1" s="107" t="s">
        <v>468</v>
      </c>
      <c r="B1" s="107"/>
      <c r="C1" s="107"/>
      <c r="D1" s="107"/>
      <c r="E1" s="107"/>
      <c r="F1" s="107"/>
      <c r="G1" s="107"/>
      <c r="H1" s="107"/>
      <c r="I1" s="107"/>
    </row>
    <row r="2" spans="1:9" ht="27.75" customHeight="1" x14ac:dyDescent="0.2">
      <c r="A2" s="108" t="s">
        <v>469</v>
      </c>
      <c r="B2" s="108"/>
      <c r="C2" s="108"/>
      <c r="D2" s="108"/>
      <c r="E2" s="108"/>
      <c r="F2" s="108"/>
      <c r="G2" s="108"/>
      <c r="H2" s="108"/>
      <c r="I2" s="108"/>
    </row>
    <row r="4" spans="1:9" x14ac:dyDescent="0.2">
      <c r="A4" s="40" t="s">
        <v>470</v>
      </c>
      <c r="B4" s="40" t="s">
        <v>471</v>
      </c>
      <c r="C4" s="40" t="s">
        <v>472</v>
      </c>
      <c r="D4" s="40" t="s">
        <v>473</v>
      </c>
      <c r="E4" s="40" t="s">
        <v>474</v>
      </c>
      <c r="F4" s="40" t="s">
        <v>475</v>
      </c>
      <c r="G4" s="40" t="s">
        <v>476</v>
      </c>
      <c r="H4" s="40" t="s">
        <v>477</v>
      </c>
      <c r="I4" s="40" t="s">
        <v>478</v>
      </c>
    </row>
    <row r="5" spans="1:9" x14ac:dyDescent="0.2">
      <c r="A5" s="26" t="s">
        <v>479</v>
      </c>
      <c r="B5" s="98">
        <v>730000</v>
      </c>
      <c r="C5" s="99">
        <v>0.1</v>
      </c>
      <c r="D5" s="100" t="s">
        <v>476</v>
      </c>
      <c r="E5" s="27">
        <f>IF(1&gt;=MATCH($D5,{"Aug","Sep","Oct","Nov","Dec"},0),$B5*$C5,0)</f>
        <v>0</v>
      </c>
      <c r="F5" s="27">
        <f>IF(2&gt;=MATCH($D5,{"Aug","Sep","Oct","Nov","Dec"},0),$B5*$C5,0)</f>
        <v>0</v>
      </c>
      <c r="G5" s="27">
        <f>IF(3&gt;=MATCH($D5,{"Aug","Sep","Oct","Nov","Dec"},0),$B5*$C5,0)</f>
        <v>73000</v>
      </c>
      <c r="H5" s="27">
        <f>IF(4&gt;=MATCH($D5,{"Aug","Sep","Oct","Nov","Dec"},0),$B5*$C5,0)</f>
        <v>73000</v>
      </c>
      <c r="I5" s="27">
        <f>IF(5&gt;=MATCH($D5,{"Aug","Sep","Oct","Nov","Dec"},0),$B5*$C5,0)</f>
        <v>73000</v>
      </c>
    </row>
    <row r="6" spans="1:9" x14ac:dyDescent="0.2">
      <c r="A6" s="26" t="s">
        <v>480</v>
      </c>
      <c r="B6" s="98">
        <v>646975</v>
      </c>
      <c r="C6" s="99">
        <v>0.05</v>
      </c>
      <c r="D6" s="100" t="s">
        <v>475</v>
      </c>
      <c r="E6" s="27">
        <f>IF(1&gt;=MATCH($D6,{"Aug","Sep","Oct","Nov","Dec"},0),$B6*$C6,0)</f>
        <v>0</v>
      </c>
      <c r="F6" s="27">
        <f>IF(2&gt;=MATCH($D6,{"Aug","Sep","Oct","Nov","Dec"},0),$B6*$C6,0)</f>
        <v>32348.75</v>
      </c>
      <c r="G6" s="27">
        <f>IF(3&gt;=MATCH($D6,{"Aug","Sep","Oct","Nov","Dec"},0),$B6*$C6,0)</f>
        <v>32348.75</v>
      </c>
      <c r="H6" s="27">
        <f>IF(4&gt;=MATCH($D6,{"Aug","Sep","Oct","Nov","Dec"},0),$B6*$C6,0)</f>
        <v>32348.75</v>
      </c>
      <c r="I6" s="27">
        <f>IF(5&gt;=MATCH($D6,{"Aug","Sep","Oct","Nov","Dec"},0),$B6*$C6,0)</f>
        <v>32348.75</v>
      </c>
    </row>
    <row r="7" spans="1:9" x14ac:dyDescent="0.2">
      <c r="A7" s="26" t="s">
        <v>481</v>
      </c>
      <c r="B7" s="98">
        <v>312586</v>
      </c>
      <c r="C7" s="99">
        <v>0.1</v>
      </c>
      <c r="D7" s="100" t="s">
        <v>475</v>
      </c>
      <c r="E7" s="27">
        <f>IF(1&gt;=MATCH($D7,{"Aug","Sep","Oct","Nov","Dec"},0),$B7*$C7,0)</f>
        <v>0</v>
      </c>
      <c r="F7" s="27">
        <f>IF(2&gt;=MATCH($D7,{"Aug","Sep","Oct","Nov","Dec"},0),$B7*$C7,0)</f>
        <v>31258.600000000002</v>
      </c>
      <c r="G7" s="27">
        <f>IF(3&gt;=MATCH($D7,{"Aug","Sep","Oct","Nov","Dec"},0),$B7*$C7,0)</f>
        <v>31258.600000000002</v>
      </c>
      <c r="H7" s="27">
        <f>IF(4&gt;=MATCH($D7,{"Aug","Sep","Oct","Nov","Dec"},0),$B7*$C7,0)</f>
        <v>31258.600000000002</v>
      </c>
      <c r="I7" s="27">
        <f>IF(5&gt;=MATCH($D7,{"Aug","Sep","Oct","Nov","Dec"},0),$B7*$C7,0)</f>
        <v>31258.600000000002</v>
      </c>
    </row>
    <row r="8" spans="1:9" x14ac:dyDescent="0.2">
      <c r="A8" s="26" t="s">
        <v>482</v>
      </c>
      <c r="B8" s="98">
        <v>482730</v>
      </c>
      <c r="C8" s="99">
        <v>0.05</v>
      </c>
      <c r="D8" s="100" t="s">
        <v>476</v>
      </c>
      <c r="E8" s="27">
        <f>IF(1&gt;=MATCH($D8,{"Aug","Sep","Oct","Nov","Dec"},0),$B8*$C8,0)</f>
        <v>0</v>
      </c>
      <c r="F8" s="27">
        <f>IF(2&gt;=MATCH($D8,{"Aug","Sep","Oct","Nov","Dec"},0),$B8*$C8,0)</f>
        <v>0</v>
      </c>
      <c r="G8" s="27">
        <f>IF(3&gt;=MATCH($D8,{"Aug","Sep","Oct","Nov","Dec"},0),$B8*$C8,0)</f>
        <v>24136.5</v>
      </c>
      <c r="H8" s="27">
        <f>IF(4&gt;=MATCH($D8,{"Aug","Sep","Oct","Nov","Dec"},0),$B8*$C8,0)</f>
        <v>24136.5</v>
      </c>
      <c r="I8" s="27">
        <f>IF(5&gt;=MATCH($D8,{"Aug","Sep","Oct","Nov","Dec"},0),$B8*$C8,0)</f>
        <v>24136.5</v>
      </c>
    </row>
    <row r="9" spans="1:9" x14ac:dyDescent="0.2">
      <c r="A9" s="26" t="s">
        <v>483</v>
      </c>
      <c r="B9" s="98">
        <v>126956</v>
      </c>
      <c r="C9" s="99">
        <v>0.15</v>
      </c>
      <c r="D9" s="100" t="s">
        <v>475</v>
      </c>
      <c r="E9" s="27">
        <f>IF(1&gt;=MATCH($D9,{"Aug","Sep","Oct","Nov","Dec"},0),$B9*$C9,0)</f>
        <v>0</v>
      </c>
      <c r="F9" s="27">
        <f>IF(2&gt;=MATCH($D9,{"Aug","Sep","Oct","Nov","Dec"},0),$B9*$C9,0)</f>
        <v>19043.399999999998</v>
      </c>
      <c r="G9" s="27">
        <f>IF(3&gt;=MATCH($D9,{"Aug","Sep","Oct","Nov","Dec"},0),$B9*$C9,0)</f>
        <v>19043.399999999998</v>
      </c>
      <c r="H9" s="27">
        <f>IF(4&gt;=MATCH($D9,{"Aug","Sep","Oct","Nov","Dec"},0),$B9*$C9,0)</f>
        <v>19043.399999999998</v>
      </c>
      <c r="I9" s="27">
        <f>IF(5&gt;=MATCH($D9,{"Aug","Sep","Oct","Nov","Dec"},0),$B9*$C9,0)</f>
        <v>19043.399999999998</v>
      </c>
    </row>
    <row r="10" spans="1:9" x14ac:dyDescent="0.2">
      <c r="A10" s="26" t="s">
        <v>484</v>
      </c>
      <c r="B10" s="98">
        <v>193885</v>
      </c>
      <c r="C10" s="99">
        <v>0.05</v>
      </c>
      <c r="D10" s="100" t="s">
        <v>476</v>
      </c>
      <c r="E10" s="27">
        <f>IF(1&gt;=MATCH($D10,{"Aug","Sep","Oct","Nov","Dec"},0),$B10*$C10,0)</f>
        <v>0</v>
      </c>
      <c r="F10" s="27">
        <f>IF(2&gt;=MATCH($D10,{"Aug","Sep","Oct","Nov","Dec"},0),$B10*$C10,0)</f>
        <v>0</v>
      </c>
      <c r="G10" s="27">
        <f>IF(3&gt;=MATCH($D10,{"Aug","Sep","Oct","Nov","Dec"},0),$B10*$C10,0)</f>
        <v>9694.25</v>
      </c>
      <c r="H10" s="27">
        <f>IF(4&gt;=MATCH($D10,{"Aug","Sep","Oct","Nov","Dec"},0),$B10*$C10,0)</f>
        <v>9694.25</v>
      </c>
      <c r="I10" s="27">
        <f>IF(5&gt;=MATCH($D10,{"Aug","Sep","Oct","Nov","Dec"},0),$B10*$C10,0)</f>
        <v>9694.25</v>
      </c>
    </row>
    <row r="11" spans="1:9" x14ac:dyDescent="0.2">
      <c r="A11" s="26" t="s">
        <v>485</v>
      </c>
      <c r="B11" s="98">
        <v>80359</v>
      </c>
      <c r="C11" s="99">
        <v>0.1</v>
      </c>
      <c r="D11" s="100" t="s">
        <v>476</v>
      </c>
      <c r="E11" s="27">
        <f>IF(1&gt;=MATCH($D11,{"Aug","Sep","Oct","Nov","Dec"},0),$B11*$C11,0)</f>
        <v>0</v>
      </c>
      <c r="F11" s="27">
        <f>IF(2&gt;=MATCH($D11,{"Aug","Sep","Oct","Nov","Dec"},0),$B11*$C11,0)</f>
        <v>0</v>
      </c>
      <c r="G11" s="27">
        <f>IF(3&gt;=MATCH($D11,{"Aug","Sep","Oct","Nov","Dec"},0),$B11*$C11,0)</f>
        <v>8035.9000000000005</v>
      </c>
      <c r="H11" s="27">
        <f>IF(4&gt;=MATCH($D11,{"Aug","Sep","Oct","Nov","Dec"},0),$B11*$C11,0)</f>
        <v>8035.9000000000005</v>
      </c>
      <c r="I11" s="27">
        <f>IF(5&gt;=MATCH($D11,{"Aug","Sep","Oct","Nov","Dec"},0),$B11*$C11,0)</f>
        <v>8035.9000000000005</v>
      </c>
    </row>
    <row r="12" spans="1:9" x14ac:dyDescent="0.2">
      <c r="A12" s="26" t="s">
        <v>486</v>
      </c>
      <c r="B12" s="98">
        <v>133877</v>
      </c>
      <c r="C12" s="99">
        <v>0.05</v>
      </c>
      <c r="D12" s="100" t="s">
        <v>476</v>
      </c>
      <c r="E12" s="27">
        <f>IF(1&gt;=MATCH($D12,{"Aug","Sep","Oct","Nov","Dec"},0),$B12*$C12,0)</f>
        <v>0</v>
      </c>
      <c r="F12" s="27">
        <f>IF(2&gt;=MATCH($D12,{"Aug","Sep","Oct","Nov","Dec"},0),$B12*$C12,0)</f>
        <v>0</v>
      </c>
      <c r="G12" s="27">
        <f>IF(3&gt;=MATCH($D12,{"Aug","Sep","Oct","Nov","Dec"},0),$B12*$C12,0)</f>
        <v>6693.85</v>
      </c>
      <c r="H12" s="27">
        <f>IF(4&gt;=MATCH($D12,{"Aug","Sep","Oct","Nov","Dec"},0),$B12*$C12,0)</f>
        <v>6693.85</v>
      </c>
      <c r="I12" s="27">
        <f>IF(5&gt;=MATCH($D12,{"Aug","Sep","Oct","Nov","Dec"},0),$B12*$C12,0)</f>
        <v>6693.85</v>
      </c>
    </row>
    <row r="13" spans="1:9" x14ac:dyDescent="0.2">
      <c r="A13" s="26" t="s">
        <v>487</v>
      </c>
      <c r="B13" s="98">
        <v>109158</v>
      </c>
      <c r="C13" s="99">
        <v>0.05</v>
      </c>
      <c r="D13" s="100" t="s">
        <v>476</v>
      </c>
      <c r="E13" s="27">
        <f>IF(1&gt;=MATCH($D13,{"Aug","Sep","Oct","Nov","Dec"},0),$B13*$C13,0)</f>
        <v>0</v>
      </c>
      <c r="F13" s="27">
        <f>IF(2&gt;=MATCH($D13,{"Aug","Sep","Oct","Nov","Dec"},0),$B13*$C13,0)</f>
        <v>0</v>
      </c>
      <c r="G13" s="27">
        <f>IF(3&gt;=MATCH($D13,{"Aug","Sep","Oct","Nov","Dec"},0),$B13*$C13,0)</f>
        <v>5457.9000000000005</v>
      </c>
      <c r="H13" s="27">
        <f>IF(4&gt;=MATCH($D13,{"Aug","Sep","Oct","Nov","Dec"},0),$B13*$C13,0)</f>
        <v>5457.9000000000005</v>
      </c>
      <c r="I13" s="27">
        <f>IF(5&gt;=MATCH($D13,{"Aug","Sep","Oct","Nov","Dec"},0),$B13*$C13,0)</f>
        <v>5457.9000000000005</v>
      </c>
    </row>
    <row r="14" spans="1:9" x14ac:dyDescent="0.2">
      <c r="A14" s="26" t="s">
        <v>488</v>
      </c>
      <c r="B14" s="98">
        <v>92144</v>
      </c>
      <c r="C14" s="99">
        <v>0.05</v>
      </c>
      <c r="D14" s="100" t="s">
        <v>476</v>
      </c>
      <c r="E14" s="27">
        <f>IF(1&gt;=MATCH($D14,{"Aug","Sep","Oct","Nov","Dec"},0),$B14*$C14,0)</f>
        <v>0</v>
      </c>
      <c r="F14" s="27">
        <f>IF(2&gt;=MATCH($D14,{"Aug","Sep","Oct","Nov","Dec"},0),$B14*$C14,0)</f>
        <v>0</v>
      </c>
      <c r="G14" s="27">
        <f>IF(3&gt;=MATCH($D14,{"Aug","Sep","Oct","Nov","Dec"},0),$B14*$C14,0)</f>
        <v>4607.2</v>
      </c>
      <c r="H14" s="27">
        <f>IF(4&gt;=MATCH($D14,{"Aug","Sep","Oct","Nov","Dec"},0),$B14*$C14,0)</f>
        <v>4607.2</v>
      </c>
      <c r="I14" s="27">
        <f>IF(5&gt;=MATCH($D14,{"Aug","Sep","Oct","Nov","Dec"},0),$B14*$C14,0)</f>
        <v>4607.2</v>
      </c>
    </row>
    <row r="15" spans="1:9" x14ac:dyDescent="0.2">
      <c r="A15" s="26" t="s">
        <v>489</v>
      </c>
      <c r="B15" s="98">
        <v>1721980</v>
      </c>
      <c r="C15" s="99">
        <v>0</v>
      </c>
      <c r="D15" s="100" t="s">
        <v>475</v>
      </c>
      <c r="E15" s="27">
        <f>IF(1&gt;=MATCH($D15,{"Aug","Sep","Oct","Nov","Dec"},0),$B15*$C15,0)</f>
        <v>0</v>
      </c>
      <c r="F15" s="27">
        <f>IF(2&gt;=MATCH($D15,{"Aug","Sep","Oct","Nov","Dec"},0),$B15*$C15,0)</f>
        <v>0</v>
      </c>
      <c r="G15" s="27">
        <f>IF(3&gt;=MATCH($D15,{"Aug","Sep","Oct","Nov","Dec"},0),$B15*$C15,0)</f>
        <v>0</v>
      </c>
      <c r="H15" s="27">
        <f>IF(4&gt;=MATCH($D15,{"Aug","Sep","Oct","Nov","Dec"},0),$B15*$C15,0)</f>
        <v>0</v>
      </c>
      <c r="I15" s="27">
        <f>IF(5&gt;=MATCH($D15,{"Aug","Sep","Oct","Nov","Dec"},0),$B15*$C15,0)</f>
        <v>0</v>
      </c>
    </row>
    <row r="16" spans="1:9" x14ac:dyDescent="0.2">
      <c r="A16" s="26" t="s">
        <v>490</v>
      </c>
      <c r="B16" s="98">
        <v>890000</v>
      </c>
      <c r="C16" s="99">
        <v>0</v>
      </c>
      <c r="D16" s="100" t="s">
        <v>475</v>
      </c>
      <c r="E16" s="27">
        <f>IF(1&gt;=MATCH($D16,{"Aug","Sep","Oct","Nov","Dec"},0),$B16*$C16,0)</f>
        <v>0</v>
      </c>
      <c r="F16" s="27">
        <f>IF(2&gt;=MATCH($D16,{"Aug","Sep","Oct","Nov","Dec"},0),$B16*$C16,0)</f>
        <v>0</v>
      </c>
      <c r="G16" s="27">
        <f>IF(3&gt;=MATCH($D16,{"Aug","Sep","Oct","Nov","Dec"},0),$B16*$C16,0)</f>
        <v>0</v>
      </c>
      <c r="H16" s="27">
        <f>IF(4&gt;=MATCH($D16,{"Aug","Sep","Oct","Nov","Dec"},0),$B16*$C16,0)</f>
        <v>0</v>
      </c>
      <c r="I16" s="27">
        <f>IF(5&gt;=MATCH($D16,{"Aug","Sep","Oct","Nov","Dec"},0),$B16*$C16,0)</f>
        <v>0</v>
      </c>
    </row>
    <row r="17" spans="1:9" x14ac:dyDescent="0.2">
      <c r="A17" s="26" t="s">
        <v>491</v>
      </c>
      <c r="B17" s="98">
        <v>210000</v>
      </c>
      <c r="C17" s="99">
        <v>0</v>
      </c>
      <c r="D17" s="100" t="s">
        <v>476</v>
      </c>
      <c r="E17" s="27">
        <f>IF(1&gt;=MATCH($D17,{"Aug","Sep","Oct","Nov","Dec"},0),$B17*$C17,0)</f>
        <v>0</v>
      </c>
      <c r="F17" s="27">
        <f>IF(2&gt;=MATCH($D17,{"Aug","Sep","Oct","Nov","Dec"},0),$B17*$C17,0)</f>
        <v>0</v>
      </c>
      <c r="G17" s="27">
        <f>IF(3&gt;=MATCH($D17,{"Aug","Sep","Oct","Nov","Dec"},0),$B17*$C17,0)</f>
        <v>0</v>
      </c>
      <c r="H17" s="27">
        <f>IF(4&gt;=MATCH($D17,{"Aug","Sep","Oct","Nov","Dec"},0),$B17*$C17,0)</f>
        <v>0</v>
      </c>
      <c r="I17" s="27">
        <f>IF(5&gt;=MATCH($D17,{"Aug","Sep","Oct","Nov","Dec"},0),$B17*$C17,0)</f>
        <v>0</v>
      </c>
    </row>
    <row r="18" spans="1:9" x14ac:dyDescent="0.2">
      <c r="A18" s="26" t="s">
        <v>492</v>
      </c>
      <c r="B18" s="98">
        <v>340000</v>
      </c>
      <c r="C18" s="99">
        <v>0</v>
      </c>
      <c r="D18" s="100" t="s">
        <v>476</v>
      </c>
      <c r="E18" s="27">
        <f>IF(1&gt;=MATCH($D18,{"Aug","Sep","Oct","Nov","Dec"},0),$B18*$C18,0)</f>
        <v>0</v>
      </c>
      <c r="F18" s="27">
        <f>IF(2&gt;=MATCH($D18,{"Aug","Sep","Oct","Nov","Dec"},0),$B18*$C18,0)</f>
        <v>0</v>
      </c>
      <c r="G18" s="27">
        <f>IF(3&gt;=MATCH($D18,{"Aug","Sep","Oct","Nov","Dec"},0),$B18*$C18,0)</f>
        <v>0</v>
      </c>
      <c r="H18" s="27">
        <f>IF(4&gt;=MATCH($D18,{"Aug","Sep","Oct","Nov","Dec"},0),$B18*$C18,0)</f>
        <v>0</v>
      </c>
      <c r="I18" s="27">
        <f>IF(5&gt;=MATCH($D18,{"Aug","Sep","Oct","Nov","Dec"},0),$B18*$C18,0)</f>
        <v>0</v>
      </c>
    </row>
    <row r="19" spans="1:9" x14ac:dyDescent="0.2">
      <c r="A19" s="26" t="s">
        <v>493</v>
      </c>
      <c r="B19" s="98">
        <v>480000</v>
      </c>
      <c r="C19" s="99">
        <v>0</v>
      </c>
      <c r="D19" s="100" t="s">
        <v>476</v>
      </c>
      <c r="E19" s="27">
        <f>IF(1&gt;=MATCH($D19,{"Aug","Sep","Oct","Nov","Dec"},0),$B19*$C19,0)</f>
        <v>0</v>
      </c>
      <c r="F19" s="27">
        <f>IF(2&gt;=MATCH($D19,{"Aug","Sep","Oct","Nov","Dec"},0),$B19*$C19,0)</f>
        <v>0</v>
      </c>
      <c r="G19" s="27">
        <f>IF(3&gt;=MATCH($D19,{"Aug","Sep","Oct","Nov","Dec"},0),$B19*$C19,0)</f>
        <v>0</v>
      </c>
      <c r="H19" s="27">
        <f>IF(4&gt;=MATCH($D19,{"Aug","Sep","Oct","Nov","Dec"},0),$B19*$C19,0)</f>
        <v>0</v>
      </c>
      <c r="I19" s="27">
        <f>IF(5&gt;=MATCH($D19,{"Aug","Sep","Oct","Nov","Dec"},0),$B19*$C19,0)</f>
        <v>0</v>
      </c>
    </row>
    <row r="20" spans="1:9" x14ac:dyDescent="0.2">
      <c r="A20" s="14" t="s">
        <v>74</v>
      </c>
      <c r="B20" s="29">
        <f>SUM(B5:B19)</f>
        <v>6550650</v>
      </c>
      <c r="C20" s="14"/>
      <c r="D20" s="14"/>
      <c r="E20" s="29">
        <f>SUM(E5:E19)</f>
        <v>0</v>
      </c>
      <c r="F20" s="29">
        <f>SUM(F5:F19)</f>
        <v>82650.75</v>
      </c>
      <c r="G20" s="29">
        <f>SUM(G5:G19)</f>
        <v>214276.35</v>
      </c>
      <c r="H20" s="29">
        <f>SUM(H5:H19)</f>
        <v>214276.35</v>
      </c>
      <c r="I20" s="29">
        <f>SUM(I5:I19)</f>
        <v>214276.35</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67"/>
  <sheetViews>
    <sheetView zoomScale="150" zoomScaleNormal="100" workbookViewId="0">
      <pane ySplit="3" topLeftCell="A302" activePane="bottomLeft" state="frozen"/>
      <selection pane="bottomLeft" activeCell="A318" sqref="A318"/>
    </sheetView>
  </sheetViews>
  <sheetFormatPr baseColWidth="10" defaultColWidth="8.6640625" defaultRowHeight="15" x14ac:dyDescent="0.2"/>
  <cols>
    <col min="1" max="1" width="36" customWidth="1"/>
    <col min="2" max="2" width="15" customWidth="1"/>
    <col min="3" max="3" width="10" customWidth="1"/>
    <col min="4" max="4" width="12" customWidth="1"/>
    <col min="5" max="5" width="46" customWidth="1"/>
    <col min="6" max="6" width="10" customWidth="1"/>
    <col min="7" max="7" width="6" customWidth="1"/>
    <col min="8" max="9" width="13" customWidth="1"/>
    <col min="10" max="11" width="14" customWidth="1"/>
  </cols>
  <sheetData>
    <row r="1" spans="1:11" ht="19" x14ac:dyDescent="0.2">
      <c r="A1" s="107" t="s">
        <v>494</v>
      </c>
      <c r="B1" s="107"/>
      <c r="C1" s="107"/>
      <c r="D1" s="107"/>
      <c r="E1" s="107"/>
      <c r="F1" s="107"/>
      <c r="G1" s="107"/>
      <c r="H1" s="107"/>
      <c r="I1" s="107"/>
      <c r="J1" s="107"/>
      <c r="K1" s="107"/>
    </row>
    <row r="2" spans="1:11" x14ac:dyDescent="0.2">
      <c r="A2" s="114" t="s">
        <v>495</v>
      </c>
      <c r="B2" s="114"/>
      <c r="C2" s="114"/>
      <c r="D2" s="114"/>
      <c r="E2" s="114"/>
      <c r="F2" s="114"/>
      <c r="G2" s="114"/>
      <c r="H2" s="114"/>
      <c r="I2" s="114"/>
      <c r="J2" s="114"/>
      <c r="K2" s="114"/>
    </row>
    <row r="3" spans="1:11" x14ac:dyDescent="0.2">
      <c r="A3" s="40" t="s">
        <v>140</v>
      </c>
      <c r="B3" s="40" t="s">
        <v>84</v>
      </c>
      <c r="C3" s="40" t="s">
        <v>496</v>
      </c>
      <c r="D3" s="40" t="s">
        <v>497</v>
      </c>
      <c r="E3" s="40" t="s">
        <v>498</v>
      </c>
      <c r="F3" s="40" t="s">
        <v>499</v>
      </c>
      <c r="G3" s="40" t="s">
        <v>500</v>
      </c>
      <c r="H3" s="40" t="s">
        <v>501</v>
      </c>
      <c r="I3" s="40" t="s">
        <v>502</v>
      </c>
      <c r="J3" s="40" t="s">
        <v>503</v>
      </c>
      <c r="K3" s="40" t="s">
        <v>504</v>
      </c>
    </row>
    <row r="4" spans="1:11" x14ac:dyDescent="0.2">
      <c r="A4" s="26" t="s">
        <v>257</v>
      </c>
      <c r="B4" s="26" t="s">
        <v>505</v>
      </c>
      <c r="C4" s="26" t="s">
        <v>506</v>
      </c>
      <c r="D4" s="26" t="s">
        <v>507</v>
      </c>
      <c r="E4" s="26" t="s">
        <v>508</v>
      </c>
      <c r="F4" s="101">
        <v>2</v>
      </c>
      <c r="G4" s="26" t="s">
        <v>509</v>
      </c>
      <c r="H4" s="102">
        <f>IFERROR(VLOOKUP($D4,NOMENCLATOR!$A:$F,6,FALSE()),"")*IF(OR($G4="g",$G4="ml"),0.001,1)</f>
        <v>0.45200000000000001</v>
      </c>
      <c r="I4" s="102">
        <f>IFERROR($F4*$H4,"")</f>
        <v>0.90400000000000003</v>
      </c>
    </row>
    <row r="5" spans="1:11" x14ac:dyDescent="0.2">
      <c r="A5" s="103" t="s">
        <v>257</v>
      </c>
      <c r="B5" s="104"/>
      <c r="C5" s="104"/>
      <c r="D5" s="104"/>
      <c r="E5" s="103" t="s">
        <v>510</v>
      </c>
      <c r="F5" s="104"/>
      <c r="G5" s="104"/>
      <c r="H5" s="104"/>
      <c r="I5" s="104"/>
      <c r="J5" s="105">
        <f>SUMIFS($I$4:$I$4,$C$4:$C$4,"AMBELE")+SUMIFS($I$4:$I$4,$C$4:$C$4,"INSTORE")</f>
        <v>0.90400000000000003</v>
      </c>
      <c r="K5" s="105">
        <f>SUMIFS($I$4:$I$4,$C$4:$C$4,"AMBELE")+SUMIFS($I$4:$I$4,$C$4:$C$4,"DELIVERY")</f>
        <v>0.90400000000000003</v>
      </c>
    </row>
    <row r="6" spans="1:11" x14ac:dyDescent="0.2">
      <c r="A6" s="26" t="s">
        <v>231</v>
      </c>
      <c r="B6" s="26" t="s">
        <v>100</v>
      </c>
      <c r="C6" s="26" t="s">
        <v>506</v>
      </c>
      <c r="D6" s="26" t="s">
        <v>511</v>
      </c>
      <c r="E6" s="26" t="s">
        <v>512</v>
      </c>
      <c r="F6" s="101">
        <v>3</v>
      </c>
      <c r="G6" s="26" t="s">
        <v>509</v>
      </c>
      <c r="H6" s="102">
        <f>IFERROR(VLOOKUP($D6,NOMENCLATOR!$A:$F,6,FALSE()),"")*IF(OR($G6="g",$G6="ml"),0.001,1)</f>
        <v>1.39123</v>
      </c>
      <c r="I6" s="102">
        <f>IFERROR($F6*$H6,"")</f>
        <v>4.1736899999999997</v>
      </c>
    </row>
    <row r="7" spans="1:11" x14ac:dyDescent="0.2">
      <c r="A7" s="26" t="s">
        <v>231</v>
      </c>
      <c r="B7" s="26" t="s">
        <v>100</v>
      </c>
      <c r="C7" s="26" t="s">
        <v>506</v>
      </c>
      <c r="D7" s="26" t="s">
        <v>513</v>
      </c>
      <c r="E7" s="26" t="s">
        <v>492</v>
      </c>
      <c r="F7" s="101">
        <v>12</v>
      </c>
      <c r="G7" s="26" t="s">
        <v>514</v>
      </c>
      <c r="H7" s="102">
        <f>IFERROR(VLOOKUP($D7,NOMENCLATOR!$A:$F,6,FALSE()),"")*IF(OR($G7="g",$G7="ml"),0.001,1)</f>
        <v>1.6897059999999998E-2</v>
      </c>
      <c r="I7" s="102">
        <f>IFERROR($F7*$H7,"")</f>
        <v>0.20276471999999998</v>
      </c>
    </row>
    <row r="8" spans="1:11" x14ac:dyDescent="0.2">
      <c r="A8" s="26" t="s">
        <v>231</v>
      </c>
      <c r="B8" s="26" t="s">
        <v>100</v>
      </c>
      <c r="C8" s="26" t="s">
        <v>506</v>
      </c>
      <c r="D8" s="26" t="s">
        <v>515</v>
      </c>
      <c r="E8" s="26" t="s">
        <v>516</v>
      </c>
      <c r="F8" s="101">
        <v>1</v>
      </c>
      <c r="G8" s="26" t="s">
        <v>509</v>
      </c>
      <c r="H8" s="102">
        <f>IFERROR(VLOOKUP($D8,NOMENCLATOR!$A:$F,6,FALSE()),"")*IF(OR($G8="g",$G8="ml"),0.001,1)</f>
        <v>0.29399999999999998</v>
      </c>
      <c r="I8" s="102">
        <f>IFERROR($F8*$H8,"")</f>
        <v>0.29399999999999998</v>
      </c>
    </row>
    <row r="9" spans="1:11" x14ac:dyDescent="0.2">
      <c r="A9" s="26" t="s">
        <v>231</v>
      </c>
      <c r="B9" s="26" t="s">
        <v>100</v>
      </c>
      <c r="C9" s="26" t="s">
        <v>506</v>
      </c>
      <c r="D9" s="26" t="s">
        <v>517</v>
      </c>
      <c r="E9" s="26" t="s">
        <v>518</v>
      </c>
      <c r="F9" s="101">
        <v>1</v>
      </c>
      <c r="G9" s="26" t="s">
        <v>509</v>
      </c>
      <c r="H9" s="102">
        <f>IFERROR(VLOOKUP($D9,NOMENCLATOR!$A:$F,6,FALSE()),"")*IF(OR($G9="g",$G9="ml"),0.001,1)</f>
        <v>0.19800000000000001</v>
      </c>
      <c r="I9" s="102">
        <f>IFERROR($F9*$H9,"")</f>
        <v>0.19800000000000001</v>
      </c>
    </row>
    <row r="10" spans="1:11" x14ac:dyDescent="0.2">
      <c r="A10" s="103" t="s">
        <v>231</v>
      </c>
      <c r="B10" s="104"/>
      <c r="C10" s="104"/>
      <c r="D10" s="104"/>
      <c r="E10" s="103" t="s">
        <v>510</v>
      </c>
      <c r="F10" s="104"/>
      <c r="G10" s="104"/>
      <c r="H10" s="104"/>
      <c r="I10" s="104"/>
      <c r="J10" s="105">
        <f>SUMIFS($I$6:$I$9,$C$6:$C$9,"AMBELE")+SUMIFS($I$6:$I$9,$C$6:$C$9,"INSTORE")</f>
        <v>4.8684547199999999</v>
      </c>
      <c r="K10" s="105">
        <f>SUMIFS($I$6:$I$9,$C$6:$C$9,"AMBELE")+SUMIFS($I$6:$I$9,$C$6:$C$9,"DELIVERY")</f>
        <v>4.8684547199999999</v>
      </c>
    </row>
    <row r="11" spans="1:11" x14ac:dyDescent="0.2">
      <c r="A11" s="26" t="s">
        <v>222</v>
      </c>
      <c r="B11" s="26" t="s">
        <v>100</v>
      </c>
      <c r="C11" s="26" t="s">
        <v>506</v>
      </c>
      <c r="D11" s="26" t="s">
        <v>519</v>
      </c>
      <c r="E11" s="26" t="s">
        <v>520</v>
      </c>
      <c r="F11" s="101">
        <v>3</v>
      </c>
      <c r="G11" s="26" t="s">
        <v>509</v>
      </c>
      <c r="H11" s="102">
        <f>IFERROR(VLOOKUP($D11,NOMENCLATOR!$A:$F,6,FALSE()),"")*IF(OR($G11="g",$G11="ml"),0.001,1)</f>
        <v>1.5044299999999999</v>
      </c>
      <c r="I11" s="102">
        <f>IFERROR($F11*$H11,"")</f>
        <v>4.5132899999999996</v>
      </c>
    </row>
    <row r="12" spans="1:11" x14ac:dyDescent="0.2">
      <c r="A12" s="26" t="s">
        <v>222</v>
      </c>
      <c r="B12" s="26" t="s">
        <v>100</v>
      </c>
      <c r="C12" s="26" t="s">
        <v>506</v>
      </c>
      <c r="D12" s="26" t="s">
        <v>513</v>
      </c>
      <c r="E12" s="26" t="s">
        <v>492</v>
      </c>
      <c r="F12" s="101">
        <v>12</v>
      </c>
      <c r="G12" s="26" t="s">
        <v>514</v>
      </c>
      <c r="H12" s="102">
        <f>IFERROR(VLOOKUP($D12,NOMENCLATOR!$A:$F,6,FALSE()),"")*IF(OR($G12="g",$G12="ml"),0.001,1)</f>
        <v>1.6897059999999998E-2</v>
      </c>
      <c r="I12" s="102">
        <f>IFERROR($F12*$H12,"")</f>
        <v>0.20276471999999998</v>
      </c>
    </row>
    <row r="13" spans="1:11" x14ac:dyDescent="0.2">
      <c r="A13" s="26" t="s">
        <v>222</v>
      </c>
      <c r="B13" s="26" t="s">
        <v>100</v>
      </c>
      <c r="C13" s="26" t="s">
        <v>506</v>
      </c>
      <c r="D13" s="26" t="s">
        <v>521</v>
      </c>
      <c r="E13" s="26" t="s">
        <v>522</v>
      </c>
      <c r="F13" s="101">
        <v>1</v>
      </c>
      <c r="G13" s="26" t="s">
        <v>509</v>
      </c>
      <c r="H13" s="102">
        <f>IFERROR(VLOOKUP($D13,NOMENCLATOR!$A:$F,6,FALSE()),"")*IF(OR($G13="g",$G13="ml"),0.001,1)</f>
        <v>0.34</v>
      </c>
      <c r="I13" s="102">
        <f>IFERROR($F13*$H13,"")</f>
        <v>0.34</v>
      </c>
    </row>
    <row r="14" spans="1:11" x14ac:dyDescent="0.2">
      <c r="A14" s="26" t="s">
        <v>222</v>
      </c>
      <c r="B14" s="26" t="s">
        <v>100</v>
      </c>
      <c r="C14" s="26" t="s">
        <v>506</v>
      </c>
      <c r="D14" s="26" t="s">
        <v>517</v>
      </c>
      <c r="E14" s="26" t="s">
        <v>518</v>
      </c>
      <c r="F14" s="101">
        <v>1</v>
      </c>
      <c r="G14" s="26" t="s">
        <v>509</v>
      </c>
      <c r="H14" s="102">
        <f>IFERROR(VLOOKUP($D14,NOMENCLATOR!$A:$F,6,FALSE()),"")*IF(OR($G14="g",$G14="ml"),0.001,1)</f>
        <v>0.19800000000000001</v>
      </c>
      <c r="I14" s="102">
        <f>IFERROR($F14*$H14,"")</f>
        <v>0.19800000000000001</v>
      </c>
    </row>
    <row r="15" spans="1:11" x14ac:dyDescent="0.2">
      <c r="A15" s="103" t="s">
        <v>222</v>
      </c>
      <c r="B15" s="104"/>
      <c r="C15" s="104"/>
      <c r="D15" s="104"/>
      <c r="E15" s="103" t="s">
        <v>510</v>
      </c>
      <c r="F15" s="104"/>
      <c r="G15" s="104"/>
      <c r="H15" s="104"/>
      <c r="I15" s="104"/>
      <c r="J15" s="105">
        <f>SUMIFS($I$11:$I$14,$C$11:$C$14,"AMBELE")+SUMIFS($I$11:$I$14,$C$11:$C$14,"INSTORE")</f>
        <v>5.2540547200000001</v>
      </c>
      <c r="K15" s="105">
        <f>SUMIFS($I$11:$I$14,$C$11:$C$14,"AMBELE")+SUMIFS($I$11:$I$14,$C$11:$C$14,"DELIVERY")</f>
        <v>5.2540547200000001</v>
      </c>
    </row>
    <row r="16" spans="1:11" x14ac:dyDescent="0.2">
      <c r="A16" s="26" t="s">
        <v>201</v>
      </c>
      <c r="B16" s="26" t="s">
        <v>100</v>
      </c>
      <c r="C16" s="26" t="s">
        <v>506</v>
      </c>
      <c r="D16" s="26" t="s">
        <v>523</v>
      </c>
      <c r="E16" s="26" t="s">
        <v>524</v>
      </c>
      <c r="F16" s="101">
        <v>4</v>
      </c>
      <c r="G16" s="26" t="s">
        <v>509</v>
      </c>
      <c r="H16" s="102">
        <f>IFERROR(VLOOKUP($D16,NOMENCLATOR!$A:$F,6,FALSE()),"")*IF(OR($G16="g",$G16="ml"),0.001,1)</f>
        <v>0.67483000000000004</v>
      </c>
      <c r="I16" s="102">
        <f>IFERROR($F16*$H16,"")</f>
        <v>2.6993200000000002</v>
      </c>
    </row>
    <row r="17" spans="1:11" x14ac:dyDescent="0.2">
      <c r="A17" s="26" t="s">
        <v>201</v>
      </c>
      <c r="B17" s="26" t="s">
        <v>100</v>
      </c>
      <c r="C17" s="26" t="s">
        <v>506</v>
      </c>
      <c r="D17" s="26" t="s">
        <v>513</v>
      </c>
      <c r="E17" s="26" t="s">
        <v>492</v>
      </c>
      <c r="F17" s="101">
        <v>16</v>
      </c>
      <c r="G17" s="26" t="s">
        <v>514</v>
      </c>
      <c r="H17" s="102">
        <f>IFERROR(VLOOKUP($D17,NOMENCLATOR!$A:$F,6,FALSE()),"")*IF(OR($G17="g",$G17="ml"),0.001,1)</f>
        <v>1.6897059999999998E-2</v>
      </c>
      <c r="I17" s="102">
        <f>IFERROR($F17*$H17,"")</f>
        <v>0.27035295999999998</v>
      </c>
    </row>
    <row r="18" spans="1:11" x14ac:dyDescent="0.2">
      <c r="A18" s="26" t="s">
        <v>201</v>
      </c>
      <c r="B18" s="26" t="s">
        <v>100</v>
      </c>
      <c r="C18" s="26" t="s">
        <v>506</v>
      </c>
      <c r="D18" s="26" t="s">
        <v>525</v>
      </c>
      <c r="E18" s="26" t="s">
        <v>526</v>
      </c>
      <c r="F18" s="101">
        <v>1</v>
      </c>
      <c r="G18" s="26" t="s">
        <v>509</v>
      </c>
      <c r="H18" s="102">
        <f>IFERROR(VLOOKUP($D18,NOMENCLATOR!$A:$F,6,FALSE()),"")*IF(OR($G18="g",$G18="ml"),0.001,1)</f>
        <v>0.127</v>
      </c>
      <c r="I18" s="102">
        <f>IFERROR($F18*$H18,"")</f>
        <v>0.127</v>
      </c>
    </row>
    <row r="19" spans="1:11" x14ac:dyDescent="0.2">
      <c r="A19" s="103" t="s">
        <v>201</v>
      </c>
      <c r="B19" s="104"/>
      <c r="C19" s="104"/>
      <c r="D19" s="104"/>
      <c r="E19" s="103" t="s">
        <v>510</v>
      </c>
      <c r="F19" s="104"/>
      <c r="G19" s="104"/>
      <c r="H19" s="104"/>
      <c r="I19" s="104"/>
      <c r="J19" s="105">
        <f>SUMIFS($I$16:$I$18,$C$16:$C$18,"AMBELE")+SUMIFS($I$16:$I$18,$C$16:$C$18,"INSTORE")</f>
        <v>3.0966729600000003</v>
      </c>
      <c r="K19" s="105">
        <f>SUMIFS($I$16:$I$18,$C$16:$C$18,"AMBELE")+SUMIFS($I$16:$I$18,$C$16:$C$18,"DELIVERY")</f>
        <v>3.0966729600000003</v>
      </c>
    </row>
    <row r="20" spans="1:11" x14ac:dyDescent="0.2">
      <c r="A20" s="26" t="s">
        <v>202</v>
      </c>
      <c r="B20" s="26" t="s">
        <v>100</v>
      </c>
      <c r="C20" s="26" t="s">
        <v>506</v>
      </c>
      <c r="D20" s="26" t="s">
        <v>511</v>
      </c>
      <c r="E20" s="26" t="s">
        <v>512</v>
      </c>
      <c r="F20" s="101">
        <v>5</v>
      </c>
      <c r="G20" s="26" t="s">
        <v>509</v>
      </c>
      <c r="H20" s="102">
        <f>IFERROR(VLOOKUP($D20,NOMENCLATOR!$A:$F,6,FALSE()),"")*IF(OR($G20="g",$G20="ml"),0.001,1)</f>
        <v>1.39123</v>
      </c>
      <c r="I20" s="102">
        <f>IFERROR($F20*$H20,"")</f>
        <v>6.9561500000000001</v>
      </c>
    </row>
    <row r="21" spans="1:11" x14ac:dyDescent="0.2">
      <c r="A21" s="26" t="s">
        <v>202</v>
      </c>
      <c r="B21" s="26" t="s">
        <v>100</v>
      </c>
      <c r="C21" s="26" t="s">
        <v>506</v>
      </c>
      <c r="D21" s="26" t="s">
        <v>513</v>
      </c>
      <c r="E21" s="26" t="s">
        <v>492</v>
      </c>
      <c r="F21" s="101">
        <v>20</v>
      </c>
      <c r="G21" s="26" t="s">
        <v>514</v>
      </c>
      <c r="H21" s="102">
        <f>IFERROR(VLOOKUP($D21,NOMENCLATOR!$A:$F,6,FALSE()),"")*IF(OR($G21="g",$G21="ml"),0.001,1)</f>
        <v>1.6897059999999998E-2</v>
      </c>
      <c r="I21" s="102">
        <f>IFERROR($F21*$H21,"")</f>
        <v>0.33794119999999994</v>
      </c>
    </row>
    <row r="22" spans="1:11" x14ac:dyDescent="0.2">
      <c r="A22" s="26" t="s">
        <v>202</v>
      </c>
      <c r="B22" s="26" t="s">
        <v>100</v>
      </c>
      <c r="C22" s="26" t="s">
        <v>506</v>
      </c>
      <c r="D22" s="26" t="s">
        <v>515</v>
      </c>
      <c r="E22" s="26" t="s">
        <v>516</v>
      </c>
      <c r="F22" s="101">
        <v>1</v>
      </c>
      <c r="G22" s="26" t="s">
        <v>509</v>
      </c>
      <c r="H22" s="102">
        <f>IFERROR(VLOOKUP($D22,NOMENCLATOR!$A:$F,6,FALSE()),"")*IF(OR($G22="g",$G22="ml"),0.001,1)</f>
        <v>0.29399999999999998</v>
      </c>
      <c r="I22" s="102">
        <f>IFERROR($F22*$H22,"")</f>
        <v>0.29399999999999998</v>
      </c>
    </row>
    <row r="23" spans="1:11" x14ac:dyDescent="0.2">
      <c r="A23" s="26" t="s">
        <v>202</v>
      </c>
      <c r="B23" s="26" t="s">
        <v>100</v>
      </c>
      <c r="C23" s="26" t="s">
        <v>506</v>
      </c>
      <c r="D23" s="26" t="s">
        <v>517</v>
      </c>
      <c r="E23" s="26" t="s">
        <v>518</v>
      </c>
      <c r="F23" s="101">
        <v>1</v>
      </c>
      <c r="G23" s="26" t="s">
        <v>509</v>
      </c>
      <c r="H23" s="102">
        <f>IFERROR(VLOOKUP($D23,NOMENCLATOR!$A:$F,6,FALSE()),"")*IF(OR($G23="g",$G23="ml"),0.001,1)</f>
        <v>0.19800000000000001</v>
      </c>
      <c r="I23" s="102">
        <f>IFERROR($F23*$H23,"")</f>
        <v>0.19800000000000001</v>
      </c>
    </row>
    <row r="24" spans="1:11" x14ac:dyDescent="0.2">
      <c r="A24" s="103" t="s">
        <v>202</v>
      </c>
      <c r="B24" s="104"/>
      <c r="C24" s="104"/>
      <c r="D24" s="104"/>
      <c r="E24" s="103" t="s">
        <v>510</v>
      </c>
      <c r="F24" s="104"/>
      <c r="G24" s="104"/>
      <c r="H24" s="104"/>
      <c r="I24" s="104"/>
      <c r="J24" s="105">
        <f>SUMIFS($I$20:$I$23,$C$20:$C$23,"AMBELE")+SUMIFS($I$20:$I$23,$C$20:$C$23,"INSTORE")</f>
        <v>7.7860912000000004</v>
      </c>
      <c r="K24" s="105">
        <f>SUMIFS($I$20:$I$23,$C$20:$C$23,"AMBELE")+SUMIFS($I$20:$I$23,$C$20:$C$23,"DELIVERY")</f>
        <v>7.7860912000000004</v>
      </c>
    </row>
    <row r="25" spans="1:11" x14ac:dyDescent="0.2">
      <c r="A25" s="26" t="s">
        <v>193</v>
      </c>
      <c r="B25" s="26" t="s">
        <v>100</v>
      </c>
      <c r="C25" s="26" t="s">
        <v>506</v>
      </c>
      <c r="D25" s="26" t="s">
        <v>519</v>
      </c>
      <c r="E25" s="26" t="s">
        <v>520</v>
      </c>
      <c r="F25" s="101">
        <v>5</v>
      </c>
      <c r="G25" s="26" t="s">
        <v>509</v>
      </c>
      <c r="H25" s="102">
        <f>IFERROR(VLOOKUP($D25,NOMENCLATOR!$A:$F,6,FALSE()),"")*IF(OR($G25="g",$G25="ml"),0.001,1)</f>
        <v>1.5044299999999999</v>
      </c>
      <c r="I25" s="102">
        <f>IFERROR($F25*$H25,"")</f>
        <v>7.5221499999999999</v>
      </c>
    </row>
    <row r="26" spans="1:11" x14ac:dyDescent="0.2">
      <c r="A26" s="26" t="s">
        <v>193</v>
      </c>
      <c r="B26" s="26" t="s">
        <v>100</v>
      </c>
      <c r="C26" s="26" t="s">
        <v>506</v>
      </c>
      <c r="D26" s="26" t="s">
        <v>513</v>
      </c>
      <c r="E26" s="26" t="s">
        <v>492</v>
      </c>
      <c r="F26" s="101">
        <v>20</v>
      </c>
      <c r="G26" s="26" t="s">
        <v>514</v>
      </c>
      <c r="H26" s="102">
        <f>IFERROR(VLOOKUP($D26,NOMENCLATOR!$A:$F,6,FALSE()),"")*IF(OR($G26="g",$G26="ml"),0.001,1)</f>
        <v>1.6897059999999998E-2</v>
      </c>
      <c r="I26" s="102">
        <f>IFERROR($F26*$H26,"")</f>
        <v>0.33794119999999994</v>
      </c>
    </row>
    <row r="27" spans="1:11" x14ac:dyDescent="0.2">
      <c r="A27" s="26" t="s">
        <v>193</v>
      </c>
      <c r="B27" s="26" t="s">
        <v>100</v>
      </c>
      <c r="C27" s="26" t="s">
        <v>506</v>
      </c>
      <c r="D27" s="26" t="s">
        <v>521</v>
      </c>
      <c r="E27" s="26" t="s">
        <v>522</v>
      </c>
      <c r="F27" s="101">
        <v>1</v>
      </c>
      <c r="G27" s="26" t="s">
        <v>509</v>
      </c>
      <c r="H27" s="102">
        <f>IFERROR(VLOOKUP($D27,NOMENCLATOR!$A:$F,6,FALSE()),"")*IF(OR($G27="g",$G27="ml"),0.001,1)</f>
        <v>0.34</v>
      </c>
      <c r="I27" s="102">
        <f>IFERROR($F27*$H27,"")</f>
        <v>0.34</v>
      </c>
    </row>
    <row r="28" spans="1:11" x14ac:dyDescent="0.2">
      <c r="A28" s="26" t="s">
        <v>193</v>
      </c>
      <c r="B28" s="26" t="s">
        <v>100</v>
      </c>
      <c r="C28" s="26" t="s">
        <v>506</v>
      </c>
      <c r="D28" s="26" t="s">
        <v>517</v>
      </c>
      <c r="E28" s="26" t="s">
        <v>518</v>
      </c>
      <c r="F28" s="101">
        <v>1</v>
      </c>
      <c r="G28" s="26" t="s">
        <v>509</v>
      </c>
      <c r="H28" s="102">
        <f>IFERROR(VLOOKUP($D28,NOMENCLATOR!$A:$F,6,FALSE()),"")*IF(OR($G28="g",$G28="ml"),0.001,1)</f>
        <v>0.19800000000000001</v>
      </c>
      <c r="I28" s="102">
        <f>IFERROR($F28*$H28,"")</f>
        <v>0.19800000000000001</v>
      </c>
    </row>
    <row r="29" spans="1:11" x14ac:dyDescent="0.2">
      <c r="A29" s="103" t="s">
        <v>193</v>
      </c>
      <c r="B29" s="104"/>
      <c r="C29" s="104"/>
      <c r="D29" s="104"/>
      <c r="E29" s="103" t="s">
        <v>510</v>
      </c>
      <c r="F29" s="104"/>
      <c r="G29" s="104"/>
      <c r="H29" s="104"/>
      <c r="I29" s="104"/>
      <c r="J29" s="105">
        <f>SUMIFS($I$25:$I$28,$C$25:$C$28,"AMBELE")+SUMIFS($I$25:$I$28,$C$25:$C$28,"INSTORE")</f>
        <v>8.3980911999999996</v>
      </c>
      <c r="K29" s="105">
        <f>SUMIFS($I$25:$I$28,$C$25:$C$28,"AMBELE")+SUMIFS($I$25:$I$28,$C$25:$C$28,"DELIVERY")</f>
        <v>8.3980911999999996</v>
      </c>
    </row>
    <row r="30" spans="1:11" x14ac:dyDescent="0.2">
      <c r="A30" s="26" t="s">
        <v>185</v>
      </c>
      <c r="B30" s="26" t="s">
        <v>100</v>
      </c>
      <c r="C30" s="26" t="s">
        <v>506</v>
      </c>
      <c r="D30" s="26" t="s">
        <v>523</v>
      </c>
      <c r="E30" s="26" t="s">
        <v>524</v>
      </c>
      <c r="F30" s="101">
        <v>6</v>
      </c>
      <c r="G30" s="26" t="s">
        <v>509</v>
      </c>
      <c r="H30" s="102">
        <f>IFERROR(VLOOKUP($D30,NOMENCLATOR!$A:$F,6,FALSE()),"")*IF(OR($G30="g",$G30="ml"),0.001,1)</f>
        <v>0.67483000000000004</v>
      </c>
      <c r="I30" s="102">
        <f>IFERROR($F30*$H30,"")</f>
        <v>4.0489800000000002</v>
      </c>
    </row>
    <row r="31" spans="1:11" x14ac:dyDescent="0.2">
      <c r="A31" s="26" t="s">
        <v>185</v>
      </c>
      <c r="B31" s="26" t="s">
        <v>100</v>
      </c>
      <c r="C31" s="26" t="s">
        <v>506</v>
      </c>
      <c r="D31" s="26" t="s">
        <v>513</v>
      </c>
      <c r="E31" s="26" t="s">
        <v>492</v>
      </c>
      <c r="F31" s="101">
        <v>24</v>
      </c>
      <c r="G31" s="26" t="s">
        <v>514</v>
      </c>
      <c r="H31" s="102">
        <f>IFERROR(VLOOKUP($D31,NOMENCLATOR!$A:$F,6,FALSE()),"")*IF(OR($G31="g",$G31="ml"),0.001,1)</f>
        <v>1.6897059999999998E-2</v>
      </c>
      <c r="I31" s="102">
        <f>IFERROR($F31*$H31,"")</f>
        <v>0.40552943999999996</v>
      </c>
    </row>
    <row r="32" spans="1:11" x14ac:dyDescent="0.2">
      <c r="A32" s="26" t="s">
        <v>185</v>
      </c>
      <c r="B32" s="26" t="s">
        <v>100</v>
      </c>
      <c r="C32" s="26" t="s">
        <v>506</v>
      </c>
      <c r="D32" s="26" t="s">
        <v>525</v>
      </c>
      <c r="E32" s="26" t="s">
        <v>526</v>
      </c>
      <c r="F32" s="101">
        <v>1</v>
      </c>
      <c r="G32" s="26" t="s">
        <v>509</v>
      </c>
      <c r="H32" s="102">
        <f>IFERROR(VLOOKUP($D32,NOMENCLATOR!$A:$F,6,FALSE()),"")*IF(OR($G32="g",$G32="ml"),0.001,1)</f>
        <v>0.127</v>
      </c>
      <c r="I32" s="102">
        <f>IFERROR($F32*$H32,"")</f>
        <v>0.127</v>
      </c>
    </row>
    <row r="33" spans="1:11" x14ac:dyDescent="0.2">
      <c r="A33" s="103" t="s">
        <v>185</v>
      </c>
      <c r="B33" s="104"/>
      <c r="C33" s="104"/>
      <c r="D33" s="104"/>
      <c r="E33" s="103" t="s">
        <v>510</v>
      </c>
      <c r="F33" s="104"/>
      <c r="G33" s="104"/>
      <c r="H33" s="104"/>
      <c r="I33" s="104"/>
      <c r="J33" s="105">
        <f>SUMIFS($I$30:$I$32,$C$30:$C$32,"AMBELE")+SUMIFS($I$30:$I$32,$C$30:$C$32,"INSTORE")</f>
        <v>4.5815094399999996</v>
      </c>
      <c r="K33" s="105">
        <f>SUMIFS($I$30:$I$32,$C$30:$C$32,"AMBELE")+SUMIFS($I$30:$I$32,$C$30:$C$32,"DELIVERY")</f>
        <v>4.5815094399999996</v>
      </c>
    </row>
    <row r="34" spans="1:11" x14ac:dyDescent="0.2">
      <c r="A34" s="26" t="s">
        <v>211</v>
      </c>
      <c r="B34" s="26" t="s">
        <v>100</v>
      </c>
      <c r="C34" s="26" t="s">
        <v>506</v>
      </c>
      <c r="D34" s="26" t="s">
        <v>511</v>
      </c>
      <c r="E34" s="26" t="s">
        <v>512</v>
      </c>
      <c r="F34" s="101">
        <v>7</v>
      </c>
      <c r="G34" s="26" t="s">
        <v>509</v>
      </c>
      <c r="H34" s="102">
        <f>IFERROR(VLOOKUP($D34,NOMENCLATOR!$A:$F,6,FALSE()),"")*IF(OR($G34="g",$G34="ml"),0.001,1)</f>
        <v>1.39123</v>
      </c>
      <c r="I34" s="102">
        <f>IFERROR($F34*$H34,"")</f>
        <v>9.7386099999999995</v>
      </c>
    </row>
    <row r="35" spans="1:11" x14ac:dyDescent="0.2">
      <c r="A35" s="26" t="s">
        <v>211</v>
      </c>
      <c r="B35" s="26" t="s">
        <v>100</v>
      </c>
      <c r="C35" s="26" t="s">
        <v>506</v>
      </c>
      <c r="D35" s="26" t="s">
        <v>513</v>
      </c>
      <c r="E35" s="26" t="s">
        <v>492</v>
      </c>
      <c r="F35" s="101">
        <v>28</v>
      </c>
      <c r="G35" s="26" t="s">
        <v>514</v>
      </c>
      <c r="H35" s="102">
        <f>IFERROR(VLOOKUP($D35,NOMENCLATOR!$A:$F,6,FALSE()),"")*IF(OR($G35="g",$G35="ml"),0.001,1)</f>
        <v>1.6897059999999998E-2</v>
      </c>
      <c r="I35" s="102">
        <f>IFERROR($F35*$H35,"")</f>
        <v>0.47311767999999998</v>
      </c>
    </row>
    <row r="36" spans="1:11" x14ac:dyDescent="0.2">
      <c r="A36" s="26" t="s">
        <v>211</v>
      </c>
      <c r="B36" s="26" t="s">
        <v>100</v>
      </c>
      <c r="C36" s="26" t="s">
        <v>506</v>
      </c>
      <c r="D36" s="26" t="s">
        <v>515</v>
      </c>
      <c r="E36" s="26" t="s">
        <v>516</v>
      </c>
      <c r="F36" s="101">
        <v>1</v>
      </c>
      <c r="G36" s="26" t="s">
        <v>509</v>
      </c>
      <c r="H36" s="102">
        <f>IFERROR(VLOOKUP($D36,NOMENCLATOR!$A:$F,6,FALSE()),"")*IF(OR($G36="g",$G36="ml"),0.001,1)</f>
        <v>0.29399999999999998</v>
      </c>
      <c r="I36" s="102">
        <f>IFERROR($F36*$H36,"")</f>
        <v>0.29399999999999998</v>
      </c>
    </row>
    <row r="37" spans="1:11" x14ac:dyDescent="0.2">
      <c r="A37" s="26" t="s">
        <v>211</v>
      </c>
      <c r="B37" s="26" t="s">
        <v>100</v>
      </c>
      <c r="C37" s="26" t="s">
        <v>506</v>
      </c>
      <c r="D37" s="26" t="s">
        <v>517</v>
      </c>
      <c r="E37" s="26" t="s">
        <v>518</v>
      </c>
      <c r="F37" s="101">
        <v>1</v>
      </c>
      <c r="G37" s="26" t="s">
        <v>509</v>
      </c>
      <c r="H37" s="102">
        <f>IFERROR(VLOOKUP($D37,NOMENCLATOR!$A:$F,6,FALSE()),"")*IF(OR($G37="g",$G37="ml"),0.001,1)</f>
        <v>0.19800000000000001</v>
      </c>
      <c r="I37" s="102">
        <f>IFERROR($F37*$H37,"")</f>
        <v>0.19800000000000001</v>
      </c>
    </row>
    <row r="38" spans="1:11" x14ac:dyDescent="0.2">
      <c r="A38" s="103" t="s">
        <v>211</v>
      </c>
      <c r="B38" s="104"/>
      <c r="C38" s="104"/>
      <c r="D38" s="104"/>
      <c r="E38" s="103" t="s">
        <v>510</v>
      </c>
      <c r="F38" s="104"/>
      <c r="G38" s="104"/>
      <c r="H38" s="104"/>
      <c r="I38" s="104"/>
      <c r="J38" s="105">
        <f>SUMIFS($I$34:$I$37,$C$34:$C$37,"AMBELE")+SUMIFS($I$34:$I$37,$C$34:$C$37,"INSTORE")</f>
        <v>10.70372768</v>
      </c>
      <c r="K38" s="105">
        <f>SUMIFS($I$34:$I$37,$C$34:$C$37,"AMBELE")+SUMIFS($I$34:$I$37,$C$34:$C$37,"DELIVERY")</f>
        <v>10.70372768</v>
      </c>
    </row>
    <row r="39" spans="1:11" x14ac:dyDescent="0.2">
      <c r="A39" s="26" t="s">
        <v>203</v>
      </c>
      <c r="B39" s="26" t="s">
        <v>100</v>
      </c>
      <c r="C39" s="26" t="s">
        <v>506</v>
      </c>
      <c r="D39" s="26" t="s">
        <v>519</v>
      </c>
      <c r="E39" s="26" t="s">
        <v>520</v>
      </c>
      <c r="F39" s="101">
        <v>7</v>
      </c>
      <c r="G39" s="26" t="s">
        <v>509</v>
      </c>
      <c r="H39" s="102">
        <f>IFERROR(VLOOKUP($D39,NOMENCLATOR!$A:$F,6,FALSE()),"")*IF(OR($G39="g",$G39="ml"),0.001,1)</f>
        <v>1.5044299999999999</v>
      </c>
      <c r="I39" s="102">
        <f>IFERROR($F39*$H39,"")</f>
        <v>10.53101</v>
      </c>
    </row>
    <row r="40" spans="1:11" x14ac:dyDescent="0.2">
      <c r="A40" s="26" t="s">
        <v>203</v>
      </c>
      <c r="B40" s="26" t="s">
        <v>100</v>
      </c>
      <c r="C40" s="26" t="s">
        <v>506</v>
      </c>
      <c r="D40" s="26" t="s">
        <v>513</v>
      </c>
      <c r="E40" s="26" t="s">
        <v>492</v>
      </c>
      <c r="F40" s="101">
        <v>28</v>
      </c>
      <c r="G40" s="26" t="s">
        <v>514</v>
      </c>
      <c r="H40" s="102">
        <f>IFERROR(VLOOKUP($D40,NOMENCLATOR!$A:$F,6,FALSE()),"")*IF(OR($G40="g",$G40="ml"),0.001,1)</f>
        <v>1.6897059999999998E-2</v>
      </c>
      <c r="I40" s="102">
        <f>IFERROR($F40*$H40,"")</f>
        <v>0.47311767999999998</v>
      </c>
    </row>
    <row r="41" spans="1:11" x14ac:dyDescent="0.2">
      <c r="A41" s="26" t="s">
        <v>203</v>
      </c>
      <c r="B41" s="26" t="s">
        <v>100</v>
      </c>
      <c r="C41" s="26" t="s">
        <v>506</v>
      </c>
      <c r="D41" s="26" t="s">
        <v>521</v>
      </c>
      <c r="E41" s="26" t="s">
        <v>522</v>
      </c>
      <c r="F41" s="101">
        <v>1</v>
      </c>
      <c r="G41" s="26" t="s">
        <v>509</v>
      </c>
      <c r="H41" s="102">
        <f>IFERROR(VLOOKUP($D41,NOMENCLATOR!$A:$F,6,FALSE()),"")*IF(OR($G41="g",$G41="ml"),0.001,1)</f>
        <v>0.34</v>
      </c>
      <c r="I41" s="102">
        <f>IFERROR($F41*$H41,"")</f>
        <v>0.34</v>
      </c>
    </row>
    <row r="42" spans="1:11" x14ac:dyDescent="0.2">
      <c r="A42" s="26" t="s">
        <v>203</v>
      </c>
      <c r="B42" s="26" t="s">
        <v>100</v>
      </c>
      <c r="C42" s="26" t="s">
        <v>506</v>
      </c>
      <c r="D42" s="26" t="s">
        <v>517</v>
      </c>
      <c r="E42" s="26" t="s">
        <v>518</v>
      </c>
      <c r="F42" s="101">
        <v>1</v>
      </c>
      <c r="G42" s="26" t="s">
        <v>509</v>
      </c>
      <c r="H42" s="102">
        <f>IFERROR(VLOOKUP($D42,NOMENCLATOR!$A:$F,6,FALSE()),"")*IF(OR($G42="g",$G42="ml"),0.001,1)</f>
        <v>0.19800000000000001</v>
      </c>
      <c r="I42" s="102">
        <f>IFERROR($F42*$H42,"")</f>
        <v>0.19800000000000001</v>
      </c>
    </row>
    <row r="43" spans="1:11" x14ac:dyDescent="0.2">
      <c r="A43" s="103" t="s">
        <v>203</v>
      </c>
      <c r="B43" s="104"/>
      <c r="C43" s="104"/>
      <c r="D43" s="104"/>
      <c r="E43" s="103" t="s">
        <v>510</v>
      </c>
      <c r="F43" s="104"/>
      <c r="G43" s="104"/>
      <c r="H43" s="104"/>
      <c r="I43" s="104"/>
      <c r="J43" s="105">
        <f>SUMIFS($I$39:$I$42,$C$39:$C$42,"AMBELE")+SUMIFS($I$39:$I$42,$C$39:$C$42,"INSTORE")</f>
        <v>11.54212768</v>
      </c>
      <c r="K43" s="105">
        <f>SUMIFS($I$39:$I$42,$C$39:$C$42,"AMBELE")+SUMIFS($I$39:$I$42,$C$39:$C$42,"DELIVERY")</f>
        <v>11.54212768</v>
      </c>
    </row>
    <row r="44" spans="1:11" x14ac:dyDescent="0.2">
      <c r="A44" s="26" t="s">
        <v>199</v>
      </c>
      <c r="B44" s="26" t="s">
        <v>100</v>
      </c>
      <c r="C44" s="26" t="s">
        <v>506</v>
      </c>
      <c r="D44" s="26" t="s">
        <v>511</v>
      </c>
      <c r="E44" s="26" t="s">
        <v>512</v>
      </c>
      <c r="F44" s="101">
        <v>9</v>
      </c>
      <c r="G44" s="26" t="s">
        <v>509</v>
      </c>
      <c r="H44" s="102">
        <f>IFERROR(VLOOKUP($D44,NOMENCLATOR!$A:$F,6,FALSE()),"")*IF(OR($G44="g",$G44="ml"),0.001,1)</f>
        <v>1.39123</v>
      </c>
      <c r="I44" s="102">
        <f>IFERROR($F44*$H44,"")</f>
        <v>12.52107</v>
      </c>
    </row>
    <row r="45" spans="1:11" x14ac:dyDescent="0.2">
      <c r="A45" s="26" t="s">
        <v>199</v>
      </c>
      <c r="B45" s="26" t="s">
        <v>100</v>
      </c>
      <c r="C45" s="26" t="s">
        <v>506</v>
      </c>
      <c r="D45" s="26" t="s">
        <v>513</v>
      </c>
      <c r="E45" s="26" t="s">
        <v>492</v>
      </c>
      <c r="F45" s="101">
        <v>36</v>
      </c>
      <c r="G45" s="26" t="s">
        <v>514</v>
      </c>
      <c r="H45" s="102">
        <f>IFERROR(VLOOKUP($D45,NOMENCLATOR!$A:$F,6,FALSE()),"")*IF(OR($G45="g",$G45="ml"),0.001,1)</f>
        <v>1.6897059999999998E-2</v>
      </c>
      <c r="I45" s="102">
        <f>IFERROR($F45*$H45,"")</f>
        <v>0.60829415999999992</v>
      </c>
    </row>
    <row r="46" spans="1:11" x14ac:dyDescent="0.2">
      <c r="A46" s="26" t="s">
        <v>199</v>
      </c>
      <c r="B46" s="26" t="s">
        <v>100</v>
      </c>
      <c r="C46" s="26" t="s">
        <v>506</v>
      </c>
      <c r="D46" s="26" t="s">
        <v>515</v>
      </c>
      <c r="E46" s="26" t="s">
        <v>516</v>
      </c>
      <c r="F46" s="101">
        <v>1</v>
      </c>
      <c r="G46" s="26" t="s">
        <v>509</v>
      </c>
      <c r="H46" s="102">
        <f>IFERROR(VLOOKUP($D46,NOMENCLATOR!$A:$F,6,FALSE()),"")*IF(OR($G46="g",$G46="ml"),0.001,1)</f>
        <v>0.29399999999999998</v>
      </c>
      <c r="I46" s="102">
        <f>IFERROR($F46*$H46,"")</f>
        <v>0.29399999999999998</v>
      </c>
    </row>
    <row r="47" spans="1:11" x14ac:dyDescent="0.2">
      <c r="A47" s="26" t="s">
        <v>199</v>
      </c>
      <c r="B47" s="26" t="s">
        <v>100</v>
      </c>
      <c r="C47" s="26" t="s">
        <v>506</v>
      </c>
      <c r="D47" s="26" t="s">
        <v>517</v>
      </c>
      <c r="E47" s="26" t="s">
        <v>518</v>
      </c>
      <c r="F47" s="101">
        <v>1</v>
      </c>
      <c r="G47" s="26" t="s">
        <v>509</v>
      </c>
      <c r="H47" s="102">
        <f>IFERROR(VLOOKUP($D47,NOMENCLATOR!$A:$F,6,FALSE()),"")*IF(OR($G47="g",$G47="ml"),0.001,1)</f>
        <v>0.19800000000000001</v>
      </c>
      <c r="I47" s="102">
        <f>IFERROR($F47*$H47,"")</f>
        <v>0.19800000000000001</v>
      </c>
    </row>
    <row r="48" spans="1:11" x14ac:dyDescent="0.2">
      <c r="A48" s="103" t="s">
        <v>199</v>
      </c>
      <c r="B48" s="104"/>
      <c r="C48" s="104"/>
      <c r="D48" s="104"/>
      <c r="E48" s="103" t="s">
        <v>510</v>
      </c>
      <c r="F48" s="104"/>
      <c r="G48" s="104"/>
      <c r="H48" s="104"/>
      <c r="I48" s="104"/>
      <c r="J48" s="105">
        <f>SUMIFS($I$44:$I$47,$C$44:$C$47,"AMBELE")+SUMIFS($I$44:$I$47,$C$44:$C$47,"INSTORE")</f>
        <v>13.621364160000001</v>
      </c>
      <c r="K48" s="105">
        <f>SUMIFS($I$44:$I$47,$C$44:$C$47,"AMBELE")+SUMIFS($I$44:$I$47,$C$44:$C$47,"DELIVERY")</f>
        <v>13.621364160000001</v>
      </c>
    </row>
    <row r="49" spans="1:11" x14ac:dyDescent="0.2">
      <c r="A49" s="26" t="s">
        <v>189</v>
      </c>
      <c r="B49" s="26" t="s">
        <v>100</v>
      </c>
      <c r="C49" s="26" t="s">
        <v>506</v>
      </c>
      <c r="D49" s="26" t="s">
        <v>519</v>
      </c>
      <c r="E49" s="26" t="s">
        <v>520</v>
      </c>
      <c r="F49" s="101">
        <v>9</v>
      </c>
      <c r="G49" s="26" t="s">
        <v>509</v>
      </c>
      <c r="H49" s="102">
        <f>IFERROR(VLOOKUP($D49,NOMENCLATOR!$A:$F,6,FALSE()),"")*IF(OR($G49="g",$G49="ml"),0.001,1)</f>
        <v>1.5044299999999999</v>
      </c>
      <c r="I49" s="102">
        <f>IFERROR($F49*$H49,"")</f>
        <v>13.539869999999999</v>
      </c>
    </row>
    <row r="50" spans="1:11" x14ac:dyDescent="0.2">
      <c r="A50" s="26" t="s">
        <v>189</v>
      </c>
      <c r="B50" s="26" t="s">
        <v>100</v>
      </c>
      <c r="C50" s="26" t="s">
        <v>506</v>
      </c>
      <c r="D50" s="26" t="s">
        <v>513</v>
      </c>
      <c r="E50" s="26" t="s">
        <v>492</v>
      </c>
      <c r="F50" s="101">
        <v>36</v>
      </c>
      <c r="G50" s="26" t="s">
        <v>514</v>
      </c>
      <c r="H50" s="102">
        <f>IFERROR(VLOOKUP($D50,NOMENCLATOR!$A:$F,6,FALSE()),"")*IF(OR($G50="g",$G50="ml"),0.001,1)</f>
        <v>1.6897059999999998E-2</v>
      </c>
      <c r="I50" s="102">
        <f>IFERROR($F50*$H50,"")</f>
        <v>0.60829415999999992</v>
      </c>
    </row>
    <row r="51" spans="1:11" x14ac:dyDescent="0.2">
      <c r="A51" s="26" t="s">
        <v>189</v>
      </c>
      <c r="B51" s="26" t="s">
        <v>100</v>
      </c>
      <c r="C51" s="26" t="s">
        <v>506</v>
      </c>
      <c r="D51" s="26" t="s">
        <v>521</v>
      </c>
      <c r="E51" s="26" t="s">
        <v>522</v>
      </c>
      <c r="F51" s="101">
        <v>1</v>
      </c>
      <c r="G51" s="26" t="s">
        <v>509</v>
      </c>
      <c r="H51" s="102">
        <f>IFERROR(VLOOKUP($D51,NOMENCLATOR!$A:$F,6,FALSE()),"")*IF(OR($G51="g",$G51="ml"),0.001,1)</f>
        <v>0.34</v>
      </c>
      <c r="I51" s="102">
        <f>IFERROR($F51*$H51,"")</f>
        <v>0.34</v>
      </c>
    </row>
    <row r="52" spans="1:11" x14ac:dyDescent="0.2">
      <c r="A52" s="26" t="s">
        <v>189</v>
      </c>
      <c r="B52" s="26" t="s">
        <v>100</v>
      </c>
      <c r="C52" s="26" t="s">
        <v>506</v>
      </c>
      <c r="D52" s="26" t="s">
        <v>517</v>
      </c>
      <c r="E52" s="26" t="s">
        <v>518</v>
      </c>
      <c r="F52" s="101">
        <v>1</v>
      </c>
      <c r="G52" s="26" t="s">
        <v>509</v>
      </c>
      <c r="H52" s="102">
        <f>IFERROR(VLOOKUP($D52,NOMENCLATOR!$A:$F,6,FALSE()),"")*IF(OR($G52="g",$G52="ml"),0.001,1)</f>
        <v>0.19800000000000001</v>
      </c>
      <c r="I52" s="102">
        <f>IFERROR($F52*$H52,"")</f>
        <v>0.19800000000000001</v>
      </c>
    </row>
    <row r="53" spans="1:11" x14ac:dyDescent="0.2">
      <c r="A53" s="103" t="s">
        <v>189</v>
      </c>
      <c r="B53" s="104"/>
      <c r="C53" s="104"/>
      <c r="D53" s="104"/>
      <c r="E53" s="103" t="s">
        <v>510</v>
      </c>
      <c r="F53" s="104"/>
      <c r="G53" s="104"/>
      <c r="H53" s="104"/>
      <c r="I53" s="104"/>
      <c r="J53" s="105">
        <f>SUMIFS($I$49:$I$52,$C$49:$C$52,"AMBELE")+SUMIFS($I$49:$I$52,$C$49:$C$52,"INSTORE")</f>
        <v>14.686164159999999</v>
      </c>
      <c r="K53" s="105">
        <f>SUMIFS($I$49:$I$52,$C$49:$C$52,"AMBELE")+SUMIFS($I$49:$I$52,$C$49:$C$52,"DELIVERY")</f>
        <v>14.686164159999999</v>
      </c>
    </row>
    <row r="54" spans="1:11" x14ac:dyDescent="0.2">
      <c r="A54" s="26" t="s">
        <v>182</v>
      </c>
      <c r="B54" s="26" t="s">
        <v>100</v>
      </c>
      <c r="C54" s="26" t="s">
        <v>506</v>
      </c>
      <c r="D54" s="26" t="s">
        <v>523</v>
      </c>
      <c r="E54" s="26" t="s">
        <v>524</v>
      </c>
      <c r="F54" s="101">
        <v>9</v>
      </c>
      <c r="G54" s="26" t="s">
        <v>509</v>
      </c>
      <c r="H54" s="102">
        <f>IFERROR(VLOOKUP($D54,NOMENCLATOR!$A:$F,6,FALSE()),"")*IF(OR($G54="g",$G54="ml"),0.001,1)</f>
        <v>0.67483000000000004</v>
      </c>
      <c r="I54" s="102">
        <f>IFERROR($F54*$H54,"")</f>
        <v>6.0734700000000004</v>
      </c>
    </row>
    <row r="55" spans="1:11" x14ac:dyDescent="0.2">
      <c r="A55" s="26" t="s">
        <v>182</v>
      </c>
      <c r="B55" s="26" t="s">
        <v>100</v>
      </c>
      <c r="C55" s="26" t="s">
        <v>506</v>
      </c>
      <c r="D55" s="26" t="s">
        <v>513</v>
      </c>
      <c r="E55" s="26" t="s">
        <v>492</v>
      </c>
      <c r="F55" s="101">
        <v>36</v>
      </c>
      <c r="G55" s="26" t="s">
        <v>514</v>
      </c>
      <c r="H55" s="102">
        <f>IFERROR(VLOOKUP($D55,NOMENCLATOR!$A:$F,6,FALSE()),"")*IF(OR($G55="g",$G55="ml"),0.001,1)</f>
        <v>1.6897059999999998E-2</v>
      </c>
      <c r="I55" s="102">
        <f>IFERROR($F55*$H55,"")</f>
        <v>0.60829415999999992</v>
      </c>
    </row>
    <row r="56" spans="1:11" x14ac:dyDescent="0.2">
      <c r="A56" s="26" t="s">
        <v>182</v>
      </c>
      <c r="B56" s="26" t="s">
        <v>100</v>
      </c>
      <c r="C56" s="26" t="s">
        <v>506</v>
      </c>
      <c r="D56" s="26" t="s">
        <v>525</v>
      </c>
      <c r="E56" s="26" t="s">
        <v>526</v>
      </c>
      <c r="F56" s="101">
        <v>1</v>
      </c>
      <c r="G56" s="26" t="s">
        <v>509</v>
      </c>
      <c r="H56" s="102">
        <f>IFERROR(VLOOKUP($D56,NOMENCLATOR!$A:$F,6,FALSE()),"")*IF(OR($G56="g",$G56="ml"),0.001,1)</f>
        <v>0.127</v>
      </c>
      <c r="I56" s="102">
        <f>IFERROR($F56*$H56,"")</f>
        <v>0.127</v>
      </c>
    </row>
    <row r="57" spans="1:11" x14ac:dyDescent="0.2">
      <c r="A57" s="103" t="s">
        <v>182</v>
      </c>
      <c r="B57" s="104"/>
      <c r="C57" s="104"/>
      <c r="D57" s="104"/>
      <c r="E57" s="103" t="s">
        <v>510</v>
      </c>
      <c r="F57" s="104"/>
      <c r="G57" s="104"/>
      <c r="H57" s="104"/>
      <c r="I57" s="104"/>
      <c r="J57" s="105">
        <f>SUMIFS($I$54:$I$56,$C$54:$C$56,"AMBELE")+SUMIFS($I$54:$I$56,$C$54:$C$56,"INSTORE")</f>
        <v>6.80876416</v>
      </c>
      <c r="K57" s="105">
        <f>SUMIFS($I$54:$I$56,$C$54:$C$56,"AMBELE")+SUMIFS($I$54:$I$56,$C$54:$C$56,"DELIVERY")</f>
        <v>6.80876416</v>
      </c>
    </row>
    <row r="58" spans="1:11" x14ac:dyDescent="0.2">
      <c r="A58" s="26" t="s">
        <v>237</v>
      </c>
      <c r="B58" s="26" t="s">
        <v>107</v>
      </c>
      <c r="C58" s="26" t="s">
        <v>506</v>
      </c>
      <c r="D58" s="26" t="s">
        <v>527</v>
      </c>
      <c r="E58" s="26" t="s">
        <v>528</v>
      </c>
      <c r="F58" s="101">
        <v>28</v>
      </c>
      <c r="G58" s="26" t="s">
        <v>529</v>
      </c>
      <c r="H58" s="102">
        <f>IFERROR(VLOOKUP($D58,NOMENCLATOR!$A:$F,6,FALSE()),"")*IF(OR($G58="g",$G58="ml"),0.001,1)</f>
        <v>5.0773430000000001E-2</v>
      </c>
      <c r="I58" s="102">
        <f>IFERROR($F58*$H58,"")</f>
        <v>1.42165604</v>
      </c>
    </row>
    <row r="59" spans="1:11" x14ac:dyDescent="0.2">
      <c r="A59" s="103" t="s">
        <v>237</v>
      </c>
      <c r="B59" s="104"/>
      <c r="C59" s="104"/>
      <c r="D59" s="104"/>
      <c r="E59" s="103" t="s">
        <v>510</v>
      </c>
      <c r="F59" s="104"/>
      <c r="G59" s="104"/>
      <c r="H59" s="104"/>
      <c r="I59" s="104"/>
      <c r="J59" s="105">
        <f>SUMIFS($I$58:$I$58,$C$58:$C$58,"AMBELE")+SUMIFS($I$58:$I$58,$C$58:$C$58,"INSTORE")</f>
        <v>1.42165604</v>
      </c>
      <c r="K59" s="105">
        <f>SUMIFS($I$58:$I$58,$C$58:$C$58,"AMBELE")+SUMIFS($I$58:$I$58,$C$58:$C$58,"DELIVERY")</f>
        <v>1.42165604</v>
      </c>
    </row>
    <row r="60" spans="1:11" x14ac:dyDescent="0.2">
      <c r="A60" s="26" t="s">
        <v>256</v>
      </c>
      <c r="B60" s="26" t="s">
        <v>107</v>
      </c>
      <c r="C60" s="26" t="s">
        <v>506</v>
      </c>
      <c r="D60" s="26" t="s">
        <v>530</v>
      </c>
      <c r="E60" s="26" t="s">
        <v>531</v>
      </c>
      <c r="F60" s="101">
        <v>1</v>
      </c>
      <c r="G60" s="26" t="s">
        <v>509</v>
      </c>
      <c r="H60" s="102">
        <f>IFERROR(VLOOKUP($D60,NOMENCLATOR!$A:$F,6,FALSE()),"")*IF(OR($G60="g",$G60="ml"),0.001,1)</f>
        <v>0.63</v>
      </c>
      <c r="I60" s="102">
        <f>IFERROR($F60*$H60,"")</f>
        <v>0.63</v>
      </c>
    </row>
    <row r="61" spans="1:11" x14ac:dyDescent="0.2">
      <c r="A61" s="103" t="s">
        <v>256</v>
      </c>
      <c r="B61" s="104"/>
      <c r="C61" s="104"/>
      <c r="D61" s="104"/>
      <c r="E61" s="103" t="s">
        <v>510</v>
      </c>
      <c r="F61" s="104"/>
      <c r="G61" s="104"/>
      <c r="H61" s="104"/>
      <c r="I61" s="104"/>
      <c r="J61" s="105">
        <f>SUMIFS($I$60:$I$60,$C$60:$C$60,"AMBELE")+SUMIFS($I$60:$I$60,$C$60:$C$60,"INSTORE")</f>
        <v>0.63</v>
      </c>
      <c r="K61" s="105">
        <f>SUMIFS($I$60:$I$60,$C$60:$C$60,"AMBELE")+SUMIFS($I$60:$I$60,$C$60:$C$60,"DELIVERY")</f>
        <v>0.63</v>
      </c>
    </row>
    <row r="62" spans="1:11" x14ac:dyDescent="0.2">
      <c r="A62" s="26" t="s">
        <v>275</v>
      </c>
      <c r="B62" s="26" t="s">
        <v>107</v>
      </c>
      <c r="C62" s="26" t="s">
        <v>506</v>
      </c>
      <c r="D62" s="26" t="s">
        <v>532</v>
      </c>
      <c r="E62" s="26" t="s">
        <v>533</v>
      </c>
      <c r="F62" s="101">
        <v>6</v>
      </c>
      <c r="G62" s="26" t="s">
        <v>529</v>
      </c>
      <c r="H62" s="102">
        <f>IFERROR(VLOOKUP($D62,NOMENCLATOR!$A:$F,6,FALSE()),"")*IF(OR($G62="g",$G62="ml"),0.001,1)</f>
        <v>4.1119680000000006E-2</v>
      </c>
      <c r="I62" s="102">
        <f>IFERROR($F62*$H62,"")</f>
        <v>0.24671808000000003</v>
      </c>
    </row>
    <row r="63" spans="1:11" x14ac:dyDescent="0.2">
      <c r="A63" s="103" t="s">
        <v>275</v>
      </c>
      <c r="B63" s="104"/>
      <c r="C63" s="104"/>
      <c r="D63" s="104"/>
      <c r="E63" s="103" t="s">
        <v>510</v>
      </c>
      <c r="F63" s="104"/>
      <c r="G63" s="104"/>
      <c r="H63" s="104"/>
      <c r="I63" s="104"/>
      <c r="J63" s="105">
        <f>SUMIFS($I$62:$I$62,$C$62:$C$62,"AMBELE")+SUMIFS($I$62:$I$62,$C$62:$C$62,"INSTORE")</f>
        <v>0.24671808000000003</v>
      </c>
      <c r="K63" s="105">
        <f>SUMIFS($I$62:$I$62,$C$62:$C$62,"AMBELE")+SUMIFS($I$62:$I$62,$C$62:$C$62,"DELIVERY")</f>
        <v>0.24671808000000003</v>
      </c>
    </row>
    <row r="64" spans="1:11" x14ac:dyDescent="0.2">
      <c r="A64" s="26" t="s">
        <v>534</v>
      </c>
      <c r="B64" s="26" t="s">
        <v>535</v>
      </c>
      <c r="C64" s="26" t="s">
        <v>506</v>
      </c>
      <c r="D64" s="26" t="s">
        <v>536</v>
      </c>
      <c r="E64" s="26" t="s">
        <v>537</v>
      </c>
      <c r="F64" s="101">
        <v>25</v>
      </c>
      <c r="G64" s="26" t="s">
        <v>529</v>
      </c>
      <c r="H64" s="102">
        <f>IFERROR(VLOOKUP($D64,NOMENCLATOR!$A:$F,6,FALSE()),"")*IF(OR($G64="g",$G64="ml"),0.001,1)</f>
        <v>3.6645400000000002E-2</v>
      </c>
      <c r="I64" s="102">
        <f>IFERROR($F64*$H64,"")</f>
        <v>0.91613500000000003</v>
      </c>
    </row>
    <row r="65" spans="1:11" x14ac:dyDescent="0.2">
      <c r="A65" s="103" t="s">
        <v>534</v>
      </c>
      <c r="B65" s="104"/>
      <c r="C65" s="104"/>
      <c r="D65" s="104"/>
      <c r="E65" s="103" t="s">
        <v>510</v>
      </c>
      <c r="F65" s="104"/>
      <c r="G65" s="104"/>
      <c r="H65" s="104"/>
      <c r="I65" s="104"/>
      <c r="J65" s="105">
        <f>SUMIFS($I$64:$I$64,$C$64:$C$64,"AMBELE")+SUMIFS($I$64:$I$64,$C$64:$C$64,"INSTORE")</f>
        <v>0.91613500000000003</v>
      </c>
      <c r="K65" s="105">
        <f>SUMIFS($I$64:$I$64,$C$64:$C$64,"AMBELE")+SUMIFS($I$64:$I$64,$C$64:$C$64,"DELIVERY")</f>
        <v>0.91613500000000003</v>
      </c>
    </row>
    <row r="66" spans="1:11" x14ac:dyDescent="0.2">
      <c r="A66" s="26" t="s">
        <v>327</v>
      </c>
      <c r="B66" s="26" t="s">
        <v>538</v>
      </c>
      <c r="C66" s="26" t="s">
        <v>539</v>
      </c>
      <c r="D66" s="26" t="s">
        <v>540</v>
      </c>
      <c r="E66" s="26" t="s">
        <v>541</v>
      </c>
      <c r="F66" s="101">
        <v>10</v>
      </c>
      <c r="G66" s="26" t="s">
        <v>514</v>
      </c>
      <c r="H66" s="102">
        <f>IFERROR(VLOOKUP($D66,NOMENCLATOR!$A:$F,6,FALSE()),"")*IF(OR($G66="g",$G66="ml"),0.001,1)</f>
        <v>6.5083169999999996E-2</v>
      </c>
      <c r="I66" s="102">
        <f>IFERROR($F66*$H66,"")</f>
        <v>0.6508316999999999</v>
      </c>
    </row>
    <row r="67" spans="1:11" x14ac:dyDescent="0.2">
      <c r="A67" s="103" t="s">
        <v>327</v>
      </c>
      <c r="B67" s="104"/>
      <c r="C67" s="104"/>
      <c r="D67" s="104"/>
      <c r="E67" s="103" t="s">
        <v>510</v>
      </c>
      <c r="F67" s="104"/>
      <c r="G67" s="104"/>
      <c r="H67" s="104"/>
      <c r="I67" s="104"/>
      <c r="J67" s="105">
        <f>SUMIFS($I$66:$I$66,$C$66:$C$66,"AMBELE")+SUMIFS($I$66:$I$66,$C$66:$C$66,"INSTORE")</f>
        <v>0.6508316999999999</v>
      </c>
      <c r="K67" s="105">
        <f>SUMIFS($I$66:$I$66,$C$66:$C$66,"AMBELE")+SUMIFS($I$66:$I$66,$C$66:$C$66,"DELIVERY")</f>
        <v>0</v>
      </c>
    </row>
    <row r="68" spans="1:11" x14ac:dyDescent="0.2">
      <c r="A68" s="26" t="s">
        <v>336</v>
      </c>
      <c r="B68" s="26" t="s">
        <v>538</v>
      </c>
      <c r="C68" s="26" t="s">
        <v>539</v>
      </c>
      <c r="D68" s="26" t="s">
        <v>542</v>
      </c>
      <c r="E68" s="26" t="s">
        <v>543</v>
      </c>
      <c r="F68" s="101">
        <v>10</v>
      </c>
      <c r="G68" s="26" t="s">
        <v>514</v>
      </c>
      <c r="H68" s="102">
        <f>IFERROR(VLOOKUP($D68,NOMENCLATOR!$A:$F,6,FALSE()),"")*IF(OR($G68="g",$G68="ml"),0.001,1)</f>
        <v>6.2573600000000007E-2</v>
      </c>
      <c r="I68" s="102">
        <f>IFERROR($F68*$H68,"")</f>
        <v>0.62573600000000007</v>
      </c>
    </row>
    <row r="69" spans="1:11" x14ac:dyDescent="0.2">
      <c r="A69" s="103" t="s">
        <v>336</v>
      </c>
      <c r="B69" s="104"/>
      <c r="C69" s="104"/>
      <c r="D69" s="104"/>
      <c r="E69" s="103" t="s">
        <v>510</v>
      </c>
      <c r="F69" s="104"/>
      <c r="G69" s="104"/>
      <c r="H69" s="104"/>
      <c r="I69" s="104"/>
      <c r="J69" s="105">
        <f>SUMIFS($I$68:$I$68,$C$68:$C$68,"AMBELE")+SUMIFS($I$68:$I$68,$C$68:$C$68,"INSTORE")</f>
        <v>0.62573600000000007</v>
      </c>
      <c r="K69" s="105">
        <f>SUMIFS($I$68:$I$68,$C$68:$C$68,"AMBELE")+SUMIFS($I$68:$I$68,$C$68:$C$68,"DELIVERY")</f>
        <v>0</v>
      </c>
    </row>
    <row r="70" spans="1:11" x14ac:dyDescent="0.2">
      <c r="A70" s="26" t="s">
        <v>333</v>
      </c>
      <c r="B70" s="26" t="s">
        <v>538</v>
      </c>
      <c r="C70" s="26" t="s">
        <v>539</v>
      </c>
      <c r="D70" s="26" t="s">
        <v>544</v>
      </c>
      <c r="E70" s="26" t="s">
        <v>545</v>
      </c>
      <c r="F70" s="101">
        <v>10</v>
      </c>
      <c r="G70" s="26" t="s">
        <v>514</v>
      </c>
      <c r="H70" s="102">
        <f>IFERROR(VLOOKUP($D70,NOMENCLATOR!$A:$F,6,FALSE()),"")*IF(OR($G70="g",$G70="ml"),0.001,1)</f>
        <v>6.1350800000000004E-2</v>
      </c>
      <c r="I70" s="102">
        <f>IFERROR($F70*$H70,"")</f>
        <v>0.61350800000000005</v>
      </c>
    </row>
    <row r="71" spans="1:11" x14ac:dyDescent="0.2">
      <c r="A71" s="103" t="s">
        <v>333</v>
      </c>
      <c r="B71" s="104"/>
      <c r="C71" s="104"/>
      <c r="D71" s="104"/>
      <c r="E71" s="103" t="s">
        <v>510</v>
      </c>
      <c r="F71" s="104"/>
      <c r="G71" s="104"/>
      <c r="H71" s="104"/>
      <c r="I71" s="104"/>
      <c r="J71" s="105">
        <f>SUMIFS($I$70:$I$70,$C$70:$C$70,"AMBELE")+SUMIFS($I$70:$I$70,$C$70:$C$70,"INSTORE")</f>
        <v>0.61350800000000005</v>
      </c>
      <c r="K71" s="105">
        <f>SUMIFS($I$70:$I$70,$C$70:$C$70,"AMBELE")+SUMIFS($I$70:$I$70,$C$70:$C$70,"DELIVERY")</f>
        <v>0</v>
      </c>
    </row>
    <row r="72" spans="1:11" x14ac:dyDescent="0.2">
      <c r="A72" s="26" t="s">
        <v>328</v>
      </c>
      <c r="B72" s="26" t="s">
        <v>535</v>
      </c>
      <c r="C72" s="26" t="s">
        <v>506</v>
      </c>
      <c r="D72" s="26" t="s">
        <v>546</v>
      </c>
      <c r="E72" s="26" t="s">
        <v>547</v>
      </c>
      <c r="F72" s="101">
        <v>20</v>
      </c>
      <c r="G72" s="26" t="s">
        <v>529</v>
      </c>
      <c r="H72" s="102">
        <f>IFERROR(VLOOKUP($D72,NOMENCLATOR!$A:$F,6,FALSE()),"")*IF(OR($G72="g",$G72="ml"),0.001,1)</f>
        <v>1.4E-2</v>
      </c>
      <c r="I72" s="102">
        <f>IFERROR($F72*$H72,"")</f>
        <v>0.28000000000000003</v>
      </c>
    </row>
    <row r="73" spans="1:11" x14ac:dyDescent="0.2">
      <c r="A73" s="103" t="s">
        <v>328</v>
      </c>
      <c r="B73" s="104"/>
      <c r="C73" s="104"/>
      <c r="D73" s="104"/>
      <c r="E73" s="103" t="s">
        <v>510</v>
      </c>
      <c r="F73" s="104"/>
      <c r="G73" s="104"/>
      <c r="H73" s="104"/>
      <c r="I73" s="104"/>
      <c r="J73" s="105">
        <f>SUMIFS($I$72:$I$72,$C$72:$C$72,"AMBELE")+SUMIFS($I$72:$I$72,$C$72:$C$72,"INSTORE")</f>
        <v>0.28000000000000003</v>
      </c>
      <c r="K73" s="105">
        <f>SUMIFS($I$72:$I$72,$C$72:$C$72,"AMBELE")+SUMIFS($I$72:$I$72,$C$72:$C$72,"DELIVERY")</f>
        <v>0.28000000000000003</v>
      </c>
    </row>
    <row r="74" spans="1:11" x14ac:dyDescent="0.2">
      <c r="A74" s="26" t="s">
        <v>332</v>
      </c>
      <c r="B74" s="26" t="s">
        <v>535</v>
      </c>
      <c r="C74" s="26" t="s">
        <v>506</v>
      </c>
      <c r="D74" s="26" t="s">
        <v>548</v>
      </c>
      <c r="E74" s="26" t="s">
        <v>549</v>
      </c>
      <c r="F74" s="101">
        <v>20</v>
      </c>
      <c r="G74" s="26" t="s">
        <v>529</v>
      </c>
      <c r="H74" s="102">
        <f>IFERROR(VLOOKUP($D74,NOMENCLATOR!$A:$F,6,FALSE()),"")*IF(OR($G74="g",$G74="ml"),0.001,1)</f>
        <v>3.4000000000000002E-2</v>
      </c>
      <c r="I74" s="102">
        <f>IFERROR($F74*$H74,"")</f>
        <v>0.68</v>
      </c>
    </row>
    <row r="75" spans="1:11" x14ac:dyDescent="0.2">
      <c r="A75" s="103" t="s">
        <v>332</v>
      </c>
      <c r="B75" s="104"/>
      <c r="C75" s="104"/>
      <c r="D75" s="104"/>
      <c r="E75" s="103" t="s">
        <v>510</v>
      </c>
      <c r="F75" s="104"/>
      <c r="G75" s="104"/>
      <c r="H75" s="104"/>
      <c r="I75" s="104"/>
      <c r="J75" s="105">
        <f>SUMIFS($I$74:$I$74,$C$74:$C$74,"AMBELE")+SUMIFS($I$74:$I$74,$C$74:$C$74,"INSTORE")</f>
        <v>0.68</v>
      </c>
      <c r="K75" s="105">
        <f>SUMIFS($I$74:$I$74,$C$74:$C$74,"AMBELE")+SUMIFS($I$74:$I$74,$C$74:$C$74,"DELIVERY")</f>
        <v>0.68</v>
      </c>
    </row>
    <row r="76" spans="1:11" x14ac:dyDescent="0.2">
      <c r="A76" s="26" t="s">
        <v>330</v>
      </c>
      <c r="B76" s="26" t="s">
        <v>535</v>
      </c>
      <c r="C76" s="26" t="s">
        <v>506</v>
      </c>
      <c r="D76" s="26" t="s">
        <v>536</v>
      </c>
      <c r="E76" s="26" t="s">
        <v>537</v>
      </c>
      <c r="F76" s="101">
        <v>22.5</v>
      </c>
      <c r="G76" s="26" t="s">
        <v>529</v>
      </c>
      <c r="H76" s="102">
        <f>IFERROR(VLOOKUP($D76,NOMENCLATOR!$A:$F,6,FALSE()),"")*IF(OR($G76="g",$G76="ml"),0.001,1)</f>
        <v>3.6645400000000002E-2</v>
      </c>
      <c r="I76" s="102">
        <f>IFERROR($F76*$H76,"")</f>
        <v>0.82452150000000002</v>
      </c>
    </row>
    <row r="77" spans="1:11" x14ac:dyDescent="0.2">
      <c r="A77" s="103" t="s">
        <v>330</v>
      </c>
      <c r="B77" s="104"/>
      <c r="C77" s="104"/>
      <c r="D77" s="104"/>
      <c r="E77" s="103" t="s">
        <v>510</v>
      </c>
      <c r="F77" s="104"/>
      <c r="G77" s="104"/>
      <c r="H77" s="104"/>
      <c r="I77" s="104"/>
      <c r="J77" s="105">
        <f>SUMIFS($I$76:$I$76,$C$76:$C$76,"AMBELE")+SUMIFS($I$76:$I$76,$C$76:$C$76,"INSTORE")</f>
        <v>0.82452150000000002</v>
      </c>
      <c r="K77" s="105">
        <f>SUMIFS($I$76:$I$76,$C$76:$C$76,"AMBELE")+SUMIFS($I$76:$I$76,$C$76:$C$76,"DELIVERY")</f>
        <v>0.82452150000000002</v>
      </c>
    </row>
    <row r="78" spans="1:11" x14ac:dyDescent="0.2">
      <c r="A78" s="26" t="s">
        <v>292</v>
      </c>
      <c r="B78" s="26" t="s">
        <v>108</v>
      </c>
      <c r="C78" s="26" t="s">
        <v>506</v>
      </c>
      <c r="D78" s="26" t="s">
        <v>550</v>
      </c>
      <c r="E78" s="26" t="s">
        <v>551</v>
      </c>
      <c r="F78" s="101">
        <v>1</v>
      </c>
      <c r="G78" s="26" t="s">
        <v>509</v>
      </c>
      <c r="H78" s="102">
        <f>IFERROR(VLOOKUP($D78,NOMENCLATOR!$A:$F,6,FALSE()),"")*IF(OR($G78="g",$G78="ml"),0.001,1)</f>
        <v>2.36</v>
      </c>
      <c r="I78" s="102">
        <f t="shared" ref="I78:I83" si="0">IFERROR($F78*$H78,"")</f>
        <v>2.36</v>
      </c>
    </row>
    <row r="79" spans="1:11" x14ac:dyDescent="0.2">
      <c r="A79" s="26" t="s">
        <v>292</v>
      </c>
      <c r="B79" s="26" t="s">
        <v>108</v>
      </c>
      <c r="C79" s="26" t="s">
        <v>506</v>
      </c>
      <c r="D79" s="26" t="s">
        <v>552</v>
      </c>
      <c r="E79" s="26" t="s">
        <v>553</v>
      </c>
      <c r="F79" s="101">
        <v>50</v>
      </c>
      <c r="G79" s="26" t="s">
        <v>529</v>
      </c>
      <c r="H79" s="102">
        <f>IFERROR(VLOOKUP($D79,NOMENCLATOR!$A:$F,6,FALSE()),"")*IF(OR($G79="g",$G79="ml"),0.001,1)</f>
        <v>4.1067520000000003E-2</v>
      </c>
      <c r="I79" s="102">
        <f t="shared" si="0"/>
        <v>2.0533760000000001</v>
      </c>
    </row>
    <row r="80" spans="1:11" x14ac:dyDescent="0.2">
      <c r="A80" s="26" t="s">
        <v>292</v>
      </c>
      <c r="B80" s="26" t="s">
        <v>108</v>
      </c>
      <c r="C80" s="26" t="s">
        <v>506</v>
      </c>
      <c r="D80" s="26" t="s">
        <v>554</v>
      </c>
      <c r="E80" s="26" t="s">
        <v>555</v>
      </c>
      <c r="F80" s="101">
        <v>1</v>
      </c>
      <c r="G80" s="26" t="s">
        <v>509</v>
      </c>
      <c r="H80" s="102">
        <f>IFERROR(VLOOKUP($D80,NOMENCLATOR!$A:$F,6,FALSE()),"")*IF(OR($G80="g",$G80="ml"),0.001,1)</f>
        <v>2.4359999999999999</v>
      </c>
      <c r="I80" s="102">
        <f t="shared" si="0"/>
        <v>2.4359999999999999</v>
      </c>
    </row>
    <row r="81" spans="1:11" x14ac:dyDescent="0.2">
      <c r="A81" s="26" t="s">
        <v>292</v>
      </c>
      <c r="B81" s="26" t="s">
        <v>108</v>
      </c>
      <c r="C81" s="26" t="s">
        <v>506</v>
      </c>
      <c r="D81" s="26" t="s">
        <v>556</v>
      </c>
      <c r="E81" s="26" t="s">
        <v>557</v>
      </c>
      <c r="F81" s="101">
        <v>20</v>
      </c>
      <c r="G81" s="26" t="s">
        <v>529</v>
      </c>
      <c r="H81" s="102">
        <f>IFERROR(VLOOKUP($D81,NOMENCLATOR!$A:$F,6,FALSE()),"")*IF(OR($G81="g",$G81="ml"),0.001,1)</f>
        <v>2.0073709999999998E-2</v>
      </c>
      <c r="I81" s="102">
        <f t="shared" si="0"/>
        <v>0.40147419999999995</v>
      </c>
    </row>
    <row r="82" spans="1:11" x14ac:dyDescent="0.2">
      <c r="A82" s="26" t="s">
        <v>292</v>
      </c>
      <c r="B82" s="26" t="s">
        <v>108</v>
      </c>
      <c r="C82" s="26" t="s">
        <v>506</v>
      </c>
      <c r="D82" s="26" t="s">
        <v>558</v>
      </c>
      <c r="E82" s="26" t="s">
        <v>559</v>
      </c>
      <c r="F82" s="101">
        <v>10</v>
      </c>
      <c r="G82" s="26" t="s">
        <v>529</v>
      </c>
      <c r="H82" s="102">
        <f>IFERROR(VLOOKUP($D82,NOMENCLATOR!$A:$F,6,FALSE()),"")*IF(OR($G82="g",$G82="ml"),0.001,1)</f>
        <v>3.6000000000000004E-2</v>
      </c>
      <c r="I82" s="102">
        <f t="shared" si="0"/>
        <v>0.36000000000000004</v>
      </c>
    </row>
    <row r="83" spans="1:11" x14ac:dyDescent="0.2">
      <c r="A83" s="26" t="s">
        <v>292</v>
      </c>
      <c r="B83" s="26" t="s">
        <v>108</v>
      </c>
      <c r="C83" s="26" t="s">
        <v>506</v>
      </c>
      <c r="D83" s="26" t="s">
        <v>560</v>
      </c>
      <c r="E83" s="26" t="s">
        <v>561</v>
      </c>
      <c r="F83" s="101">
        <v>1</v>
      </c>
      <c r="G83" s="26" t="s">
        <v>509</v>
      </c>
      <c r="H83" s="102">
        <f>IFERROR(VLOOKUP($D83,NOMENCLATOR!$A:$F,6,FALSE()),"")*IF(OR($G83="g",$G83="ml"),0.001,1)</f>
        <v>0.106</v>
      </c>
      <c r="I83" s="102">
        <f t="shared" si="0"/>
        <v>0.106</v>
      </c>
    </row>
    <row r="84" spans="1:11" x14ac:dyDescent="0.2">
      <c r="A84" s="103" t="s">
        <v>292</v>
      </c>
      <c r="B84" s="104"/>
      <c r="C84" s="104"/>
      <c r="D84" s="104"/>
      <c r="E84" s="103" t="s">
        <v>510</v>
      </c>
      <c r="F84" s="104"/>
      <c r="G84" s="104"/>
      <c r="H84" s="104"/>
      <c r="I84" s="104"/>
      <c r="J84" s="105">
        <f>SUMIFS($I$78:$I$83,$C$78:$C$83,"AMBELE")+SUMIFS($I$78:$I$83,$C$78:$C$83,"INSTORE")</f>
        <v>7.7168501999999997</v>
      </c>
      <c r="K84" s="105">
        <f>SUMIFS($I$78:$I$83,$C$78:$C$83,"AMBELE")+SUMIFS($I$78:$I$83,$C$78:$C$83,"DELIVERY")</f>
        <v>7.7168501999999997</v>
      </c>
    </row>
    <row r="85" spans="1:11" x14ac:dyDescent="0.2">
      <c r="A85" s="26" t="s">
        <v>251</v>
      </c>
      <c r="B85" s="26" t="s">
        <v>108</v>
      </c>
      <c r="C85" s="26" t="s">
        <v>506</v>
      </c>
      <c r="D85" s="26" t="s">
        <v>550</v>
      </c>
      <c r="E85" s="26" t="s">
        <v>551</v>
      </c>
      <c r="F85" s="101">
        <v>1</v>
      </c>
      <c r="G85" s="26" t="s">
        <v>509</v>
      </c>
      <c r="H85" s="102">
        <f>IFERROR(VLOOKUP($D85,NOMENCLATOR!$A:$F,6,FALSE()),"")*IF(OR($G85="g",$G85="ml"),0.001,1)</f>
        <v>2.36</v>
      </c>
      <c r="I85" s="102">
        <f t="shared" ref="I85:I91" si="1">IFERROR($F85*$H85,"")</f>
        <v>2.36</v>
      </c>
    </row>
    <row r="86" spans="1:11" x14ac:dyDescent="0.2">
      <c r="A86" s="26" t="s">
        <v>251</v>
      </c>
      <c r="B86" s="26" t="s">
        <v>108</v>
      </c>
      <c r="C86" s="26" t="s">
        <v>506</v>
      </c>
      <c r="D86" s="26" t="s">
        <v>552</v>
      </c>
      <c r="E86" s="26" t="s">
        <v>553</v>
      </c>
      <c r="F86" s="101">
        <v>50</v>
      </c>
      <c r="G86" s="26" t="s">
        <v>529</v>
      </c>
      <c r="H86" s="102">
        <f>IFERROR(VLOOKUP($D86,NOMENCLATOR!$A:$F,6,FALSE()),"")*IF(OR($G86="g",$G86="ml"),0.001,1)</f>
        <v>4.1067520000000003E-2</v>
      </c>
      <c r="I86" s="102">
        <f t="shared" si="1"/>
        <v>2.0533760000000001</v>
      </c>
    </row>
    <row r="87" spans="1:11" x14ac:dyDescent="0.2">
      <c r="A87" s="26" t="s">
        <v>251</v>
      </c>
      <c r="B87" s="26" t="s">
        <v>108</v>
      </c>
      <c r="C87" s="26" t="s">
        <v>506</v>
      </c>
      <c r="D87" s="26" t="s">
        <v>562</v>
      </c>
      <c r="E87" s="26" t="s">
        <v>563</v>
      </c>
      <c r="F87" s="101">
        <v>1</v>
      </c>
      <c r="G87" s="26" t="s">
        <v>509</v>
      </c>
      <c r="H87" s="102">
        <f>IFERROR(VLOOKUP($D87,NOMENCLATOR!$A:$F,6,FALSE()),"")*IF(OR($G87="g",$G87="ml"),0.001,1)</f>
        <v>1.1499999999999999</v>
      </c>
      <c r="I87" s="102">
        <f t="shared" si="1"/>
        <v>1.1499999999999999</v>
      </c>
    </row>
    <row r="88" spans="1:11" x14ac:dyDescent="0.2">
      <c r="A88" s="26" t="s">
        <v>251</v>
      </c>
      <c r="B88" s="26" t="s">
        <v>108</v>
      </c>
      <c r="C88" s="26" t="s">
        <v>506</v>
      </c>
      <c r="D88" s="26" t="s">
        <v>513</v>
      </c>
      <c r="E88" s="26" t="s">
        <v>492</v>
      </c>
      <c r="F88" s="101">
        <v>29</v>
      </c>
      <c r="G88" s="26" t="s">
        <v>514</v>
      </c>
      <c r="H88" s="102">
        <f>IFERROR(VLOOKUP($D88,NOMENCLATOR!$A:$F,6,FALSE()),"")*IF(OR($G88="g",$G88="ml"),0.001,1)</f>
        <v>1.6897059999999998E-2</v>
      </c>
      <c r="I88" s="102">
        <f t="shared" si="1"/>
        <v>0.49001473999999995</v>
      </c>
    </row>
    <row r="89" spans="1:11" x14ac:dyDescent="0.2">
      <c r="A89" s="26" t="s">
        <v>251</v>
      </c>
      <c r="B89" s="26" t="s">
        <v>108</v>
      </c>
      <c r="C89" s="26" t="s">
        <v>506</v>
      </c>
      <c r="D89" s="26" t="s">
        <v>556</v>
      </c>
      <c r="E89" s="26" t="s">
        <v>557</v>
      </c>
      <c r="F89" s="101">
        <v>20</v>
      </c>
      <c r="G89" s="26" t="s">
        <v>529</v>
      </c>
      <c r="H89" s="102">
        <f>IFERROR(VLOOKUP($D89,NOMENCLATOR!$A:$F,6,FALSE()),"")*IF(OR($G89="g",$G89="ml"),0.001,1)</f>
        <v>2.0073709999999998E-2</v>
      </c>
      <c r="I89" s="102">
        <f t="shared" si="1"/>
        <v>0.40147419999999995</v>
      </c>
    </row>
    <row r="90" spans="1:11" x14ac:dyDescent="0.2">
      <c r="A90" s="26" t="s">
        <v>251</v>
      </c>
      <c r="B90" s="26" t="s">
        <v>108</v>
      </c>
      <c r="C90" s="26" t="s">
        <v>506</v>
      </c>
      <c r="D90" s="26" t="s">
        <v>558</v>
      </c>
      <c r="E90" s="26" t="s">
        <v>559</v>
      </c>
      <c r="F90" s="101">
        <v>10</v>
      </c>
      <c r="G90" s="26" t="s">
        <v>529</v>
      </c>
      <c r="H90" s="102">
        <f>IFERROR(VLOOKUP($D90,NOMENCLATOR!$A:$F,6,FALSE()),"")*IF(OR($G90="g",$G90="ml"),0.001,1)</f>
        <v>3.6000000000000004E-2</v>
      </c>
      <c r="I90" s="102">
        <f t="shared" si="1"/>
        <v>0.36000000000000004</v>
      </c>
    </row>
    <row r="91" spans="1:11" x14ac:dyDescent="0.2">
      <c r="A91" s="26" t="s">
        <v>251</v>
      </c>
      <c r="B91" s="26" t="s">
        <v>108</v>
      </c>
      <c r="C91" s="26" t="s">
        <v>506</v>
      </c>
      <c r="D91" s="26" t="s">
        <v>560</v>
      </c>
      <c r="E91" s="26" t="s">
        <v>561</v>
      </c>
      <c r="F91" s="101">
        <v>1</v>
      </c>
      <c r="G91" s="26" t="s">
        <v>509</v>
      </c>
      <c r="H91" s="102">
        <f>IFERROR(VLOOKUP($D91,NOMENCLATOR!$A:$F,6,FALSE()),"")*IF(OR($G91="g",$G91="ml"),0.001,1)</f>
        <v>0.106</v>
      </c>
      <c r="I91" s="102">
        <f t="shared" si="1"/>
        <v>0.106</v>
      </c>
    </row>
    <row r="92" spans="1:11" x14ac:dyDescent="0.2">
      <c r="A92" s="103" t="s">
        <v>251</v>
      </c>
      <c r="B92" s="104"/>
      <c r="C92" s="104"/>
      <c r="D92" s="104"/>
      <c r="E92" s="103" t="s">
        <v>510</v>
      </c>
      <c r="F92" s="104"/>
      <c r="G92" s="104"/>
      <c r="H92" s="104"/>
      <c r="I92" s="104"/>
      <c r="J92" s="105">
        <f>SUMIFS($I$85:$I$91,$C$85:$C$91,"AMBELE")+SUMIFS($I$85:$I$91,$C$85:$C$91,"INSTORE")</f>
        <v>6.9208649400000004</v>
      </c>
      <c r="K92" s="105">
        <f>SUMIFS($I$85:$I$91,$C$85:$C$91,"AMBELE")+SUMIFS($I$85:$I$91,$C$85:$C$91,"DELIVERY")</f>
        <v>6.9208649400000004</v>
      </c>
    </row>
    <row r="93" spans="1:11" x14ac:dyDescent="0.2">
      <c r="A93" s="26" t="s">
        <v>298</v>
      </c>
      <c r="B93" s="26" t="s">
        <v>108</v>
      </c>
      <c r="C93" s="26" t="s">
        <v>506</v>
      </c>
      <c r="D93" s="26" t="s">
        <v>550</v>
      </c>
      <c r="E93" s="26" t="s">
        <v>551</v>
      </c>
      <c r="F93" s="101">
        <v>1</v>
      </c>
      <c r="G93" s="26" t="s">
        <v>509</v>
      </c>
      <c r="H93" s="102">
        <f>IFERROR(VLOOKUP($D93,NOMENCLATOR!$A:$F,6,FALSE()),"")*IF(OR($G93="g",$G93="ml"),0.001,1)</f>
        <v>2.36</v>
      </c>
      <c r="I93" s="102">
        <f t="shared" ref="I93:I98" si="2">IFERROR($F93*$H93,"")</f>
        <v>2.36</v>
      </c>
    </row>
    <row r="94" spans="1:11" x14ac:dyDescent="0.2">
      <c r="A94" s="26" t="s">
        <v>298</v>
      </c>
      <c r="B94" s="26" t="s">
        <v>108</v>
      </c>
      <c r="C94" s="26" t="s">
        <v>506</v>
      </c>
      <c r="D94" s="26" t="s">
        <v>564</v>
      </c>
      <c r="E94" s="26" t="s">
        <v>565</v>
      </c>
      <c r="F94" s="101">
        <v>50</v>
      </c>
      <c r="G94" s="26" t="s">
        <v>529</v>
      </c>
      <c r="H94" s="102">
        <f>IFERROR(VLOOKUP($D94,NOMENCLATOR!$A:$F,6,FALSE()),"")*IF(OR($G94="g",$G94="ml"),0.001,1)</f>
        <v>3.5959860000000003E-2</v>
      </c>
      <c r="I94" s="102">
        <f t="shared" si="2"/>
        <v>1.7979930000000002</v>
      </c>
    </row>
    <row r="95" spans="1:11" x14ac:dyDescent="0.2">
      <c r="A95" s="26" t="s">
        <v>298</v>
      </c>
      <c r="B95" s="26" t="s">
        <v>108</v>
      </c>
      <c r="C95" s="26" t="s">
        <v>506</v>
      </c>
      <c r="D95" s="26" t="s">
        <v>554</v>
      </c>
      <c r="E95" s="26" t="s">
        <v>555</v>
      </c>
      <c r="F95" s="101">
        <v>1</v>
      </c>
      <c r="G95" s="26" t="s">
        <v>509</v>
      </c>
      <c r="H95" s="102">
        <f>IFERROR(VLOOKUP($D95,NOMENCLATOR!$A:$F,6,FALSE()),"")*IF(OR($G95="g",$G95="ml"),0.001,1)</f>
        <v>2.4359999999999999</v>
      </c>
      <c r="I95" s="102">
        <f t="shared" si="2"/>
        <v>2.4359999999999999</v>
      </c>
    </row>
    <row r="96" spans="1:11" x14ac:dyDescent="0.2">
      <c r="A96" s="26" t="s">
        <v>298</v>
      </c>
      <c r="B96" s="26" t="s">
        <v>108</v>
      </c>
      <c r="C96" s="26" t="s">
        <v>506</v>
      </c>
      <c r="D96" s="26" t="s">
        <v>556</v>
      </c>
      <c r="E96" s="26" t="s">
        <v>557</v>
      </c>
      <c r="F96" s="101">
        <v>20</v>
      </c>
      <c r="G96" s="26" t="s">
        <v>529</v>
      </c>
      <c r="H96" s="102">
        <f>IFERROR(VLOOKUP($D96,NOMENCLATOR!$A:$F,6,FALSE()),"")*IF(OR($G96="g",$G96="ml"),0.001,1)</f>
        <v>2.0073709999999998E-2</v>
      </c>
      <c r="I96" s="102">
        <f t="shared" si="2"/>
        <v>0.40147419999999995</v>
      </c>
    </row>
    <row r="97" spans="1:11" x14ac:dyDescent="0.2">
      <c r="A97" s="26" t="s">
        <v>298</v>
      </c>
      <c r="B97" s="26" t="s">
        <v>108</v>
      </c>
      <c r="C97" s="26" t="s">
        <v>506</v>
      </c>
      <c r="D97" s="26" t="s">
        <v>558</v>
      </c>
      <c r="E97" s="26" t="s">
        <v>559</v>
      </c>
      <c r="F97" s="101">
        <v>10</v>
      </c>
      <c r="G97" s="26" t="s">
        <v>529</v>
      </c>
      <c r="H97" s="102">
        <f>IFERROR(VLOOKUP($D97,NOMENCLATOR!$A:$F,6,FALSE()),"")*IF(OR($G97="g",$G97="ml"),0.001,1)</f>
        <v>3.6000000000000004E-2</v>
      </c>
      <c r="I97" s="102">
        <f t="shared" si="2"/>
        <v>0.36000000000000004</v>
      </c>
    </row>
    <row r="98" spans="1:11" x14ac:dyDescent="0.2">
      <c r="A98" s="26" t="s">
        <v>298</v>
      </c>
      <c r="B98" s="26" t="s">
        <v>108</v>
      </c>
      <c r="C98" s="26" t="s">
        <v>506</v>
      </c>
      <c r="D98" s="26" t="s">
        <v>560</v>
      </c>
      <c r="E98" s="26" t="s">
        <v>561</v>
      </c>
      <c r="F98" s="101">
        <v>1</v>
      </c>
      <c r="G98" s="26" t="s">
        <v>509</v>
      </c>
      <c r="H98" s="102">
        <f>IFERROR(VLOOKUP($D98,NOMENCLATOR!$A:$F,6,FALSE()),"")*IF(OR($G98="g",$G98="ml"),0.001,1)</f>
        <v>0.106</v>
      </c>
      <c r="I98" s="102">
        <f t="shared" si="2"/>
        <v>0.106</v>
      </c>
    </row>
    <row r="99" spans="1:11" x14ac:dyDescent="0.2">
      <c r="A99" s="103" t="s">
        <v>298</v>
      </c>
      <c r="B99" s="104"/>
      <c r="C99" s="104"/>
      <c r="D99" s="104"/>
      <c r="E99" s="103" t="s">
        <v>510</v>
      </c>
      <c r="F99" s="104"/>
      <c r="G99" s="104"/>
      <c r="H99" s="104"/>
      <c r="I99" s="104"/>
      <c r="J99" s="105">
        <f>SUMIFS($I$93:$I$98,$C$93:$C$98,"AMBELE")+SUMIFS($I$93:$I$98,$C$93:$C$98,"INSTORE")</f>
        <v>7.4614672000000004</v>
      </c>
      <c r="K99" s="105">
        <f>SUMIFS($I$93:$I$98,$C$93:$C$98,"AMBELE")+SUMIFS($I$93:$I$98,$C$93:$C$98,"DELIVERY")</f>
        <v>7.4614672000000004</v>
      </c>
    </row>
    <row r="100" spans="1:11" x14ac:dyDescent="0.2">
      <c r="A100" s="26" t="s">
        <v>228</v>
      </c>
      <c r="B100" s="26" t="s">
        <v>108</v>
      </c>
      <c r="C100" s="26" t="s">
        <v>506</v>
      </c>
      <c r="D100" s="26" t="s">
        <v>550</v>
      </c>
      <c r="E100" s="26" t="s">
        <v>551</v>
      </c>
      <c r="F100" s="101">
        <v>1</v>
      </c>
      <c r="G100" s="26" t="s">
        <v>509</v>
      </c>
      <c r="H100" s="102">
        <f>IFERROR(VLOOKUP($D100,NOMENCLATOR!$A:$F,6,FALSE()),"")*IF(OR($G100="g",$G100="ml"),0.001,1)</f>
        <v>2.36</v>
      </c>
      <c r="I100" s="102">
        <f t="shared" ref="I100:I106" si="3">IFERROR($F100*$H100,"")</f>
        <v>2.36</v>
      </c>
    </row>
    <row r="101" spans="1:11" x14ac:dyDescent="0.2">
      <c r="A101" s="26" t="s">
        <v>228</v>
      </c>
      <c r="B101" s="26" t="s">
        <v>108</v>
      </c>
      <c r="C101" s="26" t="s">
        <v>506</v>
      </c>
      <c r="D101" s="26" t="s">
        <v>564</v>
      </c>
      <c r="E101" s="26" t="s">
        <v>565</v>
      </c>
      <c r="F101" s="101">
        <v>50</v>
      </c>
      <c r="G101" s="26" t="s">
        <v>529</v>
      </c>
      <c r="H101" s="102">
        <f>IFERROR(VLOOKUP($D101,NOMENCLATOR!$A:$F,6,FALSE()),"")*IF(OR($G101="g",$G101="ml"),0.001,1)</f>
        <v>3.5959860000000003E-2</v>
      </c>
      <c r="I101" s="102">
        <f t="shared" si="3"/>
        <v>1.7979930000000002</v>
      </c>
    </row>
    <row r="102" spans="1:11" x14ac:dyDescent="0.2">
      <c r="A102" s="26" t="s">
        <v>228</v>
      </c>
      <c r="B102" s="26" t="s">
        <v>108</v>
      </c>
      <c r="C102" s="26" t="s">
        <v>506</v>
      </c>
      <c r="D102" s="26" t="s">
        <v>562</v>
      </c>
      <c r="E102" s="26" t="s">
        <v>563</v>
      </c>
      <c r="F102" s="101">
        <v>1</v>
      </c>
      <c r="G102" s="26" t="s">
        <v>509</v>
      </c>
      <c r="H102" s="102">
        <f>IFERROR(VLOOKUP($D102,NOMENCLATOR!$A:$F,6,FALSE()),"")*IF(OR($G102="g",$G102="ml"),0.001,1)</f>
        <v>1.1499999999999999</v>
      </c>
      <c r="I102" s="102">
        <f t="shared" si="3"/>
        <v>1.1499999999999999</v>
      </c>
    </row>
    <row r="103" spans="1:11" x14ac:dyDescent="0.2">
      <c r="A103" s="26" t="s">
        <v>228</v>
      </c>
      <c r="B103" s="26" t="s">
        <v>108</v>
      </c>
      <c r="C103" s="26" t="s">
        <v>506</v>
      </c>
      <c r="D103" s="26" t="s">
        <v>513</v>
      </c>
      <c r="E103" s="26" t="s">
        <v>492</v>
      </c>
      <c r="F103" s="101">
        <v>20</v>
      </c>
      <c r="G103" s="26" t="s">
        <v>514</v>
      </c>
      <c r="H103" s="102">
        <f>IFERROR(VLOOKUP($D103,NOMENCLATOR!$A:$F,6,FALSE()),"")*IF(OR($G103="g",$G103="ml"),0.001,1)</f>
        <v>1.6897059999999998E-2</v>
      </c>
      <c r="I103" s="102">
        <f t="shared" si="3"/>
        <v>0.33794119999999994</v>
      </c>
    </row>
    <row r="104" spans="1:11" x14ac:dyDescent="0.2">
      <c r="A104" s="26" t="s">
        <v>228</v>
      </c>
      <c r="B104" s="26" t="s">
        <v>108</v>
      </c>
      <c r="C104" s="26" t="s">
        <v>506</v>
      </c>
      <c r="D104" s="26" t="s">
        <v>556</v>
      </c>
      <c r="E104" s="26" t="s">
        <v>557</v>
      </c>
      <c r="F104" s="101">
        <v>20</v>
      </c>
      <c r="G104" s="26" t="s">
        <v>529</v>
      </c>
      <c r="H104" s="102">
        <f>IFERROR(VLOOKUP($D104,NOMENCLATOR!$A:$F,6,FALSE()),"")*IF(OR($G104="g",$G104="ml"),0.001,1)</f>
        <v>2.0073709999999998E-2</v>
      </c>
      <c r="I104" s="102">
        <f t="shared" si="3"/>
        <v>0.40147419999999995</v>
      </c>
    </row>
    <row r="105" spans="1:11" x14ac:dyDescent="0.2">
      <c r="A105" s="26" t="s">
        <v>228</v>
      </c>
      <c r="B105" s="26" t="s">
        <v>108</v>
      </c>
      <c r="C105" s="26" t="s">
        <v>506</v>
      </c>
      <c r="D105" s="26" t="s">
        <v>558</v>
      </c>
      <c r="E105" s="26" t="s">
        <v>559</v>
      </c>
      <c r="F105" s="101">
        <v>10</v>
      </c>
      <c r="G105" s="26" t="s">
        <v>529</v>
      </c>
      <c r="H105" s="102">
        <f>IFERROR(VLOOKUP($D105,NOMENCLATOR!$A:$F,6,FALSE()),"")*IF(OR($G105="g",$G105="ml"),0.001,1)</f>
        <v>3.6000000000000004E-2</v>
      </c>
      <c r="I105" s="102">
        <f t="shared" si="3"/>
        <v>0.36000000000000004</v>
      </c>
    </row>
    <row r="106" spans="1:11" x14ac:dyDescent="0.2">
      <c r="A106" s="26" t="s">
        <v>228</v>
      </c>
      <c r="B106" s="26" t="s">
        <v>108</v>
      </c>
      <c r="C106" s="26" t="s">
        <v>506</v>
      </c>
      <c r="D106" s="26" t="s">
        <v>560</v>
      </c>
      <c r="E106" s="26" t="s">
        <v>561</v>
      </c>
      <c r="F106" s="101">
        <v>1</v>
      </c>
      <c r="G106" s="26" t="s">
        <v>509</v>
      </c>
      <c r="H106" s="102">
        <f>IFERROR(VLOOKUP($D106,NOMENCLATOR!$A:$F,6,FALSE()),"")*IF(OR($G106="g",$G106="ml"),0.001,1)</f>
        <v>0.106</v>
      </c>
      <c r="I106" s="102">
        <f t="shared" si="3"/>
        <v>0.106</v>
      </c>
    </row>
    <row r="107" spans="1:11" x14ac:dyDescent="0.2">
      <c r="A107" s="103" t="s">
        <v>228</v>
      </c>
      <c r="B107" s="104"/>
      <c r="C107" s="104"/>
      <c r="D107" s="104"/>
      <c r="E107" s="103" t="s">
        <v>510</v>
      </c>
      <c r="F107" s="104"/>
      <c r="G107" s="104"/>
      <c r="H107" s="104"/>
      <c r="I107" s="104"/>
      <c r="J107" s="105">
        <f>SUMIFS($I$100:$I$106,$C$100:$C$106,"AMBELE")+SUMIFS($I$100:$I$106,$C$100:$C$106,"INSTORE")</f>
        <v>6.5134083999999994</v>
      </c>
      <c r="K107" s="105">
        <f>SUMIFS($I$100:$I$106,$C$100:$C$106,"AMBELE")+SUMIFS($I$100:$I$106,$C$100:$C$106,"DELIVERY")</f>
        <v>6.5134083999999994</v>
      </c>
    </row>
    <row r="108" spans="1:11" x14ac:dyDescent="0.2">
      <c r="A108" s="26" t="s">
        <v>155</v>
      </c>
      <c r="B108" s="26" t="s">
        <v>566</v>
      </c>
      <c r="C108" s="26" t="s">
        <v>506</v>
      </c>
      <c r="D108" s="26" t="s">
        <v>550</v>
      </c>
      <c r="E108" s="26" t="s">
        <v>551</v>
      </c>
      <c r="F108" s="101">
        <v>1</v>
      </c>
      <c r="G108" s="26" t="s">
        <v>509</v>
      </c>
      <c r="H108" s="102">
        <f>IFERROR(VLOOKUP($D108,NOMENCLATOR!$A:$F,6,FALSE()),"")*IF(OR($G108="g",$G108="ml"),0.001,1)</f>
        <v>2.36</v>
      </c>
      <c r="I108" s="102">
        <f>IFERROR($F108*$H108,"")</f>
        <v>2.36</v>
      </c>
    </row>
    <row r="109" spans="1:11" x14ac:dyDescent="0.2">
      <c r="A109" s="26" t="s">
        <v>155</v>
      </c>
      <c r="B109" s="26" t="s">
        <v>566</v>
      </c>
      <c r="C109" s="26" t="s">
        <v>506</v>
      </c>
      <c r="D109" s="26" t="s">
        <v>567</v>
      </c>
      <c r="E109" s="26" t="s">
        <v>489</v>
      </c>
      <c r="F109" s="101">
        <v>1</v>
      </c>
      <c r="G109" s="26" t="s">
        <v>509</v>
      </c>
      <c r="H109" s="102">
        <f>IFERROR(VLOOKUP($D109,NOMENCLATOR!$A:$F,6,FALSE()),"")*IF(OR($G109="g",$G109="ml"),0.001,1)</f>
        <v>3.57</v>
      </c>
      <c r="I109" s="102">
        <f>IFERROR($F109*$H109,"")</f>
        <v>3.57</v>
      </c>
    </row>
    <row r="110" spans="1:11" x14ac:dyDescent="0.2">
      <c r="A110" s="26" t="s">
        <v>155</v>
      </c>
      <c r="B110" s="26" t="s">
        <v>566</v>
      </c>
      <c r="C110" s="26" t="s">
        <v>506</v>
      </c>
      <c r="D110" s="26" t="s">
        <v>530</v>
      </c>
      <c r="E110" s="26" t="s">
        <v>531</v>
      </c>
      <c r="F110" s="101">
        <v>1</v>
      </c>
      <c r="G110" s="26" t="s">
        <v>509</v>
      </c>
      <c r="H110" s="102">
        <f>IFERROR(VLOOKUP($D110,NOMENCLATOR!$A:$F,6,FALSE()),"")*IF(OR($G110="g",$G110="ml"),0.001,1)</f>
        <v>0.63</v>
      </c>
      <c r="I110" s="102">
        <f>IFERROR($F110*$H110,"")</f>
        <v>0.63</v>
      </c>
    </row>
    <row r="111" spans="1:11" x14ac:dyDescent="0.2">
      <c r="A111" s="26" t="s">
        <v>155</v>
      </c>
      <c r="B111" s="26" t="s">
        <v>566</v>
      </c>
      <c r="C111" s="26" t="s">
        <v>506</v>
      </c>
      <c r="D111" s="26" t="s">
        <v>568</v>
      </c>
      <c r="E111" s="26" t="s">
        <v>569</v>
      </c>
      <c r="F111" s="101">
        <v>1</v>
      </c>
      <c r="G111" s="26" t="s">
        <v>509</v>
      </c>
      <c r="H111" s="102">
        <f>IFERROR(VLOOKUP($D111,NOMENCLATOR!$A:$F,6,FALSE()),"")*IF(OR($G111="g",$G111="ml"),0.001,1)</f>
        <v>0.107</v>
      </c>
      <c r="I111" s="102">
        <f>IFERROR($F111*$H111,"")</f>
        <v>0.107</v>
      </c>
    </row>
    <row r="112" spans="1:11" x14ac:dyDescent="0.2">
      <c r="A112" s="103" t="s">
        <v>155</v>
      </c>
      <c r="B112" s="104"/>
      <c r="C112" s="104"/>
      <c r="D112" s="104"/>
      <c r="E112" s="103" t="s">
        <v>510</v>
      </c>
      <c r="F112" s="104"/>
      <c r="G112" s="104"/>
      <c r="H112" s="104"/>
      <c r="I112" s="104"/>
      <c r="J112" s="105">
        <f>SUMIFS($I$108:$I$111,$C$108:$C$111,"AMBELE")+SUMIFS($I$108:$I$111,$C$108:$C$111,"INSTORE")</f>
        <v>6.6669999999999998</v>
      </c>
      <c r="K112" s="105">
        <f>SUMIFS($I$108:$I$111,$C$108:$C$111,"AMBELE")+SUMIFS($I$108:$I$111,$C$108:$C$111,"DELIVERY")</f>
        <v>6.6669999999999998</v>
      </c>
    </row>
    <row r="113" spans="1:11" x14ac:dyDescent="0.2">
      <c r="A113" s="26" t="s">
        <v>150</v>
      </c>
      <c r="B113" s="26" t="s">
        <v>566</v>
      </c>
      <c r="C113" s="26" t="s">
        <v>506</v>
      </c>
      <c r="D113" s="26" t="s">
        <v>550</v>
      </c>
      <c r="E113" s="26" t="s">
        <v>551</v>
      </c>
      <c r="F113" s="101">
        <v>1</v>
      </c>
      <c r="G113" s="26" t="s">
        <v>509</v>
      </c>
      <c r="H113" s="102">
        <f>IFERROR(VLOOKUP($D113,NOMENCLATOR!$A:$F,6,FALSE()),"")*IF(OR($G113="g",$G113="ml"),0.001,1)</f>
        <v>2.36</v>
      </c>
      <c r="I113" s="102">
        <f>IFERROR($F113*$H113,"")</f>
        <v>2.36</v>
      </c>
    </row>
    <row r="114" spans="1:11" x14ac:dyDescent="0.2">
      <c r="A114" s="26" t="s">
        <v>150</v>
      </c>
      <c r="B114" s="26" t="s">
        <v>566</v>
      </c>
      <c r="C114" s="26" t="s">
        <v>506</v>
      </c>
      <c r="D114" s="26" t="s">
        <v>567</v>
      </c>
      <c r="E114" s="26" t="s">
        <v>489</v>
      </c>
      <c r="F114" s="101">
        <v>2</v>
      </c>
      <c r="G114" s="26" t="s">
        <v>509</v>
      </c>
      <c r="H114" s="102">
        <f>IFERROR(VLOOKUP($D114,NOMENCLATOR!$A:$F,6,FALSE()),"")*IF(OR($G114="g",$G114="ml"),0.001,1)</f>
        <v>3.57</v>
      </c>
      <c r="I114" s="102">
        <f>IFERROR($F114*$H114,"")</f>
        <v>7.14</v>
      </c>
    </row>
    <row r="115" spans="1:11" x14ac:dyDescent="0.2">
      <c r="A115" s="26" t="s">
        <v>150</v>
      </c>
      <c r="B115" s="26" t="s">
        <v>566</v>
      </c>
      <c r="C115" s="26" t="s">
        <v>506</v>
      </c>
      <c r="D115" s="26" t="s">
        <v>530</v>
      </c>
      <c r="E115" s="26" t="s">
        <v>531</v>
      </c>
      <c r="F115" s="101">
        <v>2</v>
      </c>
      <c r="G115" s="26" t="s">
        <v>509</v>
      </c>
      <c r="H115" s="102">
        <f>IFERROR(VLOOKUP($D115,NOMENCLATOR!$A:$F,6,FALSE()),"")*IF(OR($G115="g",$G115="ml"),0.001,1)</f>
        <v>0.63</v>
      </c>
      <c r="I115" s="102">
        <f>IFERROR($F115*$H115,"")</f>
        <v>1.26</v>
      </c>
    </row>
    <row r="116" spans="1:11" x14ac:dyDescent="0.2">
      <c r="A116" s="26" t="s">
        <v>150</v>
      </c>
      <c r="B116" s="26" t="s">
        <v>566</v>
      </c>
      <c r="C116" s="26" t="s">
        <v>506</v>
      </c>
      <c r="D116" s="26" t="s">
        <v>568</v>
      </c>
      <c r="E116" s="26" t="s">
        <v>569</v>
      </c>
      <c r="F116" s="101">
        <v>1</v>
      </c>
      <c r="G116" s="26" t="s">
        <v>509</v>
      </c>
      <c r="H116" s="102">
        <f>IFERROR(VLOOKUP($D116,NOMENCLATOR!$A:$F,6,FALSE()),"")*IF(OR($G116="g",$G116="ml"),0.001,1)</f>
        <v>0.107</v>
      </c>
      <c r="I116" s="102">
        <f>IFERROR($F116*$H116,"")</f>
        <v>0.107</v>
      </c>
    </row>
    <row r="117" spans="1:11" x14ac:dyDescent="0.2">
      <c r="A117" s="103" t="s">
        <v>150</v>
      </c>
      <c r="B117" s="104"/>
      <c r="C117" s="104"/>
      <c r="D117" s="104"/>
      <c r="E117" s="103" t="s">
        <v>510</v>
      </c>
      <c r="F117" s="104"/>
      <c r="G117" s="104"/>
      <c r="H117" s="104"/>
      <c r="I117" s="104"/>
      <c r="J117" s="105">
        <f>SUMIFS($I$113:$I$116,$C$113:$C$116,"AMBELE")+SUMIFS($I$113:$I$116,$C$113:$C$116,"INSTORE")</f>
        <v>10.866999999999999</v>
      </c>
      <c r="K117" s="105">
        <f>SUMIFS($I$113:$I$116,$C$113:$C$116,"AMBELE")+SUMIFS($I$113:$I$116,$C$113:$C$116,"DELIVERY")</f>
        <v>10.866999999999999</v>
      </c>
    </row>
    <row r="118" spans="1:11" x14ac:dyDescent="0.2">
      <c r="A118" s="26" t="s">
        <v>147</v>
      </c>
      <c r="B118" s="26" t="s">
        <v>566</v>
      </c>
      <c r="C118" s="26" t="s">
        <v>506</v>
      </c>
      <c r="D118" s="26" t="s">
        <v>550</v>
      </c>
      <c r="E118" s="26" t="s">
        <v>551</v>
      </c>
      <c r="F118" s="101">
        <v>1</v>
      </c>
      <c r="G118" s="26" t="s">
        <v>509</v>
      </c>
      <c r="H118" s="102">
        <f>IFERROR(VLOOKUP($D118,NOMENCLATOR!$A:$F,6,FALSE()),"")*IF(OR($G118="g",$G118="ml"),0.001,1)</f>
        <v>2.36</v>
      </c>
      <c r="I118" s="102">
        <f>IFERROR($F118*$H118,"")</f>
        <v>2.36</v>
      </c>
    </row>
    <row r="119" spans="1:11" x14ac:dyDescent="0.2">
      <c r="A119" s="26" t="s">
        <v>147</v>
      </c>
      <c r="B119" s="26" t="s">
        <v>566</v>
      </c>
      <c r="C119" s="26" t="s">
        <v>506</v>
      </c>
      <c r="D119" s="26" t="s">
        <v>567</v>
      </c>
      <c r="E119" s="26" t="s">
        <v>489</v>
      </c>
      <c r="F119" s="101">
        <v>3</v>
      </c>
      <c r="G119" s="26" t="s">
        <v>509</v>
      </c>
      <c r="H119" s="102">
        <f>IFERROR(VLOOKUP($D119,NOMENCLATOR!$A:$F,6,FALSE()),"")*IF(OR($G119="g",$G119="ml"),0.001,1)</f>
        <v>3.57</v>
      </c>
      <c r="I119" s="102">
        <f>IFERROR($F119*$H119,"")</f>
        <v>10.709999999999999</v>
      </c>
    </row>
    <row r="120" spans="1:11" x14ac:dyDescent="0.2">
      <c r="A120" s="26" t="s">
        <v>147</v>
      </c>
      <c r="B120" s="26" t="s">
        <v>566</v>
      </c>
      <c r="C120" s="26" t="s">
        <v>506</v>
      </c>
      <c r="D120" s="26" t="s">
        <v>530</v>
      </c>
      <c r="E120" s="26" t="s">
        <v>531</v>
      </c>
      <c r="F120" s="101">
        <v>3</v>
      </c>
      <c r="G120" s="26" t="s">
        <v>509</v>
      </c>
      <c r="H120" s="102">
        <f>IFERROR(VLOOKUP($D120,NOMENCLATOR!$A:$F,6,FALSE()),"")*IF(OR($G120="g",$G120="ml"),0.001,1)</f>
        <v>0.63</v>
      </c>
      <c r="I120" s="102">
        <f>IFERROR($F120*$H120,"")</f>
        <v>1.8900000000000001</v>
      </c>
    </row>
    <row r="121" spans="1:11" x14ac:dyDescent="0.2">
      <c r="A121" s="26" t="s">
        <v>147</v>
      </c>
      <c r="B121" s="26" t="s">
        <v>566</v>
      </c>
      <c r="C121" s="26" t="s">
        <v>506</v>
      </c>
      <c r="D121" s="26" t="s">
        <v>568</v>
      </c>
      <c r="E121" s="26" t="s">
        <v>569</v>
      </c>
      <c r="F121" s="101">
        <v>1</v>
      </c>
      <c r="G121" s="26" t="s">
        <v>509</v>
      </c>
      <c r="H121" s="102">
        <f>IFERROR(VLOOKUP($D121,NOMENCLATOR!$A:$F,6,FALSE()),"")*IF(OR($G121="g",$G121="ml"),0.001,1)</f>
        <v>0.107</v>
      </c>
      <c r="I121" s="102">
        <f>IFERROR($F121*$H121,"")</f>
        <v>0.107</v>
      </c>
    </row>
    <row r="122" spans="1:11" x14ac:dyDescent="0.2">
      <c r="A122" s="103" t="s">
        <v>147</v>
      </c>
      <c r="B122" s="104"/>
      <c r="C122" s="104"/>
      <c r="D122" s="104"/>
      <c r="E122" s="103" t="s">
        <v>510</v>
      </c>
      <c r="F122" s="104"/>
      <c r="G122" s="104"/>
      <c r="H122" s="104"/>
      <c r="I122" s="104"/>
      <c r="J122" s="105">
        <f>SUMIFS($I$118:$I$121,$C$118:$C$121,"AMBELE")+SUMIFS($I$118:$I$121,$C$118:$C$121,"INSTORE")</f>
        <v>15.066999999999998</v>
      </c>
      <c r="K122" s="105">
        <f>SUMIFS($I$118:$I$121,$C$118:$C$121,"AMBELE")+SUMIFS($I$118:$I$121,$C$118:$C$121,"DELIVERY")</f>
        <v>15.066999999999998</v>
      </c>
    </row>
    <row r="123" spans="1:11" x14ac:dyDescent="0.2">
      <c r="A123" s="26" t="s">
        <v>154</v>
      </c>
      <c r="B123" s="26" t="s">
        <v>566</v>
      </c>
      <c r="C123" s="26" t="s">
        <v>506</v>
      </c>
      <c r="D123" s="26" t="s">
        <v>570</v>
      </c>
      <c r="E123" s="26" t="s">
        <v>571</v>
      </c>
      <c r="F123" s="101">
        <v>0.33</v>
      </c>
      <c r="G123" s="26" t="s">
        <v>509</v>
      </c>
      <c r="H123" s="102">
        <f>IFERROR(VLOOKUP($D123,NOMENCLATOR!$A:$F,6,FALSE()),"")*IF(OR($G123="g",$G123="ml"),0.001,1)</f>
        <v>7.4924400000000002</v>
      </c>
      <c r="I123" s="102">
        <f>IFERROR($F123*$H123,"")</f>
        <v>2.4725052000000001</v>
      </c>
    </row>
    <row r="124" spans="1:11" x14ac:dyDescent="0.2">
      <c r="A124" s="26" t="s">
        <v>154</v>
      </c>
      <c r="B124" s="26" t="s">
        <v>566</v>
      </c>
      <c r="C124" s="26" t="s">
        <v>506</v>
      </c>
      <c r="D124" s="26" t="s">
        <v>567</v>
      </c>
      <c r="E124" s="26" t="s">
        <v>489</v>
      </c>
      <c r="F124" s="101">
        <v>3</v>
      </c>
      <c r="G124" s="26" t="s">
        <v>509</v>
      </c>
      <c r="H124" s="102">
        <f>IFERROR(VLOOKUP($D124,NOMENCLATOR!$A:$F,6,FALSE()),"")*IF(OR($G124="g",$G124="ml"),0.001,1)</f>
        <v>3.57</v>
      </c>
      <c r="I124" s="102">
        <f>IFERROR($F124*$H124,"")</f>
        <v>10.709999999999999</v>
      </c>
    </row>
    <row r="125" spans="1:11" x14ac:dyDescent="0.2">
      <c r="A125" s="26" t="s">
        <v>154</v>
      </c>
      <c r="B125" s="26" t="s">
        <v>566</v>
      </c>
      <c r="C125" s="26" t="s">
        <v>506</v>
      </c>
      <c r="D125" s="26" t="s">
        <v>530</v>
      </c>
      <c r="E125" s="26" t="s">
        <v>531</v>
      </c>
      <c r="F125" s="101">
        <v>3</v>
      </c>
      <c r="G125" s="26" t="s">
        <v>509</v>
      </c>
      <c r="H125" s="102">
        <f>IFERROR(VLOOKUP($D125,NOMENCLATOR!$A:$F,6,FALSE()),"")*IF(OR($G125="g",$G125="ml"),0.001,1)</f>
        <v>0.63</v>
      </c>
      <c r="I125" s="102">
        <f>IFERROR($F125*$H125,"")</f>
        <v>1.8900000000000001</v>
      </c>
    </row>
    <row r="126" spans="1:11" x14ac:dyDescent="0.2">
      <c r="A126" s="26" t="s">
        <v>154</v>
      </c>
      <c r="B126" s="26" t="s">
        <v>566</v>
      </c>
      <c r="C126" s="26" t="s">
        <v>506</v>
      </c>
      <c r="D126" s="26" t="s">
        <v>568</v>
      </c>
      <c r="E126" s="26" t="s">
        <v>569</v>
      </c>
      <c r="F126" s="101">
        <v>1</v>
      </c>
      <c r="G126" s="26" t="s">
        <v>509</v>
      </c>
      <c r="H126" s="102">
        <f>IFERROR(VLOOKUP($D126,NOMENCLATOR!$A:$F,6,FALSE()),"")*IF(OR($G126="g",$G126="ml"),0.001,1)</f>
        <v>0.107</v>
      </c>
      <c r="I126" s="102">
        <f>IFERROR($F126*$H126,"")</f>
        <v>0.107</v>
      </c>
    </row>
    <row r="127" spans="1:11" x14ac:dyDescent="0.2">
      <c r="A127" s="103" t="s">
        <v>154</v>
      </c>
      <c r="B127" s="104"/>
      <c r="C127" s="104"/>
      <c r="D127" s="104"/>
      <c r="E127" s="103" t="s">
        <v>510</v>
      </c>
      <c r="F127" s="104"/>
      <c r="G127" s="104"/>
      <c r="H127" s="104"/>
      <c r="I127" s="104"/>
      <c r="J127" s="105">
        <f>SUMIFS($I$123:$I$126,$C$123:$C$126,"AMBELE")+SUMIFS($I$123:$I$126,$C$123:$C$126,"INSTORE")</f>
        <v>15.179505199999999</v>
      </c>
      <c r="K127" s="105">
        <f>SUMIFS($I$123:$I$126,$C$123:$C$126,"AMBELE")+SUMIFS($I$123:$I$126,$C$123:$C$126,"DELIVERY")</f>
        <v>15.179505199999999</v>
      </c>
    </row>
    <row r="128" spans="1:11" x14ac:dyDescent="0.2">
      <c r="A128" s="26" t="s">
        <v>304</v>
      </c>
      <c r="B128" s="26" t="s">
        <v>104</v>
      </c>
      <c r="C128" s="26" t="s">
        <v>506</v>
      </c>
      <c r="D128" s="26" t="s">
        <v>572</v>
      </c>
      <c r="E128" s="26" t="s">
        <v>573</v>
      </c>
      <c r="F128" s="101">
        <v>15</v>
      </c>
      <c r="G128" s="26" t="s">
        <v>529</v>
      </c>
      <c r="H128" s="102">
        <f>IFERROR(VLOOKUP($D128,NOMENCLATOR!$A:$F,6,FALSE()),"")*IF(OR($G128="g",$G128="ml"),0.001,1)</f>
        <v>0.23816300000000001</v>
      </c>
      <c r="I128" s="102">
        <f>IFERROR($F128*$H128,"")</f>
        <v>3.5724450000000001</v>
      </c>
    </row>
    <row r="129" spans="1:11" x14ac:dyDescent="0.2">
      <c r="A129" s="26" t="s">
        <v>304</v>
      </c>
      <c r="B129" s="26" t="s">
        <v>104</v>
      </c>
      <c r="C129" s="26" t="s">
        <v>506</v>
      </c>
      <c r="D129" s="26" t="s">
        <v>574</v>
      </c>
      <c r="E129" s="26" t="s">
        <v>575</v>
      </c>
      <c r="F129" s="101">
        <v>1</v>
      </c>
      <c r="G129" s="26" t="s">
        <v>509</v>
      </c>
      <c r="H129" s="102">
        <f>IFERROR(VLOOKUP($D129,NOMENCLATOR!$A:$F,6,FALSE()),"")*IF(OR($G129="g",$G129="ml"),0.001,1)</f>
        <v>0.70499999999999996</v>
      </c>
      <c r="I129" s="102">
        <f>IFERROR($F129*$H129,"")</f>
        <v>0.70499999999999996</v>
      </c>
    </row>
    <row r="130" spans="1:11" x14ac:dyDescent="0.2">
      <c r="A130" s="26" t="s">
        <v>304</v>
      </c>
      <c r="B130" s="26" t="s">
        <v>104</v>
      </c>
      <c r="C130" s="26" t="s">
        <v>506</v>
      </c>
      <c r="D130" s="26" t="s">
        <v>576</v>
      </c>
      <c r="E130" s="26" t="s">
        <v>577</v>
      </c>
      <c r="F130" s="101">
        <v>1</v>
      </c>
      <c r="G130" s="26" t="s">
        <v>509</v>
      </c>
      <c r="H130" s="102">
        <f>IFERROR(VLOOKUP($D130,NOMENCLATOR!$A:$F,6,FALSE()),"")*IF(OR($G130="g",$G130="ml"),0.001,1)</f>
        <v>0.14699999999999999</v>
      </c>
      <c r="I130" s="102">
        <f>IFERROR($F130*$H130,"")</f>
        <v>0.14699999999999999</v>
      </c>
    </row>
    <row r="131" spans="1:11" x14ac:dyDescent="0.2">
      <c r="A131" s="26" t="s">
        <v>304</v>
      </c>
      <c r="B131" s="26" t="s">
        <v>104</v>
      </c>
      <c r="C131" s="26" t="s">
        <v>506</v>
      </c>
      <c r="D131" s="26" t="s">
        <v>578</v>
      </c>
      <c r="E131" s="26" t="s">
        <v>579</v>
      </c>
      <c r="F131" s="101">
        <v>1</v>
      </c>
      <c r="G131" s="26" t="s">
        <v>509</v>
      </c>
      <c r="H131" s="102">
        <f>IFERROR(VLOOKUP($D131,NOMENCLATOR!$A:$F,6,FALSE()),"")*IF(OR($G131="g",$G131="ml"),0.001,1)</f>
        <v>1.2999999999999999E-2</v>
      </c>
      <c r="I131" s="102">
        <f>IFERROR($F131*$H131,"")</f>
        <v>1.2999999999999999E-2</v>
      </c>
    </row>
    <row r="132" spans="1:11" x14ac:dyDescent="0.2">
      <c r="A132" s="103" t="s">
        <v>304</v>
      </c>
      <c r="B132" s="104"/>
      <c r="C132" s="104"/>
      <c r="D132" s="104"/>
      <c r="E132" s="103" t="s">
        <v>510</v>
      </c>
      <c r="F132" s="104"/>
      <c r="G132" s="104"/>
      <c r="H132" s="104"/>
      <c r="I132" s="104"/>
      <c r="J132" s="105">
        <f>SUMIFS($I$128:$I$131,$C$128:$C$131,"AMBELE")+SUMIFS($I$128:$I$131,$C$128:$C$131,"INSTORE")</f>
        <v>4.4374450000000003</v>
      </c>
      <c r="K132" s="105">
        <f>SUMIFS($I$128:$I$131,$C$128:$C$131,"AMBELE")+SUMIFS($I$128:$I$131,$C$128:$C$131,"DELIVERY")</f>
        <v>4.4374450000000003</v>
      </c>
    </row>
    <row r="133" spans="1:11" x14ac:dyDescent="0.2">
      <c r="A133" s="26" t="s">
        <v>315</v>
      </c>
      <c r="B133" s="26" t="s">
        <v>104</v>
      </c>
      <c r="C133" s="26" t="s">
        <v>506</v>
      </c>
      <c r="D133" s="26" t="s">
        <v>572</v>
      </c>
      <c r="E133" s="26" t="s">
        <v>573</v>
      </c>
      <c r="F133" s="101">
        <v>16</v>
      </c>
      <c r="G133" s="26" t="s">
        <v>529</v>
      </c>
      <c r="H133" s="102">
        <f>IFERROR(VLOOKUP($D133,NOMENCLATOR!$A:$F,6,FALSE()),"")*IF(OR($G133="g",$G133="ml"),0.001,1)</f>
        <v>0.23816300000000001</v>
      </c>
      <c r="I133" s="102">
        <f>IFERROR($F133*$H133,"")</f>
        <v>3.8106080000000002</v>
      </c>
    </row>
    <row r="134" spans="1:11" x14ac:dyDescent="0.2">
      <c r="A134" s="26" t="s">
        <v>315</v>
      </c>
      <c r="B134" s="26" t="s">
        <v>104</v>
      </c>
      <c r="C134" s="26" t="s">
        <v>506</v>
      </c>
      <c r="D134" s="26" t="s">
        <v>580</v>
      </c>
      <c r="E134" s="26" t="s">
        <v>581</v>
      </c>
      <c r="F134" s="101">
        <v>1</v>
      </c>
      <c r="G134" s="26" t="s">
        <v>509</v>
      </c>
      <c r="H134" s="102">
        <f>IFERROR(VLOOKUP($D134,NOMENCLATOR!$A:$F,6,FALSE()),"")*IF(OR($G134="g",$G134="ml"),0.001,1)</f>
        <v>0.49</v>
      </c>
      <c r="I134" s="102">
        <f>IFERROR($F134*$H134,"")</f>
        <v>0.49</v>
      </c>
    </row>
    <row r="135" spans="1:11" x14ac:dyDescent="0.2">
      <c r="A135" s="26" t="s">
        <v>315</v>
      </c>
      <c r="B135" s="26" t="s">
        <v>104</v>
      </c>
      <c r="C135" s="26" t="s">
        <v>506</v>
      </c>
      <c r="D135" s="26" t="s">
        <v>582</v>
      </c>
      <c r="E135" s="26" t="s">
        <v>583</v>
      </c>
      <c r="F135" s="101">
        <v>1</v>
      </c>
      <c r="G135" s="26" t="s">
        <v>509</v>
      </c>
      <c r="H135" s="102">
        <f>IFERROR(VLOOKUP($D135,NOMENCLATOR!$A:$F,6,FALSE()),"")*IF(OR($G135="g",$G135="ml"),0.001,1)</f>
        <v>0.17799999999999999</v>
      </c>
      <c r="I135" s="102">
        <f>IFERROR($F135*$H135,"")</f>
        <v>0.17799999999999999</v>
      </c>
    </row>
    <row r="136" spans="1:11" x14ac:dyDescent="0.2">
      <c r="A136" s="26" t="s">
        <v>315</v>
      </c>
      <c r="B136" s="26" t="s">
        <v>104</v>
      </c>
      <c r="C136" s="26" t="s">
        <v>506</v>
      </c>
      <c r="D136" s="26" t="s">
        <v>578</v>
      </c>
      <c r="E136" s="26" t="s">
        <v>579</v>
      </c>
      <c r="F136" s="101">
        <v>1</v>
      </c>
      <c r="G136" s="26" t="s">
        <v>509</v>
      </c>
      <c r="H136" s="102">
        <f>IFERROR(VLOOKUP($D136,NOMENCLATOR!$A:$F,6,FALSE()),"")*IF(OR($G136="g",$G136="ml"),0.001,1)</f>
        <v>1.2999999999999999E-2</v>
      </c>
      <c r="I136" s="102">
        <f>IFERROR($F136*$H136,"")</f>
        <v>1.2999999999999999E-2</v>
      </c>
    </row>
    <row r="137" spans="1:11" x14ac:dyDescent="0.2">
      <c r="A137" s="103" t="s">
        <v>315</v>
      </c>
      <c r="B137" s="104"/>
      <c r="C137" s="104"/>
      <c r="D137" s="104"/>
      <c r="E137" s="103" t="s">
        <v>510</v>
      </c>
      <c r="F137" s="104"/>
      <c r="G137" s="104"/>
      <c r="H137" s="104"/>
      <c r="I137" s="104"/>
      <c r="J137" s="105">
        <f>SUMIFS($I$133:$I$136,$C$133:$C$136,"AMBELE")+SUMIFS($I$133:$I$136,$C$133:$C$136,"INSTORE")</f>
        <v>4.4916080000000003</v>
      </c>
      <c r="K137" s="105">
        <f>SUMIFS($I$133:$I$136,$C$133:$C$136,"AMBELE")+SUMIFS($I$133:$I$136,$C$133:$C$136,"DELIVERY")</f>
        <v>4.4916080000000003</v>
      </c>
    </row>
    <row r="138" spans="1:11" x14ac:dyDescent="0.2">
      <c r="A138" s="26" t="s">
        <v>303</v>
      </c>
      <c r="B138" s="26" t="s">
        <v>103</v>
      </c>
      <c r="C138" s="26" t="s">
        <v>506</v>
      </c>
      <c r="D138" s="26" t="s">
        <v>584</v>
      </c>
      <c r="E138" s="26" t="s">
        <v>585</v>
      </c>
      <c r="F138" s="101">
        <v>1</v>
      </c>
      <c r="G138" s="26" t="s">
        <v>509</v>
      </c>
      <c r="H138" s="102">
        <f>IFERROR(VLOOKUP($D138,NOMENCLATOR!$A:$F,6,FALSE()),"")*IF(OR($G138="g",$G138="ml"),0.001,1)</f>
        <v>6.4539999999999997</v>
      </c>
      <c r="I138" s="102">
        <f>IFERROR($F138*$H138,"")</f>
        <v>6.4539999999999997</v>
      </c>
    </row>
    <row r="139" spans="1:11" x14ac:dyDescent="0.2">
      <c r="A139" s="103" t="s">
        <v>303</v>
      </c>
      <c r="B139" s="104"/>
      <c r="C139" s="104"/>
      <c r="D139" s="104"/>
      <c r="E139" s="103" t="s">
        <v>510</v>
      </c>
      <c r="F139" s="104"/>
      <c r="G139" s="104"/>
      <c r="H139" s="104"/>
      <c r="I139" s="104"/>
      <c r="J139" s="105">
        <f>SUMIFS($I$138:$I$138,$C$138:$C$138,"AMBELE")+SUMIFS($I$138:$I$138,$C$138:$C$138,"INSTORE")</f>
        <v>6.4539999999999997</v>
      </c>
      <c r="K139" s="105">
        <f>SUMIFS($I$138:$I$138,$C$138:$C$138,"AMBELE")+SUMIFS($I$138:$I$138,$C$138:$C$138,"DELIVERY")</f>
        <v>6.4539999999999997</v>
      </c>
    </row>
    <row r="140" spans="1:11" x14ac:dyDescent="0.2">
      <c r="A140" s="26" t="s">
        <v>235</v>
      </c>
      <c r="B140" s="26" t="s">
        <v>103</v>
      </c>
      <c r="C140" s="26" t="s">
        <v>506</v>
      </c>
      <c r="D140" s="26" t="s">
        <v>586</v>
      </c>
      <c r="E140" s="26" t="s">
        <v>587</v>
      </c>
      <c r="F140" s="101">
        <v>1</v>
      </c>
      <c r="G140" s="26" t="s">
        <v>509</v>
      </c>
      <c r="H140" s="102">
        <f>IFERROR(VLOOKUP($D140,NOMENCLATOR!$A:$F,6,FALSE()),"")*IF(OR($G140="g",$G140="ml"),0.001,1)</f>
        <v>2.75</v>
      </c>
      <c r="I140" s="102">
        <f>IFERROR($F140*$H140,"")</f>
        <v>2.75</v>
      </c>
    </row>
    <row r="141" spans="1:11" x14ac:dyDescent="0.2">
      <c r="A141" s="103" t="s">
        <v>235</v>
      </c>
      <c r="B141" s="104"/>
      <c r="C141" s="104"/>
      <c r="D141" s="104"/>
      <c r="E141" s="103" t="s">
        <v>510</v>
      </c>
      <c r="F141" s="104"/>
      <c r="G141" s="104"/>
      <c r="H141" s="104"/>
      <c r="I141" s="104"/>
      <c r="J141" s="105">
        <f>SUMIFS($I$140:$I$140,$C$140:$C$140,"AMBELE")+SUMIFS($I$140:$I$140,$C$140:$C$140,"INSTORE")</f>
        <v>2.75</v>
      </c>
      <c r="K141" s="105">
        <f>SUMIFS($I$140:$I$140,$C$140:$C$140,"AMBELE")+SUMIFS($I$140:$I$140,$C$140:$C$140,"DELIVERY")</f>
        <v>2.75</v>
      </c>
    </row>
    <row r="142" spans="1:11" x14ac:dyDescent="0.2">
      <c r="A142" s="26" t="s">
        <v>588</v>
      </c>
      <c r="B142" s="26" t="s">
        <v>589</v>
      </c>
      <c r="C142" s="26" t="s">
        <v>506</v>
      </c>
      <c r="D142" s="26" t="s">
        <v>590</v>
      </c>
      <c r="E142" s="26" t="s">
        <v>591</v>
      </c>
      <c r="F142" s="101">
        <v>1</v>
      </c>
      <c r="G142" s="26" t="s">
        <v>509</v>
      </c>
      <c r="H142" s="102">
        <f>IFERROR(VLOOKUP($D142,NOMENCLATOR!$A:$F,6,FALSE()),"")*IF(OR($G142="g",$G142="ml"),0.001,1)</f>
        <v>5.74</v>
      </c>
      <c r="I142" s="102">
        <f>IFERROR($F142*$H142,"")</f>
        <v>5.74</v>
      </c>
    </row>
    <row r="143" spans="1:11" x14ac:dyDescent="0.2">
      <c r="A143" s="103" t="s">
        <v>588</v>
      </c>
      <c r="B143" s="104"/>
      <c r="C143" s="104"/>
      <c r="D143" s="104"/>
      <c r="E143" s="103" t="s">
        <v>510</v>
      </c>
      <c r="F143" s="104"/>
      <c r="G143" s="104"/>
      <c r="H143" s="104"/>
      <c r="I143" s="104"/>
      <c r="J143" s="105">
        <f>SUMIFS($I$142:$I$142,$C$142:$C$142,"AMBELE")+SUMIFS($I$142:$I$142,$C$142:$C$142,"INSTORE")</f>
        <v>5.74</v>
      </c>
      <c r="K143" s="105">
        <f>SUMIFS($I$142:$I$142,$C$142:$C$142,"AMBELE")+SUMIFS($I$142:$I$142,$C$142:$C$142,"DELIVERY")</f>
        <v>5.74</v>
      </c>
    </row>
    <row r="144" spans="1:11" x14ac:dyDescent="0.2">
      <c r="A144" s="26" t="s">
        <v>188</v>
      </c>
      <c r="B144" s="26" t="s">
        <v>103</v>
      </c>
      <c r="C144" s="26" t="s">
        <v>506</v>
      </c>
      <c r="D144" s="26" t="s">
        <v>592</v>
      </c>
      <c r="E144" s="26" t="s">
        <v>593</v>
      </c>
      <c r="F144" s="101">
        <v>1</v>
      </c>
      <c r="G144" s="26" t="s">
        <v>509</v>
      </c>
      <c r="H144" s="102">
        <f>IFERROR(VLOOKUP($D144,NOMENCLATOR!$A:$F,6,FALSE()),"")*IF(OR($G144="g",$G144="ml"),0.001,1)</f>
        <v>2.7919999999999998</v>
      </c>
      <c r="I144" s="102">
        <f>IFERROR($F144*$H144,"")</f>
        <v>2.7919999999999998</v>
      </c>
    </row>
    <row r="145" spans="1:11" x14ac:dyDescent="0.2">
      <c r="A145" s="103" t="s">
        <v>188</v>
      </c>
      <c r="B145" s="104"/>
      <c r="C145" s="104"/>
      <c r="D145" s="104"/>
      <c r="E145" s="103" t="s">
        <v>510</v>
      </c>
      <c r="F145" s="104"/>
      <c r="G145" s="104"/>
      <c r="H145" s="104"/>
      <c r="I145" s="104"/>
      <c r="J145" s="105">
        <f>SUMIFS($I$144:$I$144,$C$144:$C$144,"AMBELE")+SUMIFS($I$144:$I$144,$C$144:$C$144,"INSTORE")</f>
        <v>2.7919999999999998</v>
      </c>
      <c r="K145" s="105">
        <f>SUMIFS($I$144:$I$144,$C$144:$C$144,"AMBELE")+SUMIFS($I$144:$I$144,$C$144:$C$144,"DELIVERY")</f>
        <v>2.7919999999999998</v>
      </c>
    </row>
    <row r="146" spans="1:11" x14ac:dyDescent="0.2">
      <c r="A146" s="26" t="s">
        <v>594</v>
      </c>
      <c r="B146" s="26" t="s">
        <v>589</v>
      </c>
      <c r="C146" s="26" t="s">
        <v>506</v>
      </c>
      <c r="D146" s="26" t="s">
        <v>595</v>
      </c>
      <c r="E146" s="26" t="s">
        <v>596</v>
      </c>
      <c r="F146" s="101">
        <v>1</v>
      </c>
      <c r="G146" s="26" t="s">
        <v>509</v>
      </c>
      <c r="H146" s="102">
        <f>IFERROR(VLOOKUP($D146,NOMENCLATOR!$A:$F,6,FALSE()),"")*IF(OR($G146="g",$G146="ml"),0.001,1)</f>
        <v>5.74</v>
      </c>
      <c r="I146" s="102">
        <f>IFERROR($F146*$H146,"")</f>
        <v>5.74</v>
      </c>
    </row>
    <row r="147" spans="1:11" x14ac:dyDescent="0.2">
      <c r="A147" s="103" t="s">
        <v>594</v>
      </c>
      <c r="B147" s="104"/>
      <c r="C147" s="104"/>
      <c r="D147" s="104"/>
      <c r="E147" s="103" t="s">
        <v>510</v>
      </c>
      <c r="F147" s="104"/>
      <c r="G147" s="104"/>
      <c r="H147" s="104"/>
      <c r="I147" s="104"/>
      <c r="J147" s="105">
        <f>SUMIFS($I$146:$I$146,$C$146:$C$146,"AMBELE")+SUMIFS($I$146:$I$146,$C$146:$C$146,"INSTORE")</f>
        <v>5.74</v>
      </c>
      <c r="K147" s="105">
        <f>SUMIFS($I$146:$I$146,$C$146:$C$146,"AMBELE")+SUMIFS($I$146:$I$146,$C$146:$C$146,"DELIVERY")</f>
        <v>5.74</v>
      </c>
    </row>
    <row r="148" spans="1:11" x14ac:dyDescent="0.2">
      <c r="A148" s="26" t="s">
        <v>273</v>
      </c>
      <c r="B148" s="26" t="s">
        <v>535</v>
      </c>
      <c r="C148" s="26" t="s">
        <v>539</v>
      </c>
      <c r="D148" s="26" t="s">
        <v>597</v>
      </c>
      <c r="E148" s="26" t="s">
        <v>598</v>
      </c>
      <c r="F148" s="101">
        <v>1</v>
      </c>
      <c r="G148" s="26" t="s">
        <v>509</v>
      </c>
      <c r="H148" s="102">
        <f>IFERROR(VLOOKUP($D148,NOMENCLATOR!$A:$F,6,FALSE()),"")*IF(OR($G148="g",$G148="ml"),0.001,1)</f>
        <v>0.78200000000000003</v>
      </c>
      <c r="I148" s="102">
        <f>IFERROR($F148*$H148,"")</f>
        <v>0.78200000000000003</v>
      </c>
    </row>
    <row r="149" spans="1:11" x14ac:dyDescent="0.2">
      <c r="A149" s="26" t="s">
        <v>273</v>
      </c>
      <c r="B149" s="26" t="s">
        <v>535</v>
      </c>
      <c r="C149" s="26" t="s">
        <v>539</v>
      </c>
      <c r="D149" s="26" t="s">
        <v>599</v>
      </c>
      <c r="E149" s="26" t="s">
        <v>600</v>
      </c>
      <c r="F149" s="101">
        <v>140</v>
      </c>
      <c r="G149" s="26" t="s">
        <v>529</v>
      </c>
      <c r="H149" s="102">
        <f>IFERROR(VLOOKUP($D149,NOMENCLATOR!$A:$F,6,FALSE()),"")*IF(OR($G149="g",$G149="ml"),0.001,1)</f>
        <v>1.8158999999999998E-2</v>
      </c>
      <c r="I149" s="102">
        <f>IFERROR($F149*$H149,"")</f>
        <v>2.5422599999999997</v>
      </c>
    </row>
    <row r="150" spans="1:11" x14ac:dyDescent="0.2">
      <c r="A150" s="26" t="s">
        <v>273</v>
      </c>
      <c r="B150" s="26" t="s">
        <v>535</v>
      </c>
      <c r="C150" s="26" t="s">
        <v>539</v>
      </c>
      <c r="D150" s="26" t="s">
        <v>601</v>
      </c>
      <c r="E150" s="26" t="s">
        <v>602</v>
      </c>
      <c r="F150" s="101">
        <v>1</v>
      </c>
      <c r="G150" s="26" t="s">
        <v>509</v>
      </c>
      <c r="H150" s="102">
        <f>IFERROR(VLOOKUP($D150,NOMENCLATOR!$A:$F,6,FALSE()),"")*IF(OR($G150="g",$G150="ml"),0.001,1)</f>
        <v>1.581</v>
      </c>
      <c r="I150" s="102">
        <f>IFERROR($F150*$H150,"")</f>
        <v>1.581</v>
      </c>
    </row>
    <row r="151" spans="1:11" x14ac:dyDescent="0.2">
      <c r="A151" s="26" t="s">
        <v>273</v>
      </c>
      <c r="B151" s="26" t="s">
        <v>535</v>
      </c>
      <c r="C151" s="26" t="s">
        <v>539</v>
      </c>
      <c r="D151" s="26" t="s">
        <v>603</v>
      </c>
      <c r="E151" s="26" t="s">
        <v>604</v>
      </c>
      <c r="F151" s="101">
        <v>1</v>
      </c>
      <c r="G151" s="26" t="s">
        <v>509</v>
      </c>
      <c r="H151" s="102">
        <f>IFERROR(VLOOKUP($D151,NOMENCLATOR!$A:$F,6,FALSE()),"")*IF(OR($G151="g",$G151="ml"),0.001,1)</f>
        <v>0.3</v>
      </c>
      <c r="I151" s="102">
        <f>IFERROR($F151*$H151,"")</f>
        <v>0.3</v>
      </c>
    </row>
    <row r="152" spans="1:11" x14ac:dyDescent="0.2">
      <c r="A152" s="103" t="s">
        <v>273</v>
      </c>
      <c r="B152" s="104"/>
      <c r="C152" s="104"/>
      <c r="D152" s="104"/>
      <c r="E152" s="103" t="s">
        <v>510</v>
      </c>
      <c r="F152" s="104"/>
      <c r="G152" s="104"/>
      <c r="H152" s="104"/>
      <c r="I152" s="104"/>
      <c r="J152" s="105">
        <f>SUMIFS($I$148:$I$151,$C$148:$C$151,"AMBELE")+SUMIFS($I$148:$I$151,$C$148:$C$151,"INSTORE")</f>
        <v>5.20526</v>
      </c>
      <c r="K152" s="105">
        <f>SUMIFS($I$148:$I$151,$C$148:$C$151,"AMBELE")+SUMIFS($I$148:$I$151,$C$148:$C$151,"DELIVERY")</f>
        <v>0</v>
      </c>
    </row>
    <row r="153" spans="1:11" x14ac:dyDescent="0.2">
      <c r="A153" s="26" t="s">
        <v>219</v>
      </c>
      <c r="B153" s="26" t="s">
        <v>535</v>
      </c>
      <c r="C153" s="26" t="s">
        <v>506</v>
      </c>
      <c r="D153" s="26" t="s">
        <v>601</v>
      </c>
      <c r="E153" s="26" t="s">
        <v>602</v>
      </c>
      <c r="F153" s="101">
        <v>1</v>
      </c>
      <c r="G153" s="26" t="s">
        <v>509</v>
      </c>
      <c r="H153" s="102">
        <f>IFERROR(VLOOKUP($D153,NOMENCLATOR!$A:$F,6,FALSE()),"")*IF(OR($G153="g",$G153="ml"),0.001,1)</f>
        <v>1.581</v>
      </c>
      <c r="I153" s="102">
        <f>IFERROR($F153*$H153,"")</f>
        <v>1.581</v>
      </c>
    </row>
    <row r="154" spans="1:11" x14ac:dyDescent="0.2">
      <c r="A154" s="26" t="s">
        <v>219</v>
      </c>
      <c r="B154" s="26" t="s">
        <v>535</v>
      </c>
      <c r="C154" s="26" t="s">
        <v>506</v>
      </c>
      <c r="D154" s="26" t="s">
        <v>513</v>
      </c>
      <c r="E154" s="26" t="s">
        <v>492</v>
      </c>
      <c r="F154" s="101">
        <v>50</v>
      </c>
      <c r="G154" s="26" t="s">
        <v>514</v>
      </c>
      <c r="H154" s="102">
        <f>IFERROR(VLOOKUP($D154,NOMENCLATOR!$A:$F,6,FALSE()),"")*IF(OR($G154="g",$G154="ml"),0.001,1)</f>
        <v>1.6897059999999998E-2</v>
      </c>
      <c r="I154" s="102">
        <f>IFERROR($F154*$H154,"")</f>
        <v>0.84485299999999997</v>
      </c>
    </row>
    <row r="155" spans="1:11" x14ac:dyDescent="0.2">
      <c r="A155" s="26" t="s">
        <v>219</v>
      </c>
      <c r="B155" s="26" t="s">
        <v>535</v>
      </c>
      <c r="C155" s="26" t="s">
        <v>506</v>
      </c>
      <c r="D155" s="26" t="s">
        <v>605</v>
      </c>
      <c r="E155" s="26" t="s">
        <v>606</v>
      </c>
      <c r="F155" s="101">
        <v>1</v>
      </c>
      <c r="G155" s="26" t="s">
        <v>509</v>
      </c>
      <c r="H155" s="102">
        <f>IFERROR(VLOOKUP($D155,NOMENCLATOR!$A:$F,6,FALSE()),"")*IF(OR($G155="g",$G155="ml"),0.001,1)</f>
        <v>0.55000000000000004</v>
      </c>
      <c r="I155" s="102">
        <f>IFERROR($F155*$H155,"")</f>
        <v>0.55000000000000004</v>
      </c>
    </row>
    <row r="156" spans="1:11" x14ac:dyDescent="0.2">
      <c r="A156" s="103" t="s">
        <v>219</v>
      </c>
      <c r="B156" s="104"/>
      <c r="C156" s="104"/>
      <c r="D156" s="104"/>
      <c r="E156" s="103" t="s">
        <v>510</v>
      </c>
      <c r="F156" s="104"/>
      <c r="G156" s="104"/>
      <c r="H156" s="104"/>
      <c r="I156" s="104"/>
      <c r="J156" s="105">
        <f>SUMIFS($I$153:$I$155,$C$153:$C$155,"AMBELE")+SUMIFS($I$153:$I$155,$C$153:$C$155,"INSTORE")</f>
        <v>2.9758529999999999</v>
      </c>
      <c r="K156" s="105">
        <f>SUMIFS($I$153:$I$155,$C$153:$C$155,"AMBELE")+SUMIFS($I$153:$I$155,$C$153:$C$155,"DELIVERY")</f>
        <v>2.9758529999999999</v>
      </c>
    </row>
    <row r="157" spans="1:11" x14ac:dyDescent="0.2">
      <c r="A157" s="26" t="s">
        <v>187</v>
      </c>
      <c r="B157" s="26" t="s">
        <v>535</v>
      </c>
      <c r="C157" s="26" t="s">
        <v>506</v>
      </c>
      <c r="D157" s="26" t="s">
        <v>601</v>
      </c>
      <c r="E157" s="26" t="s">
        <v>602</v>
      </c>
      <c r="F157" s="101">
        <v>2</v>
      </c>
      <c r="G157" s="26" t="s">
        <v>509</v>
      </c>
      <c r="H157" s="102">
        <f>IFERROR(VLOOKUP($D157,NOMENCLATOR!$A:$F,6,FALSE()),"")*IF(OR($G157="g",$G157="ml"),0.001,1)</f>
        <v>1.581</v>
      </c>
      <c r="I157" s="102">
        <f>IFERROR($F157*$H157,"")</f>
        <v>3.1619999999999999</v>
      </c>
    </row>
    <row r="158" spans="1:11" x14ac:dyDescent="0.2">
      <c r="A158" s="26" t="s">
        <v>187</v>
      </c>
      <c r="B158" s="26" t="s">
        <v>535</v>
      </c>
      <c r="C158" s="26" t="s">
        <v>506</v>
      </c>
      <c r="D158" s="26" t="s">
        <v>513</v>
      </c>
      <c r="E158" s="26" t="s">
        <v>492</v>
      </c>
      <c r="F158" s="101">
        <v>100</v>
      </c>
      <c r="G158" s="26" t="s">
        <v>514</v>
      </c>
      <c r="H158" s="102">
        <f>IFERROR(VLOOKUP($D158,NOMENCLATOR!$A:$F,6,FALSE()),"")*IF(OR($G158="g",$G158="ml"),0.001,1)</f>
        <v>1.6897059999999998E-2</v>
      </c>
      <c r="I158" s="102">
        <f>IFERROR($F158*$H158,"")</f>
        <v>1.6897059999999999</v>
      </c>
    </row>
    <row r="159" spans="1:11" x14ac:dyDescent="0.2">
      <c r="A159" s="26" t="s">
        <v>187</v>
      </c>
      <c r="B159" s="26" t="s">
        <v>535</v>
      </c>
      <c r="C159" s="26" t="s">
        <v>506</v>
      </c>
      <c r="D159" s="26" t="s">
        <v>605</v>
      </c>
      <c r="E159" s="26" t="s">
        <v>606</v>
      </c>
      <c r="F159" s="101">
        <v>2</v>
      </c>
      <c r="G159" s="26" t="s">
        <v>509</v>
      </c>
      <c r="H159" s="102">
        <f>IFERROR(VLOOKUP($D159,NOMENCLATOR!$A:$F,6,FALSE()),"")*IF(OR($G159="g",$G159="ml"),0.001,1)</f>
        <v>0.55000000000000004</v>
      </c>
      <c r="I159" s="102">
        <f>IFERROR($F159*$H159,"")</f>
        <v>1.1000000000000001</v>
      </c>
    </row>
    <row r="160" spans="1:11" x14ac:dyDescent="0.2">
      <c r="A160" s="103" t="s">
        <v>187</v>
      </c>
      <c r="B160" s="104"/>
      <c r="C160" s="104"/>
      <c r="D160" s="104"/>
      <c r="E160" s="103" t="s">
        <v>510</v>
      </c>
      <c r="F160" s="104"/>
      <c r="G160" s="104"/>
      <c r="H160" s="104"/>
      <c r="I160" s="104"/>
      <c r="J160" s="105">
        <f>SUMIFS($I$157:$I$159,$C$157:$C$159,"AMBELE")+SUMIFS($I$157:$I$159,$C$157:$C$159,"INSTORE")</f>
        <v>5.9517059999999997</v>
      </c>
      <c r="K160" s="105">
        <f>SUMIFS($I$157:$I$159,$C$157:$C$159,"AMBELE")+SUMIFS($I$157:$I$159,$C$157:$C$159,"DELIVERY")</f>
        <v>5.9517059999999997</v>
      </c>
    </row>
    <row r="161" spans="1:11" x14ac:dyDescent="0.2">
      <c r="A161" s="26" t="s">
        <v>326</v>
      </c>
      <c r="B161" s="26" t="s">
        <v>111</v>
      </c>
      <c r="C161" s="26" t="s">
        <v>506</v>
      </c>
      <c r="D161" s="26" t="s">
        <v>607</v>
      </c>
      <c r="E161" s="26" t="s">
        <v>608</v>
      </c>
      <c r="F161" s="101">
        <v>1</v>
      </c>
      <c r="G161" s="26" t="s">
        <v>509</v>
      </c>
      <c r="H161" s="102">
        <f>IFERROR(VLOOKUP($D161,NOMENCLATOR!$A:$F,6,FALSE()),"")*IF(OR($G161="g",$G161="ml"),0.001,1)</f>
        <v>92.31</v>
      </c>
      <c r="I161" s="102">
        <f>IFERROR($F161*$H161,"")</f>
        <v>92.31</v>
      </c>
    </row>
    <row r="162" spans="1:11" x14ac:dyDescent="0.2">
      <c r="A162" s="103" t="s">
        <v>326</v>
      </c>
      <c r="B162" s="104"/>
      <c r="C162" s="104"/>
      <c r="D162" s="104"/>
      <c r="E162" s="103" t="s">
        <v>510</v>
      </c>
      <c r="F162" s="104"/>
      <c r="G162" s="104"/>
      <c r="H162" s="104"/>
      <c r="I162" s="104"/>
      <c r="J162" s="105">
        <f>SUMIFS($I$161:$I$161,$C$161:$C$161,"AMBELE")+SUMIFS($I$161:$I$161,$C$161:$C$161,"INSTORE")</f>
        <v>92.31</v>
      </c>
      <c r="K162" s="105">
        <f>SUMIFS($I$161:$I$161,$C$161:$C$161,"AMBELE")+SUMIFS($I$161:$I$161,$C$161:$C$161,"DELIVERY")</f>
        <v>92.31</v>
      </c>
    </row>
    <row r="163" spans="1:11" x14ac:dyDescent="0.2">
      <c r="A163" s="26" t="s">
        <v>208</v>
      </c>
      <c r="B163" s="26" t="s">
        <v>589</v>
      </c>
      <c r="C163" s="26" t="s">
        <v>539</v>
      </c>
      <c r="D163" s="26" t="s">
        <v>609</v>
      </c>
      <c r="E163" s="26" t="s">
        <v>610</v>
      </c>
      <c r="F163" s="101">
        <v>1</v>
      </c>
      <c r="G163" s="26" t="s">
        <v>509</v>
      </c>
      <c r="H163" s="102">
        <f>IFERROR(VLOOKUP($D163,NOMENCLATOR!$A:$F,6,FALSE()),"")*IF(OR($G163="g",$G163="ml"),0.001,1)</f>
        <v>0.86799999999999999</v>
      </c>
      <c r="I163" s="102">
        <f>IFERROR($F163*$H163,"")</f>
        <v>0.86799999999999999</v>
      </c>
    </row>
    <row r="164" spans="1:11" x14ac:dyDescent="0.2">
      <c r="A164" s="26" t="s">
        <v>208</v>
      </c>
      <c r="B164" s="26" t="s">
        <v>589</v>
      </c>
      <c r="C164" s="26" t="s">
        <v>539</v>
      </c>
      <c r="D164" s="26" t="s">
        <v>611</v>
      </c>
      <c r="E164" s="26" t="s">
        <v>612</v>
      </c>
      <c r="F164" s="101">
        <v>58.83</v>
      </c>
      <c r="G164" s="26" t="s">
        <v>514</v>
      </c>
      <c r="H164" s="102">
        <f>IFERROR(VLOOKUP($D164,NOMENCLATOR!$A:$F,6,FALSE()),"")*IF(OR($G164="g",$G164="ml"),0.001,1)</f>
        <v>4.4933480000000005E-2</v>
      </c>
      <c r="I164" s="102">
        <f>IFERROR($F164*$H164,"")</f>
        <v>2.6434366284000004</v>
      </c>
    </row>
    <row r="165" spans="1:11" x14ac:dyDescent="0.2">
      <c r="A165" s="103" t="s">
        <v>208</v>
      </c>
      <c r="B165" s="104"/>
      <c r="C165" s="104"/>
      <c r="D165" s="104"/>
      <c r="E165" s="103" t="s">
        <v>510</v>
      </c>
      <c r="F165" s="104"/>
      <c r="G165" s="104"/>
      <c r="H165" s="104"/>
      <c r="I165" s="104"/>
      <c r="J165" s="105">
        <f>SUMIFS($I$163:$I$164,$C$163:$C$164,"AMBELE")+SUMIFS($I$163:$I$164,$C$163:$C$164,"INSTORE")</f>
        <v>3.5114366284000003</v>
      </c>
      <c r="K165" s="105">
        <f>SUMIFS($I$163:$I$164,$C$163:$C$164,"AMBELE")+SUMIFS($I$163:$I$164,$C$163:$C$164,"DELIVERY")</f>
        <v>0</v>
      </c>
    </row>
    <row r="166" spans="1:11" x14ac:dyDescent="0.2">
      <c r="A166" s="26" t="s">
        <v>212</v>
      </c>
      <c r="B166" s="26" t="s">
        <v>589</v>
      </c>
      <c r="C166" s="26" t="s">
        <v>539</v>
      </c>
      <c r="D166" s="26" t="s">
        <v>613</v>
      </c>
      <c r="E166" s="26" t="s">
        <v>614</v>
      </c>
      <c r="F166" s="101">
        <v>1</v>
      </c>
      <c r="G166" s="26" t="s">
        <v>509</v>
      </c>
      <c r="H166" s="102">
        <f>IFERROR(VLOOKUP($D166,NOMENCLATOR!$A:$F,6,FALSE()),"")*IF(OR($G166="g",$G166="ml"),0.001,1)</f>
        <v>1.0469999999999999</v>
      </c>
      <c r="I166" s="102">
        <f>IFERROR($F166*$H166,"")</f>
        <v>1.0469999999999999</v>
      </c>
    </row>
    <row r="167" spans="1:11" x14ac:dyDescent="0.2">
      <c r="A167" s="26" t="s">
        <v>212</v>
      </c>
      <c r="B167" s="26" t="s">
        <v>589</v>
      </c>
      <c r="C167" s="26" t="s">
        <v>539</v>
      </c>
      <c r="D167" s="26" t="s">
        <v>611</v>
      </c>
      <c r="E167" s="26" t="s">
        <v>612</v>
      </c>
      <c r="F167" s="101">
        <v>83.32</v>
      </c>
      <c r="G167" s="26" t="s">
        <v>514</v>
      </c>
      <c r="H167" s="102">
        <f>IFERROR(VLOOKUP($D167,NOMENCLATOR!$A:$F,6,FALSE()),"")*IF(OR($G167="g",$G167="ml"),0.001,1)</f>
        <v>4.4933480000000005E-2</v>
      </c>
      <c r="I167" s="102">
        <f>IFERROR($F167*$H167,"")</f>
        <v>3.7438575536000003</v>
      </c>
    </row>
    <row r="168" spans="1:11" x14ac:dyDescent="0.2">
      <c r="A168" s="103" t="s">
        <v>212</v>
      </c>
      <c r="B168" s="104"/>
      <c r="C168" s="104"/>
      <c r="D168" s="104"/>
      <c r="E168" s="103" t="s">
        <v>510</v>
      </c>
      <c r="F168" s="104"/>
      <c r="G168" s="104"/>
      <c r="H168" s="104"/>
      <c r="I168" s="104"/>
      <c r="J168" s="105">
        <f>SUMIFS($I$166:$I$167,$C$166:$C$167,"AMBELE")+SUMIFS($I$166:$I$167,$C$166:$C$167,"INSTORE")</f>
        <v>4.7908575536000004</v>
      </c>
      <c r="K168" s="105">
        <f>SUMIFS($I$166:$I$167,$C$166:$C$167,"AMBELE")+SUMIFS($I$166:$I$167,$C$166:$C$167,"DELIVERY")</f>
        <v>0</v>
      </c>
    </row>
    <row r="169" spans="1:11" x14ac:dyDescent="0.2">
      <c r="A169" s="26" t="s">
        <v>297</v>
      </c>
      <c r="B169" s="26" t="s">
        <v>589</v>
      </c>
      <c r="C169" s="26" t="s">
        <v>539</v>
      </c>
      <c r="D169" s="26" t="s">
        <v>615</v>
      </c>
      <c r="E169" s="26" t="s">
        <v>616</v>
      </c>
      <c r="F169" s="101">
        <v>1</v>
      </c>
      <c r="G169" s="26" t="s">
        <v>509</v>
      </c>
      <c r="H169" s="102">
        <f>IFERROR(VLOOKUP($D169,NOMENCLATOR!$A:$F,6,FALSE()),"")*IF(OR($G169="g",$G169="ml"),0.001,1)</f>
        <v>3.6909999999999998</v>
      </c>
      <c r="I169" s="102">
        <f>IFERROR($F169*$H169,"")</f>
        <v>3.6909999999999998</v>
      </c>
    </row>
    <row r="170" spans="1:11" x14ac:dyDescent="0.2">
      <c r="A170" s="103" t="s">
        <v>297</v>
      </c>
      <c r="B170" s="104"/>
      <c r="C170" s="104"/>
      <c r="D170" s="104"/>
      <c r="E170" s="103" t="s">
        <v>510</v>
      </c>
      <c r="F170" s="104"/>
      <c r="G170" s="104"/>
      <c r="H170" s="104"/>
      <c r="I170" s="104"/>
      <c r="J170" s="105">
        <f>SUMIFS($I$169:$I$169,$C$169:$C$169,"AMBELE")+SUMIFS($I$169:$I$169,$C$169:$C$169,"INSTORE")</f>
        <v>3.6909999999999998</v>
      </c>
      <c r="K170" s="105">
        <f>SUMIFS($I$169:$I$169,$C$169:$C$169,"AMBELE")+SUMIFS($I$169:$I$169,$C$169:$C$169,"DELIVERY")</f>
        <v>0</v>
      </c>
    </row>
    <row r="171" spans="1:11" x14ac:dyDescent="0.2">
      <c r="A171" s="26" t="s">
        <v>148</v>
      </c>
      <c r="B171" s="26" t="s">
        <v>566</v>
      </c>
      <c r="C171" s="26" t="s">
        <v>506</v>
      </c>
      <c r="D171" s="26" t="s">
        <v>550</v>
      </c>
      <c r="E171" s="26" t="s">
        <v>551</v>
      </c>
      <c r="F171" s="101">
        <v>1</v>
      </c>
      <c r="G171" s="26" t="s">
        <v>509</v>
      </c>
      <c r="H171" s="102">
        <f>IFERROR(VLOOKUP($D171,NOMENCLATOR!$A:$F,6,FALSE()),"")*IF(OR($G171="g",$G171="ml"),0.001,1)</f>
        <v>2.36</v>
      </c>
      <c r="I171" s="102">
        <f t="shared" ref="I171:I177" si="4">IFERROR($F171*$H171,"")</f>
        <v>2.36</v>
      </c>
    </row>
    <row r="172" spans="1:11" x14ac:dyDescent="0.2">
      <c r="A172" s="26" t="s">
        <v>148</v>
      </c>
      <c r="B172" s="26" t="s">
        <v>566</v>
      </c>
      <c r="C172" s="26" t="s">
        <v>506</v>
      </c>
      <c r="D172" s="26" t="s">
        <v>567</v>
      </c>
      <c r="E172" s="26" t="s">
        <v>489</v>
      </c>
      <c r="F172" s="101">
        <v>1</v>
      </c>
      <c r="G172" s="26" t="s">
        <v>509</v>
      </c>
      <c r="H172" s="102">
        <f>IFERROR(VLOOKUP($D172,NOMENCLATOR!$A:$F,6,FALSE()),"")*IF(OR($G172="g",$G172="ml"),0.001,1)</f>
        <v>3.57</v>
      </c>
      <c r="I172" s="102">
        <f t="shared" si="4"/>
        <v>3.57</v>
      </c>
    </row>
    <row r="173" spans="1:11" x14ac:dyDescent="0.2">
      <c r="A173" s="26" t="s">
        <v>148</v>
      </c>
      <c r="B173" s="26" t="s">
        <v>566</v>
      </c>
      <c r="C173" s="26" t="s">
        <v>506</v>
      </c>
      <c r="D173" s="26" t="s">
        <v>617</v>
      </c>
      <c r="E173" s="26" t="s">
        <v>618</v>
      </c>
      <c r="F173" s="101">
        <v>1</v>
      </c>
      <c r="G173" s="26" t="s">
        <v>509</v>
      </c>
      <c r="H173" s="102">
        <f>IFERROR(VLOOKUP($D173,NOMENCLATOR!$A:$F,6,FALSE()),"")*IF(OR($G173="g",$G173="ml"),0.001,1)</f>
        <v>0.69299999999999995</v>
      </c>
      <c r="I173" s="102">
        <f t="shared" si="4"/>
        <v>0.69299999999999995</v>
      </c>
    </row>
    <row r="174" spans="1:11" x14ac:dyDescent="0.2">
      <c r="A174" s="26" t="s">
        <v>148</v>
      </c>
      <c r="B174" s="26" t="s">
        <v>566</v>
      </c>
      <c r="C174" s="26" t="s">
        <v>506</v>
      </c>
      <c r="D174" s="26" t="s">
        <v>619</v>
      </c>
      <c r="E174" s="26" t="s">
        <v>620</v>
      </c>
      <c r="F174" s="101">
        <v>1</v>
      </c>
      <c r="G174" s="26" t="s">
        <v>509</v>
      </c>
      <c r="H174" s="102">
        <f>IFERROR(VLOOKUP($D174,NOMENCLATOR!$A:$F,6,FALSE()),"")*IF(OR($G174="g",$G174="ml"),0.001,1)</f>
        <v>0.11</v>
      </c>
      <c r="I174" s="102">
        <f t="shared" si="4"/>
        <v>0.11</v>
      </c>
    </row>
    <row r="175" spans="1:11" x14ac:dyDescent="0.2">
      <c r="A175" s="26" t="s">
        <v>148</v>
      </c>
      <c r="B175" s="26" t="s">
        <v>566</v>
      </c>
      <c r="C175" s="26" t="s">
        <v>506</v>
      </c>
      <c r="D175" s="26" t="s">
        <v>621</v>
      </c>
      <c r="E175" s="26" t="s">
        <v>622</v>
      </c>
      <c r="F175" s="101">
        <v>30</v>
      </c>
      <c r="G175" s="26" t="s">
        <v>514</v>
      </c>
      <c r="H175" s="102">
        <f>IFERROR(VLOOKUP($D175,NOMENCLATOR!$A:$F,6,FALSE()),"")*IF(OR($G175="g",$G175="ml"),0.001,1)</f>
        <v>3.5110300000000004E-2</v>
      </c>
      <c r="I175" s="102">
        <f t="shared" si="4"/>
        <v>1.0533090000000001</v>
      </c>
    </row>
    <row r="176" spans="1:11" x14ac:dyDescent="0.2">
      <c r="A176" s="26" t="s">
        <v>148</v>
      </c>
      <c r="B176" s="26" t="s">
        <v>566</v>
      </c>
      <c r="C176" s="26" t="s">
        <v>506</v>
      </c>
      <c r="D176" s="26" t="s">
        <v>623</v>
      </c>
      <c r="E176" s="26" t="s">
        <v>624</v>
      </c>
      <c r="F176" s="101">
        <v>15</v>
      </c>
      <c r="G176" s="26" t="s">
        <v>529</v>
      </c>
      <c r="H176" s="102">
        <f>IFERROR(VLOOKUP($D176,NOMENCLATOR!$A:$F,6,FALSE()),"")*IF(OR($G176="g",$G176="ml"),0.001,1)</f>
        <v>2.6576880000000001E-2</v>
      </c>
      <c r="I176" s="102">
        <f t="shared" si="4"/>
        <v>0.39865319999999999</v>
      </c>
    </row>
    <row r="177" spans="1:11" x14ac:dyDescent="0.2">
      <c r="A177" s="26" t="s">
        <v>148</v>
      </c>
      <c r="B177" s="26" t="s">
        <v>566</v>
      </c>
      <c r="C177" s="26" t="s">
        <v>506</v>
      </c>
      <c r="D177" s="26" t="s">
        <v>530</v>
      </c>
      <c r="E177" s="26" t="s">
        <v>531</v>
      </c>
      <c r="F177" s="101">
        <v>1</v>
      </c>
      <c r="G177" s="26" t="s">
        <v>509</v>
      </c>
      <c r="H177" s="102">
        <f>IFERROR(VLOOKUP($D177,NOMENCLATOR!$A:$F,6,FALSE()),"")*IF(OR($G177="g",$G177="ml"),0.001,1)</f>
        <v>0.63</v>
      </c>
      <c r="I177" s="102">
        <f t="shared" si="4"/>
        <v>0.63</v>
      </c>
    </row>
    <row r="178" spans="1:11" x14ac:dyDescent="0.2">
      <c r="A178" s="103" t="s">
        <v>148</v>
      </c>
      <c r="B178" s="104"/>
      <c r="C178" s="104"/>
      <c r="D178" s="104"/>
      <c r="E178" s="103" t="s">
        <v>510</v>
      </c>
      <c r="F178" s="104"/>
      <c r="G178" s="104"/>
      <c r="H178" s="104"/>
      <c r="I178" s="104"/>
      <c r="J178" s="105">
        <f>SUMIFS($I$171:$I$177,$C$171:$C$177,"AMBELE")+SUMIFS($I$171:$I$177,$C$171:$C$177,"INSTORE")</f>
        <v>8.8149622000000001</v>
      </c>
      <c r="K178" s="105">
        <f>SUMIFS($I$171:$I$177,$C$171:$C$177,"AMBELE")+SUMIFS($I$171:$I$177,$C$171:$C$177,"DELIVERY")</f>
        <v>8.8149622000000001</v>
      </c>
    </row>
    <row r="179" spans="1:11" x14ac:dyDescent="0.2">
      <c r="A179" s="26" t="s">
        <v>267</v>
      </c>
      <c r="B179" s="26" t="s">
        <v>103</v>
      </c>
      <c r="C179" s="26" t="s">
        <v>506</v>
      </c>
      <c r="D179" s="26" t="s">
        <v>625</v>
      </c>
      <c r="E179" s="26" t="s">
        <v>626</v>
      </c>
      <c r="F179" s="101">
        <v>1</v>
      </c>
      <c r="G179" s="26" t="s">
        <v>509</v>
      </c>
      <c r="H179" s="102">
        <f>IFERROR(VLOOKUP($D179,NOMENCLATOR!$A:$F,6,FALSE()),"")*IF(OR($G179="g",$G179="ml"),0.001,1)</f>
        <v>6.23</v>
      </c>
      <c r="I179" s="102">
        <f>IFERROR($F179*$H179,"")</f>
        <v>6.23</v>
      </c>
    </row>
    <row r="180" spans="1:11" x14ac:dyDescent="0.2">
      <c r="A180" s="103" t="s">
        <v>267</v>
      </c>
      <c r="B180" s="104"/>
      <c r="C180" s="104"/>
      <c r="D180" s="104"/>
      <c r="E180" s="103" t="s">
        <v>510</v>
      </c>
      <c r="F180" s="104"/>
      <c r="G180" s="104"/>
      <c r="H180" s="104"/>
      <c r="I180" s="104"/>
      <c r="J180" s="105">
        <f>SUMIFS($I$179:$I$179,$C$179:$C$179,"AMBELE")+SUMIFS($I$179:$I$179,$C$179:$C$179,"INSTORE")</f>
        <v>6.23</v>
      </c>
      <c r="K180" s="105">
        <f>SUMIFS($I$179:$I$179,$C$179:$C$179,"AMBELE")+SUMIFS($I$179:$I$179,$C$179:$C$179,"DELIVERY")</f>
        <v>6.23</v>
      </c>
    </row>
    <row r="181" spans="1:11" x14ac:dyDescent="0.2">
      <c r="A181" s="26" t="s">
        <v>196</v>
      </c>
      <c r="B181" s="26" t="s">
        <v>196</v>
      </c>
      <c r="C181" s="26" t="s">
        <v>506</v>
      </c>
      <c r="D181" s="26" t="s">
        <v>550</v>
      </c>
      <c r="E181" s="26" t="s">
        <v>551</v>
      </c>
      <c r="F181" s="101">
        <v>1</v>
      </c>
      <c r="G181" s="26" t="s">
        <v>509</v>
      </c>
      <c r="H181" s="102">
        <f>IFERROR(VLOOKUP($D181,NOMENCLATOR!$A:$F,6,FALSE()),"")*IF(OR($G181="g",$G181="ml"),0.001,1)</f>
        <v>2.36</v>
      </c>
      <c r="I181" s="102">
        <f t="shared" ref="I181:I188" si="5">IFERROR($F181*$H181,"")</f>
        <v>2.36</v>
      </c>
    </row>
    <row r="182" spans="1:11" x14ac:dyDescent="0.2">
      <c r="A182" s="26" t="s">
        <v>196</v>
      </c>
      <c r="B182" s="26" t="s">
        <v>196</v>
      </c>
      <c r="C182" s="26" t="s">
        <v>506</v>
      </c>
      <c r="D182" s="26" t="s">
        <v>627</v>
      </c>
      <c r="E182" s="26" t="s">
        <v>628</v>
      </c>
      <c r="F182" s="101">
        <v>1</v>
      </c>
      <c r="G182" s="26" t="s">
        <v>509</v>
      </c>
      <c r="H182" s="102">
        <f>IFERROR(VLOOKUP($D182,NOMENCLATOR!$A:$F,6,FALSE()),"")*IF(OR($G182="g",$G182="ml"),0.001,1)</f>
        <v>3.5489999999999999</v>
      </c>
      <c r="I182" s="102">
        <f t="shared" si="5"/>
        <v>3.5489999999999999</v>
      </c>
    </row>
    <row r="183" spans="1:11" x14ac:dyDescent="0.2">
      <c r="A183" s="26" t="s">
        <v>196</v>
      </c>
      <c r="B183" s="26" t="s">
        <v>196</v>
      </c>
      <c r="C183" s="26" t="s">
        <v>506</v>
      </c>
      <c r="D183" s="26" t="s">
        <v>513</v>
      </c>
      <c r="E183" s="26" t="s">
        <v>492</v>
      </c>
      <c r="F183" s="101">
        <v>20</v>
      </c>
      <c r="G183" s="26" t="s">
        <v>514</v>
      </c>
      <c r="H183" s="102">
        <f>IFERROR(VLOOKUP($D183,NOMENCLATOR!$A:$F,6,FALSE()),"")*IF(OR($G183="g",$G183="ml"),0.001,1)</f>
        <v>1.6897059999999998E-2</v>
      </c>
      <c r="I183" s="102">
        <f t="shared" si="5"/>
        <v>0.33794119999999994</v>
      </c>
    </row>
    <row r="184" spans="1:11" x14ac:dyDescent="0.2">
      <c r="A184" s="26" t="s">
        <v>196</v>
      </c>
      <c r="B184" s="26" t="s">
        <v>196</v>
      </c>
      <c r="C184" s="26" t="s">
        <v>506</v>
      </c>
      <c r="D184" s="26" t="s">
        <v>629</v>
      </c>
      <c r="E184" s="26" t="s">
        <v>630</v>
      </c>
      <c r="F184" s="101">
        <v>10</v>
      </c>
      <c r="G184" s="26" t="s">
        <v>514</v>
      </c>
      <c r="H184" s="102">
        <f>IFERROR(VLOOKUP($D184,NOMENCLATOR!$A:$F,6,FALSE()),"")*IF(OR($G184="g",$G184="ml"),0.001,1)</f>
        <v>2.2149310000000002E-2</v>
      </c>
      <c r="I184" s="102">
        <f t="shared" si="5"/>
        <v>0.22149310000000003</v>
      </c>
    </row>
    <row r="185" spans="1:11" x14ac:dyDescent="0.2">
      <c r="A185" s="26" t="s">
        <v>196</v>
      </c>
      <c r="B185" s="26" t="s">
        <v>196</v>
      </c>
      <c r="C185" s="26" t="s">
        <v>506</v>
      </c>
      <c r="D185" s="26" t="s">
        <v>631</v>
      </c>
      <c r="E185" s="26" t="s">
        <v>491</v>
      </c>
      <c r="F185" s="101">
        <v>10</v>
      </c>
      <c r="G185" s="26" t="s">
        <v>514</v>
      </c>
      <c r="H185" s="102">
        <f>IFERROR(VLOOKUP($D185,NOMENCLATOR!$A:$F,6,FALSE()),"")*IF(OR($G185="g",$G185="ml"),0.001,1)</f>
        <v>2.2999820000000001E-2</v>
      </c>
      <c r="I185" s="102">
        <f t="shared" si="5"/>
        <v>0.22999820000000001</v>
      </c>
    </row>
    <row r="186" spans="1:11" x14ac:dyDescent="0.2">
      <c r="A186" s="26" t="s">
        <v>196</v>
      </c>
      <c r="B186" s="26" t="s">
        <v>196</v>
      </c>
      <c r="C186" s="26" t="s">
        <v>506</v>
      </c>
      <c r="D186" s="26" t="s">
        <v>632</v>
      </c>
      <c r="E186" s="26" t="s">
        <v>633</v>
      </c>
      <c r="F186" s="101">
        <v>15</v>
      </c>
      <c r="G186" s="26" t="s">
        <v>529</v>
      </c>
      <c r="H186" s="102">
        <f>IFERROR(VLOOKUP($D186,NOMENCLATOR!$A:$F,6,FALSE()),"")*IF(OR($G186="g",$G186="ml"),0.001,1)</f>
        <v>1.9992780000000002E-2</v>
      </c>
      <c r="I186" s="102">
        <f t="shared" si="5"/>
        <v>0.29989170000000004</v>
      </c>
    </row>
    <row r="187" spans="1:11" x14ac:dyDescent="0.2">
      <c r="A187" s="26" t="s">
        <v>196</v>
      </c>
      <c r="B187" s="26" t="s">
        <v>196</v>
      </c>
      <c r="C187" s="26" t="s">
        <v>506</v>
      </c>
      <c r="D187" s="26" t="s">
        <v>634</v>
      </c>
      <c r="E187" s="26" t="s">
        <v>635</v>
      </c>
      <c r="F187" s="101">
        <v>5.6</v>
      </c>
      <c r="G187" s="26" t="s">
        <v>529</v>
      </c>
      <c r="H187" s="102">
        <f>IFERROR(VLOOKUP($D187,NOMENCLATOR!$A:$F,6,FALSE()),"")*IF(OR($G187="g",$G187="ml"),0.001,1)</f>
        <v>1.554E-2</v>
      </c>
      <c r="I187" s="102">
        <f t="shared" si="5"/>
        <v>8.702399999999999E-2</v>
      </c>
    </row>
    <row r="188" spans="1:11" x14ac:dyDescent="0.2">
      <c r="A188" s="26" t="s">
        <v>196</v>
      </c>
      <c r="B188" s="26" t="s">
        <v>196</v>
      </c>
      <c r="C188" s="26" t="s">
        <v>506</v>
      </c>
      <c r="D188" s="26" t="s">
        <v>560</v>
      </c>
      <c r="E188" s="26" t="s">
        <v>561</v>
      </c>
      <c r="F188" s="101">
        <v>1</v>
      </c>
      <c r="G188" s="26" t="s">
        <v>509</v>
      </c>
      <c r="H188" s="102">
        <f>IFERROR(VLOOKUP($D188,NOMENCLATOR!$A:$F,6,FALSE()),"")*IF(OR($G188="g",$G188="ml"),0.001,1)</f>
        <v>0.106</v>
      </c>
      <c r="I188" s="102">
        <f t="shared" si="5"/>
        <v>0.106</v>
      </c>
    </row>
    <row r="189" spans="1:11" x14ac:dyDescent="0.2">
      <c r="A189" s="103" t="s">
        <v>196</v>
      </c>
      <c r="B189" s="104"/>
      <c r="C189" s="104"/>
      <c r="D189" s="104"/>
      <c r="E189" s="103" t="s">
        <v>510</v>
      </c>
      <c r="F189" s="104"/>
      <c r="G189" s="104"/>
      <c r="H189" s="104"/>
      <c r="I189" s="104"/>
      <c r="J189" s="105">
        <f>SUMIFS($I$181:$I$188,$C$181:$C$188,"AMBELE")+SUMIFS($I$181:$I$188,$C$181:$C$188,"INSTORE")</f>
        <v>7.1913482000000002</v>
      </c>
      <c r="K189" s="105">
        <f>SUMIFS($I$181:$I$188,$C$181:$C$188,"AMBELE")+SUMIFS($I$181:$I$188,$C$181:$C$188,"DELIVERY")</f>
        <v>7.1913482000000002</v>
      </c>
    </row>
    <row r="190" spans="1:11" x14ac:dyDescent="0.2">
      <c r="A190" s="26" t="s">
        <v>636</v>
      </c>
      <c r="B190" s="26" t="s">
        <v>589</v>
      </c>
      <c r="C190" s="26" t="s">
        <v>539</v>
      </c>
      <c r="D190" s="26" t="s">
        <v>637</v>
      </c>
      <c r="E190" s="26" t="s">
        <v>638</v>
      </c>
      <c r="F190" s="101">
        <v>1</v>
      </c>
      <c r="G190" s="26" t="s">
        <v>509</v>
      </c>
      <c r="H190" s="102">
        <f>IFERROR(VLOOKUP($D190,NOMENCLATOR!$A:$F,6,FALSE()),"")*IF(OR($G190="g",$G190="ml"),0.001,1)</f>
        <v>0.63100000000000001</v>
      </c>
      <c r="I190" s="102">
        <f>IFERROR($F190*$H190,"")</f>
        <v>0.63100000000000001</v>
      </c>
    </row>
    <row r="191" spans="1:11" x14ac:dyDescent="0.2">
      <c r="A191" s="26" t="s">
        <v>636</v>
      </c>
      <c r="B191" s="26" t="s">
        <v>589</v>
      </c>
      <c r="C191" s="26" t="s">
        <v>539</v>
      </c>
      <c r="D191" s="26" t="s">
        <v>611</v>
      </c>
      <c r="E191" s="26" t="s">
        <v>612</v>
      </c>
      <c r="F191" s="101">
        <v>41.66</v>
      </c>
      <c r="G191" s="26" t="s">
        <v>514</v>
      </c>
      <c r="H191" s="102">
        <f>IFERROR(VLOOKUP($D191,NOMENCLATOR!$A:$F,6,FALSE()),"")*IF(OR($G191="g",$G191="ml"),0.001,1)</f>
        <v>4.4933480000000005E-2</v>
      </c>
      <c r="I191" s="102">
        <f>IFERROR($F191*$H191,"")</f>
        <v>1.8719287768000001</v>
      </c>
    </row>
    <row r="192" spans="1:11" x14ac:dyDescent="0.2">
      <c r="A192" s="103" t="s">
        <v>636</v>
      </c>
      <c r="B192" s="104"/>
      <c r="C192" s="104"/>
      <c r="D192" s="104"/>
      <c r="E192" s="103" t="s">
        <v>510</v>
      </c>
      <c r="F192" s="104"/>
      <c r="G192" s="104"/>
      <c r="H192" s="104"/>
      <c r="I192" s="104"/>
      <c r="J192" s="105">
        <f>SUMIFS($I$190:$I$191,$C$190:$C$191,"AMBELE")+SUMIFS($I$190:$I$191,$C$190:$C$191,"INSTORE")</f>
        <v>2.5029287768000001</v>
      </c>
      <c r="K192" s="105">
        <f>SUMIFS($I$190:$I$191,$C$190:$C$191,"AMBELE")+SUMIFS($I$190:$I$191,$C$190:$C$191,"DELIVERY")</f>
        <v>0</v>
      </c>
    </row>
    <row r="193" spans="1:11" x14ac:dyDescent="0.2">
      <c r="A193" s="26" t="s">
        <v>277</v>
      </c>
      <c r="B193" s="26" t="s">
        <v>104</v>
      </c>
      <c r="C193" s="26" t="s">
        <v>506</v>
      </c>
      <c r="D193" s="26" t="s">
        <v>572</v>
      </c>
      <c r="E193" s="26" t="s">
        <v>573</v>
      </c>
      <c r="F193" s="101">
        <v>15</v>
      </c>
      <c r="G193" s="26" t="s">
        <v>529</v>
      </c>
      <c r="H193" s="102">
        <f>IFERROR(VLOOKUP($D193,NOMENCLATOR!$A:$F,6,FALSE()),"")*IF(OR($G193="g",$G193="ml"),0.001,1)</f>
        <v>0.23816300000000001</v>
      </c>
      <c r="I193" s="102">
        <f>IFERROR($F193*$H193,"")</f>
        <v>3.5724450000000001</v>
      </c>
    </row>
    <row r="194" spans="1:11" x14ac:dyDescent="0.2">
      <c r="A194" s="26" t="s">
        <v>277</v>
      </c>
      <c r="B194" s="26" t="s">
        <v>104</v>
      </c>
      <c r="C194" s="26" t="s">
        <v>506</v>
      </c>
      <c r="D194" s="26" t="s">
        <v>574</v>
      </c>
      <c r="E194" s="26" t="s">
        <v>575</v>
      </c>
      <c r="F194" s="101">
        <v>1</v>
      </c>
      <c r="G194" s="26" t="s">
        <v>509</v>
      </c>
      <c r="H194" s="102">
        <f>IFERROR(VLOOKUP($D194,NOMENCLATOR!$A:$F,6,FALSE()),"")*IF(OR($G194="g",$G194="ml"),0.001,1)</f>
        <v>0.70499999999999996</v>
      </c>
      <c r="I194" s="102">
        <f>IFERROR($F194*$H194,"")</f>
        <v>0.70499999999999996</v>
      </c>
    </row>
    <row r="195" spans="1:11" x14ac:dyDescent="0.2">
      <c r="A195" s="26" t="s">
        <v>277</v>
      </c>
      <c r="B195" s="26" t="s">
        <v>104</v>
      </c>
      <c r="C195" s="26" t="s">
        <v>506</v>
      </c>
      <c r="D195" s="26" t="s">
        <v>576</v>
      </c>
      <c r="E195" s="26" t="s">
        <v>577</v>
      </c>
      <c r="F195" s="101">
        <v>1</v>
      </c>
      <c r="G195" s="26" t="s">
        <v>509</v>
      </c>
      <c r="H195" s="102">
        <f>IFERROR(VLOOKUP($D195,NOMENCLATOR!$A:$F,6,FALSE()),"")*IF(OR($G195="g",$G195="ml"),0.001,1)</f>
        <v>0.14699999999999999</v>
      </c>
      <c r="I195" s="102">
        <f>IFERROR($F195*$H195,"")</f>
        <v>0.14699999999999999</v>
      </c>
    </row>
    <row r="196" spans="1:11" x14ac:dyDescent="0.2">
      <c r="A196" s="26" t="s">
        <v>277</v>
      </c>
      <c r="B196" s="26" t="s">
        <v>104</v>
      </c>
      <c r="C196" s="26" t="s">
        <v>506</v>
      </c>
      <c r="D196" s="26" t="s">
        <v>578</v>
      </c>
      <c r="E196" s="26" t="s">
        <v>579</v>
      </c>
      <c r="F196" s="101">
        <v>1</v>
      </c>
      <c r="G196" s="26" t="s">
        <v>509</v>
      </c>
      <c r="H196" s="102">
        <f>IFERROR(VLOOKUP($D196,NOMENCLATOR!$A:$F,6,FALSE()),"")*IF(OR($G196="g",$G196="ml"),0.001,1)</f>
        <v>1.2999999999999999E-2</v>
      </c>
      <c r="I196" s="102">
        <f>IFERROR($F196*$H196,"")</f>
        <v>1.2999999999999999E-2</v>
      </c>
    </row>
    <row r="197" spans="1:11" x14ac:dyDescent="0.2">
      <c r="A197" s="26" t="s">
        <v>277</v>
      </c>
      <c r="B197" s="26" t="s">
        <v>104</v>
      </c>
      <c r="C197" s="26" t="s">
        <v>506</v>
      </c>
      <c r="D197" s="26" t="s">
        <v>639</v>
      </c>
      <c r="E197" s="26" t="s">
        <v>640</v>
      </c>
      <c r="F197" s="101">
        <v>200</v>
      </c>
      <c r="G197" s="26" t="s">
        <v>514</v>
      </c>
      <c r="H197" s="102">
        <f>IFERROR(VLOOKUP($D197,NOMENCLATOR!$A:$F,6,FALSE()),"")*IF(OR($G197="g",$G197="ml"),0.001,1)</f>
        <v>9.8002499999999999E-3</v>
      </c>
      <c r="I197" s="102">
        <f>IFERROR($F197*$H197,"")</f>
        <v>1.9600500000000001</v>
      </c>
    </row>
    <row r="198" spans="1:11" x14ac:dyDescent="0.2">
      <c r="A198" s="103" t="s">
        <v>277</v>
      </c>
      <c r="B198" s="104"/>
      <c r="C198" s="104"/>
      <c r="D198" s="104"/>
      <c r="E198" s="103" t="s">
        <v>510</v>
      </c>
      <c r="F198" s="104"/>
      <c r="G198" s="104"/>
      <c r="H198" s="104"/>
      <c r="I198" s="104"/>
      <c r="J198" s="105">
        <f>SUMIFS($I$193:$I$197,$C$193:$C$197,"AMBELE")+SUMIFS($I$193:$I$197,$C$193:$C$197,"INSTORE")</f>
        <v>6.3974950000000002</v>
      </c>
      <c r="K198" s="105">
        <f>SUMIFS($I$193:$I$197,$C$193:$C$197,"AMBELE")+SUMIFS($I$193:$I$197,$C$193:$C$197,"DELIVERY")</f>
        <v>6.3974950000000002</v>
      </c>
    </row>
    <row r="199" spans="1:11" x14ac:dyDescent="0.2">
      <c r="A199" s="26" t="s">
        <v>312</v>
      </c>
      <c r="B199" s="26" t="s">
        <v>104</v>
      </c>
      <c r="C199" s="26" t="s">
        <v>506</v>
      </c>
      <c r="D199" s="26" t="s">
        <v>639</v>
      </c>
      <c r="E199" s="26" t="s">
        <v>640</v>
      </c>
      <c r="F199" s="101">
        <v>165</v>
      </c>
      <c r="G199" s="26" t="s">
        <v>514</v>
      </c>
      <c r="H199" s="102">
        <f>IFERROR(VLOOKUP($D199,NOMENCLATOR!$A:$F,6,FALSE()),"")*IF(OR($G199="g",$G199="ml"),0.001,1)</f>
        <v>9.8002499999999999E-3</v>
      </c>
      <c r="I199" s="102">
        <f>IFERROR($F199*$H199,"")</f>
        <v>1.61704125</v>
      </c>
    </row>
    <row r="200" spans="1:11" x14ac:dyDescent="0.2">
      <c r="A200" s="26" t="s">
        <v>312</v>
      </c>
      <c r="B200" s="26" t="s">
        <v>104</v>
      </c>
      <c r="C200" s="26" t="s">
        <v>506</v>
      </c>
      <c r="D200" s="26" t="s">
        <v>572</v>
      </c>
      <c r="E200" s="26" t="s">
        <v>573</v>
      </c>
      <c r="F200" s="101">
        <v>14</v>
      </c>
      <c r="G200" s="26" t="s">
        <v>529</v>
      </c>
      <c r="H200" s="102">
        <f>IFERROR(VLOOKUP($D200,NOMENCLATOR!$A:$F,6,FALSE()),"")*IF(OR($G200="g",$G200="ml"),0.001,1)</f>
        <v>0.23816300000000001</v>
      </c>
      <c r="I200" s="102">
        <f>IFERROR($F200*$H200,"")</f>
        <v>3.334282</v>
      </c>
    </row>
    <row r="201" spans="1:11" x14ac:dyDescent="0.2">
      <c r="A201" s="26" t="s">
        <v>312</v>
      </c>
      <c r="B201" s="26" t="s">
        <v>104</v>
      </c>
      <c r="C201" s="26" t="s">
        <v>506</v>
      </c>
      <c r="D201" s="26" t="s">
        <v>580</v>
      </c>
      <c r="E201" s="26" t="s">
        <v>581</v>
      </c>
      <c r="F201" s="101">
        <v>1</v>
      </c>
      <c r="G201" s="26" t="s">
        <v>509</v>
      </c>
      <c r="H201" s="102">
        <f>IFERROR(VLOOKUP($D201,NOMENCLATOR!$A:$F,6,FALSE()),"")*IF(OR($G201="g",$G201="ml"),0.001,1)</f>
        <v>0.49</v>
      </c>
      <c r="I201" s="102">
        <f>IFERROR($F201*$H201,"")</f>
        <v>0.49</v>
      </c>
    </row>
    <row r="202" spans="1:11" x14ac:dyDescent="0.2">
      <c r="A202" s="26" t="s">
        <v>312</v>
      </c>
      <c r="B202" s="26" t="s">
        <v>104</v>
      </c>
      <c r="C202" s="26" t="s">
        <v>506</v>
      </c>
      <c r="D202" s="26" t="s">
        <v>582</v>
      </c>
      <c r="E202" s="26" t="s">
        <v>583</v>
      </c>
      <c r="F202" s="101">
        <v>1</v>
      </c>
      <c r="G202" s="26" t="s">
        <v>509</v>
      </c>
      <c r="H202" s="102">
        <f>IFERROR(VLOOKUP($D202,NOMENCLATOR!$A:$F,6,FALSE()),"")*IF(OR($G202="g",$G202="ml"),0.001,1)</f>
        <v>0.17799999999999999</v>
      </c>
      <c r="I202" s="102">
        <f>IFERROR($F202*$H202,"")</f>
        <v>0.17799999999999999</v>
      </c>
    </row>
    <row r="203" spans="1:11" x14ac:dyDescent="0.2">
      <c r="A203" s="26" t="s">
        <v>312</v>
      </c>
      <c r="B203" s="26" t="s">
        <v>104</v>
      </c>
      <c r="C203" s="26" t="s">
        <v>506</v>
      </c>
      <c r="D203" s="26" t="s">
        <v>578</v>
      </c>
      <c r="E203" s="26" t="s">
        <v>579</v>
      </c>
      <c r="F203" s="101">
        <v>1</v>
      </c>
      <c r="G203" s="26" t="s">
        <v>509</v>
      </c>
      <c r="H203" s="102">
        <f>IFERROR(VLOOKUP($D203,NOMENCLATOR!$A:$F,6,FALSE()),"")*IF(OR($G203="g",$G203="ml"),0.001,1)</f>
        <v>1.2999999999999999E-2</v>
      </c>
      <c r="I203" s="102">
        <f>IFERROR($F203*$H203,"")</f>
        <v>1.2999999999999999E-2</v>
      </c>
    </row>
    <row r="204" spans="1:11" x14ac:dyDescent="0.2">
      <c r="A204" s="103" t="s">
        <v>312</v>
      </c>
      <c r="B204" s="104"/>
      <c r="C204" s="104"/>
      <c r="D204" s="104"/>
      <c r="E204" s="103" t="s">
        <v>510</v>
      </c>
      <c r="F204" s="104"/>
      <c r="G204" s="104"/>
      <c r="H204" s="104"/>
      <c r="I204" s="104"/>
      <c r="J204" s="105">
        <f>SUMIFS($I$199:$I$203,$C$199:$C$203,"AMBELE")+SUMIFS($I$199:$I$203,$C$199:$C$203,"INSTORE")</f>
        <v>5.6323232499999998</v>
      </c>
      <c r="K204" s="105">
        <f>SUMIFS($I$199:$I$203,$C$199:$C$203,"AMBELE")+SUMIFS($I$199:$I$203,$C$199:$C$203,"DELIVERY")</f>
        <v>5.6323232499999998</v>
      </c>
    </row>
    <row r="205" spans="1:11" x14ac:dyDescent="0.2">
      <c r="A205" s="26" t="s">
        <v>280</v>
      </c>
      <c r="B205" s="26" t="s">
        <v>104</v>
      </c>
      <c r="C205" s="26" t="s">
        <v>506</v>
      </c>
      <c r="D205" s="26" t="s">
        <v>572</v>
      </c>
      <c r="E205" s="26" t="s">
        <v>573</v>
      </c>
      <c r="F205" s="101">
        <v>12</v>
      </c>
      <c r="G205" s="26" t="s">
        <v>529</v>
      </c>
      <c r="H205" s="102">
        <f>IFERROR(VLOOKUP($D205,NOMENCLATOR!$A:$F,6,FALSE()),"")*IF(OR($G205="g",$G205="ml"),0.001,1)</f>
        <v>0.23816300000000001</v>
      </c>
      <c r="I205" s="102">
        <f>IFERROR($F205*$H205,"")</f>
        <v>2.8579560000000002</v>
      </c>
    </row>
    <row r="206" spans="1:11" x14ac:dyDescent="0.2">
      <c r="A206" s="26" t="s">
        <v>280</v>
      </c>
      <c r="B206" s="26" t="s">
        <v>104</v>
      </c>
      <c r="C206" s="26" t="s">
        <v>506</v>
      </c>
      <c r="D206" s="26" t="s">
        <v>574</v>
      </c>
      <c r="E206" s="26" t="s">
        <v>575</v>
      </c>
      <c r="F206" s="101">
        <v>1</v>
      </c>
      <c r="G206" s="26" t="s">
        <v>509</v>
      </c>
      <c r="H206" s="102">
        <f>IFERROR(VLOOKUP($D206,NOMENCLATOR!$A:$F,6,FALSE()),"")*IF(OR($G206="g",$G206="ml"),0.001,1)</f>
        <v>0.70499999999999996</v>
      </c>
      <c r="I206" s="102">
        <f>IFERROR($F206*$H206,"")</f>
        <v>0.70499999999999996</v>
      </c>
    </row>
    <row r="207" spans="1:11" x14ac:dyDescent="0.2">
      <c r="A207" s="26" t="s">
        <v>280</v>
      </c>
      <c r="B207" s="26" t="s">
        <v>104</v>
      </c>
      <c r="C207" s="26" t="s">
        <v>506</v>
      </c>
      <c r="D207" s="26" t="s">
        <v>576</v>
      </c>
      <c r="E207" s="26" t="s">
        <v>577</v>
      </c>
      <c r="F207" s="101">
        <v>1</v>
      </c>
      <c r="G207" s="26" t="s">
        <v>509</v>
      </c>
      <c r="H207" s="102">
        <f>IFERROR(VLOOKUP($D207,NOMENCLATOR!$A:$F,6,FALSE()),"")*IF(OR($G207="g",$G207="ml"),0.001,1)</f>
        <v>0.14699999999999999</v>
      </c>
      <c r="I207" s="102">
        <f>IFERROR($F207*$H207,"")</f>
        <v>0.14699999999999999</v>
      </c>
    </row>
    <row r="208" spans="1:11" x14ac:dyDescent="0.2">
      <c r="A208" s="26" t="s">
        <v>280</v>
      </c>
      <c r="B208" s="26" t="s">
        <v>104</v>
      </c>
      <c r="C208" s="26" t="s">
        <v>506</v>
      </c>
      <c r="D208" s="26" t="s">
        <v>578</v>
      </c>
      <c r="E208" s="26" t="s">
        <v>579</v>
      </c>
      <c r="F208" s="101">
        <v>1</v>
      </c>
      <c r="G208" s="26" t="s">
        <v>509</v>
      </c>
      <c r="H208" s="102">
        <f>IFERROR(VLOOKUP($D208,NOMENCLATOR!$A:$F,6,FALSE()),"")*IF(OR($G208="g",$G208="ml"),0.001,1)</f>
        <v>1.2999999999999999E-2</v>
      </c>
      <c r="I208" s="102">
        <f>IFERROR($F208*$H208,"")</f>
        <v>1.2999999999999999E-2</v>
      </c>
    </row>
    <row r="209" spans="1:11" x14ac:dyDescent="0.2">
      <c r="A209" s="26" t="s">
        <v>280</v>
      </c>
      <c r="B209" s="26" t="s">
        <v>104</v>
      </c>
      <c r="C209" s="26" t="s">
        <v>506</v>
      </c>
      <c r="D209" s="26" t="s">
        <v>639</v>
      </c>
      <c r="E209" s="26" t="s">
        <v>640</v>
      </c>
      <c r="F209" s="101">
        <v>150</v>
      </c>
      <c r="G209" s="26" t="s">
        <v>514</v>
      </c>
      <c r="H209" s="102">
        <f>IFERROR(VLOOKUP($D209,NOMENCLATOR!$A:$F,6,FALSE()),"")*IF(OR($G209="g",$G209="ml"),0.001,1)</f>
        <v>9.8002499999999999E-3</v>
      </c>
      <c r="I209" s="102">
        <f>IFERROR($F209*$H209,"")</f>
        <v>1.4700374999999999</v>
      </c>
    </row>
    <row r="210" spans="1:11" x14ac:dyDescent="0.2">
      <c r="A210" s="103" t="s">
        <v>280</v>
      </c>
      <c r="B210" s="104"/>
      <c r="C210" s="104"/>
      <c r="D210" s="104"/>
      <c r="E210" s="103" t="s">
        <v>510</v>
      </c>
      <c r="F210" s="104"/>
      <c r="G210" s="104"/>
      <c r="H210" s="104"/>
      <c r="I210" s="104"/>
      <c r="J210" s="105">
        <f>SUMIFS($I$205:$I$209,$C$205:$C$209,"AMBELE")+SUMIFS($I$205:$I$209,$C$205:$C$209,"INSTORE")</f>
        <v>5.1929935</v>
      </c>
      <c r="K210" s="105">
        <f>SUMIFS($I$205:$I$209,$C$205:$C$209,"AMBELE")+SUMIFS($I$205:$I$209,$C$205:$C$209,"DELIVERY")</f>
        <v>5.1929935</v>
      </c>
    </row>
    <row r="211" spans="1:11" x14ac:dyDescent="0.2">
      <c r="A211" s="26" t="s">
        <v>313</v>
      </c>
      <c r="B211" s="26" t="s">
        <v>104</v>
      </c>
      <c r="C211" s="26" t="s">
        <v>506</v>
      </c>
      <c r="D211" s="26" t="s">
        <v>639</v>
      </c>
      <c r="E211" s="26" t="s">
        <v>640</v>
      </c>
      <c r="F211" s="101">
        <v>165</v>
      </c>
      <c r="G211" s="26" t="s">
        <v>514</v>
      </c>
      <c r="H211" s="102">
        <f>IFERROR(VLOOKUP($D211,NOMENCLATOR!$A:$F,6,FALSE()),"")*IF(OR($G211="g",$G211="ml"),0.001,1)</f>
        <v>9.8002499999999999E-3</v>
      </c>
      <c r="I211" s="102">
        <f>IFERROR($F211*$H211,"")</f>
        <v>1.61704125</v>
      </c>
    </row>
    <row r="212" spans="1:11" x14ac:dyDescent="0.2">
      <c r="A212" s="26" t="s">
        <v>313</v>
      </c>
      <c r="B212" s="26" t="s">
        <v>104</v>
      </c>
      <c r="C212" s="26" t="s">
        <v>506</v>
      </c>
      <c r="D212" s="26" t="s">
        <v>572</v>
      </c>
      <c r="E212" s="26" t="s">
        <v>573</v>
      </c>
      <c r="F212" s="101">
        <v>14</v>
      </c>
      <c r="G212" s="26" t="s">
        <v>529</v>
      </c>
      <c r="H212" s="102">
        <f>IFERROR(VLOOKUP($D212,NOMENCLATOR!$A:$F,6,FALSE()),"")*IF(OR($G212="g",$G212="ml"),0.001,1)</f>
        <v>0.23816300000000001</v>
      </c>
      <c r="I212" s="102">
        <f>IFERROR($F212*$H212,"")</f>
        <v>3.334282</v>
      </c>
    </row>
    <row r="213" spans="1:11" x14ac:dyDescent="0.2">
      <c r="A213" s="26" t="s">
        <v>313</v>
      </c>
      <c r="B213" s="26" t="s">
        <v>104</v>
      </c>
      <c r="C213" s="26" t="s">
        <v>506</v>
      </c>
      <c r="D213" s="26" t="s">
        <v>580</v>
      </c>
      <c r="E213" s="26" t="s">
        <v>581</v>
      </c>
      <c r="F213" s="101">
        <v>1</v>
      </c>
      <c r="G213" s="26" t="s">
        <v>509</v>
      </c>
      <c r="H213" s="102">
        <f>IFERROR(VLOOKUP($D213,NOMENCLATOR!$A:$F,6,FALSE()),"")*IF(OR($G213="g",$G213="ml"),0.001,1)</f>
        <v>0.49</v>
      </c>
      <c r="I213" s="102">
        <f>IFERROR($F213*$H213,"")</f>
        <v>0.49</v>
      </c>
    </row>
    <row r="214" spans="1:11" x14ac:dyDescent="0.2">
      <c r="A214" s="26" t="s">
        <v>313</v>
      </c>
      <c r="B214" s="26" t="s">
        <v>104</v>
      </c>
      <c r="C214" s="26" t="s">
        <v>506</v>
      </c>
      <c r="D214" s="26" t="s">
        <v>582</v>
      </c>
      <c r="E214" s="26" t="s">
        <v>583</v>
      </c>
      <c r="F214" s="101">
        <v>1</v>
      </c>
      <c r="G214" s="26" t="s">
        <v>509</v>
      </c>
      <c r="H214" s="102">
        <f>IFERROR(VLOOKUP($D214,NOMENCLATOR!$A:$F,6,FALSE()),"")*IF(OR($G214="g",$G214="ml"),0.001,1)</f>
        <v>0.17799999999999999</v>
      </c>
      <c r="I214" s="102">
        <f>IFERROR($F214*$H214,"")</f>
        <v>0.17799999999999999</v>
      </c>
    </row>
    <row r="215" spans="1:11" x14ac:dyDescent="0.2">
      <c r="A215" s="26" t="s">
        <v>313</v>
      </c>
      <c r="B215" s="26" t="s">
        <v>104</v>
      </c>
      <c r="C215" s="26" t="s">
        <v>506</v>
      </c>
      <c r="D215" s="26" t="s">
        <v>578</v>
      </c>
      <c r="E215" s="26" t="s">
        <v>579</v>
      </c>
      <c r="F215" s="101">
        <v>1</v>
      </c>
      <c r="G215" s="26" t="s">
        <v>509</v>
      </c>
      <c r="H215" s="102">
        <f>IFERROR(VLOOKUP($D215,NOMENCLATOR!$A:$F,6,FALSE()),"")*IF(OR($G215="g",$G215="ml"),0.001,1)</f>
        <v>1.2999999999999999E-2</v>
      </c>
      <c r="I215" s="102">
        <f>IFERROR($F215*$H215,"")</f>
        <v>1.2999999999999999E-2</v>
      </c>
    </row>
    <row r="216" spans="1:11" x14ac:dyDescent="0.2">
      <c r="A216" s="103" t="s">
        <v>313</v>
      </c>
      <c r="B216" s="104"/>
      <c r="C216" s="104"/>
      <c r="D216" s="104"/>
      <c r="E216" s="103" t="s">
        <v>510</v>
      </c>
      <c r="F216" s="104"/>
      <c r="G216" s="104"/>
      <c r="H216" s="104"/>
      <c r="I216" s="104"/>
      <c r="J216" s="105">
        <f>SUMIFS($I$211:$I$215,$C$211:$C$215,"AMBELE")+SUMIFS($I$211:$I$215,$C$211:$C$215,"INSTORE")</f>
        <v>5.6323232499999998</v>
      </c>
      <c r="K216" s="105">
        <f>SUMIFS($I$211:$I$215,$C$211:$C$215,"AMBELE")+SUMIFS($I$211:$I$215,$C$211:$C$215,"DELIVERY")</f>
        <v>5.6323232499999998</v>
      </c>
    </row>
    <row r="217" spans="1:11" x14ac:dyDescent="0.2">
      <c r="A217" s="26" t="s">
        <v>300</v>
      </c>
      <c r="B217" s="26" t="s">
        <v>104</v>
      </c>
      <c r="C217" s="26" t="s">
        <v>506</v>
      </c>
      <c r="D217" s="26" t="s">
        <v>641</v>
      </c>
      <c r="E217" s="26" t="s">
        <v>642</v>
      </c>
      <c r="F217" s="101">
        <v>5</v>
      </c>
      <c r="G217" s="26" t="s">
        <v>514</v>
      </c>
      <c r="H217" s="102">
        <f>IFERROR(VLOOKUP($D217,NOMENCLATOR!$A:$F,6,FALSE()),"")*IF(OR($G217="g",$G217="ml"),0.001,1)</f>
        <v>7.3291430000000005E-2</v>
      </c>
      <c r="I217" s="102">
        <f t="shared" ref="I217:I223" si="6">IFERROR($F217*$H217,"")</f>
        <v>0.36645715000000001</v>
      </c>
    </row>
    <row r="218" spans="1:11" x14ac:dyDescent="0.2">
      <c r="A218" s="26" t="s">
        <v>300</v>
      </c>
      <c r="B218" s="26" t="s">
        <v>104</v>
      </c>
      <c r="C218" s="26" t="s">
        <v>506</v>
      </c>
      <c r="D218" s="26" t="s">
        <v>639</v>
      </c>
      <c r="E218" s="26" t="s">
        <v>640</v>
      </c>
      <c r="F218" s="101">
        <v>185</v>
      </c>
      <c r="G218" s="26" t="s">
        <v>514</v>
      </c>
      <c r="H218" s="102">
        <f>IFERROR(VLOOKUP($D218,NOMENCLATOR!$A:$F,6,FALSE()),"")*IF(OR($G218="g",$G218="ml"),0.001,1)</f>
        <v>9.8002499999999999E-3</v>
      </c>
      <c r="I218" s="102">
        <f t="shared" si="6"/>
        <v>1.81304625</v>
      </c>
    </row>
    <row r="219" spans="1:11" x14ac:dyDescent="0.2">
      <c r="A219" s="26" t="s">
        <v>300</v>
      </c>
      <c r="B219" s="26" t="s">
        <v>104</v>
      </c>
      <c r="C219" s="26" t="s">
        <v>506</v>
      </c>
      <c r="D219" s="26" t="s">
        <v>572</v>
      </c>
      <c r="E219" s="26" t="s">
        <v>573</v>
      </c>
      <c r="F219" s="101">
        <v>12</v>
      </c>
      <c r="G219" s="26" t="s">
        <v>529</v>
      </c>
      <c r="H219" s="102">
        <f>IFERROR(VLOOKUP($D219,NOMENCLATOR!$A:$F,6,FALSE()),"")*IF(OR($G219="g",$G219="ml"),0.001,1)</f>
        <v>0.23816300000000001</v>
      </c>
      <c r="I219" s="102">
        <f t="shared" si="6"/>
        <v>2.8579560000000002</v>
      </c>
    </row>
    <row r="220" spans="1:11" x14ac:dyDescent="0.2">
      <c r="A220" s="26" t="s">
        <v>300</v>
      </c>
      <c r="B220" s="26" t="s">
        <v>104</v>
      </c>
      <c r="C220" s="26" t="s">
        <v>506</v>
      </c>
      <c r="D220" s="26" t="s">
        <v>580</v>
      </c>
      <c r="E220" s="26" t="s">
        <v>581</v>
      </c>
      <c r="F220" s="101">
        <v>1</v>
      </c>
      <c r="G220" s="26" t="s">
        <v>509</v>
      </c>
      <c r="H220" s="102">
        <f>IFERROR(VLOOKUP($D220,NOMENCLATOR!$A:$F,6,FALSE()),"")*IF(OR($G220="g",$G220="ml"),0.001,1)</f>
        <v>0.49</v>
      </c>
      <c r="I220" s="102">
        <f t="shared" si="6"/>
        <v>0.49</v>
      </c>
    </row>
    <row r="221" spans="1:11" x14ac:dyDescent="0.2">
      <c r="A221" s="26" t="s">
        <v>300</v>
      </c>
      <c r="B221" s="26" t="s">
        <v>104</v>
      </c>
      <c r="C221" s="26" t="s">
        <v>506</v>
      </c>
      <c r="D221" s="26" t="s">
        <v>578</v>
      </c>
      <c r="E221" s="26" t="s">
        <v>579</v>
      </c>
      <c r="F221" s="101">
        <v>1</v>
      </c>
      <c r="G221" s="26" t="s">
        <v>509</v>
      </c>
      <c r="H221" s="102">
        <f>IFERROR(VLOOKUP($D221,NOMENCLATOR!$A:$F,6,FALSE()),"")*IF(OR($G221="g",$G221="ml"),0.001,1)</f>
        <v>1.2999999999999999E-2</v>
      </c>
      <c r="I221" s="102">
        <f t="shared" si="6"/>
        <v>1.2999999999999999E-2</v>
      </c>
    </row>
    <row r="222" spans="1:11" x14ac:dyDescent="0.2">
      <c r="A222" s="26" t="s">
        <v>300</v>
      </c>
      <c r="B222" s="26" t="s">
        <v>104</v>
      </c>
      <c r="C222" s="26" t="s">
        <v>506</v>
      </c>
      <c r="D222" s="26" t="s">
        <v>582</v>
      </c>
      <c r="E222" s="26" t="s">
        <v>583</v>
      </c>
      <c r="F222" s="101">
        <v>1</v>
      </c>
      <c r="G222" s="26" t="s">
        <v>509</v>
      </c>
      <c r="H222" s="102">
        <f>IFERROR(VLOOKUP($D222,NOMENCLATOR!$A:$F,6,FALSE()),"")*IF(OR($G222="g",$G222="ml"),0.001,1)</f>
        <v>0.17799999999999999</v>
      </c>
      <c r="I222" s="102">
        <f t="shared" si="6"/>
        <v>0.17799999999999999</v>
      </c>
    </row>
    <row r="223" spans="1:11" x14ac:dyDescent="0.2">
      <c r="A223" s="26" t="s">
        <v>300</v>
      </c>
      <c r="B223" s="26" t="s">
        <v>104</v>
      </c>
      <c r="C223" s="26" t="s">
        <v>506</v>
      </c>
      <c r="D223" s="26" t="s">
        <v>540</v>
      </c>
      <c r="E223" s="26" t="s">
        <v>541</v>
      </c>
      <c r="F223" s="101">
        <v>20</v>
      </c>
      <c r="G223" s="26" t="s">
        <v>514</v>
      </c>
      <c r="H223" s="102">
        <f>IFERROR(VLOOKUP($D223,NOMENCLATOR!$A:$F,6,FALSE()),"")*IF(OR($G223="g",$G223="ml"),0.001,1)</f>
        <v>6.5083169999999996E-2</v>
      </c>
      <c r="I223" s="102">
        <f t="shared" si="6"/>
        <v>1.3016633999999998</v>
      </c>
    </row>
    <row r="224" spans="1:11" x14ac:dyDescent="0.2">
      <c r="A224" s="103" t="s">
        <v>300</v>
      </c>
      <c r="B224" s="104"/>
      <c r="C224" s="104"/>
      <c r="D224" s="104"/>
      <c r="E224" s="103" t="s">
        <v>510</v>
      </c>
      <c r="F224" s="104"/>
      <c r="G224" s="104"/>
      <c r="H224" s="104"/>
      <c r="I224" s="104"/>
      <c r="J224" s="105">
        <f>SUMIFS($I$217:$I$223,$C$217:$C$223,"AMBELE")+SUMIFS($I$217:$I$223,$C$217:$C$223,"INSTORE")</f>
        <v>7.0201227999999993</v>
      </c>
      <c r="K224" s="105">
        <f>SUMIFS($I$217:$I$223,$C$217:$C$223,"AMBELE")+SUMIFS($I$217:$I$223,$C$217:$C$223,"DELIVERY")</f>
        <v>7.0201227999999993</v>
      </c>
    </row>
    <row r="225" spans="1:11" x14ac:dyDescent="0.2">
      <c r="A225" s="26" t="s">
        <v>311</v>
      </c>
      <c r="B225" s="26" t="s">
        <v>104</v>
      </c>
      <c r="C225" s="26" t="s">
        <v>506</v>
      </c>
      <c r="D225" s="26" t="s">
        <v>643</v>
      </c>
      <c r="E225" s="26" t="s">
        <v>644</v>
      </c>
      <c r="F225" s="101">
        <v>1</v>
      </c>
      <c r="G225" s="26" t="s">
        <v>509</v>
      </c>
      <c r="H225" s="102">
        <f>IFERROR(VLOOKUP($D225,NOMENCLATOR!$A:$F,6,FALSE()),"")*IF(OR($G225="g",$G225="ml"),0.001,1)</f>
        <v>7.9089799999999997</v>
      </c>
      <c r="I225" s="102">
        <f>IFERROR($F225*$H225,"")</f>
        <v>7.9089799999999997</v>
      </c>
    </row>
    <row r="226" spans="1:11" x14ac:dyDescent="0.2">
      <c r="A226" s="26" t="s">
        <v>311</v>
      </c>
      <c r="B226" s="26" t="s">
        <v>104</v>
      </c>
      <c r="C226" s="26" t="s">
        <v>506</v>
      </c>
      <c r="D226" s="26" t="s">
        <v>645</v>
      </c>
      <c r="E226" s="26" t="s">
        <v>646</v>
      </c>
      <c r="F226" s="101">
        <v>1</v>
      </c>
      <c r="G226" s="26" t="s">
        <v>509</v>
      </c>
      <c r="H226" s="102">
        <f>IFERROR(VLOOKUP($D226,NOMENCLATOR!$A:$F,6,FALSE()),"")*IF(OR($G226="g",$G226="ml"),0.001,1)</f>
        <v>0.27</v>
      </c>
      <c r="I226" s="102">
        <f>IFERROR($F226*$H226,"")</f>
        <v>0.27</v>
      </c>
    </row>
    <row r="227" spans="1:11" x14ac:dyDescent="0.2">
      <c r="A227" s="103" t="s">
        <v>311</v>
      </c>
      <c r="B227" s="104"/>
      <c r="C227" s="104"/>
      <c r="D227" s="104"/>
      <c r="E227" s="103" t="s">
        <v>510</v>
      </c>
      <c r="F227" s="104"/>
      <c r="G227" s="104"/>
      <c r="H227" s="104"/>
      <c r="I227" s="104"/>
      <c r="J227" s="105">
        <f>SUMIFS($I$225:$I$226,$C$225:$C$226,"AMBELE")+SUMIFS($I$225:$I$226,$C$225:$C$226,"INSTORE")</f>
        <v>8.1789799999999993</v>
      </c>
      <c r="K227" s="105">
        <f>SUMIFS($I$225:$I$226,$C$225:$C$226,"AMBELE")+SUMIFS($I$225:$I$226,$C$225:$C$226,"DELIVERY")</f>
        <v>8.1789799999999993</v>
      </c>
    </row>
    <row r="228" spans="1:11" x14ac:dyDescent="0.2">
      <c r="A228" s="26" t="s">
        <v>144</v>
      </c>
      <c r="B228" s="26" t="s">
        <v>647</v>
      </c>
      <c r="C228" s="26" t="s">
        <v>506</v>
      </c>
      <c r="D228" s="26" t="s">
        <v>648</v>
      </c>
      <c r="E228" s="26" t="s">
        <v>649</v>
      </c>
      <c r="F228" s="101">
        <v>200</v>
      </c>
      <c r="G228" s="26" t="s">
        <v>529</v>
      </c>
      <c r="H228" s="102">
        <f>IFERROR(VLOOKUP($D228,NOMENCLATOR!$A:$F,6,FALSE()),"")*IF(OR($G228="g",$G228="ml"),0.001,1)</f>
        <v>1.338189E-2</v>
      </c>
      <c r="I228" s="102">
        <f>IFERROR($F228*$H228,"")</f>
        <v>2.6763780000000001</v>
      </c>
    </row>
    <row r="229" spans="1:11" x14ac:dyDescent="0.2">
      <c r="A229" s="26" t="s">
        <v>144</v>
      </c>
      <c r="B229" s="26" t="s">
        <v>647</v>
      </c>
      <c r="C229" s="26" t="s">
        <v>506</v>
      </c>
      <c r="D229" s="26" t="s">
        <v>650</v>
      </c>
      <c r="E229" s="26" t="s">
        <v>651</v>
      </c>
      <c r="F229" s="101">
        <v>1</v>
      </c>
      <c r="G229" s="26" t="s">
        <v>509</v>
      </c>
      <c r="H229" s="102">
        <f>IFERROR(VLOOKUP($D229,NOMENCLATOR!$A:$F,6,FALSE()),"")*IF(OR($G229="g",$G229="ml"),0.001,1)</f>
        <v>0.45300000000000001</v>
      </c>
      <c r="I229" s="102">
        <f>IFERROR($F229*$H229,"")</f>
        <v>0.45300000000000001</v>
      </c>
    </row>
    <row r="230" spans="1:11" x14ac:dyDescent="0.2">
      <c r="A230" s="26" t="s">
        <v>144</v>
      </c>
      <c r="B230" s="26" t="s">
        <v>647</v>
      </c>
      <c r="C230" s="26" t="s">
        <v>506</v>
      </c>
      <c r="D230" s="26" t="s">
        <v>513</v>
      </c>
      <c r="E230" s="26" t="s">
        <v>492</v>
      </c>
      <c r="F230" s="101">
        <v>15</v>
      </c>
      <c r="G230" s="26" t="s">
        <v>514</v>
      </c>
      <c r="H230" s="102">
        <f>IFERROR(VLOOKUP($D230,NOMENCLATOR!$A:$F,6,FALSE()),"")*IF(OR($G230="g",$G230="ml"),0.001,1)</f>
        <v>1.6897059999999998E-2</v>
      </c>
      <c r="I230" s="102">
        <f>IFERROR($F230*$H230,"")</f>
        <v>0.25345589999999996</v>
      </c>
    </row>
    <row r="231" spans="1:11" x14ac:dyDescent="0.2">
      <c r="A231" s="103" t="s">
        <v>144</v>
      </c>
      <c r="B231" s="104"/>
      <c r="C231" s="104"/>
      <c r="D231" s="104"/>
      <c r="E231" s="103" t="s">
        <v>510</v>
      </c>
      <c r="F231" s="104"/>
      <c r="G231" s="104"/>
      <c r="H231" s="104"/>
      <c r="I231" s="104"/>
      <c r="J231" s="105">
        <f>SUMIFS($I$228:$I$230,$C$228:$C$230,"AMBELE")+SUMIFS($I$228:$I$230,$C$228:$C$230,"INSTORE")</f>
        <v>3.3828339000000001</v>
      </c>
      <c r="K231" s="105">
        <f>SUMIFS($I$228:$I$230,$C$228:$C$230,"AMBELE")+SUMIFS($I$228:$I$230,$C$228:$C$230,"DELIVERY")</f>
        <v>3.3828339000000001</v>
      </c>
    </row>
    <row r="232" spans="1:11" x14ac:dyDescent="0.2">
      <c r="A232" s="26" t="s">
        <v>652</v>
      </c>
      <c r="B232" s="26" t="s">
        <v>101</v>
      </c>
      <c r="C232" s="26" t="s">
        <v>506</v>
      </c>
      <c r="D232" s="26" t="s">
        <v>653</v>
      </c>
      <c r="E232" s="26" t="s">
        <v>480</v>
      </c>
      <c r="F232" s="101">
        <v>160</v>
      </c>
      <c r="G232" s="26" t="s">
        <v>529</v>
      </c>
      <c r="H232" s="102">
        <f>IFERROR(VLOOKUP($D232,NOMENCLATOR!$A:$F,6,FALSE()),"")*IF(OR($G232="g",$G232="ml"),0.001,1)</f>
        <v>1.2203060000000002E-2</v>
      </c>
      <c r="I232" s="102">
        <f>IFERROR($F232*$H232,"")</f>
        <v>1.9524896000000003</v>
      </c>
    </row>
    <row r="233" spans="1:11" x14ac:dyDescent="0.2">
      <c r="A233" s="26" t="s">
        <v>652</v>
      </c>
      <c r="B233" s="26" t="s">
        <v>101</v>
      </c>
      <c r="C233" s="26" t="s">
        <v>506</v>
      </c>
      <c r="D233" s="26" t="s">
        <v>654</v>
      </c>
      <c r="E233" s="26" t="s">
        <v>655</v>
      </c>
      <c r="F233" s="101">
        <v>1</v>
      </c>
      <c r="G233" s="26" t="s">
        <v>509</v>
      </c>
      <c r="H233" s="102">
        <f>IFERROR(VLOOKUP($D233,NOMENCLATOR!$A:$F,6,FALSE()),"")*IF(OR($G233="g",$G233="ml"),0.001,1)</f>
        <v>0.182</v>
      </c>
      <c r="I233" s="102">
        <f>IFERROR($F233*$H233,"")</f>
        <v>0.182</v>
      </c>
    </row>
    <row r="234" spans="1:11" x14ac:dyDescent="0.2">
      <c r="A234" s="26" t="s">
        <v>652</v>
      </c>
      <c r="B234" s="26" t="s">
        <v>101</v>
      </c>
      <c r="C234" s="26" t="s">
        <v>506</v>
      </c>
      <c r="D234" s="26" t="s">
        <v>513</v>
      </c>
      <c r="E234" s="26" t="s">
        <v>492</v>
      </c>
      <c r="F234" s="101">
        <v>12</v>
      </c>
      <c r="G234" s="26" t="s">
        <v>514</v>
      </c>
      <c r="H234" s="102">
        <f>IFERROR(VLOOKUP($D234,NOMENCLATOR!$A:$F,6,FALSE()),"")*IF(OR($G234="g",$G234="ml"),0.001,1)</f>
        <v>1.6897059999999998E-2</v>
      </c>
      <c r="I234" s="102">
        <f>IFERROR($F234*$H234,"")</f>
        <v>0.20276471999999998</v>
      </c>
    </row>
    <row r="235" spans="1:11" x14ac:dyDescent="0.2">
      <c r="A235" s="103" t="s">
        <v>652</v>
      </c>
      <c r="B235" s="104"/>
      <c r="C235" s="104"/>
      <c r="D235" s="104"/>
      <c r="E235" s="103" t="s">
        <v>510</v>
      </c>
      <c r="F235" s="104"/>
      <c r="G235" s="104"/>
      <c r="H235" s="104"/>
      <c r="I235" s="104"/>
      <c r="J235" s="105">
        <f>SUMIFS($I$232:$I$234,$C$232:$C$234,"AMBELE")+SUMIFS($I$232:$I$234,$C$232:$C$234,"INSTORE")</f>
        <v>2.33725432</v>
      </c>
      <c r="K235" s="105">
        <f>SUMIFS($I$232:$I$234,$C$232:$C$234,"AMBELE")+SUMIFS($I$232:$I$234,$C$232:$C$234,"DELIVERY")</f>
        <v>2.33725432</v>
      </c>
    </row>
    <row r="236" spans="1:11" x14ac:dyDescent="0.2">
      <c r="A236" s="26" t="s">
        <v>656</v>
      </c>
      <c r="B236" s="26" t="s">
        <v>647</v>
      </c>
      <c r="C236" s="26" t="s">
        <v>657</v>
      </c>
      <c r="D236" s="26" t="s">
        <v>653</v>
      </c>
      <c r="E236" s="26" t="s">
        <v>480</v>
      </c>
      <c r="F236" s="101">
        <v>160</v>
      </c>
      <c r="G236" s="26" t="s">
        <v>529</v>
      </c>
      <c r="H236" s="102">
        <f>IFERROR(VLOOKUP($D236,NOMENCLATOR!$A:$F,6,FALSE()),"")*IF(OR($G236="g",$G236="ml"),0.001,1)</f>
        <v>1.2203060000000002E-2</v>
      </c>
      <c r="I236" s="102">
        <f>IFERROR($F236*$H236,"")</f>
        <v>1.9524896000000003</v>
      </c>
    </row>
    <row r="237" spans="1:11" x14ac:dyDescent="0.2">
      <c r="A237" s="26" t="s">
        <v>656</v>
      </c>
      <c r="B237" s="26" t="s">
        <v>647</v>
      </c>
      <c r="C237" s="26" t="s">
        <v>657</v>
      </c>
      <c r="D237" s="26" t="s">
        <v>654</v>
      </c>
      <c r="E237" s="26" t="s">
        <v>655</v>
      </c>
      <c r="F237" s="101">
        <v>1</v>
      </c>
      <c r="G237" s="26" t="s">
        <v>509</v>
      </c>
      <c r="H237" s="102">
        <f>IFERROR(VLOOKUP($D237,NOMENCLATOR!$A:$F,6,FALSE()),"")*IF(OR($G237="g",$G237="ml"),0.001,1)</f>
        <v>0.182</v>
      </c>
      <c r="I237" s="102">
        <f>IFERROR($F237*$H237,"")</f>
        <v>0.182</v>
      </c>
    </row>
    <row r="238" spans="1:11" x14ac:dyDescent="0.2">
      <c r="A238" s="26" t="s">
        <v>656</v>
      </c>
      <c r="B238" s="26" t="s">
        <v>647</v>
      </c>
      <c r="C238" s="26" t="s">
        <v>657</v>
      </c>
      <c r="D238" s="26" t="s">
        <v>513</v>
      </c>
      <c r="E238" s="26" t="s">
        <v>492</v>
      </c>
      <c r="F238" s="101">
        <v>12</v>
      </c>
      <c r="G238" s="26" t="s">
        <v>514</v>
      </c>
      <c r="H238" s="102">
        <f>IFERROR(VLOOKUP($D238,NOMENCLATOR!$A:$F,6,FALSE()),"")*IF(OR($G238="g",$G238="ml"),0.001,1)</f>
        <v>1.6897059999999998E-2</v>
      </c>
      <c r="I238" s="102">
        <f>IFERROR($F238*$H238,"")</f>
        <v>0.20276471999999998</v>
      </c>
    </row>
    <row r="239" spans="1:11" x14ac:dyDescent="0.2">
      <c r="A239" s="103" t="s">
        <v>656</v>
      </c>
      <c r="B239" s="104"/>
      <c r="C239" s="104"/>
      <c r="D239" s="104"/>
      <c r="E239" s="103" t="s">
        <v>510</v>
      </c>
      <c r="F239" s="104"/>
      <c r="G239" s="104"/>
      <c r="H239" s="104"/>
      <c r="I239" s="104"/>
      <c r="J239" s="105">
        <f>SUMIFS($I$236:$I$238,$C$236:$C$238,"AMBELE")+SUMIFS($I$236:$I$238,$C$236:$C$238,"INSTORE")</f>
        <v>0</v>
      </c>
      <c r="K239" s="105">
        <f>SUMIFS($I$236:$I$238,$C$236:$C$238,"AMBELE")+SUMIFS($I$236:$I$238,$C$236:$C$238,"DELIVERY")</f>
        <v>2.33725432</v>
      </c>
    </row>
    <row r="240" spans="1:11" x14ac:dyDescent="0.2">
      <c r="A240" s="26" t="s">
        <v>658</v>
      </c>
      <c r="B240" s="26" t="s">
        <v>647</v>
      </c>
      <c r="C240" s="26" t="s">
        <v>657</v>
      </c>
      <c r="D240" s="26" t="s">
        <v>659</v>
      </c>
      <c r="E240" s="26" t="s">
        <v>660</v>
      </c>
      <c r="F240" s="101">
        <v>1</v>
      </c>
      <c r="G240" s="26" t="s">
        <v>509</v>
      </c>
      <c r="H240" s="102">
        <f>IFERROR(VLOOKUP($D240,NOMENCLATOR!$A:$F,6,FALSE()),"")*IF(OR($G240="g",$G240="ml"),0.001,1)</f>
        <v>0.157</v>
      </c>
      <c r="I240" s="102">
        <f>IFERROR($F240*$H240,"")</f>
        <v>0.157</v>
      </c>
    </row>
    <row r="241" spans="1:11" x14ac:dyDescent="0.2">
      <c r="A241" s="26" t="s">
        <v>658</v>
      </c>
      <c r="B241" s="26" t="s">
        <v>647</v>
      </c>
      <c r="C241" s="26" t="s">
        <v>657</v>
      </c>
      <c r="D241" s="26" t="s">
        <v>513</v>
      </c>
      <c r="E241" s="26" t="s">
        <v>492</v>
      </c>
      <c r="F241" s="101">
        <v>40.200000000000003</v>
      </c>
      <c r="G241" s="26" t="s">
        <v>514</v>
      </c>
      <c r="H241" s="102">
        <f>IFERROR(VLOOKUP($D241,NOMENCLATOR!$A:$F,6,FALSE()),"")*IF(OR($G241="g",$G241="ml"),0.001,1)</f>
        <v>1.6897059999999998E-2</v>
      </c>
      <c r="I241" s="102">
        <f>IFERROR($F241*$H241,"")</f>
        <v>0.67926181200000002</v>
      </c>
    </row>
    <row r="242" spans="1:11" x14ac:dyDescent="0.2">
      <c r="A242" s="26" t="s">
        <v>658</v>
      </c>
      <c r="B242" s="26" t="s">
        <v>647</v>
      </c>
      <c r="C242" s="26" t="s">
        <v>657</v>
      </c>
      <c r="D242" s="26" t="s">
        <v>653</v>
      </c>
      <c r="E242" s="26" t="s">
        <v>480</v>
      </c>
      <c r="F242" s="101">
        <v>300</v>
      </c>
      <c r="G242" s="26" t="s">
        <v>529</v>
      </c>
      <c r="H242" s="102">
        <f>IFERROR(VLOOKUP($D242,NOMENCLATOR!$A:$F,6,FALSE()),"")*IF(OR($G242="g",$G242="ml"),0.001,1)</f>
        <v>1.2203060000000002E-2</v>
      </c>
      <c r="I242" s="102">
        <f>IFERROR($F242*$H242,"")</f>
        <v>3.6609180000000006</v>
      </c>
    </row>
    <row r="243" spans="1:11" x14ac:dyDescent="0.2">
      <c r="A243" s="103" t="s">
        <v>658</v>
      </c>
      <c r="B243" s="104"/>
      <c r="C243" s="104"/>
      <c r="D243" s="104"/>
      <c r="E243" s="103" t="s">
        <v>510</v>
      </c>
      <c r="F243" s="104"/>
      <c r="G243" s="104"/>
      <c r="H243" s="104"/>
      <c r="I243" s="104"/>
      <c r="J243" s="105">
        <f>SUMIFS($I$240:$I$242,$C$240:$C$242,"AMBELE")+SUMIFS($I$240:$I$242,$C$240:$C$242,"INSTORE")</f>
        <v>0</v>
      </c>
      <c r="K243" s="105">
        <f>SUMIFS($I$240:$I$242,$C$240:$C$242,"AMBELE")+SUMIFS($I$240:$I$242,$C$240:$C$242,"DELIVERY")</f>
        <v>4.4971798120000006</v>
      </c>
    </row>
    <row r="244" spans="1:11" x14ac:dyDescent="0.2">
      <c r="A244" s="26" t="s">
        <v>661</v>
      </c>
      <c r="B244" s="26" t="s">
        <v>647</v>
      </c>
      <c r="C244" s="26" t="s">
        <v>657</v>
      </c>
      <c r="D244" s="26" t="s">
        <v>653</v>
      </c>
      <c r="E244" s="26" t="s">
        <v>480</v>
      </c>
      <c r="F244" s="101">
        <v>358</v>
      </c>
      <c r="G244" s="26" t="s">
        <v>529</v>
      </c>
      <c r="H244" s="102">
        <f>IFERROR(VLOOKUP($D244,NOMENCLATOR!$A:$F,6,FALSE()),"")*IF(OR($G244="g",$G244="ml"),0.001,1)</f>
        <v>1.2203060000000002E-2</v>
      </c>
      <c r="I244" s="102">
        <f>IFERROR($F244*$H244,"")</f>
        <v>4.3686954800000004</v>
      </c>
    </row>
    <row r="245" spans="1:11" x14ac:dyDescent="0.2">
      <c r="A245" s="26" t="s">
        <v>661</v>
      </c>
      <c r="B245" s="26" t="s">
        <v>647</v>
      </c>
      <c r="C245" s="26" t="s">
        <v>657</v>
      </c>
      <c r="D245" s="26" t="s">
        <v>662</v>
      </c>
      <c r="E245" s="26" t="s">
        <v>663</v>
      </c>
      <c r="F245" s="101">
        <v>1</v>
      </c>
      <c r="G245" s="26" t="s">
        <v>509</v>
      </c>
      <c r="H245" s="102">
        <f>IFERROR(VLOOKUP($D245,NOMENCLATOR!$A:$F,6,FALSE()),"")*IF(OR($G245="g",$G245="ml"),0.001,1)</f>
        <v>0.35499999999999998</v>
      </c>
      <c r="I245" s="102">
        <f>IFERROR($F245*$H245,"")</f>
        <v>0.35499999999999998</v>
      </c>
    </row>
    <row r="246" spans="1:11" x14ac:dyDescent="0.2">
      <c r="A246" s="26" t="s">
        <v>661</v>
      </c>
      <c r="B246" s="26" t="s">
        <v>647</v>
      </c>
      <c r="C246" s="26" t="s">
        <v>657</v>
      </c>
      <c r="D246" s="26" t="s">
        <v>513</v>
      </c>
      <c r="E246" s="26" t="s">
        <v>492</v>
      </c>
      <c r="F246" s="101">
        <v>27</v>
      </c>
      <c r="G246" s="26" t="s">
        <v>514</v>
      </c>
      <c r="H246" s="102">
        <f>IFERROR(VLOOKUP($D246,NOMENCLATOR!$A:$F,6,FALSE()),"")*IF(OR($G246="g",$G246="ml"),0.001,1)</f>
        <v>1.6897059999999998E-2</v>
      </c>
      <c r="I246" s="102">
        <f>IFERROR($F246*$H246,"")</f>
        <v>0.45622061999999997</v>
      </c>
    </row>
    <row r="247" spans="1:11" x14ac:dyDescent="0.2">
      <c r="A247" s="103" t="s">
        <v>661</v>
      </c>
      <c r="B247" s="104"/>
      <c r="C247" s="104"/>
      <c r="D247" s="104"/>
      <c r="E247" s="103" t="s">
        <v>510</v>
      </c>
      <c r="F247" s="104"/>
      <c r="G247" s="104"/>
      <c r="H247" s="104"/>
      <c r="I247" s="104"/>
      <c r="J247" s="105">
        <f>SUMIFS($I$244:$I$246,$C$244:$C$246,"AMBELE")+SUMIFS($I$244:$I$246,$C$244:$C$246,"INSTORE")</f>
        <v>0</v>
      </c>
      <c r="K247" s="105">
        <f>SUMIFS($I$244:$I$246,$C$244:$C$246,"AMBELE")+SUMIFS($I$244:$I$246,$C$244:$C$246,"DELIVERY")</f>
        <v>5.1799160999999998</v>
      </c>
    </row>
    <row r="248" spans="1:11" x14ac:dyDescent="0.2">
      <c r="A248" s="26" t="s">
        <v>157</v>
      </c>
      <c r="B248" s="26" t="s">
        <v>566</v>
      </c>
      <c r="C248" s="26" t="s">
        <v>506</v>
      </c>
      <c r="D248" s="26" t="s">
        <v>550</v>
      </c>
      <c r="E248" s="26" t="s">
        <v>551</v>
      </c>
      <c r="F248" s="101">
        <v>1</v>
      </c>
      <c r="G248" s="26" t="s">
        <v>509</v>
      </c>
      <c r="H248" s="102">
        <f>IFERROR(VLOOKUP($D248,NOMENCLATOR!$A:$F,6,FALSE()),"")*IF(OR($G248="g",$G248="ml"),0.001,1)</f>
        <v>2.36</v>
      </c>
      <c r="I248" s="102">
        <f t="shared" ref="I248:I255" si="7">IFERROR($F248*$H248,"")</f>
        <v>2.36</v>
      </c>
    </row>
    <row r="249" spans="1:11" x14ac:dyDescent="0.2">
      <c r="A249" s="26" t="s">
        <v>157</v>
      </c>
      <c r="B249" s="26" t="s">
        <v>566</v>
      </c>
      <c r="C249" s="26" t="s">
        <v>506</v>
      </c>
      <c r="D249" s="26" t="s">
        <v>567</v>
      </c>
      <c r="E249" s="26" t="s">
        <v>489</v>
      </c>
      <c r="F249" s="101">
        <v>1</v>
      </c>
      <c r="G249" s="26" t="s">
        <v>509</v>
      </c>
      <c r="H249" s="102">
        <f>IFERROR(VLOOKUP($D249,NOMENCLATOR!$A:$F,6,FALSE()),"")*IF(OR($G249="g",$G249="ml"),0.001,1)</f>
        <v>3.57</v>
      </c>
      <c r="I249" s="102">
        <f t="shared" si="7"/>
        <v>3.57</v>
      </c>
    </row>
    <row r="250" spans="1:11" x14ac:dyDescent="0.2">
      <c r="A250" s="26" t="s">
        <v>157</v>
      </c>
      <c r="B250" s="26" t="s">
        <v>566</v>
      </c>
      <c r="C250" s="26" t="s">
        <v>506</v>
      </c>
      <c r="D250" s="26" t="s">
        <v>530</v>
      </c>
      <c r="E250" s="26" t="s">
        <v>531</v>
      </c>
      <c r="F250" s="101">
        <v>1</v>
      </c>
      <c r="G250" s="26" t="s">
        <v>509</v>
      </c>
      <c r="H250" s="102">
        <f>IFERROR(VLOOKUP($D250,NOMENCLATOR!$A:$F,6,FALSE()),"")*IF(OR($G250="g",$G250="ml"),0.001,1)</f>
        <v>0.63</v>
      </c>
      <c r="I250" s="102">
        <f t="shared" si="7"/>
        <v>0.63</v>
      </c>
    </row>
    <row r="251" spans="1:11" x14ac:dyDescent="0.2">
      <c r="A251" s="26" t="s">
        <v>157</v>
      </c>
      <c r="B251" s="26" t="s">
        <v>566</v>
      </c>
      <c r="C251" s="26" t="s">
        <v>506</v>
      </c>
      <c r="D251" s="26" t="s">
        <v>664</v>
      </c>
      <c r="E251" s="26" t="s">
        <v>665</v>
      </c>
      <c r="F251" s="101">
        <v>1</v>
      </c>
      <c r="G251" s="26" t="s">
        <v>509</v>
      </c>
      <c r="H251" s="102">
        <f>IFERROR(VLOOKUP($D251,NOMENCLATOR!$A:$F,6,FALSE()),"")*IF(OR($G251="g",$G251="ml"),0.001,1)</f>
        <v>0.111</v>
      </c>
      <c r="I251" s="102">
        <f t="shared" si="7"/>
        <v>0.111</v>
      </c>
    </row>
    <row r="252" spans="1:11" x14ac:dyDescent="0.2">
      <c r="A252" s="26" t="s">
        <v>157</v>
      </c>
      <c r="B252" s="26" t="s">
        <v>566</v>
      </c>
      <c r="C252" s="26" t="s">
        <v>506</v>
      </c>
      <c r="D252" s="26" t="s">
        <v>629</v>
      </c>
      <c r="E252" s="26" t="s">
        <v>630</v>
      </c>
      <c r="F252" s="101">
        <v>10</v>
      </c>
      <c r="G252" s="26" t="s">
        <v>514</v>
      </c>
      <c r="H252" s="102">
        <f>IFERROR(VLOOKUP($D252,NOMENCLATOR!$A:$F,6,FALSE()),"")*IF(OR($G252="g",$G252="ml"),0.001,1)</f>
        <v>2.2149310000000002E-2</v>
      </c>
      <c r="I252" s="102">
        <f t="shared" si="7"/>
        <v>0.22149310000000003</v>
      </c>
    </row>
    <row r="253" spans="1:11" x14ac:dyDescent="0.2">
      <c r="A253" s="26" t="s">
        <v>157</v>
      </c>
      <c r="B253" s="26" t="s">
        <v>566</v>
      </c>
      <c r="C253" s="26" t="s">
        <v>506</v>
      </c>
      <c r="D253" s="26" t="s">
        <v>666</v>
      </c>
      <c r="E253" s="26" t="s">
        <v>667</v>
      </c>
      <c r="F253" s="101">
        <v>0.7</v>
      </c>
      <c r="G253" s="26" t="s">
        <v>514</v>
      </c>
      <c r="H253" s="102">
        <f>IFERROR(VLOOKUP($D253,NOMENCLATOR!$A:$F,6,FALSE()),"")*IF(OR($G253="g",$G253="ml"),0.001,1)</f>
        <v>3.3000000000000002E-2</v>
      </c>
      <c r="I253" s="102">
        <f t="shared" si="7"/>
        <v>2.3099999999999999E-2</v>
      </c>
    </row>
    <row r="254" spans="1:11" x14ac:dyDescent="0.2">
      <c r="A254" s="26" t="s">
        <v>157</v>
      </c>
      <c r="B254" s="26" t="s">
        <v>566</v>
      </c>
      <c r="C254" s="26" t="s">
        <v>506</v>
      </c>
      <c r="D254" s="26" t="s">
        <v>668</v>
      </c>
      <c r="E254" s="26" t="s">
        <v>669</v>
      </c>
      <c r="F254" s="101">
        <v>5</v>
      </c>
      <c r="G254" s="26" t="s">
        <v>529</v>
      </c>
      <c r="H254" s="102">
        <f>IFERROR(VLOOKUP($D254,NOMENCLATOR!$A:$F,6,FALSE()),"")*IF(OR($G254="g",$G254="ml"),0.001,1)</f>
        <v>7.0000000000000001E-3</v>
      </c>
      <c r="I254" s="102">
        <f t="shared" si="7"/>
        <v>3.5000000000000003E-2</v>
      </c>
    </row>
    <row r="255" spans="1:11" x14ac:dyDescent="0.2">
      <c r="A255" s="26" t="s">
        <v>157</v>
      </c>
      <c r="B255" s="26" t="s">
        <v>566</v>
      </c>
      <c r="C255" s="26" t="s">
        <v>506</v>
      </c>
      <c r="D255" s="26" t="s">
        <v>634</v>
      </c>
      <c r="E255" s="26" t="s">
        <v>635</v>
      </c>
      <c r="F255" s="101">
        <v>2.8</v>
      </c>
      <c r="G255" s="26" t="s">
        <v>529</v>
      </c>
      <c r="H255" s="102">
        <f>IFERROR(VLOOKUP($D255,NOMENCLATOR!$A:$F,6,FALSE()),"")*IF(OR($G255="g",$G255="ml"),0.001,1)</f>
        <v>1.554E-2</v>
      </c>
      <c r="I255" s="102">
        <f t="shared" si="7"/>
        <v>4.3511999999999995E-2</v>
      </c>
    </row>
    <row r="256" spans="1:11" x14ac:dyDescent="0.2">
      <c r="A256" s="103" t="s">
        <v>157</v>
      </c>
      <c r="B256" s="104"/>
      <c r="C256" s="104"/>
      <c r="D256" s="104"/>
      <c r="E256" s="103" t="s">
        <v>510</v>
      </c>
      <c r="F256" s="104"/>
      <c r="G256" s="104"/>
      <c r="H256" s="104"/>
      <c r="I256" s="104"/>
      <c r="J256" s="105">
        <f>SUMIFS($I$248:$I$255,$C$248:$C$255,"AMBELE")+SUMIFS($I$248:$I$255,$C$248:$C$255,"INSTORE")</f>
        <v>6.9941050999999996</v>
      </c>
      <c r="K256" s="105">
        <f>SUMIFS($I$248:$I$255,$C$248:$C$255,"AMBELE")+SUMIFS($I$248:$I$255,$C$248:$C$255,"DELIVERY")</f>
        <v>6.9941050999999996</v>
      </c>
    </row>
    <row r="257" spans="1:11" x14ac:dyDescent="0.2">
      <c r="A257" s="26" t="s">
        <v>265</v>
      </c>
      <c r="B257" s="26" t="s">
        <v>104</v>
      </c>
      <c r="C257" s="26" t="s">
        <v>506</v>
      </c>
      <c r="D257" s="26" t="s">
        <v>670</v>
      </c>
      <c r="E257" s="26" t="s">
        <v>671</v>
      </c>
      <c r="F257" s="101">
        <v>1</v>
      </c>
      <c r="G257" s="26" t="s">
        <v>509</v>
      </c>
      <c r="H257" s="102">
        <f>IFERROR(VLOOKUP($D257,NOMENCLATOR!$A:$F,6,FALSE()),"")*IF(OR($G257="g",$G257="ml"),0.001,1)</f>
        <v>9.1890099999999997</v>
      </c>
      <c r="I257" s="102">
        <f>IFERROR($F257*$H257,"")</f>
        <v>9.1890099999999997</v>
      </c>
    </row>
    <row r="258" spans="1:11" x14ac:dyDescent="0.2">
      <c r="A258" s="26" t="s">
        <v>265</v>
      </c>
      <c r="B258" s="26" t="s">
        <v>104</v>
      </c>
      <c r="C258" s="26" t="s">
        <v>506</v>
      </c>
      <c r="D258" s="26" t="s">
        <v>645</v>
      </c>
      <c r="E258" s="26" t="s">
        <v>646</v>
      </c>
      <c r="F258" s="101">
        <v>1</v>
      </c>
      <c r="G258" s="26" t="s">
        <v>509</v>
      </c>
      <c r="H258" s="102">
        <f>IFERROR(VLOOKUP($D258,NOMENCLATOR!$A:$F,6,FALSE()),"")*IF(OR($G258="g",$G258="ml"),0.001,1)</f>
        <v>0.27</v>
      </c>
      <c r="I258" s="102">
        <f>IFERROR($F258*$H258,"")</f>
        <v>0.27</v>
      </c>
    </row>
    <row r="259" spans="1:11" x14ac:dyDescent="0.2">
      <c r="A259" s="103" t="s">
        <v>265</v>
      </c>
      <c r="B259" s="104"/>
      <c r="C259" s="104"/>
      <c r="D259" s="104"/>
      <c r="E259" s="103" t="s">
        <v>510</v>
      </c>
      <c r="F259" s="104"/>
      <c r="G259" s="104"/>
      <c r="H259" s="104"/>
      <c r="I259" s="104"/>
      <c r="J259" s="105">
        <f>SUMIFS($I$257:$I$258,$C$257:$C$258,"AMBELE")+SUMIFS($I$257:$I$258,$C$257:$C$258,"INSTORE")</f>
        <v>9.4590099999999993</v>
      </c>
      <c r="K259" s="105">
        <f>SUMIFS($I$257:$I$258,$C$257:$C$258,"AMBELE")+SUMIFS($I$257:$I$258,$C$257:$C$258,"DELIVERY")</f>
        <v>9.4590099999999993</v>
      </c>
    </row>
    <row r="260" spans="1:11" x14ac:dyDescent="0.2">
      <c r="A260" s="26" t="s">
        <v>249</v>
      </c>
      <c r="B260" s="26" t="s">
        <v>672</v>
      </c>
      <c r="C260" s="26" t="s">
        <v>539</v>
      </c>
      <c r="D260" s="26" t="s">
        <v>562</v>
      </c>
      <c r="E260" s="26" t="s">
        <v>563</v>
      </c>
      <c r="F260" s="101">
        <v>1</v>
      </c>
      <c r="G260" s="26" t="s">
        <v>509</v>
      </c>
      <c r="H260" s="102">
        <f>IFERROR(VLOOKUP($D260,NOMENCLATOR!$A:$F,6,FALSE()),"")*IF(OR($G260="g",$G260="ml"),0.001,1)</f>
        <v>1.1499999999999999</v>
      </c>
      <c r="I260" s="102">
        <f t="shared" ref="I260:I265" si="8">IFERROR($F260*$H260,"")</f>
        <v>1.1499999999999999</v>
      </c>
    </row>
    <row r="261" spans="1:11" x14ac:dyDescent="0.2">
      <c r="A261" s="26" t="s">
        <v>249</v>
      </c>
      <c r="B261" s="26" t="s">
        <v>672</v>
      </c>
      <c r="C261" s="26" t="s">
        <v>539</v>
      </c>
      <c r="D261" s="26" t="s">
        <v>550</v>
      </c>
      <c r="E261" s="26" t="s">
        <v>551</v>
      </c>
      <c r="F261" s="101">
        <v>1</v>
      </c>
      <c r="G261" s="26" t="s">
        <v>509</v>
      </c>
      <c r="H261" s="102">
        <f>IFERROR(VLOOKUP($D261,NOMENCLATOR!$A:$F,6,FALSE()),"")*IF(OR($G261="g",$G261="ml"),0.001,1)</f>
        <v>2.36</v>
      </c>
      <c r="I261" s="102">
        <f t="shared" si="8"/>
        <v>2.36</v>
      </c>
    </row>
    <row r="262" spans="1:11" x14ac:dyDescent="0.2">
      <c r="A262" s="26" t="s">
        <v>249</v>
      </c>
      <c r="B262" s="26" t="s">
        <v>672</v>
      </c>
      <c r="C262" s="26" t="s">
        <v>539</v>
      </c>
      <c r="D262" s="26" t="s">
        <v>673</v>
      </c>
      <c r="E262" s="26" t="s">
        <v>674</v>
      </c>
      <c r="F262" s="101">
        <v>50</v>
      </c>
      <c r="G262" s="26" t="s">
        <v>529</v>
      </c>
      <c r="H262" s="102">
        <f>IFERROR(VLOOKUP($D262,NOMENCLATOR!$A:$F,6,FALSE()),"")*IF(OR($G262="g",$G262="ml"),0.001,1)</f>
        <v>1.8940000000000002E-2</v>
      </c>
      <c r="I262" s="102">
        <f t="shared" si="8"/>
        <v>0.94700000000000006</v>
      </c>
    </row>
    <row r="263" spans="1:11" x14ac:dyDescent="0.2">
      <c r="A263" s="26" t="s">
        <v>249</v>
      </c>
      <c r="B263" s="26" t="s">
        <v>672</v>
      </c>
      <c r="C263" s="26" t="s">
        <v>539</v>
      </c>
      <c r="D263" s="26" t="s">
        <v>675</v>
      </c>
      <c r="E263" s="26" t="s">
        <v>676</v>
      </c>
      <c r="F263" s="101">
        <v>10</v>
      </c>
      <c r="G263" s="26" t="s">
        <v>529</v>
      </c>
      <c r="H263" s="102">
        <f>IFERROR(VLOOKUP($D263,NOMENCLATOR!$A:$F,6,FALSE()),"")*IF(OR($G263="g",$G263="ml"),0.001,1)</f>
        <v>2.6133800000000002E-2</v>
      </c>
      <c r="I263" s="102">
        <f t="shared" si="8"/>
        <v>0.26133800000000001</v>
      </c>
    </row>
    <row r="264" spans="1:11" x14ac:dyDescent="0.2">
      <c r="A264" s="26" t="s">
        <v>249</v>
      </c>
      <c r="B264" s="26" t="s">
        <v>672</v>
      </c>
      <c r="C264" s="26" t="s">
        <v>539</v>
      </c>
      <c r="D264" s="26" t="s">
        <v>634</v>
      </c>
      <c r="E264" s="26" t="s">
        <v>635</v>
      </c>
      <c r="F264" s="101">
        <v>5.6</v>
      </c>
      <c r="G264" s="26" t="s">
        <v>529</v>
      </c>
      <c r="H264" s="102">
        <f>IFERROR(VLOOKUP($D264,NOMENCLATOR!$A:$F,6,FALSE()),"")*IF(OR($G264="g",$G264="ml"),0.001,1)</f>
        <v>1.554E-2</v>
      </c>
      <c r="I264" s="102">
        <f t="shared" si="8"/>
        <v>8.702399999999999E-2</v>
      </c>
    </row>
    <row r="265" spans="1:11" x14ac:dyDescent="0.2">
      <c r="A265" s="26" t="s">
        <v>249</v>
      </c>
      <c r="B265" s="26" t="s">
        <v>672</v>
      </c>
      <c r="C265" s="26" t="s">
        <v>539</v>
      </c>
      <c r="D265" s="26" t="s">
        <v>560</v>
      </c>
      <c r="E265" s="26" t="s">
        <v>561</v>
      </c>
      <c r="F265" s="101">
        <v>1</v>
      </c>
      <c r="G265" s="26" t="s">
        <v>509</v>
      </c>
      <c r="H265" s="102">
        <f>IFERROR(VLOOKUP($D265,NOMENCLATOR!$A:$F,6,FALSE()),"")*IF(OR($G265="g",$G265="ml"),0.001,1)</f>
        <v>0.106</v>
      </c>
      <c r="I265" s="102">
        <f t="shared" si="8"/>
        <v>0.106</v>
      </c>
    </row>
    <row r="266" spans="1:11" x14ac:dyDescent="0.2">
      <c r="A266" s="103" t="s">
        <v>249</v>
      </c>
      <c r="B266" s="104"/>
      <c r="C266" s="104"/>
      <c r="D266" s="104"/>
      <c r="E266" s="103" t="s">
        <v>510</v>
      </c>
      <c r="F266" s="104"/>
      <c r="G266" s="104"/>
      <c r="H266" s="104"/>
      <c r="I266" s="104"/>
      <c r="J266" s="105">
        <f>SUMIFS($I$260:$I$265,$C$260:$C$265,"AMBELE")+SUMIFS($I$260:$I$265,$C$260:$C$265,"INSTORE")</f>
        <v>4.9113620000000004</v>
      </c>
      <c r="K266" s="105">
        <f>SUMIFS($I$260:$I$265,$C$260:$C$265,"AMBELE")+SUMIFS($I$260:$I$265,$C$260:$C$265,"DELIVERY")</f>
        <v>0</v>
      </c>
    </row>
    <row r="267" spans="1:11" x14ac:dyDescent="0.2">
      <c r="A267" s="26" t="s">
        <v>174</v>
      </c>
      <c r="B267" s="26" t="s">
        <v>677</v>
      </c>
      <c r="C267" s="26" t="s">
        <v>506</v>
      </c>
      <c r="D267" s="26" t="s">
        <v>550</v>
      </c>
      <c r="E267" s="26" t="s">
        <v>551</v>
      </c>
      <c r="F267" s="101">
        <v>1</v>
      </c>
      <c r="G267" s="26" t="s">
        <v>509</v>
      </c>
      <c r="H267" s="102">
        <f>IFERROR(VLOOKUP($D267,NOMENCLATOR!$A:$F,6,FALSE()),"")*IF(OR($G267="g",$G267="ml"),0.001,1)</f>
        <v>2.36</v>
      </c>
      <c r="I267" s="102">
        <f t="shared" ref="I267:I273" si="9">IFERROR($F267*$H267,"")</f>
        <v>2.36</v>
      </c>
    </row>
    <row r="268" spans="1:11" x14ac:dyDescent="0.2">
      <c r="A268" s="26" t="s">
        <v>174</v>
      </c>
      <c r="B268" s="26" t="s">
        <v>677</v>
      </c>
      <c r="C268" s="26" t="s">
        <v>506</v>
      </c>
      <c r="D268" s="26" t="s">
        <v>562</v>
      </c>
      <c r="E268" s="26" t="s">
        <v>563</v>
      </c>
      <c r="F268" s="101">
        <v>1</v>
      </c>
      <c r="G268" s="26" t="s">
        <v>509</v>
      </c>
      <c r="H268" s="102">
        <f>IFERROR(VLOOKUP($D268,NOMENCLATOR!$A:$F,6,FALSE()),"")*IF(OR($G268="g",$G268="ml"),0.001,1)</f>
        <v>1.1499999999999999</v>
      </c>
      <c r="I268" s="102">
        <f t="shared" si="9"/>
        <v>1.1499999999999999</v>
      </c>
    </row>
    <row r="269" spans="1:11" x14ac:dyDescent="0.2">
      <c r="A269" s="26" t="s">
        <v>174</v>
      </c>
      <c r="B269" s="26" t="s">
        <v>677</v>
      </c>
      <c r="C269" s="26" t="s">
        <v>506</v>
      </c>
      <c r="D269" s="26" t="s">
        <v>513</v>
      </c>
      <c r="E269" s="26" t="s">
        <v>492</v>
      </c>
      <c r="F269" s="101">
        <v>20</v>
      </c>
      <c r="G269" s="26" t="s">
        <v>514</v>
      </c>
      <c r="H269" s="102">
        <f>IFERROR(VLOOKUP($D269,NOMENCLATOR!$A:$F,6,FALSE()),"")*IF(OR($G269="g",$G269="ml"),0.001,1)</f>
        <v>1.6897059999999998E-2</v>
      </c>
      <c r="I269" s="102">
        <f t="shared" si="9"/>
        <v>0.33794119999999994</v>
      </c>
    </row>
    <row r="270" spans="1:11" x14ac:dyDescent="0.2">
      <c r="A270" s="26" t="s">
        <v>174</v>
      </c>
      <c r="B270" s="26" t="s">
        <v>677</v>
      </c>
      <c r="C270" s="26" t="s">
        <v>506</v>
      </c>
      <c r="D270" s="26" t="s">
        <v>678</v>
      </c>
      <c r="E270" s="26" t="s">
        <v>679</v>
      </c>
      <c r="F270" s="101">
        <v>15</v>
      </c>
      <c r="G270" s="26" t="s">
        <v>529</v>
      </c>
      <c r="H270" s="102">
        <f>IFERROR(VLOOKUP($D270,NOMENCLATOR!$A:$F,6,FALSE()),"")*IF(OR($G270="g",$G270="ml"),0.001,1)</f>
        <v>4.0739370000000004E-2</v>
      </c>
      <c r="I270" s="102">
        <f t="shared" si="9"/>
        <v>0.61109055000000001</v>
      </c>
    </row>
    <row r="271" spans="1:11" x14ac:dyDescent="0.2">
      <c r="A271" s="26" t="s">
        <v>174</v>
      </c>
      <c r="B271" s="26" t="s">
        <v>677</v>
      </c>
      <c r="C271" s="26" t="s">
        <v>506</v>
      </c>
      <c r="D271" s="26" t="s">
        <v>634</v>
      </c>
      <c r="E271" s="26" t="s">
        <v>635</v>
      </c>
      <c r="F271" s="101">
        <v>5.6</v>
      </c>
      <c r="G271" s="26" t="s">
        <v>529</v>
      </c>
      <c r="H271" s="102">
        <f>IFERROR(VLOOKUP($D271,NOMENCLATOR!$A:$F,6,FALSE()),"")*IF(OR($G271="g",$G271="ml"),0.001,1)</f>
        <v>1.554E-2</v>
      </c>
      <c r="I271" s="102">
        <f t="shared" si="9"/>
        <v>8.702399999999999E-2</v>
      </c>
    </row>
    <row r="272" spans="1:11" x14ac:dyDescent="0.2">
      <c r="A272" s="26" t="s">
        <v>174</v>
      </c>
      <c r="B272" s="26" t="s">
        <v>677</v>
      </c>
      <c r="C272" s="26" t="s">
        <v>506</v>
      </c>
      <c r="D272" s="26" t="s">
        <v>558</v>
      </c>
      <c r="E272" s="26" t="s">
        <v>559</v>
      </c>
      <c r="F272" s="101">
        <v>10</v>
      </c>
      <c r="G272" s="26" t="s">
        <v>529</v>
      </c>
      <c r="H272" s="102">
        <f>IFERROR(VLOOKUP($D272,NOMENCLATOR!$A:$F,6,FALSE()),"")*IF(OR($G272="g",$G272="ml"),0.001,1)</f>
        <v>3.6000000000000004E-2</v>
      </c>
      <c r="I272" s="102">
        <f t="shared" si="9"/>
        <v>0.36000000000000004</v>
      </c>
    </row>
    <row r="273" spans="1:11" x14ac:dyDescent="0.2">
      <c r="A273" s="26" t="s">
        <v>174</v>
      </c>
      <c r="B273" s="26" t="s">
        <v>677</v>
      </c>
      <c r="C273" s="26" t="s">
        <v>506</v>
      </c>
      <c r="D273" s="26" t="s">
        <v>664</v>
      </c>
      <c r="E273" s="26" t="s">
        <v>665</v>
      </c>
      <c r="F273" s="101">
        <v>1</v>
      </c>
      <c r="G273" s="26" t="s">
        <v>509</v>
      </c>
      <c r="H273" s="102">
        <f>IFERROR(VLOOKUP($D273,NOMENCLATOR!$A:$F,6,FALSE()),"")*IF(OR($G273="g",$G273="ml"),0.001,1)</f>
        <v>0.111</v>
      </c>
      <c r="I273" s="102">
        <f t="shared" si="9"/>
        <v>0.111</v>
      </c>
    </row>
    <row r="274" spans="1:11" x14ac:dyDescent="0.2">
      <c r="A274" s="103" t="s">
        <v>174</v>
      </c>
      <c r="B274" s="104"/>
      <c r="C274" s="104"/>
      <c r="D274" s="104"/>
      <c r="E274" s="103" t="s">
        <v>510</v>
      </c>
      <c r="F274" s="104"/>
      <c r="G274" s="104"/>
      <c r="H274" s="104"/>
      <c r="I274" s="104"/>
      <c r="J274" s="105">
        <f>SUMIFS($I$267:$I$273,$C$267:$C$273,"AMBELE")+SUMIFS($I$267:$I$273,$C$267:$C$273,"INSTORE")</f>
        <v>5.017055749999999</v>
      </c>
      <c r="K274" s="105">
        <f>SUMIFS($I$267:$I$273,$C$267:$C$273,"AMBELE")+SUMIFS($I$267:$I$273,$C$267:$C$273,"DELIVERY")</f>
        <v>5.017055749999999</v>
      </c>
    </row>
    <row r="275" spans="1:11" x14ac:dyDescent="0.2">
      <c r="A275" s="26" t="s">
        <v>183</v>
      </c>
      <c r="B275" s="26" t="s">
        <v>677</v>
      </c>
      <c r="C275" s="26" t="s">
        <v>506</v>
      </c>
      <c r="D275" s="26" t="s">
        <v>550</v>
      </c>
      <c r="E275" s="26" t="s">
        <v>551</v>
      </c>
      <c r="F275" s="101">
        <v>1</v>
      </c>
      <c r="G275" s="26" t="s">
        <v>509</v>
      </c>
      <c r="H275" s="102">
        <f>IFERROR(VLOOKUP($D275,NOMENCLATOR!$A:$F,6,FALSE()),"")*IF(OR($G275="g",$G275="ml"),0.001,1)</f>
        <v>2.36</v>
      </c>
      <c r="I275" s="102">
        <f t="shared" ref="I275:I281" si="10">IFERROR($F275*$H275,"")</f>
        <v>2.36</v>
      </c>
    </row>
    <row r="276" spans="1:11" x14ac:dyDescent="0.2">
      <c r="A276" s="26" t="s">
        <v>183</v>
      </c>
      <c r="B276" s="26" t="s">
        <v>677</v>
      </c>
      <c r="C276" s="26" t="s">
        <v>506</v>
      </c>
      <c r="D276" s="26" t="s">
        <v>562</v>
      </c>
      <c r="E276" s="26" t="s">
        <v>563</v>
      </c>
      <c r="F276" s="101">
        <v>1</v>
      </c>
      <c r="G276" s="26" t="s">
        <v>509</v>
      </c>
      <c r="H276" s="102">
        <f>IFERROR(VLOOKUP($D276,NOMENCLATOR!$A:$F,6,FALSE()),"")*IF(OR($G276="g",$G276="ml"),0.001,1)</f>
        <v>1.1499999999999999</v>
      </c>
      <c r="I276" s="102">
        <f t="shared" si="10"/>
        <v>1.1499999999999999</v>
      </c>
    </row>
    <row r="277" spans="1:11" x14ac:dyDescent="0.2">
      <c r="A277" s="26" t="s">
        <v>183</v>
      </c>
      <c r="B277" s="26" t="s">
        <v>677</v>
      </c>
      <c r="C277" s="26" t="s">
        <v>506</v>
      </c>
      <c r="D277" s="26" t="s">
        <v>513</v>
      </c>
      <c r="E277" s="26" t="s">
        <v>492</v>
      </c>
      <c r="F277" s="101">
        <v>20</v>
      </c>
      <c r="G277" s="26" t="s">
        <v>514</v>
      </c>
      <c r="H277" s="102">
        <f>IFERROR(VLOOKUP($D277,NOMENCLATOR!$A:$F,6,FALSE()),"")*IF(OR($G277="g",$G277="ml"),0.001,1)</f>
        <v>1.6897059999999998E-2</v>
      </c>
      <c r="I277" s="102">
        <f t="shared" si="10"/>
        <v>0.33794119999999994</v>
      </c>
    </row>
    <row r="278" spans="1:11" x14ac:dyDescent="0.2">
      <c r="A278" s="26" t="s">
        <v>183</v>
      </c>
      <c r="B278" s="26" t="s">
        <v>677</v>
      </c>
      <c r="C278" s="26" t="s">
        <v>506</v>
      </c>
      <c r="D278" s="26" t="s">
        <v>680</v>
      </c>
      <c r="E278" s="26" t="s">
        <v>681</v>
      </c>
      <c r="F278" s="101">
        <v>15</v>
      </c>
      <c r="G278" s="26" t="s">
        <v>514</v>
      </c>
      <c r="H278" s="102">
        <f>IFERROR(VLOOKUP($D278,NOMENCLATOR!$A:$F,6,FALSE()),"")*IF(OR($G278="g",$G278="ml"),0.001,1)</f>
        <v>4.6999270000000003E-2</v>
      </c>
      <c r="I278" s="102">
        <f t="shared" si="10"/>
        <v>0.70498905000000001</v>
      </c>
    </row>
    <row r="279" spans="1:11" x14ac:dyDescent="0.2">
      <c r="A279" s="26" t="s">
        <v>183</v>
      </c>
      <c r="B279" s="26" t="s">
        <v>677</v>
      </c>
      <c r="C279" s="26" t="s">
        <v>506</v>
      </c>
      <c r="D279" s="26" t="s">
        <v>634</v>
      </c>
      <c r="E279" s="26" t="s">
        <v>635</v>
      </c>
      <c r="F279" s="101">
        <v>5.6</v>
      </c>
      <c r="G279" s="26" t="s">
        <v>529</v>
      </c>
      <c r="H279" s="102">
        <f>IFERROR(VLOOKUP($D279,NOMENCLATOR!$A:$F,6,FALSE()),"")*IF(OR($G279="g",$G279="ml"),0.001,1)</f>
        <v>1.554E-2</v>
      </c>
      <c r="I279" s="102">
        <f t="shared" si="10"/>
        <v>8.702399999999999E-2</v>
      </c>
    </row>
    <row r="280" spans="1:11" x14ac:dyDescent="0.2">
      <c r="A280" s="26" t="s">
        <v>183</v>
      </c>
      <c r="B280" s="26" t="s">
        <v>677</v>
      </c>
      <c r="C280" s="26" t="s">
        <v>506</v>
      </c>
      <c r="D280" s="26" t="s">
        <v>558</v>
      </c>
      <c r="E280" s="26" t="s">
        <v>559</v>
      </c>
      <c r="F280" s="101">
        <v>10</v>
      </c>
      <c r="G280" s="26" t="s">
        <v>529</v>
      </c>
      <c r="H280" s="102">
        <f>IFERROR(VLOOKUP($D280,NOMENCLATOR!$A:$F,6,FALSE()),"")*IF(OR($G280="g",$G280="ml"),0.001,1)</f>
        <v>3.6000000000000004E-2</v>
      </c>
      <c r="I280" s="102">
        <f t="shared" si="10"/>
        <v>0.36000000000000004</v>
      </c>
    </row>
    <row r="281" spans="1:11" x14ac:dyDescent="0.2">
      <c r="A281" s="26" t="s">
        <v>183</v>
      </c>
      <c r="B281" s="26" t="s">
        <v>677</v>
      </c>
      <c r="C281" s="26" t="s">
        <v>506</v>
      </c>
      <c r="D281" s="26" t="s">
        <v>664</v>
      </c>
      <c r="E281" s="26" t="s">
        <v>665</v>
      </c>
      <c r="F281" s="101">
        <v>1</v>
      </c>
      <c r="G281" s="26" t="s">
        <v>509</v>
      </c>
      <c r="H281" s="102">
        <f>IFERROR(VLOOKUP($D281,NOMENCLATOR!$A:$F,6,FALSE()),"")*IF(OR($G281="g",$G281="ml"),0.001,1)</f>
        <v>0.111</v>
      </c>
      <c r="I281" s="102">
        <f t="shared" si="10"/>
        <v>0.111</v>
      </c>
    </row>
    <row r="282" spans="1:11" x14ac:dyDescent="0.2">
      <c r="A282" s="103" t="s">
        <v>183</v>
      </c>
      <c r="B282" s="104"/>
      <c r="C282" s="104"/>
      <c r="D282" s="104"/>
      <c r="E282" s="103" t="s">
        <v>510</v>
      </c>
      <c r="F282" s="104"/>
      <c r="G282" s="104"/>
      <c r="H282" s="104"/>
      <c r="I282" s="104"/>
      <c r="J282" s="105">
        <f>SUMIFS($I$275:$I$281,$C$275:$C$281,"AMBELE")+SUMIFS($I$275:$I$281,$C$275:$C$281,"INSTORE")</f>
        <v>5.1109542499999989</v>
      </c>
      <c r="K282" s="105">
        <f>SUMIFS($I$275:$I$281,$C$275:$C$281,"AMBELE")+SUMIFS($I$275:$I$281,$C$275:$C$281,"DELIVERY")</f>
        <v>5.1109542499999989</v>
      </c>
    </row>
    <row r="283" spans="1:11" x14ac:dyDescent="0.2">
      <c r="A283" s="26" t="s">
        <v>682</v>
      </c>
      <c r="B283" s="26" t="s">
        <v>677</v>
      </c>
      <c r="C283" s="26" t="s">
        <v>506</v>
      </c>
      <c r="D283" s="26" t="s">
        <v>683</v>
      </c>
      <c r="E283" s="26" t="s">
        <v>684</v>
      </c>
      <c r="F283" s="101">
        <v>1</v>
      </c>
      <c r="G283" s="26" t="s">
        <v>509</v>
      </c>
      <c r="H283" s="102">
        <f>IFERROR(VLOOKUP($D283,NOMENCLATOR!$A:$F,6,FALSE()),"")*IF(OR($G283="g",$G283="ml"),0.001,1)</f>
        <v>5.3079999999999998</v>
      </c>
      <c r="I283" s="102">
        <f t="shared" ref="I283:I289" si="11">IFERROR($F283*$H283,"")</f>
        <v>5.3079999999999998</v>
      </c>
    </row>
    <row r="284" spans="1:11" x14ac:dyDescent="0.2">
      <c r="A284" s="26" t="s">
        <v>682</v>
      </c>
      <c r="B284" s="26" t="s">
        <v>677</v>
      </c>
      <c r="C284" s="26" t="s">
        <v>506</v>
      </c>
      <c r="D284" s="26" t="s">
        <v>685</v>
      </c>
      <c r="E284" s="26" t="s">
        <v>686</v>
      </c>
      <c r="F284" s="101">
        <v>1</v>
      </c>
      <c r="G284" s="26" t="s">
        <v>509</v>
      </c>
      <c r="H284" s="102">
        <f>IFERROR(VLOOKUP($D284,NOMENCLATOR!$A:$F,6,FALSE()),"")*IF(OR($G284="g",$G284="ml"),0.001,1)</f>
        <v>3.7</v>
      </c>
      <c r="I284" s="102">
        <f t="shared" si="11"/>
        <v>3.7</v>
      </c>
    </row>
    <row r="285" spans="1:11" x14ac:dyDescent="0.2">
      <c r="A285" s="26" t="s">
        <v>682</v>
      </c>
      <c r="B285" s="26" t="s">
        <v>677</v>
      </c>
      <c r="C285" s="26" t="s">
        <v>506</v>
      </c>
      <c r="D285" s="26" t="s">
        <v>513</v>
      </c>
      <c r="E285" s="26" t="s">
        <v>492</v>
      </c>
      <c r="F285" s="101">
        <v>20</v>
      </c>
      <c r="G285" s="26" t="s">
        <v>514</v>
      </c>
      <c r="H285" s="102">
        <f>IFERROR(VLOOKUP($D285,NOMENCLATOR!$A:$F,6,FALSE()),"")*IF(OR($G285="g",$G285="ml"),0.001,1)</f>
        <v>1.6897059999999998E-2</v>
      </c>
      <c r="I285" s="102">
        <f t="shared" si="11"/>
        <v>0.33794119999999994</v>
      </c>
    </row>
    <row r="286" spans="1:11" x14ac:dyDescent="0.2">
      <c r="A286" s="26" t="s">
        <v>682</v>
      </c>
      <c r="B286" s="26" t="s">
        <v>677</v>
      </c>
      <c r="C286" s="26" t="s">
        <v>506</v>
      </c>
      <c r="D286" s="26" t="s">
        <v>680</v>
      </c>
      <c r="E286" s="26" t="s">
        <v>681</v>
      </c>
      <c r="F286" s="101">
        <v>40</v>
      </c>
      <c r="G286" s="26" t="s">
        <v>514</v>
      </c>
      <c r="H286" s="102">
        <f>IFERROR(VLOOKUP($D286,NOMENCLATOR!$A:$F,6,FALSE()),"")*IF(OR($G286="g",$G286="ml"),0.001,1)</f>
        <v>4.6999270000000003E-2</v>
      </c>
      <c r="I286" s="102">
        <f t="shared" si="11"/>
        <v>1.8799708000000002</v>
      </c>
    </row>
    <row r="287" spans="1:11" x14ac:dyDescent="0.2">
      <c r="A287" s="26" t="s">
        <v>682</v>
      </c>
      <c r="B287" s="26" t="s">
        <v>677</v>
      </c>
      <c r="C287" s="26" t="s">
        <v>506</v>
      </c>
      <c r="D287" s="26" t="s">
        <v>558</v>
      </c>
      <c r="E287" s="26" t="s">
        <v>559</v>
      </c>
      <c r="F287" s="101">
        <v>20</v>
      </c>
      <c r="G287" s="26" t="s">
        <v>529</v>
      </c>
      <c r="H287" s="102">
        <f>IFERROR(VLOOKUP($D287,NOMENCLATOR!$A:$F,6,FALSE()),"")*IF(OR($G287="g",$G287="ml"),0.001,1)</f>
        <v>3.6000000000000004E-2</v>
      </c>
      <c r="I287" s="102">
        <f t="shared" si="11"/>
        <v>0.72000000000000008</v>
      </c>
    </row>
    <row r="288" spans="1:11" x14ac:dyDescent="0.2">
      <c r="A288" s="26" t="s">
        <v>682</v>
      </c>
      <c r="B288" s="26" t="s">
        <v>677</v>
      </c>
      <c r="C288" s="26" t="s">
        <v>506</v>
      </c>
      <c r="D288" s="26" t="s">
        <v>634</v>
      </c>
      <c r="E288" s="26" t="s">
        <v>635</v>
      </c>
      <c r="F288" s="101">
        <v>11.2</v>
      </c>
      <c r="G288" s="26" t="s">
        <v>529</v>
      </c>
      <c r="H288" s="102">
        <f>IFERROR(VLOOKUP($D288,NOMENCLATOR!$A:$F,6,FALSE()),"")*IF(OR($G288="g",$G288="ml"),0.001,1)</f>
        <v>1.554E-2</v>
      </c>
      <c r="I288" s="102">
        <f t="shared" si="11"/>
        <v>0.17404799999999998</v>
      </c>
    </row>
    <row r="289" spans="1:11" x14ac:dyDescent="0.2">
      <c r="A289" s="26" t="s">
        <v>682</v>
      </c>
      <c r="B289" s="26" t="s">
        <v>677</v>
      </c>
      <c r="C289" s="26" t="s">
        <v>506</v>
      </c>
      <c r="D289" s="26" t="s">
        <v>687</v>
      </c>
      <c r="E289" s="26" t="s">
        <v>688</v>
      </c>
      <c r="F289" s="101">
        <v>1</v>
      </c>
      <c r="G289" s="26" t="s">
        <v>509</v>
      </c>
      <c r="H289" s="102">
        <f>IFERROR(VLOOKUP($D289,NOMENCLATOR!$A:$F,6,FALSE()),"")*IF(OR($G289="g",$G289="ml"),0.001,1)</f>
        <v>0.95299999999999996</v>
      </c>
      <c r="I289" s="102">
        <f t="shared" si="11"/>
        <v>0.95299999999999996</v>
      </c>
    </row>
    <row r="290" spans="1:11" x14ac:dyDescent="0.2">
      <c r="A290" s="103" t="s">
        <v>682</v>
      </c>
      <c r="B290" s="104"/>
      <c r="C290" s="104"/>
      <c r="D290" s="104"/>
      <c r="E290" s="103" t="s">
        <v>510</v>
      </c>
      <c r="F290" s="104"/>
      <c r="G290" s="104"/>
      <c r="H290" s="104"/>
      <c r="I290" s="104"/>
      <c r="J290" s="105">
        <f>SUMIFS($I$283:$I$289,$C$283:$C$289,"AMBELE")+SUMIFS($I$283:$I$289,$C$283:$C$289,"INSTORE")</f>
        <v>13.072959999999998</v>
      </c>
      <c r="K290" s="105">
        <f>SUMIFS($I$283:$I$289,$C$283:$C$289,"AMBELE")+SUMIFS($I$283:$I$289,$C$283:$C$289,"DELIVERY")</f>
        <v>13.072959999999998</v>
      </c>
    </row>
    <row r="291" spans="1:11" x14ac:dyDescent="0.2">
      <c r="A291" s="26" t="s">
        <v>176</v>
      </c>
      <c r="B291" s="26" t="s">
        <v>672</v>
      </c>
      <c r="C291" s="26" t="s">
        <v>506</v>
      </c>
      <c r="D291" s="26" t="s">
        <v>550</v>
      </c>
      <c r="E291" s="26" t="s">
        <v>551</v>
      </c>
      <c r="F291" s="101">
        <v>1</v>
      </c>
      <c r="G291" s="26" t="s">
        <v>509</v>
      </c>
      <c r="H291" s="102">
        <f>IFERROR(VLOOKUP($D291,NOMENCLATOR!$A:$F,6,FALSE()),"")*IF(OR($G291="g",$G291="ml"),0.001,1)</f>
        <v>2.36</v>
      </c>
      <c r="I291" s="102">
        <f t="shared" ref="I291:I298" si="12">IFERROR($F291*$H291,"")</f>
        <v>2.36</v>
      </c>
    </row>
    <row r="292" spans="1:11" x14ac:dyDescent="0.2">
      <c r="A292" s="26" t="s">
        <v>176</v>
      </c>
      <c r="B292" s="26" t="s">
        <v>672</v>
      </c>
      <c r="C292" s="26" t="s">
        <v>506</v>
      </c>
      <c r="D292" s="26" t="s">
        <v>562</v>
      </c>
      <c r="E292" s="26" t="s">
        <v>563</v>
      </c>
      <c r="F292" s="101">
        <v>1</v>
      </c>
      <c r="G292" s="26" t="s">
        <v>509</v>
      </c>
      <c r="H292" s="102">
        <f>IFERROR(VLOOKUP($D292,NOMENCLATOR!$A:$F,6,FALSE()),"")*IF(OR($G292="g",$G292="ml"),0.001,1)</f>
        <v>1.1499999999999999</v>
      </c>
      <c r="I292" s="102">
        <f t="shared" si="12"/>
        <v>1.1499999999999999</v>
      </c>
    </row>
    <row r="293" spans="1:11" x14ac:dyDescent="0.2">
      <c r="A293" s="26" t="s">
        <v>176</v>
      </c>
      <c r="B293" s="26" t="s">
        <v>672</v>
      </c>
      <c r="C293" s="26" t="s">
        <v>506</v>
      </c>
      <c r="D293" s="26" t="s">
        <v>513</v>
      </c>
      <c r="E293" s="26" t="s">
        <v>492</v>
      </c>
      <c r="F293" s="101">
        <v>20</v>
      </c>
      <c r="G293" s="26" t="s">
        <v>514</v>
      </c>
      <c r="H293" s="102">
        <f>IFERROR(VLOOKUP($D293,NOMENCLATOR!$A:$F,6,FALSE()),"")*IF(OR($G293="g",$G293="ml"),0.001,1)</f>
        <v>1.6897059999999998E-2</v>
      </c>
      <c r="I293" s="102">
        <f t="shared" si="12"/>
        <v>0.33794119999999994</v>
      </c>
    </row>
    <row r="294" spans="1:11" x14ac:dyDescent="0.2">
      <c r="A294" s="26" t="s">
        <v>176</v>
      </c>
      <c r="B294" s="26" t="s">
        <v>672</v>
      </c>
      <c r="C294" s="26" t="s">
        <v>506</v>
      </c>
      <c r="D294" s="26" t="s">
        <v>621</v>
      </c>
      <c r="E294" s="26" t="s">
        <v>622</v>
      </c>
      <c r="F294" s="101">
        <v>20</v>
      </c>
      <c r="G294" s="26" t="s">
        <v>514</v>
      </c>
      <c r="H294" s="102">
        <f>IFERROR(VLOOKUP($D294,NOMENCLATOR!$A:$F,6,FALSE()),"")*IF(OR($G294="g",$G294="ml"),0.001,1)</f>
        <v>3.5110300000000004E-2</v>
      </c>
      <c r="I294" s="102">
        <f t="shared" si="12"/>
        <v>0.70220600000000011</v>
      </c>
    </row>
    <row r="295" spans="1:11" x14ac:dyDescent="0.2">
      <c r="A295" s="26" t="s">
        <v>176</v>
      </c>
      <c r="B295" s="26" t="s">
        <v>672</v>
      </c>
      <c r="C295" s="26" t="s">
        <v>506</v>
      </c>
      <c r="D295" s="26" t="s">
        <v>623</v>
      </c>
      <c r="E295" s="26" t="s">
        <v>624</v>
      </c>
      <c r="F295" s="101">
        <v>7.5</v>
      </c>
      <c r="G295" s="26" t="s">
        <v>529</v>
      </c>
      <c r="H295" s="102">
        <f>IFERROR(VLOOKUP($D295,NOMENCLATOR!$A:$F,6,FALSE()),"")*IF(OR($G295="g",$G295="ml"),0.001,1)</f>
        <v>2.6576880000000001E-2</v>
      </c>
      <c r="I295" s="102">
        <f t="shared" si="12"/>
        <v>0.19932659999999999</v>
      </c>
    </row>
    <row r="296" spans="1:11" x14ac:dyDescent="0.2">
      <c r="A296" s="26" t="s">
        <v>176</v>
      </c>
      <c r="B296" s="26" t="s">
        <v>672</v>
      </c>
      <c r="C296" s="26" t="s">
        <v>506</v>
      </c>
      <c r="D296" s="26" t="s">
        <v>530</v>
      </c>
      <c r="E296" s="26" t="s">
        <v>531</v>
      </c>
      <c r="F296" s="101">
        <v>1</v>
      </c>
      <c r="G296" s="26" t="s">
        <v>509</v>
      </c>
      <c r="H296" s="102">
        <f>IFERROR(VLOOKUP($D296,NOMENCLATOR!$A:$F,6,FALSE()),"")*IF(OR($G296="g",$G296="ml"),0.001,1)</f>
        <v>0.63</v>
      </c>
      <c r="I296" s="102">
        <f t="shared" si="12"/>
        <v>0.63</v>
      </c>
    </row>
    <row r="297" spans="1:11" x14ac:dyDescent="0.2">
      <c r="A297" s="26" t="s">
        <v>176</v>
      </c>
      <c r="B297" s="26" t="s">
        <v>672</v>
      </c>
      <c r="C297" s="26" t="s">
        <v>506</v>
      </c>
      <c r="D297" s="26" t="s">
        <v>634</v>
      </c>
      <c r="E297" s="26" t="s">
        <v>635</v>
      </c>
      <c r="F297" s="101">
        <v>5.6</v>
      </c>
      <c r="G297" s="26" t="s">
        <v>529</v>
      </c>
      <c r="H297" s="102">
        <f>IFERROR(VLOOKUP($D297,NOMENCLATOR!$A:$F,6,FALSE()),"")*IF(OR($G297="g",$G297="ml"),0.001,1)</f>
        <v>1.554E-2</v>
      </c>
      <c r="I297" s="102">
        <f t="shared" si="12"/>
        <v>8.702399999999999E-2</v>
      </c>
    </row>
    <row r="298" spans="1:11" x14ac:dyDescent="0.2">
      <c r="A298" s="26" t="s">
        <v>176</v>
      </c>
      <c r="B298" s="26" t="s">
        <v>672</v>
      </c>
      <c r="C298" s="26" t="s">
        <v>506</v>
      </c>
      <c r="D298" s="26" t="s">
        <v>689</v>
      </c>
      <c r="E298" s="26" t="s">
        <v>690</v>
      </c>
      <c r="F298" s="101">
        <v>1</v>
      </c>
      <c r="G298" s="26" t="s">
        <v>509</v>
      </c>
      <c r="H298" s="102">
        <f>IFERROR(VLOOKUP($D298,NOMENCLATOR!$A:$F,6,FALSE()),"")*IF(OR($G298="g",$G298="ml"),0.001,1)</f>
        <v>0.13</v>
      </c>
      <c r="I298" s="102">
        <f t="shared" si="12"/>
        <v>0.13</v>
      </c>
    </row>
    <row r="299" spans="1:11" x14ac:dyDescent="0.2">
      <c r="A299" s="103" t="s">
        <v>176</v>
      </c>
      <c r="B299" s="104"/>
      <c r="C299" s="104"/>
      <c r="D299" s="104"/>
      <c r="E299" s="103" t="s">
        <v>510</v>
      </c>
      <c r="F299" s="104"/>
      <c r="G299" s="104"/>
      <c r="H299" s="104"/>
      <c r="I299" s="104"/>
      <c r="J299" s="105">
        <f>SUMIFS($I$291:$I$298,$C$291:$C$298,"AMBELE")+SUMIFS($I$291:$I$298,$C$291:$C$298,"INSTORE")</f>
        <v>5.596497799999999</v>
      </c>
      <c r="K299" s="105">
        <f>SUMIFS($I$291:$I$298,$C$291:$C$298,"AMBELE")+SUMIFS($I$291:$I$298,$C$291:$C$298,"DELIVERY")</f>
        <v>5.596497799999999</v>
      </c>
    </row>
    <row r="300" spans="1:11" x14ac:dyDescent="0.2">
      <c r="A300" s="26" t="s">
        <v>322</v>
      </c>
      <c r="B300" s="26" t="s">
        <v>104</v>
      </c>
      <c r="C300" s="26" t="s">
        <v>506</v>
      </c>
      <c r="D300" s="26" t="s">
        <v>542</v>
      </c>
      <c r="E300" s="26" t="s">
        <v>543</v>
      </c>
      <c r="F300" s="101">
        <v>20</v>
      </c>
      <c r="G300" s="26" t="s">
        <v>514</v>
      </c>
      <c r="H300" s="102">
        <f>IFERROR(VLOOKUP($D300,NOMENCLATOR!$A:$F,6,FALSE()),"")*IF(OR($G300="g",$G300="ml"),0.001,1)</f>
        <v>6.2573600000000007E-2</v>
      </c>
      <c r="I300" s="102">
        <f t="shared" ref="I300:I305" si="13">IFERROR($F300*$H300,"")</f>
        <v>1.2514720000000001</v>
      </c>
    </row>
    <row r="301" spans="1:11" x14ac:dyDescent="0.2">
      <c r="A301" s="26" t="s">
        <v>322</v>
      </c>
      <c r="B301" s="26" t="s">
        <v>104</v>
      </c>
      <c r="C301" s="26" t="s">
        <v>506</v>
      </c>
      <c r="D301" s="26" t="s">
        <v>639</v>
      </c>
      <c r="E301" s="26" t="s">
        <v>640</v>
      </c>
      <c r="F301" s="101">
        <v>130</v>
      </c>
      <c r="G301" s="26" t="s">
        <v>514</v>
      </c>
      <c r="H301" s="102">
        <f>IFERROR(VLOOKUP($D301,NOMENCLATOR!$A:$F,6,FALSE()),"")*IF(OR($G301="g",$G301="ml"),0.001,1)</f>
        <v>9.8002499999999999E-3</v>
      </c>
      <c r="I301" s="102">
        <f t="shared" si="13"/>
        <v>1.2740324999999999</v>
      </c>
    </row>
    <row r="302" spans="1:11" x14ac:dyDescent="0.2">
      <c r="A302" s="26" t="s">
        <v>322</v>
      </c>
      <c r="B302" s="26" t="s">
        <v>104</v>
      </c>
      <c r="C302" s="26" t="s">
        <v>506</v>
      </c>
      <c r="D302" s="26" t="s">
        <v>572</v>
      </c>
      <c r="E302" s="26" t="s">
        <v>573</v>
      </c>
      <c r="F302" s="101">
        <v>12</v>
      </c>
      <c r="G302" s="26" t="s">
        <v>529</v>
      </c>
      <c r="H302" s="102">
        <f>IFERROR(VLOOKUP($D302,NOMENCLATOR!$A:$F,6,FALSE()),"")*IF(OR($G302="g",$G302="ml"),0.001,1)</f>
        <v>0.23816300000000001</v>
      </c>
      <c r="I302" s="102">
        <f t="shared" si="13"/>
        <v>2.8579560000000002</v>
      </c>
    </row>
    <row r="303" spans="1:11" x14ac:dyDescent="0.2">
      <c r="A303" s="26" t="s">
        <v>322</v>
      </c>
      <c r="B303" s="26" t="s">
        <v>104</v>
      </c>
      <c r="C303" s="26" t="s">
        <v>506</v>
      </c>
      <c r="D303" s="26" t="s">
        <v>574</v>
      </c>
      <c r="E303" s="26" t="s">
        <v>575</v>
      </c>
      <c r="F303" s="101">
        <v>1</v>
      </c>
      <c r="G303" s="26" t="s">
        <v>509</v>
      </c>
      <c r="H303" s="102">
        <f>IFERROR(VLOOKUP($D303,NOMENCLATOR!$A:$F,6,FALSE()),"")*IF(OR($G303="g",$G303="ml"),0.001,1)</f>
        <v>0.70499999999999996</v>
      </c>
      <c r="I303" s="102">
        <f t="shared" si="13"/>
        <v>0.70499999999999996</v>
      </c>
    </row>
    <row r="304" spans="1:11" x14ac:dyDescent="0.2">
      <c r="A304" s="26" t="s">
        <v>322</v>
      </c>
      <c r="B304" s="26" t="s">
        <v>104</v>
      </c>
      <c r="C304" s="26" t="s">
        <v>506</v>
      </c>
      <c r="D304" s="26" t="s">
        <v>576</v>
      </c>
      <c r="E304" s="26" t="s">
        <v>577</v>
      </c>
      <c r="F304" s="101">
        <v>1</v>
      </c>
      <c r="G304" s="26" t="s">
        <v>509</v>
      </c>
      <c r="H304" s="102">
        <f>IFERROR(VLOOKUP($D304,NOMENCLATOR!$A:$F,6,FALSE()),"")*IF(OR($G304="g",$G304="ml"),0.001,1)</f>
        <v>0.14699999999999999</v>
      </c>
      <c r="I304" s="102">
        <f t="shared" si="13"/>
        <v>0.14699999999999999</v>
      </c>
    </row>
    <row r="305" spans="1:11" x14ac:dyDescent="0.2">
      <c r="A305" s="26" t="s">
        <v>322</v>
      </c>
      <c r="B305" s="26" t="s">
        <v>104</v>
      </c>
      <c r="C305" s="26" t="s">
        <v>506</v>
      </c>
      <c r="D305" s="26" t="s">
        <v>578</v>
      </c>
      <c r="E305" s="26" t="s">
        <v>579</v>
      </c>
      <c r="F305" s="101">
        <v>1</v>
      </c>
      <c r="G305" s="26" t="s">
        <v>509</v>
      </c>
      <c r="H305" s="102">
        <f>IFERROR(VLOOKUP($D305,NOMENCLATOR!$A:$F,6,FALSE()),"")*IF(OR($G305="g",$G305="ml"),0.001,1)</f>
        <v>1.2999999999999999E-2</v>
      </c>
      <c r="I305" s="102">
        <f t="shared" si="13"/>
        <v>1.2999999999999999E-2</v>
      </c>
    </row>
    <row r="306" spans="1:11" x14ac:dyDescent="0.2">
      <c r="A306" s="103" t="s">
        <v>322</v>
      </c>
      <c r="B306" s="104"/>
      <c r="C306" s="104"/>
      <c r="D306" s="104"/>
      <c r="E306" s="103" t="s">
        <v>510</v>
      </c>
      <c r="F306" s="104"/>
      <c r="G306" s="104"/>
      <c r="H306" s="104"/>
      <c r="I306" s="104"/>
      <c r="J306" s="105">
        <f>SUMIFS($I$300:$I$305,$C$300:$C$305,"AMBELE")+SUMIFS($I$300:$I$305,$C$300:$C$305,"INSTORE")</f>
        <v>6.2484605000000002</v>
      </c>
      <c r="K306" s="105">
        <f>SUMIFS($I$300:$I$305,$C$300:$C$305,"AMBELE")+SUMIFS($I$300:$I$305,$C$300:$C$305,"DELIVERY")</f>
        <v>6.2484605000000002</v>
      </c>
    </row>
    <row r="307" spans="1:11" x14ac:dyDescent="0.2">
      <c r="A307" s="26" t="s">
        <v>321</v>
      </c>
      <c r="B307" s="26" t="s">
        <v>104</v>
      </c>
      <c r="C307" s="26" t="s">
        <v>506</v>
      </c>
      <c r="D307" s="26" t="s">
        <v>542</v>
      </c>
      <c r="E307" s="26" t="s">
        <v>543</v>
      </c>
      <c r="F307" s="101">
        <v>20</v>
      </c>
      <c r="G307" s="26" t="s">
        <v>514</v>
      </c>
      <c r="H307" s="102">
        <f>IFERROR(VLOOKUP($D307,NOMENCLATOR!$A:$F,6,FALSE()),"")*IF(OR($G307="g",$G307="ml"),0.001,1)</f>
        <v>6.2573600000000007E-2</v>
      </c>
      <c r="I307" s="102">
        <f t="shared" ref="I307:I312" si="14">IFERROR($F307*$H307,"")</f>
        <v>1.2514720000000001</v>
      </c>
    </row>
    <row r="308" spans="1:11" x14ac:dyDescent="0.2">
      <c r="A308" s="26" t="s">
        <v>321</v>
      </c>
      <c r="B308" s="26" t="s">
        <v>104</v>
      </c>
      <c r="C308" s="26" t="s">
        <v>506</v>
      </c>
      <c r="D308" s="26" t="s">
        <v>639</v>
      </c>
      <c r="E308" s="26" t="s">
        <v>640</v>
      </c>
      <c r="F308" s="101">
        <v>165</v>
      </c>
      <c r="G308" s="26" t="s">
        <v>514</v>
      </c>
      <c r="H308" s="102">
        <f>IFERROR(VLOOKUP($D308,NOMENCLATOR!$A:$F,6,FALSE()),"")*IF(OR($G308="g",$G308="ml"),0.001,1)</f>
        <v>9.8002499999999999E-3</v>
      </c>
      <c r="I308" s="102">
        <f t="shared" si="14"/>
        <v>1.61704125</v>
      </c>
    </row>
    <row r="309" spans="1:11" x14ac:dyDescent="0.2">
      <c r="A309" s="26" t="s">
        <v>321</v>
      </c>
      <c r="B309" s="26" t="s">
        <v>104</v>
      </c>
      <c r="C309" s="26" t="s">
        <v>506</v>
      </c>
      <c r="D309" s="26" t="s">
        <v>572</v>
      </c>
      <c r="E309" s="26" t="s">
        <v>573</v>
      </c>
      <c r="F309" s="101">
        <v>14</v>
      </c>
      <c r="G309" s="26" t="s">
        <v>529</v>
      </c>
      <c r="H309" s="102">
        <f>IFERROR(VLOOKUP($D309,NOMENCLATOR!$A:$F,6,FALSE()),"")*IF(OR($G309="g",$G309="ml"),0.001,1)</f>
        <v>0.23816300000000001</v>
      </c>
      <c r="I309" s="102">
        <f t="shared" si="14"/>
        <v>3.334282</v>
      </c>
    </row>
    <row r="310" spans="1:11" x14ac:dyDescent="0.2">
      <c r="A310" s="26" t="s">
        <v>321</v>
      </c>
      <c r="B310" s="26" t="s">
        <v>104</v>
      </c>
      <c r="C310" s="26" t="s">
        <v>506</v>
      </c>
      <c r="D310" s="26" t="s">
        <v>580</v>
      </c>
      <c r="E310" s="26" t="s">
        <v>581</v>
      </c>
      <c r="F310" s="101">
        <v>1</v>
      </c>
      <c r="G310" s="26" t="s">
        <v>509</v>
      </c>
      <c r="H310" s="102">
        <f>IFERROR(VLOOKUP($D310,NOMENCLATOR!$A:$F,6,FALSE()),"")*IF(OR($G310="g",$G310="ml"),0.001,1)</f>
        <v>0.49</v>
      </c>
      <c r="I310" s="102">
        <f t="shared" si="14"/>
        <v>0.49</v>
      </c>
    </row>
    <row r="311" spans="1:11" x14ac:dyDescent="0.2">
      <c r="A311" s="26" t="s">
        <v>321</v>
      </c>
      <c r="B311" s="26" t="s">
        <v>104</v>
      </c>
      <c r="C311" s="26" t="s">
        <v>506</v>
      </c>
      <c r="D311" s="26" t="s">
        <v>582</v>
      </c>
      <c r="E311" s="26" t="s">
        <v>583</v>
      </c>
      <c r="F311" s="101">
        <v>1</v>
      </c>
      <c r="G311" s="26" t="s">
        <v>509</v>
      </c>
      <c r="H311" s="102">
        <f>IFERROR(VLOOKUP($D311,NOMENCLATOR!$A:$F,6,FALSE()),"")*IF(OR($G311="g",$G311="ml"),0.001,1)</f>
        <v>0.17799999999999999</v>
      </c>
      <c r="I311" s="102">
        <f t="shared" si="14"/>
        <v>0.17799999999999999</v>
      </c>
    </row>
    <row r="312" spans="1:11" x14ac:dyDescent="0.2">
      <c r="A312" s="26" t="s">
        <v>321</v>
      </c>
      <c r="B312" s="26" t="s">
        <v>104</v>
      </c>
      <c r="C312" s="26" t="s">
        <v>506</v>
      </c>
      <c r="D312" s="26" t="s">
        <v>578</v>
      </c>
      <c r="E312" s="26" t="s">
        <v>579</v>
      </c>
      <c r="F312" s="101">
        <v>1</v>
      </c>
      <c r="G312" s="26" t="s">
        <v>509</v>
      </c>
      <c r="H312" s="102">
        <f>IFERROR(VLOOKUP($D312,NOMENCLATOR!$A:$F,6,FALSE()),"")*IF(OR($G312="g",$G312="ml"),0.001,1)</f>
        <v>1.2999999999999999E-2</v>
      </c>
      <c r="I312" s="102">
        <f t="shared" si="14"/>
        <v>1.2999999999999999E-2</v>
      </c>
    </row>
    <row r="313" spans="1:11" x14ac:dyDescent="0.2">
      <c r="A313" s="103" t="s">
        <v>321</v>
      </c>
      <c r="B313" s="104"/>
      <c r="C313" s="104"/>
      <c r="D313" s="104"/>
      <c r="E313" s="103" t="s">
        <v>510</v>
      </c>
      <c r="F313" s="104"/>
      <c r="G313" s="104"/>
      <c r="H313" s="104"/>
      <c r="I313" s="104"/>
      <c r="J313" s="105">
        <f>SUMIFS($I$307:$I$312,$C$307:$C$312,"AMBELE")+SUMIFS($I$307:$I$312,$C$307:$C$312,"INSTORE")</f>
        <v>6.8837952500000004</v>
      </c>
      <c r="K313" s="105">
        <f>SUMIFS($I$307:$I$312,$C$307:$C$312,"AMBELE")+SUMIFS($I$307:$I$312,$C$307:$C$312,"DELIVERY")</f>
        <v>6.8837952500000004</v>
      </c>
    </row>
    <row r="314" spans="1:11" x14ac:dyDescent="0.2">
      <c r="A314" s="26" t="s">
        <v>253</v>
      </c>
      <c r="B314" s="26" t="s">
        <v>103</v>
      </c>
      <c r="C314" s="26" t="s">
        <v>506</v>
      </c>
      <c r="D314" s="26" t="s">
        <v>691</v>
      </c>
      <c r="E314" s="26" t="s">
        <v>692</v>
      </c>
      <c r="F314" s="101">
        <v>1</v>
      </c>
      <c r="G314" s="26" t="s">
        <v>509</v>
      </c>
      <c r="H314" s="102">
        <f>IFERROR(VLOOKUP($D314,NOMENCLATOR!$A:$F,6,FALSE()),"")*IF(OR($G314="g",$G314="ml"),0.001,1)</f>
        <v>7.4220199999999998</v>
      </c>
      <c r="I314" s="102">
        <f>IFERROR($F314*$H314,"")</f>
        <v>7.4220199999999998</v>
      </c>
    </row>
    <row r="315" spans="1:11" x14ac:dyDescent="0.2">
      <c r="A315" s="103" t="s">
        <v>253</v>
      </c>
      <c r="B315" s="104"/>
      <c r="C315" s="104"/>
      <c r="D315" s="104"/>
      <c r="E315" s="103" t="s">
        <v>510</v>
      </c>
      <c r="F315" s="104"/>
      <c r="G315" s="104"/>
      <c r="H315" s="104"/>
      <c r="I315" s="104"/>
      <c r="J315" s="105">
        <f>SUMIFS($I$314:$I$314,$C$314:$C$314,"AMBELE")+SUMIFS($I$314:$I$314,$C$314:$C$314,"INSTORE")</f>
        <v>7.4220199999999998</v>
      </c>
      <c r="K315" s="105">
        <f>SUMIFS($I$314:$I$314,$C$314:$C$314,"AMBELE")+SUMIFS($I$314:$I$314,$C$314:$C$314,"DELIVERY")</f>
        <v>7.4220199999999998</v>
      </c>
    </row>
    <row r="316" spans="1:11" x14ac:dyDescent="0.2">
      <c r="A316" s="26" t="s">
        <v>693</v>
      </c>
      <c r="B316" s="26" t="s">
        <v>694</v>
      </c>
      <c r="C316" s="26" t="s">
        <v>506</v>
      </c>
      <c r="D316" s="26" t="s">
        <v>695</v>
      </c>
      <c r="E316" s="26" t="s">
        <v>696</v>
      </c>
      <c r="F316" s="101">
        <v>150</v>
      </c>
      <c r="G316" s="26" t="s">
        <v>529</v>
      </c>
      <c r="H316" s="102">
        <f>IFERROR(VLOOKUP($D316,NOMENCLATOR!$A:$F,6,FALSE()),"")*IF(OR($G316="g",$G316="ml"),0.001,1)</f>
        <v>0.10748569999999999</v>
      </c>
      <c r="I316" s="102">
        <f>IFERROR($F316*$H316,"")</f>
        <v>16.122854999999998</v>
      </c>
    </row>
    <row r="317" spans="1:11" x14ac:dyDescent="0.2">
      <c r="A317" s="103" t="s">
        <v>693</v>
      </c>
      <c r="B317" s="104"/>
      <c r="C317" s="104"/>
      <c r="D317" s="104"/>
      <c r="E317" s="103" t="s">
        <v>510</v>
      </c>
      <c r="F317" s="104"/>
      <c r="G317" s="104"/>
      <c r="H317" s="104"/>
      <c r="I317" s="104"/>
      <c r="J317" s="105">
        <f>SUMIFS($I$316:$I$316,$C$316:$C$316,"AMBELE")+SUMIFS($I$316:$I$316,$C$316:$C$316,"INSTORE")</f>
        <v>16.122854999999998</v>
      </c>
      <c r="K317" s="105">
        <f>SUMIFS($I$316:$I$316,$C$316:$C$316,"AMBELE")+SUMIFS($I$316:$I$316,$C$316:$C$316,"DELIVERY")</f>
        <v>16.122854999999998</v>
      </c>
    </row>
    <row r="318" spans="1:11" x14ac:dyDescent="0.2">
      <c r="A318" s="26" t="s">
        <v>151</v>
      </c>
      <c r="B318" s="26" t="s">
        <v>505</v>
      </c>
      <c r="C318" s="26" t="s">
        <v>506</v>
      </c>
      <c r="D318" s="26" t="s">
        <v>697</v>
      </c>
      <c r="E318" s="26" t="s">
        <v>698</v>
      </c>
      <c r="F318" s="101">
        <v>1</v>
      </c>
      <c r="G318" s="26" t="s">
        <v>509</v>
      </c>
      <c r="H318" s="102">
        <f>IFERROR(VLOOKUP($D318,NOMENCLATOR!$A:$F,6,FALSE()),"")*IF(OR($G318="g",$G318="ml"),0.001,1)</f>
        <v>0.33500000000000002</v>
      </c>
      <c r="I318" s="102">
        <f>IFERROR($F318*$H318,"")</f>
        <v>0.33500000000000002</v>
      </c>
    </row>
    <row r="319" spans="1:11" x14ac:dyDescent="0.2">
      <c r="A319" s="26" t="s">
        <v>151</v>
      </c>
      <c r="B319" s="26" t="s">
        <v>505</v>
      </c>
      <c r="C319" s="26" t="s">
        <v>506</v>
      </c>
      <c r="D319" s="26" t="s">
        <v>699</v>
      </c>
      <c r="E319" s="26" t="s">
        <v>700</v>
      </c>
      <c r="F319" s="101">
        <v>1</v>
      </c>
      <c r="G319" s="26" t="s">
        <v>509</v>
      </c>
      <c r="H319" s="102">
        <f>IFERROR(VLOOKUP($D319,NOMENCLATOR!$A:$F,6,FALSE()),"")*IF(OR($G319="g",$G319="ml"),0.001,1)</f>
        <v>0.05</v>
      </c>
      <c r="I319" s="102">
        <f>IFERROR($F319*$H319,"")</f>
        <v>0.05</v>
      </c>
    </row>
    <row r="320" spans="1:11" x14ac:dyDescent="0.2">
      <c r="A320" s="26" t="s">
        <v>151</v>
      </c>
      <c r="B320" s="26" t="s">
        <v>505</v>
      </c>
      <c r="C320" s="26" t="s">
        <v>506</v>
      </c>
      <c r="D320" s="26" t="s">
        <v>701</v>
      </c>
      <c r="E320" s="26" t="s">
        <v>702</v>
      </c>
      <c r="F320" s="101">
        <v>100</v>
      </c>
      <c r="G320" s="26" t="s">
        <v>529</v>
      </c>
      <c r="H320" s="102">
        <f>IFERROR(VLOOKUP($D320,NOMENCLATOR!$A:$F,6,FALSE()),"")*IF(OR($G320="g",$G320="ml"),0.001,1)</f>
        <v>4.5072099999999997E-2</v>
      </c>
      <c r="I320" s="102">
        <f>IFERROR($F320*$H320,"")</f>
        <v>4.5072099999999997</v>
      </c>
    </row>
    <row r="321" spans="1:11" x14ac:dyDescent="0.2">
      <c r="A321" s="103" t="s">
        <v>151</v>
      </c>
      <c r="B321" s="104"/>
      <c r="C321" s="104"/>
      <c r="D321" s="104"/>
      <c r="E321" s="103" t="s">
        <v>510</v>
      </c>
      <c r="F321" s="104"/>
      <c r="G321" s="104"/>
      <c r="H321" s="104"/>
      <c r="I321" s="104"/>
      <c r="J321" s="105">
        <f>SUMIFS($I$318:$I$320,$C$318:$C$320,"AMBELE")+SUMIFS($I$318:$I$320,$C$318:$C$320,"INSTORE")</f>
        <v>4.8922099999999995</v>
      </c>
      <c r="K321" s="105">
        <f>SUMIFS($I$318:$I$320,$C$318:$C$320,"AMBELE")+SUMIFS($I$318:$I$320,$C$318:$C$320,"DELIVERY")</f>
        <v>4.8922099999999995</v>
      </c>
    </row>
    <row r="322" spans="1:11" x14ac:dyDescent="0.2">
      <c r="A322" s="26" t="s">
        <v>152</v>
      </c>
      <c r="B322" s="26" t="s">
        <v>505</v>
      </c>
      <c r="C322" s="26" t="s">
        <v>506</v>
      </c>
      <c r="D322" s="26" t="s">
        <v>675</v>
      </c>
      <c r="E322" s="26" t="s">
        <v>676</v>
      </c>
      <c r="F322" s="101">
        <v>100</v>
      </c>
      <c r="G322" s="26" t="s">
        <v>529</v>
      </c>
      <c r="H322" s="102">
        <f>IFERROR(VLOOKUP($D322,NOMENCLATOR!$A:$F,6,FALSE()),"")*IF(OR($G322="g",$G322="ml"),0.001,1)</f>
        <v>2.6133800000000002E-2</v>
      </c>
      <c r="I322" s="102">
        <f>IFERROR($F322*$H322,"")</f>
        <v>2.6133800000000003</v>
      </c>
    </row>
    <row r="323" spans="1:11" x14ac:dyDescent="0.2">
      <c r="A323" s="26" t="s">
        <v>152</v>
      </c>
      <c r="B323" s="26" t="s">
        <v>505</v>
      </c>
      <c r="C323" s="26" t="s">
        <v>506</v>
      </c>
      <c r="D323" s="26" t="s">
        <v>703</v>
      </c>
      <c r="E323" s="26" t="s">
        <v>704</v>
      </c>
      <c r="F323" s="101">
        <v>1</v>
      </c>
      <c r="G323" s="26" t="s">
        <v>509</v>
      </c>
      <c r="H323" s="102">
        <f>IFERROR(VLOOKUP($D323,NOMENCLATOR!$A:$F,6,FALSE()),"")*IF(OR($G323="g",$G323="ml"),0.001,1)</f>
        <v>0.33500000000000002</v>
      </c>
      <c r="I323" s="102">
        <f>IFERROR($F323*$H323,"")</f>
        <v>0.33500000000000002</v>
      </c>
    </row>
    <row r="324" spans="1:11" x14ac:dyDescent="0.2">
      <c r="A324" s="26" t="s">
        <v>152</v>
      </c>
      <c r="B324" s="26" t="s">
        <v>505</v>
      </c>
      <c r="C324" s="26" t="s">
        <v>506</v>
      </c>
      <c r="D324" s="26" t="s">
        <v>699</v>
      </c>
      <c r="E324" s="26" t="s">
        <v>700</v>
      </c>
      <c r="F324" s="101">
        <v>1</v>
      </c>
      <c r="G324" s="26" t="s">
        <v>509</v>
      </c>
      <c r="H324" s="102">
        <f>IFERROR(VLOOKUP($D324,NOMENCLATOR!$A:$F,6,FALSE()),"")*IF(OR($G324="g",$G324="ml"),0.001,1)</f>
        <v>0.05</v>
      </c>
      <c r="I324" s="102">
        <f>IFERROR($F324*$H324,"")</f>
        <v>0.05</v>
      </c>
    </row>
    <row r="325" spans="1:11" x14ac:dyDescent="0.2">
      <c r="A325" s="103" t="s">
        <v>152</v>
      </c>
      <c r="B325" s="104"/>
      <c r="C325" s="104"/>
      <c r="D325" s="104"/>
      <c r="E325" s="103" t="s">
        <v>510</v>
      </c>
      <c r="F325" s="104"/>
      <c r="G325" s="104"/>
      <c r="H325" s="104"/>
      <c r="I325" s="104"/>
      <c r="J325" s="105">
        <f>SUMIFS($I$322:$I$324,$C$322:$C$324,"AMBELE")+SUMIFS($I$322:$I$324,$C$322:$C$324,"INSTORE")</f>
        <v>2.99838</v>
      </c>
      <c r="K325" s="105">
        <f>SUMIFS($I$322:$I$324,$C$322:$C$324,"AMBELE")+SUMIFS($I$322:$I$324,$C$322:$C$324,"DELIVERY")</f>
        <v>2.99838</v>
      </c>
    </row>
    <row r="326" spans="1:11" x14ac:dyDescent="0.2">
      <c r="A326" s="26" t="s">
        <v>177</v>
      </c>
      <c r="B326" s="26" t="s">
        <v>505</v>
      </c>
      <c r="C326" s="26" t="s">
        <v>506</v>
      </c>
      <c r="D326" s="26" t="s">
        <v>675</v>
      </c>
      <c r="E326" s="26" t="s">
        <v>676</v>
      </c>
      <c r="F326" s="101">
        <v>250</v>
      </c>
      <c r="G326" s="26" t="s">
        <v>529</v>
      </c>
      <c r="H326" s="102">
        <f>IFERROR(VLOOKUP($D326,NOMENCLATOR!$A:$F,6,FALSE()),"")*IF(OR($G326="g",$G326="ml"),0.001,1)</f>
        <v>2.6133800000000002E-2</v>
      </c>
      <c r="I326" s="102">
        <f>IFERROR($F326*$H326,"")</f>
        <v>6.5334500000000002</v>
      </c>
    </row>
    <row r="327" spans="1:11" x14ac:dyDescent="0.2">
      <c r="A327" s="26" t="s">
        <v>177</v>
      </c>
      <c r="B327" s="26" t="s">
        <v>505</v>
      </c>
      <c r="C327" s="26" t="s">
        <v>506</v>
      </c>
      <c r="D327" s="26" t="s">
        <v>705</v>
      </c>
      <c r="E327" s="26" t="s">
        <v>706</v>
      </c>
      <c r="F327" s="101">
        <v>1</v>
      </c>
      <c r="G327" s="26" t="s">
        <v>509</v>
      </c>
      <c r="H327" s="102">
        <f>IFERROR(VLOOKUP($D327,NOMENCLATOR!$A:$F,6,FALSE()),"")*IF(OR($G327="g",$G327="ml"),0.001,1)</f>
        <v>0.28000000000000003</v>
      </c>
      <c r="I327" s="102">
        <f>IFERROR($F327*$H327,"")</f>
        <v>0.28000000000000003</v>
      </c>
    </row>
    <row r="328" spans="1:11" x14ac:dyDescent="0.2">
      <c r="A328" s="26" t="s">
        <v>177</v>
      </c>
      <c r="B328" s="26" t="s">
        <v>505</v>
      </c>
      <c r="C328" s="26" t="s">
        <v>506</v>
      </c>
      <c r="D328" s="26" t="s">
        <v>707</v>
      </c>
      <c r="E328" s="26" t="s">
        <v>708</v>
      </c>
      <c r="F328" s="101">
        <v>1</v>
      </c>
      <c r="G328" s="26" t="s">
        <v>509</v>
      </c>
      <c r="H328" s="102">
        <f>IFERROR(VLOOKUP($D328,NOMENCLATOR!$A:$F,6,FALSE()),"")*IF(OR($G328="g",$G328="ml"),0.001,1)</f>
        <v>0.115</v>
      </c>
      <c r="I328" s="102">
        <f>IFERROR($F328*$H328,"")</f>
        <v>0.115</v>
      </c>
    </row>
    <row r="329" spans="1:11" x14ac:dyDescent="0.2">
      <c r="A329" s="103" t="s">
        <v>177</v>
      </c>
      <c r="B329" s="104"/>
      <c r="C329" s="104"/>
      <c r="D329" s="104"/>
      <c r="E329" s="103" t="s">
        <v>510</v>
      </c>
      <c r="F329" s="104"/>
      <c r="G329" s="104"/>
      <c r="H329" s="104"/>
      <c r="I329" s="104"/>
      <c r="J329" s="105">
        <f>SUMIFS($I$326:$I$328,$C$326:$C$328,"AMBELE")+SUMIFS($I$326:$I$328,$C$326:$C$328,"INSTORE")</f>
        <v>6.9284500000000007</v>
      </c>
      <c r="K329" s="105">
        <f>SUMIFS($I$326:$I$328,$C$326:$C$328,"AMBELE")+SUMIFS($I$326:$I$328,$C$326:$C$328,"DELIVERY")</f>
        <v>6.9284500000000007</v>
      </c>
    </row>
    <row r="330" spans="1:11" x14ac:dyDescent="0.2">
      <c r="A330" s="26" t="s">
        <v>233</v>
      </c>
      <c r="B330" s="26" t="s">
        <v>505</v>
      </c>
      <c r="C330" s="26" t="s">
        <v>506</v>
      </c>
      <c r="D330" s="26" t="s">
        <v>675</v>
      </c>
      <c r="E330" s="26" t="s">
        <v>676</v>
      </c>
      <c r="F330" s="101">
        <v>400</v>
      </c>
      <c r="G330" s="26" t="s">
        <v>529</v>
      </c>
      <c r="H330" s="102">
        <f>IFERROR(VLOOKUP($D330,NOMENCLATOR!$A:$F,6,FALSE()),"")*IF(OR($G330="g",$G330="ml"),0.001,1)</f>
        <v>2.6133800000000002E-2</v>
      </c>
      <c r="I330" s="102">
        <f>IFERROR($F330*$H330,"")</f>
        <v>10.453520000000001</v>
      </c>
    </row>
    <row r="331" spans="1:11" x14ac:dyDescent="0.2">
      <c r="A331" s="26" t="s">
        <v>233</v>
      </c>
      <c r="B331" s="26" t="s">
        <v>505</v>
      </c>
      <c r="C331" s="26" t="s">
        <v>506</v>
      </c>
      <c r="D331" s="26" t="s">
        <v>709</v>
      </c>
      <c r="E331" s="26" t="s">
        <v>710</v>
      </c>
      <c r="F331" s="101">
        <v>1</v>
      </c>
      <c r="G331" s="26" t="s">
        <v>509</v>
      </c>
      <c r="H331" s="102">
        <f>IFERROR(VLOOKUP($D331,NOMENCLATOR!$A:$F,6,FALSE()),"")*IF(OR($G331="g",$G331="ml"),0.001,1)</f>
        <v>0.33</v>
      </c>
      <c r="I331" s="102">
        <f>IFERROR($F331*$H331,"")</f>
        <v>0.33</v>
      </c>
    </row>
    <row r="332" spans="1:11" x14ac:dyDescent="0.2">
      <c r="A332" s="26" t="s">
        <v>233</v>
      </c>
      <c r="B332" s="26" t="s">
        <v>505</v>
      </c>
      <c r="C332" s="26" t="s">
        <v>506</v>
      </c>
      <c r="D332" s="26" t="s">
        <v>707</v>
      </c>
      <c r="E332" s="26" t="s">
        <v>708</v>
      </c>
      <c r="F332" s="101">
        <v>1</v>
      </c>
      <c r="G332" s="26" t="s">
        <v>509</v>
      </c>
      <c r="H332" s="102">
        <f>IFERROR(VLOOKUP($D332,NOMENCLATOR!$A:$F,6,FALSE()),"")*IF(OR($G332="g",$G332="ml"),0.001,1)</f>
        <v>0.115</v>
      </c>
      <c r="I332" s="102">
        <f>IFERROR($F332*$H332,"")</f>
        <v>0.115</v>
      </c>
    </row>
    <row r="333" spans="1:11" x14ac:dyDescent="0.2">
      <c r="A333" s="103" t="s">
        <v>233</v>
      </c>
      <c r="B333" s="104"/>
      <c r="C333" s="104"/>
      <c r="D333" s="104"/>
      <c r="E333" s="103" t="s">
        <v>510</v>
      </c>
      <c r="F333" s="104"/>
      <c r="G333" s="104"/>
      <c r="H333" s="104"/>
      <c r="I333" s="104"/>
      <c r="J333" s="105">
        <f>SUMIFS($I$330:$I$332,$C$330:$C$332,"AMBELE")+SUMIFS($I$330:$I$332,$C$330:$C$332,"INSTORE")</f>
        <v>10.898520000000001</v>
      </c>
      <c r="K333" s="105">
        <f>SUMIFS($I$330:$I$332,$C$330:$C$332,"AMBELE")+SUMIFS($I$330:$I$332,$C$330:$C$332,"DELIVERY")</f>
        <v>10.898520000000001</v>
      </c>
    </row>
    <row r="334" spans="1:11" x14ac:dyDescent="0.2">
      <c r="A334" s="26" t="s">
        <v>184</v>
      </c>
      <c r="B334" s="26" t="s">
        <v>505</v>
      </c>
      <c r="C334" s="26" t="s">
        <v>506</v>
      </c>
      <c r="D334" s="26" t="s">
        <v>621</v>
      </c>
      <c r="E334" s="26" t="s">
        <v>622</v>
      </c>
      <c r="F334" s="101">
        <v>100</v>
      </c>
      <c r="G334" s="26" t="s">
        <v>514</v>
      </c>
      <c r="H334" s="102">
        <f>IFERROR(VLOOKUP($D334,NOMENCLATOR!$A:$F,6,FALSE()),"")*IF(OR($G334="g",$G334="ml"),0.001,1)</f>
        <v>3.5110300000000004E-2</v>
      </c>
      <c r="I334" s="102">
        <f>IFERROR($F334*$H334,"")</f>
        <v>3.5110300000000003</v>
      </c>
    </row>
    <row r="335" spans="1:11" x14ac:dyDescent="0.2">
      <c r="A335" s="26" t="s">
        <v>184</v>
      </c>
      <c r="B335" s="26" t="s">
        <v>505</v>
      </c>
      <c r="C335" s="26" t="s">
        <v>506</v>
      </c>
      <c r="D335" s="26" t="s">
        <v>711</v>
      </c>
      <c r="E335" s="26" t="s">
        <v>712</v>
      </c>
      <c r="F335" s="101">
        <v>1</v>
      </c>
      <c r="G335" s="26" t="s">
        <v>509</v>
      </c>
      <c r="H335" s="102">
        <f>IFERROR(VLOOKUP($D335,NOMENCLATOR!$A:$F,6,FALSE()),"")*IF(OR($G335="g",$G335="ml"),0.001,1)</f>
        <v>0.33500000000000002</v>
      </c>
      <c r="I335" s="102">
        <f>IFERROR($F335*$H335,"")</f>
        <v>0.33500000000000002</v>
      </c>
    </row>
    <row r="336" spans="1:11" x14ac:dyDescent="0.2">
      <c r="A336" s="26" t="s">
        <v>184</v>
      </c>
      <c r="B336" s="26" t="s">
        <v>505</v>
      </c>
      <c r="C336" s="26" t="s">
        <v>506</v>
      </c>
      <c r="D336" s="26" t="s">
        <v>699</v>
      </c>
      <c r="E336" s="26" t="s">
        <v>700</v>
      </c>
      <c r="F336" s="101">
        <v>1</v>
      </c>
      <c r="G336" s="26" t="s">
        <v>509</v>
      </c>
      <c r="H336" s="102">
        <f>IFERROR(VLOOKUP($D336,NOMENCLATOR!$A:$F,6,FALSE()),"")*IF(OR($G336="g",$G336="ml"),0.001,1)</f>
        <v>0.05</v>
      </c>
      <c r="I336" s="102">
        <f>IFERROR($F336*$H336,"")</f>
        <v>0.05</v>
      </c>
    </row>
    <row r="337" spans="1:11" x14ac:dyDescent="0.2">
      <c r="A337" s="103" t="s">
        <v>184</v>
      </c>
      <c r="B337" s="104"/>
      <c r="C337" s="104"/>
      <c r="D337" s="104"/>
      <c r="E337" s="103" t="s">
        <v>510</v>
      </c>
      <c r="F337" s="104"/>
      <c r="G337" s="104"/>
      <c r="H337" s="104"/>
      <c r="I337" s="104"/>
      <c r="J337" s="105">
        <f>SUMIFS($I$334:$I$336,$C$334:$C$336,"AMBELE")+SUMIFS($I$334:$I$336,$C$334:$C$336,"INSTORE")</f>
        <v>3.8960300000000001</v>
      </c>
      <c r="K337" s="105">
        <f>SUMIFS($I$334:$I$336,$C$334:$C$336,"AMBELE")+SUMIFS($I$334:$I$336,$C$334:$C$336,"DELIVERY")</f>
        <v>3.8960300000000001</v>
      </c>
    </row>
    <row r="338" spans="1:11" x14ac:dyDescent="0.2">
      <c r="A338" s="26" t="s">
        <v>260</v>
      </c>
      <c r="B338" s="26" t="s">
        <v>103</v>
      </c>
      <c r="C338" s="26" t="s">
        <v>506</v>
      </c>
      <c r="D338" s="26" t="s">
        <v>713</v>
      </c>
      <c r="E338" s="26" t="s">
        <v>714</v>
      </c>
      <c r="F338" s="101">
        <v>1</v>
      </c>
      <c r="G338" s="26" t="s">
        <v>509</v>
      </c>
      <c r="H338" s="102">
        <f>IFERROR(VLOOKUP($D338,NOMENCLATOR!$A:$F,6,FALSE()),"")*IF(OR($G338="g",$G338="ml"),0.001,1)</f>
        <v>0.64300000000000002</v>
      </c>
      <c r="I338" s="102">
        <f>IFERROR($F338*$H338,"")</f>
        <v>0.64300000000000002</v>
      </c>
    </row>
    <row r="339" spans="1:11" x14ac:dyDescent="0.2">
      <c r="A339" s="103" t="s">
        <v>260</v>
      </c>
      <c r="B339" s="104"/>
      <c r="C339" s="104"/>
      <c r="D339" s="104"/>
      <c r="E339" s="103" t="s">
        <v>510</v>
      </c>
      <c r="F339" s="104"/>
      <c r="G339" s="104"/>
      <c r="H339" s="104"/>
      <c r="I339" s="104"/>
      <c r="J339" s="105">
        <f>SUMIFS($I$338:$I$338,$C$338:$C$338,"AMBELE")+SUMIFS($I$338:$I$338,$C$338:$C$338,"INSTORE")</f>
        <v>0.64300000000000002</v>
      </c>
      <c r="K339" s="105">
        <f>SUMIFS($I$338:$I$338,$C$338:$C$338,"AMBELE")+SUMIFS($I$338:$I$338,$C$338:$C$338,"DELIVERY")</f>
        <v>0.64300000000000002</v>
      </c>
    </row>
    <row r="340" spans="1:11" x14ac:dyDescent="0.2">
      <c r="A340" s="26" t="s">
        <v>241</v>
      </c>
      <c r="B340" s="26" t="s">
        <v>103</v>
      </c>
      <c r="C340" s="26" t="s">
        <v>657</v>
      </c>
      <c r="D340" s="26" t="s">
        <v>715</v>
      </c>
      <c r="E340" s="26" t="s">
        <v>716</v>
      </c>
      <c r="F340" s="101">
        <v>1</v>
      </c>
      <c r="G340" s="26" t="s">
        <v>509</v>
      </c>
      <c r="H340" s="102">
        <f>IFERROR(VLOOKUP($D340,NOMENCLATOR!$A:$F,6,FALSE()),"")*IF(OR($G340="g",$G340="ml"),0.001,1)</f>
        <v>3.9249999999999998</v>
      </c>
      <c r="I340" s="102">
        <f>IFERROR($F340*$H340,"")</f>
        <v>3.9249999999999998</v>
      </c>
    </row>
    <row r="341" spans="1:11" x14ac:dyDescent="0.2">
      <c r="A341" s="103" t="s">
        <v>241</v>
      </c>
      <c r="B341" s="104"/>
      <c r="C341" s="104"/>
      <c r="D341" s="104"/>
      <c r="E341" s="103" t="s">
        <v>510</v>
      </c>
      <c r="F341" s="104"/>
      <c r="G341" s="104"/>
      <c r="H341" s="104"/>
      <c r="I341" s="104"/>
      <c r="J341" s="105">
        <f>SUMIFS($I$340:$I$340,$C$340:$C$340,"AMBELE")+SUMIFS($I$340:$I$340,$C$340:$C$340,"INSTORE")</f>
        <v>0</v>
      </c>
      <c r="K341" s="105">
        <f>SUMIFS($I$340:$I$340,$C$340:$C$340,"AMBELE")+SUMIFS($I$340:$I$340,$C$340:$C$340,"DELIVERY")</f>
        <v>3.9249999999999998</v>
      </c>
    </row>
    <row r="342" spans="1:11" x14ac:dyDescent="0.2">
      <c r="A342" s="26" t="s">
        <v>255</v>
      </c>
      <c r="B342" s="26" t="s">
        <v>103</v>
      </c>
      <c r="C342" s="26" t="s">
        <v>506</v>
      </c>
      <c r="D342" s="26" t="s">
        <v>717</v>
      </c>
      <c r="E342" s="26" t="s">
        <v>718</v>
      </c>
      <c r="F342" s="101">
        <v>1</v>
      </c>
      <c r="G342" s="26" t="s">
        <v>509</v>
      </c>
      <c r="H342" s="102">
        <f>IFERROR(VLOOKUP($D342,NOMENCLATOR!$A:$F,6,FALSE()),"")*IF(OR($G342="g",$G342="ml"),0.001,1)</f>
        <v>3.64</v>
      </c>
      <c r="I342" s="102">
        <f>IFERROR($F342*$H342,"")</f>
        <v>3.64</v>
      </c>
    </row>
    <row r="343" spans="1:11" x14ac:dyDescent="0.2">
      <c r="A343" s="103" t="s">
        <v>255</v>
      </c>
      <c r="B343" s="104"/>
      <c r="C343" s="104"/>
      <c r="D343" s="104"/>
      <c r="E343" s="103" t="s">
        <v>510</v>
      </c>
      <c r="F343" s="104"/>
      <c r="G343" s="104"/>
      <c r="H343" s="104"/>
      <c r="I343" s="104"/>
      <c r="J343" s="105">
        <f>SUMIFS($I$342:$I$342,$C$342:$C$342,"AMBELE")+SUMIFS($I$342:$I$342,$C$342:$C$342,"INSTORE")</f>
        <v>3.64</v>
      </c>
      <c r="K343" s="105">
        <f>SUMIFS($I$342:$I$342,$C$342:$C$342,"AMBELE")+SUMIFS($I$342:$I$342,$C$342:$C$342,"DELIVERY")</f>
        <v>3.64</v>
      </c>
    </row>
    <row r="344" spans="1:11" x14ac:dyDescent="0.2">
      <c r="A344" s="26" t="s">
        <v>145</v>
      </c>
      <c r="B344" s="26" t="s">
        <v>566</v>
      </c>
      <c r="C344" s="26" t="s">
        <v>506</v>
      </c>
      <c r="D344" s="26" t="s">
        <v>550</v>
      </c>
      <c r="E344" s="26" t="s">
        <v>551</v>
      </c>
      <c r="F344" s="101">
        <v>1</v>
      </c>
      <c r="G344" s="26" t="s">
        <v>509</v>
      </c>
      <c r="H344" s="102">
        <f>IFERROR(VLOOKUP($D344,NOMENCLATOR!$A:$F,6,FALSE()),"")*IF(OR($G344="g",$G344="ml"),0.001,1)</f>
        <v>2.36</v>
      </c>
      <c r="I344" s="102">
        <f t="shared" ref="I344:I350" si="15">IFERROR($F344*$H344,"")</f>
        <v>2.36</v>
      </c>
    </row>
    <row r="345" spans="1:11" x14ac:dyDescent="0.2">
      <c r="A345" s="26" t="s">
        <v>145</v>
      </c>
      <c r="B345" s="26" t="s">
        <v>566</v>
      </c>
      <c r="C345" s="26" t="s">
        <v>506</v>
      </c>
      <c r="D345" s="26" t="s">
        <v>567</v>
      </c>
      <c r="E345" s="26" t="s">
        <v>489</v>
      </c>
      <c r="F345" s="101">
        <v>2</v>
      </c>
      <c r="G345" s="26" t="s">
        <v>509</v>
      </c>
      <c r="H345" s="102">
        <f>IFERROR(VLOOKUP($D345,NOMENCLATOR!$A:$F,6,FALSE()),"")*IF(OR($G345="g",$G345="ml"),0.001,1)</f>
        <v>3.57</v>
      </c>
      <c r="I345" s="102">
        <f t="shared" si="15"/>
        <v>7.14</v>
      </c>
    </row>
    <row r="346" spans="1:11" x14ac:dyDescent="0.2">
      <c r="A346" s="26" t="s">
        <v>145</v>
      </c>
      <c r="B346" s="26" t="s">
        <v>566</v>
      </c>
      <c r="C346" s="26" t="s">
        <v>506</v>
      </c>
      <c r="D346" s="26" t="s">
        <v>617</v>
      </c>
      <c r="E346" s="26" t="s">
        <v>618</v>
      </c>
      <c r="F346" s="101">
        <v>1</v>
      </c>
      <c r="G346" s="26" t="s">
        <v>509</v>
      </c>
      <c r="H346" s="102">
        <f>IFERROR(VLOOKUP($D346,NOMENCLATOR!$A:$F,6,FALSE()),"")*IF(OR($G346="g",$G346="ml"),0.001,1)</f>
        <v>0.69299999999999995</v>
      </c>
      <c r="I346" s="102">
        <f t="shared" si="15"/>
        <v>0.69299999999999995</v>
      </c>
    </row>
    <row r="347" spans="1:11" x14ac:dyDescent="0.2">
      <c r="A347" s="26" t="s">
        <v>145</v>
      </c>
      <c r="B347" s="26" t="s">
        <v>566</v>
      </c>
      <c r="C347" s="26" t="s">
        <v>506</v>
      </c>
      <c r="D347" s="26" t="s">
        <v>619</v>
      </c>
      <c r="E347" s="26" t="s">
        <v>620</v>
      </c>
      <c r="F347" s="101">
        <v>1</v>
      </c>
      <c r="G347" s="26" t="s">
        <v>509</v>
      </c>
      <c r="H347" s="102">
        <f>IFERROR(VLOOKUP($D347,NOMENCLATOR!$A:$F,6,FALSE()),"")*IF(OR($G347="g",$G347="ml"),0.001,1)</f>
        <v>0.11</v>
      </c>
      <c r="I347" s="102">
        <f t="shared" si="15"/>
        <v>0.11</v>
      </c>
    </row>
    <row r="348" spans="1:11" x14ac:dyDescent="0.2">
      <c r="A348" s="26" t="s">
        <v>145</v>
      </c>
      <c r="B348" s="26" t="s">
        <v>566</v>
      </c>
      <c r="C348" s="26" t="s">
        <v>506</v>
      </c>
      <c r="D348" s="26" t="s">
        <v>621</v>
      </c>
      <c r="E348" s="26" t="s">
        <v>622</v>
      </c>
      <c r="F348" s="101">
        <v>40</v>
      </c>
      <c r="G348" s="26" t="s">
        <v>514</v>
      </c>
      <c r="H348" s="102">
        <f>IFERROR(VLOOKUP($D348,NOMENCLATOR!$A:$F,6,FALSE()),"")*IF(OR($G348="g",$G348="ml"),0.001,1)</f>
        <v>3.5110300000000004E-2</v>
      </c>
      <c r="I348" s="102">
        <f t="shared" si="15"/>
        <v>1.4044120000000002</v>
      </c>
    </row>
    <row r="349" spans="1:11" x14ac:dyDescent="0.2">
      <c r="A349" s="26" t="s">
        <v>145</v>
      </c>
      <c r="B349" s="26" t="s">
        <v>566</v>
      </c>
      <c r="C349" s="26" t="s">
        <v>506</v>
      </c>
      <c r="D349" s="26" t="s">
        <v>623</v>
      </c>
      <c r="E349" s="26" t="s">
        <v>624</v>
      </c>
      <c r="F349" s="101">
        <v>15</v>
      </c>
      <c r="G349" s="26" t="s">
        <v>529</v>
      </c>
      <c r="H349" s="102">
        <f>IFERROR(VLOOKUP($D349,NOMENCLATOR!$A:$F,6,FALSE()),"")*IF(OR($G349="g",$G349="ml"),0.001,1)</f>
        <v>2.6576880000000001E-2</v>
      </c>
      <c r="I349" s="102">
        <f t="shared" si="15"/>
        <v>0.39865319999999999</v>
      </c>
    </row>
    <row r="350" spans="1:11" x14ac:dyDescent="0.2">
      <c r="A350" s="26" t="s">
        <v>145</v>
      </c>
      <c r="B350" s="26" t="s">
        <v>566</v>
      </c>
      <c r="C350" s="26" t="s">
        <v>506</v>
      </c>
      <c r="D350" s="26" t="s">
        <v>530</v>
      </c>
      <c r="E350" s="26" t="s">
        <v>531</v>
      </c>
      <c r="F350" s="101">
        <v>2</v>
      </c>
      <c r="G350" s="26" t="s">
        <v>509</v>
      </c>
      <c r="H350" s="102">
        <f>IFERROR(VLOOKUP($D350,NOMENCLATOR!$A:$F,6,FALSE()),"")*IF(OR($G350="g",$G350="ml"),0.001,1)</f>
        <v>0.63</v>
      </c>
      <c r="I350" s="102">
        <f t="shared" si="15"/>
        <v>1.26</v>
      </c>
    </row>
    <row r="351" spans="1:11" x14ac:dyDescent="0.2">
      <c r="A351" s="103" t="s">
        <v>145</v>
      </c>
      <c r="B351" s="104"/>
      <c r="C351" s="104"/>
      <c r="D351" s="104"/>
      <c r="E351" s="103" t="s">
        <v>510</v>
      </c>
      <c r="F351" s="104"/>
      <c r="G351" s="104"/>
      <c r="H351" s="104"/>
      <c r="I351" s="104"/>
      <c r="J351" s="105">
        <f>SUMIFS($I$344:$I$350,$C$344:$C$350,"AMBELE")+SUMIFS($I$344:$I$350,$C$344:$C$350,"INSTORE")</f>
        <v>13.3660652</v>
      </c>
      <c r="K351" s="105">
        <f>SUMIFS($I$344:$I$350,$C$344:$C$350,"AMBELE")+SUMIFS($I$344:$I$350,$C$344:$C$350,"DELIVERY")</f>
        <v>13.3660652</v>
      </c>
    </row>
    <row r="352" spans="1:11" x14ac:dyDescent="0.2">
      <c r="A352" s="26" t="s">
        <v>146</v>
      </c>
      <c r="B352" s="26" t="s">
        <v>566</v>
      </c>
      <c r="C352" s="26" t="s">
        <v>506</v>
      </c>
      <c r="D352" s="26" t="s">
        <v>550</v>
      </c>
      <c r="E352" s="26" t="s">
        <v>551</v>
      </c>
      <c r="F352" s="101">
        <v>1</v>
      </c>
      <c r="G352" s="26" t="s">
        <v>509</v>
      </c>
      <c r="H352" s="102">
        <f>IFERROR(VLOOKUP($D352,NOMENCLATOR!$A:$F,6,FALSE()),"")*IF(OR($G352="g",$G352="ml"),0.001,1)</f>
        <v>2.36</v>
      </c>
      <c r="I352" s="102">
        <f t="shared" ref="I352:I359" si="16">IFERROR($F352*$H352,"")</f>
        <v>2.36</v>
      </c>
    </row>
    <row r="353" spans="1:11" x14ac:dyDescent="0.2">
      <c r="A353" s="26" t="s">
        <v>146</v>
      </c>
      <c r="B353" s="26" t="s">
        <v>566</v>
      </c>
      <c r="C353" s="26" t="s">
        <v>506</v>
      </c>
      <c r="D353" s="26" t="s">
        <v>567</v>
      </c>
      <c r="E353" s="26" t="s">
        <v>489</v>
      </c>
      <c r="F353" s="101">
        <v>2</v>
      </c>
      <c r="G353" s="26" t="s">
        <v>509</v>
      </c>
      <c r="H353" s="102">
        <f>IFERROR(VLOOKUP($D353,NOMENCLATOR!$A:$F,6,FALSE()),"")*IF(OR($G353="g",$G353="ml"),0.001,1)</f>
        <v>3.57</v>
      </c>
      <c r="I353" s="102">
        <f t="shared" si="16"/>
        <v>7.14</v>
      </c>
    </row>
    <row r="354" spans="1:11" x14ac:dyDescent="0.2">
      <c r="A354" s="26" t="s">
        <v>146</v>
      </c>
      <c r="B354" s="26" t="s">
        <v>566</v>
      </c>
      <c r="C354" s="26" t="s">
        <v>506</v>
      </c>
      <c r="D354" s="26" t="s">
        <v>530</v>
      </c>
      <c r="E354" s="26" t="s">
        <v>531</v>
      </c>
      <c r="F354" s="101">
        <v>2</v>
      </c>
      <c r="G354" s="26" t="s">
        <v>509</v>
      </c>
      <c r="H354" s="102">
        <f>IFERROR(VLOOKUP($D354,NOMENCLATOR!$A:$F,6,FALSE()),"")*IF(OR($G354="g",$G354="ml"),0.001,1)</f>
        <v>0.63</v>
      </c>
      <c r="I354" s="102">
        <f t="shared" si="16"/>
        <v>1.26</v>
      </c>
    </row>
    <row r="355" spans="1:11" x14ac:dyDescent="0.2">
      <c r="A355" s="26" t="s">
        <v>146</v>
      </c>
      <c r="B355" s="26" t="s">
        <v>566</v>
      </c>
      <c r="C355" s="26" t="s">
        <v>506</v>
      </c>
      <c r="D355" s="26" t="s">
        <v>719</v>
      </c>
      <c r="E355" s="26" t="s">
        <v>720</v>
      </c>
      <c r="F355" s="101">
        <v>1</v>
      </c>
      <c r="G355" s="26" t="s">
        <v>509</v>
      </c>
      <c r="H355" s="102">
        <f>IFERROR(VLOOKUP($D355,NOMENCLATOR!$A:$F,6,FALSE()),"")*IF(OR($G355="g",$G355="ml"),0.001,1)</f>
        <v>0.107</v>
      </c>
      <c r="I355" s="102">
        <f t="shared" si="16"/>
        <v>0.107</v>
      </c>
    </row>
    <row r="356" spans="1:11" x14ac:dyDescent="0.2">
      <c r="A356" s="26" t="s">
        <v>146</v>
      </c>
      <c r="B356" s="26" t="s">
        <v>566</v>
      </c>
      <c r="C356" s="26" t="s">
        <v>506</v>
      </c>
      <c r="D356" s="26" t="s">
        <v>629</v>
      </c>
      <c r="E356" s="26" t="s">
        <v>630</v>
      </c>
      <c r="F356" s="101">
        <v>10</v>
      </c>
      <c r="G356" s="26" t="s">
        <v>514</v>
      </c>
      <c r="H356" s="102">
        <f>IFERROR(VLOOKUP($D356,NOMENCLATOR!$A:$F,6,FALSE()),"")*IF(OR($G356="g",$G356="ml"),0.001,1)</f>
        <v>2.2149310000000002E-2</v>
      </c>
      <c r="I356" s="102">
        <f t="shared" si="16"/>
        <v>0.22149310000000003</v>
      </c>
    </row>
    <row r="357" spans="1:11" x14ac:dyDescent="0.2">
      <c r="A357" s="26" t="s">
        <v>146</v>
      </c>
      <c r="B357" s="26" t="s">
        <v>566</v>
      </c>
      <c r="C357" s="26" t="s">
        <v>506</v>
      </c>
      <c r="D357" s="26" t="s">
        <v>666</v>
      </c>
      <c r="E357" s="26" t="s">
        <v>667</v>
      </c>
      <c r="F357" s="101">
        <v>1.4</v>
      </c>
      <c r="G357" s="26" t="s">
        <v>514</v>
      </c>
      <c r="H357" s="102">
        <f>IFERROR(VLOOKUP($D357,NOMENCLATOR!$A:$F,6,FALSE()),"")*IF(OR($G357="g",$G357="ml"),0.001,1)</f>
        <v>3.3000000000000002E-2</v>
      </c>
      <c r="I357" s="102">
        <f t="shared" si="16"/>
        <v>4.6199999999999998E-2</v>
      </c>
    </row>
    <row r="358" spans="1:11" x14ac:dyDescent="0.2">
      <c r="A358" s="26" t="s">
        <v>146</v>
      </c>
      <c r="B358" s="26" t="s">
        <v>566</v>
      </c>
      <c r="C358" s="26" t="s">
        <v>506</v>
      </c>
      <c r="D358" s="26" t="s">
        <v>668</v>
      </c>
      <c r="E358" s="26" t="s">
        <v>669</v>
      </c>
      <c r="F358" s="101">
        <v>10</v>
      </c>
      <c r="G358" s="26" t="s">
        <v>529</v>
      </c>
      <c r="H358" s="102">
        <f>IFERROR(VLOOKUP($D358,NOMENCLATOR!$A:$F,6,FALSE()),"")*IF(OR($G358="g",$G358="ml"),0.001,1)</f>
        <v>7.0000000000000001E-3</v>
      </c>
      <c r="I358" s="102">
        <f t="shared" si="16"/>
        <v>7.0000000000000007E-2</v>
      </c>
    </row>
    <row r="359" spans="1:11" x14ac:dyDescent="0.2">
      <c r="A359" s="26" t="s">
        <v>146</v>
      </c>
      <c r="B359" s="26" t="s">
        <v>566</v>
      </c>
      <c r="C359" s="26" t="s">
        <v>506</v>
      </c>
      <c r="D359" s="26" t="s">
        <v>634</v>
      </c>
      <c r="E359" s="26" t="s">
        <v>635</v>
      </c>
      <c r="F359" s="101">
        <v>5.6</v>
      </c>
      <c r="G359" s="26" t="s">
        <v>529</v>
      </c>
      <c r="H359" s="102">
        <f>IFERROR(VLOOKUP($D359,NOMENCLATOR!$A:$F,6,FALSE()),"")*IF(OR($G359="g",$G359="ml"),0.001,1)</f>
        <v>1.554E-2</v>
      </c>
      <c r="I359" s="102">
        <f t="shared" si="16"/>
        <v>8.702399999999999E-2</v>
      </c>
    </row>
    <row r="360" spans="1:11" x14ac:dyDescent="0.2">
      <c r="A360" s="103" t="s">
        <v>146</v>
      </c>
      <c r="B360" s="104"/>
      <c r="C360" s="104"/>
      <c r="D360" s="104"/>
      <c r="E360" s="103" t="s">
        <v>510</v>
      </c>
      <c r="F360" s="104"/>
      <c r="G360" s="104"/>
      <c r="H360" s="104"/>
      <c r="I360" s="104"/>
      <c r="J360" s="105">
        <f>SUMIFS($I$352:$I$359,$C$352:$C$359,"AMBELE")+SUMIFS($I$352:$I$359,$C$352:$C$359,"INSTORE")</f>
        <v>11.2917171</v>
      </c>
      <c r="K360" s="105">
        <f>SUMIFS($I$352:$I$359,$C$352:$C$359,"AMBELE")+SUMIFS($I$352:$I$359,$C$352:$C$359,"DELIVERY")</f>
        <v>11.2917171</v>
      </c>
    </row>
    <row r="361" spans="1:11" x14ac:dyDescent="0.2">
      <c r="A361" s="26" t="s">
        <v>178</v>
      </c>
      <c r="B361" s="26" t="s">
        <v>672</v>
      </c>
      <c r="C361" s="26" t="s">
        <v>506</v>
      </c>
      <c r="D361" s="26" t="s">
        <v>550</v>
      </c>
      <c r="E361" s="26" t="s">
        <v>551</v>
      </c>
      <c r="F361" s="101">
        <v>1</v>
      </c>
      <c r="G361" s="26" t="s">
        <v>509</v>
      </c>
      <c r="H361" s="102">
        <f>IFERROR(VLOOKUP($D361,NOMENCLATOR!$A:$F,6,FALSE()),"")*IF(OR($G361="g",$G361="ml"),0.001,1)</f>
        <v>2.36</v>
      </c>
      <c r="I361" s="102">
        <f t="shared" ref="I361:I368" si="17">IFERROR($F361*$H361,"")</f>
        <v>2.36</v>
      </c>
    </row>
    <row r="362" spans="1:11" x14ac:dyDescent="0.2">
      <c r="A362" s="26" t="s">
        <v>178</v>
      </c>
      <c r="B362" s="26" t="s">
        <v>672</v>
      </c>
      <c r="C362" s="26" t="s">
        <v>506</v>
      </c>
      <c r="D362" s="26" t="s">
        <v>562</v>
      </c>
      <c r="E362" s="26" t="s">
        <v>563</v>
      </c>
      <c r="F362" s="101">
        <v>2</v>
      </c>
      <c r="G362" s="26" t="s">
        <v>509</v>
      </c>
      <c r="H362" s="102">
        <f>IFERROR(VLOOKUP($D362,NOMENCLATOR!$A:$F,6,FALSE()),"")*IF(OR($G362="g",$G362="ml"),0.001,1)</f>
        <v>1.1499999999999999</v>
      </c>
      <c r="I362" s="102">
        <f t="shared" si="17"/>
        <v>2.2999999999999998</v>
      </c>
    </row>
    <row r="363" spans="1:11" x14ac:dyDescent="0.2">
      <c r="A363" s="26" t="s">
        <v>178</v>
      </c>
      <c r="B363" s="26" t="s">
        <v>672</v>
      </c>
      <c r="C363" s="26" t="s">
        <v>506</v>
      </c>
      <c r="D363" s="26" t="s">
        <v>513</v>
      </c>
      <c r="E363" s="26" t="s">
        <v>492</v>
      </c>
      <c r="F363" s="101">
        <v>40</v>
      </c>
      <c r="G363" s="26" t="s">
        <v>514</v>
      </c>
      <c r="H363" s="102">
        <f>IFERROR(VLOOKUP($D363,NOMENCLATOR!$A:$F,6,FALSE()),"")*IF(OR($G363="g",$G363="ml"),0.001,1)</f>
        <v>1.6897059999999998E-2</v>
      </c>
      <c r="I363" s="102">
        <f t="shared" si="17"/>
        <v>0.67588239999999988</v>
      </c>
    </row>
    <row r="364" spans="1:11" x14ac:dyDescent="0.2">
      <c r="A364" s="26" t="s">
        <v>178</v>
      </c>
      <c r="B364" s="26" t="s">
        <v>672</v>
      </c>
      <c r="C364" s="26" t="s">
        <v>506</v>
      </c>
      <c r="D364" s="26" t="s">
        <v>621</v>
      </c>
      <c r="E364" s="26" t="s">
        <v>622</v>
      </c>
      <c r="F364" s="101">
        <v>30</v>
      </c>
      <c r="G364" s="26" t="s">
        <v>514</v>
      </c>
      <c r="H364" s="102">
        <f>IFERROR(VLOOKUP($D364,NOMENCLATOR!$A:$F,6,FALSE()),"")*IF(OR($G364="g",$G364="ml"),0.001,1)</f>
        <v>3.5110300000000004E-2</v>
      </c>
      <c r="I364" s="102">
        <f t="shared" si="17"/>
        <v>1.0533090000000001</v>
      </c>
    </row>
    <row r="365" spans="1:11" x14ac:dyDescent="0.2">
      <c r="A365" s="26" t="s">
        <v>178</v>
      </c>
      <c r="B365" s="26" t="s">
        <v>672</v>
      </c>
      <c r="C365" s="26" t="s">
        <v>506</v>
      </c>
      <c r="D365" s="26" t="s">
        <v>623</v>
      </c>
      <c r="E365" s="26" t="s">
        <v>624</v>
      </c>
      <c r="F365" s="101">
        <v>15</v>
      </c>
      <c r="G365" s="26" t="s">
        <v>529</v>
      </c>
      <c r="H365" s="102">
        <f>IFERROR(VLOOKUP($D365,NOMENCLATOR!$A:$F,6,FALSE()),"")*IF(OR($G365="g",$G365="ml"),0.001,1)</f>
        <v>2.6576880000000001E-2</v>
      </c>
      <c r="I365" s="102">
        <f t="shared" si="17"/>
        <v>0.39865319999999999</v>
      </c>
    </row>
    <row r="366" spans="1:11" x14ac:dyDescent="0.2">
      <c r="A366" s="26" t="s">
        <v>178</v>
      </c>
      <c r="B366" s="26" t="s">
        <v>672</v>
      </c>
      <c r="C366" s="26" t="s">
        <v>506</v>
      </c>
      <c r="D366" s="26" t="s">
        <v>530</v>
      </c>
      <c r="E366" s="26" t="s">
        <v>531</v>
      </c>
      <c r="F366" s="101">
        <v>1</v>
      </c>
      <c r="G366" s="26" t="s">
        <v>509</v>
      </c>
      <c r="H366" s="102">
        <f>IFERROR(VLOOKUP($D366,NOMENCLATOR!$A:$F,6,FALSE()),"")*IF(OR($G366="g",$G366="ml"),0.001,1)</f>
        <v>0.63</v>
      </c>
      <c r="I366" s="102">
        <f t="shared" si="17"/>
        <v>0.63</v>
      </c>
    </row>
    <row r="367" spans="1:11" x14ac:dyDescent="0.2">
      <c r="A367" s="26" t="s">
        <v>178</v>
      </c>
      <c r="B367" s="26" t="s">
        <v>672</v>
      </c>
      <c r="C367" s="26" t="s">
        <v>506</v>
      </c>
      <c r="D367" s="26" t="s">
        <v>634</v>
      </c>
      <c r="E367" s="26" t="s">
        <v>635</v>
      </c>
      <c r="F367" s="101">
        <v>11.2</v>
      </c>
      <c r="G367" s="26" t="s">
        <v>529</v>
      </c>
      <c r="H367" s="102">
        <f>IFERROR(VLOOKUP($D367,NOMENCLATOR!$A:$F,6,FALSE()),"")*IF(OR($G367="g",$G367="ml"),0.001,1)</f>
        <v>1.554E-2</v>
      </c>
      <c r="I367" s="102">
        <f t="shared" si="17"/>
        <v>0.17404799999999998</v>
      </c>
    </row>
    <row r="368" spans="1:11" x14ac:dyDescent="0.2">
      <c r="A368" s="26" t="s">
        <v>178</v>
      </c>
      <c r="B368" s="26" t="s">
        <v>672</v>
      </c>
      <c r="C368" s="26" t="s">
        <v>506</v>
      </c>
      <c r="D368" s="26" t="s">
        <v>689</v>
      </c>
      <c r="E368" s="26" t="s">
        <v>690</v>
      </c>
      <c r="F368" s="101">
        <v>1</v>
      </c>
      <c r="G368" s="26" t="s">
        <v>509</v>
      </c>
      <c r="H368" s="102">
        <f>IFERROR(VLOOKUP($D368,NOMENCLATOR!$A:$F,6,FALSE()),"")*IF(OR($G368="g",$G368="ml"),0.001,1)</f>
        <v>0.13</v>
      </c>
      <c r="I368" s="102">
        <f t="shared" si="17"/>
        <v>0.13</v>
      </c>
    </row>
    <row r="369" spans="1:11" x14ac:dyDescent="0.2">
      <c r="A369" s="103" t="s">
        <v>178</v>
      </c>
      <c r="B369" s="104"/>
      <c r="C369" s="104"/>
      <c r="D369" s="104"/>
      <c r="E369" s="103" t="s">
        <v>510</v>
      </c>
      <c r="F369" s="104"/>
      <c r="G369" s="104"/>
      <c r="H369" s="104"/>
      <c r="I369" s="104"/>
      <c r="J369" s="105">
        <f>SUMIFS($I$361:$I$368,$C$361:$C$368,"AMBELE")+SUMIFS($I$361:$I$368,$C$361:$C$368,"INSTORE")</f>
        <v>7.7218925999999994</v>
      </c>
      <c r="K369" s="105">
        <f>SUMIFS($I$361:$I$368,$C$361:$C$368,"AMBELE")+SUMIFS($I$361:$I$368,$C$361:$C$368,"DELIVERY")</f>
        <v>7.7218925999999994</v>
      </c>
    </row>
    <row r="370" spans="1:11" x14ac:dyDescent="0.2">
      <c r="A370" s="26" t="s">
        <v>200</v>
      </c>
      <c r="B370" s="26" t="s">
        <v>566</v>
      </c>
      <c r="C370" s="26" t="s">
        <v>506</v>
      </c>
      <c r="D370" s="26" t="s">
        <v>550</v>
      </c>
      <c r="E370" s="26" t="s">
        <v>551</v>
      </c>
      <c r="F370" s="101">
        <v>1</v>
      </c>
      <c r="G370" s="26" t="s">
        <v>509</v>
      </c>
      <c r="H370" s="102">
        <f>IFERROR(VLOOKUP($D370,NOMENCLATOR!$A:$F,6,FALSE()),"")*IF(OR($G370="g",$G370="ml"),0.001,1)</f>
        <v>2.36</v>
      </c>
      <c r="I370" s="102">
        <f t="shared" ref="I370:I376" si="18">IFERROR($F370*$H370,"")</f>
        <v>2.36</v>
      </c>
    </row>
    <row r="371" spans="1:11" x14ac:dyDescent="0.2">
      <c r="A371" s="26" t="s">
        <v>200</v>
      </c>
      <c r="B371" s="26" t="s">
        <v>566</v>
      </c>
      <c r="C371" s="26" t="s">
        <v>506</v>
      </c>
      <c r="D371" s="26" t="s">
        <v>567</v>
      </c>
      <c r="E371" s="26" t="s">
        <v>489</v>
      </c>
      <c r="F371" s="101">
        <v>2</v>
      </c>
      <c r="G371" s="26" t="s">
        <v>509</v>
      </c>
      <c r="H371" s="102">
        <f>IFERROR(VLOOKUP($D371,NOMENCLATOR!$A:$F,6,FALSE()),"")*IF(OR($G371="g",$G371="ml"),0.001,1)</f>
        <v>3.57</v>
      </c>
      <c r="I371" s="102">
        <f t="shared" si="18"/>
        <v>7.14</v>
      </c>
    </row>
    <row r="372" spans="1:11" x14ac:dyDescent="0.2">
      <c r="A372" s="26" t="s">
        <v>200</v>
      </c>
      <c r="B372" s="26" t="s">
        <v>566</v>
      </c>
      <c r="C372" s="26" t="s">
        <v>506</v>
      </c>
      <c r="D372" s="26" t="s">
        <v>719</v>
      </c>
      <c r="E372" s="26" t="s">
        <v>720</v>
      </c>
      <c r="F372" s="101">
        <v>1</v>
      </c>
      <c r="G372" s="26" t="s">
        <v>509</v>
      </c>
      <c r="H372" s="102">
        <f>IFERROR(VLOOKUP($D372,NOMENCLATOR!$A:$F,6,FALSE()),"")*IF(OR($G372="g",$G372="ml"),0.001,1)</f>
        <v>0.107</v>
      </c>
      <c r="I372" s="102">
        <f t="shared" si="18"/>
        <v>0.107</v>
      </c>
    </row>
    <row r="373" spans="1:11" x14ac:dyDescent="0.2">
      <c r="A373" s="26" t="s">
        <v>200</v>
      </c>
      <c r="B373" s="26" t="s">
        <v>566</v>
      </c>
      <c r="C373" s="26" t="s">
        <v>506</v>
      </c>
      <c r="D373" s="26" t="s">
        <v>629</v>
      </c>
      <c r="E373" s="26" t="s">
        <v>630</v>
      </c>
      <c r="F373" s="101">
        <v>10</v>
      </c>
      <c r="G373" s="26" t="s">
        <v>514</v>
      </c>
      <c r="H373" s="102">
        <f>IFERROR(VLOOKUP($D373,NOMENCLATOR!$A:$F,6,FALSE()),"")*IF(OR($G373="g",$G373="ml"),0.001,1)</f>
        <v>2.2149310000000002E-2</v>
      </c>
      <c r="I373" s="102">
        <f t="shared" si="18"/>
        <v>0.22149310000000003</v>
      </c>
    </row>
    <row r="374" spans="1:11" x14ac:dyDescent="0.2">
      <c r="A374" s="26" t="s">
        <v>200</v>
      </c>
      <c r="B374" s="26" t="s">
        <v>566</v>
      </c>
      <c r="C374" s="26" t="s">
        <v>506</v>
      </c>
      <c r="D374" s="26" t="s">
        <v>666</v>
      </c>
      <c r="E374" s="26" t="s">
        <v>667</v>
      </c>
      <c r="F374" s="101">
        <v>1.4</v>
      </c>
      <c r="G374" s="26" t="s">
        <v>514</v>
      </c>
      <c r="H374" s="102">
        <f>IFERROR(VLOOKUP($D374,NOMENCLATOR!$A:$F,6,FALSE()),"")*IF(OR($G374="g",$G374="ml"),0.001,1)</f>
        <v>3.3000000000000002E-2</v>
      </c>
      <c r="I374" s="102">
        <f t="shared" si="18"/>
        <v>4.6199999999999998E-2</v>
      </c>
    </row>
    <row r="375" spans="1:11" x14ac:dyDescent="0.2">
      <c r="A375" s="26" t="s">
        <v>200</v>
      </c>
      <c r="B375" s="26" t="s">
        <v>566</v>
      </c>
      <c r="C375" s="26" t="s">
        <v>506</v>
      </c>
      <c r="D375" s="26" t="s">
        <v>668</v>
      </c>
      <c r="E375" s="26" t="s">
        <v>669</v>
      </c>
      <c r="F375" s="101">
        <v>10</v>
      </c>
      <c r="G375" s="26" t="s">
        <v>529</v>
      </c>
      <c r="H375" s="102">
        <f>IFERROR(VLOOKUP($D375,NOMENCLATOR!$A:$F,6,FALSE()),"")*IF(OR($G375="g",$G375="ml"),0.001,1)</f>
        <v>7.0000000000000001E-3</v>
      </c>
      <c r="I375" s="102">
        <f t="shared" si="18"/>
        <v>7.0000000000000007E-2</v>
      </c>
    </row>
    <row r="376" spans="1:11" x14ac:dyDescent="0.2">
      <c r="A376" s="26" t="s">
        <v>200</v>
      </c>
      <c r="B376" s="26" t="s">
        <v>566</v>
      </c>
      <c r="C376" s="26" t="s">
        <v>506</v>
      </c>
      <c r="D376" s="26" t="s">
        <v>634</v>
      </c>
      <c r="E376" s="26" t="s">
        <v>635</v>
      </c>
      <c r="F376" s="101">
        <v>5.6</v>
      </c>
      <c r="G376" s="26" t="s">
        <v>529</v>
      </c>
      <c r="H376" s="102">
        <f>IFERROR(VLOOKUP($D376,NOMENCLATOR!$A:$F,6,FALSE()),"")*IF(OR($G376="g",$G376="ml"),0.001,1)</f>
        <v>1.554E-2</v>
      </c>
      <c r="I376" s="102">
        <f t="shared" si="18"/>
        <v>8.702399999999999E-2</v>
      </c>
    </row>
    <row r="377" spans="1:11" x14ac:dyDescent="0.2">
      <c r="A377" s="103" t="s">
        <v>200</v>
      </c>
      <c r="B377" s="104"/>
      <c r="C377" s="104"/>
      <c r="D377" s="104"/>
      <c r="E377" s="103" t="s">
        <v>510</v>
      </c>
      <c r="F377" s="104"/>
      <c r="G377" s="104"/>
      <c r="H377" s="104"/>
      <c r="I377" s="104"/>
      <c r="J377" s="105">
        <f>SUMIFS($I$370:$I$376,$C$370:$C$376,"AMBELE")+SUMIFS($I$370:$I$376,$C$370:$C$376,"INSTORE")</f>
        <v>10.0317171</v>
      </c>
      <c r="K377" s="105">
        <f>SUMIFS($I$370:$I$376,$C$370:$C$376,"AMBELE")+SUMIFS($I$370:$I$376,$C$370:$C$376,"DELIVERY")</f>
        <v>10.0317171</v>
      </c>
    </row>
    <row r="378" spans="1:11" x14ac:dyDescent="0.2">
      <c r="A378" s="26" t="s">
        <v>180</v>
      </c>
      <c r="B378" s="26" t="s">
        <v>672</v>
      </c>
      <c r="C378" s="26" t="s">
        <v>506</v>
      </c>
      <c r="D378" s="26" t="s">
        <v>550</v>
      </c>
      <c r="E378" s="26" t="s">
        <v>551</v>
      </c>
      <c r="F378" s="101">
        <v>1</v>
      </c>
      <c r="G378" s="26" t="s">
        <v>509</v>
      </c>
      <c r="H378" s="102">
        <f>IFERROR(VLOOKUP($D378,NOMENCLATOR!$A:$F,6,FALSE()),"")*IF(OR($G378="g",$G378="ml"),0.001,1)</f>
        <v>2.36</v>
      </c>
      <c r="I378" s="102">
        <f t="shared" ref="I378:I384" si="19">IFERROR($F378*$H378,"")</f>
        <v>2.36</v>
      </c>
    </row>
    <row r="379" spans="1:11" x14ac:dyDescent="0.2">
      <c r="A379" s="26" t="s">
        <v>180</v>
      </c>
      <c r="B379" s="26" t="s">
        <v>672</v>
      </c>
      <c r="C379" s="26" t="s">
        <v>506</v>
      </c>
      <c r="D379" s="26" t="s">
        <v>562</v>
      </c>
      <c r="E379" s="26" t="s">
        <v>563</v>
      </c>
      <c r="F379" s="101">
        <v>2</v>
      </c>
      <c r="G379" s="26" t="s">
        <v>509</v>
      </c>
      <c r="H379" s="102">
        <f>IFERROR(VLOOKUP($D379,NOMENCLATOR!$A:$F,6,FALSE()),"")*IF(OR($G379="g",$G379="ml"),0.001,1)</f>
        <v>1.1499999999999999</v>
      </c>
      <c r="I379" s="102">
        <f t="shared" si="19"/>
        <v>2.2999999999999998</v>
      </c>
    </row>
    <row r="380" spans="1:11" x14ac:dyDescent="0.2">
      <c r="A380" s="26" t="s">
        <v>180</v>
      </c>
      <c r="B380" s="26" t="s">
        <v>672</v>
      </c>
      <c r="C380" s="26" t="s">
        <v>506</v>
      </c>
      <c r="D380" s="26" t="s">
        <v>689</v>
      </c>
      <c r="E380" s="26" t="s">
        <v>690</v>
      </c>
      <c r="F380" s="101">
        <v>1</v>
      </c>
      <c r="G380" s="26" t="s">
        <v>509</v>
      </c>
      <c r="H380" s="102">
        <f>IFERROR(VLOOKUP($D380,NOMENCLATOR!$A:$F,6,FALSE()),"")*IF(OR($G380="g",$G380="ml"),0.001,1)</f>
        <v>0.13</v>
      </c>
      <c r="I380" s="102">
        <f t="shared" si="19"/>
        <v>0.13</v>
      </c>
    </row>
    <row r="381" spans="1:11" x14ac:dyDescent="0.2">
      <c r="A381" s="26" t="s">
        <v>180</v>
      </c>
      <c r="B381" s="26" t="s">
        <v>672</v>
      </c>
      <c r="C381" s="26" t="s">
        <v>506</v>
      </c>
      <c r="D381" s="26" t="s">
        <v>513</v>
      </c>
      <c r="E381" s="26" t="s">
        <v>492</v>
      </c>
      <c r="F381" s="101">
        <v>40</v>
      </c>
      <c r="G381" s="26" t="s">
        <v>514</v>
      </c>
      <c r="H381" s="102">
        <f>IFERROR(VLOOKUP($D381,NOMENCLATOR!$A:$F,6,FALSE()),"")*IF(OR($G381="g",$G381="ml"),0.001,1)</f>
        <v>1.6897059999999998E-2</v>
      </c>
      <c r="I381" s="102">
        <f t="shared" si="19"/>
        <v>0.67588239999999988</v>
      </c>
    </row>
    <row r="382" spans="1:11" x14ac:dyDescent="0.2">
      <c r="A382" s="26" t="s">
        <v>180</v>
      </c>
      <c r="B382" s="26" t="s">
        <v>672</v>
      </c>
      <c r="C382" s="26" t="s">
        <v>506</v>
      </c>
      <c r="D382" s="26" t="s">
        <v>631</v>
      </c>
      <c r="E382" s="26" t="s">
        <v>491</v>
      </c>
      <c r="F382" s="101">
        <v>20</v>
      </c>
      <c r="G382" s="26" t="s">
        <v>514</v>
      </c>
      <c r="H382" s="102">
        <f>IFERROR(VLOOKUP($D382,NOMENCLATOR!$A:$F,6,FALSE()),"")*IF(OR($G382="g",$G382="ml"),0.001,1)</f>
        <v>2.2999820000000001E-2</v>
      </c>
      <c r="I382" s="102">
        <f t="shared" si="19"/>
        <v>0.45999640000000003</v>
      </c>
    </row>
    <row r="383" spans="1:11" x14ac:dyDescent="0.2">
      <c r="A383" s="26" t="s">
        <v>180</v>
      </c>
      <c r="B383" s="26" t="s">
        <v>672</v>
      </c>
      <c r="C383" s="26" t="s">
        <v>506</v>
      </c>
      <c r="D383" s="26" t="s">
        <v>632</v>
      </c>
      <c r="E383" s="26" t="s">
        <v>633</v>
      </c>
      <c r="F383" s="101">
        <v>15</v>
      </c>
      <c r="G383" s="26" t="s">
        <v>529</v>
      </c>
      <c r="H383" s="102">
        <f>IFERROR(VLOOKUP($D383,NOMENCLATOR!$A:$F,6,FALSE()),"")*IF(OR($G383="g",$G383="ml"),0.001,1)</f>
        <v>1.9992780000000002E-2</v>
      </c>
      <c r="I383" s="102">
        <f t="shared" si="19"/>
        <v>0.29989170000000004</v>
      </c>
    </row>
    <row r="384" spans="1:11" x14ac:dyDescent="0.2">
      <c r="A384" s="26" t="s">
        <v>180</v>
      </c>
      <c r="B384" s="26" t="s">
        <v>672</v>
      </c>
      <c r="C384" s="26" t="s">
        <v>506</v>
      </c>
      <c r="D384" s="26" t="s">
        <v>634</v>
      </c>
      <c r="E384" s="26" t="s">
        <v>635</v>
      </c>
      <c r="F384" s="101">
        <v>5.6</v>
      </c>
      <c r="G384" s="26" t="s">
        <v>529</v>
      </c>
      <c r="H384" s="102">
        <f>IFERROR(VLOOKUP($D384,NOMENCLATOR!$A:$F,6,FALSE()),"")*IF(OR($G384="g",$G384="ml"),0.001,1)</f>
        <v>1.554E-2</v>
      </c>
      <c r="I384" s="102">
        <f t="shared" si="19"/>
        <v>8.702399999999999E-2</v>
      </c>
    </row>
    <row r="385" spans="1:11" x14ac:dyDescent="0.2">
      <c r="A385" s="103" t="s">
        <v>180</v>
      </c>
      <c r="B385" s="104"/>
      <c r="C385" s="104"/>
      <c r="D385" s="104"/>
      <c r="E385" s="103" t="s">
        <v>510</v>
      </c>
      <c r="F385" s="104"/>
      <c r="G385" s="104"/>
      <c r="H385" s="104"/>
      <c r="I385" s="104"/>
      <c r="J385" s="105">
        <f>SUMIFS($I$378:$I$384,$C$378:$C$384,"AMBELE")+SUMIFS($I$378:$I$384,$C$378:$C$384,"INSTORE")</f>
        <v>6.312794499999999</v>
      </c>
      <c r="K385" s="105">
        <f>SUMIFS($I$378:$I$384,$C$378:$C$384,"AMBELE")+SUMIFS($I$378:$I$384,$C$378:$C$384,"DELIVERY")</f>
        <v>6.312794499999999</v>
      </c>
    </row>
    <row r="386" spans="1:11" x14ac:dyDescent="0.2">
      <c r="A386" s="26" t="s">
        <v>169</v>
      </c>
      <c r="B386" s="26" t="s">
        <v>566</v>
      </c>
      <c r="C386" s="26" t="s">
        <v>506</v>
      </c>
      <c r="D386" s="26" t="s">
        <v>550</v>
      </c>
      <c r="E386" s="26" t="s">
        <v>551</v>
      </c>
      <c r="F386" s="101">
        <v>1</v>
      </c>
      <c r="G386" s="26" t="s">
        <v>509</v>
      </c>
      <c r="H386" s="102">
        <f>IFERROR(VLOOKUP($D386,NOMENCLATOR!$A:$F,6,FALSE()),"")*IF(OR($G386="g",$G386="ml"),0.001,1)</f>
        <v>2.36</v>
      </c>
      <c r="I386" s="102">
        <f t="shared" ref="I386:I394" si="20">IFERROR($F386*$H386,"")</f>
        <v>2.36</v>
      </c>
    </row>
    <row r="387" spans="1:11" x14ac:dyDescent="0.2">
      <c r="A387" s="26" t="s">
        <v>169</v>
      </c>
      <c r="B387" s="26" t="s">
        <v>566</v>
      </c>
      <c r="C387" s="26" t="s">
        <v>506</v>
      </c>
      <c r="D387" s="26" t="s">
        <v>721</v>
      </c>
      <c r="E387" s="26" t="s">
        <v>722</v>
      </c>
      <c r="F387" s="101">
        <v>30</v>
      </c>
      <c r="G387" s="26" t="s">
        <v>514</v>
      </c>
      <c r="H387" s="102">
        <f>IFERROR(VLOOKUP($D387,NOMENCLATOR!$A:$F,6,FALSE()),"")*IF(OR($G387="g",$G387="ml"),0.001,1)</f>
        <v>3.9498510000000001E-2</v>
      </c>
      <c r="I387" s="102">
        <f t="shared" si="20"/>
        <v>1.1849552999999999</v>
      </c>
    </row>
    <row r="388" spans="1:11" x14ac:dyDescent="0.2">
      <c r="A388" s="26" t="s">
        <v>169</v>
      </c>
      <c r="B388" s="26" t="s">
        <v>566</v>
      </c>
      <c r="C388" s="26" t="s">
        <v>506</v>
      </c>
      <c r="D388" s="26" t="s">
        <v>623</v>
      </c>
      <c r="E388" s="26" t="s">
        <v>624</v>
      </c>
      <c r="F388" s="101">
        <v>15</v>
      </c>
      <c r="G388" s="26" t="s">
        <v>529</v>
      </c>
      <c r="H388" s="102">
        <f>IFERROR(VLOOKUP($D388,NOMENCLATOR!$A:$F,6,FALSE()),"")*IF(OR($G388="g",$G388="ml"),0.001,1)</f>
        <v>2.6576880000000001E-2</v>
      </c>
      <c r="I388" s="102">
        <f t="shared" si="20"/>
        <v>0.39865319999999999</v>
      </c>
    </row>
    <row r="389" spans="1:11" x14ac:dyDescent="0.2">
      <c r="A389" s="26" t="s">
        <v>169</v>
      </c>
      <c r="B389" s="26" t="s">
        <v>566</v>
      </c>
      <c r="C389" s="26" t="s">
        <v>506</v>
      </c>
      <c r="D389" s="26" t="s">
        <v>556</v>
      </c>
      <c r="E389" s="26" t="s">
        <v>557</v>
      </c>
      <c r="F389" s="101">
        <v>15</v>
      </c>
      <c r="G389" s="26" t="s">
        <v>529</v>
      </c>
      <c r="H389" s="102">
        <f>IFERROR(VLOOKUP($D389,NOMENCLATOR!$A:$F,6,FALSE()),"")*IF(OR($G389="g",$G389="ml"),0.001,1)</f>
        <v>2.0073709999999998E-2</v>
      </c>
      <c r="I389" s="102">
        <f t="shared" si="20"/>
        <v>0.30110564999999995</v>
      </c>
    </row>
    <row r="390" spans="1:11" x14ac:dyDescent="0.2">
      <c r="A390" s="26" t="s">
        <v>169</v>
      </c>
      <c r="B390" s="26" t="s">
        <v>566</v>
      </c>
      <c r="C390" s="26" t="s">
        <v>506</v>
      </c>
      <c r="D390" s="26" t="s">
        <v>530</v>
      </c>
      <c r="E390" s="26" t="s">
        <v>531</v>
      </c>
      <c r="F390" s="101">
        <v>2</v>
      </c>
      <c r="G390" s="26" t="s">
        <v>509</v>
      </c>
      <c r="H390" s="102">
        <f>IFERROR(VLOOKUP($D390,NOMENCLATOR!$A:$F,6,FALSE()),"")*IF(OR($G390="g",$G390="ml"),0.001,1)</f>
        <v>0.63</v>
      </c>
      <c r="I390" s="102">
        <f t="shared" si="20"/>
        <v>1.26</v>
      </c>
    </row>
    <row r="391" spans="1:11" x14ac:dyDescent="0.2">
      <c r="A391" s="26" t="s">
        <v>169</v>
      </c>
      <c r="B391" s="26" t="s">
        <v>566</v>
      </c>
      <c r="C391" s="26" t="s">
        <v>506</v>
      </c>
      <c r="D391" s="26" t="s">
        <v>567</v>
      </c>
      <c r="E391" s="26" t="s">
        <v>489</v>
      </c>
      <c r="F391" s="101">
        <v>2</v>
      </c>
      <c r="G391" s="26" t="s">
        <v>509</v>
      </c>
      <c r="H391" s="102">
        <f>IFERROR(VLOOKUP($D391,NOMENCLATOR!$A:$F,6,FALSE()),"")*IF(OR($G391="g",$G391="ml"),0.001,1)</f>
        <v>3.57</v>
      </c>
      <c r="I391" s="102">
        <f t="shared" si="20"/>
        <v>7.14</v>
      </c>
    </row>
    <row r="392" spans="1:11" x14ac:dyDescent="0.2">
      <c r="A392" s="26" t="s">
        <v>169</v>
      </c>
      <c r="B392" s="26" t="s">
        <v>566</v>
      </c>
      <c r="C392" s="26" t="s">
        <v>506</v>
      </c>
      <c r="D392" s="26" t="s">
        <v>527</v>
      </c>
      <c r="E392" s="26" t="s">
        <v>528</v>
      </c>
      <c r="F392" s="101">
        <v>28</v>
      </c>
      <c r="G392" s="26" t="s">
        <v>529</v>
      </c>
      <c r="H392" s="102">
        <f>IFERROR(VLOOKUP($D392,NOMENCLATOR!$A:$F,6,FALSE()),"")*IF(OR($G392="g",$G392="ml"),0.001,1)</f>
        <v>5.0773430000000001E-2</v>
      </c>
      <c r="I392" s="102">
        <f t="shared" si="20"/>
        <v>1.42165604</v>
      </c>
    </row>
    <row r="393" spans="1:11" x14ac:dyDescent="0.2">
      <c r="A393" s="26" t="s">
        <v>169</v>
      </c>
      <c r="B393" s="26" t="s">
        <v>566</v>
      </c>
      <c r="C393" s="26" t="s">
        <v>506</v>
      </c>
      <c r="D393" s="26" t="s">
        <v>619</v>
      </c>
      <c r="E393" s="26" t="s">
        <v>620</v>
      </c>
      <c r="F393" s="101">
        <v>1</v>
      </c>
      <c r="G393" s="26" t="s">
        <v>509</v>
      </c>
      <c r="H393" s="102">
        <f>IFERROR(VLOOKUP($D393,NOMENCLATOR!$A:$F,6,FALSE()),"")*IF(OR($G393="g",$G393="ml"),0.001,1)</f>
        <v>0.11</v>
      </c>
      <c r="I393" s="102">
        <f t="shared" si="20"/>
        <v>0.11</v>
      </c>
    </row>
    <row r="394" spans="1:11" x14ac:dyDescent="0.2">
      <c r="A394" s="26" t="s">
        <v>169</v>
      </c>
      <c r="B394" s="26" t="s">
        <v>566</v>
      </c>
      <c r="C394" s="26" t="s">
        <v>506</v>
      </c>
      <c r="D394" s="26" t="s">
        <v>723</v>
      </c>
      <c r="E394" s="26" t="s">
        <v>724</v>
      </c>
      <c r="F394" s="101">
        <v>1</v>
      </c>
      <c r="G394" s="26" t="s">
        <v>509</v>
      </c>
      <c r="H394" s="102">
        <f>IFERROR(VLOOKUP($D394,NOMENCLATOR!$A:$F,6,FALSE()),"")*IF(OR($G394="g",$G394="ml"),0.001,1)</f>
        <v>0.69299999999999995</v>
      </c>
      <c r="I394" s="102">
        <f t="shared" si="20"/>
        <v>0.69299999999999995</v>
      </c>
    </row>
    <row r="395" spans="1:11" x14ac:dyDescent="0.2">
      <c r="A395" s="103" t="s">
        <v>169</v>
      </c>
      <c r="B395" s="104"/>
      <c r="C395" s="104"/>
      <c r="D395" s="104"/>
      <c r="E395" s="103" t="s">
        <v>510</v>
      </c>
      <c r="F395" s="104"/>
      <c r="G395" s="104"/>
      <c r="H395" s="104"/>
      <c r="I395" s="104"/>
      <c r="J395" s="105">
        <f>SUMIFS($I$386:$I$394,$C$386:$C$394,"AMBELE")+SUMIFS($I$386:$I$394,$C$386:$C$394,"INSTORE")</f>
        <v>14.869370189999998</v>
      </c>
      <c r="K395" s="105">
        <f>SUMIFS($I$386:$I$394,$C$386:$C$394,"AMBELE")+SUMIFS($I$386:$I$394,$C$386:$C$394,"DELIVERY")</f>
        <v>14.869370189999998</v>
      </c>
    </row>
    <row r="396" spans="1:11" x14ac:dyDescent="0.2">
      <c r="A396" s="26" t="s">
        <v>143</v>
      </c>
      <c r="B396" s="26" t="s">
        <v>566</v>
      </c>
      <c r="C396" s="26" t="s">
        <v>506</v>
      </c>
      <c r="D396" s="26" t="s">
        <v>550</v>
      </c>
      <c r="E396" s="26" t="s">
        <v>551</v>
      </c>
      <c r="F396" s="101">
        <v>1</v>
      </c>
      <c r="G396" s="26" t="s">
        <v>509</v>
      </c>
      <c r="H396" s="102">
        <f>IFERROR(VLOOKUP($D396,NOMENCLATOR!$A:$F,6,FALSE()),"")*IF(OR($G396="g",$G396="ml"),0.001,1)</f>
        <v>2.36</v>
      </c>
      <c r="I396" s="102">
        <f t="shared" ref="I396:I403" si="21">IFERROR($F396*$H396,"")</f>
        <v>2.36</v>
      </c>
    </row>
    <row r="397" spans="1:11" x14ac:dyDescent="0.2">
      <c r="A397" s="26" t="s">
        <v>143</v>
      </c>
      <c r="B397" s="26" t="s">
        <v>566</v>
      </c>
      <c r="C397" s="26" t="s">
        <v>506</v>
      </c>
      <c r="D397" s="26" t="s">
        <v>567</v>
      </c>
      <c r="E397" s="26" t="s">
        <v>489</v>
      </c>
      <c r="F397" s="101">
        <v>2</v>
      </c>
      <c r="G397" s="26" t="s">
        <v>509</v>
      </c>
      <c r="H397" s="102">
        <f>IFERROR(VLOOKUP($D397,NOMENCLATOR!$A:$F,6,FALSE()),"")*IF(OR($G397="g",$G397="ml"),0.001,1)</f>
        <v>3.57</v>
      </c>
      <c r="I397" s="102">
        <f t="shared" si="21"/>
        <v>7.14</v>
      </c>
    </row>
    <row r="398" spans="1:11" x14ac:dyDescent="0.2">
      <c r="A398" s="26" t="s">
        <v>143</v>
      </c>
      <c r="B398" s="26" t="s">
        <v>566</v>
      </c>
      <c r="C398" s="26" t="s">
        <v>506</v>
      </c>
      <c r="D398" s="26" t="s">
        <v>530</v>
      </c>
      <c r="E398" s="26" t="s">
        <v>531</v>
      </c>
      <c r="F398" s="101">
        <v>2</v>
      </c>
      <c r="G398" s="26" t="s">
        <v>509</v>
      </c>
      <c r="H398" s="102">
        <f>IFERROR(VLOOKUP($D398,NOMENCLATOR!$A:$F,6,FALSE()),"")*IF(OR($G398="g",$G398="ml"),0.001,1)</f>
        <v>0.63</v>
      </c>
      <c r="I398" s="102">
        <f t="shared" si="21"/>
        <v>1.26</v>
      </c>
    </row>
    <row r="399" spans="1:11" x14ac:dyDescent="0.2">
      <c r="A399" s="26" t="s">
        <v>143</v>
      </c>
      <c r="B399" s="26" t="s">
        <v>566</v>
      </c>
      <c r="C399" s="26" t="s">
        <v>506</v>
      </c>
      <c r="D399" s="26" t="s">
        <v>668</v>
      </c>
      <c r="E399" s="26" t="s">
        <v>669</v>
      </c>
      <c r="F399" s="101">
        <v>20</v>
      </c>
      <c r="G399" s="26" t="s">
        <v>529</v>
      </c>
      <c r="H399" s="102">
        <f>IFERROR(VLOOKUP($D399,NOMENCLATOR!$A:$F,6,FALSE()),"")*IF(OR($G399="g",$G399="ml"),0.001,1)</f>
        <v>7.0000000000000001E-3</v>
      </c>
      <c r="I399" s="102">
        <f t="shared" si="21"/>
        <v>0.14000000000000001</v>
      </c>
    </row>
    <row r="400" spans="1:11" x14ac:dyDescent="0.2">
      <c r="A400" s="26" t="s">
        <v>143</v>
      </c>
      <c r="B400" s="26" t="s">
        <v>566</v>
      </c>
      <c r="C400" s="26" t="s">
        <v>506</v>
      </c>
      <c r="D400" s="26" t="s">
        <v>634</v>
      </c>
      <c r="E400" s="26" t="s">
        <v>635</v>
      </c>
      <c r="F400" s="101">
        <v>11.2</v>
      </c>
      <c r="G400" s="26" t="s">
        <v>529</v>
      </c>
      <c r="H400" s="102">
        <f>IFERROR(VLOOKUP($D400,NOMENCLATOR!$A:$F,6,FALSE()),"")*IF(OR($G400="g",$G400="ml"),0.001,1)</f>
        <v>1.554E-2</v>
      </c>
      <c r="I400" s="102">
        <f t="shared" si="21"/>
        <v>0.17404799999999998</v>
      </c>
    </row>
    <row r="401" spans="1:11" x14ac:dyDescent="0.2">
      <c r="A401" s="26" t="s">
        <v>143</v>
      </c>
      <c r="B401" s="26" t="s">
        <v>566</v>
      </c>
      <c r="C401" s="26" t="s">
        <v>506</v>
      </c>
      <c r="D401" s="26" t="s">
        <v>725</v>
      </c>
      <c r="E401" s="26" t="s">
        <v>726</v>
      </c>
      <c r="F401" s="101">
        <v>1</v>
      </c>
      <c r="G401" s="26" t="s">
        <v>509</v>
      </c>
      <c r="H401" s="102">
        <f>IFERROR(VLOOKUP($D401,NOMENCLATOR!$A:$F,6,FALSE()),"")*IF(OR($G401="g",$G401="ml"),0.001,1)</f>
        <v>0.69299999999999995</v>
      </c>
      <c r="I401" s="102">
        <f t="shared" si="21"/>
        <v>0.69299999999999995</v>
      </c>
    </row>
    <row r="402" spans="1:11" x14ac:dyDescent="0.2">
      <c r="A402" s="26" t="s">
        <v>143</v>
      </c>
      <c r="B402" s="26" t="s">
        <v>566</v>
      </c>
      <c r="C402" s="26" t="s">
        <v>506</v>
      </c>
      <c r="D402" s="26" t="s">
        <v>619</v>
      </c>
      <c r="E402" s="26" t="s">
        <v>620</v>
      </c>
      <c r="F402" s="101">
        <v>1</v>
      </c>
      <c r="G402" s="26" t="s">
        <v>509</v>
      </c>
      <c r="H402" s="102">
        <f>IFERROR(VLOOKUP($D402,NOMENCLATOR!$A:$F,6,FALSE()),"")*IF(OR($G402="g",$G402="ml"),0.001,1)</f>
        <v>0.11</v>
      </c>
      <c r="I402" s="102">
        <f t="shared" si="21"/>
        <v>0.11</v>
      </c>
    </row>
    <row r="403" spans="1:11" x14ac:dyDescent="0.2">
      <c r="A403" s="26" t="s">
        <v>143</v>
      </c>
      <c r="B403" s="26" t="s">
        <v>566</v>
      </c>
      <c r="C403" s="26" t="s">
        <v>506</v>
      </c>
      <c r="D403" s="26" t="s">
        <v>727</v>
      </c>
      <c r="E403" s="26" t="s">
        <v>728</v>
      </c>
      <c r="F403" s="101">
        <v>30</v>
      </c>
      <c r="G403" s="26" t="s">
        <v>514</v>
      </c>
      <c r="H403" s="102">
        <f>IFERROR(VLOOKUP($D403,NOMENCLATOR!$A:$F,6,FALSE()),"")*IF(OR($G403="g",$G403="ml"),0.001,1)</f>
        <v>2.7028079999999999E-2</v>
      </c>
      <c r="I403" s="102">
        <f t="shared" si="21"/>
        <v>0.81084239999999996</v>
      </c>
    </row>
    <row r="404" spans="1:11" x14ac:dyDescent="0.2">
      <c r="A404" s="103" t="s">
        <v>143</v>
      </c>
      <c r="B404" s="104"/>
      <c r="C404" s="104"/>
      <c r="D404" s="104"/>
      <c r="E404" s="103" t="s">
        <v>510</v>
      </c>
      <c r="F404" s="104"/>
      <c r="G404" s="104"/>
      <c r="H404" s="104"/>
      <c r="I404" s="104"/>
      <c r="J404" s="105">
        <f>SUMIFS($I$396:$I$403,$C$396:$C$403,"AMBELE")+SUMIFS($I$396:$I$403,$C$396:$C$403,"INSTORE")</f>
        <v>12.687890400000001</v>
      </c>
      <c r="K404" s="105">
        <f>SUMIFS($I$396:$I$403,$C$396:$C$403,"AMBELE")+SUMIFS($I$396:$I$403,$C$396:$C$403,"DELIVERY")</f>
        <v>12.687890400000001</v>
      </c>
    </row>
    <row r="405" spans="1:11" x14ac:dyDescent="0.2">
      <c r="A405" s="26" t="s">
        <v>281</v>
      </c>
      <c r="B405" s="26" t="s">
        <v>104</v>
      </c>
      <c r="C405" s="26" t="s">
        <v>506</v>
      </c>
      <c r="D405" s="26" t="s">
        <v>572</v>
      </c>
      <c r="E405" s="26" t="s">
        <v>573</v>
      </c>
      <c r="F405" s="101">
        <v>12</v>
      </c>
      <c r="G405" s="26" t="s">
        <v>529</v>
      </c>
      <c r="H405" s="102">
        <f>IFERROR(VLOOKUP($D405,NOMENCLATOR!$A:$F,6,FALSE()),"")*IF(OR($G405="g",$G405="ml"),0.001,1)</f>
        <v>0.23816300000000001</v>
      </c>
      <c r="I405" s="102">
        <f>IFERROR($F405*$H405,"")</f>
        <v>2.8579560000000002</v>
      </c>
    </row>
    <row r="406" spans="1:11" x14ac:dyDescent="0.2">
      <c r="A406" s="26" t="s">
        <v>281</v>
      </c>
      <c r="B406" s="26" t="s">
        <v>104</v>
      </c>
      <c r="C406" s="26" t="s">
        <v>506</v>
      </c>
      <c r="D406" s="26" t="s">
        <v>729</v>
      </c>
      <c r="E406" s="26" t="s">
        <v>730</v>
      </c>
      <c r="F406" s="101">
        <v>1</v>
      </c>
      <c r="G406" s="26" t="s">
        <v>509</v>
      </c>
      <c r="H406" s="102">
        <f>IFERROR(VLOOKUP($D406,NOMENCLATOR!$A:$F,6,FALSE()),"")*IF(OR($G406="g",$G406="ml"),0.001,1)</f>
        <v>0.30099999999999999</v>
      </c>
      <c r="I406" s="102">
        <f>IFERROR($F406*$H406,"")</f>
        <v>0.30099999999999999</v>
      </c>
    </row>
    <row r="407" spans="1:11" x14ac:dyDescent="0.2">
      <c r="A407" s="26" t="s">
        <v>281</v>
      </c>
      <c r="B407" s="26" t="s">
        <v>104</v>
      </c>
      <c r="C407" s="26" t="s">
        <v>506</v>
      </c>
      <c r="D407" s="26" t="s">
        <v>731</v>
      </c>
      <c r="E407" s="26" t="s">
        <v>732</v>
      </c>
      <c r="F407" s="101">
        <v>1</v>
      </c>
      <c r="G407" s="26" t="s">
        <v>509</v>
      </c>
      <c r="H407" s="102">
        <f>IFERROR(VLOOKUP($D407,NOMENCLATOR!$A:$F,6,FALSE()),"")*IF(OR($G407="g",$G407="ml"),0.001,1)</f>
        <v>0.123</v>
      </c>
      <c r="I407" s="102">
        <f>IFERROR($F407*$H407,"")</f>
        <v>0.123</v>
      </c>
    </row>
    <row r="408" spans="1:11" x14ac:dyDescent="0.2">
      <c r="A408" s="26" t="s">
        <v>281</v>
      </c>
      <c r="B408" s="26" t="s">
        <v>104</v>
      </c>
      <c r="C408" s="26" t="s">
        <v>506</v>
      </c>
      <c r="D408" s="26" t="s">
        <v>578</v>
      </c>
      <c r="E408" s="26" t="s">
        <v>579</v>
      </c>
      <c r="F408" s="101">
        <v>1</v>
      </c>
      <c r="G408" s="26" t="s">
        <v>509</v>
      </c>
      <c r="H408" s="102">
        <f>IFERROR(VLOOKUP($D408,NOMENCLATOR!$A:$F,6,FALSE()),"")*IF(OR($G408="g",$G408="ml"),0.001,1)</f>
        <v>1.2999999999999999E-2</v>
      </c>
      <c r="I408" s="102">
        <f>IFERROR($F408*$H408,"")</f>
        <v>1.2999999999999999E-2</v>
      </c>
    </row>
    <row r="409" spans="1:11" x14ac:dyDescent="0.2">
      <c r="A409" s="103" t="s">
        <v>281</v>
      </c>
      <c r="B409" s="104"/>
      <c r="C409" s="104"/>
      <c r="D409" s="104"/>
      <c r="E409" s="103" t="s">
        <v>510</v>
      </c>
      <c r="F409" s="104"/>
      <c r="G409" s="104"/>
      <c r="H409" s="104"/>
      <c r="I409" s="104"/>
      <c r="J409" s="105">
        <f>SUMIFS($I$405:$I$408,$C$405:$C$408,"AMBELE")+SUMIFS($I$405:$I$408,$C$405:$C$408,"INSTORE")</f>
        <v>3.294956</v>
      </c>
      <c r="K409" s="105">
        <f>SUMIFS($I$405:$I$408,$C$405:$C$408,"AMBELE")+SUMIFS($I$405:$I$408,$C$405:$C$408,"DELIVERY")</f>
        <v>3.294956</v>
      </c>
    </row>
    <row r="410" spans="1:11" x14ac:dyDescent="0.2">
      <c r="A410" s="26" t="s">
        <v>296</v>
      </c>
      <c r="B410" s="26" t="s">
        <v>104</v>
      </c>
      <c r="C410" s="26" t="s">
        <v>506</v>
      </c>
      <c r="D410" s="26" t="s">
        <v>572</v>
      </c>
      <c r="E410" s="26" t="s">
        <v>573</v>
      </c>
      <c r="F410" s="101">
        <v>14</v>
      </c>
      <c r="G410" s="26" t="s">
        <v>529</v>
      </c>
      <c r="H410" s="102">
        <f>IFERROR(VLOOKUP($D410,NOMENCLATOR!$A:$F,6,FALSE()),"")*IF(OR($G410="g",$G410="ml"),0.001,1)</f>
        <v>0.23816300000000001</v>
      </c>
      <c r="I410" s="102">
        <f>IFERROR($F410*$H410,"")</f>
        <v>3.334282</v>
      </c>
    </row>
    <row r="411" spans="1:11" x14ac:dyDescent="0.2">
      <c r="A411" s="26" t="s">
        <v>296</v>
      </c>
      <c r="B411" s="26" t="s">
        <v>104</v>
      </c>
      <c r="C411" s="26" t="s">
        <v>506</v>
      </c>
      <c r="D411" s="26" t="s">
        <v>729</v>
      </c>
      <c r="E411" s="26" t="s">
        <v>730</v>
      </c>
      <c r="F411" s="101">
        <v>1</v>
      </c>
      <c r="G411" s="26" t="s">
        <v>509</v>
      </c>
      <c r="H411" s="102">
        <f>IFERROR(VLOOKUP($D411,NOMENCLATOR!$A:$F,6,FALSE()),"")*IF(OR($G411="g",$G411="ml"),0.001,1)</f>
        <v>0.30099999999999999</v>
      </c>
      <c r="I411" s="102">
        <f>IFERROR($F411*$H411,"")</f>
        <v>0.30099999999999999</v>
      </c>
    </row>
    <row r="412" spans="1:11" x14ac:dyDescent="0.2">
      <c r="A412" s="26" t="s">
        <v>296</v>
      </c>
      <c r="B412" s="26" t="s">
        <v>104</v>
      </c>
      <c r="C412" s="26" t="s">
        <v>506</v>
      </c>
      <c r="D412" s="26" t="s">
        <v>731</v>
      </c>
      <c r="E412" s="26" t="s">
        <v>732</v>
      </c>
      <c r="F412" s="101">
        <v>1</v>
      </c>
      <c r="G412" s="26" t="s">
        <v>509</v>
      </c>
      <c r="H412" s="102">
        <f>IFERROR(VLOOKUP($D412,NOMENCLATOR!$A:$F,6,FALSE()),"")*IF(OR($G412="g",$G412="ml"),0.001,1)</f>
        <v>0.123</v>
      </c>
      <c r="I412" s="102">
        <f>IFERROR($F412*$H412,"")</f>
        <v>0.123</v>
      </c>
    </row>
    <row r="413" spans="1:11" x14ac:dyDescent="0.2">
      <c r="A413" s="26" t="s">
        <v>296</v>
      </c>
      <c r="B413" s="26" t="s">
        <v>104</v>
      </c>
      <c r="C413" s="26" t="s">
        <v>506</v>
      </c>
      <c r="D413" s="26" t="s">
        <v>578</v>
      </c>
      <c r="E413" s="26" t="s">
        <v>579</v>
      </c>
      <c r="F413" s="101">
        <v>1</v>
      </c>
      <c r="G413" s="26" t="s">
        <v>509</v>
      </c>
      <c r="H413" s="102">
        <f>IFERROR(VLOOKUP($D413,NOMENCLATOR!$A:$F,6,FALSE()),"")*IF(OR($G413="g",$G413="ml"),0.001,1)</f>
        <v>1.2999999999999999E-2</v>
      </c>
      <c r="I413" s="102">
        <f>IFERROR($F413*$H413,"")</f>
        <v>1.2999999999999999E-2</v>
      </c>
    </row>
    <row r="414" spans="1:11" x14ac:dyDescent="0.2">
      <c r="A414" s="103" t="s">
        <v>296</v>
      </c>
      <c r="B414" s="104"/>
      <c r="C414" s="104"/>
      <c r="D414" s="104"/>
      <c r="E414" s="103" t="s">
        <v>510</v>
      </c>
      <c r="F414" s="104"/>
      <c r="G414" s="104"/>
      <c r="H414" s="104"/>
      <c r="I414" s="104"/>
      <c r="J414" s="105">
        <f>SUMIFS($I$410:$I$413,$C$410:$C$413,"AMBELE")+SUMIFS($I$410:$I$413,$C$410:$C$413,"INSTORE")</f>
        <v>3.7712820000000002</v>
      </c>
      <c r="K414" s="105">
        <f>SUMIFS($I$410:$I$413,$C$410:$C$413,"AMBELE")+SUMIFS($I$410:$I$413,$C$410:$C$413,"DELIVERY")</f>
        <v>3.7712820000000002</v>
      </c>
    </row>
    <row r="415" spans="1:11" x14ac:dyDescent="0.2">
      <c r="A415" s="26" t="s">
        <v>317</v>
      </c>
      <c r="B415" s="26" t="s">
        <v>107</v>
      </c>
      <c r="C415" s="26" t="s">
        <v>506</v>
      </c>
      <c r="D415" s="26" t="s">
        <v>733</v>
      </c>
      <c r="E415" s="26" t="s">
        <v>734</v>
      </c>
      <c r="F415" s="101">
        <v>1</v>
      </c>
      <c r="G415" s="26" t="s">
        <v>509</v>
      </c>
      <c r="H415" s="102">
        <f>IFERROR(VLOOKUP($D415,NOMENCLATOR!$A:$F,6,FALSE()),"")*IF(OR($G415="g",$G415="ml"),0.001,1)</f>
        <v>2.75</v>
      </c>
      <c r="I415" s="102">
        <f>IFERROR($F415*$H415,"")</f>
        <v>2.75</v>
      </c>
    </row>
    <row r="416" spans="1:11" x14ac:dyDescent="0.2">
      <c r="A416" s="26" t="s">
        <v>317</v>
      </c>
      <c r="B416" s="26" t="s">
        <v>107</v>
      </c>
      <c r="C416" s="26" t="s">
        <v>506</v>
      </c>
      <c r="D416" s="26" t="s">
        <v>513</v>
      </c>
      <c r="E416" s="26" t="s">
        <v>492</v>
      </c>
      <c r="F416" s="101">
        <v>6</v>
      </c>
      <c r="G416" s="26" t="s">
        <v>514</v>
      </c>
      <c r="H416" s="102">
        <f>IFERROR(VLOOKUP($D416,NOMENCLATOR!$A:$F,6,FALSE()),"")*IF(OR($G416="g",$G416="ml"),0.001,1)</f>
        <v>1.6897059999999998E-2</v>
      </c>
      <c r="I416" s="102">
        <f>IFERROR($F416*$H416,"")</f>
        <v>0.10138235999999999</v>
      </c>
    </row>
    <row r="417" spans="1:11" x14ac:dyDescent="0.2">
      <c r="A417" s="103" t="s">
        <v>317</v>
      </c>
      <c r="B417" s="104"/>
      <c r="C417" s="104"/>
      <c r="D417" s="104"/>
      <c r="E417" s="103" t="s">
        <v>510</v>
      </c>
      <c r="F417" s="104"/>
      <c r="G417" s="104"/>
      <c r="H417" s="104"/>
      <c r="I417" s="104"/>
      <c r="J417" s="105">
        <f>SUMIFS($I$415:$I$416,$C$415:$C$416,"AMBELE")+SUMIFS($I$415:$I$416,$C$415:$C$416,"INSTORE")</f>
        <v>2.8513823600000001</v>
      </c>
      <c r="K417" s="105">
        <f>SUMIFS($I$415:$I$416,$C$415:$C$416,"AMBELE")+SUMIFS($I$415:$I$416,$C$415:$C$416,"DELIVERY")</f>
        <v>2.8513823600000001</v>
      </c>
    </row>
    <row r="418" spans="1:11" x14ac:dyDescent="0.2">
      <c r="A418" s="26" t="s">
        <v>261</v>
      </c>
      <c r="B418" s="26" t="s">
        <v>107</v>
      </c>
      <c r="C418" s="26" t="s">
        <v>506</v>
      </c>
      <c r="D418" s="26" t="s">
        <v>735</v>
      </c>
      <c r="E418" s="26" t="s">
        <v>736</v>
      </c>
      <c r="F418" s="101">
        <v>1</v>
      </c>
      <c r="G418" s="26" t="s">
        <v>509</v>
      </c>
      <c r="H418" s="102">
        <f>IFERROR(VLOOKUP($D418,NOMENCLATOR!$A:$F,6,FALSE()),"")*IF(OR($G418="g",$G418="ml"),0.001,1)</f>
        <v>0.31900000000000001</v>
      </c>
      <c r="I418" s="102">
        <f>IFERROR($F418*$H418,"")</f>
        <v>0.31900000000000001</v>
      </c>
    </row>
    <row r="419" spans="1:11" x14ac:dyDescent="0.2">
      <c r="A419" s="26" t="s">
        <v>261</v>
      </c>
      <c r="B419" s="26" t="s">
        <v>107</v>
      </c>
      <c r="C419" s="26" t="s">
        <v>506</v>
      </c>
      <c r="D419" s="26" t="s">
        <v>737</v>
      </c>
      <c r="E419" s="26" t="s">
        <v>738</v>
      </c>
      <c r="F419" s="101">
        <v>1</v>
      </c>
      <c r="G419" s="26" t="s">
        <v>509</v>
      </c>
      <c r="H419" s="102">
        <f>IFERROR(VLOOKUP($D419,NOMENCLATOR!$A:$F,6,FALSE()),"")*IF(OR($G419="g",$G419="ml"),0.001,1)</f>
        <v>0.17299999999999999</v>
      </c>
      <c r="I419" s="102">
        <f>IFERROR($F419*$H419,"")</f>
        <v>0.17299999999999999</v>
      </c>
    </row>
    <row r="420" spans="1:11" x14ac:dyDescent="0.2">
      <c r="A420" s="103" t="s">
        <v>261</v>
      </c>
      <c r="B420" s="104"/>
      <c r="C420" s="104"/>
      <c r="D420" s="104"/>
      <c r="E420" s="103" t="s">
        <v>510</v>
      </c>
      <c r="F420" s="104"/>
      <c r="G420" s="104"/>
      <c r="H420" s="104"/>
      <c r="I420" s="104"/>
      <c r="J420" s="105">
        <f>SUMIFS($I$418:$I$419,$C$418:$C$419,"AMBELE")+SUMIFS($I$418:$I$419,$C$418:$C$419,"INSTORE")</f>
        <v>0.49199999999999999</v>
      </c>
      <c r="K420" s="105">
        <f>SUMIFS($I$418:$I$419,$C$418:$C$419,"AMBELE")+SUMIFS($I$418:$I$419,$C$418:$C$419,"DELIVERY")</f>
        <v>0.49199999999999999</v>
      </c>
    </row>
    <row r="421" spans="1:11" x14ac:dyDescent="0.2">
      <c r="A421" s="26" t="s">
        <v>236</v>
      </c>
      <c r="B421" s="26" t="s">
        <v>107</v>
      </c>
      <c r="C421" s="26" t="s">
        <v>506</v>
      </c>
      <c r="D421" s="26" t="s">
        <v>735</v>
      </c>
      <c r="E421" s="26" t="s">
        <v>736</v>
      </c>
      <c r="F421" s="101">
        <v>1</v>
      </c>
      <c r="G421" s="26" t="s">
        <v>509</v>
      </c>
      <c r="H421" s="102">
        <f>IFERROR(VLOOKUP($D421,NOMENCLATOR!$A:$F,6,FALSE()),"")*IF(OR($G421="g",$G421="ml"),0.001,1)</f>
        <v>0.31900000000000001</v>
      </c>
      <c r="I421" s="102">
        <f>IFERROR($F421*$H421,"")</f>
        <v>0.31900000000000001</v>
      </c>
    </row>
    <row r="422" spans="1:11" x14ac:dyDescent="0.2">
      <c r="A422" s="26" t="s">
        <v>236</v>
      </c>
      <c r="B422" s="26" t="s">
        <v>107</v>
      </c>
      <c r="C422" s="26" t="s">
        <v>506</v>
      </c>
      <c r="D422" s="26" t="s">
        <v>739</v>
      </c>
      <c r="E422" s="26" t="s">
        <v>740</v>
      </c>
      <c r="F422" s="101">
        <v>1</v>
      </c>
      <c r="G422" s="26" t="s">
        <v>509</v>
      </c>
      <c r="H422" s="102">
        <f>IFERROR(VLOOKUP($D422,NOMENCLATOR!$A:$F,6,FALSE()),"")*IF(OR($G422="g",$G422="ml"),0.001,1)</f>
        <v>0.44600000000000001</v>
      </c>
      <c r="I422" s="102">
        <f>IFERROR($F422*$H422,"")</f>
        <v>0.44600000000000001</v>
      </c>
    </row>
    <row r="423" spans="1:11" x14ac:dyDescent="0.2">
      <c r="A423" s="103" t="s">
        <v>236</v>
      </c>
      <c r="B423" s="104"/>
      <c r="C423" s="104"/>
      <c r="D423" s="104"/>
      <c r="E423" s="103" t="s">
        <v>510</v>
      </c>
      <c r="F423" s="104"/>
      <c r="G423" s="104"/>
      <c r="H423" s="104"/>
      <c r="I423" s="104"/>
      <c r="J423" s="105">
        <f>SUMIFS($I$421:$I$422,$C$421:$C$422,"AMBELE")+SUMIFS($I$421:$I$422,$C$421:$C$422,"INSTORE")</f>
        <v>0.76500000000000001</v>
      </c>
      <c r="K423" s="105">
        <f>SUMIFS($I$421:$I$422,$C$421:$C$422,"AMBELE")+SUMIFS($I$421:$I$422,$C$421:$C$422,"DELIVERY")</f>
        <v>0.76500000000000001</v>
      </c>
    </row>
    <row r="424" spans="1:11" x14ac:dyDescent="0.2">
      <c r="A424" s="26" t="s">
        <v>246</v>
      </c>
      <c r="B424" s="26" t="s">
        <v>589</v>
      </c>
      <c r="C424" s="26" t="s">
        <v>539</v>
      </c>
      <c r="D424" s="26" t="s">
        <v>741</v>
      </c>
      <c r="E424" s="26" t="s">
        <v>742</v>
      </c>
      <c r="F424" s="101">
        <v>1</v>
      </c>
      <c r="G424" s="26" t="s">
        <v>509</v>
      </c>
      <c r="H424" s="102">
        <f>IFERROR(VLOOKUP($D424,NOMENCLATOR!$A:$F,6,FALSE()),"")*IF(OR($G424="g",$G424="ml"),0.001,1)</f>
        <v>15.192</v>
      </c>
      <c r="I424" s="102">
        <f>IFERROR($F424*$H424,"")</f>
        <v>15.192</v>
      </c>
    </row>
    <row r="425" spans="1:11" x14ac:dyDescent="0.2">
      <c r="A425" s="26" t="s">
        <v>246</v>
      </c>
      <c r="B425" s="26" t="s">
        <v>589</v>
      </c>
      <c r="C425" s="26" t="s">
        <v>539</v>
      </c>
      <c r="D425" s="26" t="s">
        <v>743</v>
      </c>
      <c r="E425" s="26" t="s">
        <v>744</v>
      </c>
      <c r="F425" s="101">
        <v>1</v>
      </c>
      <c r="G425" s="26" t="s">
        <v>509</v>
      </c>
      <c r="H425" s="102">
        <f>IFERROR(VLOOKUP($D425,NOMENCLATOR!$A:$F,6,FALSE()),"")*IF(OR($G425="g",$G425="ml"),0.001,1)</f>
        <v>0.42</v>
      </c>
      <c r="I425" s="102">
        <f>IFERROR($F425*$H425,"")</f>
        <v>0.42</v>
      </c>
    </row>
    <row r="426" spans="1:11" x14ac:dyDescent="0.2">
      <c r="A426" s="26" t="s">
        <v>246</v>
      </c>
      <c r="B426" s="26" t="s">
        <v>589</v>
      </c>
      <c r="C426" s="26" t="s">
        <v>539</v>
      </c>
      <c r="D426" s="26" t="s">
        <v>745</v>
      </c>
      <c r="E426" s="26" t="s">
        <v>746</v>
      </c>
      <c r="F426" s="101">
        <v>1</v>
      </c>
      <c r="G426" s="26" t="s">
        <v>509</v>
      </c>
      <c r="H426" s="102">
        <f>IFERROR(VLOOKUP($D426,NOMENCLATOR!$A:$F,6,FALSE()),"")*IF(OR($G426="g",$G426="ml"),0.001,1)</f>
        <v>0.1</v>
      </c>
      <c r="I426" s="102">
        <f>IFERROR($F426*$H426,"")</f>
        <v>0.1</v>
      </c>
    </row>
    <row r="427" spans="1:11" x14ac:dyDescent="0.2">
      <c r="A427" s="26" t="s">
        <v>246</v>
      </c>
      <c r="B427" s="26" t="s">
        <v>589</v>
      </c>
      <c r="C427" s="26" t="s">
        <v>539</v>
      </c>
      <c r="D427" s="26" t="s">
        <v>747</v>
      </c>
      <c r="E427" s="26" t="s">
        <v>748</v>
      </c>
      <c r="F427" s="101">
        <v>1</v>
      </c>
      <c r="G427" s="26" t="s">
        <v>509</v>
      </c>
      <c r="H427" s="102">
        <f>IFERROR(VLOOKUP($D427,NOMENCLATOR!$A:$F,6,FALSE()),"")*IF(OR($G427="g",$G427="ml"),0.001,1)</f>
        <v>0.17599999999999999</v>
      </c>
      <c r="I427" s="102">
        <f>IFERROR($F427*$H427,"")</f>
        <v>0.17599999999999999</v>
      </c>
    </row>
    <row r="428" spans="1:11" x14ac:dyDescent="0.2">
      <c r="A428" s="103" t="s">
        <v>246</v>
      </c>
      <c r="B428" s="104"/>
      <c r="C428" s="104"/>
      <c r="D428" s="104"/>
      <c r="E428" s="103" t="s">
        <v>510</v>
      </c>
      <c r="F428" s="104"/>
      <c r="G428" s="104"/>
      <c r="H428" s="104"/>
      <c r="I428" s="104"/>
      <c r="J428" s="105">
        <f>SUMIFS($I$424:$I$427,$C$424:$C$427,"AMBELE")+SUMIFS($I$424:$I$427,$C$424:$C$427,"INSTORE")</f>
        <v>15.888</v>
      </c>
      <c r="K428" s="105">
        <f>SUMIFS($I$424:$I$427,$C$424:$C$427,"AMBELE")+SUMIFS($I$424:$I$427,$C$424:$C$427,"DELIVERY")</f>
        <v>0</v>
      </c>
    </row>
    <row r="429" spans="1:11" x14ac:dyDescent="0.2">
      <c r="A429" s="26" t="s">
        <v>247</v>
      </c>
      <c r="B429" s="26" t="s">
        <v>103</v>
      </c>
      <c r="C429" s="26" t="s">
        <v>539</v>
      </c>
      <c r="D429" s="26" t="s">
        <v>749</v>
      </c>
      <c r="E429" s="26" t="s">
        <v>750</v>
      </c>
      <c r="F429" s="101">
        <v>40</v>
      </c>
      <c r="G429" s="26" t="s">
        <v>514</v>
      </c>
      <c r="H429" s="102">
        <f>IFERROR(VLOOKUP($D429,NOMENCLATOR!$A:$F,6,FALSE()),"")*IF(OR($G429="g",$G429="ml"),0.001,1)</f>
        <v>6.4668090000000011E-2</v>
      </c>
      <c r="I429" s="102">
        <f>IFERROR($F429*$H429,"")</f>
        <v>2.5867236000000005</v>
      </c>
    </row>
    <row r="430" spans="1:11" x14ac:dyDescent="0.2">
      <c r="A430" s="26" t="s">
        <v>247</v>
      </c>
      <c r="B430" s="26" t="s">
        <v>103</v>
      </c>
      <c r="C430" s="26" t="s">
        <v>539</v>
      </c>
      <c r="D430" s="26" t="s">
        <v>751</v>
      </c>
      <c r="E430" s="26" t="s">
        <v>752</v>
      </c>
      <c r="F430" s="101">
        <v>2.48</v>
      </c>
      <c r="G430" s="26" t="s">
        <v>529</v>
      </c>
      <c r="H430" s="102">
        <f>IFERROR(VLOOKUP($D430,NOMENCLATOR!$A:$F,6,FALSE()),"")*IF(OR($G430="g",$G430="ml"),0.001,1)</f>
        <v>2.535101E-2</v>
      </c>
      <c r="I430" s="102">
        <f>IFERROR($F430*$H430,"")</f>
        <v>6.2870504800000004E-2</v>
      </c>
    </row>
    <row r="431" spans="1:11" x14ac:dyDescent="0.2">
      <c r="A431" s="26" t="s">
        <v>247</v>
      </c>
      <c r="B431" s="26" t="s">
        <v>103</v>
      </c>
      <c r="C431" s="26" t="s">
        <v>539</v>
      </c>
      <c r="D431" s="26" t="s">
        <v>743</v>
      </c>
      <c r="E431" s="26" t="s">
        <v>744</v>
      </c>
      <c r="F431" s="101">
        <v>1</v>
      </c>
      <c r="G431" s="26" t="s">
        <v>509</v>
      </c>
      <c r="H431" s="102">
        <f>IFERROR(VLOOKUP($D431,NOMENCLATOR!$A:$F,6,FALSE()),"")*IF(OR($G431="g",$G431="ml"),0.001,1)</f>
        <v>0.42</v>
      </c>
      <c r="I431" s="102">
        <f>IFERROR($F431*$H431,"")</f>
        <v>0.42</v>
      </c>
    </row>
    <row r="432" spans="1:11" x14ac:dyDescent="0.2">
      <c r="A432" s="26" t="s">
        <v>247</v>
      </c>
      <c r="B432" s="26" t="s">
        <v>103</v>
      </c>
      <c r="C432" s="26" t="s">
        <v>539</v>
      </c>
      <c r="D432" s="26" t="s">
        <v>745</v>
      </c>
      <c r="E432" s="26" t="s">
        <v>746</v>
      </c>
      <c r="F432" s="101">
        <v>1</v>
      </c>
      <c r="G432" s="26" t="s">
        <v>509</v>
      </c>
      <c r="H432" s="102">
        <f>IFERROR(VLOOKUP($D432,NOMENCLATOR!$A:$F,6,FALSE()),"")*IF(OR($G432="g",$G432="ml"),0.001,1)</f>
        <v>0.1</v>
      </c>
      <c r="I432" s="102">
        <f>IFERROR($F432*$H432,"")</f>
        <v>0.1</v>
      </c>
    </row>
    <row r="433" spans="1:11" x14ac:dyDescent="0.2">
      <c r="A433" s="26" t="s">
        <v>247</v>
      </c>
      <c r="B433" s="26" t="s">
        <v>103</v>
      </c>
      <c r="C433" s="26" t="s">
        <v>539</v>
      </c>
      <c r="D433" s="26" t="s">
        <v>747</v>
      </c>
      <c r="E433" s="26" t="s">
        <v>748</v>
      </c>
      <c r="F433" s="101">
        <v>1</v>
      </c>
      <c r="G433" s="26" t="s">
        <v>509</v>
      </c>
      <c r="H433" s="102">
        <f>IFERROR(VLOOKUP($D433,NOMENCLATOR!$A:$F,6,FALSE()),"")*IF(OR($G433="g",$G433="ml"),0.001,1)</f>
        <v>0.17599999999999999</v>
      </c>
      <c r="I433" s="102">
        <f>IFERROR($F433*$H433,"")</f>
        <v>0.17599999999999999</v>
      </c>
    </row>
    <row r="434" spans="1:11" x14ac:dyDescent="0.2">
      <c r="A434" s="103" t="s">
        <v>247</v>
      </c>
      <c r="B434" s="104"/>
      <c r="C434" s="104"/>
      <c r="D434" s="104"/>
      <c r="E434" s="103" t="s">
        <v>510</v>
      </c>
      <c r="F434" s="104"/>
      <c r="G434" s="104"/>
      <c r="H434" s="104"/>
      <c r="I434" s="104"/>
      <c r="J434" s="105">
        <f>SUMIFS($I$429:$I$433,$C$429:$C$433,"AMBELE")+SUMIFS($I$429:$I$433,$C$429:$C$433,"INSTORE")</f>
        <v>3.3455941048000004</v>
      </c>
      <c r="K434" s="105">
        <f>SUMIFS($I$429:$I$433,$C$429:$C$433,"AMBELE")+SUMIFS($I$429:$I$433,$C$429:$C$433,"DELIVERY")</f>
        <v>0</v>
      </c>
    </row>
    <row r="435" spans="1:11" x14ac:dyDescent="0.2">
      <c r="A435" s="26" t="s">
        <v>266</v>
      </c>
      <c r="B435" s="26" t="s">
        <v>103</v>
      </c>
      <c r="C435" s="26" t="s">
        <v>539</v>
      </c>
      <c r="D435" s="26" t="s">
        <v>753</v>
      </c>
      <c r="E435" s="26" t="s">
        <v>754</v>
      </c>
      <c r="F435" s="101">
        <v>40</v>
      </c>
      <c r="G435" s="26" t="s">
        <v>514</v>
      </c>
      <c r="H435" s="102">
        <f>IFERROR(VLOOKUP($D435,NOMENCLATOR!$A:$F,6,FALSE()),"")*IF(OR($G435="g",$G435="ml"),0.001,1)</f>
        <v>6.2651730000000003E-2</v>
      </c>
      <c r="I435" s="102">
        <f>IFERROR($F435*$H435,"")</f>
        <v>2.5060692000000002</v>
      </c>
    </row>
    <row r="436" spans="1:11" x14ac:dyDescent="0.2">
      <c r="A436" s="26" t="s">
        <v>266</v>
      </c>
      <c r="B436" s="26" t="s">
        <v>103</v>
      </c>
      <c r="C436" s="26" t="s">
        <v>539</v>
      </c>
      <c r="D436" s="26" t="s">
        <v>751</v>
      </c>
      <c r="E436" s="26" t="s">
        <v>752</v>
      </c>
      <c r="F436" s="101">
        <v>2.48</v>
      </c>
      <c r="G436" s="26" t="s">
        <v>529</v>
      </c>
      <c r="H436" s="102">
        <f>IFERROR(VLOOKUP($D436,NOMENCLATOR!$A:$F,6,FALSE()),"")*IF(OR($G436="g",$G436="ml"),0.001,1)</f>
        <v>2.535101E-2</v>
      </c>
      <c r="I436" s="102">
        <f>IFERROR($F436*$H436,"")</f>
        <v>6.2870504800000004E-2</v>
      </c>
    </row>
    <row r="437" spans="1:11" x14ac:dyDescent="0.2">
      <c r="A437" s="26" t="s">
        <v>266</v>
      </c>
      <c r="B437" s="26" t="s">
        <v>103</v>
      </c>
      <c r="C437" s="26" t="s">
        <v>539</v>
      </c>
      <c r="D437" s="26" t="s">
        <v>743</v>
      </c>
      <c r="E437" s="26" t="s">
        <v>744</v>
      </c>
      <c r="F437" s="101">
        <v>1</v>
      </c>
      <c r="G437" s="26" t="s">
        <v>509</v>
      </c>
      <c r="H437" s="102">
        <f>IFERROR(VLOOKUP($D437,NOMENCLATOR!$A:$F,6,FALSE()),"")*IF(OR($G437="g",$G437="ml"),0.001,1)</f>
        <v>0.42</v>
      </c>
      <c r="I437" s="102">
        <f>IFERROR($F437*$H437,"")</f>
        <v>0.42</v>
      </c>
    </row>
    <row r="438" spans="1:11" x14ac:dyDescent="0.2">
      <c r="A438" s="26" t="s">
        <v>266</v>
      </c>
      <c r="B438" s="26" t="s">
        <v>103</v>
      </c>
      <c r="C438" s="26" t="s">
        <v>539</v>
      </c>
      <c r="D438" s="26" t="s">
        <v>745</v>
      </c>
      <c r="E438" s="26" t="s">
        <v>746</v>
      </c>
      <c r="F438" s="101">
        <v>1</v>
      </c>
      <c r="G438" s="26" t="s">
        <v>509</v>
      </c>
      <c r="H438" s="102">
        <f>IFERROR(VLOOKUP($D438,NOMENCLATOR!$A:$F,6,FALSE()),"")*IF(OR($G438="g",$G438="ml"),0.001,1)</f>
        <v>0.1</v>
      </c>
      <c r="I438" s="102">
        <f>IFERROR($F438*$H438,"")</f>
        <v>0.1</v>
      </c>
    </row>
    <row r="439" spans="1:11" x14ac:dyDescent="0.2">
      <c r="A439" s="26" t="s">
        <v>266</v>
      </c>
      <c r="B439" s="26" t="s">
        <v>103</v>
      </c>
      <c r="C439" s="26" t="s">
        <v>539</v>
      </c>
      <c r="D439" s="26" t="s">
        <v>747</v>
      </c>
      <c r="E439" s="26" t="s">
        <v>748</v>
      </c>
      <c r="F439" s="101">
        <v>1</v>
      </c>
      <c r="G439" s="26" t="s">
        <v>509</v>
      </c>
      <c r="H439" s="102">
        <f>IFERROR(VLOOKUP($D439,NOMENCLATOR!$A:$F,6,FALSE()),"")*IF(OR($G439="g",$G439="ml"),0.001,1)</f>
        <v>0.17599999999999999</v>
      </c>
      <c r="I439" s="102">
        <f>IFERROR($F439*$H439,"")</f>
        <v>0.17599999999999999</v>
      </c>
    </row>
    <row r="440" spans="1:11" x14ac:dyDescent="0.2">
      <c r="A440" s="103" t="s">
        <v>266</v>
      </c>
      <c r="B440" s="104"/>
      <c r="C440" s="104"/>
      <c r="D440" s="104"/>
      <c r="E440" s="103" t="s">
        <v>510</v>
      </c>
      <c r="F440" s="104"/>
      <c r="G440" s="104"/>
      <c r="H440" s="104"/>
      <c r="I440" s="104"/>
      <c r="J440" s="105">
        <f>SUMIFS($I$435:$I$439,$C$435:$C$439,"AMBELE")+SUMIFS($I$435:$I$439,$C$435:$C$439,"INSTORE")</f>
        <v>3.2649397048000002</v>
      </c>
      <c r="K440" s="105">
        <f>SUMIFS($I$435:$I$439,$C$435:$C$439,"AMBELE")+SUMIFS($I$435:$I$439,$C$435:$C$439,"DELIVERY")</f>
        <v>0</v>
      </c>
    </row>
    <row r="441" spans="1:11" x14ac:dyDescent="0.2">
      <c r="A441" s="26" t="s">
        <v>227</v>
      </c>
      <c r="B441" s="26" t="s">
        <v>589</v>
      </c>
      <c r="C441" s="26" t="s">
        <v>539</v>
      </c>
      <c r="D441" s="26" t="s">
        <v>755</v>
      </c>
      <c r="E441" s="26" t="s">
        <v>756</v>
      </c>
      <c r="F441" s="101">
        <v>40</v>
      </c>
      <c r="G441" s="26" t="s">
        <v>514</v>
      </c>
      <c r="H441" s="102">
        <f>IFERROR(VLOOKUP($D441,NOMENCLATOR!$A:$F,6,FALSE()),"")*IF(OR($G441="g",$G441="ml"),0.001,1)</f>
        <v>6.5192200000000006E-2</v>
      </c>
      <c r="I441" s="102">
        <f>IFERROR($F441*$H441,"")</f>
        <v>2.6076880000000005</v>
      </c>
    </row>
    <row r="442" spans="1:11" x14ac:dyDescent="0.2">
      <c r="A442" s="26" t="s">
        <v>227</v>
      </c>
      <c r="B442" s="26" t="s">
        <v>589</v>
      </c>
      <c r="C442" s="26" t="s">
        <v>539</v>
      </c>
      <c r="D442" s="26" t="s">
        <v>751</v>
      </c>
      <c r="E442" s="26" t="s">
        <v>752</v>
      </c>
      <c r="F442" s="101">
        <v>2.48</v>
      </c>
      <c r="G442" s="26" t="s">
        <v>529</v>
      </c>
      <c r="H442" s="102">
        <f>IFERROR(VLOOKUP($D442,NOMENCLATOR!$A:$F,6,FALSE()),"")*IF(OR($G442="g",$G442="ml"),0.001,1)</f>
        <v>2.535101E-2</v>
      </c>
      <c r="I442" s="102">
        <f>IFERROR($F442*$H442,"")</f>
        <v>6.2870504800000004E-2</v>
      </c>
    </row>
    <row r="443" spans="1:11" x14ac:dyDescent="0.2">
      <c r="A443" s="26" t="s">
        <v>227</v>
      </c>
      <c r="B443" s="26" t="s">
        <v>589</v>
      </c>
      <c r="C443" s="26" t="s">
        <v>539</v>
      </c>
      <c r="D443" s="26" t="s">
        <v>743</v>
      </c>
      <c r="E443" s="26" t="s">
        <v>744</v>
      </c>
      <c r="F443" s="101">
        <v>1</v>
      </c>
      <c r="G443" s="26" t="s">
        <v>509</v>
      </c>
      <c r="H443" s="102">
        <f>IFERROR(VLOOKUP($D443,NOMENCLATOR!$A:$F,6,FALSE()),"")*IF(OR($G443="g",$G443="ml"),0.001,1)</f>
        <v>0.42</v>
      </c>
      <c r="I443" s="102">
        <f>IFERROR($F443*$H443,"")</f>
        <v>0.42</v>
      </c>
    </row>
    <row r="444" spans="1:11" x14ac:dyDescent="0.2">
      <c r="A444" s="26" t="s">
        <v>227</v>
      </c>
      <c r="B444" s="26" t="s">
        <v>589</v>
      </c>
      <c r="C444" s="26" t="s">
        <v>539</v>
      </c>
      <c r="D444" s="26" t="s">
        <v>745</v>
      </c>
      <c r="E444" s="26" t="s">
        <v>746</v>
      </c>
      <c r="F444" s="101">
        <v>1</v>
      </c>
      <c r="G444" s="26" t="s">
        <v>509</v>
      </c>
      <c r="H444" s="102">
        <f>IFERROR(VLOOKUP($D444,NOMENCLATOR!$A:$F,6,FALSE()),"")*IF(OR($G444="g",$G444="ml"),0.001,1)</f>
        <v>0.1</v>
      </c>
      <c r="I444" s="102">
        <f>IFERROR($F444*$H444,"")</f>
        <v>0.1</v>
      </c>
    </row>
    <row r="445" spans="1:11" x14ac:dyDescent="0.2">
      <c r="A445" s="26" t="s">
        <v>227</v>
      </c>
      <c r="B445" s="26" t="s">
        <v>589</v>
      </c>
      <c r="C445" s="26" t="s">
        <v>539</v>
      </c>
      <c r="D445" s="26" t="s">
        <v>747</v>
      </c>
      <c r="E445" s="26" t="s">
        <v>748</v>
      </c>
      <c r="F445" s="101">
        <v>1</v>
      </c>
      <c r="G445" s="26" t="s">
        <v>509</v>
      </c>
      <c r="H445" s="102">
        <f>IFERROR(VLOOKUP($D445,NOMENCLATOR!$A:$F,6,FALSE()),"")*IF(OR($G445="g",$G445="ml"),0.001,1)</f>
        <v>0.17599999999999999</v>
      </c>
      <c r="I445" s="102">
        <f>IFERROR($F445*$H445,"")</f>
        <v>0.17599999999999999</v>
      </c>
    </row>
    <row r="446" spans="1:11" x14ac:dyDescent="0.2">
      <c r="A446" s="103" t="s">
        <v>227</v>
      </c>
      <c r="B446" s="104"/>
      <c r="C446" s="104"/>
      <c r="D446" s="104"/>
      <c r="E446" s="103" t="s">
        <v>510</v>
      </c>
      <c r="F446" s="104"/>
      <c r="G446" s="104"/>
      <c r="H446" s="104"/>
      <c r="I446" s="104"/>
      <c r="J446" s="105">
        <f>SUMIFS($I$441:$I$445,$C$441:$C$445,"AMBELE")+SUMIFS($I$441:$I$445,$C$441:$C$445,"INSTORE")</f>
        <v>3.3665585048000009</v>
      </c>
      <c r="K446" s="105">
        <f>SUMIFS($I$441:$I$445,$C$441:$C$445,"AMBELE")+SUMIFS($I$441:$I$445,$C$441:$C$445,"DELIVERY")</f>
        <v>0</v>
      </c>
    </row>
    <row r="447" spans="1:11" x14ac:dyDescent="0.2">
      <c r="A447" s="26" t="s">
        <v>224</v>
      </c>
      <c r="B447" s="26" t="s">
        <v>103</v>
      </c>
      <c r="C447" s="26" t="s">
        <v>539</v>
      </c>
      <c r="D447" s="26" t="s">
        <v>757</v>
      </c>
      <c r="E447" s="26" t="s">
        <v>758</v>
      </c>
      <c r="F447" s="101">
        <v>40</v>
      </c>
      <c r="G447" s="26" t="s">
        <v>514</v>
      </c>
      <c r="H447" s="102">
        <f>IFERROR(VLOOKUP($D447,NOMENCLATOR!$A:$F,6,FALSE()),"")*IF(OR($G447="g",$G447="ml"),0.001,1)</f>
        <v>6.5246970000000001E-2</v>
      </c>
      <c r="I447" s="102">
        <f>IFERROR($F447*$H447,"")</f>
        <v>2.6098788000000002</v>
      </c>
    </row>
    <row r="448" spans="1:11" x14ac:dyDescent="0.2">
      <c r="A448" s="26" t="s">
        <v>224</v>
      </c>
      <c r="B448" s="26" t="s">
        <v>103</v>
      </c>
      <c r="C448" s="26" t="s">
        <v>539</v>
      </c>
      <c r="D448" s="26" t="s">
        <v>751</v>
      </c>
      <c r="E448" s="26" t="s">
        <v>752</v>
      </c>
      <c r="F448" s="101">
        <v>2.48</v>
      </c>
      <c r="G448" s="26" t="s">
        <v>529</v>
      </c>
      <c r="H448" s="102">
        <f>IFERROR(VLOOKUP($D448,NOMENCLATOR!$A:$F,6,FALSE()),"")*IF(OR($G448="g",$G448="ml"),0.001,1)</f>
        <v>2.535101E-2</v>
      </c>
      <c r="I448" s="102">
        <f>IFERROR($F448*$H448,"")</f>
        <v>6.2870504800000004E-2</v>
      </c>
    </row>
    <row r="449" spans="1:11" x14ac:dyDescent="0.2">
      <c r="A449" s="26" t="s">
        <v>224</v>
      </c>
      <c r="B449" s="26" t="s">
        <v>103</v>
      </c>
      <c r="C449" s="26" t="s">
        <v>539</v>
      </c>
      <c r="D449" s="26" t="s">
        <v>743</v>
      </c>
      <c r="E449" s="26" t="s">
        <v>744</v>
      </c>
      <c r="F449" s="101">
        <v>1</v>
      </c>
      <c r="G449" s="26" t="s">
        <v>509</v>
      </c>
      <c r="H449" s="102">
        <f>IFERROR(VLOOKUP($D449,NOMENCLATOR!$A:$F,6,FALSE()),"")*IF(OR($G449="g",$G449="ml"),0.001,1)</f>
        <v>0.42</v>
      </c>
      <c r="I449" s="102">
        <f>IFERROR($F449*$H449,"")</f>
        <v>0.42</v>
      </c>
    </row>
    <row r="450" spans="1:11" x14ac:dyDescent="0.2">
      <c r="A450" s="26" t="s">
        <v>224</v>
      </c>
      <c r="B450" s="26" t="s">
        <v>103</v>
      </c>
      <c r="C450" s="26" t="s">
        <v>539</v>
      </c>
      <c r="D450" s="26" t="s">
        <v>745</v>
      </c>
      <c r="E450" s="26" t="s">
        <v>746</v>
      </c>
      <c r="F450" s="101">
        <v>1</v>
      </c>
      <c r="G450" s="26" t="s">
        <v>509</v>
      </c>
      <c r="H450" s="102">
        <f>IFERROR(VLOOKUP($D450,NOMENCLATOR!$A:$F,6,FALSE()),"")*IF(OR($G450="g",$G450="ml"),0.001,1)</f>
        <v>0.1</v>
      </c>
      <c r="I450" s="102">
        <f>IFERROR($F450*$H450,"")</f>
        <v>0.1</v>
      </c>
    </row>
    <row r="451" spans="1:11" x14ac:dyDescent="0.2">
      <c r="A451" s="26" t="s">
        <v>224</v>
      </c>
      <c r="B451" s="26" t="s">
        <v>103</v>
      </c>
      <c r="C451" s="26" t="s">
        <v>539</v>
      </c>
      <c r="D451" s="26" t="s">
        <v>747</v>
      </c>
      <c r="E451" s="26" t="s">
        <v>748</v>
      </c>
      <c r="F451" s="101">
        <v>1</v>
      </c>
      <c r="G451" s="26" t="s">
        <v>509</v>
      </c>
      <c r="H451" s="102">
        <f>IFERROR(VLOOKUP($D451,NOMENCLATOR!$A:$F,6,FALSE()),"")*IF(OR($G451="g",$G451="ml"),0.001,1)</f>
        <v>0.17599999999999999</v>
      </c>
      <c r="I451" s="102">
        <f>IFERROR($F451*$H451,"")</f>
        <v>0.17599999999999999</v>
      </c>
    </row>
    <row r="452" spans="1:11" x14ac:dyDescent="0.2">
      <c r="A452" s="103" t="s">
        <v>224</v>
      </c>
      <c r="B452" s="104"/>
      <c r="C452" s="104"/>
      <c r="D452" s="104"/>
      <c r="E452" s="103" t="s">
        <v>510</v>
      </c>
      <c r="F452" s="104"/>
      <c r="G452" s="104"/>
      <c r="H452" s="104"/>
      <c r="I452" s="104"/>
      <c r="J452" s="105">
        <f>SUMIFS($I$447:$I$451,$C$447:$C$451,"AMBELE")+SUMIFS($I$447:$I$451,$C$447:$C$451,"INSTORE")</f>
        <v>3.3687493048000001</v>
      </c>
      <c r="K452" s="105">
        <f>SUMIFS($I$447:$I$451,$C$447:$C$451,"AMBELE")+SUMIFS($I$447:$I$451,$C$447:$C$451,"DELIVERY")</f>
        <v>0</v>
      </c>
    </row>
    <row r="453" spans="1:11" x14ac:dyDescent="0.2">
      <c r="A453" s="26" t="s">
        <v>240</v>
      </c>
      <c r="B453" s="26" t="s">
        <v>103</v>
      </c>
      <c r="C453" s="26" t="s">
        <v>539</v>
      </c>
      <c r="D453" s="26" t="s">
        <v>759</v>
      </c>
      <c r="E453" s="26" t="s">
        <v>760</v>
      </c>
      <c r="F453" s="101">
        <v>20</v>
      </c>
      <c r="G453" s="26" t="s">
        <v>514</v>
      </c>
      <c r="H453" s="102">
        <f>IFERROR(VLOOKUP($D453,NOMENCLATOR!$A:$F,6,FALSE()),"")*IF(OR($G453="g",$G453="ml"),0.001,1)</f>
        <v>6.3209470000000004E-2</v>
      </c>
      <c r="I453" s="102">
        <f t="shared" ref="I453:I458" si="22">IFERROR($F453*$H453,"")</f>
        <v>1.2641894</v>
      </c>
    </row>
    <row r="454" spans="1:11" x14ac:dyDescent="0.2">
      <c r="A454" s="26" t="s">
        <v>240</v>
      </c>
      <c r="B454" s="26" t="s">
        <v>103</v>
      </c>
      <c r="C454" s="26" t="s">
        <v>539</v>
      </c>
      <c r="D454" s="26" t="s">
        <v>751</v>
      </c>
      <c r="E454" s="26" t="s">
        <v>752</v>
      </c>
      <c r="F454" s="101">
        <v>2.48</v>
      </c>
      <c r="G454" s="26" t="s">
        <v>529</v>
      </c>
      <c r="H454" s="102">
        <f>IFERROR(VLOOKUP($D454,NOMENCLATOR!$A:$F,6,FALSE()),"")*IF(OR($G454="g",$G454="ml"),0.001,1)</f>
        <v>2.535101E-2</v>
      </c>
      <c r="I454" s="102">
        <f t="shared" si="22"/>
        <v>6.2870504800000004E-2</v>
      </c>
    </row>
    <row r="455" spans="1:11" x14ac:dyDescent="0.2">
      <c r="A455" s="26" t="s">
        <v>240</v>
      </c>
      <c r="B455" s="26" t="s">
        <v>103</v>
      </c>
      <c r="C455" s="26" t="s">
        <v>539</v>
      </c>
      <c r="D455" s="26" t="s">
        <v>743</v>
      </c>
      <c r="E455" s="26" t="s">
        <v>744</v>
      </c>
      <c r="F455" s="101">
        <v>1</v>
      </c>
      <c r="G455" s="26" t="s">
        <v>509</v>
      </c>
      <c r="H455" s="102">
        <f>IFERROR(VLOOKUP($D455,NOMENCLATOR!$A:$F,6,FALSE()),"")*IF(OR($G455="g",$G455="ml"),0.001,1)</f>
        <v>0.42</v>
      </c>
      <c r="I455" s="102">
        <f t="shared" si="22"/>
        <v>0.42</v>
      </c>
    </row>
    <row r="456" spans="1:11" x14ac:dyDescent="0.2">
      <c r="A456" s="26" t="s">
        <v>240</v>
      </c>
      <c r="B456" s="26" t="s">
        <v>103</v>
      </c>
      <c r="C456" s="26" t="s">
        <v>539</v>
      </c>
      <c r="D456" s="26" t="s">
        <v>745</v>
      </c>
      <c r="E456" s="26" t="s">
        <v>746</v>
      </c>
      <c r="F456" s="101">
        <v>1</v>
      </c>
      <c r="G456" s="26" t="s">
        <v>509</v>
      </c>
      <c r="H456" s="102">
        <f>IFERROR(VLOOKUP($D456,NOMENCLATOR!$A:$F,6,FALSE()),"")*IF(OR($G456="g",$G456="ml"),0.001,1)</f>
        <v>0.1</v>
      </c>
      <c r="I456" s="102">
        <f t="shared" si="22"/>
        <v>0.1</v>
      </c>
    </row>
    <row r="457" spans="1:11" x14ac:dyDescent="0.2">
      <c r="A457" s="26" t="s">
        <v>240</v>
      </c>
      <c r="B457" s="26" t="s">
        <v>103</v>
      </c>
      <c r="C457" s="26" t="s">
        <v>539</v>
      </c>
      <c r="D457" s="26" t="s">
        <v>747</v>
      </c>
      <c r="E457" s="26" t="s">
        <v>748</v>
      </c>
      <c r="F457" s="101">
        <v>1</v>
      </c>
      <c r="G457" s="26" t="s">
        <v>509</v>
      </c>
      <c r="H457" s="102">
        <f>IFERROR(VLOOKUP($D457,NOMENCLATOR!$A:$F,6,FALSE()),"")*IF(OR($G457="g",$G457="ml"),0.001,1)</f>
        <v>0.17599999999999999</v>
      </c>
      <c r="I457" s="102">
        <f t="shared" si="22"/>
        <v>0.17599999999999999</v>
      </c>
    </row>
    <row r="458" spans="1:11" x14ac:dyDescent="0.2">
      <c r="A458" s="26" t="s">
        <v>240</v>
      </c>
      <c r="B458" s="26" t="s">
        <v>103</v>
      </c>
      <c r="C458" s="26" t="s">
        <v>539</v>
      </c>
      <c r="D458" s="26" t="s">
        <v>761</v>
      </c>
      <c r="E458" s="26" t="s">
        <v>762</v>
      </c>
      <c r="F458" s="101">
        <v>20</v>
      </c>
      <c r="G458" s="26" t="s">
        <v>514</v>
      </c>
      <c r="H458" s="102">
        <f>IFERROR(VLOOKUP($D458,NOMENCLATOR!$A:$F,6,FALSE()),"")*IF(OR($G458="g",$G458="ml"),0.001,1)</f>
        <v>6.4909439999999999E-2</v>
      </c>
      <c r="I458" s="102">
        <f t="shared" si="22"/>
        <v>1.2981887999999999</v>
      </c>
    </row>
    <row r="459" spans="1:11" x14ac:dyDescent="0.2">
      <c r="A459" s="103" t="s">
        <v>240</v>
      </c>
      <c r="B459" s="104"/>
      <c r="C459" s="104"/>
      <c r="D459" s="104"/>
      <c r="E459" s="103" t="s">
        <v>510</v>
      </c>
      <c r="F459" s="104"/>
      <c r="G459" s="104"/>
      <c r="H459" s="104"/>
      <c r="I459" s="104"/>
      <c r="J459" s="105">
        <f>SUMIFS($I$453:$I$458,$C$453:$C$458,"AMBELE")+SUMIFS($I$453:$I$458,$C$453:$C$458,"INSTORE")</f>
        <v>3.3212487048000003</v>
      </c>
      <c r="K459" s="105">
        <f>SUMIFS($I$453:$I$458,$C$453:$C$458,"AMBELE")+SUMIFS($I$453:$I$458,$C$453:$C$458,"DELIVERY")</f>
        <v>0</v>
      </c>
    </row>
    <row r="460" spans="1:11" x14ac:dyDescent="0.2">
      <c r="A460" s="26" t="s">
        <v>305</v>
      </c>
      <c r="B460" s="26" t="s">
        <v>589</v>
      </c>
      <c r="C460" s="26" t="s">
        <v>657</v>
      </c>
      <c r="D460" s="26" t="s">
        <v>763</v>
      </c>
      <c r="E460" s="26" t="s">
        <v>764</v>
      </c>
      <c r="F460" s="101">
        <v>1</v>
      </c>
      <c r="G460" s="26" t="s">
        <v>509</v>
      </c>
      <c r="H460" s="102">
        <f>IFERROR(VLOOKUP($D460,NOMENCLATOR!$A:$F,6,FALSE()),"")*IF(OR($G460="g",$G460="ml"),0.001,1)</f>
        <v>0.5</v>
      </c>
      <c r="I460" s="102">
        <f>IFERROR($F460*$H460,"")</f>
        <v>0.5</v>
      </c>
    </row>
    <row r="461" spans="1:11" x14ac:dyDescent="0.2">
      <c r="A461" s="103" t="s">
        <v>305</v>
      </c>
      <c r="B461" s="104"/>
      <c r="C461" s="104"/>
      <c r="D461" s="104"/>
      <c r="E461" s="103" t="s">
        <v>510</v>
      </c>
      <c r="F461" s="104"/>
      <c r="G461" s="104"/>
      <c r="H461" s="104"/>
      <c r="I461" s="104"/>
      <c r="J461" s="105">
        <f>SUMIFS($I$460:$I$460,$C$460:$C$460,"AMBELE")+SUMIFS($I$460:$I$460,$C$460:$C$460,"INSTORE")</f>
        <v>0</v>
      </c>
      <c r="K461" s="105">
        <f>SUMIFS($I$460:$I$460,$C$460:$C$460,"AMBELE")+SUMIFS($I$460:$I$460,$C$460:$C$460,"DELIVERY")</f>
        <v>0.5</v>
      </c>
    </row>
    <row r="462" spans="1:11" x14ac:dyDescent="0.2">
      <c r="A462" s="26" t="s">
        <v>287</v>
      </c>
      <c r="B462" s="26" t="s">
        <v>589</v>
      </c>
      <c r="C462" s="26" t="s">
        <v>657</v>
      </c>
      <c r="D462" s="26" t="s">
        <v>765</v>
      </c>
      <c r="E462" s="26" t="s">
        <v>766</v>
      </c>
      <c r="F462" s="101">
        <v>1</v>
      </c>
      <c r="G462" s="26" t="s">
        <v>509</v>
      </c>
      <c r="H462" s="102">
        <f>IFERROR(VLOOKUP($D462,NOMENCLATOR!$A:$F,6,FALSE()),"")*IF(OR($G462="g",$G462="ml"),0.001,1)</f>
        <v>0.5</v>
      </c>
      <c r="I462" s="102">
        <f>IFERROR($F462*$H462,"")</f>
        <v>0.5</v>
      </c>
    </row>
    <row r="463" spans="1:11" x14ac:dyDescent="0.2">
      <c r="A463" s="103" t="s">
        <v>287</v>
      </c>
      <c r="B463" s="104"/>
      <c r="C463" s="104"/>
      <c r="D463" s="104"/>
      <c r="E463" s="103" t="s">
        <v>510</v>
      </c>
      <c r="F463" s="104"/>
      <c r="G463" s="104"/>
      <c r="H463" s="104"/>
      <c r="I463" s="104"/>
      <c r="J463" s="105">
        <f>SUMIFS($I$462:$I$462,$C$462:$C$462,"AMBELE")+SUMIFS($I$462:$I$462,$C$462:$C$462,"INSTORE")</f>
        <v>0</v>
      </c>
      <c r="K463" s="105">
        <f>SUMIFS($I$462:$I$462,$C$462:$C$462,"AMBELE")+SUMIFS($I$462:$I$462,$C$462:$C$462,"DELIVERY")</f>
        <v>0.5</v>
      </c>
    </row>
    <row r="464" spans="1:11" x14ac:dyDescent="0.2">
      <c r="A464" s="26" t="s">
        <v>324</v>
      </c>
      <c r="B464" s="26" t="s">
        <v>589</v>
      </c>
      <c r="C464" s="26" t="s">
        <v>657</v>
      </c>
      <c r="D464" s="26" t="s">
        <v>767</v>
      </c>
      <c r="E464" s="26" t="s">
        <v>768</v>
      </c>
      <c r="F464" s="101">
        <v>1</v>
      </c>
      <c r="G464" s="26" t="s">
        <v>509</v>
      </c>
      <c r="H464" s="102">
        <f>IFERROR(VLOOKUP($D464,NOMENCLATOR!$A:$F,6,FALSE()),"")*IF(OR($G464="g",$G464="ml"),0.001,1)</f>
        <v>0.5</v>
      </c>
      <c r="I464" s="102">
        <f>IFERROR($F464*$H464,"")</f>
        <v>0.5</v>
      </c>
    </row>
    <row r="465" spans="1:11" x14ac:dyDescent="0.2">
      <c r="A465" s="103" t="s">
        <v>324</v>
      </c>
      <c r="B465" s="104"/>
      <c r="C465" s="104"/>
      <c r="D465" s="104"/>
      <c r="E465" s="103" t="s">
        <v>510</v>
      </c>
      <c r="F465" s="104"/>
      <c r="G465" s="104"/>
      <c r="H465" s="104"/>
      <c r="I465" s="104"/>
      <c r="J465" s="105">
        <f>SUMIFS($I$464:$I$464,$C$464:$C$464,"AMBELE")+SUMIFS($I$464:$I$464,$C$464:$C$464,"INSTORE")</f>
        <v>0</v>
      </c>
      <c r="K465" s="105">
        <f>SUMIFS($I$464:$I$464,$C$464:$C$464,"AMBELE")+SUMIFS($I$464:$I$464,$C$464:$C$464,"DELIVERY")</f>
        <v>0.5</v>
      </c>
    </row>
    <row r="466" spans="1:11" x14ac:dyDescent="0.2">
      <c r="A466" s="26" t="s">
        <v>165</v>
      </c>
      <c r="B466" s="26" t="s">
        <v>566</v>
      </c>
      <c r="C466" s="26" t="s">
        <v>506</v>
      </c>
      <c r="D466" s="26" t="s">
        <v>550</v>
      </c>
      <c r="E466" s="26" t="s">
        <v>551</v>
      </c>
      <c r="F466" s="101">
        <v>1</v>
      </c>
      <c r="G466" s="26" t="s">
        <v>509</v>
      </c>
      <c r="H466" s="102">
        <f>IFERROR(VLOOKUP($D466,NOMENCLATOR!$A:$F,6,FALSE()),"")*IF(OR($G466="g",$G466="ml"),0.001,1)</f>
        <v>2.36</v>
      </c>
      <c r="I466" s="102">
        <f t="shared" ref="I466:I472" si="23">IFERROR($F466*$H466,"")</f>
        <v>2.36</v>
      </c>
    </row>
    <row r="467" spans="1:11" x14ac:dyDescent="0.2">
      <c r="A467" s="26" t="s">
        <v>165</v>
      </c>
      <c r="B467" s="26" t="s">
        <v>566</v>
      </c>
      <c r="C467" s="26" t="s">
        <v>506</v>
      </c>
      <c r="D467" s="26" t="s">
        <v>567</v>
      </c>
      <c r="E467" s="26" t="s">
        <v>489</v>
      </c>
      <c r="F467" s="101">
        <v>1</v>
      </c>
      <c r="G467" s="26" t="s">
        <v>509</v>
      </c>
      <c r="H467" s="102">
        <f>IFERROR(VLOOKUP($D467,NOMENCLATOR!$A:$F,6,FALSE()),"")*IF(OR($G467="g",$G467="ml"),0.001,1)</f>
        <v>3.57</v>
      </c>
      <c r="I467" s="102">
        <f t="shared" si="23"/>
        <v>3.57</v>
      </c>
    </row>
    <row r="468" spans="1:11" x14ac:dyDescent="0.2">
      <c r="A468" s="26" t="s">
        <v>165</v>
      </c>
      <c r="B468" s="26" t="s">
        <v>566</v>
      </c>
      <c r="C468" s="26" t="s">
        <v>506</v>
      </c>
      <c r="D468" s="26" t="s">
        <v>664</v>
      </c>
      <c r="E468" s="26" t="s">
        <v>665</v>
      </c>
      <c r="F468" s="101">
        <v>1</v>
      </c>
      <c r="G468" s="26" t="s">
        <v>509</v>
      </c>
      <c r="H468" s="102">
        <f>IFERROR(VLOOKUP($D468,NOMENCLATOR!$A:$F,6,FALSE()),"")*IF(OR($G468="g",$G468="ml"),0.001,1)</f>
        <v>0.111</v>
      </c>
      <c r="I468" s="102">
        <f t="shared" si="23"/>
        <v>0.111</v>
      </c>
    </row>
    <row r="469" spans="1:11" x14ac:dyDescent="0.2">
      <c r="A469" s="26" t="s">
        <v>165</v>
      </c>
      <c r="B469" s="26" t="s">
        <v>566</v>
      </c>
      <c r="C469" s="26" t="s">
        <v>506</v>
      </c>
      <c r="D469" s="26" t="s">
        <v>629</v>
      </c>
      <c r="E469" s="26" t="s">
        <v>630</v>
      </c>
      <c r="F469" s="101">
        <v>10</v>
      </c>
      <c r="G469" s="26" t="s">
        <v>514</v>
      </c>
      <c r="H469" s="102">
        <f>IFERROR(VLOOKUP($D469,NOMENCLATOR!$A:$F,6,FALSE()),"")*IF(OR($G469="g",$G469="ml"),0.001,1)</f>
        <v>2.2149310000000002E-2</v>
      </c>
      <c r="I469" s="102">
        <f t="shared" si="23"/>
        <v>0.22149310000000003</v>
      </c>
    </row>
    <row r="470" spans="1:11" x14ac:dyDescent="0.2">
      <c r="A470" s="26" t="s">
        <v>165</v>
      </c>
      <c r="B470" s="26" t="s">
        <v>566</v>
      </c>
      <c r="C470" s="26" t="s">
        <v>506</v>
      </c>
      <c r="D470" s="26" t="s">
        <v>666</v>
      </c>
      <c r="E470" s="26" t="s">
        <v>667</v>
      </c>
      <c r="F470" s="101">
        <v>0.7</v>
      </c>
      <c r="G470" s="26" t="s">
        <v>514</v>
      </c>
      <c r="H470" s="102">
        <f>IFERROR(VLOOKUP($D470,NOMENCLATOR!$A:$F,6,FALSE()),"")*IF(OR($G470="g",$G470="ml"),0.001,1)</f>
        <v>3.3000000000000002E-2</v>
      </c>
      <c r="I470" s="102">
        <f t="shared" si="23"/>
        <v>2.3099999999999999E-2</v>
      </c>
    </row>
    <row r="471" spans="1:11" x14ac:dyDescent="0.2">
      <c r="A471" s="26" t="s">
        <v>165</v>
      </c>
      <c r="B471" s="26" t="s">
        <v>566</v>
      </c>
      <c r="C471" s="26" t="s">
        <v>506</v>
      </c>
      <c r="D471" s="26" t="s">
        <v>634</v>
      </c>
      <c r="E471" s="26" t="s">
        <v>635</v>
      </c>
      <c r="F471" s="101">
        <v>2.8</v>
      </c>
      <c r="G471" s="26" t="s">
        <v>529</v>
      </c>
      <c r="H471" s="102">
        <f>IFERROR(VLOOKUP($D471,NOMENCLATOR!$A:$F,6,FALSE()),"")*IF(OR($G471="g",$G471="ml"),0.001,1)</f>
        <v>1.554E-2</v>
      </c>
      <c r="I471" s="102">
        <f t="shared" si="23"/>
        <v>4.3511999999999995E-2</v>
      </c>
    </row>
    <row r="472" spans="1:11" x14ac:dyDescent="0.2">
      <c r="A472" s="26" t="s">
        <v>165</v>
      </c>
      <c r="B472" s="26" t="s">
        <v>566</v>
      </c>
      <c r="C472" s="26" t="s">
        <v>506</v>
      </c>
      <c r="D472" s="26" t="s">
        <v>668</v>
      </c>
      <c r="E472" s="26" t="s">
        <v>669</v>
      </c>
      <c r="F472" s="101">
        <v>5</v>
      </c>
      <c r="G472" s="26" t="s">
        <v>529</v>
      </c>
      <c r="H472" s="102">
        <f>IFERROR(VLOOKUP($D472,NOMENCLATOR!$A:$F,6,FALSE()),"")*IF(OR($G472="g",$G472="ml"),0.001,1)</f>
        <v>7.0000000000000001E-3</v>
      </c>
      <c r="I472" s="102">
        <f t="shared" si="23"/>
        <v>3.5000000000000003E-2</v>
      </c>
    </row>
    <row r="473" spans="1:11" x14ac:dyDescent="0.2">
      <c r="A473" s="103" t="s">
        <v>165</v>
      </c>
      <c r="B473" s="104"/>
      <c r="C473" s="104"/>
      <c r="D473" s="104"/>
      <c r="E473" s="103" t="s">
        <v>510</v>
      </c>
      <c r="F473" s="104"/>
      <c r="G473" s="104"/>
      <c r="H473" s="104"/>
      <c r="I473" s="104"/>
      <c r="J473" s="105">
        <f>SUMIFS($I$466:$I$472,$C$466:$C$472,"AMBELE")+SUMIFS($I$466:$I$472,$C$466:$C$472,"INSTORE")</f>
        <v>6.3641050999999997</v>
      </c>
      <c r="K473" s="105">
        <f>SUMIFS($I$466:$I$472,$C$466:$C$472,"AMBELE")+SUMIFS($I$466:$I$472,$C$466:$C$472,"DELIVERY")</f>
        <v>6.3641050999999997</v>
      </c>
    </row>
    <row r="474" spans="1:11" x14ac:dyDescent="0.2">
      <c r="A474" s="26" t="s">
        <v>186</v>
      </c>
      <c r="B474" s="26" t="s">
        <v>672</v>
      </c>
      <c r="C474" s="26" t="s">
        <v>506</v>
      </c>
      <c r="D474" s="26" t="s">
        <v>570</v>
      </c>
      <c r="E474" s="26" t="s">
        <v>571</v>
      </c>
      <c r="F474" s="101">
        <v>0.33</v>
      </c>
      <c r="G474" s="26" t="s">
        <v>509</v>
      </c>
      <c r="H474" s="102">
        <f>IFERROR(VLOOKUP($D474,NOMENCLATOR!$A:$F,6,FALSE()),"")*IF(OR($G474="g",$G474="ml"),0.001,1)</f>
        <v>7.4924400000000002</v>
      </c>
      <c r="I474" s="102">
        <f t="shared" ref="I474:I481" si="24">IFERROR($F474*$H474,"")</f>
        <v>2.4725052000000001</v>
      </c>
    </row>
    <row r="475" spans="1:11" x14ac:dyDescent="0.2">
      <c r="A475" s="26" t="s">
        <v>186</v>
      </c>
      <c r="B475" s="26" t="s">
        <v>672</v>
      </c>
      <c r="C475" s="26" t="s">
        <v>506</v>
      </c>
      <c r="D475" s="26" t="s">
        <v>769</v>
      </c>
      <c r="E475" s="26" t="s">
        <v>486</v>
      </c>
      <c r="F475" s="101">
        <v>1</v>
      </c>
      <c r="G475" s="26" t="s">
        <v>509</v>
      </c>
      <c r="H475" s="102">
        <f>IFERROR(VLOOKUP($D475,NOMENCLATOR!$A:$F,6,FALSE()),"")*IF(OR($G475="g",$G475="ml"),0.001,1)</f>
        <v>4.74</v>
      </c>
      <c r="I475" s="102">
        <f t="shared" si="24"/>
        <v>4.74</v>
      </c>
    </row>
    <row r="476" spans="1:11" x14ac:dyDescent="0.2">
      <c r="A476" s="26" t="s">
        <v>186</v>
      </c>
      <c r="B476" s="26" t="s">
        <v>672</v>
      </c>
      <c r="C476" s="26" t="s">
        <v>506</v>
      </c>
      <c r="D476" s="26" t="s">
        <v>513</v>
      </c>
      <c r="E476" s="26" t="s">
        <v>492</v>
      </c>
      <c r="F476" s="101">
        <v>20</v>
      </c>
      <c r="G476" s="26" t="s">
        <v>514</v>
      </c>
      <c r="H476" s="102">
        <f>IFERROR(VLOOKUP($D476,NOMENCLATOR!$A:$F,6,FALSE()),"")*IF(OR($G476="g",$G476="ml"),0.001,1)</f>
        <v>1.6897059999999998E-2</v>
      </c>
      <c r="I476" s="102">
        <f t="shared" si="24"/>
        <v>0.33794119999999994</v>
      </c>
    </row>
    <row r="477" spans="1:11" x14ac:dyDescent="0.2">
      <c r="A477" s="26" t="s">
        <v>186</v>
      </c>
      <c r="B477" s="26" t="s">
        <v>672</v>
      </c>
      <c r="C477" s="26" t="s">
        <v>506</v>
      </c>
      <c r="D477" s="26" t="s">
        <v>673</v>
      </c>
      <c r="E477" s="26" t="s">
        <v>674</v>
      </c>
      <c r="F477" s="101">
        <v>50</v>
      </c>
      <c r="G477" s="26" t="s">
        <v>529</v>
      </c>
      <c r="H477" s="102">
        <f>IFERROR(VLOOKUP($D477,NOMENCLATOR!$A:$F,6,FALSE()),"")*IF(OR($G477="g",$G477="ml"),0.001,1)</f>
        <v>1.8940000000000002E-2</v>
      </c>
      <c r="I477" s="102">
        <f t="shared" si="24"/>
        <v>0.94700000000000006</v>
      </c>
    </row>
    <row r="478" spans="1:11" x14ac:dyDescent="0.2">
      <c r="A478" s="26" t="s">
        <v>186</v>
      </c>
      <c r="B478" s="26" t="s">
        <v>672</v>
      </c>
      <c r="C478" s="26" t="s">
        <v>506</v>
      </c>
      <c r="D478" s="26" t="s">
        <v>675</v>
      </c>
      <c r="E478" s="26" t="s">
        <v>676</v>
      </c>
      <c r="F478" s="101">
        <v>30</v>
      </c>
      <c r="G478" s="26" t="s">
        <v>529</v>
      </c>
      <c r="H478" s="102">
        <f>IFERROR(VLOOKUP($D478,NOMENCLATOR!$A:$F,6,FALSE()),"")*IF(OR($G478="g",$G478="ml"),0.001,1)</f>
        <v>2.6133800000000002E-2</v>
      </c>
      <c r="I478" s="102">
        <f t="shared" si="24"/>
        <v>0.7840140000000001</v>
      </c>
    </row>
    <row r="479" spans="1:11" x14ac:dyDescent="0.2">
      <c r="A479" s="26" t="s">
        <v>186</v>
      </c>
      <c r="B479" s="26" t="s">
        <v>672</v>
      </c>
      <c r="C479" s="26" t="s">
        <v>506</v>
      </c>
      <c r="D479" s="26" t="s">
        <v>634</v>
      </c>
      <c r="E479" s="26" t="s">
        <v>635</v>
      </c>
      <c r="F479" s="101">
        <v>11.2</v>
      </c>
      <c r="G479" s="26" t="s">
        <v>529</v>
      </c>
      <c r="H479" s="102">
        <f>IFERROR(VLOOKUP($D479,NOMENCLATOR!$A:$F,6,FALSE()),"")*IF(OR($G479="g",$G479="ml"),0.001,1)</f>
        <v>1.554E-2</v>
      </c>
      <c r="I479" s="102">
        <f t="shared" si="24"/>
        <v>0.17404799999999998</v>
      </c>
    </row>
    <row r="480" spans="1:11" x14ac:dyDescent="0.2">
      <c r="A480" s="26" t="s">
        <v>186</v>
      </c>
      <c r="B480" s="26" t="s">
        <v>672</v>
      </c>
      <c r="C480" s="26" t="s">
        <v>506</v>
      </c>
      <c r="D480" s="26" t="s">
        <v>770</v>
      </c>
      <c r="E480" s="26" t="s">
        <v>771</v>
      </c>
      <c r="F480" s="101">
        <v>1</v>
      </c>
      <c r="G480" s="26" t="s">
        <v>509</v>
      </c>
      <c r="H480" s="102">
        <f>IFERROR(VLOOKUP($D480,NOMENCLATOR!$A:$F,6,FALSE()),"")*IF(OR($G480="g",$G480="ml"),0.001,1)</f>
        <v>0.69299999999999995</v>
      </c>
      <c r="I480" s="102">
        <f t="shared" si="24"/>
        <v>0.69299999999999995</v>
      </c>
    </row>
    <row r="481" spans="1:11" x14ac:dyDescent="0.2">
      <c r="A481" s="26" t="s">
        <v>186</v>
      </c>
      <c r="B481" s="26" t="s">
        <v>672</v>
      </c>
      <c r="C481" s="26" t="s">
        <v>506</v>
      </c>
      <c r="D481" s="26" t="s">
        <v>619</v>
      </c>
      <c r="E481" s="26" t="s">
        <v>620</v>
      </c>
      <c r="F481" s="101">
        <v>1</v>
      </c>
      <c r="G481" s="26" t="s">
        <v>509</v>
      </c>
      <c r="H481" s="102">
        <f>IFERROR(VLOOKUP($D481,NOMENCLATOR!$A:$F,6,FALSE()),"")*IF(OR($G481="g",$G481="ml"),0.001,1)</f>
        <v>0.11</v>
      </c>
      <c r="I481" s="102">
        <f t="shared" si="24"/>
        <v>0.11</v>
      </c>
    </row>
    <row r="482" spans="1:11" x14ac:dyDescent="0.2">
      <c r="A482" s="103" t="s">
        <v>186</v>
      </c>
      <c r="B482" s="104"/>
      <c r="C482" s="104"/>
      <c r="D482" s="104"/>
      <c r="E482" s="103" t="s">
        <v>510</v>
      </c>
      <c r="F482" s="104"/>
      <c r="G482" s="104"/>
      <c r="H482" s="104"/>
      <c r="I482" s="104"/>
      <c r="J482" s="105">
        <f>SUMIFS($I$474:$I$481,$C$474:$C$481,"AMBELE")+SUMIFS($I$474:$I$481,$C$474:$C$481,"INSTORE")</f>
        <v>10.258508400000002</v>
      </c>
      <c r="K482" s="105">
        <f>SUMIFS($I$474:$I$481,$C$474:$C$481,"AMBELE")+SUMIFS($I$474:$I$481,$C$474:$C$481,"DELIVERY")</f>
        <v>10.258508400000002</v>
      </c>
    </row>
    <row r="483" spans="1:11" x14ac:dyDescent="0.2">
      <c r="A483" s="26" t="s">
        <v>192</v>
      </c>
      <c r="B483" s="26" t="s">
        <v>672</v>
      </c>
      <c r="C483" s="26" t="s">
        <v>506</v>
      </c>
      <c r="D483" s="26" t="s">
        <v>550</v>
      </c>
      <c r="E483" s="26" t="s">
        <v>551</v>
      </c>
      <c r="F483" s="101">
        <v>1</v>
      </c>
      <c r="G483" s="26" t="s">
        <v>509</v>
      </c>
      <c r="H483" s="102">
        <f>IFERROR(VLOOKUP($D483,NOMENCLATOR!$A:$F,6,FALSE()),"")*IF(OR($G483="g",$G483="ml"),0.001,1)</f>
        <v>2.36</v>
      </c>
      <c r="I483" s="102">
        <f t="shared" ref="I483:I490" si="25">IFERROR($F483*$H483,"")</f>
        <v>2.36</v>
      </c>
    </row>
    <row r="484" spans="1:11" x14ac:dyDescent="0.2">
      <c r="A484" s="26" t="s">
        <v>192</v>
      </c>
      <c r="B484" s="26" t="s">
        <v>672</v>
      </c>
      <c r="C484" s="26" t="s">
        <v>506</v>
      </c>
      <c r="D484" s="26" t="s">
        <v>769</v>
      </c>
      <c r="E484" s="26" t="s">
        <v>486</v>
      </c>
      <c r="F484" s="101">
        <v>1</v>
      </c>
      <c r="G484" s="26" t="s">
        <v>509</v>
      </c>
      <c r="H484" s="102">
        <f>IFERROR(VLOOKUP($D484,NOMENCLATOR!$A:$F,6,FALSE()),"")*IF(OR($G484="g",$G484="ml"),0.001,1)</f>
        <v>4.74</v>
      </c>
      <c r="I484" s="102">
        <f t="shared" si="25"/>
        <v>4.74</v>
      </c>
    </row>
    <row r="485" spans="1:11" x14ac:dyDescent="0.2">
      <c r="A485" s="26" t="s">
        <v>192</v>
      </c>
      <c r="B485" s="26" t="s">
        <v>672</v>
      </c>
      <c r="C485" s="26" t="s">
        <v>506</v>
      </c>
      <c r="D485" s="26" t="s">
        <v>513</v>
      </c>
      <c r="E485" s="26" t="s">
        <v>492</v>
      </c>
      <c r="F485" s="101">
        <v>20</v>
      </c>
      <c r="G485" s="26" t="s">
        <v>514</v>
      </c>
      <c r="H485" s="102">
        <f>IFERROR(VLOOKUP($D485,NOMENCLATOR!$A:$F,6,FALSE()),"")*IF(OR($G485="g",$G485="ml"),0.001,1)</f>
        <v>1.6897059999999998E-2</v>
      </c>
      <c r="I485" s="102">
        <f t="shared" si="25"/>
        <v>0.33794119999999994</v>
      </c>
    </row>
    <row r="486" spans="1:11" x14ac:dyDescent="0.2">
      <c r="A486" s="26" t="s">
        <v>192</v>
      </c>
      <c r="B486" s="26" t="s">
        <v>672</v>
      </c>
      <c r="C486" s="26" t="s">
        <v>506</v>
      </c>
      <c r="D486" s="26" t="s">
        <v>678</v>
      </c>
      <c r="E486" s="26" t="s">
        <v>679</v>
      </c>
      <c r="F486" s="101">
        <v>30</v>
      </c>
      <c r="G486" s="26" t="s">
        <v>529</v>
      </c>
      <c r="H486" s="102">
        <f>IFERROR(VLOOKUP($D486,NOMENCLATOR!$A:$F,6,FALSE()),"")*IF(OR($G486="g",$G486="ml"),0.001,1)</f>
        <v>4.0739370000000004E-2</v>
      </c>
      <c r="I486" s="102">
        <f t="shared" si="25"/>
        <v>1.2221811</v>
      </c>
    </row>
    <row r="487" spans="1:11" x14ac:dyDescent="0.2">
      <c r="A487" s="26" t="s">
        <v>192</v>
      </c>
      <c r="B487" s="26" t="s">
        <v>672</v>
      </c>
      <c r="C487" s="26" t="s">
        <v>506</v>
      </c>
      <c r="D487" s="26" t="s">
        <v>558</v>
      </c>
      <c r="E487" s="26" t="s">
        <v>559</v>
      </c>
      <c r="F487" s="101">
        <v>20</v>
      </c>
      <c r="G487" s="26" t="s">
        <v>529</v>
      </c>
      <c r="H487" s="102">
        <f>IFERROR(VLOOKUP($D487,NOMENCLATOR!$A:$F,6,FALSE()),"")*IF(OR($G487="g",$G487="ml"),0.001,1)</f>
        <v>3.6000000000000004E-2</v>
      </c>
      <c r="I487" s="102">
        <f t="shared" si="25"/>
        <v>0.72000000000000008</v>
      </c>
    </row>
    <row r="488" spans="1:11" x14ac:dyDescent="0.2">
      <c r="A488" s="26" t="s">
        <v>192</v>
      </c>
      <c r="B488" s="26" t="s">
        <v>672</v>
      </c>
      <c r="C488" s="26" t="s">
        <v>506</v>
      </c>
      <c r="D488" s="26" t="s">
        <v>634</v>
      </c>
      <c r="E488" s="26" t="s">
        <v>635</v>
      </c>
      <c r="F488" s="101">
        <v>11.2</v>
      </c>
      <c r="G488" s="26" t="s">
        <v>529</v>
      </c>
      <c r="H488" s="102">
        <f>IFERROR(VLOOKUP($D488,NOMENCLATOR!$A:$F,6,FALSE()),"")*IF(OR($G488="g",$G488="ml"),0.001,1)</f>
        <v>1.554E-2</v>
      </c>
      <c r="I488" s="102">
        <f t="shared" si="25"/>
        <v>0.17404799999999998</v>
      </c>
    </row>
    <row r="489" spans="1:11" x14ac:dyDescent="0.2">
      <c r="A489" s="26" t="s">
        <v>192</v>
      </c>
      <c r="B489" s="26" t="s">
        <v>672</v>
      </c>
      <c r="C489" s="26" t="s">
        <v>506</v>
      </c>
      <c r="D489" s="26" t="s">
        <v>770</v>
      </c>
      <c r="E489" s="26" t="s">
        <v>771</v>
      </c>
      <c r="F489" s="101">
        <v>1</v>
      </c>
      <c r="G489" s="26" t="s">
        <v>509</v>
      </c>
      <c r="H489" s="102">
        <f>IFERROR(VLOOKUP($D489,NOMENCLATOR!$A:$F,6,FALSE()),"")*IF(OR($G489="g",$G489="ml"),0.001,1)</f>
        <v>0.69299999999999995</v>
      </c>
      <c r="I489" s="102">
        <f t="shared" si="25"/>
        <v>0.69299999999999995</v>
      </c>
    </row>
    <row r="490" spans="1:11" x14ac:dyDescent="0.2">
      <c r="A490" s="26" t="s">
        <v>192</v>
      </c>
      <c r="B490" s="26" t="s">
        <v>672</v>
      </c>
      <c r="C490" s="26" t="s">
        <v>506</v>
      </c>
      <c r="D490" s="26" t="s">
        <v>619</v>
      </c>
      <c r="E490" s="26" t="s">
        <v>620</v>
      </c>
      <c r="F490" s="101">
        <v>1</v>
      </c>
      <c r="G490" s="26" t="s">
        <v>509</v>
      </c>
      <c r="H490" s="102">
        <f>IFERROR(VLOOKUP($D490,NOMENCLATOR!$A:$F,6,FALSE()),"")*IF(OR($G490="g",$G490="ml"),0.001,1)</f>
        <v>0.11</v>
      </c>
      <c r="I490" s="102">
        <f t="shared" si="25"/>
        <v>0.11</v>
      </c>
    </row>
    <row r="491" spans="1:11" x14ac:dyDescent="0.2">
      <c r="A491" s="103" t="s">
        <v>192</v>
      </c>
      <c r="B491" s="104"/>
      <c r="C491" s="104"/>
      <c r="D491" s="104"/>
      <c r="E491" s="103" t="s">
        <v>510</v>
      </c>
      <c r="F491" s="104"/>
      <c r="G491" s="104"/>
      <c r="H491" s="104"/>
      <c r="I491" s="104"/>
      <c r="J491" s="105">
        <f>SUMIFS($I$483:$I$490,$C$483:$C$490,"AMBELE")+SUMIFS($I$483:$I$490,$C$483:$C$490,"INSTORE")</f>
        <v>10.357170299999998</v>
      </c>
      <c r="K491" s="105">
        <f>SUMIFS($I$483:$I$490,$C$483:$C$490,"AMBELE")+SUMIFS($I$483:$I$490,$C$483:$C$490,"DELIVERY")</f>
        <v>10.357170299999998</v>
      </c>
    </row>
    <row r="492" spans="1:11" x14ac:dyDescent="0.2">
      <c r="A492" s="26" t="s">
        <v>209</v>
      </c>
      <c r="B492" s="26" t="s">
        <v>672</v>
      </c>
      <c r="C492" s="26" t="s">
        <v>506</v>
      </c>
      <c r="D492" s="26" t="s">
        <v>570</v>
      </c>
      <c r="E492" s="26" t="s">
        <v>571</v>
      </c>
      <c r="F492" s="101">
        <v>0.33</v>
      </c>
      <c r="G492" s="26" t="s">
        <v>509</v>
      </c>
      <c r="H492" s="102">
        <f>IFERROR(VLOOKUP($D492,NOMENCLATOR!$A:$F,6,FALSE()),"")*IF(OR($G492="g",$G492="ml"),0.001,1)</f>
        <v>7.4924400000000002</v>
      </c>
      <c r="I492" s="102">
        <f t="shared" ref="I492:I499" si="26">IFERROR($F492*$H492,"")</f>
        <v>2.4725052000000001</v>
      </c>
    </row>
    <row r="493" spans="1:11" x14ac:dyDescent="0.2">
      <c r="A493" s="26" t="s">
        <v>209</v>
      </c>
      <c r="B493" s="26" t="s">
        <v>672</v>
      </c>
      <c r="C493" s="26" t="s">
        <v>506</v>
      </c>
      <c r="D493" s="26" t="s">
        <v>769</v>
      </c>
      <c r="E493" s="26" t="s">
        <v>486</v>
      </c>
      <c r="F493" s="101">
        <v>1</v>
      </c>
      <c r="G493" s="26" t="s">
        <v>509</v>
      </c>
      <c r="H493" s="102">
        <f>IFERROR(VLOOKUP($D493,NOMENCLATOR!$A:$F,6,FALSE()),"")*IF(OR($G493="g",$G493="ml"),0.001,1)</f>
        <v>4.74</v>
      </c>
      <c r="I493" s="102">
        <f t="shared" si="26"/>
        <v>4.74</v>
      </c>
    </row>
    <row r="494" spans="1:11" x14ac:dyDescent="0.2">
      <c r="A494" s="26" t="s">
        <v>209</v>
      </c>
      <c r="B494" s="26" t="s">
        <v>672</v>
      </c>
      <c r="C494" s="26" t="s">
        <v>506</v>
      </c>
      <c r="D494" s="26" t="s">
        <v>513</v>
      </c>
      <c r="E494" s="26" t="s">
        <v>492</v>
      </c>
      <c r="F494" s="101">
        <v>20</v>
      </c>
      <c r="G494" s="26" t="s">
        <v>514</v>
      </c>
      <c r="H494" s="102">
        <f>IFERROR(VLOOKUP($D494,NOMENCLATOR!$A:$F,6,FALSE()),"")*IF(OR($G494="g",$G494="ml"),0.001,1)</f>
        <v>1.6897059999999998E-2</v>
      </c>
      <c r="I494" s="102">
        <f t="shared" si="26"/>
        <v>0.33794119999999994</v>
      </c>
    </row>
    <row r="495" spans="1:11" x14ac:dyDescent="0.2">
      <c r="A495" s="26" t="s">
        <v>209</v>
      </c>
      <c r="B495" s="26" t="s">
        <v>672</v>
      </c>
      <c r="C495" s="26" t="s">
        <v>506</v>
      </c>
      <c r="D495" s="26" t="s">
        <v>678</v>
      </c>
      <c r="E495" s="26" t="s">
        <v>679</v>
      </c>
      <c r="F495" s="101">
        <v>30</v>
      </c>
      <c r="G495" s="26" t="s">
        <v>529</v>
      </c>
      <c r="H495" s="102">
        <f>IFERROR(VLOOKUP($D495,NOMENCLATOR!$A:$F,6,FALSE()),"")*IF(OR($G495="g",$G495="ml"),0.001,1)</f>
        <v>4.0739370000000004E-2</v>
      </c>
      <c r="I495" s="102">
        <f t="shared" si="26"/>
        <v>1.2221811</v>
      </c>
    </row>
    <row r="496" spans="1:11" x14ac:dyDescent="0.2">
      <c r="A496" s="26" t="s">
        <v>209</v>
      </c>
      <c r="B496" s="26" t="s">
        <v>672</v>
      </c>
      <c r="C496" s="26" t="s">
        <v>506</v>
      </c>
      <c r="D496" s="26" t="s">
        <v>558</v>
      </c>
      <c r="E496" s="26" t="s">
        <v>559</v>
      </c>
      <c r="F496" s="101">
        <v>20</v>
      </c>
      <c r="G496" s="26" t="s">
        <v>529</v>
      </c>
      <c r="H496" s="102">
        <f>IFERROR(VLOOKUP($D496,NOMENCLATOR!$A:$F,6,FALSE()),"")*IF(OR($G496="g",$G496="ml"),0.001,1)</f>
        <v>3.6000000000000004E-2</v>
      </c>
      <c r="I496" s="102">
        <f t="shared" si="26"/>
        <v>0.72000000000000008</v>
      </c>
    </row>
    <row r="497" spans="1:11" x14ac:dyDescent="0.2">
      <c r="A497" s="26" t="s">
        <v>209</v>
      </c>
      <c r="B497" s="26" t="s">
        <v>672</v>
      </c>
      <c r="C497" s="26" t="s">
        <v>506</v>
      </c>
      <c r="D497" s="26" t="s">
        <v>634</v>
      </c>
      <c r="E497" s="26" t="s">
        <v>635</v>
      </c>
      <c r="F497" s="101">
        <v>11.2</v>
      </c>
      <c r="G497" s="26" t="s">
        <v>529</v>
      </c>
      <c r="H497" s="102">
        <f>IFERROR(VLOOKUP($D497,NOMENCLATOR!$A:$F,6,FALSE()),"")*IF(OR($G497="g",$G497="ml"),0.001,1)</f>
        <v>1.554E-2</v>
      </c>
      <c r="I497" s="102">
        <f t="shared" si="26"/>
        <v>0.17404799999999998</v>
      </c>
    </row>
    <row r="498" spans="1:11" x14ac:dyDescent="0.2">
      <c r="A498" s="26" t="s">
        <v>209</v>
      </c>
      <c r="B498" s="26" t="s">
        <v>672</v>
      </c>
      <c r="C498" s="26" t="s">
        <v>506</v>
      </c>
      <c r="D498" s="26" t="s">
        <v>770</v>
      </c>
      <c r="E498" s="26" t="s">
        <v>771</v>
      </c>
      <c r="F498" s="101">
        <v>1</v>
      </c>
      <c r="G498" s="26" t="s">
        <v>509</v>
      </c>
      <c r="H498" s="102">
        <f>IFERROR(VLOOKUP($D498,NOMENCLATOR!$A:$F,6,FALSE()),"")*IF(OR($G498="g",$G498="ml"),0.001,1)</f>
        <v>0.69299999999999995</v>
      </c>
      <c r="I498" s="102">
        <f t="shared" si="26"/>
        <v>0.69299999999999995</v>
      </c>
    </row>
    <row r="499" spans="1:11" x14ac:dyDescent="0.2">
      <c r="A499" s="26" t="s">
        <v>209</v>
      </c>
      <c r="B499" s="26" t="s">
        <v>672</v>
      </c>
      <c r="C499" s="26" t="s">
        <v>506</v>
      </c>
      <c r="D499" s="26" t="s">
        <v>619</v>
      </c>
      <c r="E499" s="26" t="s">
        <v>620</v>
      </c>
      <c r="F499" s="101">
        <v>1</v>
      </c>
      <c r="G499" s="26" t="s">
        <v>509</v>
      </c>
      <c r="H499" s="102">
        <f>IFERROR(VLOOKUP($D499,NOMENCLATOR!$A:$F,6,FALSE()),"")*IF(OR($G499="g",$G499="ml"),0.001,1)</f>
        <v>0.11</v>
      </c>
      <c r="I499" s="102">
        <f t="shared" si="26"/>
        <v>0.11</v>
      </c>
    </row>
    <row r="500" spans="1:11" x14ac:dyDescent="0.2">
      <c r="A500" s="103" t="s">
        <v>209</v>
      </c>
      <c r="B500" s="104"/>
      <c r="C500" s="104"/>
      <c r="D500" s="104"/>
      <c r="E500" s="103" t="s">
        <v>510</v>
      </c>
      <c r="F500" s="104"/>
      <c r="G500" s="104"/>
      <c r="H500" s="104"/>
      <c r="I500" s="104"/>
      <c r="J500" s="105">
        <f>SUMIFS($I$492:$I$499,$C$492:$C$499,"AMBELE")+SUMIFS($I$492:$I$499,$C$492:$C$499,"INSTORE")</f>
        <v>10.469675499999999</v>
      </c>
      <c r="K500" s="105">
        <f>SUMIFS($I$492:$I$499,$C$492:$C$499,"AMBELE")+SUMIFS($I$492:$I$499,$C$492:$C$499,"DELIVERY")</f>
        <v>10.469675499999999</v>
      </c>
    </row>
    <row r="501" spans="1:11" x14ac:dyDescent="0.2">
      <c r="A501" s="26" t="s">
        <v>205</v>
      </c>
      <c r="B501" s="26" t="s">
        <v>672</v>
      </c>
      <c r="C501" s="26" t="s">
        <v>506</v>
      </c>
      <c r="D501" s="26" t="s">
        <v>550</v>
      </c>
      <c r="E501" s="26" t="s">
        <v>551</v>
      </c>
      <c r="F501" s="101">
        <v>1</v>
      </c>
      <c r="G501" s="26" t="s">
        <v>509</v>
      </c>
      <c r="H501" s="102">
        <f>IFERROR(VLOOKUP($D501,NOMENCLATOR!$A:$F,6,FALSE()),"")*IF(OR($G501="g",$G501="ml"),0.001,1)</f>
        <v>2.36</v>
      </c>
      <c r="I501" s="102">
        <f t="shared" ref="I501:I508" si="27">IFERROR($F501*$H501,"")</f>
        <v>2.36</v>
      </c>
    </row>
    <row r="502" spans="1:11" x14ac:dyDescent="0.2">
      <c r="A502" s="26" t="s">
        <v>205</v>
      </c>
      <c r="B502" s="26" t="s">
        <v>672</v>
      </c>
      <c r="C502" s="26" t="s">
        <v>506</v>
      </c>
      <c r="D502" s="26" t="s">
        <v>769</v>
      </c>
      <c r="E502" s="26" t="s">
        <v>486</v>
      </c>
      <c r="F502" s="101">
        <v>1</v>
      </c>
      <c r="G502" s="26" t="s">
        <v>509</v>
      </c>
      <c r="H502" s="102">
        <f>IFERROR(VLOOKUP($D502,NOMENCLATOR!$A:$F,6,FALSE()),"")*IF(OR($G502="g",$G502="ml"),0.001,1)</f>
        <v>4.74</v>
      </c>
      <c r="I502" s="102">
        <f t="shared" si="27"/>
        <v>4.74</v>
      </c>
    </row>
    <row r="503" spans="1:11" x14ac:dyDescent="0.2">
      <c r="A503" s="26" t="s">
        <v>205</v>
      </c>
      <c r="B503" s="26" t="s">
        <v>672</v>
      </c>
      <c r="C503" s="26" t="s">
        <v>506</v>
      </c>
      <c r="D503" s="26" t="s">
        <v>513</v>
      </c>
      <c r="E503" s="26" t="s">
        <v>492</v>
      </c>
      <c r="F503" s="101">
        <v>20</v>
      </c>
      <c r="G503" s="26" t="s">
        <v>514</v>
      </c>
      <c r="H503" s="102">
        <f>IFERROR(VLOOKUP($D503,NOMENCLATOR!$A:$F,6,FALSE()),"")*IF(OR($G503="g",$G503="ml"),0.001,1)</f>
        <v>1.6897059999999998E-2</v>
      </c>
      <c r="I503" s="102">
        <f t="shared" si="27"/>
        <v>0.33794119999999994</v>
      </c>
    </row>
    <row r="504" spans="1:11" x14ac:dyDescent="0.2">
      <c r="A504" s="26" t="s">
        <v>205</v>
      </c>
      <c r="B504" s="26" t="s">
        <v>672</v>
      </c>
      <c r="C504" s="26" t="s">
        <v>506</v>
      </c>
      <c r="D504" s="26" t="s">
        <v>680</v>
      </c>
      <c r="E504" s="26" t="s">
        <v>681</v>
      </c>
      <c r="F504" s="101">
        <v>30</v>
      </c>
      <c r="G504" s="26" t="s">
        <v>514</v>
      </c>
      <c r="H504" s="102">
        <f>IFERROR(VLOOKUP($D504,NOMENCLATOR!$A:$F,6,FALSE()),"")*IF(OR($G504="g",$G504="ml"),0.001,1)</f>
        <v>4.6999270000000003E-2</v>
      </c>
      <c r="I504" s="102">
        <f t="shared" si="27"/>
        <v>1.4099781</v>
      </c>
    </row>
    <row r="505" spans="1:11" x14ac:dyDescent="0.2">
      <c r="A505" s="26" t="s">
        <v>205</v>
      </c>
      <c r="B505" s="26" t="s">
        <v>672</v>
      </c>
      <c r="C505" s="26" t="s">
        <v>506</v>
      </c>
      <c r="D505" s="26" t="s">
        <v>558</v>
      </c>
      <c r="E505" s="26" t="s">
        <v>559</v>
      </c>
      <c r="F505" s="101">
        <v>20</v>
      </c>
      <c r="G505" s="26" t="s">
        <v>529</v>
      </c>
      <c r="H505" s="102">
        <f>IFERROR(VLOOKUP($D505,NOMENCLATOR!$A:$F,6,FALSE()),"")*IF(OR($G505="g",$G505="ml"),0.001,1)</f>
        <v>3.6000000000000004E-2</v>
      </c>
      <c r="I505" s="102">
        <f t="shared" si="27"/>
        <v>0.72000000000000008</v>
      </c>
    </row>
    <row r="506" spans="1:11" x14ac:dyDescent="0.2">
      <c r="A506" s="26" t="s">
        <v>205</v>
      </c>
      <c r="B506" s="26" t="s">
        <v>672</v>
      </c>
      <c r="C506" s="26" t="s">
        <v>506</v>
      </c>
      <c r="D506" s="26" t="s">
        <v>634</v>
      </c>
      <c r="E506" s="26" t="s">
        <v>635</v>
      </c>
      <c r="F506" s="101">
        <v>11.2</v>
      </c>
      <c r="G506" s="26" t="s">
        <v>529</v>
      </c>
      <c r="H506" s="102">
        <f>IFERROR(VLOOKUP($D506,NOMENCLATOR!$A:$F,6,FALSE()),"")*IF(OR($G506="g",$G506="ml"),0.001,1)</f>
        <v>1.554E-2</v>
      </c>
      <c r="I506" s="102">
        <f t="shared" si="27"/>
        <v>0.17404799999999998</v>
      </c>
    </row>
    <row r="507" spans="1:11" x14ac:dyDescent="0.2">
      <c r="A507" s="26" t="s">
        <v>205</v>
      </c>
      <c r="B507" s="26" t="s">
        <v>672</v>
      </c>
      <c r="C507" s="26" t="s">
        <v>506</v>
      </c>
      <c r="D507" s="26" t="s">
        <v>770</v>
      </c>
      <c r="E507" s="26" t="s">
        <v>771</v>
      </c>
      <c r="F507" s="101">
        <v>1</v>
      </c>
      <c r="G507" s="26" t="s">
        <v>509</v>
      </c>
      <c r="H507" s="102">
        <f>IFERROR(VLOOKUP($D507,NOMENCLATOR!$A:$F,6,FALSE()),"")*IF(OR($G507="g",$G507="ml"),0.001,1)</f>
        <v>0.69299999999999995</v>
      </c>
      <c r="I507" s="102">
        <f t="shared" si="27"/>
        <v>0.69299999999999995</v>
      </c>
    </row>
    <row r="508" spans="1:11" x14ac:dyDescent="0.2">
      <c r="A508" s="26" t="s">
        <v>205</v>
      </c>
      <c r="B508" s="26" t="s">
        <v>672</v>
      </c>
      <c r="C508" s="26" t="s">
        <v>506</v>
      </c>
      <c r="D508" s="26" t="s">
        <v>619</v>
      </c>
      <c r="E508" s="26" t="s">
        <v>620</v>
      </c>
      <c r="F508" s="101">
        <v>1</v>
      </c>
      <c r="G508" s="26" t="s">
        <v>509</v>
      </c>
      <c r="H508" s="102">
        <f>IFERROR(VLOOKUP($D508,NOMENCLATOR!$A:$F,6,FALSE()),"")*IF(OR($G508="g",$G508="ml"),0.001,1)</f>
        <v>0.11</v>
      </c>
      <c r="I508" s="102">
        <f t="shared" si="27"/>
        <v>0.11</v>
      </c>
    </row>
    <row r="509" spans="1:11" x14ac:dyDescent="0.2">
      <c r="A509" s="103" t="s">
        <v>205</v>
      </c>
      <c r="B509" s="104"/>
      <c r="C509" s="104"/>
      <c r="D509" s="104"/>
      <c r="E509" s="103" t="s">
        <v>510</v>
      </c>
      <c r="F509" s="104"/>
      <c r="G509" s="104"/>
      <c r="H509" s="104"/>
      <c r="I509" s="104"/>
      <c r="J509" s="105">
        <f>SUMIFS($I$501:$I$508,$C$501:$C$508,"AMBELE")+SUMIFS($I$501:$I$508,$C$501:$C$508,"INSTORE")</f>
        <v>10.544967299999998</v>
      </c>
      <c r="K509" s="105">
        <f>SUMIFS($I$501:$I$508,$C$501:$C$508,"AMBELE")+SUMIFS($I$501:$I$508,$C$501:$C$508,"DELIVERY")</f>
        <v>10.544967299999998</v>
      </c>
    </row>
    <row r="510" spans="1:11" x14ac:dyDescent="0.2">
      <c r="A510" s="26" t="s">
        <v>163</v>
      </c>
      <c r="B510" s="26" t="s">
        <v>672</v>
      </c>
      <c r="C510" s="26" t="s">
        <v>506</v>
      </c>
      <c r="D510" s="26" t="s">
        <v>550</v>
      </c>
      <c r="E510" s="26" t="s">
        <v>551</v>
      </c>
      <c r="F510" s="101">
        <v>1</v>
      </c>
      <c r="G510" s="26" t="s">
        <v>509</v>
      </c>
      <c r="H510" s="102">
        <f>IFERROR(VLOOKUP($D510,NOMENCLATOR!$A:$F,6,FALSE()),"")*IF(OR($G510="g",$G510="ml"),0.001,1)</f>
        <v>2.36</v>
      </c>
      <c r="I510" s="102">
        <f t="shared" ref="I510:I517" si="28">IFERROR($F510*$H510,"")</f>
        <v>2.36</v>
      </c>
    </row>
    <row r="511" spans="1:11" x14ac:dyDescent="0.2">
      <c r="A511" s="26" t="s">
        <v>163</v>
      </c>
      <c r="B511" s="26" t="s">
        <v>672</v>
      </c>
      <c r="C511" s="26" t="s">
        <v>506</v>
      </c>
      <c r="D511" s="26" t="s">
        <v>769</v>
      </c>
      <c r="E511" s="26" t="s">
        <v>486</v>
      </c>
      <c r="F511" s="101">
        <v>1</v>
      </c>
      <c r="G511" s="26" t="s">
        <v>509</v>
      </c>
      <c r="H511" s="102">
        <f>IFERROR(VLOOKUP($D511,NOMENCLATOR!$A:$F,6,FALSE()),"")*IF(OR($G511="g",$G511="ml"),0.001,1)</f>
        <v>4.74</v>
      </c>
      <c r="I511" s="102">
        <f t="shared" si="28"/>
        <v>4.74</v>
      </c>
    </row>
    <row r="512" spans="1:11" x14ac:dyDescent="0.2">
      <c r="A512" s="26" t="s">
        <v>163</v>
      </c>
      <c r="B512" s="26" t="s">
        <v>672</v>
      </c>
      <c r="C512" s="26" t="s">
        <v>506</v>
      </c>
      <c r="D512" s="26" t="s">
        <v>513</v>
      </c>
      <c r="E512" s="26" t="s">
        <v>492</v>
      </c>
      <c r="F512" s="101">
        <v>20</v>
      </c>
      <c r="G512" s="26" t="s">
        <v>514</v>
      </c>
      <c r="H512" s="102">
        <f>IFERROR(VLOOKUP($D512,NOMENCLATOR!$A:$F,6,FALSE()),"")*IF(OR($G512="g",$G512="ml"),0.001,1)</f>
        <v>1.6897059999999998E-2</v>
      </c>
      <c r="I512" s="102">
        <f t="shared" si="28"/>
        <v>0.33794119999999994</v>
      </c>
    </row>
    <row r="513" spans="1:11" x14ac:dyDescent="0.2">
      <c r="A513" s="26" t="s">
        <v>163</v>
      </c>
      <c r="B513" s="26" t="s">
        <v>672</v>
      </c>
      <c r="C513" s="26" t="s">
        <v>506</v>
      </c>
      <c r="D513" s="26" t="s">
        <v>673</v>
      </c>
      <c r="E513" s="26" t="s">
        <v>674</v>
      </c>
      <c r="F513" s="101">
        <v>50</v>
      </c>
      <c r="G513" s="26" t="s">
        <v>529</v>
      </c>
      <c r="H513" s="102">
        <f>IFERROR(VLOOKUP($D513,NOMENCLATOR!$A:$F,6,FALSE()),"")*IF(OR($G513="g",$G513="ml"),0.001,1)</f>
        <v>1.8940000000000002E-2</v>
      </c>
      <c r="I513" s="102">
        <f t="shared" si="28"/>
        <v>0.94700000000000006</v>
      </c>
    </row>
    <row r="514" spans="1:11" x14ac:dyDescent="0.2">
      <c r="A514" s="26" t="s">
        <v>163</v>
      </c>
      <c r="B514" s="26" t="s">
        <v>672</v>
      </c>
      <c r="C514" s="26" t="s">
        <v>506</v>
      </c>
      <c r="D514" s="26" t="s">
        <v>675</v>
      </c>
      <c r="E514" s="26" t="s">
        <v>676</v>
      </c>
      <c r="F514" s="101">
        <v>30</v>
      </c>
      <c r="G514" s="26" t="s">
        <v>529</v>
      </c>
      <c r="H514" s="102">
        <f>IFERROR(VLOOKUP($D514,NOMENCLATOR!$A:$F,6,FALSE()),"")*IF(OR($G514="g",$G514="ml"),0.001,1)</f>
        <v>2.6133800000000002E-2</v>
      </c>
      <c r="I514" s="102">
        <f t="shared" si="28"/>
        <v>0.7840140000000001</v>
      </c>
    </row>
    <row r="515" spans="1:11" x14ac:dyDescent="0.2">
      <c r="A515" s="26" t="s">
        <v>163</v>
      </c>
      <c r="B515" s="26" t="s">
        <v>672</v>
      </c>
      <c r="C515" s="26" t="s">
        <v>506</v>
      </c>
      <c r="D515" s="26" t="s">
        <v>634</v>
      </c>
      <c r="E515" s="26" t="s">
        <v>635</v>
      </c>
      <c r="F515" s="101">
        <v>11.2</v>
      </c>
      <c r="G515" s="26" t="s">
        <v>529</v>
      </c>
      <c r="H515" s="102">
        <f>IFERROR(VLOOKUP($D515,NOMENCLATOR!$A:$F,6,FALSE()),"")*IF(OR($G515="g",$G515="ml"),0.001,1)</f>
        <v>1.554E-2</v>
      </c>
      <c r="I515" s="102">
        <f t="shared" si="28"/>
        <v>0.17404799999999998</v>
      </c>
    </row>
    <row r="516" spans="1:11" x14ac:dyDescent="0.2">
      <c r="A516" s="26" t="s">
        <v>163</v>
      </c>
      <c r="B516" s="26" t="s">
        <v>672</v>
      </c>
      <c r="C516" s="26" t="s">
        <v>506</v>
      </c>
      <c r="D516" s="26" t="s">
        <v>770</v>
      </c>
      <c r="E516" s="26" t="s">
        <v>771</v>
      </c>
      <c r="F516" s="101">
        <v>1</v>
      </c>
      <c r="G516" s="26" t="s">
        <v>509</v>
      </c>
      <c r="H516" s="102">
        <f>IFERROR(VLOOKUP($D516,NOMENCLATOR!$A:$F,6,FALSE()),"")*IF(OR($G516="g",$G516="ml"),0.001,1)</f>
        <v>0.69299999999999995</v>
      </c>
      <c r="I516" s="102">
        <f t="shared" si="28"/>
        <v>0.69299999999999995</v>
      </c>
    </row>
    <row r="517" spans="1:11" x14ac:dyDescent="0.2">
      <c r="A517" s="26" t="s">
        <v>163</v>
      </c>
      <c r="B517" s="26" t="s">
        <v>672</v>
      </c>
      <c r="C517" s="26" t="s">
        <v>506</v>
      </c>
      <c r="D517" s="26" t="s">
        <v>619</v>
      </c>
      <c r="E517" s="26" t="s">
        <v>620</v>
      </c>
      <c r="F517" s="101">
        <v>1</v>
      </c>
      <c r="G517" s="26" t="s">
        <v>509</v>
      </c>
      <c r="H517" s="102">
        <f>IFERROR(VLOOKUP($D517,NOMENCLATOR!$A:$F,6,FALSE()),"")*IF(OR($G517="g",$G517="ml"),0.001,1)</f>
        <v>0.11</v>
      </c>
      <c r="I517" s="102">
        <f t="shared" si="28"/>
        <v>0.11</v>
      </c>
    </row>
    <row r="518" spans="1:11" x14ac:dyDescent="0.2">
      <c r="A518" s="103" t="s">
        <v>163</v>
      </c>
      <c r="B518" s="104"/>
      <c r="C518" s="104"/>
      <c r="D518" s="104"/>
      <c r="E518" s="103" t="s">
        <v>510</v>
      </c>
      <c r="F518" s="104"/>
      <c r="G518" s="104"/>
      <c r="H518" s="104"/>
      <c r="I518" s="104"/>
      <c r="J518" s="105">
        <f>SUMIFS($I$510:$I$517,$C$510:$C$517,"AMBELE")+SUMIFS($I$510:$I$517,$C$510:$C$517,"INSTORE")</f>
        <v>10.146003200000001</v>
      </c>
      <c r="K518" s="105">
        <f>SUMIFS($I$510:$I$517,$C$510:$C$517,"AMBELE")+SUMIFS($I$510:$I$517,$C$510:$C$517,"DELIVERY")</f>
        <v>10.146003200000001</v>
      </c>
    </row>
    <row r="519" spans="1:11" x14ac:dyDescent="0.2">
      <c r="A519" s="26" t="s">
        <v>164</v>
      </c>
      <c r="B519" s="26" t="s">
        <v>100</v>
      </c>
      <c r="C519" s="26" t="s">
        <v>506</v>
      </c>
      <c r="D519" s="26" t="s">
        <v>733</v>
      </c>
      <c r="E519" s="26" t="s">
        <v>734</v>
      </c>
      <c r="F519" s="101">
        <v>3</v>
      </c>
      <c r="G519" s="26" t="s">
        <v>509</v>
      </c>
      <c r="H519" s="102">
        <f>IFERROR(VLOOKUP($D519,NOMENCLATOR!$A:$F,6,FALSE()),"")*IF(OR($G519="g",$G519="ml"),0.001,1)</f>
        <v>2.75</v>
      </c>
      <c r="I519" s="102">
        <f>IFERROR($F519*$H519,"")</f>
        <v>8.25</v>
      </c>
    </row>
    <row r="520" spans="1:11" x14ac:dyDescent="0.2">
      <c r="A520" s="26" t="s">
        <v>164</v>
      </c>
      <c r="B520" s="26" t="s">
        <v>100</v>
      </c>
      <c r="C520" s="26" t="s">
        <v>506</v>
      </c>
      <c r="D520" s="26" t="s">
        <v>513</v>
      </c>
      <c r="E520" s="26" t="s">
        <v>492</v>
      </c>
      <c r="F520" s="101">
        <v>18</v>
      </c>
      <c r="G520" s="26" t="s">
        <v>514</v>
      </c>
      <c r="H520" s="102">
        <f>IFERROR(VLOOKUP($D520,NOMENCLATOR!$A:$F,6,FALSE()),"")*IF(OR($G520="g",$G520="ml"),0.001,1)</f>
        <v>1.6897059999999998E-2</v>
      </c>
      <c r="I520" s="102">
        <f>IFERROR($F520*$H520,"")</f>
        <v>0.30414707999999996</v>
      </c>
    </row>
    <row r="521" spans="1:11" x14ac:dyDescent="0.2">
      <c r="A521" s="26" t="s">
        <v>164</v>
      </c>
      <c r="B521" s="26" t="s">
        <v>100</v>
      </c>
      <c r="C521" s="26" t="s">
        <v>506</v>
      </c>
      <c r="D521" s="26" t="s">
        <v>525</v>
      </c>
      <c r="E521" s="26" t="s">
        <v>526</v>
      </c>
      <c r="F521" s="101">
        <v>1</v>
      </c>
      <c r="G521" s="26" t="s">
        <v>509</v>
      </c>
      <c r="H521" s="102">
        <f>IFERROR(VLOOKUP($D521,NOMENCLATOR!$A:$F,6,FALSE()),"")*IF(OR($G521="g",$G521="ml"),0.001,1)</f>
        <v>0.127</v>
      </c>
      <c r="I521" s="102">
        <f>IFERROR($F521*$H521,"")</f>
        <v>0.127</v>
      </c>
    </row>
    <row r="522" spans="1:11" x14ac:dyDescent="0.2">
      <c r="A522" s="103" t="s">
        <v>164</v>
      </c>
      <c r="B522" s="104"/>
      <c r="C522" s="104"/>
      <c r="D522" s="104"/>
      <c r="E522" s="103" t="s">
        <v>510</v>
      </c>
      <c r="F522" s="104"/>
      <c r="G522" s="104"/>
      <c r="H522" s="104"/>
      <c r="I522" s="104"/>
      <c r="J522" s="105">
        <f>SUMIFS($I$519:$I$521,$C$519:$C$521,"AMBELE")+SUMIFS($I$519:$I$521,$C$519:$C$521,"INSTORE")</f>
        <v>8.6811470800000006</v>
      </c>
      <c r="K522" s="105">
        <f>SUMIFS($I$519:$I$521,$C$519:$C$521,"AMBELE")+SUMIFS($I$519:$I$521,$C$519:$C$521,"DELIVERY")</f>
        <v>8.6811470800000006</v>
      </c>
    </row>
    <row r="523" spans="1:11" x14ac:dyDescent="0.2">
      <c r="A523" s="26" t="s">
        <v>167</v>
      </c>
      <c r="B523" s="26" t="s">
        <v>100</v>
      </c>
      <c r="C523" s="26" t="s">
        <v>506</v>
      </c>
      <c r="D523" s="26" t="s">
        <v>733</v>
      </c>
      <c r="E523" s="26" t="s">
        <v>734</v>
      </c>
      <c r="F523" s="101">
        <v>4</v>
      </c>
      <c r="G523" s="26" t="s">
        <v>509</v>
      </c>
      <c r="H523" s="102">
        <f>IFERROR(VLOOKUP($D523,NOMENCLATOR!$A:$F,6,FALSE()),"")*IF(OR($G523="g",$G523="ml"),0.001,1)</f>
        <v>2.75</v>
      </c>
      <c r="I523" s="102">
        <f>IFERROR($F523*$H523,"")</f>
        <v>11</v>
      </c>
    </row>
    <row r="524" spans="1:11" x14ac:dyDescent="0.2">
      <c r="A524" s="26" t="s">
        <v>167</v>
      </c>
      <c r="B524" s="26" t="s">
        <v>100</v>
      </c>
      <c r="C524" s="26" t="s">
        <v>506</v>
      </c>
      <c r="D524" s="26" t="s">
        <v>513</v>
      </c>
      <c r="E524" s="26" t="s">
        <v>492</v>
      </c>
      <c r="F524" s="101">
        <v>24</v>
      </c>
      <c r="G524" s="26" t="s">
        <v>514</v>
      </c>
      <c r="H524" s="102">
        <f>IFERROR(VLOOKUP($D524,NOMENCLATOR!$A:$F,6,FALSE()),"")*IF(OR($G524="g",$G524="ml"),0.001,1)</f>
        <v>1.6897059999999998E-2</v>
      </c>
      <c r="I524" s="102">
        <f>IFERROR($F524*$H524,"")</f>
        <v>0.40552943999999996</v>
      </c>
    </row>
    <row r="525" spans="1:11" x14ac:dyDescent="0.2">
      <c r="A525" s="26" t="s">
        <v>167</v>
      </c>
      <c r="B525" s="26" t="s">
        <v>100</v>
      </c>
      <c r="C525" s="26" t="s">
        <v>506</v>
      </c>
      <c r="D525" s="26" t="s">
        <v>525</v>
      </c>
      <c r="E525" s="26" t="s">
        <v>526</v>
      </c>
      <c r="F525" s="101">
        <v>1</v>
      </c>
      <c r="G525" s="26" t="s">
        <v>509</v>
      </c>
      <c r="H525" s="102">
        <f>IFERROR(VLOOKUP($D525,NOMENCLATOR!$A:$F,6,FALSE()),"")*IF(OR($G525="g",$G525="ml"),0.001,1)</f>
        <v>0.127</v>
      </c>
      <c r="I525" s="102">
        <f>IFERROR($F525*$H525,"")</f>
        <v>0.127</v>
      </c>
    </row>
    <row r="526" spans="1:11" x14ac:dyDescent="0.2">
      <c r="A526" s="103" t="s">
        <v>167</v>
      </c>
      <c r="B526" s="104"/>
      <c r="C526" s="104"/>
      <c r="D526" s="104"/>
      <c r="E526" s="103" t="s">
        <v>510</v>
      </c>
      <c r="F526" s="104"/>
      <c r="G526" s="104"/>
      <c r="H526" s="104"/>
      <c r="I526" s="104"/>
      <c r="J526" s="105">
        <f>SUMIFS($I$523:$I$525,$C$523:$C$525,"AMBELE")+SUMIFS($I$523:$I$525,$C$523:$C$525,"INSTORE")</f>
        <v>11.532529440000001</v>
      </c>
      <c r="K526" s="105">
        <f>SUMIFS($I$523:$I$525,$C$523:$C$525,"AMBELE")+SUMIFS($I$523:$I$525,$C$523:$C$525,"DELIVERY")</f>
        <v>11.532529440000001</v>
      </c>
    </row>
    <row r="527" spans="1:11" x14ac:dyDescent="0.2">
      <c r="A527" s="26" t="s">
        <v>156</v>
      </c>
      <c r="B527" s="26" t="s">
        <v>100</v>
      </c>
      <c r="C527" s="26" t="s">
        <v>506</v>
      </c>
      <c r="D527" s="26" t="s">
        <v>733</v>
      </c>
      <c r="E527" s="26" t="s">
        <v>734</v>
      </c>
      <c r="F527" s="101">
        <v>5</v>
      </c>
      <c r="G527" s="26" t="s">
        <v>509</v>
      </c>
      <c r="H527" s="102">
        <f>IFERROR(VLOOKUP($D527,NOMENCLATOR!$A:$F,6,FALSE()),"")*IF(OR($G527="g",$G527="ml"),0.001,1)</f>
        <v>2.75</v>
      </c>
      <c r="I527" s="102">
        <f>IFERROR($F527*$H527,"")</f>
        <v>13.75</v>
      </c>
    </row>
    <row r="528" spans="1:11" x14ac:dyDescent="0.2">
      <c r="A528" s="26" t="s">
        <v>156</v>
      </c>
      <c r="B528" s="26" t="s">
        <v>100</v>
      </c>
      <c r="C528" s="26" t="s">
        <v>506</v>
      </c>
      <c r="D528" s="26" t="s">
        <v>513</v>
      </c>
      <c r="E528" s="26" t="s">
        <v>492</v>
      </c>
      <c r="F528" s="101">
        <v>30</v>
      </c>
      <c r="G528" s="26" t="s">
        <v>514</v>
      </c>
      <c r="H528" s="102">
        <f>IFERROR(VLOOKUP($D528,NOMENCLATOR!$A:$F,6,FALSE()),"")*IF(OR($G528="g",$G528="ml"),0.001,1)</f>
        <v>1.6897059999999998E-2</v>
      </c>
      <c r="I528" s="102">
        <f>IFERROR($F528*$H528,"")</f>
        <v>0.50691179999999991</v>
      </c>
    </row>
    <row r="529" spans="1:11" x14ac:dyDescent="0.2">
      <c r="A529" s="26" t="s">
        <v>156</v>
      </c>
      <c r="B529" s="26" t="s">
        <v>100</v>
      </c>
      <c r="C529" s="26" t="s">
        <v>506</v>
      </c>
      <c r="D529" s="26" t="s">
        <v>525</v>
      </c>
      <c r="E529" s="26" t="s">
        <v>526</v>
      </c>
      <c r="F529" s="101">
        <v>1</v>
      </c>
      <c r="G529" s="26" t="s">
        <v>509</v>
      </c>
      <c r="H529" s="102">
        <f>IFERROR(VLOOKUP($D529,NOMENCLATOR!$A:$F,6,FALSE()),"")*IF(OR($G529="g",$G529="ml"),0.001,1)</f>
        <v>0.127</v>
      </c>
      <c r="I529" s="102">
        <f>IFERROR($F529*$H529,"")</f>
        <v>0.127</v>
      </c>
    </row>
    <row r="530" spans="1:11" x14ac:dyDescent="0.2">
      <c r="A530" s="103" t="s">
        <v>156</v>
      </c>
      <c r="B530" s="104"/>
      <c r="C530" s="104"/>
      <c r="D530" s="104"/>
      <c r="E530" s="103" t="s">
        <v>510</v>
      </c>
      <c r="F530" s="104"/>
      <c r="G530" s="104"/>
      <c r="H530" s="104"/>
      <c r="I530" s="104"/>
      <c r="J530" s="105">
        <f>SUMIFS($I$527:$I$529,$C$527:$C$529,"AMBELE")+SUMIFS($I$527:$I$529,$C$527:$C$529,"INSTORE")</f>
        <v>14.3839118</v>
      </c>
      <c r="K530" s="105">
        <f>SUMIFS($I$527:$I$529,$C$527:$C$529,"AMBELE")+SUMIFS($I$527:$I$529,$C$527:$C$529,"DELIVERY")</f>
        <v>14.3839118</v>
      </c>
    </row>
    <row r="531" spans="1:11" x14ac:dyDescent="0.2">
      <c r="A531" s="26" t="s">
        <v>772</v>
      </c>
      <c r="B531" s="26" t="s">
        <v>101</v>
      </c>
      <c r="C531" s="26" t="s">
        <v>506</v>
      </c>
      <c r="D531" s="26" t="s">
        <v>773</v>
      </c>
      <c r="E531" s="26" t="s">
        <v>774</v>
      </c>
      <c r="F531" s="101">
        <v>253</v>
      </c>
      <c r="G531" s="26" t="s">
        <v>529</v>
      </c>
      <c r="H531" s="102">
        <f>IFERROR(VLOOKUP($D531,NOMENCLATOR!$A:$F,6,FALSE()),"")*IF(OR($G531="g",$G531="ml"),0.001,1)</f>
        <v>1.2539999999999999E-2</v>
      </c>
      <c r="I531" s="102">
        <f>IFERROR($F531*$H531,"")</f>
        <v>3.1726199999999998</v>
      </c>
    </row>
    <row r="532" spans="1:11" x14ac:dyDescent="0.2">
      <c r="A532" s="26" t="s">
        <v>772</v>
      </c>
      <c r="B532" s="26" t="s">
        <v>101</v>
      </c>
      <c r="C532" s="26" t="s">
        <v>506</v>
      </c>
      <c r="D532" s="26" t="s">
        <v>650</v>
      </c>
      <c r="E532" s="26" t="s">
        <v>651</v>
      </c>
      <c r="F532" s="101">
        <v>1</v>
      </c>
      <c r="G532" s="26" t="s">
        <v>509</v>
      </c>
      <c r="H532" s="102">
        <f>IFERROR(VLOOKUP($D532,NOMENCLATOR!$A:$F,6,FALSE()),"")*IF(OR($G532="g",$G532="ml"),0.001,1)</f>
        <v>0.45300000000000001</v>
      </c>
      <c r="I532" s="102">
        <f>IFERROR($F532*$H532,"")</f>
        <v>0.45300000000000001</v>
      </c>
    </row>
    <row r="533" spans="1:11" x14ac:dyDescent="0.2">
      <c r="A533" s="26" t="s">
        <v>772</v>
      </c>
      <c r="B533" s="26" t="s">
        <v>101</v>
      </c>
      <c r="C533" s="26" t="s">
        <v>506</v>
      </c>
      <c r="D533" s="26" t="s">
        <v>513</v>
      </c>
      <c r="E533" s="26" t="s">
        <v>492</v>
      </c>
      <c r="F533" s="101">
        <v>19</v>
      </c>
      <c r="G533" s="26" t="s">
        <v>514</v>
      </c>
      <c r="H533" s="102">
        <f>IFERROR(VLOOKUP($D533,NOMENCLATOR!$A:$F,6,FALSE()),"")*IF(OR($G533="g",$G533="ml"),0.001,1)</f>
        <v>1.6897059999999998E-2</v>
      </c>
      <c r="I533" s="102">
        <f>IFERROR($F533*$H533,"")</f>
        <v>0.32104413999999998</v>
      </c>
    </row>
    <row r="534" spans="1:11" x14ac:dyDescent="0.2">
      <c r="A534" s="103" t="s">
        <v>772</v>
      </c>
      <c r="B534" s="104"/>
      <c r="C534" s="104"/>
      <c r="D534" s="104"/>
      <c r="E534" s="103" t="s">
        <v>510</v>
      </c>
      <c r="F534" s="104"/>
      <c r="G534" s="104"/>
      <c r="H534" s="104"/>
      <c r="I534" s="104"/>
      <c r="J534" s="105">
        <f>SUMIFS($I$531:$I$533,$C$531:$C$533,"AMBELE")+SUMIFS($I$531:$I$533,$C$531:$C$533,"INSTORE")</f>
        <v>3.9466641399999998</v>
      </c>
      <c r="K534" s="105">
        <f>SUMIFS($I$531:$I$533,$C$531:$C$533,"AMBELE")+SUMIFS($I$531:$I$533,$C$531:$C$533,"DELIVERY")</f>
        <v>3.9466641399999998</v>
      </c>
    </row>
    <row r="535" spans="1:11" x14ac:dyDescent="0.2">
      <c r="A535" s="26" t="s">
        <v>232</v>
      </c>
      <c r="B535" s="26" t="s">
        <v>104</v>
      </c>
      <c r="C535" s="26" t="s">
        <v>506</v>
      </c>
      <c r="D535" s="26" t="s">
        <v>572</v>
      </c>
      <c r="E535" s="26" t="s">
        <v>573</v>
      </c>
      <c r="F535" s="101">
        <v>12</v>
      </c>
      <c r="G535" s="26" t="s">
        <v>529</v>
      </c>
      <c r="H535" s="102">
        <f>IFERROR(VLOOKUP($D535,NOMENCLATOR!$A:$F,6,FALSE()),"")*IF(OR($G535="g",$G535="ml"),0.001,1)</f>
        <v>0.23816300000000001</v>
      </c>
      <c r="I535" s="102">
        <f>IFERROR($F535*$H535,"")</f>
        <v>2.8579560000000002</v>
      </c>
    </row>
    <row r="536" spans="1:11" x14ac:dyDescent="0.2">
      <c r="A536" s="26" t="s">
        <v>232</v>
      </c>
      <c r="B536" s="26" t="s">
        <v>104</v>
      </c>
      <c r="C536" s="26" t="s">
        <v>506</v>
      </c>
      <c r="D536" s="26" t="s">
        <v>639</v>
      </c>
      <c r="E536" s="26" t="s">
        <v>640</v>
      </c>
      <c r="F536" s="101">
        <v>150</v>
      </c>
      <c r="G536" s="26" t="s">
        <v>514</v>
      </c>
      <c r="H536" s="102">
        <f>IFERROR(VLOOKUP($D536,NOMENCLATOR!$A:$F,6,FALSE()),"")*IF(OR($G536="g",$G536="ml"),0.001,1)</f>
        <v>9.8002499999999999E-3</v>
      </c>
      <c r="I536" s="102">
        <f>IFERROR($F536*$H536,"")</f>
        <v>1.4700374999999999</v>
      </c>
    </row>
    <row r="537" spans="1:11" x14ac:dyDescent="0.2">
      <c r="A537" s="26" t="s">
        <v>232</v>
      </c>
      <c r="B537" s="26" t="s">
        <v>104</v>
      </c>
      <c r="C537" s="26" t="s">
        <v>506</v>
      </c>
      <c r="D537" s="26" t="s">
        <v>743</v>
      </c>
      <c r="E537" s="26" t="s">
        <v>744</v>
      </c>
      <c r="F537" s="101">
        <v>1</v>
      </c>
      <c r="G537" s="26" t="s">
        <v>509</v>
      </c>
      <c r="H537" s="102">
        <f>IFERROR(VLOOKUP($D537,NOMENCLATOR!$A:$F,6,FALSE()),"")*IF(OR($G537="g",$G537="ml"),0.001,1)</f>
        <v>0.42</v>
      </c>
      <c r="I537" s="102">
        <f>IFERROR($F537*$H537,"")</f>
        <v>0.42</v>
      </c>
    </row>
    <row r="538" spans="1:11" x14ac:dyDescent="0.2">
      <c r="A538" s="26" t="s">
        <v>232</v>
      </c>
      <c r="B538" s="26" t="s">
        <v>104</v>
      </c>
      <c r="C538" s="26" t="s">
        <v>506</v>
      </c>
      <c r="D538" s="26" t="s">
        <v>745</v>
      </c>
      <c r="E538" s="26" t="s">
        <v>746</v>
      </c>
      <c r="F538" s="101">
        <v>1</v>
      </c>
      <c r="G538" s="26" t="s">
        <v>509</v>
      </c>
      <c r="H538" s="102">
        <f>IFERROR(VLOOKUP($D538,NOMENCLATOR!$A:$F,6,FALSE()),"")*IF(OR($G538="g",$G538="ml"),0.001,1)</f>
        <v>0.1</v>
      </c>
      <c r="I538" s="102">
        <f>IFERROR($F538*$H538,"")</f>
        <v>0.1</v>
      </c>
    </row>
    <row r="539" spans="1:11" x14ac:dyDescent="0.2">
      <c r="A539" s="26" t="s">
        <v>232</v>
      </c>
      <c r="B539" s="26" t="s">
        <v>104</v>
      </c>
      <c r="C539" s="26" t="s">
        <v>506</v>
      </c>
      <c r="D539" s="26" t="s">
        <v>747</v>
      </c>
      <c r="E539" s="26" t="s">
        <v>748</v>
      </c>
      <c r="F539" s="101">
        <v>1</v>
      </c>
      <c r="G539" s="26" t="s">
        <v>509</v>
      </c>
      <c r="H539" s="102">
        <f>IFERROR(VLOOKUP($D539,NOMENCLATOR!$A:$F,6,FALSE()),"")*IF(OR($G539="g",$G539="ml"),0.001,1)</f>
        <v>0.17599999999999999</v>
      </c>
      <c r="I539" s="102">
        <f>IFERROR($F539*$H539,"")</f>
        <v>0.17599999999999999</v>
      </c>
    </row>
    <row r="540" spans="1:11" x14ac:dyDescent="0.2">
      <c r="A540" s="103" t="s">
        <v>232</v>
      </c>
      <c r="B540" s="104"/>
      <c r="C540" s="104"/>
      <c r="D540" s="104"/>
      <c r="E540" s="103" t="s">
        <v>510</v>
      </c>
      <c r="F540" s="104"/>
      <c r="G540" s="104"/>
      <c r="H540" s="104"/>
      <c r="I540" s="104"/>
      <c r="J540" s="105">
        <f>SUMIFS($I$535:$I$539,$C$535:$C$539,"AMBELE")+SUMIFS($I$535:$I$539,$C$535:$C$539,"INSTORE")</f>
        <v>5.0239934999999996</v>
      </c>
      <c r="K540" s="105">
        <f>SUMIFS($I$535:$I$539,$C$535:$C$539,"AMBELE")+SUMIFS($I$535:$I$539,$C$535:$C$539,"DELIVERY")</f>
        <v>5.0239934999999996</v>
      </c>
    </row>
    <row r="541" spans="1:11" x14ac:dyDescent="0.2">
      <c r="A541" s="26" t="s">
        <v>288</v>
      </c>
      <c r="B541" s="26" t="s">
        <v>589</v>
      </c>
      <c r="C541" s="26" t="s">
        <v>539</v>
      </c>
      <c r="D541" s="26" t="s">
        <v>572</v>
      </c>
      <c r="E541" s="26" t="s">
        <v>573</v>
      </c>
      <c r="F541" s="101">
        <v>12</v>
      </c>
      <c r="G541" s="26" t="s">
        <v>529</v>
      </c>
      <c r="H541" s="102">
        <f>IFERROR(VLOOKUP($D541,NOMENCLATOR!$A:$F,6,FALSE()),"")*IF(OR($G541="g",$G541="ml"),0.001,1)</f>
        <v>0.23816300000000001</v>
      </c>
      <c r="I541" s="102">
        <f t="shared" ref="I541:I546" si="29">IFERROR($F541*$H541,"")</f>
        <v>2.8579560000000002</v>
      </c>
    </row>
    <row r="542" spans="1:11" x14ac:dyDescent="0.2">
      <c r="A542" s="26" t="s">
        <v>288</v>
      </c>
      <c r="B542" s="26" t="s">
        <v>589</v>
      </c>
      <c r="C542" s="26" t="s">
        <v>539</v>
      </c>
      <c r="D542" s="26" t="s">
        <v>639</v>
      </c>
      <c r="E542" s="26" t="s">
        <v>640</v>
      </c>
      <c r="F542" s="101">
        <v>150</v>
      </c>
      <c r="G542" s="26" t="s">
        <v>514</v>
      </c>
      <c r="H542" s="102">
        <f>IFERROR(VLOOKUP($D542,NOMENCLATOR!$A:$F,6,FALSE()),"")*IF(OR($G542="g",$G542="ml"),0.001,1)</f>
        <v>9.8002499999999999E-3</v>
      </c>
      <c r="I542" s="102">
        <f t="shared" si="29"/>
        <v>1.4700374999999999</v>
      </c>
    </row>
    <row r="543" spans="1:11" x14ac:dyDescent="0.2">
      <c r="A543" s="26" t="s">
        <v>288</v>
      </c>
      <c r="B543" s="26" t="s">
        <v>589</v>
      </c>
      <c r="C543" s="26" t="s">
        <v>539</v>
      </c>
      <c r="D543" s="26" t="s">
        <v>775</v>
      </c>
      <c r="E543" s="26" t="s">
        <v>776</v>
      </c>
      <c r="F543" s="101">
        <v>20</v>
      </c>
      <c r="G543" s="26" t="s">
        <v>514</v>
      </c>
      <c r="H543" s="102">
        <f>IFERROR(VLOOKUP($D543,NOMENCLATOR!$A:$F,6,FALSE()),"")*IF(OR($G543="g",$G543="ml"),0.001,1)</f>
        <v>6.5177570000000004E-2</v>
      </c>
      <c r="I543" s="102">
        <f t="shared" si="29"/>
        <v>1.3035514000000001</v>
      </c>
    </row>
    <row r="544" spans="1:11" x14ac:dyDescent="0.2">
      <c r="A544" s="26" t="s">
        <v>288</v>
      </c>
      <c r="B544" s="26" t="s">
        <v>589</v>
      </c>
      <c r="C544" s="26" t="s">
        <v>539</v>
      </c>
      <c r="D544" s="26" t="s">
        <v>743</v>
      </c>
      <c r="E544" s="26" t="s">
        <v>744</v>
      </c>
      <c r="F544" s="101">
        <v>1</v>
      </c>
      <c r="G544" s="26" t="s">
        <v>509</v>
      </c>
      <c r="H544" s="102">
        <f>IFERROR(VLOOKUP($D544,NOMENCLATOR!$A:$F,6,FALSE()),"")*IF(OR($G544="g",$G544="ml"),0.001,1)</f>
        <v>0.42</v>
      </c>
      <c r="I544" s="102">
        <f t="shared" si="29"/>
        <v>0.42</v>
      </c>
    </row>
    <row r="545" spans="1:11" x14ac:dyDescent="0.2">
      <c r="A545" s="26" t="s">
        <v>288</v>
      </c>
      <c r="B545" s="26" t="s">
        <v>589</v>
      </c>
      <c r="C545" s="26" t="s">
        <v>539</v>
      </c>
      <c r="D545" s="26" t="s">
        <v>745</v>
      </c>
      <c r="E545" s="26" t="s">
        <v>746</v>
      </c>
      <c r="F545" s="101">
        <v>1</v>
      </c>
      <c r="G545" s="26" t="s">
        <v>509</v>
      </c>
      <c r="H545" s="102">
        <f>IFERROR(VLOOKUP($D545,NOMENCLATOR!$A:$F,6,FALSE()),"")*IF(OR($G545="g",$G545="ml"),0.001,1)</f>
        <v>0.1</v>
      </c>
      <c r="I545" s="102">
        <f t="shared" si="29"/>
        <v>0.1</v>
      </c>
    </row>
    <row r="546" spans="1:11" x14ac:dyDescent="0.2">
      <c r="A546" s="26" t="s">
        <v>288</v>
      </c>
      <c r="B546" s="26" t="s">
        <v>589</v>
      </c>
      <c r="C546" s="26" t="s">
        <v>539</v>
      </c>
      <c r="D546" s="26" t="s">
        <v>747</v>
      </c>
      <c r="E546" s="26" t="s">
        <v>748</v>
      </c>
      <c r="F546" s="101">
        <v>1</v>
      </c>
      <c r="G546" s="26" t="s">
        <v>509</v>
      </c>
      <c r="H546" s="102">
        <f>IFERROR(VLOOKUP($D546,NOMENCLATOR!$A:$F,6,FALSE()),"")*IF(OR($G546="g",$G546="ml"),0.001,1)</f>
        <v>0.17599999999999999</v>
      </c>
      <c r="I546" s="102">
        <f t="shared" si="29"/>
        <v>0.17599999999999999</v>
      </c>
    </row>
    <row r="547" spans="1:11" x14ac:dyDescent="0.2">
      <c r="A547" s="103" t="s">
        <v>288</v>
      </c>
      <c r="B547" s="104"/>
      <c r="C547" s="104"/>
      <c r="D547" s="104"/>
      <c r="E547" s="103" t="s">
        <v>510</v>
      </c>
      <c r="F547" s="104"/>
      <c r="G547" s="104"/>
      <c r="H547" s="104"/>
      <c r="I547" s="104"/>
      <c r="J547" s="105">
        <f>SUMIFS($I$541:$I$546,$C$541:$C$546,"AMBELE")+SUMIFS($I$541:$I$546,$C$541:$C$546,"INSTORE")</f>
        <v>6.3275448999999995</v>
      </c>
      <c r="K547" s="105">
        <f>SUMIFS($I$541:$I$546,$C$541:$C$546,"AMBELE")+SUMIFS($I$541:$I$546,$C$541:$C$546,"DELIVERY")</f>
        <v>0</v>
      </c>
    </row>
    <row r="548" spans="1:11" x14ac:dyDescent="0.2">
      <c r="A548" s="26" t="s">
        <v>229</v>
      </c>
      <c r="B548" s="26" t="s">
        <v>589</v>
      </c>
      <c r="C548" s="26" t="s">
        <v>539</v>
      </c>
      <c r="D548" s="26" t="s">
        <v>572</v>
      </c>
      <c r="E548" s="26" t="s">
        <v>573</v>
      </c>
      <c r="F548" s="101">
        <v>12</v>
      </c>
      <c r="G548" s="26" t="s">
        <v>529</v>
      </c>
      <c r="H548" s="102">
        <f>IFERROR(VLOOKUP($D548,NOMENCLATOR!$A:$F,6,FALSE()),"")*IF(OR($G548="g",$G548="ml"),0.001,1)</f>
        <v>0.23816300000000001</v>
      </c>
      <c r="I548" s="102">
        <f t="shared" ref="I548:I553" si="30">IFERROR($F548*$H548,"")</f>
        <v>2.8579560000000002</v>
      </c>
    </row>
    <row r="549" spans="1:11" x14ac:dyDescent="0.2">
      <c r="A549" s="26" t="s">
        <v>229</v>
      </c>
      <c r="B549" s="26" t="s">
        <v>589</v>
      </c>
      <c r="C549" s="26" t="s">
        <v>539</v>
      </c>
      <c r="D549" s="26" t="s">
        <v>639</v>
      </c>
      <c r="E549" s="26" t="s">
        <v>640</v>
      </c>
      <c r="F549" s="101">
        <v>150</v>
      </c>
      <c r="G549" s="26" t="s">
        <v>514</v>
      </c>
      <c r="H549" s="102">
        <f>IFERROR(VLOOKUP($D549,NOMENCLATOR!$A:$F,6,FALSE()),"")*IF(OR($G549="g",$G549="ml"),0.001,1)</f>
        <v>9.8002499999999999E-3</v>
      </c>
      <c r="I549" s="102">
        <f t="shared" si="30"/>
        <v>1.4700374999999999</v>
      </c>
    </row>
    <row r="550" spans="1:11" x14ac:dyDescent="0.2">
      <c r="A550" s="26" t="s">
        <v>229</v>
      </c>
      <c r="B550" s="26" t="s">
        <v>589</v>
      </c>
      <c r="C550" s="26" t="s">
        <v>539</v>
      </c>
      <c r="D550" s="26" t="s">
        <v>777</v>
      </c>
      <c r="E550" s="26" t="s">
        <v>778</v>
      </c>
      <c r="F550" s="101">
        <v>20</v>
      </c>
      <c r="G550" s="26" t="s">
        <v>514</v>
      </c>
      <c r="H550" s="102">
        <f>IFERROR(VLOOKUP($D550,NOMENCLATOR!$A:$F,6,FALSE()),"")*IF(OR($G550="g",$G550="ml"),0.001,1)</f>
        <v>6.5240290000000006E-2</v>
      </c>
      <c r="I550" s="102">
        <f t="shared" si="30"/>
        <v>1.3048058</v>
      </c>
    </row>
    <row r="551" spans="1:11" x14ac:dyDescent="0.2">
      <c r="A551" s="26" t="s">
        <v>229</v>
      </c>
      <c r="B551" s="26" t="s">
        <v>589</v>
      </c>
      <c r="C551" s="26" t="s">
        <v>539</v>
      </c>
      <c r="D551" s="26" t="s">
        <v>743</v>
      </c>
      <c r="E551" s="26" t="s">
        <v>744</v>
      </c>
      <c r="F551" s="101">
        <v>1</v>
      </c>
      <c r="G551" s="26" t="s">
        <v>509</v>
      </c>
      <c r="H551" s="102">
        <f>IFERROR(VLOOKUP($D551,NOMENCLATOR!$A:$F,6,FALSE()),"")*IF(OR($G551="g",$G551="ml"),0.001,1)</f>
        <v>0.42</v>
      </c>
      <c r="I551" s="102">
        <f t="shared" si="30"/>
        <v>0.42</v>
      </c>
    </row>
    <row r="552" spans="1:11" x14ac:dyDescent="0.2">
      <c r="A552" s="26" t="s">
        <v>229</v>
      </c>
      <c r="B552" s="26" t="s">
        <v>589</v>
      </c>
      <c r="C552" s="26" t="s">
        <v>539</v>
      </c>
      <c r="D552" s="26" t="s">
        <v>745</v>
      </c>
      <c r="E552" s="26" t="s">
        <v>746</v>
      </c>
      <c r="F552" s="101">
        <v>1</v>
      </c>
      <c r="G552" s="26" t="s">
        <v>509</v>
      </c>
      <c r="H552" s="102">
        <f>IFERROR(VLOOKUP($D552,NOMENCLATOR!$A:$F,6,FALSE()),"")*IF(OR($G552="g",$G552="ml"),0.001,1)</f>
        <v>0.1</v>
      </c>
      <c r="I552" s="102">
        <f t="shared" si="30"/>
        <v>0.1</v>
      </c>
    </row>
    <row r="553" spans="1:11" x14ac:dyDescent="0.2">
      <c r="A553" s="26" t="s">
        <v>229</v>
      </c>
      <c r="B553" s="26" t="s">
        <v>589</v>
      </c>
      <c r="C553" s="26" t="s">
        <v>539</v>
      </c>
      <c r="D553" s="26" t="s">
        <v>747</v>
      </c>
      <c r="E553" s="26" t="s">
        <v>748</v>
      </c>
      <c r="F553" s="101">
        <v>1</v>
      </c>
      <c r="G553" s="26" t="s">
        <v>509</v>
      </c>
      <c r="H553" s="102">
        <f>IFERROR(VLOOKUP($D553,NOMENCLATOR!$A:$F,6,FALSE()),"")*IF(OR($G553="g",$G553="ml"),0.001,1)</f>
        <v>0.17599999999999999</v>
      </c>
      <c r="I553" s="102">
        <f t="shared" si="30"/>
        <v>0.17599999999999999</v>
      </c>
    </row>
    <row r="554" spans="1:11" x14ac:dyDescent="0.2">
      <c r="A554" s="103" t="s">
        <v>229</v>
      </c>
      <c r="B554" s="104"/>
      <c r="C554" s="104"/>
      <c r="D554" s="104"/>
      <c r="E554" s="103" t="s">
        <v>510</v>
      </c>
      <c r="F554" s="104"/>
      <c r="G554" s="104"/>
      <c r="H554" s="104"/>
      <c r="I554" s="104"/>
      <c r="J554" s="105">
        <f>SUMIFS($I$548:$I$553,$C$548:$C$553,"AMBELE")+SUMIFS($I$548:$I$553,$C$548:$C$553,"INSTORE")</f>
        <v>6.3287993</v>
      </c>
      <c r="K554" s="105">
        <f>SUMIFS($I$548:$I$553,$C$548:$C$553,"AMBELE")+SUMIFS($I$548:$I$553,$C$548:$C$553,"DELIVERY")</f>
        <v>0</v>
      </c>
    </row>
    <row r="555" spans="1:11" x14ac:dyDescent="0.2">
      <c r="A555" s="26" t="s">
        <v>308</v>
      </c>
      <c r="B555" s="26" t="s">
        <v>779</v>
      </c>
      <c r="C555" s="26" t="s">
        <v>506</v>
      </c>
      <c r="D555" s="26" t="s">
        <v>780</v>
      </c>
      <c r="E555" s="26" t="s">
        <v>781</v>
      </c>
      <c r="F555" s="101">
        <v>1</v>
      </c>
      <c r="G555" s="26" t="s">
        <v>509</v>
      </c>
      <c r="H555" s="102">
        <f>IFERROR(VLOOKUP($D555,NOMENCLATOR!$A:$F,6,FALSE()),"")*IF(OR($G555="g",$G555="ml"),0.001,1)</f>
        <v>12.367000000000001</v>
      </c>
      <c r="I555" s="102">
        <f>IFERROR($F555*$H555,"")</f>
        <v>12.367000000000001</v>
      </c>
    </row>
    <row r="556" spans="1:11" x14ac:dyDescent="0.2">
      <c r="A556" s="103" t="s">
        <v>308</v>
      </c>
      <c r="B556" s="104"/>
      <c r="C556" s="104"/>
      <c r="D556" s="104"/>
      <c r="E556" s="103" t="s">
        <v>510</v>
      </c>
      <c r="F556" s="104"/>
      <c r="G556" s="104"/>
      <c r="H556" s="104"/>
      <c r="I556" s="104"/>
      <c r="J556" s="105">
        <f>SUMIFS($I$555:$I$555,$C$555:$C$555,"AMBELE")+SUMIFS($I$555:$I$555,$C$555:$C$555,"INSTORE")</f>
        <v>12.367000000000001</v>
      </c>
      <c r="K556" s="105">
        <f>SUMIFS($I$555:$I$555,$C$555:$C$555,"AMBELE")+SUMIFS($I$555:$I$555,$C$555:$C$555,"DELIVERY")</f>
        <v>12.367000000000001</v>
      </c>
    </row>
    <row r="557" spans="1:11" x14ac:dyDescent="0.2">
      <c r="A557" s="26" t="s">
        <v>195</v>
      </c>
      <c r="B557" s="26" t="s">
        <v>109</v>
      </c>
      <c r="C557" s="26" t="s">
        <v>506</v>
      </c>
      <c r="D557" s="26" t="s">
        <v>523</v>
      </c>
      <c r="E557" s="26" t="s">
        <v>524</v>
      </c>
      <c r="F557" s="101">
        <v>4</v>
      </c>
      <c r="G557" s="26" t="s">
        <v>509</v>
      </c>
      <c r="H557" s="102">
        <f>IFERROR(VLOOKUP($D557,NOMENCLATOR!$A:$F,6,FALSE()),"")*IF(OR($G557="g",$G557="ml"),0.001,1)</f>
        <v>0.67483000000000004</v>
      </c>
      <c r="I557" s="102">
        <f t="shared" ref="I557:I566" si="31">IFERROR($F557*$H557,"")</f>
        <v>2.6993200000000002</v>
      </c>
    </row>
    <row r="558" spans="1:11" x14ac:dyDescent="0.2">
      <c r="A558" s="26" t="s">
        <v>195</v>
      </c>
      <c r="B558" s="26" t="s">
        <v>109</v>
      </c>
      <c r="C558" s="26" t="s">
        <v>506</v>
      </c>
      <c r="D558" s="26" t="s">
        <v>513</v>
      </c>
      <c r="E558" s="26" t="s">
        <v>492</v>
      </c>
      <c r="F558" s="101">
        <v>16</v>
      </c>
      <c r="G558" s="26" t="s">
        <v>514</v>
      </c>
      <c r="H558" s="102">
        <f>IFERROR(VLOOKUP($D558,NOMENCLATOR!$A:$F,6,FALSE()),"")*IF(OR($G558="g",$G558="ml"),0.001,1)</f>
        <v>1.6897059999999998E-2</v>
      </c>
      <c r="I558" s="102">
        <f t="shared" si="31"/>
        <v>0.27035295999999998</v>
      </c>
    </row>
    <row r="559" spans="1:11" x14ac:dyDescent="0.2">
      <c r="A559" s="26" t="s">
        <v>195</v>
      </c>
      <c r="B559" s="26" t="s">
        <v>109</v>
      </c>
      <c r="C559" s="26" t="s">
        <v>506</v>
      </c>
      <c r="D559" s="26" t="s">
        <v>525</v>
      </c>
      <c r="E559" s="26" t="s">
        <v>526</v>
      </c>
      <c r="F559" s="101">
        <v>1</v>
      </c>
      <c r="G559" s="26" t="s">
        <v>509</v>
      </c>
      <c r="H559" s="102">
        <f>IFERROR(VLOOKUP($D559,NOMENCLATOR!$A:$F,6,FALSE()),"")*IF(OR($G559="g",$G559="ml"),0.001,1)</f>
        <v>0.127</v>
      </c>
      <c r="I559" s="102">
        <f t="shared" si="31"/>
        <v>0.127</v>
      </c>
    </row>
    <row r="560" spans="1:11" x14ac:dyDescent="0.2">
      <c r="A560" s="26" t="s">
        <v>195</v>
      </c>
      <c r="B560" s="26" t="s">
        <v>109</v>
      </c>
      <c r="C560" s="26" t="s">
        <v>506</v>
      </c>
      <c r="D560" s="26" t="s">
        <v>653</v>
      </c>
      <c r="E560" s="26" t="s">
        <v>480</v>
      </c>
      <c r="F560" s="101">
        <v>160</v>
      </c>
      <c r="G560" s="26" t="s">
        <v>529</v>
      </c>
      <c r="H560" s="102">
        <f>IFERROR(VLOOKUP($D560,NOMENCLATOR!$A:$F,6,FALSE()),"")*IF(OR($G560="g",$G560="ml"),0.001,1)</f>
        <v>1.2203060000000002E-2</v>
      </c>
      <c r="I560" s="102">
        <f t="shared" si="31"/>
        <v>1.9524896000000003</v>
      </c>
    </row>
    <row r="561" spans="1:11" x14ac:dyDescent="0.2">
      <c r="A561" s="26" t="s">
        <v>195</v>
      </c>
      <c r="B561" s="26" t="s">
        <v>109</v>
      </c>
      <c r="C561" s="26" t="s">
        <v>506</v>
      </c>
      <c r="D561" s="26" t="s">
        <v>654</v>
      </c>
      <c r="E561" s="26" t="s">
        <v>655</v>
      </c>
      <c r="F561" s="101">
        <v>1</v>
      </c>
      <c r="G561" s="26" t="s">
        <v>509</v>
      </c>
      <c r="H561" s="102">
        <f>IFERROR(VLOOKUP($D561,NOMENCLATOR!$A:$F,6,FALSE()),"")*IF(OR($G561="g",$G561="ml"),0.001,1)</f>
        <v>0.182</v>
      </c>
      <c r="I561" s="102">
        <f t="shared" si="31"/>
        <v>0.182</v>
      </c>
    </row>
    <row r="562" spans="1:11" x14ac:dyDescent="0.2">
      <c r="A562" s="26" t="s">
        <v>195</v>
      </c>
      <c r="B562" s="26" t="s">
        <v>109</v>
      </c>
      <c r="C562" s="26" t="s">
        <v>506</v>
      </c>
      <c r="D562" s="26" t="s">
        <v>513</v>
      </c>
      <c r="E562" s="26" t="s">
        <v>492</v>
      </c>
      <c r="F562" s="101">
        <v>12</v>
      </c>
      <c r="G562" s="26" t="s">
        <v>514</v>
      </c>
      <c r="H562" s="102">
        <f>IFERROR(VLOOKUP($D562,NOMENCLATOR!$A:$F,6,FALSE()),"")*IF(OR($G562="g",$G562="ml"),0.001,1)</f>
        <v>1.6897059999999998E-2</v>
      </c>
      <c r="I562" s="102">
        <f t="shared" si="31"/>
        <v>0.20276471999999998</v>
      </c>
    </row>
    <row r="563" spans="1:11" x14ac:dyDescent="0.2">
      <c r="A563" s="26" t="s">
        <v>195</v>
      </c>
      <c r="B563" s="26" t="s">
        <v>109</v>
      </c>
      <c r="C563" s="26" t="s">
        <v>539</v>
      </c>
      <c r="D563" s="26" t="s">
        <v>637</v>
      </c>
      <c r="E563" s="26" t="s">
        <v>638</v>
      </c>
      <c r="F563" s="101">
        <v>1</v>
      </c>
      <c r="G563" s="26" t="s">
        <v>509</v>
      </c>
      <c r="H563" s="102">
        <f>IFERROR(VLOOKUP($D563,NOMENCLATOR!$A:$F,6,FALSE()),"")*IF(OR($G563="g",$G563="ml"),0.001,1)</f>
        <v>0.63100000000000001</v>
      </c>
      <c r="I563" s="102">
        <f t="shared" si="31"/>
        <v>0.63100000000000001</v>
      </c>
    </row>
    <row r="564" spans="1:11" x14ac:dyDescent="0.2">
      <c r="A564" s="26" t="s">
        <v>195</v>
      </c>
      <c r="B564" s="26" t="s">
        <v>109</v>
      </c>
      <c r="C564" s="26" t="s">
        <v>539</v>
      </c>
      <c r="D564" s="26" t="s">
        <v>611</v>
      </c>
      <c r="E564" s="26" t="s">
        <v>612</v>
      </c>
      <c r="F564" s="101">
        <v>41.66</v>
      </c>
      <c r="G564" s="26" t="s">
        <v>514</v>
      </c>
      <c r="H564" s="102">
        <f>IFERROR(VLOOKUP($D564,NOMENCLATOR!$A:$F,6,FALSE()),"")*IF(OR($G564="g",$G564="ml"),0.001,1)</f>
        <v>4.4933480000000005E-2</v>
      </c>
      <c r="I564" s="102">
        <f t="shared" si="31"/>
        <v>1.8719287768000001</v>
      </c>
    </row>
    <row r="565" spans="1:11" x14ac:dyDescent="0.2">
      <c r="A565" s="26" t="s">
        <v>195</v>
      </c>
      <c r="B565" s="26" t="s">
        <v>109</v>
      </c>
      <c r="C565" s="26" t="s">
        <v>506</v>
      </c>
      <c r="D565" s="26" t="s">
        <v>780</v>
      </c>
      <c r="E565" s="26" t="s">
        <v>781</v>
      </c>
      <c r="F565" s="101">
        <v>1</v>
      </c>
      <c r="G565" s="26" t="s">
        <v>509</v>
      </c>
      <c r="H565" s="102">
        <f>IFERROR(VLOOKUP($D565,NOMENCLATOR!$A:$F,6,FALSE()),"")*IF(OR($G565="g",$G565="ml"),0.001,1)</f>
        <v>12.367000000000001</v>
      </c>
      <c r="I565" s="102">
        <f t="shared" si="31"/>
        <v>12.367000000000001</v>
      </c>
    </row>
    <row r="566" spans="1:11" x14ac:dyDescent="0.2">
      <c r="A566" s="26" t="s">
        <v>195</v>
      </c>
      <c r="B566" s="26" t="s">
        <v>109</v>
      </c>
      <c r="C566" s="26" t="s">
        <v>657</v>
      </c>
      <c r="D566" s="26" t="s">
        <v>782</v>
      </c>
      <c r="E566" s="26" t="s">
        <v>783</v>
      </c>
      <c r="F566" s="101">
        <v>1</v>
      </c>
      <c r="G566" s="26" t="s">
        <v>509</v>
      </c>
      <c r="H566" s="102">
        <f>IFERROR(VLOOKUP($D566,NOMENCLATOR!$A:$F,6,FALSE()),"")*IF(OR($G566="g",$G566="ml"),0.001,1)</f>
        <v>4.0510999999999999</v>
      </c>
      <c r="I566" s="102">
        <f t="shared" si="31"/>
        <v>4.0510999999999999</v>
      </c>
    </row>
    <row r="567" spans="1:11" x14ac:dyDescent="0.2">
      <c r="A567" s="103" t="s">
        <v>195</v>
      </c>
      <c r="B567" s="104"/>
      <c r="C567" s="104"/>
      <c r="D567" s="104"/>
      <c r="E567" s="103" t="s">
        <v>510</v>
      </c>
      <c r="F567" s="104"/>
      <c r="G567" s="104"/>
      <c r="H567" s="104"/>
      <c r="I567" s="104"/>
      <c r="J567" s="105">
        <f>SUMIFS($I$557:$I$566,$C$557:$C$566,"AMBELE")+SUMIFS($I$557:$I$566,$C$557:$C$566,"INSTORE")</f>
        <v>20.303856056800004</v>
      </c>
      <c r="K567" s="105">
        <f>SUMIFS($I$557:$I$566,$C$557:$C$566,"AMBELE")+SUMIFS($I$557:$I$566,$C$557:$C$566,"DELIVERY")</f>
        <v>21.852027280000001</v>
      </c>
    </row>
    <row r="568" spans="1:11" x14ac:dyDescent="0.2">
      <c r="A568" s="26" t="s">
        <v>214</v>
      </c>
      <c r="B568" s="26" t="s">
        <v>109</v>
      </c>
      <c r="C568" s="26" t="s">
        <v>506</v>
      </c>
      <c r="D568" s="26" t="s">
        <v>550</v>
      </c>
      <c r="E568" s="26" t="s">
        <v>551</v>
      </c>
      <c r="F568" s="101">
        <v>1</v>
      </c>
      <c r="G568" s="26" t="s">
        <v>509</v>
      </c>
      <c r="H568" s="102">
        <f>IFERROR(VLOOKUP($D568,NOMENCLATOR!$A:$F,6,FALSE()),"")*IF(OR($G568="g",$G568="ml"),0.001,1)</f>
        <v>2.36</v>
      </c>
      <c r="I568" s="102">
        <f t="shared" ref="I568:I581" si="32">IFERROR($F568*$H568,"")</f>
        <v>2.36</v>
      </c>
    </row>
    <row r="569" spans="1:11" x14ac:dyDescent="0.2">
      <c r="A569" s="26" t="s">
        <v>214</v>
      </c>
      <c r="B569" s="26" t="s">
        <v>109</v>
      </c>
      <c r="C569" s="26" t="s">
        <v>506</v>
      </c>
      <c r="D569" s="26" t="s">
        <v>784</v>
      </c>
      <c r="E569" s="26" t="s">
        <v>785</v>
      </c>
      <c r="F569" s="101">
        <v>1</v>
      </c>
      <c r="G569" s="26" t="s">
        <v>509</v>
      </c>
      <c r="H569" s="102">
        <f>IFERROR(VLOOKUP($D569,NOMENCLATOR!$A:$F,6,FALSE()),"")*IF(OR($G569="g",$G569="ml"),0.001,1)</f>
        <v>3.57</v>
      </c>
      <c r="I569" s="102">
        <f t="shared" si="32"/>
        <v>3.57</v>
      </c>
    </row>
    <row r="570" spans="1:11" x14ac:dyDescent="0.2">
      <c r="A570" s="26" t="s">
        <v>214</v>
      </c>
      <c r="B570" s="26" t="s">
        <v>109</v>
      </c>
      <c r="C570" s="26" t="s">
        <v>506</v>
      </c>
      <c r="D570" s="26" t="s">
        <v>664</v>
      </c>
      <c r="E570" s="26" t="s">
        <v>665</v>
      </c>
      <c r="F570" s="101">
        <v>1</v>
      </c>
      <c r="G570" s="26" t="s">
        <v>509</v>
      </c>
      <c r="H570" s="102">
        <f>IFERROR(VLOOKUP($D570,NOMENCLATOR!$A:$F,6,FALSE()),"")*IF(OR($G570="g",$G570="ml"),0.001,1)</f>
        <v>0.111</v>
      </c>
      <c r="I570" s="102">
        <f t="shared" si="32"/>
        <v>0.111</v>
      </c>
    </row>
    <row r="571" spans="1:11" x14ac:dyDescent="0.2">
      <c r="A571" s="26" t="s">
        <v>214</v>
      </c>
      <c r="B571" s="26" t="s">
        <v>109</v>
      </c>
      <c r="C571" s="26" t="s">
        <v>506</v>
      </c>
      <c r="D571" s="26" t="s">
        <v>629</v>
      </c>
      <c r="E571" s="26" t="s">
        <v>630</v>
      </c>
      <c r="F571" s="101">
        <v>10</v>
      </c>
      <c r="G571" s="26" t="s">
        <v>514</v>
      </c>
      <c r="H571" s="102">
        <f>IFERROR(VLOOKUP($D571,NOMENCLATOR!$A:$F,6,FALSE()),"")*IF(OR($G571="g",$G571="ml"),0.001,1)</f>
        <v>2.2149310000000002E-2</v>
      </c>
      <c r="I571" s="102">
        <f t="shared" si="32"/>
        <v>0.22149310000000003</v>
      </c>
    </row>
    <row r="572" spans="1:11" x14ac:dyDescent="0.2">
      <c r="A572" s="26" t="s">
        <v>214</v>
      </c>
      <c r="B572" s="26" t="s">
        <v>109</v>
      </c>
      <c r="C572" s="26" t="s">
        <v>506</v>
      </c>
      <c r="D572" s="26" t="s">
        <v>666</v>
      </c>
      <c r="E572" s="26" t="s">
        <v>667</v>
      </c>
      <c r="F572" s="101">
        <v>0.7</v>
      </c>
      <c r="G572" s="26" t="s">
        <v>514</v>
      </c>
      <c r="H572" s="102">
        <f>IFERROR(VLOOKUP($D572,NOMENCLATOR!$A:$F,6,FALSE()),"")*IF(OR($G572="g",$G572="ml"),0.001,1)</f>
        <v>3.3000000000000002E-2</v>
      </c>
      <c r="I572" s="102">
        <f t="shared" si="32"/>
        <v>2.3099999999999999E-2</v>
      </c>
    </row>
    <row r="573" spans="1:11" x14ac:dyDescent="0.2">
      <c r="A573" s="26" t="s">
        <v>214</v>
      </c>
      <c r="B573" s="26" t="s">
        <v>109</v>
      </c>
      <c r="C573" s="26" t="s">
        <v>506</v>
      </c>
      <c r="D573" s="26" t="s">
        <v>634</v>
      </c>
      <c r="E573" s="26" t="s">
        <v>635</v>
      </c>
      <c r="F573" s="101">
        <v>2.8</v>
      </c>
      <c r="G573" s="26" t="s">
        <v>529</v>
      </c>
      <c r="H573" s="102">
        <f>IFERROR(VLOOKUP($D573,NOMENCLATOR!$A:$F,6,FALSE()),"")*IF(OR($G573="g",$G573="ml"),0.001,1)</f>
        <v>1.554E-2</v>
      </c>
      <c r="I573" s="102">
        <f t="shared" si="32"/>
        <v>4.3511999999999995E-2</v>
      </c>
    </row>
    <row r="574" spans="1:11" x14ac:dyDescent="0.2">
      <c r="A574" s="26" t="s">
        <v>214</v>
      </c>
      <c r="B574" s="26" t="s">
        <v>109</v>
      </c>
      <c r="C574" s="26" t="s">
        <v>506</v>
      </c>
      <c r="D574" s="26" t="s">
        <v>668</v>
      </c>
      <c r="E574" s="26" t="s">
        <v>669</v>
      </c>
      <c r="F574" s="101">
        <v>5</v>
      </c>
      <c r="G574" s="26" t="s">
        <v>529</v>
      </c>
      <c r="H574" s="102">
        <f>IFERROR(VLOOKUP($D574,NOMENCLATOR!$A:$F,6,FALSE()),"")*IF(OR($G574="g",$G574="ml"),0.001,1)</f>
        <v>7.0000000000000001E-3</v>
      </c>
      <c r="I574" s="102">
        <f t="shared" si="32"/>
        <v>3.5000000000000003E-2</v>
      </c>
    </row>
    <row r="575" spans="1:11" x14ac:dyDescent="0.2">
      <c r="A575" s="26" t="s">
        <v>214</v>
      </c>
      <c r="B575" s="26" t="s">
        <v>109</v>
      </c>
      <c r="C575" s="26" t="s">
        <v>506</v>
      </c>
      <c r="D575" s="26" t="s">
        <v>653</v>
      </c>
      <c r="E575" s="26" t="s">
        <v>480</v>
      </c>
      <c r="F575" s="101">
        <v>160</v>
      </c>
      <c r="G575" s="26" t="s">
        <v>529</v>
      </c>
      <c r="H575" s="102">
        <f>IFERROR(VLOOKUP($D575,NOMENCLATOR!$A:$F,6,FALSE()),"")*IF(OR($G575="g",$G575="ml"),0.001,1)</f>
        <v>1.2203060000000002E-2</v>
      </c>
      <c r="I575" s="102">
        <f t="shared" si="32"/>
        <v>1.9524896000000003</v>
      </c>
    </row>
    <row r="576" spans="1:11" x14ac:dyDescent="0.2">
      <c r="A576" s="26" t="s">
        <v>214</v>
      </c>
      <c r="B576" s="26" t="s">
        <v>109</v>
      </c>
      <c r="C576" s="26" t="s">
        <v>506</v>
      </c>
      <c r="D576" s="26" t="s">
        <v>654</v>
      </c>
      <c r="E576" s="26" t="s">
        <v>655</v>
      </c>
      <c r="F576" s="101">
        <v>1</v>
      </c>
      <c r="G576" s="26" t="s">
        <v>509</v>
      </c>
      <c r="H576" s="102">
        <f>IFERROR(VLOOKUP($D576,NOMENCLATOR!$A:$F,6,FALSE()),"")*IF(OR($G576="g",$G576="ml"),0.001,1)</f>
        <v>0.182</v>
      </c>
      <c r="I576" s="102">
        <f t="shared" si="32"/>
        <v>0.182</v>
      </c>
    </row>
    <row r="577" spans="1:11" x14ac:dyDescent="0.2">
      <c r="A577" s="26" t="s">
        <v>214</v>
      </c>
      <c r="B577" s="26" t="s">
        <v>109</v>
      </c>
      <c r="C577" s="26" t="s">
        <v>506</v>
      </c>
      <c r="D577" s="26" t="s">
        <v>513</v>
      </c>
      <c r="E577" s="26" t="s">
        <v>492</v>
      </c>
      <c r="F577" s="101">
        <v>12</v>
      </c>
      <c r="G577" s="26" t="s">
        <v>514</v>
      </c>
      <c r="H577" s="102">
        <f>IFERROR(VLOOKUP($D577,NOMENCLATOR!$A:$F,6,FALSE()),"")*IF(OR($G577="g",$G577="ml"),0.001,1)</f>
        <v>1.6897059999999998E-2</v>
      </c>
      <c r="I577" s="102">
        <f t="shared" si="32"/>
        <v>0.20276471999999998</v>
      </c>
    </row>
    <row r="578" spans="1:11" x14ac:dyDescent="0.2">
      <c r="A578" s="26" t="s">
        <v>214</v>
      </c>
      <c r="B578" s="26" t="s">
        <v>109</v>
      </c>
      <c r="C578" s="26" t="s">
        <v>539</v>
      </c>
      <c r="D578" s="26" t="s">
        <v>637</v>
      </c>
      <c r="E578" s="26" t="s">
        <v>638</v>
      </c>
      <c r="F578" s="101">
        <v>1</v>
      </c>
      <c r="G578" s="26" t="s">
        <v>509</v>
      </c>
      <c r="H578" s="102">
        <f>IFERROR(VLOOKUP($D578,NOMENCLATOR!$A:$F,6,FALSE()),"")*IF(OR($G578="g",$G578="ml"),0.001,1)</f>
        <v>0.63100000000000001</v>
      </c>
      <c r="I578" s="102">
        <f t="shared" si="32"/>
        <v>0.63100000000000001</v>
      </c>
    </row>
    <row r="579" spans="1:11" x14ac:dyDescent="0.2">
      <c r="A579" s="26" t="s">
        <v>214</v>
      </c>
      <c r="B579" s="26" t="s">
        <v>109</v>
      </c>
      <c r="C579" s="26" t="s">
        <v>539</v>
      </c>
      <c r="D579" s="26" t="s">
        <v>611</v>
      </c>
      <c r="E579" s="26" t="s">
        <v>612</v>
      </c>
      <c r="F579" s="101">
        <v>41.66</v>
      </c>
      <c r="G579" s="26" t="s">
        <v>514</v>
      </c>
      <c r="H579" s="102">
        <f>IFERROR(VLOOKUP($D579,NOMENCLATOR!$A:$F,6,FALSE()),"")*IF(OR($G579="g",$G579="ml"),0.001,1)</f>
        <v>4.4933480000000005E-2</v>
      </c>
      <c r="I579" s="102">
        <f t="shared" si="32"/>
        <v>1.8719287768000001</v>
      </c>
    </row>
    <row r="580" spans="1:11" x14ac:dyDescent="0.2">
      <c r="A580" s="26" t="s">
        <v>214</v>
      </c>
      <c r="B580" s="26" t="s">
        <v>109</v>
      </c>
      <c r="C580" s="26" t="s">
        <v>506</v>
      </c>
      <c r="D580" s="26" t="s">
        <v>780</v>
      </c>
      <c r="E580" s="26" t="s">
        <v>781</v>
      </c>
      <c r="F580" s="101">
        <v>1</v>
      </c>
      <c r="G580" s="26" t="s">
        <v>509</v>
      </c>
      <c r="H580" s="102">
        <f>IFERROR(VLOOKUP($D580,NOMENCLATOR!$A:$F,6,FALSE()),"")*IF(OR($G580="g",$G580="ml"),0.001,1)</f>
        <v>12.367000000000001</v>
      </c>
      <c r="I580" s="102">
        <f t="shared" si="32"/>
        <v>12.367000000000001</v>
      </c>
    </row>
    <row r="581" spans="1:11" x14ac:dyDescent="0.2">
      <c r="A581" s="26" t="s">
        <v>214</v>
      </c>
      <c r="B581" s="26" t="s">
        <v>109</v>
      </c>
      <c r="C581" s="26" t="s">
        <v>657</v>
      </c>
      <c r="D581" s="26" t="s">
        <v>782</v>
      </c>
      <c r="E581" s="26" t="s">
        <v>783</v>
      </c>
      <c r="F581" s="101">
        <v>1</v>
      </c>
      <c r="G581" s="26" t="s">
        <v>509</v>
      </c>
      <c r="H581" s="102">
        <f>IFERROR(VLOOKUP($D581,NOMENCLATOR!$A:$F,6,FALSE()),"")*IF(OR($G581="g",$G581="ml"),0.001,1)</f>
        <v>4.0510999999999999</v>
      </c>
      <c r="I581" s="102">
        <f t="shared" si="32"/>
        <v>4.0510999999999999</v>
      </c>
    </row>
    <row r="582" spans="1:11" x14ac:dyDescent="0.2">
      <c r="A582" s="103" t="s">
        <v>214</v>
      </c>
      <c r="B582" s="104"/>
      <c r="C582" s="104"/>
      <c r="D582" s="104"/>
      <c r="E582" s="103" t="s">
        <v>510</v>
      </c>
      <c r="F582" s="104"/>
      <c r="G582" s="104"/>
      <c r="H582" s="104"/>
      <c r="I582" s="104"/>
      <c r="J582" s="105">
        <f>SUMIFS($I$568:$I$581,$C$568:$C$581,"AMBELE")+SUMIFS($I$568:$I$581,$C$568:$C$581,"INSTORE")</f>
        <v>23.571288196800001</v>
      </c>
      <c r="K582" s="105">
        <f>SUMIFS($I$568:$I$581,$C$568:$C$581,"AMBELE")+SUMIFS($I$568:$I$581,$C$568:$C$581,"DELIVERY")</f>
        <v>25.119459419999998</v>
      </c>
    </row>
    <row r="583" spans="1:11" x14ac:dyDescent="0.2">
      <c r="A583" s="26" t="s">
        <v>194</v>
      </c>
      <c r="B583" s="26" t="s">
        <v>109</v>
      </c>
      <c r="C583" s="26" t="s">
        <v>506</v>
      </c>
      <c r="D583" s="26" t="s">
        <v>550</v>
      </c>
      <c r="E583" s="26" t="s">
        <v>551</v>
      </c>
      <c r="F583" s="101">
        <v>1</v>
      </c>
      <c r="G583" s="26" t="s">
        <v>509</v>
      </c>
      <c r="H583" s="102">
        <f>IFERROR(VLOOKUP($D583,NOMENCLATOR!$A:$F,6,FALSE()),"")*IF(OR($G583="g",$G583="ml"),0.001,1)</f>
        <v>2.36</v>
      </c>
      <c r="I583" s="102">
        <f t="shared" ref="I583:I595" si="33">IFERROR($F583*$H583,"")</f>
        <v>2.36</v>
      </c>
    </row>
    <row r="584" spans="1:11" x14ac:dyDescent="0.2">
      <c r="A584" s="26" t="s">
        <v>194</v>
      </c>
      <c r="B584" s="26" t="s">
        <v>109</v>
      </c>
      <c r="C584" s="26" t="s">
        <v>506</v>
      </c>
      <c r="D584" s="26" t="s">
        <v>562</v>
      </c>
      <c r="E584" s="26" t="s">
        <v>563</v>
      </c>
      <c r="F584" s="101">
        <v>1</v>
      </c>
      <c r="G584" s="26" t="s">
        <v>509</v>
      </c>
      <c r="H584" s="102">
        <f>IFERROR(VLOOKUP($D584,NOMENCLATOR!$A:$F,6,FALSE()),"")*IF(OR($G584="g",$G584="ml"),0.001,1)</f>
        <v>1.1499999999999999</v>
      </c>
      <c r="I584" s="102">
        <f t="shared" si="33"/>
        <v>1.1499999999999999</v>
      </c>
    </row>
    <row r="585" spans="1:11" x14ac:dyDescent="0.2">
      <c r="A585" s="26" t="s">
        <v>194</v>
      </c>
      <c r="B585" s="26" t="s">
        <v>109</v>
      </c>
      <c r="C585" s="26" t="s">
        <v>506</v>
      </c>
      <c r="D585" s="26" t="s">
        <v>664</v>
      </c>
      <c r="E585" s="26" t="s">
        <v>665</v>
      </c>
      <c r="F585" s="101">
        <v>1</v>
      </c>
      <c r="G585" s="26" t="s">
        <v>509</v>
      </c>
      <c r="H585" s="102">
        <f>IFERROR(VLOOKUP($D585,NOMENCLATOR!$A:$F,6,FALSE()),"")*IF(OR($G585="g",$G585="ml"),0.001,1)</f>
        <v>0.111</v>
      </c>
      <c r="I585" s="102">
        <f t="shared" si="33"/>
        <v>0.111</v>
      </c>
    </row>
    <row r="586" spans="1:11" x14ac:dyDescent="0.2">
      <c r="A586" s="26" t="s">
        <v>194</v>
      </c>
      <c r="B586" s="26" t="s">
        <v>109</v>
      </c>
      <c r="C586" s="26" t="s">
        <v>506</v>
      </c>
      <c r="D586" s="26" t="s">
        <v>513</v>
      </c>
      <c r="E586" s="26" t="s">
        <v>492</v>
      </c>
      <c r="F586" s="101">
        <v>20</v>
      </c>
      <c r="G586" s="26" t="s">
        <v>514</v>
      </c>
      <c r="H586" s="102">
        <f>IFERROR(VLOOKUP($D586,NOMENCLATOR!$A:$F,6,FALSE()),"")*IF(OR($G586="g",$G586="ml"),0.001,1)</f>
        <v>1.6897059999999998E-2</v>
      </c>
      <c r="I586" s="102">
        <f t="shared" si="33"/>
        <v>0.33794119999999994</v>
      </c>
    </row>
    <row r="587" spans="1:11" x14ac:dyDescent="0.2">
      <c r="A587" s="26" t="s">
        <v>194</v>
      </c>
      <c r="B587" s="26" t="s">
        <v>109</v>
      </c>
      <c r="C587" s="26" t="s">
        <v>506</v>
      </c>
      <c r="D587" s="26" t="s">
        <v>634</v>
      </c>
      <c r="E587" s="26" t="s">
        <v>635</v>
      </c>
      <c r="F587" s="101">
        <v>5.6</v>
      </c>
      <c r="G587" s="26" t="s">
        <v>529</v>
      </c>
      <c r="H587" s="102">
        <f>IFERROR(VLOOKUP($D587,NOMENCLATOR!$A:$F,6,FALSE()),"")*IF(OR($G587="g",$G587="ml"),0.001,1)</f>
        <v>1.554E-2</v>
      </c>
      <c r="I587" s="102">
        <f t="shared" si="33"/>
        <v>8.702399999999999E-2</v>
      </c>
    </row>
    <row r="588" spans="1:11" x14ac:dyDescent="0.2">
      <c r="A588" s="26" t="s">
        <v>194</v>
      </c>
      <c r="B588" s="26" t="s">
        <v>109</v>
      </c>
      <c r="C588" s="26" t="s">
        <v>506</v>
      </c>
      <c r="D588" s="26" t="s">
        <v>631</v>
      </c>
      <c r="E588" s="26" t="s">
        <v>491</v>
      </c>
      <c r="F588" s="101">
        <v>10</v>
      </c>
      <c r="G588" s="26" t="s">
        <v>514</v>
      </c>
      <c r="H588" s="102">
        <f>IFERROR(VLOOKUP($D588,NOMENCLATOR!$A:$F,6,FALSE()),"")*IF(OR($G588="g",$G588="ml"),0.001,1)</f>
        <v>2.2999820000000001E-2</v>
      </c>
      <c r="I588" s="102">
        <f t="shared" si="33"/>
        <v>0.22999820000000001</v>
      </c>
    </row>
    <row r="589" spans="1:11" x14ac:dyDescent="0.2">
      <c r="A589" s="26" t="s">
        <v>194</v>
      </c>
      <c r="B589" s="26" t="s">
        <v>109</v>
      </c>
      <c r="C589" s="26" t="s">
        <v>506</v>
      </c>
      <c r="D589" s="26" t="s">
        <v>653</v>
      </c>
      <c r="E589" s="26" t="s">
        <v>480</v>
      </c>
      <c r="F589" s="101">
        <v>160</v>
      </c>
      <c r="G589" s="26" t="s">
        <v>529</v>
      </c>
      <c r="H589" s="102">
        <f>IFERROR(VLOOKUP($D589,NOMENCLATOR!$A:$F,6,FALSE()),"")*IF(OR($G589="g",$G589="ml"),0.001,1)</f>
        <v>1.2203060000000002E-2</v>
      </c>
      <c r="I589" s="102">
        <f t="shared" si="33"/>
        <v>1.9524896000000003</v>
      </c>
    </row>
    <row r="590" spans="1:11" x14ac:dyDescent="0.2">
      <c r="A590" s="26" t="s">
        <v>194</v>
      </c>
      <c r="B590" s="26" t="s">
        <v>109</v>
      </c>
      <c r="C590" s="26" t="s">
        <v>506</v>
      </c>
      <c r="D590" s="26" t="s">
        <v>654</v>
      </c>
      <c r="E590" s="26" t="s">
        <v>655</v>
      </c>
      <c r="F590" s="101">
        <v>1</v>
      </c>
      <c r="G590" s="26" t="s">
        <v>509</v>
      </c>
      <c r="H590" s="102">
        <f>IFERROR(VLOOKUP($D590,NOMENCLATOR!$A:$F,6,FALSE()),"")*IF(OR($G590="g",$G590="ml"),0.001,1)</f>
        <v>0.182</v>
      </c>
      <c r="I590" s="102">
        <f t="shared" si="33"/>
        <v>0.182</v>
      </c>
    </row>
    <row r="591" spans="1:11" x14ac:dyDescent="0.2">
      <c r="A591" s="26" t="s">
        <v>194</v>
      </c>
      <c r="B591" s="26" t="s">
        <v>109</v>
      </c>
      <c r="C591" s="26" t="s">
        <v>506</v>
      </c>
      <c r="D591" s="26" t="s">
        <v>513</v>
      </c>
      <c r="E591" s="26" t="s">
        <v>492</v>
      </c>
      <c r="F591" s="101">
        <v>12</v>
      </c>
      <c r="G591" s="26" t="s">
        <v>514</v>
      </c>
      <c r="H591" s="102">
        <f>IFERROR(VLOOKUP($D591,NOMENCLATOR!$A:$F,6,FALSE()),"")*IF(OR($G591="g",$G591="ml"),0.001,1)</f>
        <v>1.6897059999999998E-2</v>
      </c>
      <c r="I591" s="102">
        <f t="shared" si="33"/>
        <v>0.20276471999999998</v>
      </c>
    </row>
    <row r="592" spans="1:11" x14ac:dyDescent="0.2">
      <c r="A592" s="26" t="s">
        <v>194</v>
      </c>
      <c r="B592" s="26" t="s">
        <v>109</v>
      </c>
      <c r="C592" s="26" t="s">
        <v>539</v>
      </c>
      <c r="D592" s="26" t="s">
        <v>637</v>
      </c>
      <c r="E592" s="26" t="s">
        <v>638</v>
      </c>
      <c r="F592" s="101">
        <v>1</v>
      </c>
      <c r="G592" s="26" t="s">
        <v>509</v>
      </c>
      <c r="H592" s="102">
        <f>IFERROR(VLOOKUP($D592,NOMENCLATOR!$A:$F,6,FALSE()),"")*IF(OR($G592="g",$G592="ml"),0.001,1)</f>
        <v>0.63100000000000001</v>
      </c>
      <c r="I592" s="102">
        <f t="shared" si="33"/>
        <v>0.63100000000000001</v>
      </c>
    </row>
    <row r="593" spans="1:11" x14ac:dyDescent="0.2">
      <c r="A593" s="26" t="s">
        <v>194</v>
      </c>
      <c r="B593" s="26" t="s">
        <v>109</v>
      </c>
      <c r="C593" s="26" t="s">
        <v>539</v>
      </c>
      <c r="D593" s="26" t="s">
        <v>611</v>
      </c>
      <c r="E593" s="26" t="s">
        <v>612</v>
      </c>
      <c r="F593" s="101">
        <v>41.66</v>
      </c>
      <c r="G593" s="26" t="s">
        <v>514</v>
      </c>
      <c r="H593" s="102">
        <f>IFERROR(VLOOKUP($D593,NOMENCLATOR!$A:$F,6,FALSE()),"")*IF(OR($G593="g",$G593="ml"),0.001,1)</f>
        <v>4.4933480000000005E-2</v>
      </c>
      <c r="I593" s="102">
        <f t="shared" si="33"/>
        <v>1.8719287768000001</v>
      </c>
    </row>
    <row r="594" spans="1:11" x14ac:dyDescent="0.2">
      <c r="A594" s="26" t="s">
        <v>194</v>
      </c>
      <c r="B594" s="26" t="s">
        <v>109</v>
      </c>
      <c r="C594" s="26" t="s">
        <v>506</v>
      </c>
      <c r="D594" s="26" t="s">
        <v>780</v>
      </c>
      <c r="E594" s="26" t="s">
        <v>781</v>
      </c>
      <c r="F594" s="101">
        <v>1</v>
      </c>
      <c r="G594" s="26" t="s">
        <v>509</v>
      </c>
      <c r="H594" s="102">
        <f>IFERROR(VLOOKUP($D594,NOMENCLATOR!$A:$F,6,FALSE()),"")*IF(OR($G594="g",$G594="ml"),0.001,1)</f>
        <v>12.367000000000001</v>
      </c>
      <c r="I594" s="102">
        <f t="shared" si="33"/>
        <v>12.367000000000001</v>
      </c>
    </row>
    <row r="595" spans="1:11" x14ac:dyDescent="0.2">
      <c r="A595" s="26" t="s">
        <v>194</v>
      </c>
      <c r="B595" s="26" t="s">
        <v>109</v>
      </c>
      <c r="C595" s="26" t="s">
        <v>657</v>
      </c>
      <c r="D595" s="26" t="s">
        <v>782</v>
      </c>
      <c r="E595" s="26" t="s">
        <v>783</v>
      </c>
      <c r="F595" s="101">
        <v>1</v>
      </c>
      <c r="G595" s="26" t="s">
        <v>509</v>
      </c>
      <c r="H595" s="102">
        <f>IFERROR(VLOOKUP($D595,NOMENCLATOR!$A:$F,6,FALSE()),"")*IF(OR($G595="g",$G595="ml"),0.001,1)</f>
        <v>4.0510999999999999</v>
      </c>
      <c r="I595" s="102">
        <f t="shared" si="33"/>
        <v>4.0510999999999999</v>
      </c>
    </row>
    <row r="596" spans="1:11" x14ac:dyDescent="0.2">
      <c r="A596" s="103" t="s">
        <v>194</v>
      </c>
      <c r="B596" s="104"/>
      <c r="C596" s="104"/>
      <c r="D596" s="104"/>
      <c r="E596" s="103" t="s">
        <v>510</v>
      </c>
      <c r="F596" s="104"/>
      <c r="G596" s="104"/>
      <c r="H596" s="104"/>
      <c r="I596" s="104"/>
      <c r="J596" s="105">
        <f>SUMIFS($I$583:$I$595,$C$583:$C$595,"AMBELE")+SUMIFS($I$583:$I$595,$C$583:$C$595,"INSTORE")</f>
        <v>21.483146496800003</v>
      </c>
      <c r="K596" s="105">
        <f>SUMIFS($I$583:$I$595,$C$583:$C$595,"AMBELE")+SUMIFS($I$583:$I$595,$C$583:$C$595,"DELIVERY")</f>
        <v>23.031317720000004</v>
      </c>
    </row>
    <row r="597" spans="1:11" x14ac:dyDescent="0.2">
      <c r="A597" s="26" t="s">
        <v>294</v>
      </c>
      <c r="B597" s="26" t="s">
        <v>111</v>
      </c>
      <c r="C597" s="26" t="s">
        <v>506</v>
      </c>
      <c r="D597" s="26" t="s">
        <v>786</v>
      </c>
      <c r="E597" s="26" t="s">
        <v>787</v>
      </c>
      <c r="F597" s="101">
        <v>1</v>
      </c>
      <c r="G597" s="26" t="s">
        <v>509</v>
      </c>
      <c r="H597" s="102">
        <f>IFERROR(VLOOKUP($D597,NOMENCLATOR!$A:$F,6,FALSE()),"")*IF(OR($G597="g",$G597="ml"),0.001,1)</f>
        <v>98.51</v>
      </c>
      <c r="I597" s="102">
        <f>IFERROR($F597*$H597,"")</f>
        <v>98.51</v>
      </c>
    </row>
    <row r="598" spans="1:11" x14ac:dyDescent="0.2">
      <c r="A598" s="103" t="s">
        <v>294</v>
      </c>
      <c r="B598" s="104"/>
      <c r="C598" s="104"/>
      <c r="D598" s="104"/>
      <c r="E598" s="103" t="s">
        <v>510</v>
      </c>
      <c r="F598" s="104"/>
      <c r="G598" s="104"/>
      <c r="H598" s="104"/>
      <c r="I598" s="104"/>
      <c r="J598" s="105">
        <f>SUMIFS($I$597:$I$597,$C$597:$C$597,"AMBELE")+SUMIFS($I$597:$I$597,$C$597:$C$597,"INSTORE")</f>
        <v>98.51</v>
      </c>
      <c r="K598" s="105">
        <f>SUMIFS($I$597:$I$597,$C$597:$C$597,"AMBELE")+SUMIFS($I$597:$I$597,$C$597:$C$597,"DELIVERY")</f>
        <v>98.51</v>
      </c>
    </row>
    <row r="599" spans="1:11" x14ac:dyDescent="0.2">
      <c r="A599" s="26" t="s">
        <v>309</v>
      </c>
      <c r="B599" s="26" t="s">
        <v>104</v>
      </c>
      <c r="C599" s="26" t="s">
        <v>506</v>
      </c>
      <c r="D599" s="26" t="s">
        <v>639</v>
      </c>
      <c r="E599" s="26" t="s">
        <v>640</v>
      </c>
      <c r="F599" s="101">
        <v>185</v>
      </c>
      <c r="G599" s="26" t="s">
        <v>514</v>
      </c>
      <c r="H599" s="102">
        <f>IFERROR(VLOOKUP($D599,NOMENCLATOR!$A:$F,6,FALSE()),"")*IF(OR($G599="g",$G599="ml"),0.001,1)</f>
        <v>9.8002499999999999E-3</v>
      </c>
      <c r="I599" s="102">
        <f>IFERROR($F599*$H599,"")</f>
        <v>1.81304625</v>
      </c>
    </row>
    <row r="600" spans="1:11" x14ac:dyDescent="0.2">
      <c r="A600" s="26" t="s">
        <v>309</v>
      </c>
      <c r="B600" s="26" t="s">
        <v>104</v>
      </c>
      <c r="C600" s="26" t="s">
        <v>506</v>
      </c>
      <c r="D600" s="26" t="s">
        <v>572</v>
      </c>
      <c r="E600" s="26" t="s">
        <v>573</v>
      </c>
      <c r="F600" s="101">
        <v>12</v>
      </c>
      <c r="G600" s="26" t="s">
        <v>529</v>
      </c>
      <c r="H600" s="102">
        <f>IFERROR(VLOOKUP($D600,NOMENCLATOR!$A:$F,6,FALSE()),"")*IF(OR($G600="g",$G600="ml"),0.001,1)</f>
        <v>0.23816300000000001</v>
      </c>
      <c r="I600" s="102">
        <f>IFERROR($F600*$H600,"")</f>
        <v>2.8579560000000002</v>
      </c>
    </row>
    <row r="601" spans="1:11" x14ac:dyDescent="0.2">
      <c r="A601" s="26" t="s">
        <v>309</v>
      </c>
      <c r="B601" s="26" t="s">
        <v>104</v>
      </c>
      <c r="C601" s="26" t="s">
        <v>506</v>
      </c>
      <c r="D601" s="26" t="s">
        <v>580</v>
      </c>
      <c r="E601" s="26" t="s">
        <v>581</v>
      </c>
      <c r="F601" s="101">
        <v>1</v>
      </c>
      <c r="G601" s="26" t="s">
        <v>509</v>
      </c>
      <c r="H601" s="102">
        <f>IFERROR(VLOOKUP($D601,NOMENCLATOR!$A:$F,6,FALSE()),"")*IF(OR($G601="g",$G601="ml"),0.001,1)</f>
        <v>0.49</v>
      </c>
      <c r="I601" s="102">
        <f>IFERROR($F601*$H601,"")</f>
        <v>0.49</v>
      </c>
    </row>
    <row r="602" spans="1:11" x14ac:dyDescent="0.2">
      <c r="A602" s="26" t="s">
        <v>309</v>
      </c>
      <c r="B602" s="26" t="s">
        <v>104</v>
      </c>
      <c r="C602" s="26" t="s">
        <v>506</v>
      </c>
      <c r="D602" s="26" t="s">
        <v>578</v>
      </c>
      <c r="E602" s="26" t="s">
        <v>579</v>
      </c>
      <c r="F602" s="101">
        <v>1</v>
      </c>
      <c r="G602" s="26" t="s">
        <v>509</v>
      </c>
      <c r="H602" s="102">
        <f>IFERROR(VLOOKUP($D602,NOMENCLATOR!$A:$F,6,FALSE()),"")*IF(OR($G602="g",$G602="ml"),0.001,1)</f>
        <v>1.2999999999999999E-2</v>
      </c>
      <c r="I602" s="102">
        <f>IFERROR($F602*$H602,"")</f>
        <v>1.2999999999999999E-2</v>
      </c>
    </row>
    <row r="603" spans="1:11" x14ac:dyDescent="0.2">
      <c r="A603" s="26" t="s">
        <v>309</v>
      </c>
      <c r="B603" s="26" t="s">
        <v>104</v>
      </c>
      <c r="C603" s="26" t="s">
        <v>506</v>
      </c>
      <c r="D603" s="26" t="s">
        <v>582</v>
      </c>
      <c r="E603" s="26" t="s">
        <v>583</v>
      </c>
      <c r="F603" s="101">
        <v>1</v>
      </c>
      <c r="G603" s="26" t="s">
        <v>509</v>
      </c>
      <c r="H603" s="102">
        <f>IFERROR(VLOOKUP($D603,NOMENCLATOR!$A:$F,6,FALSE()),"")*IF(OR($G603="g",$G603="ml"),0.001,1)</f>
        <v>0.17799999999999999</v>
      </c>
      <c r="I603" s="102">
        <f>IFERROR($F603*$H603,"")</f>
        <v>0.17799999999999999</v>
      </c>
    </row>
    <row r="604" spans="1:11" x14ac:dyDescent="0.2">
      <c r="A604" s="103" t="s">
        <v>309</v>
      </c>
      <c r="B604" s="104"/>
      <c r="C604" s="104"/>
      <c r="D604" s="104"/>
      <c r="E604" s="103" t="s">
        <v>510</v>
      </c>
      <c r="F604" s="104"/>
      <c r="G604" s="104"/>
      <c r="H604" s="104"/>
      <c r="I604" s="104"/>
      <c r="J604" s="105">
        <f>SUMIFS($I$599:$I$603,$C$599:$C$603,"AMBELE")+SUMIFS($I$599:$I$603,$C$599:$C$603,"INSTORE")</f>
        <v>5.35200225</v>
      </c>
      <c r="K604" s="105">
        <f>SUMIFS($I$599:$I$603,$C$599:$C$603,"AMBELE")+SUMIFS($I$599:$I$603,$C$599:$C$603,"DELIVERY")</f>
        <v>5.35200225</v>
      </c>
    </row>
    <row r="605" spans="1:11" x14ac:dyDescent="0.2">
      <c r="A605" s="26" t="s">
        <v>218</v>
      </c>
      <c r="B605" s="26" t="s">
        <v>589</v>
      </c>
      <c r="C605" s="26" t="s">
        <v>539</v>
      </c>
      <c r="D605" s="26" t="s">
        <v>788</v>
      </c>
      <c r="E605" s="26" t="s">
        <v>789</v>
      </c>
      <c r="F605" s="101">
        <v>60.01</v>
      </c>
      <c r="G605" s="26" t="s">
        <v>514</v>
      </c>
      <c r="H605" s="102">
        <f>IFERROR(VLOOKUP($D605,NOMENCLATOR!$A:$F,6,FALSE()),"")*IF(OR($G605="g",$G605="ml"),0.001,1)</f>
        <v>1.4764200000000002E-2</v>
      </c>
      <c r="I605" s="102">
        <f>IFERROR($F605*$H605,"")</f>
        <v>0.88599964200000003</v>
      </c>
    </row>
    <row r="606" spans="1:11" x14ac:dyDescent="0.2">
      <c r="A606" s="26" t="s">
        <v>218</v>
      </c>
      <c r="B606" s="26" t="s">
        <v>589</v>
      </c>
      <c r="C606" s="26" t="s">
        <v>539</v>
      </c>
      <c r="D606" s="26" t="s">
        <v>743</v>
      </c>
      <c r="E606" s="26" t="s">
        <v>744</v>
      </c>
      <c r="F606" s="101">
        <v>1</v>
      </c>
      <c r="G606" s="26" t="s">
        <v>509</v>
      </c>
      <c r="H606" s="102">
        <f>IFERROR(VLOOKUP($D606,NOMENCLATOR!$A:$F,6,FALSE()),"")*IF(OR($G606="g",$G606="ml"),0.001,1)</f>
        <v>0.42</v>
      </c>
      <c r="I606" s="102">
        <f>IFERROR($F606*$H606,"")</f>
        <v>0.42</v>
      </c>
    </row>
    <row r="607" spans="1:11" x14ac:dyDescent="0.2">
      <c r="A607" s="26" t="s">
        <v>218</v>
      </c>
      <c r="B607" s="26" t="s">
        <v>589</v>
      </c>
      <c r="C607" s="26" t="s">
        <v>539</v>
      </c>
      <c r="D607" s="26" t="s">
        <v>745</v>
      </c>
      <c r="E607" s="26" t="s">
        <v>746</v>
      </c>
      <c r="F607" s="101">
        <v>1</v>
      </c>
      <c r="G607" s="26" t="s">
        <v>509</v>
      </c>
      <c r="H607" s="102">
        <f>IFERROR(VLOOKUP($D607,NOMENCLATOR!$A:$F,6,FALSE()),"")*IF(OR($G607="g",$G607="ml"),0.001,1)</f>
        <v>0.1</v>
      </c>
      <c r="I607" s="102">
        <f>IFERROR($F607*$H607,"")</f>
        <v>0.1</v>
      </c>
    </row>
    <row r="608" spans="1:11" x14ac:dyDescent="0.2">
      <c r="A608" s="26" t="s">
        <v>218</v>
      </c>
      <c r="B608" s="26" t="s">
        <v>589</v>
      </c>
      <c r="C608" s="26" t="s">
        <v>539</v>
      </c>
      <c r="D608" s="26" t="s">
        <v>747</v>
      </c>
      <c r="E608" s="26" t="s">
        <v>748</v>
      </c>
      <c r="F608" s="101">
        <v>1</v>
      </c>
      <c r="G608" s="26" t="s">
        <v>509</v>
      </c>
      <c r="H608" s="102">
        <f>IFERROR(VLOOKUP($D608,NOMENCLATOR!$A:$F,6,FALSE()),"")*IF(OR($G608="g",$G608="ml"),0.001,1)</f>
        <v>0.17599999999999999</v>
      </c>
      <c r="I608" s="102">
        <f>IFERROR($F608*$H608,"")</f>
        <v>0.17599999999999999</v>
      </c>
    </row>
    <row r="609" spans="1:11" x14ac:dyDescent="0.2">
      <c r="A609" s="103" t="s">
        <v>218</v>
      </c>
      <c r="B609" s="104"/>
      <c r="C609" s="104"/>
      <c r="D609" s="104"/>
      <c r="E609" s="103" t="s">
        <v>510</v>
      </c>
      <c r="F609" s="104"/>
      <c r="G609" s="104"/>
      <c r="H609" s="104"/>
      <c r="I609" s="104"/>
      <c r="J609" s="105">
        <f>SUMIFS($I$605:$I$608,$C$605:$C$608,"AMBELE")+SUMIFS($I$605:$I$608,$C$605:$C$608,"INSTORE")</f>
        <v>1.581999642</v>
      </c>
      <c r="K609" s="105">
        <f>SUMIFS($I$605:$I$608,$C$605:$C$608,"AMBELE")+SUMIFS($I$605:$I$608,$C$605:$C$608,"DELIVERY")</f>
        <v>0</v>
      </c>
    </row>
    <row r="610" spans="1:11" x14ac:dyDescent="0.2">
      <c r="A610" s="26" t="s">
        <v>278</v>
      </c>
      <c r="B610" s="26" t="s">
        <v>104</v>
      </c>
      <c r="C610" s="26" t="s">
        <v>657</v>
      </c>
      <c r="D610" s="26" t="s">
        <v>788</v>
      </c>
      <c r="E610" s="26" t="s">
        <v>789</v>
      </c>
      <c r="F610" s="101">
        <v>60.01</v>
      </c>
      <c r="G610" s="26" t="s">
        <v>514</v>
      </c>
      <c r="H610" s="102">
        <f>IFERROR(VLOOKUP($D610,NOMENCLATOR!$A:$F,6,FALSE()),"")*IF(OR($G610="g",$G610="ml"),0.001,1)</f>
        <v>1.4764200000000002E-2</v>
      </c>
      <c r="I610" s="102">
        <f>IFERROR($F610*$H610,"")</f>
        <v>0.88599964200000003</v>
      </c>
    </row>
    <row r="611" spans="1:11" x14ac:dyDescent="0.2">
      <c r="A611" s="26" t="s">
        <v>278</v>
      </c>
      <c r="B611" s="26" t="s">
        <v>104</v>
      </c>
      <c r="C611" s="26" t="s">
        <v>657</v>
      </c>
      <c r="D611" s="26" t="s">
        <v>743</v>
      </c>
      <c r="E611" s="26" t="s">
        <v>744</v>
      </c>
      <c r="F611" s="101">
        <v>1</v>
      </c>
      <c r="G611" s="26" t="s">
        <v>509</v>
      </c>
      <c r="H611" s="102">
        <f>IFERROR(VLOOKUP($D611,NOMENCLATOR!$A:$F,6,FALSE()),"")*IF(OR($G611="g",$G611="ml"),0.001,1)</f>
        <v>0.42</v>
      </c>
      <c r="I611" s="102">
        <f>IFERROR($F611*$H611,"")</f>
        <v>0.42</v>
      </c>
    </row>
    <row r="612" spans="1:11" x14ac:dyDescent="0.2">
      <c r="A612" s="26" t="s">
        <v>278</v>
      </c>
      <c r="B612" s="26" t="s">
        <v>104</v>
      </c>
      <c r="C612" s="26" t="s">
        <v>657</v>
      </c>
      <c r="D612" s="26" t="s">
        <v>745</v>
      </c>
      <c r="E612" s="26" t="s">
        <v>746</v>
      </c>
      <c r="F612" s="101">
        <v>1</v>
      </c>
      <c r="G612" s="26" t="s">
        <v>509</v>
      </c>
      <c r="H612" s="102">
        <f>IFERROR(VLOOKUP($D612,NOMENCLATOR!$A:$F,6,FALSE()),"")*IF(OR($G612="g",$G612="ml"),0.001,1)</f>
        <v>0.1</v>
      </c>
      <c r="I612" s="102">
        <f>IFERROR($F612*$H612,"")</f>
        <v>0.1</v>
      </c>
    </row>
    <row r="613" spans="1:11" x14ac:dyDescent="0.2">
      <c r="A613" s="26" t="s">
        <v>278</v>
      </c>
      <c r="B613" s="26" t="s">
        <v>104</v>
      </c>
      <c r="C613" s="26" t="s">
        <v>657</v>
      </c>
      <c r="D613" s="26" t="s">
        <v>747</v>
      </c>
      <c r="E613" s="26" t="s">
        <v>748</v>
      </c>
      <c r="F613" s="101">
        <v>1</v>
      </c>
      <c r="G613" s="26" t="s">
        <v>509</v>
      </c>
      <c r="H613" s="102">
        <f>IFERROR(VLOOKUP($D613,NOMENCLATOR!$A:$F,6,FALSE()),"")*IF(OR($G613="g",$G613="ml"),0.001,1)</f>
        <v>0.17599999999999999</v>
      </c>
      <c r="I613" s="102">
        <f>IFERROR($F613*$H613,"")</f>
        <v>0.17599999999999999</v>
      </c>
    </row>
    <row r="614" spans="1:11" x14ac:dyDescent="0.2">
      <c r="A614" s="103" t="s">
        <v>278</v>
      </c>
      <c r="B614" s="104"/>
      <c r="C614" s="104"/>
      <c r="D614" s="104"/>
      <c r="E614" s="103" t="s">
        <v>510</v>
      </c>
      <c r="F614" s="104"/>
      <c r="G614" s="104"/>
      <c r="H614" s="104"/>
      <c r="I614" s="104"/>
      <c r="J614" s="105">
        <f>SUMIFS($I$610:$I$613,$C$610:$C$613,"AMBELE")+SUMIFS($I$610:$I$613,$C$610:$C$613,"INSTORE")</f>
        <v>0</v>
      </c>
      <c r="K614" s="105">
        <f>SUMIFS($I$610:$I$613,$C$610:$C$613,"AMBELE")+SUMIFS($I$610:$I$613,$C$610:$C$613,"DELIVERY")</f>
        <v>1.581999642</v>
      </c>
    </row>
    <row r="615" spans="1:11" x14ac:dyDescent="0.2">
      <c r="A615" s="26" t="s">
        <v>790</v>
      </c>
      <c r="B615" s="26" t="s">
        <v>104</v>
      </c>
      <c r="C615" s="26" t="s">
        <v>506</v>
      </c>
      <c r="D615" s="26" t="s">
        <v>788</v>
      </c>
      <c r="E615" s="26" t="s">
        <v>789</v>
      </c>
      <c r="F615" s="101">
        <v>60.01</v>
      </c>
      <c r="G615" s="26" t="s">
        <v>514</v>
      </c>
      <c r="H615" s="102">
        <f>IFERROR(VLOOKUP($D615,NOMENCLATOR!$A:$F,6,FALSE()),"")*IF(OR($G615="g",$G615="ml"),0.001,1)</f>
        <v>1.4764200000000002E-2</v>
      </c>
      <c r="I615" s="102">
        <f>IFERROR($F615*$H615,"")</f>
        <v>0.88599964200000003</v>
      </c>
    </row>
    <row r="616" spans="1:11" x14ac:dyDescent="0.2">
      <c r="A616" s="26" t="s">
        <v>790</v>
      </c>
      <c r="B616" s="26" t="s">
        <v>104</v>
      </c>
      <c r="C616" s="26" t="s">
        <v>506</v>
      </c>
      <c r="D616" s="26" t="s">
        <v>743</v>
      </c>
      <c r="E616" s="26" t="s">
        <v>744</v>
      </c>
      <c r="F616" s="101">
        <v>1</v>
      </c>
      <c r="G616" s="26" t="s">
        <v>509</v>
      </c>
      <c r="H616" s="102">
        <f>IFERROR(VLOOKUP($D616,NOMENCLATOR!$A:$F,6,FALSE()),"")*IF(OR($G616="g",$G616="ml"),0.001,1)</f>
        <v>0.42</v>
      </c>
      <c r="I616" s="102">
        <f>IFERROR($F616*$H616,"")</f>
        <v>0.42</v>
      </c>
    </row>
    <row r="617" spans="1:11" x14ac:dyDescent="0.2">
      <c r="A617" s="26" t="s">
        <v>790</v>
      </c>
      <c r="B617" s="26" t="s">
        <v>104</v>
      </c>
      <c r="C617" s="26" t="s">
        <v>506</v>
      </c>
      <c r="D617" s="26" t="s">
        <v>745</v>
      </c>
      <c r="E617" s="26" t="s">
        <v>746</v>
      </c>
      <c r="F617" s="101">
        <v>1</v>
      </c>
      <c r="G617" s="26" t="s">
        <v>509</v>
      </c>
      <c r="H617" s="102">
        <f>IFERROR(VLOOKUP($D617,NOMENCLATOR!$A:$F,6,FALSE()),"")*IF(OR($G617="g",$G617="ml"),0.001,1)</f>
        <v>0.1</v>
      </c>
      <c r="I617" s="102">
        <f>IFERROR($F617*$H617,"")</f>
        <v>0.1</v>
      </c>
    </row>
    <row r="618" spans="1:11" x14ac:dyDescent="0.2">
      <c r="A618" s="26" t="s">
        <v>790</v>
      </c>
      <c r="B618" s="26" t="s">
        <v>104</v>
      </c>
      <c r="C618" s="26" t="s">
        <v>506</v>
      </c>
      <c r="D618" s="26" t="s">
        <v>747</v>
      </c>
      <c r="E618" s="26" t="s">
        <v>748</v>
      </c>
      <c r="F618" s="101">
        <v>1</v>
      </c>
      <c r="G618" s="26" t="s">
        <v>509</v>
      </c>
      <c r="H618" s="102">
        <f>IFERROR(VLOOKUP($D618,NOMENCLATOR!$A:$F,6,FALSE()),"")*IF(OR($G618="g",$G618="ml"),0.001,1)</f>
        <v>0.17599999999999999</v>
      </c>
      <c r="I618" s="102">
        <f>IFERROR($F618*$H618,"")</f>
        <v>0.17599999999999999</v>
      </c>
    </row>
    <row r="619" spans="1:11" x14ac:dyDescent="0.2">
      <c r="A619" s="103" t="s">
        <v>790</v>
      </c>
      <c r="B619" s="104"/>
      <c r="C619" s="104"/>
      <c r="D619" s="104"/>
      <c r="E619" s="103" t="s">
        <v>510</v>
      </c>
      <c r="F619" s="104"/>
      <c r="G619" s="104"/>
      <c r="H619" s="104"/>
      <c r="I619" s="104"/>
      <c r="J619" s="105">
        <f>SUMIFS($I$615:$I$618,$C$615:$C$618,"AMBELE")+SUMIFS($I$615:$I$618,$C$615:$C$618,"INSTORE")</f>
        <v>1.581999642</v>
      </c>
      <c r="K619" s="105">
        <f>SUMIFS($I$615:$I$618,$C$615:$C$618,"AMBELE")+SUMIFS($I$615:$I$618,$C$615:$C$618,"DELIVERY")</f>
        <v>1.581999642</v>
      </c>
    </row>
    <row r="620" spans="1:11" x14ac:dyDescent="0.2">
      <c r="A620" s="26" t="s">
        <v>791</v>
      </c>
      <c r="B620" s="26" t="s">
        <v>589</v>
      </c>
      <c r="C620" s="26" t="s">
        <v>539</v>
      </c>
      <c r="D620" s="26" t="s">
        <v>637</v>
      </c>
      <c r="E620" s="26" t="s">
        <v>638</v>
      </c>
      <c r="F620" s="101">
        <v>1</v>
      </c>
      <c r="G620" s="26" t="s">
        <v>509</v>
      </c>
      <c r="H620" s="102">
        <f>IFERROR(VLOOKUP($D620,NOMENCLATOR!$A:$F,6,FALSE()),"")*IF(OR($G620="g",$G620="ml"),0.001,1)</f>
        <v>0.63100000000000001</v>
      </c>
      <c r="I620" s="102">
        <f>IFERROR($F620*$H620,"")</f>
        <v>0.63100000000000001</v>
      </c>
    </row>
    <row r="621" spans="1:11" x14ac:dyDescent="0.2">
      <c r="A621" s="26" t="s">
        <v>791</v>
      </c>
      <c r="B621" s="26" t="s">
        <v>589</v>
      </c>
      <c r="C621" s="26" t="s">
        <v>539</v>
      </c>
      <c r="D621" s="26" t="s">
        <v>792</v>
      </c>
      <c r="E621" s="26" t="s">
        <v>793</v>
      </c>
      <c r="F621" s="101">
        <v>27.77</v>
      </c>
      <c r="G621" s="26" t="s">
        <v>514</v>
      </c>
      <c r="H621" s="102">
        <f>IFERROR(VLOOKUP($D621,NOMENCLATOR!$A:$F,6,FALSE()),"")*IF(OR($G621="g",$G621="ml"),0.001,1)</f>
        <v>6.523545E-2</v>
      </c>
      <c r="I621" s="102">
        <f>IFERROR($F621*$H621,"")</f>
        <v>1.8115884465000001</v>
      </c>
    </row>
    <row r="622" spans="1:11" x14ac:dyDescent="0.2">
      <c r="A622" s="103" t="s">
        <v>791</v>
      </c>
      <c r="B622" s="104"/>
      <c r="C622" s="104"/>
      <c r="D622" s="104"/>
      <c r="E622" s="103" t="s">
        <v>510</v>
      </c>
      <c r="F622" s="104"/>
      <c r="G622" s="104"/>
      <c r="H622" s="104"/>
      <c r="I622" s="104"/>
      <c r="J622" s="105">
        <f>SUMIFS($I$620:$I$621,$C$620:$C$621,"AMBELE")+SUMIFS($I$620:$I$621,$C$620:$C$621,"INSTORE")</f>
        <v>2.4425884465000003</v>
      </c>
      <c r="K622" s="105">
        <f>SUMIFS($I$620:$I$621,$C$620:$C$621,"AMBELE")+SUMIFS($I$620:$I$621,$C$620:$C$621,"DELIVERY")</f>
        <v>0</v>
      </c>
    </row>
    <row r="623" spans="1:11" x14ac:dyDescent="0.2">
      <c r="A623" s="26" t="s">
        <v>207</v>
      </c>
      <c r="B623" s="26" t="s">
        <v>589</v>
      </c>
      <c r="C623" s="26" t="s">
        <v>539</v>
      </c>
      <c r="D623" s="26" t="s">
        <v>609</v>
      </c>
      <c r="E623" s="26" t="s">
        <v>610</v>
      </c>
      <c r="F623" s="101">
        <v>1</v>
      </c>
      <c r="G623" s="26" t="s">
        <v>509</v>
      </c>
      <c r="H623" s="102">
        <f>IFERROR(VLOOKUP($D623,NOMENCLATOR!$A:$F,6,FALSE()),"")*IF(OR($G623="g",$G623="ml"),0.001,1)</f>
        <v>0.86799999999999999</v>
      </c>
      <c r="I623" s="102">
        <f>IFERROR($F623*$H623,"")</f>
        <v>0.86799999999999999</v>
      </c>
    </row>
    <row r="624" spans="1:11" x14ac:dyDescent="0.2">
      <c r="A624" s="26" t="s">
        <v>207</v>
      </c>
      <c r="B624" s="26" t="s">
        <v>589</v>
      </c>
      <c r="C624" s="26" t="s">
        <v>539</v>
      </c>
      <c r="D624" s="26" t="s">
        <v>792</v>
      </c>
      <c r="E624" s="26" t="s">
        <v>793</v>
      </c>
      <c r="F624" s="101">
        <v>38.880000000000003</v>
      </c>
      <c r="G624" s="26" t="s">
        <v>514</v>
      </c>
      <c r="H624" s="102">
        <f>IFERROR(VLOOKUP($D624,NOMENCLATOR!$A:$F,6,FALSE()),"")*IF(OR($G624="g",$G624="ml"),0.001,1)</f>
        <v>6.523545E-2</v>
      </c>
      <c r="I624" s="102">
        <f>IFERROR($F624*$H624,"")</f>
        <v>2.5363542960000003</v>
      </c>
    </row>
    <row r="625" spans="1:11" x14ac:dyDescent="0.2">
      <c r="A625" s="103" t="s">
        <v>207</v>
      </c>
      <c r="B625" s="104"/>
      <c r="C625" s="104"/>
      <c r="D625" s="104"/>
      <c r="E625" s="103" t="s">
        <v>510</v>
      </c>
      <c r="F625" s="104"/>
      <c r="G625" s="104"/>
      <c r="H625" s="104"/>
      <c r="I625" s="104"/>
      <c r="J625" s="105">
        <f>SUMIFS($I$623:$I$624,$C$623:$C$624,"AMBELE")+SUMIFS($I$623:$I$624,$C$623:$C$624,"INSTORE")</f>
        <v>3.4043542960000002</v>
      </c>
      <c r="K625" s="105">
        <f>SUMIFS($I$623:$I$624,$C$623:$C$624,"AMBELE")+SUMIFS($I$623:$I$624,$C$623:$C$624,"DELIVERY")</f>
        <v>0</v>
      </c>
    </row>
    <row r="626" spans="1:11" x14ac:dyDescent="0.2">
      <c r="A626" s="26" t="s">
        <v>210</v>
      </c>
      <c r="B626" s="26" t="s">
        <v>589</v>
      </c>
      <c r="C626" s="26" t="s">
        <v>539</v>
      </c>
      <c r="D626" s="26" t="s">
        <v>613</v>
      </c>
      <c r="E626" s="26" t="s">
        <v>614</v>
      </c>
      <c r="F626" s="101">
        <v>1</v>
      </c>
      <c r="G626" s="26" t="s">
        <v>509</v>
      </c>
      <c r="H626" s="102">
        <f>IFERROR(VLOOKUP($D626,NOMENCLATOR!$A:$F,6,FALSE()),"")*IF(OR($G626="g",$G626="ml"),0.001,1)</f>
        <v>1.0469999999999999</v>
      </c>
      <c r="I626" s="102">
        <f>IFERROR($F626*$H626,"")</f>
        <v>1.0469999999999999</v>
      </c>
    </row>
    <row r="627" spans="1:11" x14ac:dyDescent="0.2">
      <c r="A627" s="26" t="s">
        <v>210</v>
      </c>
      <c r="B627" s="26" t="s">
        <v>589</v>
      </c>
      <c r="C627" s="26" t="s">
        <v>539</v>
      </c>
      <c r="D627" s="26" t="s">
        <v>792</v>
      </c>
      <c r="E627" s="26" t="s">
        <v>793</v>
      </c>
      <c r="F627" s="101">
        <v>55.54</v>
      </c>
      <c r="G627" s="26" t="s">
        <v>514</v>
      </c>
      <c r="H627" s="102">
        <f>IFERROR(VLOOKUP($D627,NOMENCLATOR!$A:$F,6,FALSE()),"")*IF(OR($G627="g",$G627="ml"),0.001,1)</f>
        <v>6.523545E-2</v>
      </c>
      <c r="I627" s="102">
        <f>IFERROR($F627*$H627,"")</f>
        <v>3.6231768930000001</v>
      </c>
    </row>
    <row r="628" spans="1:11" x14ac:dyDescent="0.2">
      <c r="A628" s="103" t="s">
        <v>210</v>
      </c>
      <c r="B628" s="104"/>
      <c r="C628" s="104"/>
      <c r="D628" s="104"/>
      <c r="E628" s="103" t="s">
        <v>510</v>
      </c>
      <c r="F628" s="104"/>
      <c r="G628" s="104"/>
      <c r="H628" s="104"/>
      <c r="I628" s="104"/>
      <c r="J628" s="105">
        <f>SUMIFS($I$626:$I$627,$C$626:$C$627,"AMBELE")+SUMIFS($I$626:$I$627,$C$626:$C$627,"INSTORE")</f>
        <v>4.6701768929999998</v>
      </c>
      <c r="K628" s="105">
        <f>SUMIFS($I$626:$I$627,$C$626:$C$627,"AMBELE")+SUMIFS($I$626:$I$627,$C$626:$C$627,"DELIVERY")</f>
        <v>0</v>
      </c>
    </row>
    <row r="629" spans="1:11" x14ac:dyDescent="0.2">
      <c r="A629" s="26" t="s">
        <v>295</v>
      </c>
      <c r="B629" s="26" t="s">
        <v>589</v>
      </c>
      <c r="C629" s="26" t="s">
        <v>506</v>
      </c>
      <c r="D629" s="26" t="s">
        <v>794</v>
      </c>
      <c r="E629" s="26" t="s">
        <v>295</v>
      </c>
      <c r="F629" s="101">
        <v>1</v>
      </c>
      <c r="G629" s="26" t="s">
        <v>509</v>
      </c>
      <c r="H629" s="102">
        <f>IFERROR(VLOOKUP($D629,NOMENCLATOR!$A:$F,6,FALSE()),"")*IF(OR($G629="g",$G629="ml"),0.001,1)</f>
        <v>6.7410100000000002</v>
      </c>
      <c r="I629" s="102">
        <f>IFERROR($F629*$H629,"")</f>
        <v>6.7410100000000002</v>
      </c>
    </row>
    <row r="630" spans="1:11" x14ac:dyDescent="0.2">
      <c r="A630" s="103" t="s">
        <v>295</v>
      </c>
      <c r="B630" s="104"/>
      <c r="C630" s="104"/>
      <c r="D630" s="104"/>
      <c r="E630" s="103" t="s">
        <v>510</v>
      </c>
      <c r="F630" s="104"/>
      <c r="G630" s="104"/>
      <c r="H630" s="104"/>
      <c r="I630" s="104"/>
      <c r="J630" s="105">
        <f>SUMIFS($I$629:$I$629,$C$629:$C$629,"AMBELE")+SUMIFS($I$629:$I$629,$C$629:$C$629,"INSTORE")</f>
        <v>6.7410100000000002</v>
      </c>
      <c r="K630" s="105">
        <f>SUMIFS($I$629:$I$629,$C$629:$C$629,"AMBELE")+SUMIFS($I$629:$I$629,$C$629:$C$629,"DELIVERY")</f>
        <v>6.7410100000000002</v>
      </c>
    </row>
    <row r="631" spans="1:11" x14ac:dyDescent="0.2">
      <c r="A631" s="26" t="s">
        <v>318</v>
      </c>
      <c r="B631" s="26" t="s">
        <v>795</v>
      </c>
      <c r="C631" s="26" t="s">
        <v>506</v>
      </c>
      <c r="D631" s="26" t="s">
        <v>562</v>
      </c>
      <c r="E631" s="26" t="s">
        <v>563</v>
      </c>
      <c r="F631" s="101">
        <v>1</v>
      </c>
      <c r="G631" s="26" t="s">
        <v>509</v>
      </c>
      <c r="H631" s="102">
        <f>IFERROR(VLOOKUP($D631,NOMENCLATOR!$A:$F,6,FALSE()),"")*IF(OR($G631="g",$G631="ml"),0.001,1)</f>
        <v>1.1499999999999999</v>
      </c>
      <c r="I631" s="102">
        <f t="shared" ref="I631:I637" si="34">IFERROR($F631*$H631,"")</f>
        <v>1.1499999999999999</v>
      </c>
    </row>
    <row r="632" spans="1:11" x14ac:dyDescent="0.2">
      <c r="A632" s="26" t="s">
        <v>318</v>
      </c>
      <c r="B632" s="26" t="s">
        <v>795</v>
      </c>
      <c r="C632" s="26" t="s">
        <v>506</v>
      </c>
      <c r="D632" s="26" t="s">
        <v>550</v>
      </c>
      <c r="E632" s="26" t="s">
        <v>551</v>
      </c>
      <c r="F632" s="101">
        <v>1</v>
      </c>
      <c r="G632" s="26" t="s">
        <v>509</v>
      </c>
      <c r="H632" s="102">
        <f>IFERROR(VLOOKUP($D632,NOMENCLATOR!$A:$F,6,FALSE()),"")*IF(OR($G632="g",$G632="ml"),0.001,1)</f>
        <v>2.36</v>
      </c>
      <c r="I632" s="102">
        <f t="shared" si="34"/>
        <v>2.36</v>
      </c>
    </row>
    <row r="633" spans="1:11" x14ac:dyDescent="0.2">
      <c r="A633" s="26" t="s">
        <v>318</v>
      </c>
      <c r="B633" s="26" t="s">
        <v>795</v>
      </c>
      <c r="C633" s="26" t="s">
        <v>506</v>
      </c>
      <c r="D633" s="26" t="s">
        <v>673</v>
      </c>
      <c r="E633" s="26" t="s">
        <v>674</v>
      </c>
      <c r="F633" s="101">
        <v>50</v>
      </c>
      <c r="G633" s="26" t="s">
        <v>529</v>
      </c>
      <c r="H633" s="102">
        <f>IFERROR(VLOOKUP($D633,NOMENCLATOR!$A:$F,6,FALSE()),"")*IF(OR($G633="g",$G633="ml"),0.001,1)</f>
        <v>1.8940000000000002E-2</v>
      </c>
      <c r="I633" s="102">
        <f t="shared" si="34"/>
        <v>0.94700000000000006</v>
      </c>
    </row>
    <row r="634" spans="1:11" x14ac:dyDescent="0.2">
      <c r="A634" s="26" t="s">
        <v>318</v>
      </c>
      <c r="B634" s="26" t="s">
        <v>795</v>
      </c>
      <c r="C634" s="26" t="s">
        <v>506</v>
      </c>
      <c r="D634" s="26" t="s">
        <v>675</v>
      </c>
      <c r="E634" s="26" t="s">
        <v>676</v>
      </c>
      <c r="F634" s="101">
        <v>10</v>
      </c>
      <c r="G634" s="26" t="s">
        <v>529</v>
      </c>
      <c r="H634" s="102">
        <f>IFERROR(VLOOKUP($D634,NOMENCLATOR!$A:$F,6,FALSE()),"")*IF(OR($G634="g",$G634="ml"),0.001,1)</f>
        <v>2.6133800000000002E-2</v>
      </c>
      <c r="I634" s="102">
        <f t="shared" si="34"/>
        <v>0.26133800000000001</v>
      </c>
    </row>
    <row r="635" spans="1:11" x14ac:dyDescent="0.2">
      <c r="A635" s="26" t="s">
        <v>318</v>
      </c>
      <c r="B635" s="26" t="s">
        <v>795</v>
      </c>
      <c r="C635" s="26" t="s">
        <v>506</v>
      </c>
      <c r="D635" s="26" t="s">
        <v>634</v>
      </c>
      <c r="E635" s="26" t="s">
        <v>635</v>
      </c>
      <c r="F635" s="101">
        <v>5.6</v>
      </c>
      <c r="G635" s="26" t="s">
        <v>529</v>
      </c>
      <c r="H635" s="102">
        <f>IFERROR(VLOOKUP($D635,NOMENCLATOR!$A:$F,6,FALSE()),"")*IF(OR($G635="g",$G635="ml"),0.001,1)</f>
        <v>1.554E-2</v>
      </c>
      <c r="I635" s="102">
        <f t="shared" si="34"/>
        <v>8.702399999999999E-2</v>
      </c>
    </row>
    <row r="636" spans="1:11" x14ac:dyDescent="0.2">
      <c r="A636" s="26" t="s">
        <v>318</v>
      </c>
      <c r="B636" s="26" t="s">
        <v>795</v>
      </c>
      <c r="C636" s="26" t="s">
        <v>506</v>
      </c>
      <c r="D636" s="26" t="s">
        <v>560</v>
      </c>
      <c r="E636" s="26" t="s">
        <v>561</v>
      </c>
      <c r="F636" s="101">
        <v>1</v>
      </c>
      <c r="G636" s="26" t="s">
        <v>509</v>
      </c>
      <c r="H636" s="102">
        <f>IFERROR(VLOOKUP($D636,NOMENCLATOR!$A:$F,6,FALSE()),"")*IF(OR($G636="g",$G636="ml"),0.001,1)</f>
        <v>0.106</v>
      </c>
      <c r="I636" s="102">
        <f t="shared" si="34"/>
        <v>0.106</v>
      </c>
    </row>
    <row r="637" spans="1:11" x14ac:dyDescent="0.2">
      <c r="A637" s="26" t="s">
        <v>318</v>
      </c>
      <c r="B637" s="26" t="s">
        <v>795</v>
      </c>
      <c r="C637" s="26" t="s">
        <v>506</v>
      </c>
      <c r="D637" s="26" t="s">
        <v>786</v>
      </c>
      <c r="E637" s="26" t="s">
        <v>787</v>
      </c>
      <c r="F637" s="101">
        <v>1</v>
      </c>
      <c r="G637" s="26" t="s">
        <v>509</v>
      </c>
      <c r="H637" s="102">
        <f>IFERROR(VLOOKUP($D637,NOMENCLATOR!$A:$F,6,FALSE()),"")*IF(OR($G637="g",$G637="ml"),0.001,1)</f>
        <v>98.51</v>
      </c>
      <c r="I637" s="102">
        <f t="shared" si="34"/>
        <v>98.51</v>
      </c>
    </row>
    <row r="638" spans="1:11" x14ac:dyDescent="0.2">
      <c r="A638" s="103" t="s">
        <v>318</v>
      </c>
      <c r="B638" s="104"/>
      <c r="C638" s="104"/>
      <c r="D638" s="104"/>
      <c r="E638" s="103" t="s">
        <v>510</v>
      </c>
      <c r="F638" s="104"/>
      <c r="G638" s="104"/>
      <c r="H638" s="104"/>
      <c r="I638" s="104"/>
      <c r="J638" s="105">
        <f>SUMIFS($I$631:$I$637,$C$631:$C$637,"AMBELE")+SUMIFS($I$631:$I$637,$C$631:$C$637,"INSTORE")</f>
        <v>103.421362</v>
      </c>
      <c r="K638" s="105">
        <f>SUMIFS($I$631:$I$637,$C$631:$C$637,"AMBELE")+SUMIFS($I$631:$I$637,$C$631:$C$637,"DELIVERY")</f>
        <v>103.421362</v>
      </c>
    </row>
    <row r="639" spans="1:11" x14ac:dyDescent="0.2">
      <c r="A639" s="26" t="s">
        <v>181</v>
      </c>
      <c r="B639" s="26" t="s">
        <v>107</v>
      </c>
      <c r="C639" s="26" t="s">
        <v>506</v>
      </c>
      <c r="D639" s="26" t="s">
        <v>796</v>
      </c>
      <c r="E639" s="26" t="s">
        <v>797</v>
      </c>
      <c r="F639" s="101">
        <v>7</v>
      </c>
      <c r="G639" s="26" t="s">
        <v>509</v>
      </c>
      <c r="H639" s="102">
        <f>IFERROR(VLOOKUP($D639,NOMENCLATOR!$A:$F,6,FALSE()),"")*IF(OR($G639="g",$G639="ml"),0.001,1)</f>
        <v>0.76285999999999998</v>
      </c>
      <c r="I639" s="102">
        <f>IFERROR($F639*$H639,"")</f>
        <v>5.34002</v>
      </c>
    </row>
    <row r="640" spans="1:11" x14ac:dyDescent="0.2">
      <c r="A640" s="26" t="s">
        <v>181</v>
      </c>
      <c r="B640" s="26" t="s">
        <v>107</v>
      </c>
      <c r="C640" s="26" t="s">
        <v>506</v>
      </c>
      <c r="D640" s="26" t="s">
        <v>513</v>
      </c>
      <c r="E640" s="26" t="s">
        <v>492</v>
      </c>
      <c r="F640" s="101">
        <v>21</v>
      </c>
      <c r="G640" s="26" t="s">
        <v>514</v>
      </c>
      <c r="H640" s="102">
        <f>IFERROR(VLOOKUP($D640,NOMENCLATOR!$A:$F,6,FALSE()),"")*IF(OR($G640="g",$G640="ml"),0.001,1)</f>
        <v>1.6897059999999998E-2</v>
      </c>
      <c r="I640" s="102">
        <f>IFERROR($F640*$H640,"")</f>
        <v>0.35483825999999996</v>
      </c>
    </row>
    <row r="641" spans="1:11" x14ac:dyDescent="0.2">
      <c r="A641" s="26" t="s">
        <v>181</v>
      </c>
      <c r="B641" s="26" t="s">
        <v>107</v>
      </c>
      <c r="C641" s="26" t="s">
        <v>506</v>
      </c>
      <c r="D641" s="26" t="s">
        <v>525</v>
      </c>
      <c r="E641" s="26" t="s">
        <v>526</v>
      </c>
      <c r="F641" s="101">
        <v>1</v>
      </c>
      <c r="G641" s="26" t="s">
        <v>509</v>
      </c>
      <c r="H641" s="102">
        <f>IFERROR(VLOOKUP($D641,NOMENCLATOR!$A:$F,6,FALSE()),"")*IF(OR($G641="g",$G641="ml"),0.001,1)</f>
        <v>0.127</v>
      </c>
      <c r="I641" s="102">
        <f>IFERROR($F641*$H641,"")</f>
        <v>0.127</v>
      </c>
    </row>
    <row r="642" spans="1:11" x14ac:dyDescent="0.2">
      <c r="A642" s="103" t="s">
        <v>181</v>
      </c>
      <c r="B642" s="104"/>
      <c r="C642" s="104"/>
      <c r="D642" s="104"/>
      <c r="E642" s="103" t="s">
        <v>510</v>
      </c>
      <c r="F642" s="104"/>
      <c r="G642" s="104"/>
      <c r="H642" s="104"/>
      <c r="I642" s="104"/>
      <c r="J642" s="105">
        <f>SUMIFS($I$639:$I$641,$C$639:$C$641,"AMBELE")+SUMIFS($I$639:$I$641,$C$639:$C$641,"INSTORE")</f>
        <v>5.82185826</v>
      </c>
      <c r="K642" s="105">
        <f>SUMIFS($I$639:$I$641,$C$639:$C$641,"AMBELE")+SUMIFS($I$639:$I$641,$C$639:$C$641,"DELIVERY")</f>
        <v>5.82185826</v>
      </c>
    </row>
    <row r="643" spans="1:11" x14ac:dyDescent="0.2">
      <c r="A643" s="26" t="s">
        <v>301</v>
      </c>
      <c r="B643" s="26" t="s">
        <v>104</v>
      </c>
      <c r="C643" s="26" t="s">
        <v>539</v>
      </c>
      <c r="D643" s="26" t="s">
        <v>798</v>
      </c>
      <c r="E643" s="26" t="s">
        <v>799</v>
      </c>
      <c r="F643" s="101">
        <v>1</v>
      </c>
      <c r="G643" s="26" t="s">
        <v>509</v>
      </c>
      <c r="H643" s="102">
        <f>IFERROR(VLOOKUP($D643,NOMENCLATOR!$A:$F,6,FALSE()),"")*IF(OR($G643="g",$G643="ml"),0.001,1)</f>
        <v>11.38799</v>
      </c>
      <c r="I643" s="102">
        <f>IFERROR($F643*$H643,"")</f>
        <v>11.38799</v>
      </c>
    </row>
    <row r="644" spans="1:11" x14ac:dyDescent="0.2">
      <c r="A644" s="26" t="s">
        <v>301</v>
      </c>
      <c r="B644" s="26" t="s">
        <v>104</v>
      </c>
      <c r="C644" s="26" t="s">
        <v>539</v>
      </c>
      <c r="D644" s="26" t="s">
        <v>645</v>
      </c>
      <c r="E644" s="26" t="s">
        <v>646</v>
      </c>
      <c r="F644" s="101">
        <v>1</v>
      </c>
      <c r="G644" s="26" t="s">
        <v>509</v>
      </c>
      <c r="H644" s="102">
        <f>IFERROR(VLOOKUP($D644,NOMENCLATOR!$A:$F,6,FALSE()),"")*IF(OR($G644="g",$G644="ml"),0.001,1)</f>
        <v>0.27</v>
      </c>
      <c r="I644" s="102">
        <f>IFERROR($F644*$H644,"")</f>
        <v>0.27</v>
      </c>
    </row>
    <row r="645" spans="1:11" x14ac:dyDescent="0.2">
      <c r="A645" s="103" t="s">
        <v>301</v>
      </c>
      <c r="B645" s="104"/>
      <c r="C645" s="104"/>
      <c r="D645" s="104"/>
      <c r="E645" s="103" t="s">
        <v>510</v>
      </c>
      <c r="F645" s="104"/>
      <c r="G645" s="104"/>
      <c r="H645" s="104"/>
      <c r="I645" s="104"/>
      <c r="J645" s="105">
        <f>SUMIFS($I$643:$I$644,$C$643:$C$644,"AMBELE")+SUMIFS($I$643:$I$644,$C$643:$C$644,"INSTORE")</f>
        <v>11.65799</v>
      </c>
      <c r="K645" s="105">
        <f>SUMIFS($I$643:$I$644,$C$643:$C$644,"AMBELE")+SUMIFS($I$643:$I$644,$C$643:$C$644,"DELIVERY")</f>
        <v>0</v>
      </c>
    </row>
    <row r="646" spans="1:11" x14ac:dyDescent="0.2">
      <c r="A646" s="26" t="s">
        <v>455</v>
      </c>
      <c r="B646" s="26" t="s">
        <v>535</v>
      </c>
      <c r="C646" s="26" t="s">
        <v>539</v>
      </c>
      <c r="D646" s="26" t="s">
        <v>800</v>
      </c>
      <c r="E646" s="26" t="s">
        <v>801</v>
      </c>
      <c r="F646" s="101">
        <v>1</v>
      </c>
      <c r="G646" s="26" t="s">
        <v>509</v>
      </c>
      <c r="H646" s="102">
        <f>IFERROR(VLOOKUP($D646,NOMENCLATOR!$A:$F,6,FALSE()),"")*IF(OR($G646="g",$G646="ml"),0.001,1)</f>
        <v>3.1480000000000001</v>
      </c>
      <c r="I646" s="102">
        <f>IFERROR($F646*$H646,"")</f>
        <v>3.1480000000000001</v>
      </c>
    </row>
    <row r="647" spans="1:11" x14ac:dyDescent="0.2">
      <c r="A647" s="26" t="s">
        <v>455</v>
      </c>
      <c r="B647" s="26" t="s">
        <v>535</v>
      </c>
      <c r="C647" s="26" t="s">
        <v>506</v>
      </c>
      <c r="D647" s="26" t="s">
        <v>802</v>
      </c>
      <c r="E647" s="26" t="s">
        <v>803</v>
      </c>
      <c r="F647" s="101">
        <v>40</v>
      </c>
      <c r="G647" s="26" t="s">
        <v>529</v>
      </c>
      <c r="H647" s="102">
        <f>IFERROR(VLOOKUP($D647,NOMENCLATOR!$A:$F,6,FALSE()),"")*IF(OR($G647="g",$G647="ml"),0.001,1)</f>
        <v>1.8661940000000002E-2</v>
      </c>
      <c r="I647" s="102">
        <f>IFERROR($F647*$H647,"")</f>
        <v>0.74647760000000007</v>
      </c>
    </row>
    <row r="648" spans="1:11" x14ac:dyDescent="0.2">
      <c r="A648" s="26" t="s">
        <v>455</v>
      </c>
      <c r="B648" s="26" t="s">
        <v>535</v>
      </c>
      <c r="C648" s="26" t="s">
        <v>657</v>
      </c>
      <c r="D648" s="26" t="s">
        <v>804</v>
      </c>
      <c r="E648" s="26" t="s">
        <v>805</v>
      </c>
      <c r="F648" s="101">
        <v>1</v>
      </c>
      <c r="G648" s="26" t="s">
        <v>509</v>
      </c>
      <c r="H648" s="102">
        <f>IFERROR(VLOOKUP($D648,NOMENCLATOR!$A:$F,6,FALSE()),"")*IF(OR($G648="g",$G648="ml"),0.001,1)</f>
        <v>5.2489999999999997</v>
      </c>
      <c r="I648" s="102">
        <f>IFERROR($F648*$H648,"")</f>
        <v>5.2489999999999997</v>
      </c>
    </row>
    <row r="649" spans="1:11" x14ac:dyDescent="0.2">
      <c r="A649" s="103" t="s">
        <v>455</v>
      </c>
      <c r="B649" s="104"/>
      <c r="C649" s="104"/>
      <c r="D649" s="104"/>
      <c r="E649" s="103" t="s">
        <v>510</v>
      </c>
      <c r="F649" s="104"/>
      <c r="G649" s="104"/>
      <c r="H649" s="104"/>
      <c r="I649" s="104"/>
      <c r="J649" s="105">
        <f>SUMIFS($I$646:$I$648,$C$646:$C$648,"AMBELE")+SUMIFS($I$646:$I$648,$C$646:$C$648,"INSTORE")</f>
        <v>3.8944776000000001</v>
      </c>
      <c r="K649" s="105">
        <f>SUMIFS($I$646:$I$648,$C$646:$C$648,"AMBELE")+SUMIFS($I$646:$I$648,$C$646:$C$648,"DELIVERY")</f>
        <v>5.9954776000000001</v>
      </c>
    </row>
    <row r="650" spans="1:11" x14ac:dyDescent="0.2">
      <c r="A650" s="26" t="s">
        <v>452</v>
      </c>
      <c r="B650" s="26" t="s">
        <v>535</v>
      </c>
      <c r="C650" s="26" t="s">
        <v>506</v>
      </c>
      <c r="D650" s="26" t="s">
        <v>806</v>
      </c>
      <c r="E650" s="26" t="s">
        <v>807</v>
      </c>
      <c r="F650" s="101">
        <v>1</v>
      </c>
      <c r="G650" s="26" t="s">
        <v>509</v>
      </c>
      <c r="H650" s="102">
        <f>IFERROR(VLOOKUP($D650,NOMENCLATOR!$A:$F,6,FALSE()),"")*IF(OR($G650="g",$G650="ml"),0.001,1)</f>
        <v>5.1509999999999998</v>
      </c>
      <c r="I650" s="102">
        <f>IFERROR($F650*$H650,"")</f>
        <v>5.1509999999999998</v>
      </c>
    </row>
    <row r="651" spans="1:11" x14ac:dyDescent="0.2">
      <c r="A651" s="26" t="s">
        <v>452</v>
      </c>
      <c r="B651" s="26" t="s">
        <v>535</v>
      </c>
      <c r="C651" s="26" t="s">
        <v>539</v>
      </c>
      <c r="D651" s="26" t="s">
        <v>802</v>
      </c>
      <c r="E651" s="26" t="s">
        <v>803</v>
      </c>
      <c r="F651" s="101">
        <v>80</v>
      </c>
      <c r="G651" s="26" t="s">
        <v>529</v>
      </c>
      <c r="H651" s="102">
        <f>IFERROR(VLOOKUP($D651,NOMENCLATOR!$A:$F,6,FALSE()),"")*IF(OR($G651="g",$G651="ml"),0.001,1)</f>
        <v>1.8661940000000002E-2</v>
      </c>
      <c r="I651" s="102">
        <f>IFERROR($F651*$H651,"")</f>
        <v>1.4929552000000001</v>
      </c>
    </row>
    <row r="652" spans="1:11" x14ac:dyDescent="0.2">
      <c r="A652" s="26" t="s">
        <v>452</v>
      </c>
      <c r="B652" s="26" t="s">
        <v>535</v>
      </c>
      <c r="C652" s="26" t="s">
        <v>657</v>
      </c>
      <c r="D652" s="26" t="s">
        <v>802</v>
      </c>
      <c r="E652" s="26" t="s">
        <v>803</v>
      </c>
      <c r="F652" s="101">
        <v>40</v>
      </c>
      <c r="G652" s="26" t="s">
        <v>529</v>
      </c>
      <c r="H652" s="102">
        <f>IFERROR(VLOOKUP($D652,NOMENCLATOR!$A:$F,6,FALSE()),"")*IF(OR($G652="g",$G652="ml"),0.001,1)</f>
        <v>1.8661940000000002E-2</v>
      </c>
      <c r="I652" s="102">
        <f>IFERROR($F652*$H652,"")</f>
        <v>0.74647760000000007</v>
      </c>
    </row>
    <row r="653" spans="1:11" x14ac:dyDescent="0.2">
      <c r="A653" s="103" t="s">
        <v>452</v>
      </c>
      <c r="B653" s="104"/>
      <c r="C653" s="104"/>
      <c r="D653" s="104"/>
      <c r="E653" s="103" t="s">
        <v>510</v>
      </c>
      <c r="F653" s="104"/>
      <c r="G653" s="104"/>
      <c r="H653" s="104"/>
      <c r="I653" s="104"/>
      <c r="J653" s="105">
        <f>SUMIFS($I$650:$I$652,$C$650:$C$652,"AMBELE")+SUMIFS($I$650:$I$652,$C$650:$C$652,"INSTORE")</f>
        <v>6.6439551999999997</v>
      </c>
      <c r="K653" s="105">
        <f>SUMIFS($I$650:$I$652,$C$650:$C$652,"AMBELE")+SUMIFS($I$650:$I$652,$C$650:$C$652,"DELIVERY")</f>
        <v>5.8974776000000002</v>
      </c>
    </row>
    <row r="654" spans="1:11" x14ac:dyDescent="0.2">
      <c r="A654" s="26" t="s">
        <v>449</v>
      </c>
      <c r="B654" s="26" t="s">
        <v>535</v>
      </c>
      <c r="C654" s="26" t="s">
        <v>539</v>
      </c>
      <c r="D654" s="26" t="s">
        <v>800</v>
      </c>
      <c r="E654" s="26" t="s">
        <v>801</v>
      </c>
      <c r="F654" s="101">
        <v>1</v>
      </c>
      <c r="G654" s="26" t="s">
        <v>509</v>
      </c>
      <c r="H654" s="102">
        <f>IFERROR(VLOOKUP($D654,NOMENCLATOR!$A:$F,6,FALSE()),"")*IF(OR($G654="g",$G654="ml"),0.001,1)</f>
        <v>3.1480000000000001</v>
      </c>
      <c r="I654" s="102">
        <f>IFERROR($F654*$H654,"")</f>
        <v>3.1480000000000001</v>
      </c>
    </row>
    <row r="655" spans="1:11" x14ac:dyDescent="0.2">
      <c r="A655" s="26" t="s">
        <v>449</v>
      </c>
      <c r="B655" s="26" t="s">
        <v>535</v>
      </c>
      <c r="C655" s="26" t="s">
        <v>506</v>
      </c>
      <c r="D655" s="26" t="s">
        <v>808</v>
      </c>
      <c r="E655" s="26" t="s">
        <v>809</v>
      </c>
      <c r="F655" s="101">
        <v>15</v>
      </c>
      <c r="G655" s="26" t="s">
        <v>514</v>
      </c>
      <c r="H655" s="102">
        <f>IFERROR(VLOOKUP($D655,NOMENCLATOR!$A:$F,6,FALSE()),"")*IF(OR($G655="g",$G655="ml"),0.001,1)</f>
        <v>8.7470000000000006E-2</v>
      </c>
      <c r="I655" s="102">
        <f>IFERROR($F655*$H655,"")</f>
        <v>1.3120500000000002</v>
      </c>
    </row>
    <row r="656" spans="1:11" x14ac:dyDescent="0.2">
      <c r="A656" s="26" t="s">
        <v>449</v>
      </c>
      <c r="B656" s="26" t="s">
        <v>535</v>
      </c>
      <c r="C656" s="26" t="s">
        <v>657</v>
      </c>
      <c r="D656" s="26" t="s">
        <v>804</v>
      </c>
      <c r="E656" s="26" t="s">
        <v>805</v>
      </c>
      <c r="F656" s="101">
        <v>1</v>
      </c>
      <c r="G656" s="26" t="s">
        <v>509</v>
      </c>
      <c r="H656" s="102">
        <f>IFERROR(VLOOKUP($D656,NOMENCLATOR!$A:$F,6,FALSE()),"")*IF(OR($G656="g",$G656="ml"),0.001,1)</f>
        <v>5.2489999999999997</v>
      </c>
      <c r="I656" s="102">
        <f>IFERROR($F656*$H656,"")</f>
        <v>5.2489999999999997</v>
      </c>
    </row>
    <row r="657" spans="1:11" x14ac:dyDescent="0.2">
      <c r="A657" s="103" t="s">
        <v>449</v>
      </c>
      <c r="B657" s="104"/>
      <c r="C657" s="104"/>
      <c r="D657" s="104"/>
      <c r="E657" s="103" t="s">
        <v>510</v>
      </c>
      <c r="F657" s="104"/>
      <c r="G657" s="104"/>
      <c r="H657" s="104"/>
      <c r="I657" s="104"/>
      <c r="J657" s="105">
        <f>SUMIFS($I$654:$I$656,$C$654:$C$656,"AMBELE")+SUMIFS($I$654:$I$656,$C$654:$C$656,"INSTORE")</f>
        <v>4.4600500000000007</v>
      </c>
      <c r="K657" s="105">
        <f>SUMIFS($I$654:$I$656,$C$654:$C$656,"AMBELE")+SUMIFS($I$654:$I$656,$C$654:$C$656,"DELIVERY")</f>
        <v>6.5610499999999998</v>
      </c>
    </row>
    <row r="658" spans="1:11" x14ac:dyDescent="0.2">
      <c r="A658" s="26" t="s">
        <v>447</v>
      </c>
      <c r="B658" s="26" t="s">
        <v>535</v>
      </c>
      <c r="C658" s="26" t="s">
        <v>506</v>
      </c>
      <c r="D658" s="26" t="s">
        <v>806</v>
      </c>
      <c r="E658" s="26" t="s">
        <v>807</v>
      </c>
      <c r="F658" s="101">
        <v>1</v>
      </c>
      <c r="G658" s="26" t="s">
        <v>509</v>
      </c>
      <c r="H658" s="102">
        <f>IFERROR(VLOOKUP($D658,NOMENCLATOR!$A:$F,6,FALSE()),"")*IF(OR($G658="g",$G658="ml"),0.001,1)</f>
        <v>5.1509999999999998</v>
      </c>
      <c r="I658" s="102">
        <f>IFERROR($F658*$H658,"")</f>
        <v>5.1509999999999998</v>
      </c>
    </row>
    <row r="659" spans="1:11" x14ac:dyDescent="0.2">
      <c r="A659" s="26" t="s">
        <v>447</v>
      </c>
      <c r="B659" s="26" t="s">
        <v>535</v>
      </c>
      <c r="C659" s="26" t="s">
        <v>506</v>
      </c>
      <c r="D659" s="26" t="s">
        <v>808</v>
      </c>
      <c r="E659" s="26" t="s">
        <v>809</v>
      </c>
      <c r="F659" s="101">
        <v>15</v>
      </c>
      <c r="G659" s="26" t="s">
        <v>514</v>
      </c>
      <c r="H659" s="102">
        <f>IFERROR(VLOOKUP($D659,NOMENCLATOR!$A:$F,6,FALSE()),"")*IF(OR($G659="g",$G659="ml"),0.001,1)</f>
        <v>8.7470000000000006E-2</v>
      </c>
      <c r="I659" s="102">
        <f>IFERROR($F659*$H659,"")</f>
        <v>1.3120500000000002</v>
      </c>
    </row>
    <row r="660" spans="1:11" x14ac:dyDescent="0.2">
      <c r="A660" s="103" t="s">
        <v>447</v>
      </c>
      <c r="B660" s="104"/>
      <c r="C660" s="104"/>
      <c r="D660" s="104"/>
      <c r="E660" s="103" t="s">
        <v>510</v>
      </c>
      <c r="F660" s="104"/>
      <c r="G660" s="104"/>
      <c r="H660" s="104"/>
      <c r="I660" s="104"/>
      <c r="J660" s="105">
        <f>SUMIFS($I$658:$I$659,$C$658:$C$659,"AMBELE")+SUMIFS($I$658:$I$659,$C$658:$C$659,"INSTORE")</f>
        <v>6.46305</v>
      </c>
      <c r="K660" s="105">
        <f>SUMIFS($I$658:$I$659,$C$658:$C$659,"AMBELE")+SUMIFS($I$658:$I$659,$C$658:$C$659,"DELIVERY")</f>
        <v>6.46305</v>
      </c>
    </row>
    <row r="661" spans="1:11" x14ac:dyDescent="0.2">
      <c r="A661" s="26" t="s">
        <v>458</v>
      </c>
      <c r="B661" s="26" t="s">
        <v>535</v>
      </c>
      <c r="C661" s="26" t="s">
        <v>539</v>
      </c>
      <c r="D661" s="26" t="s">
        <v>800</v>
      </c>
      <c r="E661" s="26" t="s">
        <v>801</v>
      </c>
      <c r="F661" s="101">
        <v>1</v>
      </c>
      <c r="G661" s="26" t="s">
        <v>509</v>
      </c>
      <c r="H661" s="102">
        <f>IFERROR(VLOOKUP($D661,NOMENCLATOR!$A:$F,6,FALSE()),"")*IF(OR($G661="g",$G661="ml"),0.001,1)</f>
        <v>3.1480000000000001</v>
      </c>
      <c r="I661" s="102">
        <f>IFERROR($F661*$H661,"")</f>
        <v>3.1480000000000001</v>
      </c>
    </row>
    <row r="662" spans="1:11" x14ac:dyDescent="0.2">
      <c r="A662" s="26" t="s">
        <v>458</v>
      </c>
      <c r="B662" s="26" t="s">
        <v>535</v>
      </c>
      <c r="C662" s="26" t="s">
        <v>506</v>
      </c>
      <c r="D662" s="26" t="s">
        <v>810</v>
      </c>
      <c r="E662" s="26" t="s">
        <v>811</v>
      </c>
      <c r="F662" s="101">
        <v>30</v>
      </c>
      <c r="G662" s="26" t="s">
        <v>529</v>
      </c>
      <c r="H662" s="102">
        <f>IFERROR(VLOOKUP($D662,NOMENCLATOR!$A:$F,6,FALSE()),"")*IF(OR($G662="g",$G662="ml"),0.001,1)</f>
        <v>5.0320000000000004E-2</v>
      </c>
      <c r="I662" s="102">
        <f>IFERROR($F662*$H662,"")</f>
        <v>1.5096000000000001</v>
      </c>
    </row>
    <row r="663" spans="1:11" x14ac:dyDescent="0.2">
      <c r="A663" s="26" t="s">
        <v>458</v>
      </c>
      <c r="B663" s="26" t="s">
        <v>535</v>
      </c>
      <c r="C663" s="26" t="s">
        <v>657</v>
      </c>
      <c r="D663" s="26" t="s">
        <v>804</v>
      </c>
      <c r="E663" s="26" t="s">
        <v>805</v>
      </c>
      <c r="F663" s="101">
        <v>1</v>
      </c>
      <c r="G663" s="26" t="s">
        <v>509</v>
      </c>
      <c r="H663" s="102">
        <f>IFERROR(VLOOKUP($D663,NOMENCLATOR!$A:$F,6,FALSE()),"")*IF(OR($G663="g",$G663="ml"),0.001,1)</f>
        <v>5.2489999999999997</v>
      </c>
      <c r="I663" s="102">
        <f>IFERROR($F663*$H663,"")</f>
        <v>5.2489999999999997</v>
      </c>
    </row>
    <row r="664" spans="1:11" x14ac:dyDescent="0.2">
      <c r="A664" s="103" t="s">
        <v>458</v>
      </c>
      <c r="B664" s="104"/>
      <c r="C664" s="104"/>
      <c r="D664" s="104"/>
      <c r="E664" s="103" t="s">
        <v>510</v>
      </c>
      <c r="F664" s="104"/>
      <c r="G664" s="104"/>
      <c r="H664" s="104"/>
      <c r="I664" s="104"/>
      <c r="J664" s="105">
        <f>SUMIFS($I$661:$I$663,$C$661:$C$663,"AMBELE")+SUMIFS($I$661:$I$663,$C$661:$C$663,"INSTORE")</f>
        <v>4.6576000000000004</v>
      </c>
      <c r="K664" s="105">
        <f>SUMIFS($I$661:$I$663,$C$661:$C$663,"AMBELE")+SUMIFS($I$661:$I$663,$C$661:$C$663,"DELIVERY")</f>
        <v>6.7585999999999995</v>
      </c>
    </row>
    <row r="665" spans="1:11" x14ac:dyDescent="0.2">
      <c r="A665" s="26" t="s">
        <v>812</v>
      </c>
      <c r="B665" s="26" t="s">
        <v>535</v>
      </c>
      <c r="C665" s="26" t="s">
        <v>506</v>
      </c>
      <c r="D665" s="26" t="s">
        <v>806</v>
      </c>
      <c r="E665" s="26" t="s">
        <v>807</v>
      </c>
      <c r="F665" s="101">
        <v>1</v>
      </c>
      <c r="G665" s="26" t="s">
        <v>509</v>
      </c>
      <c r="H665" s="102">
        <f>IFERROR(VLOOKUP($D665,NOMENCLATOR!$A:$F,6,FALSE()),"")*IF(OR($G665="g",$G665="ml"),0.001,1)</f>
        <v>5.1509999999999998</v>
      </c>
      <c r="I665" s="102">
        <f>IFERROR($F665*$H665,"")</f>
        <v>5.1509999999999998</v>
      </c>
    </row>
    <row r="666" spans="1:11" x14ac:dyDescent="0.2">
      <c r="A666" s="26" t="s">
        <v>812</v>
      </c>
      <c r="B666" s="26" t="s">
        <v>535</v>
      </c>
      <c r="C666" s="26" t="s">
        <v>506</v>
      </c>
      <c r="D666" s="26" t="s">
        <v>810</v>
      </c>
      <c r="E666" s="26" t="s">
        <v>811</v>
      </c>
      <c r="F666" s="101">
        <v>30</v>
      </c>
      <c r="G666" s="26" t="s">
        <v>529</v>
      </c>
      <c r="H666" s="102">
        <f>IFERROR(VLOOKUP($D666,NOMENCLATOR!$A:$F,6,FALSE()),"")*IF(OR($G666="g",$G666="ml"),0.001,1)</f>
        <v>5.0320000000000004E-2</v>
      </c>
      <c r="I666" s="102">
        <f>IFERROR($F666*$H666,"")</f>
        <v>1.5096000000000001</v>
      </c>
    </row>
    <row r="667" spans="1:11" x14ac:dyDescent="0.2">
      <c r="A667" s="103" t="s">
        <v>812</v>
      </c>
      <c r="B667" s="104"/>
      <c r="C667" s="104"/>
      <c r="D667" s="104"/>
      <c r="E667" s="103" t="s">
        <v>510</v>
      </c>
      <c r="F667" s="104"/>
      <c r="G667" s="104"/>
      <c r="H667" s="104"/>
      <c r="I667" s="104"/>
      <c r="J667" s="105">
        <f>SUMIFS($I$665:$I$666,$C$665:$C$666,"AMBELE")+SUMIFS($I$665:$I$666,$C$665:$C$666,"INSTORE")</f>
        <v>6.6605999999999996</v>
      </c>
      <c r="K667" s="105">
        <f>SUMIFS($I$665:$I$666,$C$665:$C$666,"AMBELE")+SUMIFS($I$665:$I$666,$C$665:$C$666,"DELIVERY")</f>
        <v>6.6605999999999996</v>
      </c>
    </row>
    <row r="668" spans="1:11" x14ac:dyDescent="0.2">
      <c r="A668" s="26" t="s">
        <v>446</v>
      </c>
      <c r="B668" s="26" t="s">
        <v>535</v>
      </c>
      <c r="C668" s="26" t="s">
        <v>539</v>
      </c>
      <c r="D668" s="26" t="s">
        <v>800</v>
      </c>
      <c r="E668" s="26" t="s">
        <v>801</v>
      </c>
      <c r="F668" s="101">
        <v>1</v>
      </c>
      <c r="G668" s="26" t="s">
        <v>509</v>
      </c>
      <c r="H668" s="102">
        <f>IFERROR(VLOOKUP($D668,NOMENCLATOR!$A:$F,6,FALSE()),"")*IF(OR($G668="g",$G668="ml"),0.001,1)</f>
        <v>3.1480000000000001</v>
      </c>
      <c r="I668" s="102">
        <f>IFERROR($F668*$H668,"")</f>
        <v>3.1480000000000001</v>
      </c>
    </row>
    <row r="669" spans="1:11" x14ac:dyDescent="0.2">
      <c r="A669" s="26" t="s">
        <v>446</v>
      </c>
      <c r="B669" s="26" t="s">
        <v>535</v>
      </c>
      <c r="C669" s="26" t="s">
        <v>506</v>
      </c>
      <c r="D669" s="26" t="s">
        <v>813</v>
      </c>
      <c r="E669" s="26" t="s">
        <v>814</v>
      </c>
      <c r="F669" s="101">
        <v>15</v>
      </c>
      <c r="G669" s="26" t="s">
        <v>514</v>
      </c>
      <c r="H669" s="102">
        <f>IFERROR(VLOOKUP($D669,NOMENCLATOR!$A:$F,6,FALSE()),"")*IF(OR($G669="g",$G669="ml"),0.001,1)</f>
        <v>8.7470000000000006E-2</v>
      </c>
      <c r="I669" s="102">
        <f>IFERROR($F669*$H669,"")</f>
        <v>1.3120500000000002</v>
      </c>
    </row>
    <row r="670" spans="1:11" x14ac:dyDescent="0.2">
      <c r="A670" s="26" t="s">
        <v>446</v>
      </c>
      <c r="B670" s="26" t="s">
        <v>535</v>
      </c>
      <c r="C670" s="26" t="s">
        <v>657</v>
      </c>
      <c r="D670" s="26" t="s">
        <v>804</v>
      </c>
      <c r="E670" s="26" t="s">
        <v>805</v>
      </c>
      <c r="F670" s="101">
        <v>1</v>
      </c>
      <c r="G670" s="26" t="s">
        <v>509</v>
      </c>
      <c r="H670" s="102">
        <f>IFERROR(VLOOKUP($D670,NOMENCLATOR!$A:$F,6,FALSE()),"")*IF(OR($G670="g",$G670="ml"),0.001,1)</f>
        <v>5.2489999999999997</v>
      </c>
      <c r="I670" s="102">
        <f>IFERROR($F670*$H670,"")</f>
        <v>5.2489999999999997</v>
      </c>
    </row>
    <row r="671" spans="1:11" x14ac:dyDescent="0.2">
      <c r="A671" s="103" t="s">
        <v>446</v>
      </c>
      <c r="B671" s="104"/>
      <c r="C671" s="104"/>
      <c r="D671" s="104"/>
      <c r="E671" s="103" t="s">
        <v>510</v>
      </c>
      <c r="F671" s="104"/>
      <c r="G671" s="104"/>
      <c r="H671" s="104"/>
      <c r="I671" s="104"/>
      <c r="J671" s="105">
        <f>SUMIFS($I$668:$I$670,$C$668:$C$670,"AMBELE")+SUMIFS($I$668:$I$670,$C$668:$C$670,"INSTORE")</f>
        <v>4.4600500000000007</v>
      </c>
      <c r="K671" s="105">
        <f>SUMIFS($I$668:$I$670,$C$668:$C$670,"AMBELE")+SUMIFS($I$668:$I$670,$C$668:$C$670,"DELIVERY")</f>
        <v>6.5610499999999998</v>
      </c>
    </row>
    <row r="672" spans="1:11" x14ac:dyDescent="0.2">
      <c r="A672" s="26" t="s">
        <v>448</v>
      </c>
      <c r="B672" s="26" t="s">
        <v>535</v>
      </c>
      <c r="C672" s="26" t="s">
        <v>506</v>
      </c>
      <c r="D672" s="26" t="s">
        <v>806</v>
      </c>
      <c r="E672" s="26" t="s">
        <v>807</v>
      </c>
      <c r="F672" s="101">
        <v>1</v>
      </c>
      <c r="G672" s="26" t="s">
        <v>509</v>
      </c>
      <c r="H672" s="102">
        <f>IFERROR(VLOOKUP($D672,NOMENCLATOR!$A:$F,6,FALSE()),"")*IF(OR($G672="g",$G672="ml"),0.001,1)</f>
        <v>5.1509999999999998</v>
      </c>
      <c r="I672" s="102">
        <f>IFERROR($F672*$H672,"")</f>
        <v>5.1509999999999998</v>
      </c>
    </row>
    <row r="673" spans="1:11" x14ac:dyDescent="0.2">
      <c r="A673" s="26" t="s">
        <v>448</v>
      </c>
      <c r="B673" s="26" t="s">
        <v>535</v>
      </c>
      <c r="C673" s="26" t="s">
        <v>506</v>
      </c>
      <c r="D673" s="26" t="s">
        <v>813</v>
      </c>
      <c r="E673" s="26" t="s">
        <v>814</v>
      </c>
      <c r="F673" s="101">
        <v>15</v>
      </c>
      <c r="G673" s="26" t="s">
        <v>514</v>
      </c>
      <c r="H673" s="102">
        <f>IFERROR(VLOOKUP($D673,NOMENCLATOR!$A:$F,6,FALSE()),"")*IF(OR($G673="g",$G673="ml"),0.001,1)</f>
        <v>8.7470000000000006E-2</v>
      </c>
      <c r="I673" s="102">
        <f>IFERROR($F673*$H673,"")</f>
        <v>1.3120500000000002</v>
      </c>
    </row>
    <row r="674" spans="1:11" x14ac:dyDescent="0.2">
      <c r="A674" s="103" t="s">
        <v>448</v>
      </c>
      <c r="B674" s="104"/>
      <c r="C674" s="104"/>
      <c r="D674" s="104"/>
      <c r="E674" s="103" t="s">
        <v>510</v>
      </c>
      <c r="F674" s="104"/>
      <c r="G674" s="104"/>
      <c r="H674" s="104"/>
      <c r="I674" s="104"/>
      <c r="J674" s="105">
        <f>SUMIFS($I$672:$I$673,$C$672:$C$673,"AMBELE")+SUMIFS($I$672:$I$673,$C$672:$C$673,"INSTORE")</f>
        <v>6.46305</v>
      </c>
      <c r="K674" s="105">
        <f>SUMIFS($I$672:$I$673,$C$672:$C$673,"AMBELE")+SUMIFS($I$672:$I$673,$C$672:$C$673,"DELIVERY")</f>
        <v>6.46305</v>
      </c>
    </row>
    <row r="675" spans="1:11" x14ac:dyDescent="0.2">
      <c r="A675" s="26" t="s">
        <v>443</v>
      </c>
      <c r="B675" s="26" t="s">
        <v>535</v>
      </c>
      <c r="C675" s="26" t="s">
        <v>539</v>
      </c>
      <c r="D675" s="26" t="s">
        <v>800</v>
      </c>
      <c r="E675" s="26" t="s">
        <v>801</v>
      </c>
      <c r="F675" s="101">
        <v>1</v>
      </c>
      <c r="G675" s="26" t="s">
        <v>509</v>
      </c>
      <c r="H675" s="102">
        <f>IFERROR(VLOOKUP($D675,NOMENCLATOR!$A:$F,6,FALSE()),"")*IF(OR($G675="g",$G675="ml"),0.001,1)</f>
        <v>3.1480000000000001</v>
      </c>
      <c r="I675" s="102">
        <f>IFERROR($F675*$H675,"")</f>
        <v>3.1480000000000001</v>
      </c>
    </row>
    <row r="676" spans="1:11" x14ac:dyDescent="0.2">
      <c r="A676" s="26" t="s">
        <v>443</v>
      </c>
      <c r="B676" s="26" t="s">
        <v>535</v>
      </c>
      <c r="C676" s="26" t="s">
        <v>506</v>
      </c>
      <c r="D676" s="26" t="s">
        <v>536</v>
      </c>
      <c r="E676" s="26" t="s">
        <v>537</v>
      </c>
      <c r="F676" s="101">
        <v>25</v>
      </c>
      <c r="G676" s="26" t="s">
        <v>529</v>
      </c>
      <c r="H676" s="102">
        <f>IFERROR(VLOOKUP($D676,NOMENCLATOR!$A:$F,6,FALSE()),"")*IF(OR($G676="g",$G676="ml"),0.001,1)</f>
        <v>3.6645400000000002E-2</v>
      </c>
      <c r="I676" s="102">
        <f>IFERROR($F676*$H676,"")</f>
        <v>0.91613500000000003</v>
      </c>
    </row>
    <row r="677" spans="1:11" x14ac:dyDescent="0.2">
      <c r="A677" s="26" t="s">
        <v>443</v>
      </c>
      <c r="B677" s="26" t="s">
        <v>535</v>
      </c>
      <c r="C677" s="26" t="s">
        <v>657</v>
      </c>
      <c r="D677" s="26" t="s">
        <v>804</v>
      </c>
      <c r="E677" s="26" t="s">
        <v>805</v>
      </c>
      <c r="F677" s="101">
        <v>1</v>
      </c>
      <c r="G677" s="26" t="s">
        <v>509</v>
      </c>
      <c r="H677" s="102">
        <f>IFERROR(VLOOKUP($D677,NOMENCLATOR!$A:$F,6,FALSE()),"")*IF(OR($G677="g",$G677="ml"),0.001,1)</f>
        <v>5.2489999999999997</v>
      </c>
      <c r="I677" s="102">
        <f>IFERROR($F677*$H677,"")</f>
        <v>5.2489999999999997</v>
      </c>
    </row>
    <row r="678" spans="1:11" x14ac:dyDescent="0.2">
      <c r="A678" s="103" t="s">
        <v>443</v>
      </c>
      <c r="B678" s="104"/>
      <c r="C678" s="104"/>
      <c r="D678" s="104"/>
      <c r="E678" s="103" t="s">
        <v>510</v>
      </c>
      <c r="F678" s="104"/>
      <c r="G678" s="104"/>
      <c r="H678" s="104"/>
      <c r="I678" s="104"/>
      <c r="J678" s="105">
        <f>SUMIFS($I$675:$I$677,$C$675:$C$677,"AMBELE")+SUMIFS($I$675:$I$677,$C$675:$C$677,"INSTORE")</f>
        <v>4.0641350000000003</v>
      </c>
      <c r="K678" s="105">
        <f>SUMIFS($I$675:$I$677,$C$675:$C$677,"AMBELE")+SUMIFS($I$675:$I$677,$C$675:$C$677,"DELIVERY")</f>
        <v>6.1651349999999994</v>
      </c>
    </row>
    <row r="679" spans="1:11" x14ac:dyDescent="0.2">
      <c r="A679" s="26" t="s">
        <v>444</v>
      </c>
      <c r="B679" s="26" t="s">
        <v>535</v>
      </c>
      <c r="C679" s="26" t="s">
        <v>506</v>
      </c>
      <c r="D679" s="26" t="s">
        <v>806</v>
      </c>
      <c r="E679" s="26" t="s">
        <v>807</v>
      </c>
      <c r="F679" s="101">
        <v>1</v>
      </c>
      <c r="G679" s="26" t="s">
        <v>509</v>
      </c>
      <c r="H679" s="102">
        <f>IFERROR(VLOOKUP($D679,NOMENCLATOR!$A:$F,6,FALSE()),"")*IF(OR($G679="g",$G679="ml"),0.001,1)</f>
        <v>5.1509999999999998</v>
      </c>
      <c r="I679" s="102">
        <f>IFERROR($F679*$H679,"")</f>
        <v>5.1509999999999998</v>
      </c>
    </row>
    <row r="680" spans="1:11" x14ac:dyDescent="0.2">
      <c r="A680" s="26" t="s">
        <v>444</v>
      </c>
      <c r="B680" s="26" t="s">
        <v>535</v>
      </c>
      <c r="C680" s="26" t="s">
        <v>506</v>
      </c>
      <c r="D680" s="26" t="s">
        <v>536</v>
      </c>
      <c r="E680" s="26" t="s">
        <v>537</v>
      </c>
      <c r="F680" s="101">
        <v>25</v>
      </c>
      <c r="G680" s="26" t="s">
        <v>529</v>
      </c>
      <c r="H680" s="102">
        <f>IFERROR(VLOOKUP($D680,NOMENCLATOR!$A:$F,6,FALSE()),"")*IF(OR($G680="g",$G680="ml"),0.001,1)</f>
        <v>3.6645400000000002E-2</v>
      </c>
      <c r="I680" s="102">
        <f>IFERROR($F680*$H680,"")</f>
        <v>0.91613500000000003</v>
      </c>
    </row>
    <row r="681" spans="1:11" x14ac:dyDescent="0.2">
      <c r="A681" s="103" t="s">
        <v>444</v>
      </c>
      <c r="B681" s="104"/>
      <c r="C681" s="104"/>
      <c r="D681" s="104"/>
      <c r="E681" s="103" t="s">
        <v>510</v>
      </c>
      <c r="F681" s="104"/>
      <c r="G681" s="104"/>
      <c r="H681" s="104"/>
      <c r="I681" s="104"/>
      <c r="J681" s="105">
        <f>SUMIFS($I$679:$I$680,$C$679:$C$680,"AMBELE")+SUMIFS($I$679:$I$680,$C$679:$C$680,"INSTORE")</f>
        <v>6.0671349999999995</v>
      </c>
      <c r="K681" s="105">
        <f>SUMIFS($I$679:$I$680,$C$679:$C$680,"AMBELE")+SUMIFS($I$679:$I$680,$C$679:$C$680,"DELIVERY")</f>
        <v>6.0671349999999995</v>
      </c>
    </row>
    <row r="682" spans="1:11" x14ac:dyDescent="0.2">
      <c r="A682" s="26" t="s">
        <v>454</v>
      </c>
      <c r="B682" s="26" t="s">
        <v>694</v>
      </c>
      <c r="C682" s="26" t="s">
        <v>539</v>
      </c>
      <c r="D682" s="26" t="s">
        <v>806</v>
      </c>
      <c r="E682" s="26" t="s">
        <v>807</v>
      </c>
      <c r="F682" s="101">
        <v>1</v>
      </c>
      <c r="G682" s="26" t="s">
        <v>509</v>
      </c>
      <c r="H682" s="102">
        <f>IFERROR(VLOOKUP($D682,NOMENCLATOR!$A:$F,6,FALSE()),"")*IF(OR($G682="g",$G682="ml"),0.001,1)</f>
        <v>5.1509999999999998</v>
      </c>
      <c r="I682" s="102">
        <f>IFERROR($F682*$H682,"")</f>
        <v>5.1509999999999998</v>
      </c>
    </row>
    <row r="683" spans="1:11" x14ac:dyDescent="0.2">
      <c r="A683" s="26" t="s">
        <v>454</v>
      </c>
      <c r="B683" s="26" t="s">
        <v>694</v>
      </c>
      <c r="C683" s="26" t="s">
        <v>539</v>
      </c>
      <c r="D683" s="26" t="s">
        <v>815</v>
      </c>
      <c r="E683" s="26" t="s">
        <v>816</v>
      </c>
      <c r="F683" s="101">
        <v>15</v>
      </c>
      <c r="G683" s="26" t="s">
        <v>514</v>
      </c>
      <c r="H683" s="102">
        <f>IFERROR(VLOOKUP($D683,NOMENCLATOR!$A:$F,6,FALSE()),"")*IF(OR($G683="g",$G683="ml"),0.001,1)</f>
        <v>8.8410020000000006E-2</v>
      </c>
      <c r="I683" s="102">
        <f>IFERROR($F683*$H683,"")</f>
        <v>1.3261503000000001</v>
      </c>
    </row>
    <row r="684" spans="1:11" x14ac:dyDescent="0.2">
      <c r="A684" s="103" t="s">
        <v>454</v>
      </c>
      <c r="B684" s="104"/>
      <c r="C684" s="104"/>
      <c r="D684" s="104"/>
      <c r="E684" s="103" t="s">
        <v>510</v>
      </c>
      <c r="F684" s="104"/>
      <c r="G684" s="104"/>
      <c r="H684" s="104"/>
      <c r="I684" s="104"/>
      <c r="J684" s="105">
        <f>SUMIFS($I$682:$I$683,$C$682:$C$683,"AMBELE")+SUMIFS($I$682:$I$683,$C$682:$C$683,"INSTORE")</f>
        <v>6.4771502999999999</v>
      </c>
      <c r="K684" s="105">
        <f>SUMIFS($I$682:$I$683,$C$682:$C$683,"AMBELE")+SUMIFS($I$682:$I$683,$C$682:$C$683,"DELIVERY")</f>
        <v>0</v>
      </c>
    </row>
    <row r="685" spans="1:11" x14ac:dyDescent="0.2">
      <c r="A685" s="26" t="s">
        <v>457</v>
      </c>
      <c r="B685" s="26" t="s">
        <v>694</v>
      </c>
      <c r="C685" s="26" t="s">
        <v>539</v>
      </c>
      <c r="D685" s="26" t="s">
        <v>800</v>
      </c>
      <c r="E685" s="26" t="s">
        <v>801</v>
      </c>
      <c r="F685" s="101">
        <v>1</v>
      </c>
      <c r="G685" s="26" t="s">
        <v>509</v>
      </c>
      <c r="H685" s="102">
        <f>IFERROR(VLOOKUP($D685,NOMENCLATOR!$A:$F,6,FALSE()),"")*IF(OR($G685="g",$G685="ml"),0.001,1)</f>
        <v>3.1480000000000001</v>
      </c>
      <c r="I685" s="102">
        <f>IFERROR($F685*$H685,"")</f>
        <v>3.1480000000000001</v>
      </c>
    </row>
    <row r="686" spans="1:11" x14ac:dyDescent="0.2">
      <c r="A686" s="26" t="s">
        <v>457</v>
      </c>
      <c r="B686" s="26" t="s">
        <v>694</v>
      </c>
      <c r="C686" s="26" t="s">
        <v>539</v>
      </c>
      <c r="D686" s="26" t="s">
        <v>815</v>
      </c>
      <c r="E686" s="26" t="s">
        <v>816</v>
      </c>
      <c r="F686" s="101">
        <v>15</v>
      </c>
      <c r="G686" s="26" t="s">
        <v>514</v>
      </c>
      <c r="H686" s="102">
        <f>IFERROR(VLOOKUP($D686,NOMENCLATOR!$A:$F,6,FALSE()),"")*IF(OR($G686="g",$G686="ml"),0.001,1)</f>
        <v>8.8410020000000006E-2</v>
      </c>
      <c r="I686" s="102">
        <f>IFERROR($F686*$H686,"")</f>
        <v>1.3261503000000001</v>
      </c>
    </row>
    <row r="687" spans="1:11" x14ac:dyDescent="0.2">
      <c r="A687" s="103" t="s">
        <v>457</v>
      </c>
      <c r="B687" s="104"/>
      <c r="C687" s="104"/>
      <c r="D687" s="104"/>
      <c r="E687" s="103" t="s">
        <v>510</v>
      </c>
      <c r="F687" s="104"/>
      <c r="G687" s="104"/>
      <c r="H687" s="104"/>
      <c r="I687" s="104"/>
      <c r="J687" s="105">
        <f>SUMIFS($I$685:$I$686,$C$685:$C$686,"AMBELE")+SUMIFS($I$685:$I$686,$C$685:$C$686,"INSTORE")</f>
        <v>4.4741502999999998</v>
      </c>
      <c r="K687" s="105">
        <f>SUMIFS($I$685:$I$686,$C$685:$C$686,"AMBELE")+SUMIFS($I$685:$I$686,$C$685:$C$686,"DELIVERY")</f>
        <v>0</v>
      </c>
    </row>
    <row r="688" spans="1:11" x14ac:dyDescent="0.2">
      <c r="A688" s="26" t="s">
        <v>450</v>
      </c>
      <c r="B688" s="26" t="s">
        <v>535</v>
      </c>
      <c r="C688" s="26" t="s">
        <v>539</v>
      </c>
      <c r="D688" s="26" t="s">
        <v>804</v>
      </c>
      <c r="E688" s="26" t="s">
        <v>805</v>
      </c>
      <c r="F688" s="101">
        <v>1</v>
      </c>
      <c r="G688" s="26" t="s">
        <v>509</v>
      </c>
      <c r="H688" s="102">
        <f>IFERROR(VLOOKUP($D688,NOMENCLATOR!$A:$F,6,FALSE()),"")*IF(OR($G688="g",$G688="ml"),0.001,1)</f>
        <v>5.2489999999999997</v>
      </c>
      <c r="I688" s="102">
        <f>IFERROR($F688*$H688,"")</f>
        <v>5.2489999999999997</v>
      </c>
    </row>
    <row r="689" spans="1:11" x14ac:dyDescent="0.2">
      <c r="A689" s="26" t="s">
        <v>450</v>
      </c>
      <c r="B689" s="26" t="s">
        <v>535</v>
      </c>
      <c r="C689" s="26" t="s">
        <v>539</v>
      </c>
      <c r="D689" s="26" t="s">
        <v>815</v>
      </c>
      <c r="E689" s="26" t="s">
        <v>816</v>
      </c>
      <c r="F689" s="101">
        <v>15</v>
      </c>
      <c r="G689" s="26" t="s">
        <v>514</v>
      </c>
      <c r="H689" s="102">
        <f>IFERROR(VLOOKUP($D689,NOMENCLATOR!$A:$F,6,FALSE()),"")*IF(OR($G689="g",$G689="ml"),0.001,1)</f>
        <v>8.8410020000000006E-2</v>
      </c>
      <c r="I689" s="102">
        <f>IFERROR($F689*$H689,"")</f>
        <v>1.3261503000000001</v>
      </c>
    </row>
    <row r="690" spans="1:11" x14ac:dyDescent="0.2">
      <c r="A690" s="103" t="s">
        <v>450</v>
      </c>
      <c r="B690" s="104"/>
      <c r="C690" s="104"/>
      <c r="D690" s="104"/>
      <c r="E690" s="103" t="s">
        <v>510</v>
      </c>
      <c r="F690" s="104"/>
      <c r="G690" s="104"/>
      <c r="H690" s="104"/>
      <c r="I690" s="104"/>
      <c r="J690" s="105">
        <f>SUMIFS($I$688:$I$689,$C$688:$C$689,"AMBELE")+SUMIFS($I$688:$I$689,$C$688:$C$689,"INSTORE")</f>
        <v>6.5751502999999998</v>
      </c>
      <c r="K690" s="105">
        <f>SUMIFS($I$688:$I$689,$C$688:$C$689,"AMBELE")+SUMIFS($I$688:$I$689,$C$688:$C$689,"DELIVERY")</f>
        <v>0</v>
      </c>
    </row>
    <row r="691" spans="1:11" x14ac:dyDescent="0.2">
      <c r="A691" s="26" t="s">
        <v>817</v>
      </c>
      <c r="B691" s="26" t="s">
        <v>694</v>
      </c>
      <c r="C691" s="26" t="s">
        <v>506</v>
      </c>
      <c r="D691" s="26" t="s">
        <v>806</v>
      </c>
      <c r="E691" s="26" t="s">
        <v>807</v>
      </c>
      <c r="F691" s="101">
        <v>1</v>
      </c>
      <c r="G691" s="26" t="s">
        <v>509</v>
      </c>
      <c r="H691" s="102">
        <f>IFERROR(VLOOKUP($D691,NOMENCLATOR!$A:$F,6,FALSE()),"")*IF(OR($G691="g",$G691="ml"),0.001,1)</f>
        <v>5.1509999999999998</v>
      </c>
      <c r="I691" s="102">
        <f>IFERROR($F691*$H691,"")</f>
        <v>5.1509999999999998</v>
      </c>
    </row>
    <row r="692" spans="1:11" x14ac:dyDescent="0.2">
      <c r="A692" s="26" t="s">
        <v>817</v>
      </c>
      <c r="B692" s="26" t="s">
        <v>694</v>
      </c>
      <c r="C692" s="26" t="s">
        <v>506</v>
      </c>
      <c r="D692" s="26" t="s">
        <v>695</v>
      </c>
      <c r="E692" s="26" t="s">
        <v>696</v>
      </c>
      <c r="F692" s="101">
        <v>35</v>
      </c>
      <c r="G692" s="26" t="s">
        <v>529</v>
      </c>
      <c r="H692" s="102">
        <f>IFERROR(VLOOKUP($D692,NOMENCLATOR!$A:$F,6,FALSE()),"")*IF(OR($G692="g",$G692="ml"),0.001,1)</f>
        <v>0.10748569999999999</v>
      </c>
      <c r="I692" s="102">
        <f>IFERROR($F692*$H692,"")</f>
        <v>3.7619994999999995</v>
      </c>
    </row>
    <row r="693" spans="1:11" x14ac:dyDescent="0.2">
      <c r="A693" s="103" t="s">
        <v>817</v>
      </c>
      <c r="B693" s="104"/>
      <c r="C693" s="104"/>
      <c r="D693" s="104"/>
      <c r="E693" s="103" t="s">
        <v>510</v>
      </c>
      <c r="F693" s="104"/>
      <c r="G693" s="104"/>
      <c r="H693" s="104"/>
      <c r="I693" s="104"/>
      <c r="J693" s="105">
        <f>SUMIFS($I$691:$I$692,$C$691:$C$692,"AMBELE")+SUMIFS($I$691:$I$692,$C$691:$C$692,"INSTORE")</f>
        <v>8.9129994999999997</v>
      </c>
      <c r="K693" s="105">
        <f>SUMIFS($I$691:$I$692,$C$691:$C$692,"AMBELE")+SUMIFS($I$691:$I$692,$C$691:$C$692,"DELIVERY")</f>
        <v>8.9129994999999997</v>
      </c>
    </row>
    <row r="694" spans="1:11" x14ac:dyDescent="0.2">
      <c r="A694" s="26" t="s">
        <v>453</v>
      </c>
      <c r="B694" s="26" t="s">
        <v>694</v>
      </c>
      <c r="C694" s="26" t="s">
        <v>539</v>
      </c>
      <c r="D694" s="26" t="s">
        <v>806</v>
      </c>
      <c r="E694" s="26" t="s">
        <v>807</v>
      </c>
      <c r="F694" s="101">
        <v>1</v>
      </c>
      <c r="G694" s="26" t="s">
        <v>509</v>
      </c>
      <c r="H694" s="102">
        <f>IFERROR(VLOOKUP($D694,NOMENCLATOR!$A:$F,6,FALSE()),"")*IF(OR($G694="g",$G694="ml"),0.001,1)</f>
        <v>5.1509999999999998</v>
      </c>
      <c r="I694" s="102">
        <f>IFERROR($F694*$H694,"")</f>
        <v>5.1509999999999998</v>
      </c>
    </row>
    <row r="695" spans="1:11" x14ac:dyDescent="0.2">
      <c r="A695" s="26" t="s">
        <v>453</v>
      </c>
      <c r="B695" s="26" t="s">
        <v>694</v>
      </c>
      <c r="C695" s="26" t="s">
        <v>539</v>
      </c>
      <c r="D695" s="26" t="s">
        <v>818</v>
      </c>
      <c r="E695" s="26" t="s">
        <v>819</v>
      </c>
      <c r="F695" s="101">
        <v>15</v>
      </c>
      <c r="G695" s="26" t="s">
        <v>514</v>
      </c>
      <c r="H695" s="102">
        <f>IFERROR(VLOOKUP($D695,NOMENCLATOR!$A:$F,6,FALSE()),"")*IF(OR($G695="g",$G695="ml"),0.001,1)</f>
        <v>9.0028850000000007E-2</v>
      </c>
      <c r="I695" s="102">
        <f>IFERROR($F695*$H695,"")</f>
        <v>1.3504327500000002</v>
      </c>
    </row>
    <row r="696" spans="1:11" x14ac:dyDescent="0.2">
      <c r="A696" s="103" t="s">
        <v>453</v>
      </c>
      <c r="B696" s="104"/>
      <c r="C696" s="104"/>
      <c r="D696" s="104"/>
      <c r="E696" s="103" t="s">
        <v>510</v>
      </c>
      <c r="F696" s="104"/>
      <c r="G696" s="104"/>
      <c r="H696" s="104"/>
      <c r="I696" s="104"/>
      <c r="J696" s="105">
        <f>SUMIFS($I$694:$I$695,$C$694:$C$695,"AMBELE")+SUMIFS($I$694:$I$695,$C$694:$C$695,"INSTORE")</f>
        <v>6.5014327500000002</v>
      </c>
      <c r="K696" s="105">
        <f>SUMIFS($I$694:$I$695,$C$694:$C$695,"AMBELE")+SUMIFS($I$694:$I$695,$C$694:$C$695,"DELIVERY")</f>
        <v>0</v>
      </c>
    </row>
    <row r="697" spans="1:11" x14ac:dyDescent="0.2">
      <c r="A697" s="26" t="s">
        <v>456</v>
      </c>
      <c r="B697" s="26" t="s">
        <v>694</v>
      </c>
      <c r="C697" s="26" t="s">
        <v>539</v>
      </c>
      <c r="D697" s="26" t="s">
        <v>800</v>
      </c>
      <c r="E697" s="26" t="s">
        <v>801</v>
      </c>
      <c r="F697" s="101">
        <v>1</v>
      </c>
      <c r="G697" s="26" t="s">
        <v>509</v>
      </c>
      <c r="H697" s="102">
        <f>IFERROR(VLOOKUP($D697,NOMENCLATOR!$A:$F,6,FALSE()),"")*IF(OR($G697="g",$G697="ml"),0.001,1)</f>
        <v>3.1480000000000001</v>
      </c>
      <c r="I697" s="102">
        <f>IFERROR($F697*$H697,"")</f>
        <v>3.1480000000000001</v>
      </c>
    </row>
    <row r="698" spans="1:11" x14ac:dyDescent="0.2">
      <c r="A698" s="26" t="s">
        <v>456</v>
      </c>
      <c r="B698" s="26" t="s">
        <v>694</v>
      </c>
      <c r="C698" s="26" t="s">
        <v>539</v>
      </c>
      <c r="D698" s="26" t="s">
        <v>818</v>
      </c>
      <c r="E698" s="26" t="s">
        <v>819</v>
      </c>
      <c r="F698" s="101">
        <v>15</v>
      </c>
      <c r="G698" s="26" t="s">
        <v>514</v>
      </c>
      <c r="H698" s="102">
        <f>IFERROR(VLOOKUP($D698,NOMENCLATOR!$A:$F,6,FALSE()),"")*IF(OR($G698="g",$G698="ml"),0.001,1)</f>
        <v>9.0028850000000007E-2</v>
      </c>
      <c r="I698" s="102">
        <f>IFERROR($F698*$H698,"")</f>
        <v>1.3504327500000002</v>
      </c>
    </row>
    <row r="699" spans="1:11" x14ac:dyDescent="0.2">
      <c r="A699" s="103" t="s">
        <v>456</v>
      </c>
      <c r="B699" s="104"/>
      <c r="C699" s="104"/>
      <c r="D699" s="104"/>
      <c r="E699" s="103" t="s">
        <v>510</v>
      </c>
      <c r="F699" s="104"/>
      <c r="G699" s="104"/>
      <c r="H699" s="104"/>
      <c r="I699" s="104"/>
      <c r="J699" s="105">
        <f>SUMIFS($I$697:$I$698,$C$697:$C$698,"AMBELE")+SUMIFS($I$697:$I$698,$C$697:$C$698,"INSTORE")</f>
        <v>4.4984327500000001</v>
      </c>
      <c r="K699" s="105">
        <f>SUMIFS($I$697:$I$698,$C$697:$C$698,"AMBELE")+SUMIFS($I$697:$I$698,$C$697:$C$698,"DELIVERY")</f>
        <v>0</v>
      </c>
    </row>
    <row r="700" spans="1:11" x14ac:dyDescent="0.2">
      <c r="A700" s="26" t="s">
        <v>451</v>
      </c>
      <c r="B700" s="26" t="s">
        <v>535</v>
      </c>
      <c r="C700" s="26" t="s">
        <v>539</v>
      </c>
      <c r="D700" s="26" t="s">
        <v>804</v>
      </c>
      <c r="E700" s="26" t="s">
        <v>805</v>
      </c>
      <c r="F700" s="101">
        <v>1</v>
      </c>
      <c r="G700" s="26" t="s">
        <v>509</v>
      </c>
      <c r="H700" s="102">
        <f>IFERROR(VLOOKUP($D700,NOMENCLATOR!$A:$F,6,FALSE()),"")*IF(OR($G700="g",$G700="ml"),0.001,1)</f>
        <v>5.2489999999999997</v>
      </c>
      <c r="I700" s="102">
        <f>IFERROR($F700*$H700,"")</f>
        <v>5.2489999999999997</v>
      </c>
    </row>
    <row r="701" spans="1:11" x14ac:dyDescent="0.2">
      <c r="A701" s="26" t="s">
        <v>451</v>
      </c>
      <c r="B701" s="26" t="s">
        <v>535</v>
      </c>
      <c r="C701" s="26" t="s">
        <v>539</v>
      </c>
      <c r="D701" s="26" t="s">
        <v>818</v>
      </c>
      <c r="E701" s="26" t="s">
        <v>819</v>
      </c>
      <c r="F701" s="101">
        <v>15</v>
      </c>
      <c r="G701" s="26" t="s">
        <v>514</v>
      </c>
      <c r="H701" s="102">
        <f>IFERROR(VLOOKUP($D701,NOMENCLATOR!$A:$F,6,FALSE()),"")*IF(OR($G701="g",$G701="ml"),0.001,1)</f>
        <v>9.0028850000000007E-2</v>
      </c>
      <c r="I701" s="102">
        <f>IFERROR($F701*$H701,"")</f>
        <v>1.3504327500000002</v>
      </c>
    </row>
    <row r="702" spans="1:11" x14ac:dyDescent="0.2">
      <c r="A702" s="103" t="s">
        <v>451</v>
      </c>
      <c r="B702" s="104"/>
      <c r="C702" s="104"/>
      <c r="D702" s="104"/>
      <c r="E702" s="103" t="s">
        <v>510</v>
      </c>
      <c r="F702" s="104"/>
      <c r="G702" s="104"/>
      <c r="H702" s="104"/>
      <c r="I702" s="104"/>
      <c r="J702" s="105">
        <f>SUMIFS($I$700:$I$701,$C$700:$C$701,"AMBELE")+SUMIFS($I$700:$I$701,$C$700:$C$701,"INSTORE")</f>
        <v>6.5994327500000001</v>
      </c>
      <c r="K702" s="105">
        <f>SUMIFS($I$700:$I$701,$C$700:$C$701,"AMBELE")+SUMIFS($I$700:$I$701,$C$700:$C$701,"DELIVERY")</f>
        <v>0</v>
      </c>
    </row>
    <row r="703" spans="1:11" x14ac:dyDescent="0.2">
      <c r="A703" s="26" t="s">
        <v>445</v>
      </c>
      <c r="B703" s="26" t="s">
        <v>535</v>
      </c>
      <c r="C703" s="26" t="s">
        <v>539</v>
      </c>
      <c r="D703" s="26" t="s">
        <v>800</v>
      </c>
      <c r="E703" s="26" t="s">
        <v>801</v>
      </c>
      <c r="F703" s="101">
        <v>1</v>
      </c>
      <c r="G703" s="26" t="s">
        <v>509</v>
      </c>
      <c r="H703" s="102">
        <f>IFERROR(VLOOKUP($D703,NOMENCLATOR!$A:$F,6,FALSE()),"")*IF(OR($G703="g",$G703="ml"),0.001,1)</f>
        <v>3.1480000000000001</v>
      </c>
      <c r="I703" s="102">
        <f>IFERROR($F703*$H703,"")</f>
        <v>3.1480000000000001</v>
      </c>
    </row>
    <row r="704" spans="1:11" x14ac:dyDescent="0.2">
      <c r="A704" s="26" t="s">
        <v>445</v>
      </c>
      <c r="B704" s="26" t="s">
        <v>535</v>
      </c>
      <c r="C704" s="26" t="s">
        <v>657</v>
      </c>
      <c r="D704" s="26" t="s">
        <v>804</v>
      </c>
      <c r="E704" s="26" t="s">
        <v>805</v>
      </c>
      <c r="F704" s="101">
        <v>1</v>
      </c>
      <c r="G704" s="26" t="s">
        <v>509</v>
      </c>
      <c r="H704" s="102">
        <f>IFERROR(VLOOKUP($D704,NOMENCLATOR!$A:$F,6,FALSE()),"")*IF(OR($G704="g",$G704="ml"),0.001,1)</f>
        <v>5.2489999999999997</v>
      </c>
      <c r="I704" s="102">
        <f>IFERROR($F704*$H704,"")</f>
        <v>5.2489999999999997</v>
      </c>
    </row>
    <row r="705" spans="1:11" x14ac:dyDescent="0.2">
      <c r="A705" s="103" t="s">
        <v>445</v>
      </c>
      <c r="B705" s="104"/>
      <c r="C705" s="104"/>
      <c r="D705" s="104"/>
      <c r="E705" s="103" t="s">
        <v>510</v>
      </c>
      <c r="F705" s="104"/>
      <c r="G705" s="104"/>
      <c r="H705" s="104"/>
      <c r="I705" s="104"/>
      <c r="J705" s="105">
        <f>SUMIFS($I$703:$I$704,$C$703:$C$704,"AMBELE")+SUMIFS($I$703:$I$704,$C$703:$C$704,"INSTORE")</f>
        <v>3.1480000000000001</v>
      </c>
      <c r="K705" s="105">
        <f>SUMIFS($I$703:$I$704,$C$703:$C$704,"AMBELE")+SUMIFS($I$703:$I$704,$C$703:$C$704,"DELIVERY")</f>
        <v>5.2489999999999997</v>
      </c>
    </row>
    <row r="706" spans="1:11" x14ac:dyDescent="0.2">
      <c r="A706" s="26" t="s">
        <v>442</v>
      </c>
      <c r="B706" s="26" t="s">
        <v>535</v>
      </c>
      <c r="C706" s="26" t="s">
        <v>506</v>
      </c>
      <c r="D706" s="26" t="s">
        <v>806</v>
      </c>
      <c r="E706" s="26" t="s">
        <v>807</v>
      </c>
      <c r="F706" s="101">
        <v>1</v>
      </c>
      <c r="G706" s="26" t="s">
        <v>509</v>
      </c>
      <c r="H706" s="102">
        <f>IFERROR(VLOOKUP($D706,NOMENCLATOR!$A:$F,6,FALSE()),"")*IF(OR($G706="g",$G706="ml"),0.001,1)</f>
        <v>5.1509999999999998</v>
      </c>
      <c r="I706" s="102">
        <f>IFERROR($F706*$H706,"")</f>
        <v>5.1509999999999998</v>
      </c>
    </row>
    <row r="707" spans="1:11" x14ac:dyDescent="0.2">
      <c r="A707" s="103" t="s">
        <v>442</v>
      </c>
      <c r="B707" s="104"/>
      <c r="C707" s="104"/>
      <c r="D707" s="104"/>
      <c r="E707" s="103" t="s">
        <v>510</v>
      </c>
      <c r="F707" s="104"/>
      <c r="G707" s="104"/>
      <c r="H707" s="104"/>
      <c r="I707" s="104"/>
      <c r="J707" s="105">
        <f>SUMIFS($I$706:$I$706,$C$706:$C$706,"AMBELE")+SUMIFS($I$706:$I$706,$C$706:$C$706,"INSTORE")</f>
        <v>5.1509999999999998</v>
      </c>
      <c r="K707" s="105">
        <f>SUMIFS($I$706:$I$706,$C$706:$C$706,"AMBELE")+SUMIFS($I$706:$I$706,$C$706:$C$706,"DELIVERY")</f>
        <v>5.1509999999999998</v>
      </c>
    </row>
    <row r="708" spans="1:11" x14ac:dyDescent="0.2">
      <c r="A708" s="26" t="s">
        <v>290</v>
      </c>
      <c r="B708" s="26" t="s">
        <v>104</v>
      </c>
      <c r="C708" s="26" t="s">
        <v>506</v>
      </c>
      <c r="D708" s="26" t="s">
        <v>820</v>
      </c>
      <c r="E708" s="26" t="s">
        <v>821</v>
      </c>
      <c r="F708" s="101">
        <v>1</v>
      </c>
      <c r="G708" s="26" t="s">
        <v>509</v>
      </c>
      <c r="H708" s="102">
        <f>IFERROR(VLOOKUP($D708,NOMENCLATOR!$A:$F,6,FALSE()),"")*IF(OR($G708="g",$G708="ml"),0.001,1)</f>
        <v>8.2170299999999994</v>
      </c>
      <c r="I708" s="102">
        <f>IFERROR($F708*$H708,"")</f>
        <v>8.2170299999999994</v>
      </c>
    </row>
    <row r="709" spans="1:11" x14ac:dyDescent="0.2">
      <c r="A709" s="26" t="s">
        <v>290</v>
      </c>
      <c r="B709" s="26" t="s">
        <v>104</v>
      </c>
      <c r="C709" s="26" t="s">
        <v>506</v>
      </c>
      <c r="D709" s="26" t="s">
        <v>645</v>
      </c>
      <c r="E709" s="26" t="s">
        <v>646</v>
      </c>
      <c r="F709" s="101">
        <v>1</v>
      </c>
      <c r="G709" s="26" t="s">
        <v>509</v>
      </c>
      <c r="H709" s="102">
        <f>IFERROR(VLOOKUP($D709,NOMENCLATOR!$A:$F,6,FALSE()),"")*IF(OR($G709="g",$G709="ml"),0.001,1)</f>
        <v>0.27</v>
      </c>
      <c r="I709" s="102">
        <f>IFERROR($F709*$H709,"")</f>
        <v>0.27</v>
      </c>
    </row>
    <row r="710" spans="1:11" x14ac:dyDescent="0.2">
      <c r="A710" s="103" t="s">
        <v>290</v>
      </c>
      <c r="B710" s="104"/>
      <c r="C710" s="104"/>
      <c r="D710" s="104"/>
      <c r="E710" s="103" t="s">
        <v>510</v>
      </c>
      <c r="F710" s="104"/>
      <c r="G710" s="104"/>
      <c r="H710" s="104"/>
      <c r="I710" s="104"/>
      <c r="J710" s="105">
        <f>SUMIFS($I$708:$I$709,$C$708:$C$709,"AMBELE")+SUMIFS($I$708:$I$709,$C$708:$C$709,"INSTORE")</f>
        <v>8.487029999999999</v>
      </c>
      <c r="K710" s="105">
        <f>SUMIFS($I$708:$I$709,$C$708:$C$709,"AMBELE")+SUMIFS($I$708:$I$709,$C$708:$C$709,"DELIVERY")</f>
        <v>8.487029999999999</v>
      </c>
    </row>
    <row r="711" spans="1:11" x14ac:dyDescent="0.2">
      <c r="A711" s="26" t="s">
        <v>310</v>
      </c>
      <c r="B711" s="26" t="s">
        <v>589</v>
      </c>
      <c r="C711" s="26" t="s">
        <v>657</v>
      </c>
      <c r="D711" s="26" t="s">
        <v>822</v>
      </c>
      <c r="E711" s="26" t="s">
        <v>823</v>
      </c>
      <c r="F711" s="101">
        <v>1</v>
      </c>
      <c r="G711" s="26" t="s">
        <v>509</v>
      </c>
      <c r="H711" s="102">
        <f>IFERROR(VLOOKUP($D711,NOMENCLATOR!$A:$F,6,FALSE()),"")*IF(OR($G711="g",$G711="ml"),0.001,1)</f>
        <v>3.8029999999999999</v>
      </c>
      <c r="I711" s="102">
        <f>IFERROR($F711*$H711,"")</f>
        <v>3.8029999999999999</v>
      </c>
    </row>
    <row r="712" spans="1:11" x14ac:dyDescent="0.2">
      <c r="A712" s="103" t="s">
        <v>310</v>
      </c>
      <c r="B712" s="104"/>
      <c r="C712" s="104"/>
      <c r="D712" s="104"/>
      <c r="E712" s="103" t="s">
        <v>510</v>
      </c>
      <c r="F712" s="104"/>
      <c r="G712" s="104"/>
      <c r="H712" s="104"/>
      <c r="I712" s="104"/>
      <c r="J712" s="105">
        <f>SUMIFS($I$711:$I$711,$C$711:$C$711,"AMBELE")+SUMIFS($I$711:$I$711,$C$711:$C$711,"INSTORE")</f>
        <v>0</v>
      </c>
      <c r="K712" s="105">
        <f>SUMIFS($I$711:$I$711,$C$711:$C$711,"AMBELE")+SUMIFS($I$711:$I$711,$C$711:$C$711,"DELIVERY")</f>
        <v>3.8029999999999999</v>
      </c>
    </row>
    <row r="713" spans="1:11" x14ac:dyDescent="0.2">
      <c r="A713" s="26" t="s">
        <v>824</v>
      </c>
      <c r="B713" s="26" t="s">
        <v>589</v>
      </c>
      <c r="C713" s="26" t="s">
        <v>539</v>
      </c>
      <c r="D713" s="26" t="s">
        <v>637</v>
      </c>
      <c r="E713" s="26" t="s">
        <v>638</v>
      </c>
      <c r="F713" s="101">
        <v>1</v>
      </c>
      <c r="G713" s="26" t="s">
        <v>509</v>
      </c>
      <c r="H713" s="102">
        <f>IFERROR(VLOOKUP($D713,NOMENCLATOR!$A:$F,6,FALSE()),"")*IF(OR($G713="g",$G713="ml"),0.001,1)</f>
        <v>0.63100000000000001</v>
      </c>
      <c r="I713" s="102">
        <f>IFERROR($F713*$H713,"")</f>
        <v>0.63100000000000001</v>
      </c>
    </row>
    <row r="714" spans="1:11" x14ac:dyDescent="0.2">
      <c r="A714" s="26" t="s">
        <v>824</v>
      </c>
      <c r="B714" s="26" t="s">
        <v>589</v>
      </c>
      <c r="C714" s="26" t="s">
        <v>539</v>
      </c>
      <c r="D714" s="26" t="s">
        <v>825</v>
      </c>
      <c r="E714" s="26" t="s">
        <v>826</v>
      </c>
      <c r="F714" s="101">
        <v>41.66</v>
      </c>
      <c r="G714" s="26" t="s">
        <v>514</v>
      </c>
      <c r="H714" s="102">
        <f>IFERROR(VLOOKUP($D714,NOMENCLATOR!$A:$F,6,FALSE()),"")*IF(OR($G714="g",$G714="ml"),0.001,1)</f>
        <v>4.493229E-2</v>
      </c>
      <c r="I714" s="102">
        <f>IFERROR($F714*$H714,"")</f>
        <v>1.8718792013999999</v>
      </c>
    </row>
    <row r="715" spans="1:11" x14ac:dyDescent="0.2">
      <c r="A715" s="103" t="s">
        <v>824</v>
      </c>
      <c r="B715" s="104"/>
      <c r="C715" s="104"/>
      <c r="D715" s="104"/>
      <c r="E715" s="103" t="s">
        <v>510</v>
      </c>
      <c r="F715" s="104"/>
      <c r="G715" s="104"/>
      <c r="H715" s="104"/>
      <c r="I715" s="104"/>
      <c r="J715" s="105">
        <f>SUMIFS($I$713:$I$714,$C$713:$C$714,"AMBELE")+SUMIFS($I$713:$I$714,$C$713:$C$714,"INSTORE")</f>
        <v>2.5028792013999999</v>
      </c>
      <c r="K715" s="105">
        <f>SUMIFS($I$713:$I$714,$C$713:$C$714,"AMBELE")+SUMIFS($I$713:$I$714,$C$713:$C$714,"DELIVERY")</f>
        <v>0</v>
      </c>
    </row>
    <row r="716" spans="1:11" x14ac:dyDescent="0.2">
      <c r="A716" s="26" t="s">
        <v>216</v>
      </c>
      <c r="B716" s="26" t="s">
        <v>589</v>
      </c>
      <c r="C716" s="26" t="s">
        <v>539</v>
      </c>
      <c r="D716" s="26" t="s">
        <v>609</v>
      </c>
      <c r="E716" s="26" t="s">
        <v>610</v>
      </c>
      <c r="F716" s="101">
        <v>1</v>
      </c>
      <c r="G716" s="26" t="s">
        <v>509</v>
      </c>
      <c r="H716" s="102">
        <f>IFERROR(VLOOKUP($D716,NOMENCLATOR!$A:$F,6,FALSE()),"")*IF(OR($G716="g",$G716="ml"),0.001,1)</f>
        <v>0.86799999999999999</v>
      </c>
      <c r="I716" s="102">
        <f>IFERROR($F716*$H716,"")</f>
        <v>0.86799999999999999</v>
      </c>
    </row>
    <row r="717" spans="1:11" x14ac:dyDescent="0.2">
      <c r="A717" s="26" t="s">
        <v>216</v>
      </c>
      <c r="B717" s="26" t="s">
        <v>589</v>
      </c>
      <c r="C717" s="26" t="s">
        <v>539</v>
      </c>
      <c r="D717" s="26" t="s">
        <v>825</v>
      </c>
      <c r="E717" s="26" t="s">
        <v>826</v>
      </c>
      <c r="F717" s="101">
        <v>58.83</v>
      </c>
      <c r="G717" s="26" t="s">
        <v>514</v>
      </c>
      <c r="H717" s="102">
        <f>IFERROR(VLOOKUP($D717,NOMENCLATOR!$A:$F,6,FALSE()),"")*IF(OR($G717="g",$G717="ml"),0.001,1)</f>
        <v>4.493229E-2</v>
      </c>
      <c r="I717" s="102">
        <f>IFERROR($F717*$H717,"")</f>
        <v>2.6433666206999997</v>
      </c>
    </row>
    <row r="718" spans="1:11" x14ac:dyDescent="0.2">
      <c r="A718" s="103" t="s">
        <v>216</v>
      </c>
      <c r="B718" s="104"/>
      <c r="C718" s="104"/>
      <c r="D718" s="104"/>
      <c r="E718" s="103" t="s">
        <v>510</v>
      </c>
      <c r="F718" s="104"/>
      <c r="G718" s="104"/>
      <c r="H718" s="104"/>
      <c r="I718" s="104"/>
      <c r="J718" s="105">
        <f>SUMIFS($I$716:$I$717,$C$716:$C$717,"AMBELE")+SUMIFS($I$716:$I$717,$C$716:$C$717,"INSTORE")</f>
        <v>3.5113666206999996</v>
      </c>
      <c r="K718" s="105">
        <f>SUMIFS($I$716:$I$717,$C$716:$C$717,"AMBELE")+SUMIFS($I$716:$I$717,$C$716:$C$717,"DELIVERY")</f>
        <v>0</v>
      </c>
    </row>
    <row r="719" spans="1:11" x14ac:dyDescent="0.2">
      <c r="A719" s="26" t="s">
        <v>225</v>
      </c>
      <c r="B719" s="26" t="s">
        <v>589</v>
      </c>
      <c r="C719" s="26" t="s">
        <v>539</v>
      </c>
      <c r="D719" s="26" t="s">
        <v>613</v>
      </c>
      <c r="E719" s="26" t="s">
        <v>614</v>
      </c>
      <c r="F719" s="101">
        <v>1</v>
      </c>
      <c r="G719" s="26" t="s">
        <v>509</v>
      </c>
      <c r="H719" s="102">
        <f>IFERROR(VLOOKUP($D719,NOMENCLATOR!$A:$F,6,FALSE()),"")*IF(OR($G719="g",$G719="ml"),0.001,1)</f>
        <v>1.0469999999999999</v>
      </c>
      <c r="I719" s="102">
        <f>IFERROR($F719*$H719,"")</f>
        <v>1.0469999999999999</v>
      </c>
    </row>
    <row r="720" spans="1:11" x14ac:dyDescent="0.2">
      <c r="A720" s="26" t="s">
        <v>225</v>
      </c>
      <c r="B720" s="26" t="s">
        <v>589</v>
      </c>
      <c r="C720" s="26" t="s">
        <v>539</v>
      </c>
      <c r="D720" s="26" t="s">
        <v>825</v>
      </c>
      <c r="E720" s="26" t="s">
        <v>826</v>
      </c>
      <c r="F720" s="101">
        <v>83.32</v>
      </c>
      <c r="G720" s="26" t="s">
        <v>514</v>
      </c>
      <c r="H720" s="102">
        <f>IFERROR(VLOOKUP($D720,NOMENCLATOR!$A:$F,6,FALSE()),"")*IF(OR($G720="g",$G720="ml"),0.001,1)</f>
        <v>4.493229E-2</v>
      </c>
      <c r="I720" s="102">
        <f>IFERROR($F720*$H720,"")</f>
        <v>3.7437584027999997</v>
      </c>
    </row>
    <row r="721" spans="1:11" x14ac:dyDescent="0.2">
      <c r="A721" s="103" t="s">
        <v>225</v>
      </c>
      <c r="B721" s="104"/>
      <c r="C721" s="104"/>
      <c r="D721" s="104"/>
      <c r="E721" s="103" t="s">
        <v>510</v>
      </c>
      <c r="F721" s="104"/>
      <c r="G721" s="104"/>
      <c r="H721" s="104"/>
      <c r="I721" s="104"/>
      <c r="J721" s="105">
        <f>SUMIFS($I$719:$I$720,$C$719:$C$720,"AMBELE")+SUMIFS($I$719:$I$720,$C$719:$C$720,"INSTORE")</f>
        <v>4.7907584027999999</v>
      </c>
      <c r="K721" s="105">
        <f>SUMIFS($I$719:$I$720,$C$719:$C$720,"AMBELE")+SUMIFS($I$719:$I$720,$C$719:$C$720,"DELIVERY")</f>
        <v>0</v>
      </c>
    </row>
    <row r="722" spans="1:11" x14ac:dyDescent="0.2">
      <c r="A722" s="26" t="s">
        <v>215</v>
      </c>
      <c r="B722" s="26" t="s">
        <v>535</v>
      </c>
      <c r="C722" s="26" t="s">
        <v>506</v>
      </c>
      <c r="D722" s="26" t="s">
        <v>550</v>
      </c>
      <c r="E722" s="26" t="s">
        <v>551</v>
      </c>
      <c r="F722" s="101">
        <v>1</v>
      </c>
      <c r="G722" s="26" t="s">
        <v>509</v>
      </c>
      <c r="H722" s="102">
        <f>IFERROR(VLOOKUP($D722,NOMENCLATOR!$A:$F,6,FALSE()),"")*IF(OR($G722="g",$G722="ml"),0.001,1)</f>
        <v>2.36</v>
      </c>
      <c r="I722" s="102">
        <f>IFERROR($F722*$H722,"")</f>
        <v>2.36</v>
      </c>
    </row>
    <row r="723" spans="1:11" x14ac:dyDescent="0.2">
      <c r="A723" s="26" t="s">
        <v>215</v>
      </c>
      <c r="B723" s="26" t="s">
        <v>535</v>
      </c>
      <c r="C723" s="26" t="s">
        <v>506</v>
      </c>
      <c r="D723" s="26" t="s">
        <v>536</v>
      </c>
      <c r="E723" s="26" t="s">
        <v>537</v>
      </c>
      <c r="F723" s="101">
        <v>35</v>
      </c>
      <c r="G723" s="26" t="s">
        <v>529</v>
      </c>
      <c r="H723" s="102">
        <f>IFERROR(VLOOKUP($D723,NOMENCLATOR!$A:$F,6,FALSE()),"")*IF(OR($G723="g",$G723="ml"),0.001,1)</f>
        <v>3.6645400000000002E-2</v>
      </c>
      <c r="I723" s="102">
        <f>IFERROR($F723*$H723,"")</f>
        <v>1.282589</v>
      </c>
    </row>
    <row r="724" spans="1:11" x14ac:dyDescent="0.2">
      <c r="A724" s="26" t="s">
        <v>215</v>
      </c>
      <c r="B724" s="26" t="s">
        <v>535</v>
      </c>
      <c r="C724" s="26" t="s">
        <v>506</v>
      </c>
      <c r="D724" s="26" t="s">
        <v>560</v>
      </c>
      <c r="E724" s="26" t="s">
        <v>561</v>
      </c>
      <c r="F724" s="101">
        <v>1</v>
      </c>
      <c r="G724" s="26" t="s">
        <v>509</v>
      </c>
      <c r="H724" s="102">
        <f>IFERROR(VLOOKUP($D724,NOMENCLATOR!$A:$F,6,FALSE()),"")*IF(OR($G724="g",$G724="ml"),0.001,1)</f>
        <v>0.106</v>
      </c>
      <c r="I724" s="102">
        <f>IFERROR($F724*$H724,"")</f>
        <v>0.106</v>
      </c>
    </row>
    <row r="725" spans="1:11" x14ac:dyDescent="0.2">
      <c r="A725" s="103" t="s">
        <v>215</v>
      </c>
      <c r="B725" s="104"/>
      <c r="C725" s="104"/>
      <c r="D725" s="104"/>
      <c r="E725" s="103" t="s">
        <v>510</v>
      </c>
      <c r="F725" s="104"/>
      <c r="G725" s="104"/>
      <c r="H725" s="104"/>
      <c r="I725" s="104"/>
      <c r="J725" s="105">
        <f>SUMIFS($I$722:$I$724,$C$722:$C$724,"AMBELE")+SUMIFS($I$722:$I$724,$C$722:$C$724,"INSTORE")</f>
        <v>3.7485889999999999</v>
      </c>
      <c r="K725" s="105">
        <f>SUMIFS($I$722:$I$724,$C$722:$C$724,"AMBELE")+SUMIFS($I$722:$I$724,$C$722:$C$724,"DELIVERY")</f>
        <v>3.7485889999999999</v>
      </c>
    </row>
    <row r="726" spans="1:11" x14ac:dyDescent="0.2">
      <c r="A726" s="26" t="s">
        <v>204</v>
      </c>
      <c r="B726" s="26" t="s">
        <v>535</v>
      </c>
      <c r="C726" s="26" t="s">
        <v>506</v>
      </c>
      <c r="D726" s="26" t="s">
        <v>550</v>
      </c>
      <c r="E726" s="26" t="s">
        <v>551</v>
      </c>
      <c r="F726" s="101">
        <v>1</v>
      </c>
      <c r="G726" s="26" t="s">
        <v>509</v>
      </c>
      <c r="H726" s="102">
        <f>IFERROR(VLOOKUP($D726,NOMENCLATOR!$A:$F,6,FALSE()),"")*IF(OR($G726="g",$G726="ml"),0.001,1)</f>
        <v>2.36</v>
      </c>
      <c r="I726" s="102">
        <f>IFERROR($F726*$H726,"")</f>
        <v>2.36</v>
      </c>
    </row>
    <row r="727" spans="1:11" x14ac:dyDescent="0.2">
      <c r="A727" s="26" t="s">
        <v>204</v>
      </c>
      <c r="B727" s="26" t="s">
        <v>535</v>
      </c>
      <c r="C727" s="26" t="s">
        <v>506</v>
      </c>
      <c r="D727" s="26" t="s">
        <v>536</v>
      </c>
      <c r="E727" s="26" t="s">
        <v>537</v>
      </c>
      <c r="F727" s="101">
        <v>35</v>
      </c>
      <c r="G727" s="26" t="s">
        <v>529</v>
      </c>
      <c r="H727" s="102">
        <f>IFERROR(VLOOKUP($D727,NOMENCLATOR!$A:$F,6,FALSE()),"")*IF(OR($G727="g",$G727="ml"),0.001,1)</f>
        <v>3.6645400000000002E-2</v>
      </c>
      <c r="I727" s="102">
        <f>IFERROR($F727*$H727,"")</f>
        <v>1.282589</v>
      </c>
    </row>
    <row r="728" spans="1:11" x14ac:dyDescent="0.2">
      <c r="A728" s="26" t="s">
        <v>204</v>
      </c>
      <c r="B728" s="26" t="s">
        <v>535</v>
      </c>
      <c r="C728" s="26" t="s">
        <v>506</v>
      </c>
      <c r="D728" s="26" t="s">
        <v>560</v>
      </c>
      <c r="E728" s="26" t="s">
        <v>561</v>
      </c>
      <c r="F728" s="101">
        <v>1</v>
      </c>
      <c r="G728" s="26" t="s">
        <v>509</v>
      </c>
      <c r="H728" s="102">
        <f>IFERROR(VLOOKUP($D728,NOMENCLATOR!$A:$F,6,FALSE()),"")*IF(OR($G728="g",$G728="ml"),0.001,1)</f>
        <v>0.106</v>
      </c>
      <c r="I728" s="102">
        <f>IFERROR($F728*$H728,"")</f>
        <v>0.106</v>
      </c>
    </row>
    <row r="729" spans="1:11" x14ac:dyDescent="0.2">
      <c r="A729" s="26" t="s">
        <v>204</v>
      </c>
      <c r="B729" s="26" t="s">
        <v>535</v>
      </c>
      <c r="C729" s="26" t="s">
        <v>506</v>
      </c>
      <c r="D729" s="26" t="s">
        <v>546</v>
      </c>
      <c r="E729" s="26" t="s">
        <v>547</v>
      </c>
      <c r="F729" s="101">
        <v>20</v>
      </c>
      <c r="G729" s="26" t="s">
        <v>529</v>
      </c>
      <c r="H729" s="102">
        <f>IFERROR(VLOOKUP($D729,NOMENCLATOR!$A:$F,6,FALSE()),"")*IF(OR($G729="g",$G729="ml"),0.001,1)</f>
        <v>1.4E-2</v>
      </c>
      <c r="I729" s="102">
        <f>IFERROR($F729*$H729,"")</f>
        <v>0.28000000000000003</v>
      </c>
    </row>
    <row r="730" spans="1:11" x14ac:dyDescent="0.2">
      <c r="A730" s="26" t="s">
        <v>204</v>
      </c>
      <c r="B730" s="26" t="s">
        <v>535</v>
      </c>
      <c r="C730" s="26" t="s">
        <v>506</v>
      </c>
      <c r="D730" s="26" t="s">
        <v>827</v>
      </c>
      <c r="E730" s="26" t="s">
        <v>828</v>
      </c>
      <c r="F730" s="101">
        <v>1</v>
      </c>
      <c r="G730" s="26" t="s">
        <v>509</v>
      </c>
      <c r="H730" s="102">
        <f>IFERROR(VLOOKUP($D730,NOMENCLATOR!$A:$F,6,FALSE()),"")*IF(OR($G730="g",$G730="ml"),0.001,1)</f>
        <v>0.06</v>
      </c>
      <c r="I730" s="102">
        <f>IFERROR($F730*$H730,"")</f>
        <v>0.06</v>
      </c>
    </row>
    <row r="731" spans="1:11" x14ac:dyDescent="0.2">
      <c r="A731" s="103" t="s">
        <v>204</v>
      </c>
      <c r="B731" s="104"/>
      <c r="C731" s="104"/>
      <c r="D731" s="104"/>
      <c r="E731" s="103" t="s">
        <v>510</v>
      </c>
      <c r="F731" s="104"/>
      <c r="G731" s="104"/>
      <c r="H731" s="104"/>
      <c r="I731" s="104"/>
      <c r="J731" s="105">
        <f>SUMIFS($I$726:$I$730,$C$726:$C$730,"AMBELE")+SUMIFS($I$726:$I$730,$C$726:$C$730,"INSTORE")</f>
        <v>4.0885889999999998</v>
      </c>
      <c r="K731" s="105">
        <f>SUMIFS($I$726:$I$730,$C$726:$C$730,"AMBELE")+SUMIFS($I$726:$I$730,$C$726:$C$730,"DELIVERY")</f>
        <v>4.0885889999999998</v>
      </c>
    </row>
    <row r="732" spans="1:11" x14ac:dyDescent="0.2">
      <c r="A732" s="26" t="s">
        <v>191</v>
      </c>
      <c r="B732" s="26" t="s">
        <v>535</v>
      </c>
      <c r="C732" s="26" t="s">
        <v>506</v>
      </c>
      <c r="D732" s="26" t="s">
        <v>550</v>
      </c>
      <c r="E732" s="26" t="s">
        <v>551</v>
      </c>
      <c r="F732" s="101">
        <v>1</v>
      </c>
      <c r="G732" s="26" t="s">
        <v>509</v>
      </c>
      <c r="H732" s="102">
        <f>IFERROR(VLOOKUP($D732,NOMENCLATOR!$A:$F,6,FALSE()),"")*IF(OR($G732="g",$G732="ml"),0.001,1)</f>
        <v>2.36</v>
      </c>
      <c r="I732" s="102">
        <f t="shared" ref="I732:I738" si="35">IFERROR($F732*$H732,"")</f>
        <v>2.36</v>
      </c>
    </row>
    <row r="733" spans="1:11" x14ac:dyDescent="0.2">
      <c r="A733" s="26" t="s">
        <v>191</v>
      </c>
      <c r="B733" s="26" t="s">
        <v>535</v>
      </c>
      <c r="C733" s="26" t="s">
        <v>506</v>
      </c>
      <c r="D733" s="26" t="s">
        <v>536</v>
      </c>
      <c r="E733" s="26" t="s">
        <v>537</v>
      </c>
      <c r="F733" s="101">
        <v>35</v>
      </c>
      <c r="G733" s="26" t="s">
        <v>529</v>
      </c>
      <c r="H733" s="102">
        <f>IFERROR(VLOOKUP($D733,NOMENCLATOR!$A:$F,6,FALSE()),"")*IF(OR($G733="g",$G733="ml"),0.001,1)</f>
        <v>3.6645400000000002E-2</v>
      </c>
      <c r="I733" s="102">
        <f t="shared" si="35"/>
        <v>1.282589</v>
      </c>
    </row>
    <row r="734" spans="1:11" x14ac:dyDescent="0.2">
      <c r="A734" s="26" t="s">
        <v>191</v>
      </c>
      <c r="B734" s="26" t="s">
        <v>535</v>
      </c>
      <c r="C734" s="26" t="s">
        <v>506</v>
      </c>
      <c r="D734" s="26" t="s">
        <v>560</v>
      </c>
      <c r="E734" s="26" t="s">
        <v>561</v>
      </c>
      <c r="F734" s="101">
        <v>1</v>
      </c>
      <c r="G734" s="26" t="s">
        <v>509</v>
      </c>
      <c r="H734" s="102">
        <f>IFERROR(VLOOKUP($D734,NOMENCLATOR!$A:$F,6,FALSE()),"")*IF(OR($G734="g",$G734="ml"),0.001,1)</f>
        <v>0.106</v>
      </c>
      <c r="I734" s="102">
        <f t="shared" si="35"/>
        <v>0.106</v>
      </c>
    </row>
    <row r="735" spans="1:11" x14ac:dyDescent="0.2">
      <c r="A735" s="26" t="s">
        <v>191</v>
      </c>
      <c r="B735" s="26" t="s">
        <v>535</v>
      </c>
      <c r="C735" s="26" t="s">
        <v>539</v>
      </c>
      <c r="D735" s="26" t="s">
        <v>546</v>
      </c>
      <c r="E735" s="26" t="s">
        <v>547</v>
      </c>
      <c r="F735" s="101">
        <v>20</v>
      </c>
      <c r="G735" s="26" t="s">
        <v>529</v>
      </c>
      <c r="H735" s="102">
        <f>IFERROR(VLOOKUP($D735,NOMENCLATOR!$A:$F,6,FALSE()),"")*IF(OR($G735="g",$G735="ml"),0.001,1)</f>
        <v>1.4E-2</v>
      </c>
      <c r="I735" s="102">
        <f t="shared" si="35"/>
        <v>0.28000000000000003</v>
      </c>
    </row>
    <row r="736" spans="1:11" x14ac:dyDescent="0.2">
      <c r="A736" s="26" t="s">
        <v>191</v>
      </c>
      <c r="B736" s="26" t="s">
        <v>535</v>
      </c>
      <c r="C736" s="26" t="s">
        <v>539</v>
      </c>
      <c r="D736" s="26" t="s">
        <v>827</v>
      </c>
      <c r="E736" s="26" t="s">
        <v>828</v>
      </c>
      <c r="F736" s="101">
        <v>1</v>
      </c>
      <c r="G736" s="26" t="s">
        <v>509</v>
      </c>
      <c r="H736" s="102">
        <f>IFERROR(VLOOKUP($D736,NOMENCLATOR!$A:$F,6,FALSE()),"")*IF(OR($G736="g",$G736="ml"),0.001,1)</f>
        <v>0.06</v>
      </c>
      <c r="I736" s="102">
        <f t="shared" si="35"/>
        <v>0.06</v>
      </c>
    </row>
    <row r="737" spans="1:11" x14ac:dyDescent="0.2">
      <c r="A737" s="26" t="s">
        <v>191</v>
      </c>
      <c r="B737" s="26" t="s">
        <v>535</v>
      </c>
      <c r="C737" s="26" t="s">
        <v>657</v>
      </c>
      <c r="D737" s="26" t="s">
        <v>829</v>
      </c>
      <c r="E737" s="26" t="s">
        <v>830</v>
      </c>
      <c r="F737" s="101">
        <v>1</v>
      </c>
      <c r="G737" s="26" t="s">
        <v>509</v>
      </c>
      <c r="H737" s="102">
        <f>IFERROR(VLOOKUP($D737,NOMENCLATOR!$A:$F,6,FALSE()),"")*IF(OR($G737="g",$G737="ml"),0.001,1)</f>
        <v>0.06</v>
      </c>
      <c r="I737" s="102">
        <f t="shared" si="35"/>
        <v>0.06</v>
      </c>
    </row>
    <row r="738" spans="1:11" x14ac:dyDescent="0.2">
      <c r="A738" s="26" t="s">
        <v>191</v>
      </c>
      <c r="B738" s="26" t="s">
        <v>535</v>
      </c>
      <c r="C738" s="26" t="s">
        <v>657</v>
      </c>
      <c r="D738" s="26" t="s">
        <v>831</v>
      </c>
      <c r="E738" s="26" t="s">
        <v>832</v>
      </c>
      <c r="F738" s="101">
        <v>20</v>
      </c>
      <c r="G738" s="26" t="s">
        <v>529</v>
      </c>
      <c r="H738" s="102">
        <f>IFERROR(VLOOKUP($D738,NOMENCLATOR!$A:$F,6,FALSE()),"")*IF(OR($G738="g",$G738="ml"),0.001,1)</f>
        <v>0.12115000000000001</v>
      </c>
      <c r="I738" s="102">
        <f t="shared" si="35"/>
        <v>2.423</v>
      </c>
    </row>
    <row r="739" spans="1:11" x14ac:dyDescent="0.2">
      <c r="A739" s="103" t="s">
        <v>191</v>
      </c>
      <c r="B739" s="104"/>
      <c r="C739" s="104"/>
      <c r="D739" s="104"/>
      <c r="E739" s="103" t="s">
        <v>510</v>
      </c>
      <c r="F739" s="104"/>
      <c r="G739" s="104"/>
      <c r="H739" s="104"/>
      <c r="I739" s="104"/>
      <c r="J739" s="105">
        <f>SUMIFS($I$732:$I$738,$C$732:$C$738,"AMBELE")+SUMIFS($I$732:$I$738,$C$732:$C$738,"INSTORE")</f>
        <v>4.0885889999999998</v>
      </c>
      <c r="K739" s="105">
        <f>SUMIFS($I$732:$I$738,$C$732:$C$738,"AMBELE")+SUMIFS($I$732:$I$738,$C$732:$C$738,"DELIVERY")</f>
        <v>6.2315889999999996</v>
      </c>
    </row>
    <row r="740" spans="1:11" x14ac:dyDescent="0.2">
      <c r="A740" s="26" t="s">
        <v>335</v>
      </c>
      <c r="B740" s="26" t="s">
        <v>111</v>
      </c>
      <c r="C740" s="26" t="s">
        <v>506</v>
      </c>
      <c r="D740" s="26" t="s">
        <v>833</v>
      </c>
      <c r="E740" s="26" t="s">
        <v>834</v>
      </c>
      <c r="F740" s="101">
        <v>1</v>
      </c>
      <c r="G740" s="26" t="s">
        <v>509</v>
      </c>
      <c r="H740" s="102">
        <f>IFERROR(VLOOKUP($D740,NOMENCLATOR!$A:$F,6,FALSE()),"")*IF(OR($G740="g",$G740="ml"),0.001,1)</f>
        <v>5.76</v>
      </c>
      <c r="I740" s="102">
        <f>IFERROR($F740*$H740,"")</f>
        <v>5.76</v>
      </c>
    </row>
    <row r="741" spans="1:11" x14ac:dyDescent="0.2">
      <c r="A741" s="103" t="s">
        <v>335</v>
      </c>
      <c r="B741" s="104"/>
      <c r="C741" s="104"/>
      <c r="D741" s="104"/>
      <c r="E741" s="103" t="s">
        <v>510</v>
      </c>
      <c r="F741" s="104"/>
      <c r="G741" s="104"/>
      <c r="H741" s="104"/>
      <c r="I741" s="104"/>
      <c r="J741" s="105">
        <f>SUMIFS($I$740:$I$740,$C$740:$C$740,"AMBELE")+SUMIFS($I$740:$I$740,$C$740:$C$740,"INSTORE")</f>
        <v>5.76</v>
      </c>
      <c r="K741" s="105">
        <f>SUMIFS($I$740:$I$740,$C$740:$C$740,"AMBELE")+SUMIFS($I$740:$I$740,$C$740:$C$740,"DELIVERY")</f>
        <v>5.76</v>
      </c>
    </row>
    <row r="742" spans="1:11" x14ac:dyDescent="0.2">
      <c r="A742" s="26" t="s">
        <v>243</v>
      </c>
      <c r="B742" s="26" t="s">
        <v>100</v>
      </c>
      <c r="C742" s="26" t="s">
        <v>506</v>
      </c>
      <c r="D742" s="26" t="s">
        <v>519</v>
      </c>
      <c r="E742" s="26" t="s">
        <v>520</v>
      </c>
      <c r="F742" s="101">
        <v>30</v>
      </c>
      <c r="G742" s="26" t="s">
        <v>509</v>
      </c>
      <c r="H742" s="102">
        <f>IFERROR(VLOOKUP($D742,NOMENCLATOR!$A:$F,6,FALSE()),"")*IF(OR($G742="g",$G742="ml"),0.001,1)</f>
        <v>1.5044299999999999</v>
      </c>
      <c r="I742" s="102">
        <f>IFERROR($F742*$H742,"")</f>
        <v>45.132899999999999</v>
      </c>
    </row>
    <row r="743" spans="1:11" x14ac:dyDescent="0.2">
      <c r="A743" s="26" t="s">
        <v>243</v>
      </c>
      <c r="B743" s="26" t="s">
        <v>100</v>
      </c>
      <c r="C743" s="26" t="s">
        <v>506</v>
      </c>
      <c r="D743" s="26" t="s">
        <v>513</v>
      </c>
      <c r="E743" s="26" t="s">
        <v>492</v>
      </c>
      <c r="F743" s="101">
        <v>120</v>
      </c>
      <c r="G743" s="26" t="s">
        <v>514</v>
      </c>
      <c r="H743" s="102">
        <f>IFERROR(VLOOKUP($D743,NOMENCLATOR!$A:$F,6,FALSE()),"")*IF(OR($G743="g",$G743="ml"),0.001,1)</f>
        <v>1.6897059999999998E-2</v>
      </c>
      <c r="I743" s="102">
        <f>IFERROR($F743*$H743,"")</f>
        <v>2.0276471999999996</v>
      </c>
    </row>
    <row r="744" spans="1:11" x14ac:dyDescent="0.2">
      <c r="A744" s="26" t="s">
        <v>243</v>
      </c>
      <c r="B744" s="26" t="s">
        <v>100</v>
      </c>
      <c r="C744" s="26" t="s">
        <v>506</v>
      </c>
      <c r="D744" s="26" t="s">
        <v>835</v>
      </c>
      <c r="E744" s="26" t="s">
        <v>836</v>
      </c>
      <c r="F744" s="101">
        <v>1</v>
      </c>
      <c r="G744" s="26" t="s">
        <v>509</v>
      </c>
      <c r="H744" s="102">
        <f>IFERROR(VLOOKUP($D744,NOMENCLATOR!$A:$F,6,FALSE()),"")*IF(OR($G744="g",$G744="ml"),0.001,1)</f>
        <v>2.06</v>
      </c>
      <c r="I744" s="102">
        <f>IFERROR($F744*$H744,"")</f>
        <v>2.06</v>
      </c>
    </row>
    <row r="745" spans="1:11" x14ac:dyDescent="0.2">
      <c r="A745" s="26" t="s">
        <v>243</v>
      </c>
      <c r="B745" s="26" t="s">
        <v>100</v>
      </c>
      <c r="C745" s="26" t="s">
        <v>506</v>
      </c>
      <c r="D745" s="26" t="s">
        <v>517</v>
      </c>
      <c r="E745" s="26" t="s">
        <v>518</v>
      </c>
      <c r="F745" s="101">
        <v>1</v>
      </c>
      <c r="G745" s="26" t="s">
        <v>509</v>
      </c>
      <c r="H745" s="102">
        <f>IFERROR(VLOOKUP($D745,NOMENCLATOR!$A:$F,6,FALSE()),"")*IF(OR($G745="g",$G745="ml"),0.001,1)</f>
        <v>0.19800000000000001</v>
      </c>
      <c r="I745" s="102">
        <f>IFERROR($F745*$H745,"")</f>
        <v>0.19800000000000001</v>
      </c>
    </row>
    <row r="746" spans="1:11" x14ac:dyDescent="0.2">
      <c r="A746" s="103" t="s">
        <v>243</v>
      </c>
      <c r="B746" s="104"/>
      <c r="C746" s="104"/>
      <c r="D746" s="104"/>
      <c r="E746" s="103" t="s">
        <v>510</v>
      </c>
      <c r="F746" s="104"/>
      <c r="G746" s="104"/>
      <c r="H746" s="104"/>
      <c r="I746" s="104"/>
      <c r="J746" s="105">
        <f>SUMIFS($I$742:$I$745,$C$742:$C$745,"AMBELE")+SUMIFS($I$742:$I$745,$C$742:$C$745,"INSTORE")</f>
        <v>49.418547199999999</v>
      </c>
      <c r="K746" s="105">
        <f>SUMIFS($I$742:$I$745,$C$742:$C$745,"AMBELE")+SUMIFS($I$742:$I$745,$C$742:$C$745,"DELIVERY")</f>
        <v>49.418547199999999</v>
      </c>
    </row>
    <row r="747" spans="1:11" x14ac:dyDescent="0.2">
      <c r="A747" s="26" t="s">
        <v>223</v>
      </c>
      <c r="B747" s="26" t="s">
        <v>100</v>
      </c>
      <c r="C747" s="26" t="s">
        <v>506</v>
      </c>
      <c r="D747" s="26" t="s">
        <v>511</v>
      </c>
      <c r="E747" s="26" t="s">
        <v>512</v>
      </c>
      <c r="F747" s="101">
        <v>30</v>
      </c>
      <c r="G747" s="26" t="s">
        <v>509</v>
      </c>
      <c r="H747" s="102">
        <f>IFERROR(VLOOKUP($D747,NOMENCLATOR!$A:$F,6,FALSE()),"")*IF(OR($G747="g",$G747="ml"),0.001,1)</f>
        <v>1.39123</v>
      </c>
      <c r="I747" s="102">
        <f>IFERROR($F747*$H747,"")</f>
        <v>41.736899999999999</v>
      </c>
    </row>
    <row r="748" spans="1:11" x14ac:dyDescent="0.2">
      <c r="A748" s="26" t="s">
        <v>223</v>
      </c>
      <c r="B748" s="26" t="s">
        <v>100</v>
      </c>
      <c r="C748" s="26" t="s">
        <v>506</v>
      </c>
      <c r="D748" s="26" t="s">
        <v>513</v>
      </c>
      <c r="E748" s="26" t="s">
        <v>492</v>
      </c>
      <c r="F748" s="101">
        <v>120</v>
      </c>
      <c r="G748" s="26" t="s">
        <v>514</v>
      </c>
      <c r="H748" s="102">
        <f>IFERROR(VLOOKUP($D748,NOMENCLATOR!$A:$F,6,FALSE()),"")*IF(OR($G748="g",$G748="ml"),0.001,1)</f>
        <v>1.6897059999999998E-2</v>
      </c>
      <c r="I748" s="102">
        <f>IFERROR($F748*$H748,"")</f>
        <v>2.0276471999999996</v>
      </c>
    </row>
    <row r="749" spans="1:11" x14ac:dyDescent="0.2">
      <c r="A749" s="26" t="s">
        <v>223</v>
      </c>
      <c r="B749" s="26" t="s">
        <v>100</v>
      </c>
      <c r="C749" s="26" t="s">
        <v>506</v>
      </c>
      <c r="D749" s="26" t="s">
        <v>835</v>
      </c>
      <c r="E749" s="26" t="s">
        <v>836</v>
      </c>
      <c r="F749" s="101">
        <v>1</v>
      </c>
      <c r="G749" s="26" t="s">
        <v>509</v>
      </c>
      <c r="H749" s="102">
        <f>IFERROR(VLOOKUP($D749,NOMENCLATOR!$A:$F,6,FALSE()),"")*IF(OR($G749="g",$G749="ml"),0.001,1)</f>
        <v>2.06</v>
      </c>
      <c r="I749" s="102">
        <f>IFERROR($F749*$H749,"")</f>
        <v>2.06</v>
      </c>
    </row>
    <row r="750" spans="1:11" x14ac:dyDescent="0.2">
      <c r="A750" s="26" t="s">
        <v>223</v>
      </c>
      <c r="B750" s="26" t="s">
        <v>100</v>
      </c>
      <c r="C750" s="26" t="s">
        <v>506</v>
      </c>
      <c r="D750" s="26" t="s">
        <v>517</v>
      </c>
      <c r="E750" s="26" t="s">
        <v>518</v>
      </c>
      <c r="F750" s="101">
        <v>1</v>
      </c>
      <c r="G750" s="26" t="s">
        <v>509</v>
      </c>
      <c r="H750" s="102">
        <f>IFERROR(VLOOKUP($D750,NOMENCLATOR!$A:$F,6,FALSE()),"")*IF(OR($G750="g",$G750="ml"),0.001,1)</f>
        <v>0.19800000000000001</v>
      </c>
      <c r="I750" s="102">
        <f>IFERROR($F750*$H750,"")</f>
        <v>0.19800000000000001</v>
      </c>
    </row>
    <row r="751" spans="1:11" x14ac:dyDescent="0.2">
      <c r="A751" s="103" t="s">
        <v>223</v>
      </c>
      <c r="B751" s="104"/>
      <c r="C751" s="104"/>
      <c r="D751" s="104"/>
      <c r="E751" s="103" t="s">
        <v>510</v>
      </c>
      <c r="F751" s="104"/>
      <c r="G751" s="104"/>
      <c r="H751" s="104"/>
      <c r="I751" s="104"/>
      <c r="J751" s="105">
        <f>SUMIFS($I$747:$I$750,$C$747:$C$750,"AMBELE")+SUMIFS($I$747:$I$750,$C$747:$C$750,"INSTORE")</f>
        <v>46.022547199999998</v>
      </c>
      <c r="K751" s="105">
        <f>SUMIFS($I$747:$I$750,$C$747:$C$750,"AMBELE")+SUMIFS($I$747:$I$750,$C$747:$C$750,"DELIVERY")</f>
        <v>46.022547199999998</v>
      </c>
    </row>
    <row r="752" spans="1:11" x14ac:dyDescent="0.2">
      <c r="A752" s="26" t="s">
        <v>173</v>
      </c>
      <c r="B752" s="26" t="s">
        <v>100</v>
      </c>
      <c r="C752" s="26" t="s">
        <v>506</v>
      </c>
      <c r="D752" s="26" t="s">
        <v>733</v>
      </c>
      <c r="E752" s="26" t="s">
        <v>734</v>
      </c>
      <c r="F752" s="101">
        <v>20</v>
      </c>
      <c r="G752" s="26" t="s">
        <v>509</v>
      </c>
      <c r="H752" s="102">
        <f>IFERROR(VLOOKUP($D752,NOMENCLATOR!$A:$F,6,FALSE()),"")*IF(OR($G752="g",$G752="ml"),0.001,1)</f>
        <v>2.75</v>
      </c>
      <c r="I752" s="102">
        <f>IFERROR($F752*$H752,"")</f>
        <v>55</v>
      </c>
    </row>
    <row r="753" spans="1:11" x14ac:dyDescent="0.2">
      <c r="A753" s="26" t="s">
        <v>173</v>
      </c>
      <c r="B753" s="26" t="s">
        <v>100</v>
      </c>
      <c r="C753" s="26" t="s">
        <v>506</v>
      </c>
      <c r="D753" s="26" t="s">
        <v>513</v>
      </c>
      <c r="E753" s="26" t="s">
        <v>492</v>
      </c>
      <c r="F753" s="101">
        <v>120</v>
      </c>
      <c r="G753" s="26" t="s">
        <v>514</v>
      </c>
      <c r="H753" s="102">
        <f>IFERROR(VLOOKUP($D753,NOMENCLATOR!$A:$F,6,FALSE()),"")*IF(OR($G753="g",$G753="ml"),0.001,1)</f>
        <v>1.6897059999999998E-2</v>
      </c>
      <c r="I753" s="102">
        <f>IFERROR($F753*$H753,"")</f>
        <v>2.0276471999999996</v>
      </c>
    </row>
    <row r="754" spans="1:11" x14ac:dyDescent="0.2">
      <c r="A754" s="26" t="s">
        <v>173</v>
      </c>
      <c r="B754" s="26" t="s">
        <v>100</v>
      </c>
      <c r="C754" s="26" t="s">
        <v>506</v>
      </c>
      <c r="D754" s="26" t="s">
        <v>835</v>
      </c>
      <c r="E754" s="26" t="s">
        <v>836</v>
      </c>
      <c r="F754" s="101">
        <v>1</v>
      </c>
      <c r="G754" s="26" t="s">
        <v>509</v>
      </c>
      <c r="H754" s="102">
        <f>IFERROR(VLOOKUP($D754,NOMENCLATOR!$A:$F,6,FALSE()),"")*IF(OR($G754="g",$G754="ml"),0.001,1)</f>
        <v>2.06</v>
      </c>
      <c r="I754" s="102">
        <f>IFERROR($F754*$H754,"")</f>
        <v>2.06</v>
      </c>
    </row>
    <row r="755" spans="1:11" x14ac:dyDescent="0.2">
      <c r="A755" s="26" t="s">
        <v>173</v>
      </c>
      <c r="B755" s="26" t="s">
        <v>100</v>
      </c>
      <c r="C755" s="26" t="s">
        <v>506</v>
      </c>
      <c r="D755" s="26" t="s">
        <v>517</v>
      </c>
      <c r="E755" s="26" t="s">
        <v>518</v>
      </c>
      <c r="F755" s="101">
        <v>1</v>
      </c>
      <c r="G755" s="26" t="s">
        <v>509</v>
      </c>
      <c r="H755" s="102">
        <f>IFERROR(VLOOKUP($D755,NOMENCLATOR!$A:$F,6,FALSE()),"")*IF(OR($G755="g",$G755="ml"),0.001,1)</f>
        <v>0.19800000000000001</v>
      </c>
      <c r="I755" s="102">
        <f>IFERROR($F755*$H755,"")</f>
        <v>0.19800000000000001</v>
      </c>
    </row>
    <row r="756" spans="1:11" x14ac:dyDescent="0.2">
      <c r="A756" s="103" t="s">
        <v>173</v>
      </c>
      <c r="B756" s="104"/>
      <c r="C756" s="104"/>
      <c r="D756" s="104"/>
      <c r="E756" s="103" t="s">
        <v>510</v>
      </c>
      <c r="F756" s="104"/>
      <c r="G756" s="104"/>
      <c r="H756" s="104"/>
      <c r="I756" s="104"/>
      <c r="J756" s="105">
        <f>SUMIFS($I$752:$I$755,$C$752:$C$755,"AMBELE")+SUMIFS($I$752:$I$755,$C$752:$C$755,"INSTORE")</f>
        <v>59.2856472</v>
      </c>
      <c r="K756" s="105">
        <f>SUMIFS($I$752:$I$755,$C$752:$C$755,"AMBELE")+SUMIFS($I$752:$I$755,$C$752:$C$755,"DELIVERY")</f>
        <v>59.2856472</v>
      </c>
    </row>
    <row r="757" spans="1:11" x14ac:dyDescent="0.2">
      <c r="A757" s="26" t="s">
        <v>161</v>
      </c>
      <c r="B757" s="26" t="s">
        <v>589</v>
      </c>
      <c r="C757" s="26" t="s">
        <v>539</v>
      </c>
      <c r="D757" s="26" t="s">
        <v>609</v>
      </c>
      <c r="E757" s="26" t="s">
        <v>610</v>
      </c>
      <c r="F757" s="101">
        <v>1</v>
      </c>
      <c r="G757" s="26" t="s">
        <v>509</v>
      </c>
      <c r="H757" s="102">
        <f>IFERROR(VLOOKUP($D757,NOMENCLATOR!$A:$F,6,FALSE()),"")*IF(OR($G757="g",$G757="ml"),0.001,1)</f>
        <v>0.86799999999999999</v>
      </c>
      <c r="I757" s="102">
        <f>IFERROR($F757*$H757,"")</f>
        <v>0.86799999999999999</v>
      </c>
    </row>
    <row r="758" spans="1:11" x14ac:dyDescent="0.2">
      <c r="A758" s="26" t="s">
        <v>161</v>
      </c>
      <c r="B758" s="26" t="s">
        <v>589</v>
      </c>
      <c r="C758" s="26" t="s">
        <v>539</v>
      </c>
      <c r="D758" s="26" t="s">
        <v>837</v>
      </c>
      <c r="E758" s="26" t="s">
        <v>838</v>
      </c>
      <c r="F758" s="101">
        <v>58.83</v>
      </c>
      <c r="G758" s="26" t="s">
        <v>514</v>
      </c>
      <c r="H758" s="102">
        <f>IFERROR(VLOOKUP($D758,NOMENCLATOR!$A:$F,6,FALSE()),"")*IF(OR($G758="g",$G758="ml"),0.001,1)</f>
        <v>4.4933639999999997E-2</v>
      </c>
      <c r="I758" s="102">
        <f>IFERROR($F758*$H758,"")</f>
        <v>2.6434460411999998</v>
      </c>
    </row>
    <row r="759" spans="1:11" x14ac:dyDescent="0.2">
      <c r="A759" s="103" t="s">
        <v>161</v>
      </c>
      <c r="B759" s="104"/>
      <c r="C759" s="104"/>
      <c r="D759" s="104"/>
      <c r="E759" s="103" t="s">
        <v>510</v>
      </c>
      <c r="F759" s="104"/>
      <c r="G759" s="104"/>
      <c r="H759" s="104"/>
      <c r="I759" s="104"/>
      <c r="J759" s="105">
        <f>SUMIFS($I$757:$I$758,$C$757:$C$758,"AMBELE")+SUMIFS($I$757:$I$758,$C$757:$C$758,"INSTORE")</f>
        <v>3.5114460411999997</v>
      </c>
      <c r="K759" s="105">
        <f>SUMIFS($I$757:$I$758,$C$757:$C$758,"AMBELE")+SUMIFS($I$757:$I$758,$C$757:$C$758,"DELIVERY")</f>
        <v>0</v>
      </c>
    </row>
    <row r="760" spans="1:11" x14ac:dyDescent="0.2">
      <c r="A760" s="26" t="s">
        <v>839</v>
      </c>
      <c r="B760" s="26" t="s">
        <v>103</v>
      </c>
      <c r="C760" s="26" t="s">
        <v>506</v>
      </c>
      <c r="D760" s="26" t="s">
        <v>637</v>
      </c>
      <c r="E760" s="26" t="s">
        <v>638</v>
      </c>
      <c r="F760" s="101">
        <v>1</v>
      </c>
      <c r="G760" s="26" t="s">
        <v>509</v>
      </c>
      <c r="H760" s="102">
        <f>IFERROR(VLOOKUP($D760,NOMENCLATOR!$A:$F,6,FALSE()),"")*IF(OR($G760="g",$G760="ml"),0.001,1)</f>
        <v>0.63100000000000001</v>
      </c>
      <c r="I760" s="102">
        <f>IFERROR($F760*$H760,"")</f>
        <v>0.63100000000000001</v>
      </c>
    </row>
    <row r="761" spans="1:11" x14ac:dyDescent="0.2">
      <c r="A761" s="26" t="s">
        <v>839</v>
      </c>
      <c r="B761" s="26" t="s">
        <v>103</v>
      </c>
      <c r="C761" s="26" t="s">
        <v>506</v>
      </c>
      <c r="D761" s="26" t="s">
        <v>611</v>
      </c>
      <c r="E761" s="26" t="s">
        <v>612</v>
      </c>
      <c r="F761" s="101">
        <v>41.66</v>
      </c>
      <c r="G761" s="26" t="s">
        <v>514</v>
      </c>
      <c r="H761" s="102">
        <f>IFERROR(VLOOKUP($D761,NOMENCLATOR!$A:$F,6,FALSE()),"")*IF(OR($G761="g",$G761="ml"),0.001,1)</f>
        <v>4.4933480000000005E-2</v>
      </c>
      <c r="I761" s="102">
        <f>IFERROR($F761*$H761,"")</f>
        <v>1.8719287768000001</v>
      </c>
    </row>
    <row r="762" spans="1:11" x14ac:dyDescent="0.2">
      <c r="A762" s="103" t="s">
        <v>839</v>
      </c>
      <c r="B762" s="104"/>
      <c r="C762" s="104"/>
      <c r="D762" s="104"/>
      <c r="E762" s="103" t="s">
        <v>510</v>
      </c>
      <c r="F762" s="104"/>
      <c r="G762" s="104"/>
      <c r="H762" s="104"/>
      <c r="I762" s="104"/>
      <c r="J762" s="105">
        <f>SUMIFS($I$760:$I$761,$C$760:$C$761,"AMBELE")+SUMIFS($I$760:$I$761,$C$760:$C$761,"INSTORE")</f>
        <v>2.5029287768000001</v>
      </c>
      <c r="K762" s="105">
        <f>SUMIFS($I$760:$I$761,$C$760:$C$761,"AMBELE")+SUMIFS($I$760:$I$761,$C$760:$C$761,"DELIVERY")</f>
        <v>2.5029287768000001</v>
      </c>
    </row>
    <row r="763" spans="1:11" x14ac:dyDescent="0.2">
      <c r="A763" s="26" t="s">
        <v>840</v>
      </c>
      <c r="B763" s="26" t="s">
        <v>103</v>
      </c>
      <c r="C763" s="26" t="s">
        <v>506</v>
      </c>
      <c r="D763" s="26" t="s">
        <v>841</v>
      </c>
      <c r="E763" s="26" t="s">
        <v>842</v>
      </c>
      <c r="F763" s="101">
        <v>1</v>
      </c>
      <c r="G763" s="26" t="s">
        <v>509</v>
      </c>
      <c r="H763" s="102">
        <f>IFERROR(VLOOKUP($D763,NOMENCLATOR!$A:$F,6,FALSE()),"")*IF(OR($G763="g",$G763="ml"),0.001,1)</f>
        <v>0.77700000000000002</v>
      </c>
      <c r="I763" s="102">
        <f>IFERROR($F763*$H763,"")</f>
        <v>0.77700000000000002</v>
      </c>
    </row>
    <row r="764" spans="1:11" x14ac:dyDescent="0.2">
      <c r="A764" s="26" t="s">
        <v>840</v>
      </c>
      <c r="B764" s="26" t="s">
        <v>103</v>
      </c>
      <c r="C764" s="26" t="s">
        <v>506</v>
      </c>
      <c r="D764" s="26" t="s">
        <v>611</v>
      </c>
      <c r="E764" s="26" t="s">
        <v>612</v>
      </c>
      <c r="F764" s="101">
        <v>83.32</v>
      </c>
      <c r="G764" s="26" t="s">
        <v>514</v>
      </c>
      <c r="H764" s="102">
        <f>IFERROR(VLOOKUP($D764,NOMENCLATOR!$A:$F,6,FALSE()),"")*IF(OR($G764="g",$G764="ml"),0.001,1)</f>
        <v>4.4933480000000005E-2</v>
      </c>
      <c r="I764" s="102">
        <f>IFERROR($F764*$H764,"")</f>
        <v>3.7438575536000003</v>
      </c>
    </row>
    <row r="765" spans="1:11" x14ac:dyDescent="0.2">
      <c r="A765" s="103" t="s">
        <v>840</v>
      </c>
      <c r="B765" s="104"/>
      <c r="C765" s="104"/>
      <c r="D765" s="104"/>
      <c r="E765" s="103" t="s">
        <v>510</v>
      </c>
      <c r="F765" s="104"/>
      <c r="G765" s="104"/>
      <c r="H765" s="104"/>
      <c r="I765" s="104"/>
      <c r="J765" s="105">
        <f>SUMIFS($I$763:$I$764,$C$763:$C$764,"AMBELE")+SUMIFS($I$763:$I$764,$C$763:$C$764,"INSTORE")</f>
        <v>4.5208575536</v>
      </c>
      <c r="K765" s="105">
        <f>SUMIFS($I$763:$I$764,$C$763:$C$764,"AMBELE")+SUMIFS($I$763:$I$764,$C$763:$C$764,"DELIVERY")</f>
        <v>4.5208575536</v>
      </c>
    </row>
    <row r="766" spans="1:11" x14ac:dyDescent="0.2">
      <c r="A766" s="26" t="s">
        <v>299</v>
      </c>
      <c r="B766" s="26" t="s">
        <v>103</v>
      </c>
      <c r="C766" s="26" t="s">
        <v>506</v>
      </c>
      <c r="D766" s="26" t="s">
        <v>843</v>
      </c>
      <c r="E766" s="26" t="s">
        <v>844</v>
      </c>
      <c r="F766" s="101">
        <v>1</v>
      </c>
      <c r="G766" s="26" t="s">
        <v>509</v>
      </c>
      <c r="H766" s="102">
        <f>IFERROR(VLOOKUP($D766,NOMENCLATOR!$A:$F,6,FALSE()),"")*IF(OR($G766="g",$G766="ml"),0.001,1)</f>
        <v>3.7050100000000001</v>
      </c>
      <c r="I766" s="102">
        <f>IFERROR($F766*$H766,"")</f>
        <v>3.7050100000000001</v>
      </c>
    </row>
    <row r="767" spans="1:11" x14ac:dyDescent="0.2">
      <c r="A767" s="103" t="s">
        <v>299</v>
      </c>
      <c r="B767" s="104"/>
      <c r="C767" s="104"/>
      <c r="D767" s="104"/>
      <c r="E767" s="103" t="s">
        <v>510</v>
      </c>
      <c r="F767" s="104"/>
      <c r="G767" s="104"/>
      <c r="H767" s="104"/>
      <c r="I767" s="104"/>
      <c r="J767" s="105">
        <f>SUMIFS($I$766:$I$766,$C$766:$C$766,"AMBELE")+SUMIFS($I$766:$I$766,$C$766:$C$766,"INSTORE")</f>
        <v>3.7050100000000001</v>
      </c>
      <c r="K767" s="105">
        <f>SUMIFS($I$766:$I$766,$C$766:$C$766,"AMBELE")+SUMIFS($I$766:$I$766,$C$766:$C$766,"DELIVERY")</f>
        <v>3.7050100000000001</v>
      </c>
    </row>
    <row r="768" spans="1:11" x14ac:dyDescent="0.2">
      <c r="A768" s="26" t="s">
        <v>302</v>
      </c>
      <c r="B768" s="26" t="s">
        <v>103</v>
      </c>
      <c r="C768" s="26" t="s">
        <v>506</v>
      </c>
      <c r="D768" s="26" t="s">
        <v>845</v>
      </c>
      <c r="E768" s="26" t="s">
        <v>846</v>
      </c>
      <c r="F768" s="101">
        <v>1</v>
      </c>
      <c r="G768" s="26" t="s">
        <v>509</v>
      </c>
      <c r="H768" s="102">
        <f>IFERROR(VLOOKUP($D768,NOMENCLATOR!$A:$F,6,FALSE()),"")*IF(OR($G768="g",$G768="ml"),0.001,1)</f>
        <v>3.702</v>
      </c>
      <c r="I768" s="102">
        <f>IFERROR($F768*$H768,"")</f>
        <v>3.702</v>
      </c>
    </row>
    <row r="769" spans="1:11" x14ac:dyDescent="0.2">
      <c r="A769" s="103" t="s">
        <v>302</v>
      </c>
      <c r="B769" s="104"/>
      <c r="C769" s="104"/>
      <c r="D769" s="104"/>
      <c r="E769" s="103" t="s">
        <v>510</v>
      </c>
      <c r="F769" s="104"/>
      <c r="G769" s="104"/>
      <c r="H769" s="104"/>
      <c r="I769" s="104"/>
      <c r="J769" s="105">
        <f>SUMIFS($I$768:$I$768,$C$768:$C$768,"AMBELE")+SUMIFS($I$768:$I$768,$C$768:$C$768,"INSTORE")</f>
        <v>3.702</v>
      </c>
      <c r="K769" s="105">
        <f>SUMIFS($I$768:$I$768,$C$768:$C$768,"AMBELE")+SUMIFS($I$768:$I$768,$C$768:$C$768,"DELIVERY")</f>
        <v>3.702</v>
      </c>
    </row>
    <row r="770" spans="1:11" x14ac:dyDescent="0.2">
      <c r="A770" s="26" t="s">
        <v>270</v>
      </c>
      <c r="B770" s="26" t="s">
        <v>589</v>
      </c>
      <c r="C770" s="26" t="s">
        <v>657</v>
      </c>
      <c r="D770" s="26" t="s">
        <v>847</v>
      </c>
      <c r="E770" s="26" t="s">
        <v>848</v>
      </c>
      <c r="F770" s="101">
        <v>1</v>
      </c>
      <c r="G770" s="26" t="s">
        <v>509</v>
      </c>
      <c r="H770" s="102">
        <f>IFERROR(VLOOKUP($D770,NOMENCLATOR!$A:$F,6,FALSE()),"")*IF(OR($G770="g",$G770="ml"),0.001,1)</f>
        <v>3.7360000000000002</v>
      </c>
      <c r="I770" s="102">
        <f>IFERROR($F770*$H770,"")</f>
        <v>3.7360000000000002</v>
      </c>
    </row>
    <row r="771" spans="1:11" x14ac:dyDescent="0.2">
      <c r="A771" s="103" t="s">
        <v>270</v>
      </c>
      <c r="B771" s="104"/>
      <c r="C771" s="104"/>
      <c r="D771" s="104"/>
      <c r="E771" s="103" t="s">
        <v>510</v>
      </c>
      <c r="F771" s="104"/>
      <c r="G771" s="104"/>
      <c r="H771" s="104"/>
      <c r="I771" s="104"/>
      <c r="J771" s="105">
        <f>SUMIFS($I$770:$I$770,$C$770:$C$770,"AMBELE")+SUMIFS($I$770:$I$770,$C$770:$C$770,"INSTORE")</f>
        <v>0</v>
      </c>
      <c r="K771" s="105">
        <f>SUMIFS($I$770:$I$770,$C$770:$C$770,"AMBELE")+SUMIFS($I$770:$I$770,$C$770:$C$770,"DELIVERY")</f>
        <v>3.7360000000000002</v>
      </c>
    </row>
    <row r="772" spans="1:11" x14ac:dyDescent="0.2">
      <c r="A772" s="26" t="s">
        <v>849</v>
      </c>
      <c r="B772" s="26" t="s">
        <v>589</v>
      </c>
      <c r="C772" s="26" t="s">
        <v>539</v>
      </c>
      <c r="D772" s="26" t="s">
        <v>637</v>
      </c>
      <c r="E772" s="26" t="s">
        <v>638</v>
      </c>
      <c r="F772" s="101">
        <v>1</v>
      </c>
      <c r="G772" s="26" t="s">
        <v>509</v>
      </c>
      <c r="H772" s="102">
        <f>IFERROR(VLOOKUP($D772,NOMENCLATOR!$A:$F,6,FALSE()),"")*IF(OR($G772="g",$G772="ml"),0.001,1)</f>
        <v>0.63100000000000001</v>
      </c>
      <c r="I772" s="102">
        <f>IFERROR($F772*$H772,"")</f>
        <v>0.63100000000000001</v>
      </c>
    </row>
    <row r="773" spans="1:11" x14ac:dyDescent="0.2">
      <c r="A773" s="26" t="s">
        <v>849</v>
      </c>
      <c r="B773" s="26" t="s">
        <v>589</v>
      </c>
      <c r="C773" s="26" t="s">
        <v>539</v>
      </c>
      <c r="D773" s="26" t="s">
        <v>850</v>
      </c>
      <c r="E773" s="26" t="s">
        <v>851</v>
      </c>
      <c r="F773" s="101">
        <v>41.66</v>
      </c>
      <c r="G773" s="26" t="s">
        <v>514</v>
      </c>
      <c r="H773" s="102">
        <f>IFERROR(VLOOKUP($D773,NOMENCLATOR!$A:$F,6,FALSE()),"")*IF(OR($G773="g",$G773="ml"),0.001,1)</f>
        <v>4.4935200000000002E-2</v>
      </c>
      <c r="I773" s="102">
        <f>IFERROR($F773*$H773,"")</f>
        <v>1.8720004319999999</v>
      </c>
    </row>
    <row r="774" spans="1:11" x14ac:dyDescent="0.2">
      <c r="A774" s="103" t="s">
        <v>849</v>
      </c>
      <c r="B774" s="104"/>
      <c r="C774" s="104"/>
      <c r="D774" s="104"/>
      <c r="E774" s="103" t="s">
        <v>510</v>
      </c>
      <c r="F774" s="104"/>
      <c r="G774" s="104"/>
      <c r="H774" s="104"/>
      <c r="I774" s="104"/>
      <c r="J774" s="105">
        <f>SUMIFS($I$772:$I$773,$C$772:$C$773,"AMBELE")+SUMIFS($I$772:$I$773,$C$772:$C$773,"INSTORE")</f>
        <v>2.5030004319999999</v>
      </c>
      <c r="K774" s="105">
        <f>SUMIFS($I$772:$I$773,$C$772:$C$773,"AMBELE")+SUMIFS($I$772:$I$773,$C$772:$C$773,"DELIVERY")</f>
        <v>0</v>
      </c>
    </row>
    <row r="775" spans="1:11" x14ac:dyDescent="0.2">
      <c r="A775" s="26" t="s">
        <v>172</v>
      </c>
      <c r="B775" s="26" t="s">
        <v>589</v>
      </c>
      <c r="C775" s="26" t="s">
        <v>539</v>
      </c>
      <c r="D775" s="26" t="s">
        <v>609</v>
      </c>
      <c r="E775" s="26" t="s">
        <v>610</v>
      </c>
      <c r="F775" s="101">
        <v>1</v>
      </c>
      <c r="G775" s="26" t="s">
        <v>509</v>
      </c>
      <c r="H775" s="102">
        <f>IFERROR(VLOOKUP($D775,NOMENCLATOR!$A:$F,6,FALSE()),"")*IF(OR($G775="g",$G775="ml"),0.001,1)</f>
        <v>0.86799999999999999</v>
      </c>
      <c r="I775" s="102">
        <f>IFERROR($F775*$H775,"")</f>
        <v>0.86799999999999999</v>
      </c>
    </row>
    <row r="776" spans="1:11" x14ac:dyDescent="0.2">
      <c r="A776" s="26" t="s">
        <v>172</v>
      </c>
      <c r="B776" s="26" t="s">
        <v>589</v>
      </c>
      <c r="C776" s="26" t="s">
        <v>539</v>
      </c>
      <c r="D776" s="26" t="s">
        <v>850</v>
      </c>
      <c r="E776" s="26" t="s">
        <v>851</v>
      </c>
      <c r="F776" s="101">
        <v>58.83</v>
      </c>
      <c r="G776" s="26" t="s">
        <v>514</v>
      </c>
      <c r="H776" s="102">
        <f>IFERROR(VLOOKUP($D776,NOMENCLATOR!$A:$F,6,FALSE()),"")*IF(OR($G776="g",$G776="ml"),0.001,1)</f>
        <v>4.4935200000000002E-2</v>
      </c>
      <c r="I776" s="102">
        <f>IFERROR($F776*$H776,"")</f>
        <v>2.6435378159999998</v>
      </c>
    </row>
    <row r="777" spans="1:11" x14ac:dyDescent="0.2">
      <c r="A777" s="103" t="s">
        <v>172</v>
      </c>
      <c r="B777" s="104"/>
      <c r="C777" s="104"/>
      <c r="D777" s="104"/>
      <c r="E777" s="103" t="s">
        <v>510</v>
      </c>
      <c r="F777" s="104"/>
      <c r="G777" s="104"/>
      <c r="H777" s="104"/>
      <c r="I777" s="104"/>
      <c r="J777" s="105">
        <f>SUMIFS($I$775:$I$776,$C$775:$C$776,"AMBELE")+SUMIFS($I$775:$I$776,$C$775:$C$776,"INSTORE")</f>
        <v>3.5115378159999997</v>
      </c>
      <c r="K777" s="105">
        <f>SUMIFS($I$775:$I$776,$C$775:$C$776,"AMBELE")+SUMIFS($I$775:$I$776,$C$775:$C$776,"DELIVERY")</f>
        <v>0</v>
      </c>
    </row>
    <row r="778" spans="1:11" x14ac:dyDescent="0.2">
      <c r="A778" s="26" t="s">
        <v>170</v>
      </c>
      <c r="B778" s="26" t="s">
        <v>589</v>
      </c>
      <c r="C778" s="26" t="s">
        <v>539</v>
      </c>
      <c r="D778" s="26" t="s">
        <v>613</v>
      </c>
      <c r="E778" s="26" t="s">
        <v>614</v>
      </c>
      <c r="F778" s="101">
        <v>1</v>
      </c>
      <c r="G778" s="26" t="s">
        <v>509</v>
      </c>
      <c r="H778" s="102">
        <f>IFERROR(VLOOKUP($D778,NOMENCLATOR!$A:$F,6,FALSE()),"")*IF(OR($G778="g",$G778="ml"),0.001,1)</f>
        <v>1.0469999999999999</v>
      </c>
      <c r="I778" s="102">
        <f>IFERROR($F778*$H778,"")</f>
        <v>1.0469999999999999</v>
      </c>
    </row>
    <row r="779" spans="1:11" x14ac:dyDescent="0.2">
      <c r="A779" s="26" t="s">
        <v>170</v>
      </c>
      <c r="B779" s="26" t="s">
        <v>589</v>
      </c>
      <c r="C779" s="26" t="s">
        <v>539</v>
      </c>
      <c r="D779" s="26" t="s">
        <v>850</v>
      </c>
      <c r="E779" s="26" t="s">
        <v>851</v>
      </c>
      <c r="F779" s="101">
        <v>83.32</v>
      </c>
      <c r="G779" s="26" t="s">
        <v>514</v>
      </c>
      <c r="H779" s="102">
        <f>IFERROR(VLOOKUP($D779,NOMENCLATOR!$A:$F,6,FALSE()),"")*IF(OR($G779="g",$G779="ml"),0.001,1)</f>
        <v>4.4935200000000002E-2</v>
      </c>
      <c r="I779" s="102">
        <f>IFERROR($F779*$H779,"")</f>
        <v>3.7440008639999998</v>
      </c>
    </row>
    <row r="780" spans="1:11" x14ac:dyDescent="0.2">
      <c r="A780" s="103" t="s">
        <v>170</v>
      </c>
      <c r="B780" s="104"/>
      <c r="C780" s="104"/>
      <c r="D780" s="104"/>
      <c r="E780" s="103" t="s">
        <v>510</v>
      </c>
      <c r="F780" s="104"/>
      <c r="G780" s="104"/>
      <c r="H780" s="104"/>
      <c r="I780" s="104"/>
      <c r="J780" s="105">
        <f>SUMIFS($I$778:$I$779,$C$778:$C$779,"AMBELE")+SUMIFS($I$778:$I$779,$C$778:$C$779,"INSTORE")</f>
        <v>4.7910008639999999</v>
      </c>
      <c r="K780" s="105">
        <f>SUMIFS($I$778:$I$779,$C$778:$C$779,"AMBELE")+SUMIFS($I$778:$I$779,$C$778:$C$779,"DELIVERY")</f>
        <v>0</v>
      </c>
    </row>
    <row r="781" spans="1:11" x14ac:dyDescent="0.2">
      <c r="A781" s="26" t="s">
        <v>852</v>
      </c>
      <c r="B781" s="26" t="s">
        <v>589</v>
      </c>
      <c r="C781" s="26" t="s">
        <v>539</v>
      </c>
      <c r="D781" s="26" t="s">
        <v>637</v>
      </c>
      <c r="E781" s="26" t="s">
        <v>638</v>
      </c>
      <c r="F781" s="101">
        <v>1</v>
      </c>
      <c r="G781" s="26" t="s">
        <v>509</v>
      </c>
      <c r="H781" s="102">
        <f>IFERROR(VLOOKUP($D781,NOMENCLATOR!$A:$F,6,FALSE()),"")*IF(OR($G781="g",$G781="ml"),0.001,1)</f>
        <v>0.63100000000000001</v>
      </c>
      <c r="I781" s="102">
        <f>IFERROR($F781*$H781,"")</f>
        <v>0.63100000000000001</v>
      </c>
    </row>
    <row r="782" spans="1:11" x14ac:dyDescent="0.2">
      <c r="A782" s="26" t="s">
        <v>852</v>
      </c>
      <c r="B782" s="26" t="s">
        <v>589</v>
      </c>
      <c r="C782" s="26" t="s">
        <v>539</v>
      </c>
      <c r="D782" s="26" t="s">
        <v>837</v>
      </c>
      <c r="E782" s="26" t="s">
        <v>838</v>
      </c>
      <c r="F782" s="101">
        <v>41.66</v>
      </c>
      <c r="G782" s="26" t="s">
        <v>514</v>
      </c>
      <c r="H782" s="102">
        <f>IFERROR(VLOOKUP($D782,NOMENCLATOR!$A:$F,6,FALSE()),"")*IF(OR($G782="g",$G782="ml"),0.001,1)</f>
        <v>4.4933639999999997E-2</v>
      </c>
      <c r="I782" s="102">
        <f>IFERROR($F782*$H782,"")</f>
        <v>1.8719354423999996</v>
      </c>
    </row>
    <row r="783" spans="1:11" x14ac:dyDescent="0.2">
      <c r="A783" s="26" t="s">
        <v>852</v>
      </c>
      <c r="B783" s="26" t="s">
        <v>589</v>
      </c>
      <c r="C783" s="26" t="s">
        <v>657</v>
      </c>
      <c r="D783" s="26" t="s">
        <v>715</v>
      </c>
      <c r="E783" s="26" t="s">
        <v>716</v>
      </c>
      <c r="F783" s="101">
        <v>1</v>
      </c>
      <c r="G783" s="26" t="s">
        <v>509</v>
      </c>
      <c r="H783" s="102">
        <f>IFERROR(VLOOKUP($D783,NOMENCLATOR!$A:$F,6,FALSE()),"")*IF(OR($G783="g",$G783="ml"),0.001,1)</f>
        <v>3.9249999999999998</v>
      </c>
      <c r="I783" s="102">
        <f>IFERROR($F783*$H783,"")</f>
        <v>3.9249999999999998</v>
      </c>
    </row>
    <row r="784" spans="1:11" x14ac:dyDescent="0.2">
      <c r="A784" s="103" t="s">
        <v>852</v>
      </c>
      <c r="B784" s="104"/>
      <c r="C784" s="104"/>
      <c r="D784" s="104"/>
      <c r="E784" s="103" t="s">
        <v>510</v>
      </c>
      <c r="F784" s="104"/>
      <c r="G784" s="104"/>
      <c r="H784" s="104"/>
      <c r="I784" s="104"/>
      <c r="J784" s="105">
        <f>SUMIFS($I$781:$I$783,$C$781:$C$783,"AMBELE")+SUMIFS($I$781:$I$783,$C$781:$C$783,"INSTORE")</f>
        <v>2.5029354423999997</v>
      </c>
      <c r="K784" s="105">
        <f>SUMIFS($I$781:$I$783,$C$781:$C$783,"AMBELE")+SUMIFS($I$781:$I$783,$C$781:$C$783,"DELIVERY")</f>
        <v>3.9249999999999998</v>
      </c>
    </row>
    <row r="785" spans="1:11" x14ac:dyDescent="0.2">
      <c r="A785" s="26" t="s">
        <v>158</v>
      </c>
      <c r="B785" s="26" t="s">
        <v>589</v>
      </c>
      <c r="C785" s="26" t="s">
        <v>539</v>
      </c>
      <c r="D785" s="26" t="s">
        <v>613</v>
      </c>
      <c r="E785" s="26" t="s">
        <v>614</v>
      </c>
      <c r="F785" s="101">
        <v>1</v>
      </c>
      <c r="G785" s="26" t="s">
        <v>509</v>
      </c>
      <c r="H785" s="102">
        <f>IFERROR(VLOOKUP($D785,NOMENCLATOR!$A:$F,6,FALSE()),"")*IF(OR($G785="g",$G785="ml"),0.001,1)</f>
        <v>1.0469999999999999</v>
      </c>
      <c r="I785" s="102">
        <f>IFERROR($F785*$H785,"")</f>
        <v>1.0469999999999999</v>
      </c>
    </row>
    <row r="786" spans="1:11" x14ac:dyDescent="0.2">
      <c r="A786" s="26" t="s">
        <v>158</v>
      </c>
      <c r="B786" s="26" t="s">
        <v>589</v>
      </c>
      <c r="C786" s="26" t="s">
        <v>539</v>
      </c>
      <c r="D786" s="26" t="s">
        <v>837</v>
      </c>
      <c r="E786" s="26" t="s">
        <v>838</v>
      </c>
      <c r="F786" s="101">
        <v>83.32</v>
      </c>
      <c r="G786" s="26" t="s">
        <v>514</v>
      </c>
      <c r="H786" s="102">
        <f>IFERROR(VLOOKUP($D786,NOMENCLATOR!$A:$F,6,FALSE()),"")*IF(OR($G786="g",$G786="ml"),0.001,1)</f>
        <v>4.4933639999999997E-2</v>
      </c>
      <c r="I786" s="102">
        <f>IFERROR($F786*$H786,"")</f>
        <v>3.7438708847999993</v>
      </c>
    </row>
    <row r="787" spans="1:11" x14ac:dyDescent="0.2">
      <c r="A787" s="103" t="s">
        <v>158</v>
      </c>
      <c r="B787" s="104"/>
      <c r="C787" s="104"/>
      <c r="D787" s="104"/>
      <c r="E787" s="103" t="s">
        <v>510</v>
      </c>
      <c r="F787" s="104"/>
      <c r="G787" s="104"/>
      <c r="H787" s="104"/>
      <c r="I787" s="104"/>
      <c r="J787" s="105">
        <f>SUMIFS($I$785:$I$786,$C$785:$C$786,"AMBELE")+SUMIFS($I$785:$I$786,$C$785:$C$786,"INSTORE")</f>
        <v>4.7908708847999995</v>
      </c>
      <c r="K787" s="105">
        <f>SUMIFS($I$785:$I$786,$C$785:$C$786,"AMBELE")+SUMIFS($I$785:$I$786,$C$785:$C$786,"DELIVERY")</f>
        <v>0</v>
      </c>
    </row>
    <row r="788" spans="1:11" x14ac:dyDescent="0.2">
      <c r="A788" s="26" t="s">
        <v>853</v>
      </c>
      <c r="B788" s="26" t="s">
        <v>111</v>
      </c>
      <c r="C788" s="26" t="s">
        <v>506</v>
      </c>
      <c r="D788" s="26" t="s">
        <v>854</v>
      </c>
      <c r="E788" s="26" t="s">
        <v>855</v>
      </c>
      <c r="F788" s="101">
        <v>1</v>
      </c>
      <c r="G788" s="26" t="s">
        <v>509</v>
      </c>
      <c r="H788" s="102">
        <f>IFERROR(VLOOKUP($D788,NOMENCLATOR!$A:$F,6,FALSE()),"")*IF(OR($G788="g",$G788="ml"),0.001,1)</f>
        <v>12</v>
      </c>
      <c r="I788" s="102">
        <f>IFERROR($F788*$H788,"")</f>
        <v>12</v>
      </c>
    </row>
    <row r="789" spans="1:11" x14ac:dyDescent="0.2">
      <c r="A789" s="103" t="s">
        <v>853</v>
      </c>
      <c r="B789" s="104"/>
      <c r="C789" s="104"/>
      <c r="D789" s="104"/>
      <c r="E789" s="103" t="s">
        <v>510</v>
      </c>
      <c r="F789" s="104"/>
      <c r="G789" s="104"/>
      <c r="H789" s="104"/>
      <c r="I789" s="104"/>
      <c r="J789" s="105">
        <f>SUMIFS($I$788:$I$788,$C$788:$C$788,"AMBELE")+SUMIFS($I$788:$I$788,$C$788:$C$788,"INSTORE")</f>
        <v>12</v>
      </c>
      <c r="K789" s="105">
        <f>SUMIFS($I$788:$I$788,$C$788:$C$788,"AMBELE")+SUMIFS($I$788:$I$788,$C$788:$C$788,"DELIVERY")</f>
        <v>12</v>
      </c>
    </row>
    <row r="790" spans="1:11" x14ac:dyDescent="0.2">
      <c r="A790" s="26" t="s">
        <v>314</v>
      </c>
      <c r="B790" s="26" t="s">
        <v>104</v>
      </c>
      <c r="C790" s="26" t="s">
        <v>506</v>
      </c>
      <c r="D790" s="26" t="s">
        <v>856</v>
      </c>
      <c r="E790" s="26" t="s">
        <v>857</v>
      </c>
      <c r="F790" s="101">
        <v>1</v>
      </c>
      <c r="G790" s="26" t="s">
        <v>509</v>
      </c>
      <c r="H790" s="102">
        <f>IFERROR(VLOOKUP($D790,NOMENCLATOR!$A:$F,6,FALSE()),"")*IF(OR($G790="g",$G790="ml"),0.001,1)</f>
        <v>9.50502</v>
      </c>
      <c r="I790" s="102">
        <f>IFERROR($F790*$H790,"")</f>
        <v>9.50502</v>
      </c>
    </row>
    <row r="791" spans="1:11" x14ac:dyDescent="0.2">
      <c r="A791" s="103" t="s">
        <v>314</v>
      </c>
      <c r="B791" s="104"/>
      <c r="C791" s="104"/>
      <c r="D791" s="104"/>
      <c r="E791" s="103" t="s">
        <v>510</v>
      </c>
      <c r="F791" s="104"/>
      <c r="G791" s="104"/>
      <c r="H791" s="104"/>
      <c r="I791" s="104"/>
      <c r="J791" s="105">
        <f>SUMIFS($I$790:$I$790,$C$790:$C$790,"AMBELE")+SUMIFS($I$790:$I$790,$C$790:$C$790,"INSTORE")</f>
        <v>9.50502</v>
      </c>
      <c r="K791" s="105">
        <f>SUMIFS($I$790:$I$790,$C$790:$C$790,"AMBELE")+SUMIFS($I$790:$I$790,$C$790:$C$790,"DELIVERY")</f>
        <v>9.50502</v>
      </c>
    </row>
    <row r="792" spans="1:11" x14ac:dyDescent="0.2">
      <c r="A792" s="26" t="s">
        <v>279</v>
      </c>
      <c r="B792" s="26" t="s">
        <v>104</v>
      </c>
      <c r="C792" s="26" t="s">
        <v>506</v>
      </c>
      <c r="D792" s="26" t="s">
        <v>858</v>
      </c>
      <c r="E792" s="26" t="s">
        <v>859</v>
      </c>
      <c r="F792" s="101">
        <v>1</v>
      </c>
      <c r="G792" s="26" t="s">
        <v>509</v>
      </c>
      <c r="H792" s="102">
        <f>IFERROR(VLOOKUP($D792,NOMENCLATOR!$A:$F,6,FALSE()),"")*IF(OR($G792="g",$G792="ml"),0.001,1)</f>
        <v>9.15</v>
      </c>
      <c r="I792" s="102">
        <f>IFERROR($F792*$H792,"")</f>
        <v>9.15</v>
      </c>
    </row>
    <row r="793" spans="1:11" x14ac:dyDescent="0.2">
      <c r="A793" s="26" t="s">
        <v>279</v>
      </c>
      <c r="B793" s="26" t="s">
        <v>104</v>
      </c>
      <c r="C793" s="26" t="s">
        <v>506</v>
      </c>
      <c r="D793" s="26" t="s">
        <v>645</v>
      </c>
      <c r="E793" s="26" t="s">
        <v>646</v>
      </c>
      <c r="F793" s="101">
        <v>1</v>
      </c>
      <c r="G793" s="26" t="s">
        <v>509</v>
      </c>
      <c r="H793" s="102">
        <f>IFERROR(VLOOKUP($D793,NOMENCLATOR!$A:$F,6,FALSE()),"")*IF(OR($G793="g",$G793="ml"),0.001,1)</f>
        <v>0.27</v>
      </c>
      <c r="I793" s="102">
        <f>IFERROR($F793*$H793,"")</f>
        <v>0.27</v>
      </c>
    </row>
    <row r="794" spans="1:11" x14ac:dyDescent="0.2">
      <c r="A794" s="103" t="s">
        <v>279</v>
      </c>
      <c r="B794" s="104"/>
      <c r="C794" s="104"/>
      <c r="D794" s="104"/>
      <c r="E794" s="103" t="s">
        <v>510</v>
      </c>
      <c r="F794" s="104"/>
      <c r="G794" s="104"/>
      <c r="H794" s="104"/>
      <c r="I794" s="104"/>
      <c r="J794" s="105">
        <f>SUMIFS($I$792:$I$793,$C$792:$C$793,"AMBELE")+SUMIFS($I$792:$I$793,$C$792:$C$793,"INSTORE")</f>
        <v>9.42</v>
      </c>
      <c r="K794" s="105">
        <f>SUMIFS($I$792:$I$793,$C$792:$C$793,"AMBELE")+SUMIFS($I$792:$I$793,$C$792:$C$793,"DELIVERY")</f>
        <v>9.42</v>
      </c>
    </row>
    <row r="795" spans="1:11" x14ac:dyDescent="0.2">
      <c r="A795" s="26" t="s">
        <v>285</v>
      </c>
      <c r="B795" s="26" t="s">
        <v>104</v>
      </c>
      <c r="C795" s="26" t="s">
        <v>506</v>
      </c>
      <c r="D795" s="26" t="s">
        <v>860</v>
      </c>
      <c r="E795" s="26" t="s">
        <v>861</v>
      </c>
      <c r="F795" s="101">
        <v>1</v>
      </c>
      <c r="G795" s="26" t="s">
        <v>509</v>
      </c>
      <c r="H795" s="102">
        <f>IFERROR(VLOOKUP($D795,NOMENCLATOR!$A:$F,6,FALSE()),"")*IF(OR($G795="g",$G795="ml"),0.001,1)</f>
        <v>5.0719799999999999</v>
      </c>
      <c r="I795" s="102">
        <f>IFERROR($F795*$H795,"")</f>
        <v>5.0719799999999999</v>
      </c>
    </row>
    <row r="796" spans="1:11" x14ac:dyDescent="0.2">
      <c r="A796" s="26" t="s">
        <v>285</v>
      </c>
      <c r="B796" s="26" t="s">
        <v>104</v>
      </c>
      <c r="C796" s="26" t="s">
        <v>506</v>
      </c>
      <c r="D796" s="26" t="s">
        <v>645</v>
      </c>
      <c r="E796" s="26" t="s">
        <v>646</v>
      </c>
      <c r="F796" s="101">
        <v>1</v>
      </c>
      <c r="G796" s="26" t="s">
        <v>509</v>
      </c>
      <c r="H796" s="102">
        <f>IFERROR(VLOOKUP($D796,NOMENCLATOR!$A:$F,6,FALSE()),"")*IF(OR($G796="g",$G796="ml"),0.001,1)</f>
        <v>0.27</v>
      </c>
      <c r="I796" s="102">
        <f>IFERROR($F796*$H796,"")</f>
        <v>0.27</v>
      </c>
    </row>
    <row r="797" spans="1:11" x14ac:dyDescent="0.2">
      <c r="A797" s="103" t="s">
        <v>285</v>
      </c>
      <c r="B797" s="104"/>
      <c r="C797" s="104"/>
      <c r="D797" s="104"/>
      <c r="E797" s="103" t="s">
        <v>510</v>
      </c>
      <c r="F797" s="104"/>
      <c r="G797" s="104"/>
      <c r="H797" s="104"/>
      <c r="I797" s="104"/>
      <c r="J797" s="105">
        <f>SUMIFS($I$795:$I$796,$C$795:$C$796,"AMBELE")+SUMIFS($I$795:$I$796,$C$795:$C$796,"INSTORE")</f>
        <v>5.3419799999999995</v>
      </c>
      <c r="K797" s="105">
        <f>SUMIFS($I$795:$I$796,$C$795:$C$796,"AMBELE")+SUMIFS($I$795:$I$796,$C$795:$C$796,"DELIVERY")</f>
        <v>5.3419799999999995</v>
      </c>
    </row>
    <row r="798" spans="1:11" x14ac:dyDescent="0.2">
      <c r="A798" s="26" t="s">
        <v>259</v>
      </c>
      <c r="B798" s="26" t="s">
        <v>589</v>
      </c>
      <c r="C798" s="26" t="s">
        <v>506</v>
      </c>
      <c r="D798" s="26" t="s">
        <v>862</v>
      </c>
      <c r="E798" s="26" t="s">
        <v>863</v>
      </c>
      <c r="F798" s="101">
        <v>1</v>
      </c>
      <c r="G798" s="26" t="s">
        <v>509</v>
      </c>
      <c r="H798" s="102">
        <f>IFERROR(VLOOKUP($D798,NOMENCLATOR!$A:$F,6,FALSE()),"")*IF(OR($G798="g",$G798="ml"),0.001,1)</f>
        <v>4.4089999999999998</v>
      </c>
      <c r="I798" s="102">
        <f>IFERROR($F798*$H798,"")</f>
        <v>4.4089999999999998</v>
      </c>
    </row>
    <row r="799" spans="1:11" x14ac:dyDescent="0.2">
      <c r="A799" s="103" t="s">
        <v>259</v>
      </c>
      <c r="B799" s="104"/>
      <c r="C799" s="104"/>
      <c r="D799" s="104"/>
      <c r="E799" s="103" t="s">
        <v>510</v>
      </c>
      <c r="F799" s="104"/>
      <c r="G799" s="104"/>
      <c r="H799" s="104"/>
      <c r="I799" s="104"/>
      <c r="J799" s="105">
        <f>SUMIFS($I$798:$I$798,$C$798:$C$798,"AMBELE")+SUMIFS($I$798:$I$798,$C$798:$C$798,"INSTORE")</f>
        <v>4.4089999999999998</v>
      </c>
      <c r="K799" s="105">
        <f>SUMIFS($I$798:$I$798,$C$798:$C$798,"AMBELE")+SUMIFS($I$798:$I$798,$C$798:$C$798,"DELIVERY")</f>
        <v>4.4089999999999998</v>
      </c>
    </row>
    <row r="800" spans="1:11" x14ac:dyDescent="0.2">
      <c r="A800" s="26" t="s">
        <v>276</v>
      </c>
      <c r="B800" s="26" t="s">
        <v>103</v>
      </c>
      <c r="C800" s="26" t="s">
        <v>506</v>
      </c>
      <c r="D800" s="26" t="s">
        <v>864</v>
      </c>
      <c r="E800" s="26" t="s">
        <v>865</v>
      </c>
      <c r="F800" s="101">
        <v>1</v>
      </c>
      <c r="G800" s="26" t="s">
        <v>509</v>
      </c>
      <c r="H800" s="102">
        <f>IFERROR(VLOOKUP($D800,NOMENCLATOR!$A:$F,6,FALSE()),"")*IF(OR($G800="g",$G800="ml"),0.001,1)</f>
        <v>4.17</v>
      </c>
      <c r="I800" s="102">
        <f>IFERROR($F800*$H800,"")</f>
        <v>4.17</v>
      </c>
    </row>
    <row r="801" spans="1:11" x14ac:dyDescent="0.2">
      <c r="A801" s="103" t="s">
        <v>276</v>
      </c>
      <c r="B801" s="104"/>
      <c r="C801" s="104"/>
      <c r="D801" s="104"/>
      <c r="E801" s="103" t="s">
        <v>510</v>
      </c>
      <c r="F801" s="104"/>
      <c r="G801" s="104"/>
      <c r="H801" s="104"/>
      <c r="I801" s="104"/>
      <c r="J801" s="105">
        <f>SUMIFS($I$800:$I$800,$C$800:$C$800,"AMBELE")+SUMIFS($I$800:$I$800,$C$800:$C$800,"INSTORE")</f>
        <v>4.17</v>
      </c>
      <c r="K801" s="105">
        <f>SUMIFS($I$800:$I$800,$C$800:$C$800,"AMBELE")+SUMIFS($I$800:$I$800,$C$800:$C$800,"DELIVERY")</f>
        <v>4.17</v>
      </c>
    </row>
    <row r="802" spans="1:11" x14ac:dyDescent="0.2">
      <c r="A802" s="26" t="s">
        <v>286</v>
      </c>
      <c r="B802" s="26" t="s">
        <v>104</v>
      </c>
      <c r="C802" s="26" t="s">
        <v>506</v>
      </c>
      <c r="D802" s="26" t="s">
        <v>866</v>
      </c>
      <c r="E802" s="26" t="s">
        <v>867</v>
      </c>
      <c r="F802" s="101">
        <v>1</v>
      </c>
      <c r="G802" s="26" t="s">
        <v>509</v>
      </c>
      <c r="H802" s="102">
        <f>IFERROR(VLOOKUP($D802,NOMENCLATOR!$A:$F,6,FALSE()),"")*IF(OR($G802="g",$G802="ml"),0.001,1)</f>
        <v>4.9270100000000001</v>
      </c>
      <c r="I802" s="102">
        <f>IFERROR($F802*$H802,"")</f>
        <v>4.9270100000000001</v>
      </c>
    </row>
    <row r="803" spans="1:11" x14ac:dyDescent="0.2">
      <c r="A803" s="26" t="s">
        <v>286</v>
      </c>
      <c r="B803" s="26" t="s">
        <v>104</v>
      </c>
      <c r="C803" s="26" t="s">
        <v>506</v>
      </c>
      <c r="D803" s="26" t="s">
        <v>645</v>
      </c>
      <c r="E803" s="26" t="s">
        <v>646</v>
      </c>
      <c r="F803" s="101">
        <v>1</v>
      </c>
      <c r="G803" s="26" t="s">
        <v>509</v>
      </c>
      <c r="H803" s="102">
        <f>IFERROR(VLOOKUP($D803,NOMENCLATOR!$A:$F,6,FALSE()),"")*IF(OR($G803="g",$G803="ml"),0.001,1)</f>
        <v>0.27</v>
      </c>
      <c r="I803" s="102">
        <f>IFERROR($F803*$H803,"")</f>
        <v>0.27</v>
      </c>
    </row>
    <row r="804" spans="1:11" x14ac:dyDescent="0.2">
      <c r="A804" s="103" t="s">
        <v>286</v>
      </c>
      <c r="B804" s="104"/>
      <c r="C804" s="104"/>
      <c r="D804" s="104"/>
      <c r="E804" s="103" t="s">
        <v>510</v>
      </c>
      <c r="F804" s="104"/>
      <c r="G804" s="104"/>
      <c r="H804" s="104"/>
      <c r="I804" s="104"/>
      <c r="J804" s="105">
        <f>SUMIFS($I$802:$I$803,$C$802:$C$803,"AMBELE")+SUMIFS($I$802:$I$803,$C$802:$C$803,"INSTORE")</f>
        <v>5.1970100000000006</v>
      </c>
      <c r="K804" s="105">
        <f>SUMIFS($I$802:$I$803,$C$802:$C$803,"AMBELE")+SUMIFS($I$802:$I$803,$C$802:$C$803,"DELIVERY")</f>
        <v>5.1970100000000006</v>
      </c>
    </row>
    <row r="805" spans="1:11" x14ac:dyDescent="0.2">
      <c r="A805" s="26" t="s">
        <v>323</v>
      </c>
      <c r="B805" s="26" t="s">
        <v>868</v>
      </c>
      <c r="C805" s="26" t="s">
        <v>539</v>
      </c>
      <c r="D805" s="26" t="s">
        <v>869</v>
      </c>
      <c r="E805" s="26" t="s">
        <v>870</v>
      </c>
      <c r="F805" s="101">
        <v>1</v>
      </c>
      <c r="G805" s="26" t="s">
        <v>509</v>
      </c>
      <c r="H805" s="102">
        <f>IFERROR(VLOOKUP($D805,NOMENCLATOR!$A:$F,6,FALSE()),"")*IF(OR($G805="g",$G805="ml"),0.001,1)</f>
        <v>1.6579999999999999</v>
      </c>
      <c r="I805" s="102">
        <f>IFERROR($F805*$H805,"")</f>
        <v>1.6579999999999999</v>
      </c>
    </row>
    <row r="806" spans="1:11" x14ac:dyDescent="0.2">
      <c r="A806" s="103" t="s">
        <v>323</v>
      </c>
      <c r="B806" s="104"/>
      <c r="C806" s="104"/>
      <c r="D806" s="104"/>
      <c r="E806" s="103" t="s">
        <v>510</v>
      </c>
      <c r="F806" s="104"/>
      <c r="G806" s="104"/>
      <c r="H806" s="104"/>
      <c r="I806" s="104"/>
      <c r="J806" s="105">
        <f>SUMIFS($I$805:$I$805,$C$805:$C$805,"AMBELE")+SUMIFS($I$805:$I$805,$C$805:$C$805,"INSTORE")</f>
        <v>1.6579999999999999</v>
      </c>
      <c r="K806" s="105">
        <f>SUMIFS($I$805:$I$805,$C$805:$C$805,"AMBELE")+SUMIFS($I$805:$I$805,$C$805:$C$805,"DELIVERY")</f>
        <v>0</v>
      </c>
    </row>
    <row r="807" spans="1:11" x14ac:dyDescent="0.2">
      <c r="A807" s="26" t="s">
        <v>160</v>
      </c>
      <c r="B807" s="26" t="s">
        <v>672</v>
      </c>
      <c r="C807" s="26" t="s">
        <v>506</v>
      </c>
      <c r="D807" s="26" t="s">
        <v>550</v>
      </c>
      <c r="E807" s="26" t="s">
        <v>551</v>
      </c>
      <c r="F807" s="101">
        <v>1</v>
      </c>
      <c r="G807" s="26" t="s">
        <v>509</v>
      </c>
      <c r="H807" s="102">
        <f>IFERROR(VLOOKUP($D807,NOMENCLATOR!$A:$F,6,FALSE()),"")*IF(OR($G807="g",$G807="ml"),0.001,1)</f>
        <v>2.36</v>
      </c>
      <c r="I807" s="102">
        <f t="shared" ref="I807:I812" si="36">IFERROR($F807*$H807,"")</f>
        <v>2.36</v>
      </c>
    </row>
    <row r="808" spans="1:11" x14ac:dyDescent="0.2">
      <c r="A808" s="26" t="s">
        <v>160</v>
      </c>
      <c r="B808" s="26" t="s">
        <v>672</v>
      </c>
      <c r="C808" s="26" t="s">
        <v>506</v>
      </c>
      <c r="D808" s="26" t="s">
        <v>562</v>
      </c>
      <c r="E808" s="26" t="s">
        <v>563</v>
      </c>
      <c r="F808" s="101">
        <v>1</v>
      </c>
      <c r="G808" s="26" t="s">
        <v>509</v>
      </c>
      <c r="H808" s="102">
        <f>IFERROR(VLOOKUP($D808,NOMENCLATOR!$A:$F,6,FALSE()),"")*IF(OR($G808="g",$G808="ml"),0.001,1)</f>
        <v>1.1499999999999999</v>
      </c>
      <c r="I808" s="102">
        <f t="shared" si="36"/>
        <v>1.1499999999999999</v>
      </c>
    </row>
    <row r="809" spans="1:11" x14ac:dyDescent="0.2">
      <c r="A809" s="26" t="s">
        <v>160</v>
      </c>
      <c r="B809" s="26" t="s">
        <v>672</v>
      </c>
      <c r="C809" s="26" t="s">
        <v>506</v>
      </c>
      <c r="D809" s="26" t="s">
        <v>664</v>
      </c>
      <c r="E809" s="26" t="s">
        <v>665</v>
      </c>
      <c r="F809" s="101">
        <v>1</v>
      </c>
      <c r="G809" s="26" t="s">
        <v>509</v>
      </c>
      <c r="H809" s="102">
        <f>IFERROR(VLOOKUP($D809,NOMENCLATOR!$A:$F,6,FALSE()),"")*IF(OR($G809="g",$G809="ml"),0.001,1)</f>
        <v>0.111</v>
      </c>
      <c r="I809" s="102">
        <f t="shared" si="36"/>
        <v>0.111</v>
      </c>
    </row>
    <row r="810" spans="1:11" x14ac:dyDescent="0.2">
      <c r="A810" s="26" t="s">
        <v>160</v>
      </c>
      <c r="B810" s="26" t="s">
        <v>672</v>
      </c>
      <c r="C810" s="26" t="s">
        <v>506</v>
      </c>
      <c r="D810" s="26" t="s">
        <v>513</v>
      </c>
      <c r="E810" s="26" t="s">
        <v>492</v>
      </c>
      <c r="F810" s="101">
        <v>20</v>
      </c>
      <c r="G810" s="26" t="s">
        <v>514</v>
      </c>
      <c r="H810" s="102">
        <f>IFERROR(VLOOKUP($D810,NOMENCLATOR!$A:$F,6,FALSE()),"")*IF(OR($G810="g",$G810="ml"),0.001,1)</f>
        <v>1.6897059999999998E-2</v>
      </c>
      <c r="I810" s="102">
        <f t="shared" si="36"/>
        <v>0.33794119999999994</v>
      </c>
    </row>
    <row r="811" spans="1:11" x14ac:dyDescent="0.2">
      <c r="A811" s="26" t="s">
        <v>160</v>
      </c>
      <c r="B811" s="26" t="s">
        <v>672</v>
      </c>
      <c r="C811" s="26" t="s">
        <v>506</v>
      </c>
      <c r="D811" s="26" t="s">
        <v>634</v>
      </c>
      <c r="E811" s="26" t="s">
        <v>635</v>
      </c>
      <c r="F811" s="101">
        <v>5.6</v>
      </c>
      <c r="G811" s="26" t="s">
        <v>529</v>
      </c>
      <c r="H811" s="102">
        <f>IFERROR(VLOOKUP($D811,NOMENCLATOR!$A:$F,6,FALSE()),"")*IF(OR($G811="g",$G811="ml"),0.001,1)</f>
        <v>1.554E-2</v>
      </c>
      <c r="I811" s="102">
        <f t="shared" si="36"/>
        <v>8.702399999999999E-2</v>
      </c>
    </row>
    <row r="812" spans="1:11" x14ac:dyDescent="0.2">
      <c r="A812" s="26" t="s">
        <v>160</v>
      </c>
      <c r="B812" s="26" t="s">
        <v>672</v>
      </c>
      <c r="C812" s="26" t="s">
        <v>506</v>
      </c>
      <c r="D812" s="26" t="s">
        <v>631</v>
      </c>
      <c r="E812" s="26" t="s">
        <v>491</v>
      </c>
      <c r="F812" s="101">
        <v>10</v>
      </c>
      <c r="G812" s="26" t="s">
        <v>514</v>
      </c>
      <c r="H812" s="102">
        <f>IFERROR(VLOOKUP($D812,NOMENCLATOR!$A:$F,6,FALSE()),"")*IF(OR($G812="g",$G812="ml"),0.001,1)</f>
        <v>2.2999820000000001E-2</v>
      </c>
      <c r="I812" s="102">
        <f t="shared" si="36"/>
        <v>0.22999820000000001</v>
      </c>
    </row>
    <row r="813" spans="1:11" x14ac:dyDescent="0.2">
      <c r="A813" s="103" t="s">
        <v>160</v>
      </c>
      <c r="B813" s="104"/>
      <c r="C813" s="104"/>
      <c r="D813" s="104"/>
      <c r="E813" s="103" t="s">
        <v>510</v>
      </c>
      <c r="F813" s="104"/>
      <c r="G813" s="104"/>
      <c r="H813" s="104"/>
      <c r="I813" s="104"/>
      <c r="J813" s="105">
        <f>SUMIFS($I$807:$I$812,$C$807:$C$812,"AMBELE")+SUMIFS($I$807:$I$812,$C$807:$C$812,"INSTORE")</f>
        <v>4.2759633999999993</v>
      </c>
      <c r="K813" s="105">
        <f>SUMIFS($I$807:$I$812,$C$807:$C$812,"AMBELE")+SUMIFS($I$807:$I$812,$C$807:$C$812,"DELIVERY")</f>
        <v>4.2759633999999993</v>
      </c>
    </row>
    <row r="814" spans="1:11" x14ac:dyDescent="0.2">
      <c r="A814" s="26" t="s">
        <v>206</v>
      </c>
      <c r="B814" s="26" t="s">
        <v>107</v>
      </c>
      <c r="C814" s="26" t="s">
        <v>539</v>
      </c>
      <c r="D814" s="26" t="s">
        <v>871</v>
      </c>
      <c r="E814" s="26" t="s">
        <v>872</v>
      </c>
      <c r="F814" s="101">
        <v>1</v>
      </c>
      <c r="G814" s="26" t="s">
        <v>509</v>
      </c>
      <c r="H814" s="102">
        <f>IFERROR(VLOOKUP($D814,NOMENCLATOR!$A:$F,6,FALSE()),"")*IF(OR($G814="g",$G814="ml"),0.001,1)</f>
        <v>0.93899999999999995</v>
      </c>
      <c r="I814" s="102">
        <f>IFERROR($F814*$H814,"")</f>
        <v>0.93899999999999995</v>
      </c>
    </row>
    <row r="815" spans="1:11" x14ac:dyDescent="0.2">
      <c r="A815" s="103" t="s">
        <v>206</v>
      </c>
      <c r="B815" s="104"/>
      <c r="C815" s="104"/>
      <c r="D815" s="104"/>
      <c r="E815" s="103" t="s">
        <v>510</v>
      </c>
      <c r="F815" s="104"/>
      <c r="G815" s="104"/>
      <c r="H815" s="104"/>
      <c r="I815" s="104"/>
      <c r="J815" s="105">
        <f>SUMIFS($I$814:$I$814,$C$814:$C$814,"AMBELE")+SUMIFS($I$814:$I$814,$C$814:$C$814,"INSTORE")</f>
        <v>0.93899999999999995</v>
      </c>
      <c r="K815" s="105">
        <f>SUMIFS($I$814:$I$814,$C$814:$C$814,"AMBELE")+SUMIFS($I$814:$I$814,$C$814:$C$814,"DELIVERY")</f>
        <v>0</v>
      </c>
    </row>
    <row r="816" spans="1:11" x14ac:dyDescent="0.2">
      <c r="A816" s="26" t="s">
        <v>166</v>
      </c>
      <c r="B816" s="26" t="s">
        <v>107</v>
      </c>
      <c r="C816" s="26" t="s">
        <v>506</v>
      </c>
      <c r="D816" s="26" t="s">
        <v>873</v>
      </c>
      <c r="E816" s="26" t="s">
        <v>874</v>
      </c>
      <c r="F816" s="101">
        <v>1</v>
      </c>
      <c r="G816" s="26" t="s">
        <v>509</v>
      </c>
      <c r="H816" s="102">
        <f>IFERROR(VLOOKUP($D816,NOMENCLATOR!$A:$F,6,FALSE()),"")*IF(OR($G816="g",$G816="ml"),0.001,1)</f>
        <v>0.52900000000000003</v>
      </c>
      <c r="I816" s="102">
        <f>IFERROR($F816*$H816,"")</f>
        <v>0.52900000000000003</v>
      </c>
    </row>
    <row r="817" spans="1:11" x14ac:dyDescent="0.2">
      <c r="A817" s="103" t="s">
        <v>166</v>
      </c>
      <c r="B817" s="104"/>
      <c r="C817" s="104"/>
      <c r="D817" s="104"/>
      <c r="E817" s="103" t="s">
        <v>510</v>
      </c>
      <c r="F817" s="104"/>
      <c r="G817" s="104"/>
      <c r="H817" s="104"/>
      <c r="I817" s="104"/>
      <c r="J817" s="105">
        <f>SUMIFS($I$816:$I$816,$C$816:$C$816,"AMBELE")+SUMIFS($I$816:$I$816,$C$816:$C$816,"INSTORE")</f>
        <v>0.52900000000000003</v>
      </c>
      <c r="K817" s="105">
        <f>SUMIFS($I$816:$I$816,$C$816:$C$816,"AMBELE")+SUMIFS($I$816:$I$816,$C$816:$C$816,"DELIVERY")</f>
        <v>0.52900000000000003</v>
      </c>
    </row>
    <row r="818" spans="1:11" x14ac:dyDescent="0.2">
      <c r="A818" s="26" t="s">
        <v>142</v>
      </c>
      <c r="B818" s="26" t="s">
        <v>647</v>
      </c>
      <c r="C818" s="26" t="s">
        <v>506</v>
      </c>
      <c r="D818" s="26" t="s">
        <v>653</v>
      </c>
      <c r="E818" s="26" t="s">
        <v>480</v>
      </c>
      <c r="F818" s="101">
        <v>243</v>
      </c>
      <c r="G818" s="26" t="s">
        <v>529</v>
      </c>
      <c r="H818" s="102">
        <f>IFERROR(VLOOKUP($D818,NOMENCLATOR!$A:$F,6,FALSE()),"")*IF(OR($G818="g",$G818="ml"),0.001,1)</f>
        <v>1.2203060000000002E-2</v>
      </c>
      <c r="I818" s="102">
        <f>IFERROR($F818*$H818,"")</f>
        <v>2.9653435800000003</v>
      </c>
    </row>
    <row r="819" spans="1:11" x14ac:dyDescent="0.2">
      <c r="A819" s="26" t="s">
        <v>142</v>
      </c>
      <c r="B819" s="26" t="s">
        <v>647</v>
      </c>
      <c r="C819" s="26" t="s">
        <v>506</v>
      </c>
      <c r="D819" s="26" t="s">
        <v>513</v>
      </c>
      <c r="E819" s="26" t="s">
        <v>492</v>
      </c>
      <c r="F819" s="101">
        <v>18.28</v>
      </c>
      <c r="G819" s="26" t="s">
        <v>514</v>
      </c>
      <c r="H819" s="102">
        <f>IFERROR(VLOOKUP($D819,NOMENCLATOR!$A:$F,6,FALSE()),"")*IF(OR($G819="g",$G819="ml"),0.001,1)</f>
        <v>1.6897059999999998E-2</v>
      </c>
      <c r="I819" s="102">
        <f>IFERROR($F819*$H819,"")</f>
        <v>0.30887825679999997</v>
      </c>
    </row>
    <row r="820" spans="1:11" x14ac:dyDescent="0.2">
      <c r="A820" s="26" t="s">
        <v>142</v>
      </c>
      <c r="B820" s="26" t="s">
        <v>647</v>
      </c>
      <c r="C820" s="26" t="s">
        <v>506</v>
      </c>
      <c r="D820" s="26" t="s">
        <v>650</v>
      </c>
      <c r="E820" s="26" t="s">
        <v>651</v>
      </c>
      <c r="F820" s="101">
        <v>1</v>
      </c>
      <c r="G820" s="26" t="s">
        <v>509</v>
      </c>
      <c r="H820" s="102">
        <f>IFERROR(VLOOKUP($D820,NOMENCLATOR!$A:$F,6,FALSE()),"")*IF(OR($G820="g",$G820="ml"),0.001,1)</f>
        <v>0.45300000000000001</v>
      </c>
      <c r="I820" s="102">
        <f>IFERROR($F820*$H820,"")</f>
        <v>0.45300000000000001</v>
      </c>
    </row>
    <row r="821" spans="1:11" x14ac:dyDescent="0.2">
      <c r="A821" s="103" t="s">
        <v>142</v>
      </c>
      <c r="B821" s="104"/>
      <c r="C821" s="104"/>
      <c r="D821" s="104"/>
      <c r="E821" s="103" t="s">
        <v>510</v>
      </c>
      <c r="F821" s="104"/>
      <c r="G821" s="104"/>
      <c r="H821" s="104"/>
      <c r="I821" s="104"/>
      <c r="J821" s="105">
        <f>SUMIFS($I$818:$I$820,$C$818:$C$820,"AMBELE")+SUMIFS($I$818:$I$820,$C$818:$C$820,"INSTORE")</f>
        <v>3.7272218368000001</v>
      </c>
      <c r="K821" s="105">
        <f>SUMIFS($I$818:$I$820,$C$818:$C$820,"AMBELE")+SUMIFS($I$818:$I$820,$C$818:$C$820,"DELIVERY")</f>
        <v>3.7272218368000001</v>
      </c>
    </row>
    <row r="822" spans="1:11" x14ac:dyDescent="0.2">
      <c r="A822" s="26" t="s">
        <v>284</v>
      </c>
      <c r="B822" s="26" t="s">
        <v>103</v>
      </c>
      <c r="C822" s="26" t="s">
        <v>506</v>
      </c>
      <c r="D822" s="26" t="s">
        <v>875</v>
      </c>
      <c r="E822" s="26" t="s">
        <v>876</v>
      </c>
      <c r="F822" s="101">
        <v>1</v>
      </c>
      <c r="G822" s="26" t="s">
        <v>509</v>
      </c>
      <c r="H822" s="102">
        <f>IFERROR(VLOOKUP($D822,NOMENCLATOR!$A:$F,6,FALSE()),"")*IF(OR($G822="g",$G822="ml"),0.001,1)</f>
        <v>6.08</v>
      </c>
      <c r="I822" s="102">
        <f>IFERROR($F822*$H822,"")</f>
        <v>6.08</v>
      </c>
    </row>
    <row r="823" spans="1:11" x14ac:dyDescent="0.2">
      <c r="A823" s="103" t="s">
        <v>284</v>
      </c>
      <c r="B823" s="104"/>
      <c r="C823" s="104"/>
      <c r="D823" s="104"/>
      <c r="E823" s="103" t="s">
        <v>510</v>
      </c>
      <c r="F823" s="104"/>
      <c r="G823" s="104"/>
      <c r="H823" s="104"/>
      <c r="I823" s="104"/>
      <c r="J823" s="105">
        <f>SUMIFS($I$822:$I$822,$C$822:$C$822,"AMBELE")+SUMIFS($I$822:$I$822,$C$822:$C$822,"INSTORE")</f>
        <v>6.08</v>
      </c>
      <c r="K823" s="105">
        <f>SUMIFS($I$822:$I$822,$C$822:$C$822,"AMBELE")+SUMIFS($I$822:$I$822,$C$822:$C$822,"DELIVERY")</f>
        <v>6.08</v>
      </c>
    </row>
    <row r="824" spans="1:11" x14ac:dyDescent="0.2">
      <c r="A824" s="26" t="s">
        <v>179</v>
      </c>
      <c r="B824" s="26" t="s">
        <v>566</v>
      </c>
      <c r="C824" s="26" t="s">
        <v>506</v>
      </c>
      <c r="D824" s="26" t="s">
        <v>550</v>
      </c>
      <c r="E824" s="26" t="s">
        <v>551</v>
      </c>
      <c r="F824" s="101">
        <v>1</v>
      </c>
      <c r="G824" s="26" t="s">
        <v>509</v>
      </c>
      <c r="H824" s="102">
        <f>IFERROR(VLOOKUP($D824,NOMENCLATOR!$A:$F,6,FALSE()),"")*IF(OR($G824="g",$G824="ml"),0.001,1)</f>
        <v>2.36</v>
      </c>
      <c r="I824" s="102">
        <f t="shared" ref="I824:I832" si="37">IFERROR($F824*$H824,"")</f>
        <v>2.36</v>
      </c>
    </row>
    <row r="825" spans="1:11" x14ac:dyDescent="0.2">
      <c r="A825" s="26" t="s">
        <v>179</v>
      </c>
      <c r="B825" s="26" t="s">
        <v>566</v>
      </c>
      <c r="C825" s="26" t="s">
        <v>506</v>
      </c>
      <c r="D825" s="26" t="s">
        <v>721</v>
      </c>
      <c r="E825" s="26" t="s">
        <v>722</v>
      </c>
      <c r="F825" s="101">
        <v>20</v>
      </c>
      <c r="G825" s="26" t="s">
        <v>514</v>
      </c>
      <c r="H825" s="102">
        <f>IFERROR(VLOOKUP($D825,NOMENCLATOR!$A:$F,6,FALSE()),"")*IF(OR($G825="g",$G825="ml"),0.001,1)</f>
        <v>3.9498510000000001E-2</v>
      </c>
      <c r="I825" s="102">
        <f t="shared" si="37"/>
        <v>0.78997019999999996</v>
      </c>
    </row>
    <row r="826" spans="1:11" x14ac:dyDescent="0.2">
      <c r="A826" s="26" t="s">
        <v>179</v>
      </c>
      <c r="B826" s="26" t="s">
        <v>566</v>
      </c>
      <c r="C826" s="26" t="s">
        <v>506</v>
      </c>
      <c r="D826" s="26" t="s">
        <v>623</v>
      </c>
      <c r="E826" s="26" t="s">
        <v>624</v>
      </c>
      <c r="F826" s="101">
        <v>7.5</v>
      </c>
      <c r="G826" s="26" t="s">
        <v>529</v>
      </c>
      <c r="H826" s="102">
        <f>IFERROR(VLOOKUP($D826,NOMENCLATOR!$A:$F,6,FALSE()),"")*IF(OR($G826="g",$G826="ml"),0.001,1)</f>
        <v>2.6576880000000001E-2</v>
      </c>
      <c r="I826" s="102">
        <f t="shared" si="37"/>
        <v>0.19932659999999999</v>
      </c>
    </row>
    <row r="827" spans="1:11" x14ac:dyDescent="0.2">
      <c r="A827" s="26" t="s">
        <v>179</v>
      </c>
      <c r="B827" s="26" t="s">
        <v>566</v>
      </c>
      <c r="C827" s="26" t="s">
        <v>506</v>
      </c>
      <c r="D827" s="26" t="s">
        <v>556</v>
      </c>
      <c r="E827" s="26" t="s">
        <v>557</v>
      </c>
      <c r="F827" s="101">
        <v>15</v>
      </c>
      <c r="G827" s="26" t="s">
        <v>529</v>
      </c>
      <c r="H827" s="102">
        <f>IFERROR(VLOOKUP($D827,NOMENCLATOR!$A:$F,6,FALSE()),"")*IF(OR($G827="g",$G827="ml"),0.001,1)</f>
        <v>2.0073709999999998E-2</v>
      </c>
      <c r="I827" s="102">
        <f t="shared" si="37"/>
        <v>0.30110564999999995</v>
      </c>
    </row>
    <row r="828" spans="1:11" x14ac:dyDescent="0.2">
      <c r="A828" s="26" t="s">
        <v>179</v>
      </c>
      <c r="B828" s="26" t="s">
        <v>566</v>
      </c>
      <c r="C828" s="26" t="s">
        <v>506</v>
      </c>
      <c r="D828" s="26" t="s">
        <v>530</v>
      </c>
      <c r="E828" s="26" t="s">
        <v>531</v>
      </c>
      <c r="F828" s="101">
        <v>1</v>
      </c>
      <c r="G828" s="26" t="s">
        <v>509</v>
      </c>
      <c r="H828" s="102">
        <f>IFERROR(VLOOKUP($D828,NOMENCLATOR!$A:$F,6,FALSE()),"")*IF(OR($G828="g",$G828="ml"),0.001,1)</f>
        <v>0.63</v>
      </c>
      <c r="I828" s="102">
        <f t="shared" si="37"/>
        <v>0.63</v>
      </c>
    </row>
    <row r="829" spans="1:11" x14ac:dyDescent="0.2">
      <c r="A829" s="26" t="s">
        <v>179</v>
      </c>
      <c r="B829" s="26" t="s">
        <v>566</v>
      </c>
      <c r="C829" s="26" t="s">
        <v>506</v>
      </c>
      <c r="D829" s="26" t="s">
        <v>567</v>
      </c>
      <c r="E829" s="26" t="s">
        <v>489</v>
      </c>
      <c r="F829" s="101">
        <v>1</v>
      </c>
      <c r="G829" s="26" t="s">
        <v>509</v>
      </c>
      <c r="H829" s="102">
        <f>IFERROR(VLOOKUP($D829,NOMENCLATOR!$A:$F,6,FALSE()),"")*IF(OR($G829="g",$G829="ml"),0.001,1)</f>
        <v>3.57</v>
      </c>
      <c r="I829" s="102">
        <f t="shared" si="37"/>
        <v>3.57</v>
      </c>
    </row>
    <row r="830" spans="1:11" x14ac:dyDescent="0.2">
      <c r="A830" s="26" t="s">
        <v>179</v>
      </c>
      <c r="B830" s="26" t="s">
        <v>566</v>
      </c>
      <c r="C830" s="26" t="s">
        <v>506</v>
      </c>
      <c r="D830" s="26" t="s">
        <v>527</v>
      </c>
      <c r="E830" s="26" t="s">
        <v>528</v>
      </c>
      <c r="F830" s="101">
        <v>28</v>
      </c>
      <c r="G830" s="26" t="s">
        <v>529</v>
      </c>
      <c r="H830" s="102">
        <f>IFERROR(VLOOKUP($D830,NOMENCLATOR!$A:$F,6,FALSE()),"")*IF(OR($G830="g",$G830="ml"),0.001,1)</f>
        <v>5.0773430000000001E-2</v>
      </c>
      <c r="I830" s="102">
        <f t="shared" si="37"/>
        <v>1.42165604</v>
      </c>
    </row>
    <row r="831" spans="1:11" x14ac:dyDescent="0.2">
      <c r="A831" s="26" t="s">
        <v>179</v>
      </c>
      <c r="B831" s="26" t="s">
        <v>566</v>
      </c>
      <c r="C831" s="26" t="s">
        <v>506</v>
      </c>
      <c r="D831" s="26" t="s">
        <v>619</v>
      </c>
      <c r="E831" s="26" t="s">
        <v>620</v>
      </c>
      <c r="F831" s="101">
        <v>1</v>
      </c>
      <c r="G831" s="26" t="s">
        <v>509</v>
      </c>
      <c r="H831" s="102">
        <f>IFERROR(VLOOKUP($D831,NOMENCLATOR!$A:$F,6,FALSE()),"")*IF(OR($G831="g",$G831="ml"),0.001,1)</f>
        <v>0.11</v>
      </c>
      <c r="I831" s="102">
        <f t="shared" si="37"/>
        <v>0.11</v>
      </c>
    </row>
    <row r="832" spans="1:11" x14ac:dyDescent="0.2">
      <c r="A832" s="26" t="s">
        <v>179</v>
      </c>
      <c r="B832" s="26" t="s">
        <v>566</v>
      </c>
      <c r="C832" s="26" t="s">
        <v>506</v>
      </c>
      <c r="D832" s="26" t="s">
        <v>723</v>
      </c>
      <c r="E832" s="26" t="s">
        <v>724</v>
      </c>
      <c r="F832" s="101">
        <v>1</v>
      </c>
      <c r="G832" s="26" t="s">
        <v>509</v>
      </c>
      <c r="H832" s="102">
        <f>IFERROR(VLOOKUP($D832,NOMENCLATOR!$A:$F,6,FALSE()),"")*IF(OR($G832="g",$G832="ml"),0.001,1)</f>
        <v>0.69299999999999995</v>
      </c>
      <c r="I832" s="102">
        <f t="shared" si="37"/>
        <v>0.69299999999999995</v>
      </c>
    </row>
    <row r="833" spans="1:11" x14ac:dyDescent="0.2">
      <c r="A833" s="103" t="s">
        <v>179</v>
      </c>
      <c r="B833" s="104"/>
      <c r="C833" s="104"/>
      <c r="D833" s="104"/>
      <c r="E833" s="103" t="s">
        <v>510</v>
      </c>
      <c r="F833" s="104"/>
      <c r="G833" s="104"/>
      <c r="H833" s="104"/>
      <c r="I833" s="104"/>
      <c r="J833" s="105">
        <f>SUMIFS($I$824:$I$832,$C$824:$C$832,"AMBELE")+SUMIFS($I$824:$I$832,$C$824:$C$832,"INSTORE")</f>
        <v>10.075058489999998</v>
      </c>
      <c r="K833" s="105">
        <f>SUMIFS($I$824:$I$832,$C$824:$C$832,"AMBELE")+SUMIFS($I$824:$I$832,$C$824:$C$832,"DELIVERY")</f>
        <v>10.075058489999998</v>
      </c>
    </row>
    <row r="834" spans="1:11" x14ac:dyDescent="0.2">
      <c r="A834" s="26" t="s">
        <v>268</v>
      </c>
      <c r="B834" s="26" t="s">
        <v>108</v>
      </c>
      <c r="C834" s="26" t="s">
        <v>506</v>
      </c>
      <c r="D834" s="26" t="s">
        <v>550</v>
      </c>
      <c r="E834" s="26" t="s">
        <v>551</v>
      </c>
      <c r="F834" s="101">
        <v>1</v>
      </c>
      <c r="G834" s="26" t="s">
        <v>509</v>
      </c>
      <c r="H834" s="102">
        <f>IFERROR(VLOOKUP($D834,NOMENCLATOR!$A:$F,6,FALSE()),"")*IF(OR($G834="g",$G834="ml"),0.001,1)</f>
        <v>2.36</v>
      </c>
      <c r="I834" s="102">
        <f t="shared" ref="I834:I841" si="38">IFERROR($F834*$H834,"")</f>
        <v>2.36</v>
      </c>
    </row>
    <row r="835" spans="1:11" x14ac:dyDescent="0.2">
      <c r="A835" s="26" t="s">
        <v>268</v>
      </c>
      <c r="B835" s="26" t="s">
        <v>108</v>
      </c>
      <c r="C835" s="26" t="s">
        <v>506</v>
      </c>
      <c r="D835" s="26" t="s">
        <v>877</v>
      </c>
      <c r="E835" s="26" t="s">
        <v>878</v>
      </c>
      <c r="F835" s="101">
        <v>1</v>
      </c>
      <c r="G835" s="26" t="s">
        <v>509</v>
      </c>
      <c r="H835" s="102">
        <f>IFERROR(VLOOKUP($D835,NOMENCLATOR!$A:$F,6,FALSE()),"")*IF(OR($G835="g",$G835="ml"),0.001,1)</f>
        <v>1.3670100000000001</v>
      </c>
      <c r="I835" s="102">
        <f t="shared" si="38"/>
        <v>1.3670100000000001</v>
      </c>
    </row>
    <row r="836" spans="1:11" x14ac:dyDescent="0.2">
      <c r="A836" s="26" t="s">
        <v>268</v>
      </c>
      <c r="B836" s="26" t="s">
        <v>108</v>
      </c>
      <c r="C836" s="26" t="s">
        <v>506</v>
      </c>
      <c r="D836" s="26" t="s">
        <v>560</v>
      </c>
      <c r="E836" s="26" t="s">
        <v>561</v>
      </c>
      <c r="F836" s="101">
        <v>1</v>
      </c>
      <c r="G836" s="26" t="s">
        <v>509</v>
      </c>
      <c r="H836" s="102">
        <f>IFERROR(VLOOKUP($D836,NOMENCLATOR!$A:$F,6,FALSE()),"")*IF(OR($G836="g",$G836="ml"),0.001,1)</f>
        <v>0.106</v>
      </c>
      <c r="I836" s="102">
        <f t="shared" si="38"/>
        <v>0.106</v>
      </c>
    </row>
    <row r="837" spans="1:11" x14ac:dyDescent="0.2">
      <c r="A837" s="26" t="s">
        <v>268</v>
      </c>
      <c r="B837" s="26" t="s">
        <v>108</v>
      </c>
      <c r="C837" s="26" t="s">
        <v>506</v>
      </c>
      <c r="D837" s="26" t="s">
        <v>530</v>
      </c>
      <c r="E837" s="26" t="s">
        <v>531</v>
      </c>
      <c r="F837" s="101">
        <v>1</v>
      </c>
      <c r="G837" s="26" t="s">
        <v>509</v>
      </c>
      <c r="H837" s="102">
        <f>IFERROR(VLOOKUP($D837,NOMENCLATOR!$A:$F,6,FALSE()),"")*IF(OR($G837="g",$G837="ml"),0.001,1)</f>
        <v>0.63</v>
      </c>
      <c r="I837" s="102">
        <f t="shared" si="38"/>
        <v>0.63</v>
      </c>
    </row>
    <row r="838" spans="1:11" x14ac:dyDescent="0.2">
      <c r="A838" s="26" t="s">
        <v>268</v>
      </c>
      <c r="B838" s="26" t="s">
        <v>108</v>
      </c>
      <c r="C838" s="26" t="s">
        <v>506</v>
      </c>
      <c r="D838" s="26" t="s">
        <v>554</v>
      </c>
      <c r="E838" s="26" t="s">
        <v>555</v>
      </c>
      <c r="F838" s="101">
        <v>1</v>
      </c>
      <c r="G838" s="26" t="s">
        <v>509</v>
      </c>
      <c r="H838" s="102">
        <f>IFERROR(VLOOKUP($D838,NOMENCLATOR!$A:$F,6,FALSE()),"")*IF(OR($G838="g",$G838="ml"),0.001,1)</f>
        <v>2.4359999999999999</v>
      </c>
      <c r="I838" s="102">
        <f t="shared" si="38"/>
        <v>2.4359999999999999</v>
      </c>
    </row>
    <row r="839" spans="1:11" x14ac:dyDescent="0.2">
      <c r="A839" s="26" t="s">
        <v>268</v>
      </c>
      <c r="B839" s="26" t="s">
        <v>108</v>
      </c>
      <c r="C839" s="26" t="s">
        <v>506</v>
      </c>
      <c r="D839" s="26" t="s">
        <v>879</v>
      </c>
      <c r="E839" s="26" t="s">
        <v>880</v>
      </c>
      <c r="F839" s="101">
        <v>1</v>
      </c>
      <c r="G839" s="26" t="s">
        <v>509</v>
      </c>
      <c r="H839" s="102">
        <f>IFERROR(VLOOKUP($D839,NOMENCLATOR!$A:$F,6,FALSE()),"")*IF(OR($G839="g",$G839="ml"),0.001,1)</f>
        <v>7.8E-2</v>
      </c>
      <c r="I839" s="102">
        <f t="shared" si="38"/>
        <v>7.8E-2</v>
      </c>
    </row>
    <row r="840" spans="1:11" x14ac:dyDescent="0.2">
      <c r="A840" s="26" t="s">
        <v>268</v>
      </c>
      <c r="B840" s="26" t="s">
        <v>108</v>
      </c>
      <c r="C840" s="26" t="s">
        <v>506</v>
      </c>
      <c r="D840" s="26" t="s">
        <v>634</v>
      </c>
      <c r="E840" s="26" t="s">
        <v>635</v>
      </c>
      <c r="F840" s="101">
        <v>11.2</v>
      </c>
      <c r="G840" s="26" t="s">
        <v>529</v>
      </c>
      <c r="H840" s="102">
        <f>IFERROR(VLOOKUP($D840,NOMENCLATOR!$A:$F,6,FALSE()),"")*IF(OR($G840="g",$G840="ml"),0.001,1)</f>
        <v>1.554E-2</v>
      </c>
      <c r="I840" s="102">
        <f t="shared" si="38"/>
        <v>0.17404799999999998</v>
      </c>
    </row>
    <row r="841" spans="1:11" x14ac:dyDescent="0.2">
      <c r="A841" s="26" t="s">
        <v>268</v>
      </c>
      <c r="B841" s="26" t="s">
        <v>108</v>
      </c>
      <c r="C841" s="26" t="s">
        <v>506</v>
      </c>
      <c r="D841" s="26" t="s">
        <v>513</v>
      </c>
      <c r="E841" s="26" t="s">
        <v>492</v>
      </c>
      <c r="F841" s="101">
        <v>20</v>
      </c>
      <c r="G841" s="26" t="s">
        <v>514</v>
      </c>
      <c r="H841" s="102">
        <f>IFERROR(VLOOKUP($D841,NOMENCLATOR!$A:$F,6,FALSE()),"")*IF(OR($G841="g",$G841="ml"),0.001,1)</f>
        <v>1.6897059999999998E-2</v>
      </c>
      <c r="I841" s="102">
        <f t="shared" si="38"/>
        <v>0.33794119999999994</v>
      </c>
    </row>
    <row r="842" spans="1:11" x14ac:dyDescent="0.2">
      <c r="A842" s="103" t="s">
        <v>268</v>
      </c>
      <c r="B842" s="104"/>
      <c r="C842" s="104"/>
      <c r="D842" s="104"/>
      <c r="E842" s="103" t="s">
        <v>510</v>
      </c>
      <c r="F842" s="104"/>
      <c r="G842" s="104"/>
      <c r="H842" s="104"/>
      <c r="I842" s="104"/>
      <c r="J842" s="105">
        <f>SUMIFS($I$834:$I$841,$C$834:$C$841,"AMBELE")+SUMIFS($I$834:$I$841,$C$834:$C$841,"INSTORE")</f>
        <v>7.4889992000000003</v>
      </c>
      <c r="K842" s="105">
        <f>SUMIFS($I$834:$I$841,$C$834:$C$841,"AMBELE")+SUMIFS($I$834:$I$841,$C$834:$C$841,"DELIVERY")</f>
        <v>7.4889992000000003</v>
      </c>
    </row>
    <row r="843" spans="1:11" x14ac:dyDescent="0.2">
      <c r="A843" s="26" t="s">
        <v>282</v>
      </c>
      <c r="B843" s="26" t="s">
        <v>107</v>
      </c>
      <c r="C843" s="26" t="s">
        <v>506</v>
      </c>
      <c r="D843" s="26" t="s">
        <v>881</v>
      </c>
      <c r="E843" s="26" t="s">
        <v>882</v>
      </c>
      <c r="F843" s="101">
        <v>1</v>
      </c>
      <c r="G843" s="26" t="s">
        <v>509</v>
      </c>
      <c r="H843" s="102">
        <f>IFERROR(VLOOKUP($D843,NOMENCLATOR!$A:$F,6,FALSE()),"")*IF(OR($G843="g",$G843="ml"),0.001,1)</f>
        <v>0.76</v>
      </c>
      <c r="I843" s="102">
        <f>IFERROR($F843*$H843,"")</f>
        <v>0.76</v>
      </c>
    </row>
    <row r="844" spans="1:11" x14ac:dyDescent="0.2">
      <c r="A844" s="103" t="s">
        <v>282</v>
      </c>
      <c r="B844" s="104"/>
      <c r="C844" s="104"/>
      <c r="D844" s="104"/>
      <c r="E844" s="103" t="s">
        <v>510</v>
      </c>
      <c r="F844" s="104"/>
      <c r="G844" s="104"/>
      <c r="H844" s="104"/>
      <c r="I844" s="104"/>
      <c r="J844" s="105">
        <f>SUMIFS($I$843:$I$843,$C$843:$C$843,"AMBELE")+SUMIFS($I$843:$I$843,$C$843:$C$843,"INSTORE")</f>
        <v>0.76</v>
      </c>
      <c r="K844" s="105">
        <f>SUMIFS($I$843:$I$843,$C$843:$C$843,"AMBELE")+SUMIFS($I$843:$I$843,$C$843:$C$843,"DELIVERY")</f>
        <v>0.76</v>
      </c>
    </row>
    <row r="845" spans="1:11" x14ac:dyDescent="0.2">
      <c r="A845" s="26" t="s">
        <v>220</v>
      </c>
      <c r="B845" s="26" t="s">
        <v>107</v>
      </c>
      <c r="C845" s="26" t="s">
        <v>506</v>
      </c>
      <c r="D845" s="26" t="s">
        <v>673</v>
      </c>
      <c r="E845" s="26" t="s">
        <v>674</v>
      </c>
      <c r="F845" s="101">
        <v>125</v>
      </c>
      <c r="G845" s="26" t="s">
        <v>529</v>
      </c>
      <c r="H845" s="102">
        <f>IFERROR(VLOOKUP($D845,NOMENCLATOR!$A:$F,6,FALSE()),"")*IF(OR($G845="g",$G845="ml"),0.001,1)</f>
        <v>1.8940000000000002E-2</v>
      </c>
      <c r="I845" s="102">
        <f>IFERROR($F845*$H845,"")</f>
        <v>2.3675000000000002</v>
      </c>
    </row>
    <row r="846" spans="1:11" x14ac:dyDescent="0.2">
      <c r="A846" s="26" t="s">
        <v>220</v>
      </c>
      <c r="B846" s="26" t="s">
        <v>107</v>
      </c>
      <c r="C846" s="26" t="s">
        <v>506</v>
      </c>
      <c r="D846" s="26" t="s">
        <v>883</v>
      </c>
      <c r="E846" s="26" t="s">
        <v>884</v>
      </c>
      <c r="F846" s="101">
        <v>1</v>
      </c>
      <c r="G846" s="26" t="s">
        <v>509</v>
      </c>
      <c r="H846" s="102">
        <f>IFERROR(VLOOKUP($D846,NOMENCLATOR!$A:$F,6,FALSE()),"")*IF(OR($G846="g",$G846="ml"),0.001,1)</f>
        <v>0.438</v>
      </c>
      <c r="I846" s="102">
        <f>IFERROR($F846*$H846,"")</f>
        <v>0.438</v>
      </c>
    </row>
    <row r="847" spans="1:11" x14ac:dyDescent="0.2">
      <c r="A847" s="26" t="s">
        <v>220</v>
      </c>
      <c r="B847" s="26" t="s">
        <v>107</v>
      </c>
      <c r="C847" s="26" t="s">
        <v>506</v>
      </c>
      <c r="D847" s="26" t="s">
        <v>885</v>
      </c>
      <c r="E847" s="26" t="s">
        <v>886</v>
      </c>
      <c r="F847" s="101">
        <v>1</v>
      </c>
      <c r="G847" s="26" t="s">
        <v>509</v>
      </c>
      <c r="H847" s="102">
        <f>IFERROR(VLOOKUP($D847,NOMENCLATOR!$A:$F,6,FALSE()),"")*IF(OR($G847="g",$G847="ml"),0.001,1)</f>
        <v>0.41099999999999998</v>
      </c>
      <c r="I847" s="102">
        <f>IFERROR($F847*$H847,"")</f>
        <v>0.41099999999999998</v>
      </c>
    </row>
    <row r="848" spans="1:11" x14ac:dyDescent="0.2">
      <c r="A848" s="26" t="s">
        <v>220</v>
      </c>
      <c r="B848" s="26" t="s">
        <v>107</v>
      </c>
      <c r="C848" s="26" t="s">
        <v>506</v>
      </c>
      <c r="D848" s="26" t="s">
        <v>645</v>
      </c>
      <c r="E848" s="26" t="s">
        <v>646</v>
      </c>
      <c r="F848" s="101">
        <v>1</v>
      </c>
      <c r="G848" s="26" t="s">
        <v>509</v>
      </c>
      <c r="H848" s="102">
        <f>IFERROR(VLOOKUP($D848,NOMENCLATOR!$A:$F,6,FALSE()),"")*IF(OR($G848="g",$G848="ml"),0.001,1)</f>
        <v>0.27</v>
      </c>
      <c r="I848" s="102">
        <f>IFERROR($F848*$H848,"")</f>
        <v>0.27</v>
      </c>
    </row>
    <row r="849" spans="1:11" x14ac:dyDescent="0.2">
      <c r="A849" s="103" t="s">
        <v>220</v>
      </c>
      <c r="B849" s="104"/>
      <c r="C849" s="104"/>
      <c r="D849" s="104"/>
      <c r="E849" s="103" t="s">
        <v>510</v>
      </c>
      <c r="F849" s="104"/>
      <c r="G849" s="104"/>
      <c r="H849" s="104"/>
      <c r="I849" s="104"/>
      <c r="J849" s="105">
        <f>SUMIFS($I$845:$I$848,$C$845:$C$848,"AMBELE")+SUMIFS($I$845:$I$848,$C$845:$C$848,"INSTORE")</f>
        <v>3.4865000000000004</v>
      </c>
      <c r="K849" s="105">
        <f>SUMIFS($I$845:$I$848,$C$845:$C$848,"AMBELE")+SUMIFS($I$845:$I$848,$C$845:$C$848,"DELIVERY")</f>
        <v>3.4865000000000004</v>
      </c>
    </row>
    <row r="850" spans="1:11" x14ac:dyDescent="0.2">
      <c r="A850" s="26" t="s">
        <v>162</v>
      </c>
      <c r="B850" s="26" t="s">
        <v>677</v>
      </c>
      <c r="C850" s="26" t="s">
        <v>506</v>
      </c>
      <c r="D850" s="26" t="s">
        <v>550</v>
      </c>
      <c r="E850" s="26" t="s">
        <v>551</v>
      </c>
      <c r="F850" s="101">
        <v>1</v>
      </c>
      <c r="G850" s="26" t="s">
        <v>509</v>
      </c>
      <c r="H850" s="102">
        <f>IFERROR(VLOOKUP($D850,NOMENCLATOR!$A:$F,6,FALSE()),"")*IF(OR($G850="g",$G850="ml"),0.001,1)</f>
        <v>2.36</v>
      </c>
      <c r="I850" s="102">
        <f t="shared" ref="I850:I856" si="39">IFERROR($F850*$H850,"")</f>
        <v>2.36</v>
      </c>
    </row>
    <row r="851" spans="1:11" x14ac:dyDescent="0.2">
      <c r="A851" s="26" t="s">
        <v>162</v>
      </c>
      <c r="B851" s="26" t="s">
        <v>677</v>
      </c>
      <c r="C851" s="26" t="s">
        <v>506</v>
      </c>
      <c r="D851" s="26" t="s">
        <v>562</v>
      </c>
      <c r="E851" s="26" t="s">
        <v>563</v>
      </c>
      <c r="F851" s="101">
        <v>1</v>
      </c>
      <c r="G851" s="26" t="s">
        <v>509</v>
      </c>
      <c r="H851" s="102">
        <f>IFERROR(VLOOKUP($D851,NOMENCLATOR!$A:$F,6,FALSE()),"")*IF(OR($G851="g",$G851="ml"),0.001,1)</f>
        <v>1.1499999999999999</v>
      </c>
      <c r="I851" s="102">
        <f t="shared" si="39"/>
        <v>1.1499999999999999</v>
      </c>
    </row>
    <row r="852" spans="1:11" x14ac:dyDescent="0.2">
      <c r="A852" s="26" t="s">
        <v>162</v>
      </c>
      <c r="B852" s="26" t="s">
        <v>677</v>
      </c>
      <c r="C852" s="26" t="s">
        <v>506</v>
      </c>
      <c r="D852" s="26" t="s">
        <v>513</v>
      </c>
      <c r="E852" s="26" t="s">
        <v>492</v>
      </c>
      <c r="F852" s="101">
        <v>20</v>
      </c>
      <c r="G852" s="26" t="s">
        <v>514</v>
      </c>
      <c r="H852" s="102">
        <f>IFERROR(VLOOKUP($D852,NOMENCLATOR!$A:$F,6,FALSE()),"")*IF(OR($G852="g",$G852="ml"),0.001,1)</f>
        <v>1.6897059999999998E-2</v>
      </c>
      <c r="I852" s="102">
        <f t="shared" si="39"/>
        <v>0.33794119999999994</v>
      </c>
    </row>
    <row r="853" spans="1:11" x14ac:dyDescent="0.2">
      <c r="A853" s="26" t="s">
        <v>162</v>
      </c>
      <c r="B853" s="26" t="s">
        <v>677</v>
      </c>
      <c r="C853" s="26" t="s">
        <v>506</v>
      </c>
      <c r="D853" s="26" t="s">
        <v>887</v>
      </c>
      <c r="E853" s="26" t="s">
        <v>888</v>
      </c>
      <c r="F853" s="101">
        <v>15</v>
      </c>
      <c r="G853" s="26" t="s">
        <v>514</v>
      </c>
      <c r="H853" s="102">
        <f>IFERROR(VLOOKUP($D853,NOMENCLATOR!$A:$F,6,FALSE()),"")*IF(OR($G853="g",$G853="ml"),0.001,1)</f>
        <v>3.2896910000000001E-2</v>
      </c>
      <c r="I853" s="102">
        <f t="shared" si="39"/>
        <v>0.49345365000000002</v>
      </c>
    </row>
    <row r="854" spans="1:11" x14ac:dyDescent="0.2">
      <c r="A854" s="26" t="s">
        <v>162</v>
      </c>
      <c r="B854" s="26" t="s">
        <v>677</v>
      </c>
      <c r="C854" s="26" t="s">
        <v>506</v>
      </c>
      <c r="D854" s="26" t="s">
        <v>634</v>
      </c>
      <c r="E854" s="26" t="s">
        <v>635</v>
      </c>
      <c r="F854" s="101">
        <v>5.6</v>
      </c>
      <c r="G854" s="26" t="s">
        <v>529</v>
      </c>
      <c r="H854" s="102">
        <f>IFERROR(VLOOKUP($D854,NOMENCLATOR!$A:$F,6,FALSE()),"")*IF(OR($G854="g",$G854="ml"),0.001,1)</f>
        <v>1.554E-2</v>
      </c>
      <c r="I854" s="102">
        <f t="shared" si="39"/>
        <v>8.702399999999999E-2</v>
      </c>
    </row>
    <row r="855" spans="1:11" x14ac:dyDescent="0.2">
      <c r="A855" s="26" t="s">
        <v>162</v>
      </c>
      <c r="B855" s="26" t="s">
        <v>677</v>
      </c>
      <c r="C855" s="26" t="s">
        <v>506</v>
      </c>
      <c r="D855" s="26" t="s">
        <v>558</v>
      </c>
      <c r="E855" s="26" t="s">
        <v>559</v>
      </c>
      <c r="F855" s="101">
        <v>10</v>
      </c>
      <c r="G855" s="26" t="s">
        <v>529</v>
      </c>
      <c r="H855" s="102">
        <f>IFERROR(VLOOKUP($D855,NOMENCLATOR!$A:$F,6,FALSE()),"")*IF(OR($G855="g",$G855="ml"),0.001,1)</f>
        <v>3.6000000000000004E-2</v>
      </c>
      <c r="I855" s="102">
        <f t="shared" si="39"/>
        <v>0.36000000000000004</v>
      </c>
    </row>
    <row r="856" spans="1:11" x14ac:dyDescent="0.2">
      <c r="A856" s="26" t="s">
        <v>162</v>
      </c>
      <c r="B856" s="26" t="s">
        <v>677</v>
      </c>
      <c r="C856" s="26" t="s">
        <v>506</v>
      </c>
      <c r="D856" s="26" t="s">
        <v>664</v>
      </c>
      <c r="E856" s="26" t="s">
        <v>665</v>
      </c>
      <c r="F856" s="101">
        <v>1</v>
      </c>
      <c r="G856" s="26" t="s">
        <v>509</v>
      </c>
      <c r="H856" s="102">
        <f>IFERROR(VLOOKUP($D856,NOMENCLATOR!$A:$F,6,FALSE()),"")*IF(OR($G856="g",$G856="ml"),0.001,1)</f>
        <v>0.111</v>
      </c>
      <c r="I856" s="102">
        <f t="shared" si="39"/>
        <v>0.111</v>
      </c>
    </row>
    <row r="857" spans="1:11" x14ac:dyDescent="0.2">
      <c r="A857" s="103" t="s">
        <v>162</v>
      </c>
      <c r="B857" s="104"/>
      <c r="C857" s="104"/>
      <c r="D857" s="104"/>
      <c r="E857" s="103" t="s">
        <v>510</v>
      </c>
      <c r="F857" s="104"/>
      <c r="G857" s="104"/>
      <c r="H857" s="104"/>
      <c r="I857" s="104"/>
      <c r="J857" s="105">
        <f>SUMIFS($I$850:$I$856,$C$850:$C$856,"AMBELE")+SUMIFS($I$850:$I$856,$C$850:$C$856,"INSTORE")</f>
        <v>4.89941885</v>
      </c>
      <c r="K857" s="105">
        <f>SUMIFS($I$850:$I$856,$C$850:$C$856,"AMBELE")+SUMIFS($I$850:$I$856,$C$850:$C$856,"DELIVERY")</f>
        <v>4.89941885</v>
      </c>
    </row>
    <row r="858" spans="1:11" x14ac:dyDescent="0.2">
      <c r="A858" s="26" t="s">
        <v>198</v>
      </c>
      <c r="B858" s="26" t="s">
        <v>889</v>
      </c>
      <c r="C858" s="26" t="s">
        <v>506</v>
      </c>
      <c r="D858" s="26" t="s">
        <v>550</v>
      </c>
      <c r="E858" s="26" t="s">
        <v>551</v>
      </c>
      <c r="F858" s="101">
        <v>1</v>
      </c>
      <c r="G858" s="26" t="s">
        <v>509</v>
      </c>
      <c r="H858" s="102">
        <f>IFERROR(VLOOKUP($D858,NOMENCLATOR!$A:$F,6,FALSE()),"")*IF(OR($G858="g",$G858="ml"),0.001,1)</f>
        <v>2.36</v>
      </c>
      <c r="I858" s="102">
        <f t="shared" ref="I858:I863" si="40">IFERROR($F858*$H858,"")</f>
        <v>2.36</v>
      </c>
    </row>
    <row r="859" spans="1:11" x14ac:dyDescent="0.2">
      <c r="A859" s="26" t="s">
        <v>198</v>
      </c>
      <c r="B859" s="26" t="s">
        <v>889</v>
      </c>
      <c r="C859" s="26" t="s">
        <v>506</v>
      </c>
      <c r="D859" s="26" t="s">
        <v>890</v>
      </c>
      <c r="E859" s="26" t="s">
        <v>891</v>
      </c>
      <c r="F859" s="101">
        <v>1</v>
      </c>
      <c r="G859" s="26" t="s">
        <v>509</v>
      </c>
      <c r="H859" s="102">
        <f>IFERROR(VLOOKUP($D859,NOMENCLATOR!$A:$F,6,FALSE()),"")*IF(OR($G859="g",$G859="ml"),0.001,1)</f>
        <v>5.4009999999999998</v>
      </c>
      <c r="I859" s="102">
        <f t="shared" si="40"/>
        <v>5.4009999999999998</v>
      </c>
    </row>
    <row r="860" spans="1:11" x14ac:dyDescent="0.2">
      <c r="A860" s="26" t="s">
        <v>198</v>
      </c>
      <c r="B860" s="26" t="s">
        <v>889</v>
      </c>
      <c r="C860" s="26" t="s">
        <v>506</v>
      </c>
      <c r="D860" s="26" t="s">
        <v>513</v>
      </c>
      <c r="E860" s="26" t="s">
        <v>492</v>
      </c>
      <c r="F860" s="101">
        <v>20</v>
      </c>
      <c r="G860" s="26" t="s">
        <v>514</v>
      </c>
      <c r="H860" s="102">
        <f>IFERROR(VLOOKUP($D860,NOMENCLATOR!$A:$F,6,FALSE()),"")*IF(OR($G860="g",$G860="ml"),0.001,1)</f>
        <v>1.6897059999999998E-2</v>
      </c>
      <c r="I860" s="102">
        <f t="shared" si="40"/>
        <v>0.33794119999999994</v>
      </c>
    </row>
    <row r="861" spans="1:11" x14ac:dyDescent="0.2">
      <c r="A861" s="26" t="s">
        <v>198</v>
      </c>
      <c r="B861" s="26" t="s">
        <v>889</v>
      </c>
      <c r="C861" s="26" t="s">
        <v>506</v>
      </c>
      <c r="D861" s="26" t="s">
        <v>892</v>
      </c>
      <c r="E861" s="26" t="s">
        <v>893</v>
      </c>
      <c r="F861" s="101">
        <v>40</v>
      </c>
      <c r="G861" s="26" t="s">
        <v>514</v>
      </c>
      <c r="H861" s="102">
        <f>IFERROR(VLOOKUP($D861,NOMENCLATOR!$A:$F,6,FALSE()),"")*IF(OR($G861="g",$G861="ml"),0.001,1)</f>
        <v>3.21607E-2</v>
      </c>
      <c r="I861" s="102">
        <f t="shared" si="40"/>
        <v>1.2864279999999999</v>
      </c>
    </row>
    <row r="862" spans="1:11" x14ac:dyDescent="0.2">
      <c r="A862" s="26" t="s">
        <v>198</v>
      </c>
      <c r="B862" s="26" t="s">
        <v>889</v>
      </c>
      <c r="C862" s="26" t="s">
        <v>506</v>
      </c>
      <c r="D862" s="26" t="s">
        <v>558</v>
      </c>
      <c r="E862" s="26" t="s">
        <v>559</v>
      </c>
      <c r="F862" s="101">
        <v>20</v>
      </c>
      <c r="G862" s="26" t="s">
        <v>529</v>
      </c>
      <c r="H862" s="102">
        <f>IFERROR(VLOOKUP($D862,NOMENCLATOR!$A:$F,6,FALSE()),"")*IF(OR($G862="g",$G862="ml"),0.001,1)</f>
        <v>3.6000000000000004E-2</v>
      </c>
      <c r="I862" s="102">
        <f t="shared" si="40"/>
        <v>0.72000000000000008</v>
      </c>
    </row>
    <row r="863" spans="1:11" x14ac:dyDescent="0.2">
      <c r="A863" s="26" t="s">
        <v>198</v>
      </c>
      <c r="B863" s="26" t="s">
        <v>889</v>
      </c>
      <c r="C863" s="26" t="s">
        <v>506</v>
      </c>
      <c r="D863" s="26" t="s">
        <v>894</v>
      </c>
      <c r="E863" s="26" t="s">
        <v>895</v>
      </c>
      <c r="F863" s="101">
        <v>1</v>
      </c>
      <c r="G863" s="26" t="s">
        <v>509</v>
      </c>
      <c r="H863" s="102">
        <f>IFERROR(VLOOKUP($D863,NOMENCLATOR!$A:$F,6,FALSE()),"")*IF(OR($G863="g",$G863="ml"),0.001,1)</f>
        <v>0.67</v>
      </c>
      <c r="I863" s="102">
        <f t="shared" si="40"/>
        <v>0.67</v>
      </c>
    </row>
    <row r="864" spans="1:11" x14ac:dyDescent="0.2">
      <c r="A864" s="103" t="s">
        <v>198</v>
      </c>
      <c r="B864" s="104"/>
      <c r="C864" s="104"/>
      <c r="D864" s="104"/>
      <c r="E864" s="103" t="s">
        <v>510</v>
      </c>
      <c r="F864" s="104"/>
      <c r="G864" s="104"/>
      <c r="H864" s="104"/>
      <c r="I864" s="104"/>
      <c r="J864" s="105">
        <f>SUMIFS($I$858:$I$863,$C$858:$C$863,"AMBELE")+SUMIFS($I$858:$I$863,$C$858:$C$863,"INSTORE")</f>
        <v>10.7753692</v>
      </c>
      <c r="K864" s="105">
        <f>SUMIFS($I$858:$I$863,$C$858:$C$863,"AMBELE")+SUMIFS($I$858:$I$863,$C$858:$C$863,"DELIVERY")</f>
        <v>10.7753692</v>
      </c>
    </row>
    <row r="865" spans="1:11" x14ac:dyDescent="0.2">
      <c r="A865" s="26" t="s">
        <v>168</v>
      </c>
      <c r="B865" s="26" t="s">
        <v>896</v>
      </c>
      <c r="C865" s="26" t="s">
        <v>506</v>
      </c>
      <c r="D865" s="26" t="s">
        <v>701</v>
      </c>
      <c r="E865" s="26" t="s">
        <v>702</v>
      </c>
      <c r="F865" s="101">
        <v>40</v>
      </c>
      <c r="G865" s="26" t="s">
        <v>529</v>
      </c>
      <c r="H865" s="102">
        <f>IFERROR(VLOOKUP($D865,NOMENCLATOR!$A:$F,6,FALSE()),"")*IF(OR($G865="g",$G865="ml"),0.001,1)</f>
        <v>4.5072099999999997E-2</v>
      </c>
      <c r="I865" s="102">
        <f>IFERROR($F865*$H865,"")</f>
        <v>1.8028839999999999</v>
      </c>
    </row>
    <row r="866" spans="1:11" x14ac:dyDescent="0.2">
      <c r="A866" s="26" t="s">
        <v>168</v>
      </c>
      <c r="B866" s="26" t="s">
        <v>896</v>
      </c>
      <c r="C866" s="26" t="s">
        <v>506</v>
      </c>
      <c r="D866" s="26" t="s">
        <v>897</v>
      </c>
      <c r="E866" s="26" t="s">
        <v>898</v>
      </c>
      <c r="F866" s="101">
        <v>1</v>
      </c>
      <c r="G866" s="26" t="s">
        <v>509</v>
      </c>
      <c r="H866" s="102">
        <f>IFERROR(VLOOKUP($D866,NOMENCLATOR!$A:$F,6,FALSE()),"")*IF(OR($G866="g",$G866="ml"),0.001,1)</f>
        <v>0.17599999999999999</v>
      </c>
      <c r="I866" s="102">
        <f>IFERROR($F866*$H866,"")</f>
        <v>0.17599999999999999</v>
      </c>
    </row>
    <row r="867" spans="1:11" x14ac:dyDescent="0.2">
      <c r="A867" s="26" t="s">
        <v>168</v>
      </c>
      <c r="B867" s="26" t="s">
        <v>896</v>
      </c>
      <c r="C867" s="26" t="s">
        <v>506</v>
      </c>
      <c r="D867" s="26" t="s">
        <v>699</v>
      </c>
      <c r="E867" s="26" t="s">
        <v>700</v>
      </c>
      <c r="F867" s="101">
        <v>1</v>
      </c>
      <c r="G867" s="26" t="s">
        <v>509</v>
      </c>
      <c r="H867" s="102">
        <f>IFERROR(VLOOKUP($D867,NOMENCLATOR!$A:$F,6,FALSE()),"")*IF(OR($G867="g",$G867="ml"),0.001,1)</f>
        <v>0.05</v>
      </c>
      <c r="I867" s="102">
        <f>IFERROR($F867*$H867,"")</f>
        <v>0.05</v>
      </c>
    </row>
    <row r="868" spans="1:11" x14ac:dyDescent="0.2">
      <c r="A868" s="103" t="s">
        <v>168</v>
      </c>
      <c r="B868" s="104"/>
      <c r="C868" s="104"/>
      <c r="D868" s="104"/>
      <c r="E868" s="103" t="s">
        <v>510</v>
      </c>
      <c r="F868" s="104"/>
      <c r="G868" s="104"/>
      <c r="H868" s="104"/>
      <c r="I868" s="104"/>
      <c r="J868" s="105">
        <f>SUMIFS($I$865:$I$867,$C$865:$C$867,"AMBELE")+SUMIFS($I$865:$I$867,$C$865:$C$867,"INSTORE")</f>
        <v>2.0288839999999997</v>
      </c>
      <c r="K868" s="105">
        <f>SUMIFS($I$865:$I$867,$C$865:$C$867,"AMBELE")+SUMIFS($I$865:$I$867,$C$865:$C$867,"DELIVERY")</f>
        <v>2.0288839999999997</v>
      </c>
    </row>
    <row r="869" spans="1:11" x14ac:dyDescent="0.2">
      <c r="A869" s="26" t="s">
        <v>175</v>
      </c>
      <c r="B869" s="26" t="s">
        <v>505</v>
      </c>
      <c r="C869" s="26" t="s">
        <v>506</v>
      </c>
      <c r="D869" s="26" t="s">
        <v>675</v>
      </c>
      <c r="E869" s="26" t="s">
        <v>676</v>
      </c>
      <c r="F869" s="101">
        <v>40</v>
      </c>
      <c r="G869" s="26" t="s">
        <v>529</v>
      </c>
      <c r="H869" s="102">
        <f>IFERROR(VLOOKUP($D869,NOMENCLATOR!$A:$F,6,FALSE()),"")*IF(OR($G869="g",$G869="ml"),0.001,1)</f>
        <v>2.6133800000000002E-2</v>
      </c>
      <c r="I869" s="102">
        <f>IFERROR($F869*$H869,"")</f>
        <v>1.0453520000000001</v>
      </c>
    </row>
    <row r="870" spans="1:11" x14ac:dyDescent="0.2">
      <c r="A870" s="26" t="s">
        <v>175</v>
      </c>
      <c r="B870" s="26" t="s">
        <v>505</v>
      </c>
      <c r="C870" s="26" t="s">
        <v>506</v>
      </c>
      <c r="D870" s="26" t="s">
        <v>897</v>
      </c>
      <c r="E870" s="26" t="s">
        <v>898</v>
      </c>
      <c r="F870" s="101">
        <v>1</v>
      </c>
      <c r="G870" s="26" t="s">
        <v>509</v>
      </c>
      <c r="H870" s="102">
        <f>IFERROR(VLOOKUP($D870,NOMENCLATOR!$A:$F,6,FALSE()),"")*IF(OR($G870="g",$G870="ml"),0.001,1)</f>
        <v>0.17599999999999999</v>
      </c>
      <c r="I870" s="102">
        <f>IFERROR($F870*$H870,"")</f>
        <v>0.17599999999999999</v>
      </c>
    </row>
    <row r="871" spans="1:11" x14ac:dyDescent="0.2">
      <c r="A871" s="26" t="s">
        <v>175</v>
      </c>
      <c r="B871" s="26" t="s">
        <v>505</v>
      </c>
      <c r="C871" s="26" t="s">
        <v>506</v>
      </c>
      <c r="D871" s="26" t="s">
        <v>699</v>
      </c>
      <c r="E871" s="26" t="s">
        <v>700</v>
      </c>
      <c r="F871" s="101">
        <v>1</v>
      </c>
      <c r="G871" s="26" t="s">
        <v>509</v>
      </c>
      <c r="H871" s="102">
        <f>IFERROR(VLOOKUP($D871,NOMENCLATOR!$A:$F,6,FALSE()),"")*IF(OR($G871="g",$G871="ml"),0.001,1)</f>
        <v>0.05</v>
      </c>
      <c r="I871" s="102">
        <f>IFERROR($F871*$H871,"")</f>
        <v>0.05</v>
      </c>
    </row>
    <row r="872" spans="1:11" x14ac:dyDescent="0.2">
      <c r="A872" s="103" t="s">
        <v>175</v>
      </c>
      <c r="B872" s="104"/>
      <c r="C872" s="104"/>
      <c r="D872" s="104"/>
      <c r="E872" s="103" t="s">
        <v>510</v>
      </c>
      <c r="F872" s="104"/>
      <c r="G872" s="104"/>
      <c r="H872" s="104"/>
      <c r="I872" s="104"/>
      <c r="J872" s="105">
        <f>SUMIFS($I$869:$I$871,$C$869:$C$871,"AMBELE")+SUMIFS($I$869:$I$871,$C$869:$C$871,"INSTORE")</f>
        <v>1.271352</v>
      </c>
      <c r="K872" s="105">
        <f>SUMIFS($I$869:$I$871,$C$869:$C$871,"AMBELE")+SUMIFS($I$869:$I$871,$C$869:$C$871,"DELIVERY")</f>
        <v>1.271352</v>
      </c>
    </row>
    <row r="873" spans="1:11" x14ac:dyDescent="0.2">
      <c r="A873" s="26" t="s">
        <v>149</v>
      </c>
      <c r="B873" s="26" t="s">
        <v>566</v>
      </c>
      <c r="C873" s="26" t="s">
        <v>506</v>
      </c>
      <c r="D873" s="26" t="s">
        <v>550</v>
      </c>
      <c r="E873" s="26" t="s">
        <v>551</v>
      </c>
      <c r="F873" s="101">
        <v>1</v>
      </c>
      <c r="G873" s="26" t="s">
        <v>509</v>
      </c>
      <c r="H873" s="102">
        <f>IFERROR(VLOOKUP($D873,NOMENCLATOR!$A:$F,6,FALSE()),"")*IF(OR($G873="g",$G873="ml"),0.001,1)</f>
        <v>2.36</v>
      </c>
      <c r="I873" s="102">
        <f t="shared" ref="I873:I880" si="41">IFERROR($F873*$H873,"")</f>
        <v>2.36</v>
      </c>
    </row>
    <row r="874" spans="1:11" x14ac:dyDescent="0.2">
      <c r="A874" s="26" t="s">
        <v>149</v>
      </c>
      <c r="B874" s="26" t="s">
        <v>566</v>
      </c>
      <c r="C874" s="26" t="s">
        <v>506</v>
      </c>
      <c r="D874" s="26" t="s">
        <v>567</v>
      </c>
      <c r="E874" s="26" t="s">
        <v>489</v>
      </c>
      <c r="F874" s="101">
        <v>1</v>
      </c>
      <c r="G874" s="26" t="s">
        <v>509</v>
      </c>
      <c r="H874" s="102">
        <f>IFERROR(VLOOKUP($D874,NOMENCLATOR!$A:$F,6,FALSE()),"")*IF(OR($G874="g",$G874="ml"),0.001,1)</f>
        <v>3.57</v>
      </c>
      <c r="I874" s="102">
        <f t="shared" si="41"/>
        <v>3.57</v>
      </c>
    </row>
    <row r="875" spans="1:11" x14ac:dyDescent="0.2">
      <c r="A875" s="26" t="s">
        <v>149</v>
      </c>
      <c r="B875" s="26" t="s">
        <v>566</v>
      </c>
      <c r="C875" s="26" t="s">
        <v>506</v>
      </c>
      <c r="D875" s="26" t="s">
        <v>530</v>
      </c>
      <c r="E875" s="26" t="s">
        <v>531</v>
      </c>
      <c r="F875" s="101">
        <v>1</v>
      </c>
      <c r="G875" s="26" t="s">
        <v>509</v>
      </c>
      <c r="H875" s="102">
        <f>IFERROR(VLOOKUP($D875,NOMENCLATOR!$A:$F,6,FALSE()),"")*IF(OR($G875="g",$G875="ml"),0.001,1)</f>
        <v>0.63</v>
      </c>
      <c r="I875" s="102">
        <f t="shared" si="41"/>
        <v>0.63</v>
      </c>
    </row>
    <row r="876" spans="1:11" x14ac:dyDescent="0.2">
      <c r="A876" s="26" t="s">
        <v>149</v>
      </c>
      <c r="B876" s="26" t="s">
        <v>566</v>
      </c>
      <c r="C876" s="26" t="s">
        <v>506</v>
      </c>
      <c r="D876" s="26" t="s">
        <v>668</v>
      </c>
      <c r="E876" s="26" t="s">
        <v>669</v>
      </c>
      <c r="F876" s="101">
        <v>20</v>
      </c>
      <c r="G876" s="26" t="s">
        <v>529</v>
      </c>
      <c r="H876" s="102">
        <f>IFERROR(VLOOKUP($D876,NOMENCLATOR!$A:$F,6,FALSE()),"")*IF(OR($G876="g",$G876="ml"),0.001,1)</f>
        <v>7.0000000000000001E-3</v>
      </c>
      <c r="I876" s="102">
        <f t="shared" si="41"/>
        <v>0.14000000000000001</v>
      </c>
    </row>
    <row r="877" spans="1:11" x14ac:dyDescent="0.2">
      <c r="A877" s="26" t="s">
        <v>149</v>
      </c>
      <c r="B877" s="26" t="s">
        <v>566</v>
      </c>
      <c r="C877" s="26" t="s">
        <v>506</v>
      </c>
      <c r="D877" s="26" t="s">
        <v>634</v>
      </c>
      <c r="E877" s="26" t="s">
        <v>635</v>
      </c>
      <c r="F877" s="101">
        <v>11.2</v>
      </c>
      <c r="G877" s="26" t="s">
        <v>529</v>
      </c>
      <c r="H877" s="102">
        <f>IFERROR(VLOOKUP($D877,NOMENCLATOR!$A:$F,6,FALSE()),"")*IF(OR($G877="g",$G877="ml"),0.001,1)</f>
        <v>1.554E-2</v>
      </c>
      <c r="I877" s="102">
        <f t="shared" si="41"/>
        <v>0.17404799999999998</v>
      </c>
    </row>
    <row r="878" spans="1:11" x14ac:dyDescent="0.2">
      <c r="A878" s="26" t="s">
        <v>149</v>
      </c>
      <c r="B878" s="26" t="s">
        <v>566</v>
      </c>
      <c r="C878" s="26" t="s">
        <v>506</v>
      </c>
      <c r="D878" s="26" t="s">
        <v>725</v>
      </c>
      <c r="E878" s="26" t="s">
        <v>726</v>
      </c>
      <c r="F878" s="101">
        <v>1</v>
      </c>
      <c r="G878" s="26" t="s">
        <v>509</v>
      </c>
      <c r="H878" s="102">
        <f>IFERROR(VLOOKUP($D878,NOMENCLATOR!$A:$F,6,FALSE()),"")*IF(OR($G878="g",$G878="ml"),0.001,1)</f>
        <v>0.69299999999999995</v>
      </c>
      <c r="I878" s="102">
        <f t="shared" si="41"/>
        <v>0.69299999999999995</v>
      </c>
    </row>
    <row r="879" spans="1:11" x14ac:dyDescent="0.2">
      <c r="A879" s="26" t="s">
        <v>149</v>
      </c>
      <c r="B879" s="26" t="s">
        <v>566</v>
      </c>
      <c r="C879" s="26" t="s">
        <v>506</v>
      </c>
      <c r="D879" s="26" t="s">
        <v>619</v>
      </c>
      <c r="E879" s="26" t="s">
        <v>620</v>
      </c>
      <c r="F879" s="101">
        <v>1</v>
      </c>
      <c r="G879" s="26" t="s">
        <v>509</v>
      </c>
      <c r="H879" s="102">
        <f>IFERROR(VLOOKUP($D879,NOMENCLATOR!$A:$F,6,FALSE()),"")*IF(OR($G879="g",$G879="ml"),0.001,1)</f>
        <v>0.11</v>
      </c>
      <c r="I879" s="102">
        <f t="shared" si="41"/>
        <v>0.11</v>
      </c>
    </row>
    <row r="880" spans="1:11" x14ac:dyDescent="0.2">
      <c r="A880" s="26" t="s">
        <v>149</v>
      </c>
      <c r="B880" s="26" t="s">
        <v>566</v>
      </c>
      <c r="C880" s="26" t="s">
        <v>506</v>
      </c>
      <c r="D880" s="26" t="s">
        <v>727</v>
      </c>
      <c r="E880" s="26" t="s">
        <v>728</v>
      </c>
      <c r="F880" s="101">
        <v>20</v>
      </c>
      <c r="G880" s="26" t="s">
        <v>514</v>
      </c>
      <c r="H880" s="102">
        <f>IFERROR(VLOOKUP($D880,NOMENCLATOR!$A:$F,6,FALSE()),"")*IF(OR($G880="g",$G880="ml"),0.001,1)</f>
        <v>2.7028079999999999E-2</v>
      </c>
      <c r="I880" s="102">
        <f t="shared" si="41"/>
        <v>0.54056159999999998</v>
      </c>
    </row>
    <row r="881" spans="1:11" x14ac:dyDescent="0.2">
      <c r="A881" s="103" t="s">
        <v>149</v>
      </c>
      <c r="B881" s="104"/>
      <c r="C881" s="104"/>
      <c r="D881" s="104"/>
      <c r="E881" s="103" t="s">
        <v>510</v>
      </c>
      <c r="F881" s="104"/>
      <c r="G881" s="104"/>
      <c r="H881" s="104"/>
      <c r="I881" s="104"/>
      <c r="J881" s="105">
        <f>SUMIFS($I$873:$I$880,$C$873:$C$880,"AMBELE")+SUMIFS($I$873:$I$880,$C$873:$C$880,"INSTORE")</f>
        <v>8.2176095999999994</v>
      </c>
      <c r="K881" s="105">
        <f>SUMIFS($I$873:$I$880,$C$873:$C$880,"AMBELE")+SUMIFS($I$873:$I$880,$C$873:$C$880,"DELIVERY")</f>
        <v>8.2176095999999994</v>
      </c>
    </row>
    <row r="882" spans="1:11" x14ac:dyDescent="0.2">
      <c r="A882" s="26" t="s">
        <v>252</v>
      </c>
      <c r="B882" s="26" t="s">
        <v>505</v>
      </c>
      <c r="C882" s="26" t="s">
        <v>506</v>
      </c>
      <c r="D882" s="26" t="s">
        <v>899</v>
      </c>
      <c r="E882" s="26" t="s">
        <v>900</v>
      </c>
      <c r="F882" s="101">
        <v>1</v>
      </c>
      <c r="G882" s="26" t="s">
        <v>509</v>
      </c>
      <c r="H882" s="102">
        <f>IFERROR(VLOOKUP($D882,NOMENCLATOR!$A:$F,6,FALSE()),"")*IF(OR($G882="g",$G882="ml"),0.001,1)</f>
        <v>1.0820000000000001</v>
      </c>
      <c r="I882" s="102">
        <f>IFERROR($F882*$H882,"")</f>
        <v>1.0820000000000001</v>
      </c>
    </row>
    <row r="883" spans="1:11" x14ac:dyDescent="0.2">
      <c r="A883" s="103" t="s">
        <v>252</v>
      </c>
      <c r="B883" s="104"/>
      <c r="C883" s="104"/>
      <c r="D883" s="104"/>
      <c r="E883" s="103" t="s">
        <v>510</v>
      </c>
      <c r="F883" s="104"/>
      <c r="G883" s="104"/>
      <c r="H883" s="104"/>
      <c r="I883" s="104"/>
      <c r="J883" s="105">
        <f>SUMIFS($I$882:$I$882,$C$882:$C$882,"AMBELE")+SUMIFS($I$882:$I$882,$C$882:$C$882,"INSTORE")</f>
        <v>1.0820000000000001</v>
      </c>
      <c r="K883" s="105">
        <f>SUMIFS($I$882:$I$882,$C$882:$C$882,"AMBELE")+SUMIFS($I$882:$I$882,$C$882:$C$882,"DELIVERY")</f>
        <v>1.0820000000000001</v>
      </c>
    </row>
    <row r="884" spans="1:11" x14ac:dyDescent="0.2">
      <c r="A884" s="26" t="s">
        <v>283</v>
      </c>
      <c r="B884" s="26" t="s">
        <v>505</v>
      </c>
      <c r="C884" s="26" t="s">
        <v>506</v>
      </c>
      <c r="D884" s="26" t="s">
        <v>901</v>
      </c>
      <c r="E884" s="26" t="s">
        <v>902</v>
      </c>
      <c r="F884" s="101">
        <v>1</v>
      </c>
      <c r="G884" s="26" t="s">
        <v>509</v>
      </c>
      <c r="H884" s="102">
        <f>IFERROR(VLOOKUP($D884,NOMENCLATOR!$A:$F,6,FALSE()),"")*IF(OR($G884="g",$G884="ml"),0.001,1)</f>
        <v>1.43</v>
      </c>
      <c r="I884" s="102">
        <f>IFERROR($F884*$H884,"")</f>
        <v>1.43</v>
      </c>
    </row>
    <row r="885" spans="1:11" x14ac:dyDescent="0.2">
      <c r="A885" s="103" t="s">
        <v>283</v>
      </c>
      <c r="B885" s="104"/>
      <c r="C885" s="104"/>
      <c r="D885" s="104"/>
      <c r="E885" s="103" t="s">
        <v>510</v>
      </c>
      <c r="F885" s="104"/>
      <c r="G885" s="104"/>
      <c r="H885" s="104"/>
      <c r="I885" s="104"/>
      <c r="J885" s="105">
        <f>SUMIFS($I$884:$I$884,$C$884:$C$884,"AMBELE")+SUMIFS($I$884:$I$884,$C$884:$C$884,"INSTORE")</f>
        <v>1.43</v>
      </c>
      <c r="K885" s="105">
        <f>SUMIFS($I$884:$I$884,$C$884:$C$884,"AMBELE")+SUMIFS($I$884:$I$884,$C$884:$C$884,"DELIVERY")</f>
        <v>1.43</v>
      </c>
    </row>
    <row r="886" spans="1:11" x14ac:dyDescent="0.2">
      <c r="A886" s="26" t="s">
        <v>217</v>
      </c>
      <c r="B886" s="26" t="s">
        <v>505</v>
      </c>
      <c r="C886" s="26" t="s">
        <v>506</v>
      </c>
      <c r="D886" s="26" t="s">
        <v>507</v>
      </c>
      <c r="E886" s="26" t="s">
        <v>508</v>
      </c>
      <c r="F886" s="101">
        <v>1</v>
      </c>
      <c r="G886" s="26" t="s">
        <v>509</v>
      </c>
      <c r="H886" s="102">
        <f>IFERROR(VLOOKUP($D886,NOMENCLATOR!$A:$F,6,FALSE()),"")*IF(OR($G886="g",$G886="ml"),0.001,1)</f>
        <v>0.45200000000000001</v>
      </c>
      <c r="I886" s="102">
        <f>IFERROR($F886*$H886,"")</f>
        <v>0.45200000000000001</v>
      </c>
    </row>
    <row r="887" spans="1:11" x14ac:dyDescent="0.2">
      <c r="A887" s="103" t="s">
        <v>217</v>
      </c>
      <c r="B887" s="104"/>
      <c r="C887" s="104"/>
      <c r="D887" s="104"/>
      <c r="E887" s="103" t="s">
        <v>510</v>
      </c>
      <c r="F887" s="104"/>
      <c r="G887" s="104"/>
      <c r="H887" s="104"/>
      <c r="I887" s="104"/>
      <c r="J887" s="105">
        <f>SUMIFS($I$886:$I$886,$C$886:$C$886,"AMBELE")+SUMIFS($I$886:$I$886,$C$886:$C$886,"INSTORE")</f>
        <v>0.45200000000000001</v>
      </c>
      <c r="K887" s="105">
        <f>SUMIFS($I$886:$I$886,$C$886:$C$886,"AMBELE")+SUMIFS($I$886:$I$886,$C$886:$C$886,"DELIVERY")</f>
        <v>0.45200000000000001</v>
      </c>
    </row>
    <row r="888" spans="1:11" x14ac:dyDescent="0.2">
      <c r="A888" s="26" t="s">
        <v>213</v>
      </c>
      <c r="B888" s="26" t="s">
        <v>505</v>
      </c>
      <c r="C888" s="26" t="s">
        <v>506</v>
      </c>
      <c r="D888" s="26" t="s">
        <v>903</v>
      </c>
      <c r="E888" s="26" t="s">
        <v>904</v>
      </c>
      <c r="F888" s="101">
        <v>1</v>
      </c>
      <c r="G888" s="26" t="s">
        <v>509</v>
      </c>
      <c r="H888" s="102">
        <f>IFERROR(VLOOKUP($D888,NOMENCLATOR!$A:$F,6,FALSE()),"")*IF(OR($G888="g",$G888="ml"),0.001,1)</f>
        <v>0.45</v>
      </c>
      <c r="I888" s="102">
        <f>IFERROR($F888*$H888,"")</f>
        <v>0.45</v>
      </c>
    </row>
    <row r="889" spans="1:11" x14ac:dyDescent="0.2">
      <c r="A889" s="103" t="s">
        <v>213</v>
      </c>
      <c r="B889" s="104"/>
      <c r="C889" s="104"/>
      <c r="D889" s="104"/>
      <c r="E889" s="103" t="s">
        <v>510</v>
      </c>
      <c r="F889" s="104"/>
      <c r="G889" s="104"/>
      <c r="H889" s="104"/>
      <c r="I889" s="104"/>
      <c r="J889" s="105">
        <f>SUMIFS($I$888:$I$888,$C$888:$C$888,"AMBELE")+SUMIFS($I$888:$I$888,$C$888:$C$888,"INSTORE")</f>
        <v>0.45</v>
      </c>
      <c r="K889" s="105">
        <f>SUMIFS($I$888:$I$888,$C$888:$C$888,"AMBELE")+SUMIFS($I$888:$I$888,$C$888:$C$888,"DELIVERY")</f>
        <v>0.45</v>
      </c>
    </row>
    <row r="890" spans="1:11" x14ac:dyDescent="0.2">
      <c r="A890" s="26" t="s">
        <v>221</v>
      </c>
      <c r="B890" s="26" t="s">
        <v>505</v>
      </c>
      <c r="C890" s="26" t="s">
        <v>506</v>
      </c>
      <c r="D890" s="26" t="s">
        <v>905</v>
      </c>
      <c r="E890" s="26" t="s">
        <v>906</v>
      </c>
      <c r="F890" s="101">
        <v>1</v>
      </c>
      <c r="G890" s="26" t="s">
        <v>509</v>
      </c>
      <c r="H890" s="102">
        <f>IFERROR(VLOOKUP($D890,NOMENCLATOR!$A:$F,6,FALSE()),"")*IF(OR($G890="g",$G890="ml"),0.001,1)</f>
        <v>2.1280000000000001</v>
      </c>
      <c r="I890" s="102">
        <f>IFERROR($F890*$H890,"")</f>
        <v>2.1280000000000001</v>
      </c>
    </row>
    <row r="891" spans="1:11" x14ac:dyDescent="0.2">
      <c r="A891" s="103" t="s">
        <v>221</v>
      </c>
      <c r="B891" s="104"/>
      <c r="C891" s="104"/>
      <c r="D891" s="104"/>
      <c r="E891" s="103" t="s">
        <v>510</v>
      </c>
      <c r="F891" s="104"/>
      <c r="G891" s="104"/>
      <c r="H891" s="104"/>
      <c r="I891" s="104"/>
      <c r="J891" s="105">
        <f>SUMIFS($I$890:$I$890,$C$890:$C$890,"AMBELE")+SUMIFS($I$890:$I$890,$C$890:$C$890,"INSTORE")</f>
        <v>2.1280000000000001</v>
      </c>
      <c r="K891" s="105">
        <f>SUMIFS($I$890:$I$890,$C$890:$C$890,"AMBELE")+SUMIFS($I$890:$I$890,$C$890:$C$890,"DELIVERY")</f>
        <v>2.1280000000000001</v>
      </c>
    </row>
    <row r="892" spans="1:11" x14ac:dyDescent="0.2">
      <c r="A892" s="26" t="s">
        <v>248</v>
      </c>
      <c r="B892" s="26" t="s">
        <v>505</v>
      </c>
      <c r="C892" s="26" t="s">
        <v>506</v>
      </c>
      <c r="D892" s="26" t="s">
        <v>907</v>
      </c>
      <c r="E892" s="26" t="s">
        <v>908</v>
      </c>
      <c r="F892" s="101">
        <v>1</v>
      </c>
      <c r="G892" s="26" t="s">
        <v>509</v>
      </c>
      <c r="H892" s="102">
        <f>IFERROR(VLOOKUP($D892,NOMENCLATOR!$A:$F,6,FALSE()),"")*IF(OR($G892="g",$G892="ml"),0.001,1)</f>
        <v>1.43</v>
      </c>
      <c r="I892" s="102">
        <f>IFERROR($F892*$H892,"")</f>
        <v>1.43</v>
      </c>
    </row>
    <row r="893" spans="1:11" x14ac:dyDescent="0.2">
      <c r="A893" s="103" t="s">
        <v>248</v>
      </c>
      <c r="B893" s="104"/>
      <c r="C893" s="104"/>
      <c r="D893" s="104"/>
      <c r="E893" s="103" t="s">
        <v>510</v>
      </c>
      <c r="F893" s="104"/>
      <c r="G893" s="104"/>
      <c r="H893" s="104"/>
      <c r="I893" s="104"/>
      <c r="J893" s="105">
        <f>SUMIFS($I$892:$I$892,$C$892:$C$892,"AMBELE")+SUMIFS($I$892:$I$892,$C$892:$C$892,"INSTORE")</f>
        <v>1.43</v>
      </c>
      <c r="K893" s="105">
        <f>SUMIFS($I$892:$I$892,$C$892:$C$892,"AMBELE")+SUMIFS($I$892:$I$892,$C$892:$C$892,"DELIVERY")</f>
        <v>1.43</v>
      </c>
    </row>
    <row r="894" spans="1:11" x14ac:dyDescent="0.2">
      <c r="A894" s="26" t="s">
        <v>197</v>
      </c>
      <c r="B894" s="26" t="s">
        <v>505</v>
      </c>
      <c r="C894" s="26" t="s">
        <v>506</v>
      </c>
      <c r="D894" s="26" t="s">
        <v>909</v>
      </c>
      <c r="E894" s="26" t="s">
        <v>910</v>
      </c>
      <c r="F894" s="101">
        <v>1</v>
      </c>
      <c r="G894" s="26" t="s">
        <v>509</v>
      </c>
      <c r="H894" s="102">
        <f>IFERROR(VLOOKUP($D894,NOMENCLATOR!$A:$F,6,FALSE()),"")*IF(OR($G894="g",$G894="ml"),0.001,1)</f>
        <v>2.2719999999999998</v>
      </c>
      <c r="I894" s="102">
        <f>IFERROR($F894*$H894,"")</f>
        <v>2.2719999999999998</v>
      </c>
    </row>
    <row r="895" spans="1:11" x14ac:dyDescent="0.2">
      <c r="A895" s="103" t="s">
        <v>197</v>
      </c>
      <c r="B895" s="104"/>
      <c r="C895" s="104"/>
      <c r="D895" s="104"/>
      <c r="E895" s="103" t="s">
        <v>510</v>
      </c>
      <c r="F895" s="104"/>
      <c r="G895" s="104"/>
      <c r="H895" s="104"/>
      <c r="I895" s="104"/>
      <c r="J895" s="105">
        <f>SUMIFS($I$894:$I$894,$C$894:$C$894,"AMBELE")+SUMIFS($I$894:$I$894,$C$894:$C$894,"INSTORE")</f>
        <v>2.2719999999999998</v>
      </c>
      <c r="K895" s="105">
        <f>SUMIFS($I$894:$I$894,$C$894:$C$894,"AMBELE")+SUMIFS($I$894:$I$894,$C$894:$C$894,"DELIVERY")</f>
        <v>2.2719999999999998</v>
      </c>
    </row>
    <row r="896" spans="1:11" x14ac:dyDescent="0.2">
      <c r="A896" s="26" t="s">
        <v>171</v>
      </c>
      <c r="B896" s="26" t="s">
        <v>505</v>
      </c>
      <c r="C896" s="26" t="s">
        <v>506</v>
      </c>
      <c r="D896" s="26" t="s">
        <v>911</v>
      </c>
      <c r="E896" s="26" t="s">
        <v>912</v>
      </c>
      <c r="F896" s="101">
        <v>1</v>
      </c>
      <c r="G896" s="26" t="s">
        <v>509</v>
      </c>
      <c r="H896" s="102">
        <f>IFERROR(VLOOKUP($D896,NOMENCLATOR!$A:$F,6,FALSE()),"")*IF(OR($G896="g",$G896="ml"),0.001,1)</f>
        <v>1.984</v>
      </c>
      <c r="I896" s="102">
        <f>IFERROR($F896*$H896,"")</f>
        <v>1.984</v>
      </c>
    </row>
    <row r="897" spans="1:11" x14ac:dyDescent="0.2">
      <c r="A897" s="103" t="s">
        <v>171</v>
      </c>
      <c r="B897" s="104"/>
      <c r="C897" s="104"/>
      <c r="D897" s="104"/>
      <c r="E897" s="103" t="s">
        <v>510</v>
      </c>
      <c r="F897" s="104"/>
      <c r="G897" s="104"/>
      <c r="H897" s="104"/>
      <c r="I897" s="104"/>
      <c r="J897" s="105">
        <f>SUMIFS($I$896:$I$896,$C$896:$C$896,"AMBELE")+SUMIFS($I$896:$I$896,$C$896:$C$896,"INSTORE")</f>
        <v>1.984</v>
      </c>
      <c r="K897" s="105">
        <f>SUMIFS($I$896:$I$896,$C$896:$C$896,"AMBELE")+SUMIFS($I$896:$I$896,$C$896:$C$896,"DELIVERY")</f>
        <v>1.984</v>
      </c>
    </row>
    <row r="898" spans="1:11" x14ac:dyDescent="0.2">
      <c r="A898" s="26" t="s">
        <v>254</v>
      </c>
      <c r="B898" s="26" t="s">
        <v>104</v>
      </c>
      <c r="C898" s="26" t="s">
        <v>506</v>
      </c>
      <c r="D898" s="26" t="s">
        <v>913</v>
      </c>
      <c r="E898" s="26" t="s">
        <v>914</v>
      </c>
      <c r="F898" s="101">
        <v>1</v>
      </c>
      <c r="G898" s="26" t="s">
        <v>509</v>
      </c>
      <c r="H898" s="102">
        <f>IFERROR(VLOOKUP($D898,NOMENCLATOR!$A:$F,6,FALSE()),"")*IF(OR($G898="g",$G898="ml"),0.001,1)</f>
        <v>7.1790099999999999</v>
      </c>
      <c r="I898" s="102">
        <f>IFERROR($F898*$H898,"")</f>
        <v>7.1790099999999999</v>
      </c>
    </row>
    <row r="899" spans="1:11" x14ac:dyDescent="0.2">
      <c r="A899" s="26" t="s">
        <v>254</v>
      </c>
      <c r="B899" s="26" t="s">
        <v>104</v>
      </c>
      <c r="C899" s="26" t="s">
        <v>506</v>
      </c>
      <c r="D899" s="26" t="s">
        <v>645</v>
      </c>
      <c r="E899" s="26" t="s">
        <v>646</v>
      </c>
      <c r="F899" s="101">
        <v>1</v>
      </c>
      <c r="G899" s="26" t="s">
        <v>509</v>
      </c>
      <c r="H899" s="102">
        <f>IFERROR(VLOOKUP($D899,NOMENCLATOR!$A:$F,6,FALSE()),"")*IF(OR($G899="g",$G899="ml"),0.001,1)</f>
        <v>0.27</v>
      </c>
      <c r="I899" s="102">
        <f>IFERROR($F899*$H899,"")</f>
        <v>0.27</v>
      </c>
    </row>
    <row r="900" spans="1:11" x14ac:dyDescent="0.2">
      <c r="A900" s="103" t="s">
        <v>254</v>
      </c>
      <c r="B900" s="104"/>
      <c r="C900" s="104"/>
      <c r="D900" s="104"/>
      <c r="E900" s="103" t="s">
        <v>510</v>
      </c>
      <c r="F900" s="104"/>
      <c r="G900" s="104"/>
      <c r="H900" s="104"/>
      <c r="I900" s="104"/>
      <c r="J900" s="105">
        <f>SUMIFS($I$898:$I$899,$C$898:$C$899,"AMBELE")+SUMIFS($I$898:$I$899,$C$898:$C$899,"INSTORE")</f>
        <v>7.4490099999999995</v>
      </c>
      <c r="K900" s="105">
        <f>SUMIFS($I$898:$I$899,$C$898:$C$899,"AMBELE")+SUMIFS($I$898:$I$899,$C$898:$C$899,"DELIVERY")</f>
        <v>7.4490099999999995</v>
      </c>
    </row>
    <row r="901" spans="1:11" x14ac:dyDescent="0.2">
      <c r="A901" s="26" t="s">
        <v>269</v>
      </c>
      <c r="B901" s="26" t="s">
        <v>104</v>
      </c>
      <c r="C901" s="26" t="s">
        <v>506</v>
      </c>
      <c r="D901" s="26" t="s">
        <v>915</v>
      </c>
      <c r="E901" s="26" t="s">
        <v>916</v>
      </c>
      <c r="F901" s="101">
        <v>1</v>
      </c>
      <c r="G901" s="26" t="s">
        <v>509</v>
      </c>
      <c r="H901" s="102">
        <f>IFERROR(VLOOKUP($D901,NOMENCLATOR!$A:$F,6,FALSE()),"")*IF(OR($G901="g",$G901="ml"),0.001,1)</f>
        <v>9.2980199999999993</v>
      </c>
      <c r="I901" s="102">
        <f>IFERROR($F901*$H901,"")</f>
        <v>9.2980199999999993</v>
      </c>
    </row>
    <row r="902" spans="1:11" x14ac:dyDescent="0.2">
      <c r="A902" s="26" t="s">
        <v>269</v>
      </c>
      <c r="B902" s="26" t="s">
        <v>104</v>
      </c>
      <c r="C902" s="26" t="s">
        <v>506</v>
      </c>
      <c r="D902" s="26" t="s">
        <v>645</v>
      </c>
      <c r="E902" s="26" t="s">
        <v>646</v>
      </c>
      <c r="F902" s="101">
        <v>1</v>
      </c>
      <c r="G902" s="26" t="s">
        <v>509</v>
      </c>
      <c r="H902" s="102">
        <f>IFERROR(VLOOKUP($D902,NOMENCLATOR!$A:$F,6,FALSE()),"")*IF(OR($G902="g",$G902="ml"),0.001,1)</f>
        <v>0.27</v>
      </c>
      <c r="I902" s="102">
        <f>IFERROR($F902*$H902,"")</f>
        <v>0.27</v>
      </c>
    </row>
    <row r="903" spans="1:11" x14ac:dyDescent="0.2">
      <c r="A903" s="103" t="s">
        <v>269</v>
      </c>
      <c r="B903" s="104"/>
      <c r="C903" s="104"/>
      <c r="D903" s="104"/>
      <c r="E903" s="103" t="s">
        <v>510</v>
      </c>
      <c r="F903" s="104"/>
      <c r="G903" s="104"/>
      <c r="H903" s="104"/>
      <c r="I903" s="104"/>
      <c r="J903" s="105">
        <f>SUMIFS($I$901:$I$902,$C$901:$C$902,"AMBELE")+SUMIFS($I$901:$I$902,$C$901:$C$902,"INSTORE")</f>
        <v>9.5680199999999989</v>
      </c>
      <c r="K903" s="105">
        <f>SUMIFS($I$901:$I$902,$C$901:$C$902,"AMBELE")+SUMIFS($I$901:$I$902,$C$901:$C$902,"DELIVERY")</f>
        <v>9.5680199999999989</v>
      </c>
    </row>
    <row r="904" spans="1:11" x14ac:dyDescent="0.2">
      <c r="A904" s="26" t="s">
        <v>339</v>
      </c>
      <c r="B904" s="26" t="s">
        <v>535</v>
      </c>
      <c r="C904" s="26" t="s">
        <v>506</v>
      </c>
      <c r="D904" s="26" t="s">
        <v>802</v>
      </c>
      <c r="E904" s="26" t="s">
        <v>803</v>
      </c>
      <c r="F904" s="101">
        <v>40</v>
      </c>
      <c r="G904" s="26" t="s">
        <v>529</v>
      </c>
      <c r="H904" s="102">
        <f>IFERROR(VLOOKUP($D904,NOMENCLATOR!$A:$F,6,FALSE()),"")*IF(OR($G904="g",$G904="ml"),0.001,1)</f>
        <v>1.8661940000000002E-2</v>
      </c>
      <c r="I904" s="102">
        <f>IFERROR($F904*$H904,"")</f>
        <v>0.74647760000000007</v>
      </c>
    </row>
    <row r="905" spans="1:11" x14ac:dyDescent="0.2">
      <c r="A905" s="103" t="s">
        <v>339</v>
      </c>
      <c r="B905" s="104"/>
      <c r="C905" s="104"/>
      <c r="D905" s="104"/>
      <c r="E905" s="103" t="s">
        <v>510</v>
      </c>
      <c r="F905" s="104"/>
      <c r="G905" s="104"/>
      <c r="H905" s="104"/>
      <c r="I905" s="104"/>
      <c r="J905" s="105">
        <f>SUMIFS($I$904:$I$904,$C$904:$C$904,"AMBELE")+SUMIFS($I$904:$I$904,$C$904:$C$904,"INSTORE")</f>
        <v>0.74647760000000007</v>
      </c>
      <c r="K905" s="105">
        <f>SUMIFS($I$904:$I$904,$C$904:$C$904,"AMBELE")+SUMIFS($I$904:$I$904,$C$904:$C$904,"DELIVERY")</f>
        <v>0.74647760000000007</v>
      </c>
    </row>
    <row r="906" spans="1:11" x14ac:dyDescent="0.2">
      <c r="A906" s="26" t="s">
        <v>334</v>
      </c>
      <c r="B906" s="26" t="s">
        <v>694</v>
      </c>
      <c r="C906" s="26" t="s">
        <v>539</v>
      </c>
      <c r="D906" s="26" t="s">
        <v>808</v>
      </c>
      <c r="E906" s="26" t="s">
        <v>809</v>
      </c>
      <c r="F906" s="101">
        <v>15</v>
      </c>
      <c r="G906" s="26" t="s">
        <v>514</v>
      </c>
      <c r="H906" s="102">
        <f>IFERROR(VLOOKUP($D906,NOMENCLATOR!$A:$F,6,FALSE()),"")*IF(OR($G906="g",$G906="ml"),0.001,1)</f>
        <v>8.7470000000000006E-2</v>
      </c>
      <c r="I906" s="102">
        <f>IFERROR($F906*$H906,"")</f>
        <v>1.3120500000000002</v>
      </c>
    </row>
    <row r="907" spans="1:11" x14ac:dyDescent="0.2">
      <c r="A907" s="103" t="s">
        <v>334</v>
      </c>
      <c r="B907" s="104"/>
      <c r="C907" s="104"/>
      <c r="D907" s="104"/>
      <c r="E907" s="103" t="s">
        <v>510</v>
      </c>
      <c r="F907" s="104"/>
      <c r="G907" s="104"/>
      <c r="H907" s="104"/>
      <c r="I907" s="104"/>
      <c r="J907" s="105">
        <f>SUMIFS($I$906:$I$906,$C$906:$C$906,"AMBELE")+SUMIFS($I$906:$I$906,$C$906:$C$906,"INSTORE")</f>
        <v>1.3120500000000002</v>
      </c>
      <c r="K907" s="105">
        <f>SUMIFS($I$906:$I$906,$C$906:$C$906,"AMBELE")+SUMIFS($I$906:$I$906,$C$906:$C$906,"DELIVERY")</f>
        <v>0</v>
      </c>
    </row>
    <row r="908" spans="1:11" x14ac:dyDescent="0.2">
      <c r="A908" s="26" t="s">
        <v>917</v>
      </c>
      <c r="B908" s="26" t="s">
        <v>535</v>
      </c>
      <c r="C908" s="26" t="s">
        <v>506</v>
      </c>
      <c r="D908" s="26" t="s">
        <v>810</v>
      </c>
      <c r="E908" s="26" t="s">
        <v>811</v>
      </c>
      <c r="F908" s="101">
        <v>30</v>
      </c>
      <c r="G908" s="26" t="s">
        <v>529</v>
      </c>
      <c r="H908" s="102">
        <f>IFERROR(VLOOKUP($D908,NOMENCLATOR!$A:$F,6,FALSE()),"")*IF(OR($G908="g",$G908="ml"),0.001,1)</f>
        <v>5.0320000000000004E-2</v>
      </c>
      <c r="I908" s="102">
        <f>IFERROR($F908*$H908,"")</f>
        <v>1.5096000000000001</v>
      </c>
    </row>
    <row r="909" spans="1:11" x14ac:dyDescent="0.2">
      <c r="A909" s="103" t="s">
        <v>917</v>
      </c>
      <c r="B909" s="104"/>
      <c r="C909" s="104"/>
      <c r="D909" s="104"/>
      <c r="E909" s="103" t="s">
        <v>510</v>
      </c>
      <c r="F909" s="104"/>
      <c r="G909" s="104"/>
      <c r="H909" s="104"/>
      <c r="I909" s="104"/>
      <c r="J909" s="105">
        <f>SUMIFS($I$908:$I$908,$C$908:$C$908,"AMBELE")+SUMIFS($I$908:$I$908,$C$908:$C$908,"INSTORE")</f>
        <v>1.5096000000000001</v>
      </c>
      <c r="K909" s="105">
        <f>SUMIFS($I$908:$I$908,$C$908:$C$908,"AMBELE")+SUMIFS($I$908:$I$908,$C$908:$C$908,"DELIVERY")</f>
        <v>1.5096000000000001</v>
      </c>
    </row>
    <row r="910" spans="1:11" x14ac:dyDescent="0.2">
      <c r="A910" s="26" t="s">
        <v>331</v>
      </c>
      <c r="B910" s="26" t="s">
        <v>694</v>
      </c>
      <c r="C910" s="26" t="s">
        <v>539</v>
      </c>
      <c r="D910" s="26" t="s">
        <v>813</v>
      </c>
      <c r="E910" s="26" t="s">
        <v>814</v>
      </c>
      <c r="F910" s="101">
        <v>15</v>
      </c>
      <c r="G910" s="26" t="s">
        <v>514</v>
      </c>
      <c r="H910" s="102">
        <f>IFERROR(VLOOKUP($D910,NOMENCLATOR!$A:$F,6,FALSE()),"")*IF(OR($G910="g",$G910="ml"),0.001,1)</f>
        <v>8.7470000000000006E-2</v>
      </c>
      <c r="I910" s="102">
        <f>IFERROR($F910*$H910,"")</f>
        <v>1.3120500000000002</v>
      </c>
    </row>
    <row r="911" spans="1:11" x14ac:dyDescent="0.2">
      <c r="A911" s="26" t="s">
        <v>331</v>
      </c>
      <c r="B911" s="26" t="s">
        <v>694</v>
      </c>
      <c r="C911" s="26" t="s">
        <v>657</v>
      </c>
      <c r="D911" s="26" t="s">
        <v>918</v>
      </c>
      <c r="E911" s="26" t="s">
        <v>919</v>
      </c>
      <c r="F911" s="101">
        <v>30</v>
      </c>
      <c r="G911" s="26" t="s">
        <v>529</v>
      </c>
      <c r="H911" s="102">
        <f>IFERROR(VLOOKUP($D911,NOMENCLATOR!$A:$F,6,FALSE()),"")*IF(OR($G911="g",$G911="ml"),0.001,1)</f>
        <v>0</v>
      </c>
      <c r="I911" s="102">
        <f>IFERROR($F911*$H911,"")</f>
        <v>0</v>
      </c>
    </row>
    <row r="912" spans="1:11" x14ac:dyDescent="0.2">
      <c r="A912" s="103" t="s">
        <v>331</v>
      </c>
      <c r="B912" s="104"/>
      <c r="C912" s="104"/>
      <c r="D912" s="104"/>
      <c r="E912" s="103" t="s">
        <v>510</v>
      </c>
      <c r="F912" s="104"/>
      <c r="G912" s="104"/>
      <c r="H912" s="104"/>
      <c r="I912" s="104"/>
      <c r="J912" s="105">
        <f>SUMIFS($I$910:$I$911,$C$910:$C$911,"AMBELE")+SUMIFS($I$910:$I$911,$C$910:$C$911,"INSTORE")</f>
        <v>1.3120500000000002</v>
      </c>
      <c r="K912" s="105">
        <f>SUMIFS($I$910:$I$911,$C$910:$C$911,"AMBELE")+SUMIFS($I$910:$I$911,$C$910:$C$911,"DELIVERY")</f>
        <v>0</v>
      </c>
    </row>
    <row r="913" spans="1:11" x14ac:dyDescent="0.2">
      <c r="A913" s="26" t="s">
        <v>337</v>
      </c>
      <c r="B913" s="26" t="s">
        <v>694</v>
      </c>
      <c r="C913" s="26" t="s">
        <v>539</v>
      </c>
      <c r="D913" s="26" t="s">
        <v>815</v>
      </c>
      <c r="E913" s="26" t="s">
        <v>816</v>
      </c>
      <c r="F913" s="101">
        <v>15</v>
      </c>
      <c r="G913" s="26" t="s">
        <v>514</v>
      </c>
      <c r="H913" s="102">
        <f>IFERROR(VLOOKUP($D913,NOMENCLATOR!$A:$F,6,FALSE()),"")*IF(OR($G913="g",$G913="ml"),0.001,1)</f>
        <v>8.8410020000000006E-2</v>
      </c>
      <c r="I913" s="102">
        <f>IFERROR($F913*$H913,"")</f>
        <v>1.3261503000000001</v>
      </c>
    </row>
    <row r="914" spans="1:11" x14ac:dyDescent="0.2">
      <c r="A914" s="103" t="s">
        <v>337</v>
      </c>
      <c r="B914" s="104"/>
      <c r="C914" s="104"/>
      <c r="D914" s="104"/>
      <c r="E914" s="103" t="s">
        <v>510</v>
      </c>
      <c r="F914" s="104"/>
      <c r="G914" s="104"/>
      <c r="H914" s="104"/>
      <c r="I914" s="104"/>
      <c r="J914" s="105">
        <f>SUMIFS($I$913:$I$913,$C$913:$C$913,"AMBELE")+SUMIFS($I$913:$I$913,$C$913:$C$913,"INSTORE")</f>
        <v>1.3261503000000001</v>
      </c>
      <c r="K914" s="105">
        <f>SUMIFS($I$913:$I$913,$C$913:$C$913,"AMBELE")+SUMIFS($I$913:$I$913,$C$913:$C$913,"DELIVERY")</f>
        <v>0</v>
      </c>
    </row>
    <row r="915" spans="1:11" x14ac:dyDescent="0.2">
      <c r="A915" s="26" t="s">
        <v>338</v>
      </c>
      <c r="B915" s="26" t="s">
        <v>694</v>
      </c>
      <c r="C915" s="26" t="s">
        <v>539</v>
      </c>
      <c r="D915" s="26" t="s">
        <v>818</v>
      </c>
      <c r="E915" s="26" t="s">
        <v>819</v>
      </c>
      <c r="F915" s="101">
        <v>15</v>
      </c>
      <c r="G915" s="26" t="s">
        <v>514</v>
      </c>
      <c r="H915" s="102">
        <f>IFERROR(VLOOKUP($D915,NOMENCLATOR!$A:$F,6,FALSE()),"")*IF(OR($G915="g",$G915="ml"),0.001,1)</f>
        <v>9.0028850000000007E-2</v>
      </c>
      <c r="I915" s="102">
        <f>IFERROR($F915*$H915,"")</f>
        <v>1.3504327500000002</v>
      </c>
    </row>
    <row r="916" spans="1:11" x14ac:dyDescent="0.2">
      <c r="A916" s="103" t="s">
        <v>338</v>
      </c>
      <c r="B916" s="104"/>
      <c r="C916" s="104"/>
      <c r="D916" s="104"/>
      <c r="E916" s="103" t="s">
        <v>510</v>
      </c>
      <c r="F916" s="104"/>
      <c r="G916" s="104"/>
      <c r="H916" s="104"/>
      <c r="I916" s="104"/>
      <c r="J916" s="105">
        <f>SUMIFS($I$915:$I$915,$C$915:$C$915,"AMBELE")+SUMIFS($I$915:$I$915,$C$915:$C$915,"INSTORE")</f>
        <v>1.3504327500000002</v>
      </c>
      <c r="K916" s="105">
        <f>SUMIFS($I$915:$I$915,$C$915:$C$915,"AMBELE")+SUMIFS($I$915:$I$915,$C$915:$C$915,"DELIVERY")</f>
        <v>0</v>
      </c>
    </row>
    <row r="917" spans="1:11" x14ac:dyDescent="0.2">
      <c r="A917" s="26" t="s">
        <v>325</v>
      </c>
      <c r="B917" s="26" t="s">
        <v>535</v>
      </c>
      <c r="C917" s="26" t="s">
        <v>506</v>
      </c>
      <c r="D917" s="26" t="s">
        <v>920</v>
      </c>
      <c r="E917" s="26" t="s">
        <v>921</v>
      </c>
      <c r="F917" s="101">
        <v>20</v>
      </c>
      <c r="G917" s="26" t="s">
        <v>529</v>
      </c>
      <c r="H917" s="102">
        <f>IFERROR(VLOOKUP($D917,NOMENCLATOR!$A:$F,6,FALSE()),"")*IF(OR($G917="g",$G917="ml"),0.001,1)</f>
        <v>6.8534270000000008E-2</v>
      </c>
      <c r="I917" s="102">
        <f>IFERROR($F917*$H917,"")</f>
        <v>1.3706854000000002</v>
      </c>
    </row>
    <row r="918" spans="1:11" x14ac:dyDescent="0.2">
      <c r="A918" s="103" t="s">
        <v>325</v>
      </c>
      <c r="B918" s="104"/>
      <c r="C918" s="104"/>
      <c r="D918" s="104"/>
      <c r="E918" s="103" t="s">
        <v>510</v>
      </c>
      <c r="F918" s="104"/>
      <c r="G918" s="104"/>
      <c r="H918" s="104"/>
      <c r="I918" s="104"/>
      <c r="J918" s="105">
        <f>SUMIFS($I$917:$I$917,$C$917:$C$917,"AMBELE")+SUMIFS($I$917:$I$917,$C$917:$C$917,"INSTORE")</f>
        <v>1.3706854000000002</v>
      </c>
      <c r="K918" s="105">
        <f>SUMIFS($I$917:$I$917,$C$917:$C$917,"AMBELE")+SUMIFS($I$917:$I$917,$C$917:$C$917,"DELIVERY")</f>
        <v>1.3706854000000002</v>
      </c>
    </row>
    <row r="919" spans="1:11" x14ac:dyDescent="0.2">
      <c r="A919" s="26" t="s">
        <v>320</v>
      </c>
      <c r="B919" s="26" t="s">
        <v>535</v>
      </c>
      <c r="C919" s="26" t="s">
        <v>506</v>
      </c>
      <c r="D919" s="26" t="s">
        <v>922</v>
      </c>
      <c r="E919" s="26" t="s">
        <v>923</v>
      </c>
      <c r="F919" s="101">
        <v>20</v>
      </c>
      <c r="G919" s="26" t="s">
        <v>529</v>
      </c>
      <c r="H919" s="102">
        <f>IFERROR(VLOOKUP($D919,NOMENCLATOR!$A:$F,6,FALSE()),"")*IF(OR($G919="g",$G919="ml"),0.001,1)</f>
        <v>9.6303949999999999E-2</v>
      </c>
      <c r="I919" s="102">
        <f>IFERROR($F919*$H919,"")</f>
        <v>1.9260790000000001</v>
      </c>
    </row>
    <row r="920" spans="1:11" x14ac:dyDescent="0.2">
      <c r="A920" s="103" t="s">
        <v>320</v>
      </c>
      <c r="B920" s="104"/>
      <c r="C920" s="104"/>
      <c r="D920" s="104"/>
      <c r="E920" s="103" t="s">
        <v>510</v>
      </c>
      <c r="F920" s="104"/>
      <c r="G920" s="104"/>
      <c r="H920" s="104"/>
      <c r="I920" s="104"/>
      <c r="J920" s="105">
        <f>SUMIFS($I$919:$I$919,$C$919:$C$919,"AMBELE")+SUMIFS($I$919:$I$919,$C$919:$C$919,"INSTORE")</f>
        <v>1.9260790000000001</v>
      </c>
      <c r="K920" s="105">
        <f>SUMIFS($I$919:$I$919,$C$919:$C$919,"AMBELE")+SUMIFS($I$919:$I$919,$C$919:$C$919,"DELIVERY")</f>
        <v>1.9260790000000001</v>
      </c>
    </row>
    <row r="921" spans="1:11" x14ac:dyDescent="0.2">
      <c r="A921" s="26" t="s">
        <v>264</v>
      </c>
      <c r="B921" s="26" t="s">
        <v>104</v>
      </c>
      <c r="C921" s="26" t="s">
        <v>506</v>
      </c>
      <c r="D921" s="26" t="s">
        <v>924</v>
      </c>
      <c r="E921" s="26" t="s">
        <v>925</v>
      </c>
      <c r="F921" s="101">
        <v>1</v>
      </c>
      <c r="G921" s="26" t="s">
        <v>509</v>
      </c>
      <c r="H921" s="102">
        <f>IFERROR(VLOOKUP($D921,NOMENCLATOR!$A:$F,6,FALSE()),"")*IF(OR($G921="g",$G921="ml"),0.001,1)</f>
        <v>8.5030099999999997</v>
      </c>
      <c r="I921" s="102">
        <f>IFERROR($F921*$H921,"")</f>
        <v>8.5030099999999997</v>
      </c>
    </row>
    <row r="922" spans="1:11" x14ac:dyDescent="0.2">
      <c r="A922" s="26" t="s">
        <v>264</v>
      </c>
      <c r="B922" s="26" t="s">
        <v>104</v>
      </c>
      <c r="C922" s="26" t="s">
        <v>506</v>
      </c>
      <c r="D922" s="26" t="s">
        <v>645</v>
      </c>
      <c r="E922" s="26" t="s">
        <v>646</v>
      </c>
      <c r="F922" s="101">
        <v>1</v>
      </c>
      <c r="G922" s="26" t="s">
        <v>509</v>
      </c>
      <c r="H922" s="102">
        <f>IFERROR(VLOOKUP($D922,NOMENCLATOR!$A:$F,6,FALSE()),"")*IF(OR($G922="g",$G922="ml"),0.001,1)</f>
        <v>0.27</v>
      </c>
      <c r="I922" s="102">
        <f>IFERROR($F922*$H922,"")</f>
        <v>0.27</v>
      </c>
    </row>
    <row r="923" spans="1:11" x14ac:dyDescent="0.2">
      <c r="A923" s="103" t="s">
        <v>264</v>
      </c>
      <c r="B923" s="104"/>
      <c r="C923" s="104"/>
      <c r="D923" s="104"/>
      <c r="E923" s="103" t="s">
        <v>510</v>
      </c>
      <c r="F923" s="104"/>
      <c r="G923" s="104"/>
      <c r="H923" s="104"/>
      <c r="I923" s="104"/>
      <c r="J923" s="105">
        <f>SUMIFS($I$921:$I$922,$C$921:$C$922,"AMBELE")+SUMIFS($I$921:$I$922,$C$921:$C$922,"INSTORE")</f>
        <v>8.7730099999999993</v>
      </c>
      <c r="K923" s="105">
        <f>SUMIFS($I$921:$I$922,$C$921:$C$922,"AMBELE")+SUMIFS($I$921:$I$922,$C$921:$C$922,"DELIVERY")</f>
        <v>8.7730099999999993</v>
      </c>
    </row>
    <row r="924" spans="1:11" x14ac:dyDescent="0.2">
      <c r="A924" s="26" t="s">
        <v>307</v>
      </c>
      <c r="B924" s="26" t="s">
        <v>104</v>
      </c>
      <c r="C924" s="26" t="s">
        <v>506</v>
      </c>
      <c r="D924" s="26" t="s">
        <v>926</v>
      </c>
      <c r="E924" s="26" t="s">
        <v>927</v>
      </c>
      <c r="F924" s="101">
        <v>1</v>
      </c>
      <c r="G924" s="26" t="s">
        <v>509</v>
      </c>
      <c r="H924" s="102">
        <f>IFERROR(VLOOKUP($D924,NOMENCLATOR!$A:$F,6,FALSE()),"")*IF(OR($G924="g",$G924="ml"),0.001,1)</f>
        <v>7.52</v>
      </c>
      <c r="I924" s="102">
        <f>IFERROR($F924*$H924,"")</f>
        <v>7.52</v>
      </c>
    </row>
    <row r="925" spans="1:11" x14ac:dyDescent="0.2">
      <c r="A925" s="26" t="s">
        <v>307</v>
      </c>
      <c r="B925" s="26" t="s">
        <v>104</v>
      </c>
      <c r="C925" s="26" t="s">
        <v>506</v>
      </c>
      <c r="D925" s="26" t="s">
        <v>645</v>
      </c>
      <c r="E925" s="26" t="s">
        <v>646</v>
      </c>
      <c r="F925" s="101">
        <v>1</v>
      </c>
      <c r="G925" s="26" t="s">
        <v>509</v>
      </c>
      <c r="H925" s="102">
        <f>IFERROR(VLOOKUP($D925,NOMENCLATOR!$A:$F,6,FALSE()),"")*IF(OR($G925="g",$G925="ml"),0.001,1)</f>
        <v>0.27</v>
      </c>
      <c r="I925" s="102">
        <f>IFERROR($F925*$H925,"")</f>
        <v>0.27</v>
      </c>
    </row>
    <row r="926" spans="1:11" x14ac:dyDescent="0.2">
      <c r="A926" s="103" t="s">
        <v>307</v>
      </c>
      <c r="B926" s="104"/>
      <c r="C926" s="104"/>
      <c r="D926" s="104"/>
      <c r="E926" s="103" t="s">
        <v>510</v>
      </c>
      <c r="F926" s="104"/>
      <c r="G926" s="104"/>
      <c r="H926" s="104"/>
      <c r="I926" s="104"/>
      <c r="J926" s="105">
        <f>SUMIFS($I$924:$I$925,$C$924:$C$925,"AMBELE")+SUMIFS($I$924:$I$925,$C$924:$C$925,"INSTORE")</f>
        <v>7.7899999999999991</v>
      </c>
      <c r="K926" s="105">
        <f>SUMIFS($I$924:$I$925,$C$924:$C$925,"AMBELE")+SUMIFS($I$924:$I$925,$C$924:$C$925,"DELIVERY")</f>
        <v>7.7899999999999991</v>
      </c>
    </row>
    <row r="927" spans="1:11" x14ac:dyDescent="0.2">
      <c r="A927" s="26" t="s">
        <v>263</v>
      </c>
      <c r="B927" s="26" t="s">
        <v>672</v>
      </c>
      <c r="C927" s="26" t="s">
        <v>506</v>
      </c>
      <c r="D927" s="26" t="s">
        <v>550</v>
      </c>
      <c r="E927" s="26" t="s">
        <v>551</v>
      </c>
      <c r="F927" s="101">
        <v>1</v>
      </c>
      <c r="G927" s="26" t="s">
        <v>509</v>
      </c>
      <c r="H927" s="102">
        <f>IFERROR(VLOOKUP($D927,NOMENCLATOR!$A:$F,6,FALSE()),"")*IF(OR($G927="g",$G927="ml"),0.001,1)</f>
        <v>2.36</v>
      </c>
      <c r="I927" s="102">
        <f t="shared" ref="I927:I934" si="42">IFERROR($F927*$H927,"")</f>
        <v>2.36</v>
      </c>
    </row>
    <row r="928" spans="1:11" x14ac:dyDescent="0.2">
      <c r="A928" s="26" t="s">
        <v>263</v>
      </c>
      <c r="B928" s="26" t="s">
        <v>672</v>
      </c>
      <c r="C928" s="26" t="s">
        <v>506</v>
      </c>
      <c r="D928" s="26" t="s">
        <v>562</v>
      </c>
      <c r="E928" s="26" t="s">
        <v>563</v>
      </c>
      <c r="F928" s="101">
        <v>3</v>
      </c>
      <c r="G928" s="26" t="s">
        <v>509</v>
      </c>
      <c r="H928" s="102">
        <f>IFERROR(VLOOKUP($D928,NOMENCLATOR!$A:$F,6,FALSE()),"")*IF(OR($G928="g",$G928="ml"),0.001,1)</f>
        <v>1.1499999999999999</v>
      </c>
      <c r="I928" s="102">
        <f t="shared" si="42"/>
        <v>3.4499999999999997</v>
      </c>
    </row>
    <row r="929" spans="1:11" x14ac:dyDescent="0.2">
      <c r="A929" s="26" t="s">
        <v>263</v>
      </c>
      <c r="B929" s="26" t="s">
        <v>672</v>
      </c>
      <c r="C929" s="26" t="s">
        <v>506</v>
      </c>
      <c r="D929" s="26" t="s">
        <v>513</v>
      </c>
      <c r="E929" s="26" t="s">
        <v>492</v>
      </c>
      <c r="F929" s="101">
        <v>60</v>
      </c>
      <c r="G929" s="26" t="s">
        <v>514</v>
      </c>
      <c r="H929" s="102">
        <f>IFERROR(VLOOKUP($D929,NOMENCLATOR!$A:$F,6,FALSE()),"")*IF(OR($G929="g",$G929="ml"),0.001,1)</f>
        <v>1.6897059999999998E-2</v>
      </c>
      <c r="I929" s="102">
        <f t="shared" si="42"/>
        <v>1.0138235999999998</v>
      </c>
    </row>
    <row r="930" spans="1:11" x14ac:dyDescent="0.2">
      <c r="A930" s="26" t="s">
        <v>263</v>
      </c>
      <c r="B930" s="26" t="s">
        <v>672</v>
      </c>
      <c r="C930" s="26" t="s">
        <v>506</v>
      </c>
      <c r="D930" s="26" t="s">
        <v>621</v>
      </c>
      <c r="E930" s="26" t="s">
        <v>622</v>
      </c>
      <c r="F930" s="101">
        <v>30</v>
      </c>
      <c r="G930" s="26" t="s">
        <v>514</v>
      </c>
      <c r="H930" s="102">
        <f>IFERROR(VLOOKUP($D930,NOMENCLATOR!$A:$F,6,FALSE()),"")*IF(OR($G930="g",$G930="ml"),0.001,1)</f>
        <v>3.5110300000000004E-2</v>
      </c>
      <c r="I930" s="102">
        <f t="shared" si="42"/>
        <v>1.0533090000000001</v>
      </c>
    </row>
    <row r="931" spans="1:11" x14ac:dyDescent="0.2">
      <c r="A931" s="26" t="s">
        <v>263</v>
      </c>
      <c r="B931" s="26" t="s">
        <v>672</v>
      </c>
      <c r="C931" s="26" t="s">
        <v>506</v>
      </c>
      <c r="D931" s="26" t="s">
        <v>623</v>
      </c>
      <c r="E931" s="26" t="s">
        <v>624</v>
      </c>
      <c r="F931" s="101">
        <v>15</v>
      </c>
      <c r="G931" s="26" t="s">
        <v>529</v>
      </c>
      <c r="H931" s="102">
        <f>IFERROR(VLOOKUP($D931,NOMENCLATOR!$A:$F,6,FALSE()),"")*IF(OR($G931="g",$G931="ml"),0.001,1)</f>
        <v>2.6576880000000001E-2</v>
      </c>
      <c r="I931" s="102">
        <f t="shared" si="42"/>
        <v>0.39865319999999999</v>
      </c>
    </row>
    <row r="932" spans="1:11" x14ac:dyDescent="0.2">
      <c r="A932" s="26" t="s">
        <v>263</v>
      </c>
      <c r="B932" s="26" t="s">
        <v>672</v>
      </c>
      <c r="C932" s="26" t="s">
        <v>506</v>
      </c>
      <c r="D932" s="26" t="s">
        <v>530</v>
      </c>
      <c r="E932" s="26" t="s">
        <v>531</v>
      </c>
      <c r="F932" s="101">
        <v>2</v>
      </c>
      <c r="G932" s="26" t="s">
        <v>509</v>
      </c>
      <c r="H932" s="102">
        <f>IFERROR(VLOOKUP($D932,NOMENCLATOR!$A:$F,6,FALSE()),"")*IF(OR($G932="g",$G932="ml"),0.001,1)</f>
        <v>0.63</v>
      </c>
      <c r="I932" s="102">
        <f t="shared" si="42"/>
        <v>1.26</v>
      </c>
    </row>
    <row r="933" spans="1:11" x14ac:dyDescent="0.2">
      <c r="A933" s="26" t="s">
        <v>263</v>
      </c>
      <c r="B933" s="26" t="s">
        <v>672</v>
      </c>
      <c r="C933" s="26" t="s">
        <v>506</v>
      </c>
      <c r="D933" s="26" t="s">
        <v>634</v>
      </c>
      <c r="E933" s="26" t="s">
        <v>635</v>
      </c>
      <c r="F933" s="101">
        <v>11.2</v>
      </c>
      <c r="G933" s="26" t="s">
        <v>529</v>
      </c>
      <c r="H933" s="102">
        <f>IFERROR(VLOOKUP($D933,NOMENCLATOR!$A:$F,6,FALSE()),"")*IF(OR($G933="g",$G933="ml"),0.001,1)</f>
        <v>1.554E-2</v>
      </c>
      <c r="I933" s="102">
        <f t="shared" si="42"/>
        <v>0.17404799999999998</v>
      </c>
    </row>
    <row r="934" spans="1:11" x14ac:dyDescent="0.2">
      <c r="A934" s="26" t="s">
        <v>263</v>
      </c>
      <c r="B934" s="26" t="s">
        <v>672</v>
      </c>
      <c r="C934" s="26" t="s">
        <v>506</v>
      </c>
      <c r="D934" s="26" t="s">
        <v>689</v>
      </c>
      <c r="E934" s="26" t="s">
        <v>690</v>
      </c>
      <c r="F934" s="101">
        <v>1</v>
      </c>
      <c r="G934" s="26" t="s">
        <v>509</v>
      </c>
      <c r="H934" s="102">
        <f>IFERROR(VLOOKUP($D934,NOMENCLATOR!$A:$F,6,FALSE()),"")*IF(OR($G934="g",$G934="ml"),0.001,1)</f>
        <v>0.13</v>
      </c>
      <c r="I934" s="102">
        <f t="shared" si="42"/>
        <v>0.13</v>
      </c>
    </row>
    <row r="935" spans="1:11" x14ac:dyDescent="0.2">
      <c r="A935" s="103" t="s">
        <v>263</v>
      </c>
      <c r="B935" s="104"/>
      <c r="C935" s="104"/>
      <c r="D935" s="104"/>
      <c r="E935" s="103" t="s">
        <v>510</v>
      </c>
      <c r="F935" s="104"/>
      <c r="G935" s="104"/>
      <c r="H935" s="104"/>
      <c r="I935" s="104"/>
      <c r="J935" s="105">
        <f>SUMIFS($I$927:$I$934,$C$927:$C$934,"AMBELE")+SUMIFS($I$927:$I$934,$C$927:$C$934,"INSTORE")</f>
        <v>9.8398337999999992</v>
      </c>
      <c r="K935" s="105">
        <f>SUMIFS($I$927:$I$934,$C$927:$C$934,"AMBELE")+SUMIFS($I$927:$I$934,$C$927:$C$934,"DELIVERY")</f>
        <v>9.8398337999999992</v>
      </c>
    </row>
    <row r="936" spans="1:11" x14ac:dyDescent="0.2">
      <c r="A936" s="26" t="s">
        <v>928</v>
      </c>
      <c r="B936" s="26" t="s">
        <v>677</v>
      </c>
      <c r="C936" s="26" t="s">
        <v>506</v>
      </c>
      <c r="D936" s="26" t="s">
        <v>929</v>
      </c>
      <c r="E936" s="26" t="s">
        <v>930</v>
      </c>
      <c r="F936" s="101">
        <v>1</v>
      </c>
      <c r="G936" s="26" t="s">
        <v>509</v>
      </c>
      <c r="H936" s="102">
        <f>IFERROR(VLOOKUP($D936,NOMENCLATOR!$A:$F,6,FALSE()),"")*IF(OR($G936="g",$G936="ml"),0.001,1)</f>
        <v>3.4129999999999998</v>
      </c>
      <c r="I936" s="102">
        <f t="shared" ref="I936:I942" si="43">IFERROR($F936*$H936,"")</f>
        <v>3.4129999999999998</v>
      </c>
    </row>
    <row r="937" spans="1:11" x14ac:dyDescent="0.2">
      <c r="A937" s="26" t="s">
        <v>928</v>
      </c>
      <c r="B937" s="26" t="s">
        <v>677</v>
      </c>
      <c r="C937" s="26" t="s">
        <v>506</v>
      </c>
      <c r="D937" s="26" t="s">
        <v>931</v>
      </c>
      <c r="E937" s="26" t="s">
        <v>932</v>
      </c>
      <c r="F937" s="101">
        <v>3</v>
      </c>
      <c r="G937" s="26" t="s">
        <v>509</v>
      </c>
      <c r="H937" s="102">
        <f>IFERROR(VLOOKUP($D937,NOMENCLATOR!$A:$F,6,FALSE()),"")*IF(OR($G937="g",$G937="ml"),0.001,1)</f>
        <v>3.3502999999999998</v>
      </c>
      <c r="I937" s="102">
        <f t="shared" si="43"/>
        <v>10.050899999999999</v>
      </c>
    </row>
    <row r="938" spans="1:11" x14ac:dyDescent="0.2">
      <c r="A938" s="26" t="s">
        <v>928</v>
      </c>
      <c r="B938" s="26" t="s">
        <v>677</v>
      </c>
      <c r="C938" s="26" t="s">
        <v>506</v>
      </c>
      <c r="D938" s="26" t="s">
        <v>719</v>
      </c>
      <c r="E938" s="26" t="s">
        <v>720</v>
      </c>
      <c r="F938" s="101">
        <v>1</v>
      </c>
      <c r="G938" s="26" t="s">
        <v>509</v>
      </c>
      <c r="H938" s="102">
        <f>IFERROR(VLOOKUP($D938,NOMENCLATOR!$A:$F,6,FALSE()),"")*IF(OR($G938="g",$G938="ml"),0.001,1)</f>
        <v>0.107</v>
      </c>
      <c r="I938" s="102">
        <f t="shared" si="43"/>
        <v>0.107</v>
      </c>
    </row>
    <row r="939" spans="1:11" x14ac:dyDescent="0.2">
      <c r="A939" s="26" t="s">
        <v>928</v>
      </c>
      <c r="B939" s="26" t="s">
        <v>677</v>
      </c>
      <c r="C939" s="26" t="s">
        <v>506</v>
      </c>
      <c r="D939" s="26" t="s">
        <v>629</v>
      </c>
      <c r="E939" s="26" t="s">
        <v>630</v>
      </c>
      <c r="F939" s="101">
        <v>10</v>
      </c>
      <c r="G939" s="26" t="s">
        <v>514</v>
      </c>
      <c r="H939" s="102">
        <f>IFERROR(VLOOKUP($D939,NOMENCLATOR!$A:$F,6,FALSE()),"")*IF(OR($G939="g",$G939="ml"),0.001,1)</f>
        <v>2.2149310000000002E-2</v>
      </c>
      <c r="I939" s="102">
        <f t="shared" si="43"/>
        <v>0.22149310000000003</v>
      </c>
    </row>
    <row r="940" spans="1:11" x14ac:dyDescent="0.2">
      <c r="A940" s="26" t="s">
        <v>928</v>
      </c>
      <c r="B940" s="26" t="s">
        <v>677</v>
      </c>
      <c r="C940" s="26" t="s">
        <v>506</v>
      </c>
      <c r="D940" s="26" t="s">
        <v>666</v>
      </c>
      <c r="E940" s="26" t="s">
        <v>667</v>
      </c>
      <c r="F940" s="101">
        <v>1.4</v>
      </c>
      <c r="G940" s="26" t="s">
        <v>514</v>
      </c>
      <c r="H940" s="102">
        <f>IFERROR(VLOOKUP($D940,NOMENCLATOR!$A:$F,6,FALSE()),"")*IF(OR($G940="g",$G940="ml"),0.001,1)</f>
        <v>3.3000000000000002E-2</v>
      </c>
      <c r="I940" s="102">
        <f t="shared" si="43"/>
        <v>4.6199999999999998E-2</v>
      </c>
    </row>
    <row r="941" spans="1:11" x14ac:dyDescent="0.2">
      <c r="A941" s="26" t="s">
        <v>928</v>
      </c>
      <c r="B941" s="26" t="s">
        <v>677</v>
      </c>
      <c r="C941" s="26" t="s">
        <v>506</v>
      </c>
      <c r="D941" s="26" t="s">
        <v>668</v>
      </c>
      <c r="E941" s="26" t="s">
        <v>669</v>
      </c>
      <c r="F941" s="101">
        <v>10</v>
      </c>
      <c r="G941" s="26" t="s">
        <v>529</v>
      </c>
      <c r="H941" s="102">
        <f>IFERROR(VLOOKUP($D941,NOMENCLATOR!$A:$F,6,FALSE()),"")*IF(OR($G941="g",$G941="ml"),0.001,1)</f>
        <v>7.0000000000000001E-3</v>
      </c>
      <c r="I941" s="102">
        <f t="shared" si="43"/>
        <v>7.0000000000000007E-2</v>
      </c>
    </row>
    <row r="942" spans="1:11" x14ac:dyDescent="0.2">
      <c r="A942" s="26" t="s">
        <v>928</v>
      </c>
      <c r="B942" s="26" t="s">
        <v>677</v>
      </c>
      <c r="C942" s="26" t="s">
        <v>506</v>
      </c>
      <c r="D942" s="26" t="s">
        <v>634</v>
      </c>
      <c r="E942" s="26" t="s">
        <v>635</v>
      </c>
      <c r="F942" s="101">
        <v>5.6</v>
      </c>
      <c r="G942" s="26" t="s">
        <v>529</v>
      </c>
      <c r="H942" s="102">
        <f>IFERROR(VLOOKUP($D942,NOMENCLATOR!$A:$F,6,FALSE()),"")*IF(OR($G942="g",$G942="ml"),0.001,1)</f>
        <v>1.554E-2</v>
      </c>
      <c r="I942" s="102">
        <f t="shared" si="43"/>
        <v>8.702399999999999E-2</v>
      </c>
    </row>
    <row r="943" spans="1:11" x14ac:dyDescent="0.2">
      <c r="A943" s="103" t="s">
        <v>928</v>
      </c>
      <c r="B943" s="104"/>
      <c r="C943" s="104"/>
      <c r="D943" s="104"/>
      <c r="E943" s="103" t="s">
        <v>510</v>
      </c>
      <c r="F943" s="104"/>
      <c r="G943" s="104"/>
      <c r="H943" s="104"/>
      <c r="I943" s="104"/>
      <c r="J943" s="105">
        <f>SUMIFS($I$936:$I$942,$C$936:$C$942,"AMBELE")+SUMIFS($I$936:$I$942,$C$936:$C$942,"INSTORE")</f>
        <v>13.995617099999999</v>
      </c>
      <c r="K943" s="105">
        <f>SUMIFS($I$936:$I$942,$C$936:$C$942,"AMBELE")+SUMIFS($I$936:$I$942,$C$936:$C$942,"DELIVERY")</f>
        <v>13.995617099999999</v>
      </c>
    </row>
    <row r="944" spans="1:11" x14ac:dyDescent="0.2">
      <c r="A944" s="26" t="s">
        <v>293</v>
      </c>
      <c r="B944" s="26" t="s">
        <v>672</v>
      </c>
      <c r="C944" s="26" t="s">
        <v>506</v>
      </c>
      <c r="D944" s="26" t="s">
        <v>550</v>
      </c>
      <c r="E944" s="26" t="s">
        <v>551</v>
      </c>
      <c r="F944" s="101">
        <v>1</v>
      </c>
      <c r="G944" s="26" t="s">
        <v>509</v>
      </c>
      <c r="H944" s="102">
        <f>IFERROR(VLOOKUP($D944,NOMENCLATOR!$A:$F,6,FALSE()),"")*IF(OR($G944="g",$G944="ml"),0.001,1)</f>
        <v>2.36</v>
      </c>
      <c r="I944" s="102">
        <f t="shared" ref="I944:I950" si="44">IFERROR($F944*$H944,"")</f>
        <v>2.36</v>
      </c>
    </row>
    <row r="945" spans="1:11" x14ac:dyDescent="0.2">
      <c r="A945" s="26" t="s">
        <v>293</v>
      </c>
      <c r="B945" s="26" t="s">
        <v>672</v>
      </c>
      <c r="C945" s="26" t="s">
        <v>506</v>
      </c>
      <c r="D945" s="26" t="s">
        <v>562</v>
      </c>
      <c r="E945" s="26" t="s">
        <v>563</v>
      </c>
      <c r="F945" s="101">
        <v>3</v>
      </c>
      <c r="G945" s="26" t="s">
        <v>509</v>
      </c>
      <c r="H945" s="102">
        <f>IFERROR(VLOOKUP($D945,NOMENCLATOR!$A:$F,6,FALSE()),"")*IF(OR($G945="g",$G945="ml"),0.001,1)</f>
        <v>1.1499999999999999</v>
      </c>
      <c r="I945" s="102">
        <f t="shared" si="44"/>
        <v>3.4499999999999997</v>
      </c>
    </row>
    <row r="946" spans="1:11" x14ac:dyDescent="0.2">
      <c r="A946" s="26" t="s">
        <v>293</v>
      </c>
      <c r="B946" s="26" t="s">
        <v>672</v>
      </c>
      <c r="C946" s="26" t="s">
        <v>506</v>
      </c>
      <c r="D946" s="26" t="s">
        <v>689</v>
      </c>
      <c r="E946" s="26" t="s">
        <v>690</v>
      </c>
      <c r="F946" s="101">
        <v>1</v>
      </c>
      <c r="G946" s="26" t="s">
        <v>509</v>
      </c>
      <c r="H946" s="102">
        <f>IFERROR(VLOOKUP($D946,NOMENCLATOR!$A:$F,6,FALSE()),"")*IF(OR($G946="g",$G946="ml"),0.001,1)</f>
        <v>0.13</v>
      </c>
      <c r="I946" s="102">
        <f t="shared" si="44"/>
        <v>0.13</v>
      </c>
    </row>
    <row r="947" spans="1:11" x14ac:dyDescent="0.2">
      <c r="A947" s="26" t="s">
        <v>293</v>
      </c>
      <c r="B947" s="26" t="s">
        <v>672</v>
      </c>
      <c r="C947" s="26" t="s">
        <v>506</v>
      </c>
      <c r="D947" s="26" t="s">
        <v>513</v>
      </c>
      <c r="E947" s="26" t="s">
        <v>492</v>
      </c>
      <c r="F947" s="101">
        <v>60</v>
      </c>
      <c r="G947" s="26" t="s">
        <v>514</v>
      </c>
      <c r="H947" s="102">
        <f>IFERROR(VLOOKUP($D947,NOMENCLATOR!$A:$F,6,FALSE()),"")*IF(OR($G947="g",$G947="ml"),0.001,1)</f>
        <v>1.6897059999999998E-2</v>
      </c>
      <c r="I947" s="102">
        <f t="shared" si="44"/>
        <v>1.0138235999999998</v>
      </c>
    </row>
    <row r="948" spans="1:11" x14ac:dyDescent="0.2">
      <c r="A948" s="26" t="s">
        <v>293</v>
      </c>
      <c r="B948" s="26" t="s">
        <v>672</v>
      </c>
      <c r="C948" s="26" t="s">
        <v>506</v>
      </c>
      <c r="D948" s="26" t="s">
        <v>631</v>
      </c>
      <c r="E948" s="26" t="s">
        <v>491</v>
      </c>
      <c r="F948" s="101">
        <v>20</v>
      </c>
      <c r="G948" s="26" t="s">
        <v>514</v>
      </c>
      <c r="H948" s="102">
        <f>IFERROR(VLOOKUP($D948,NOMENCLATOR!$A:$F,6,FALSE()),"")*IF(OR($G948="g",$G948="ml"),0.001,1)</f>
        <v>2.2999820000000001E-2</v>
      </c>
      <c r="I948" s="102">
        <f t="shared" si="44"/>
        <v>0.45999640000000003</v>
      </c>
    </row>
    <row r="949" spans="1:11" x14ac:dyDescent="0.2">
      <c r="A949" s="26" t="s">
        <v>293</v>
      </c>
      <c r="B949" s="26" t="s">
        <v>672</v>
      </c>
      <c r="C949" s="26" t="s">
        <v>506</v>
      </c>
      <c r="D949" s="26" t="s">
        <v>632</v>
      </c>
      <c r="E949" s="26" t="s">
        <v>633</v>
      </c>
      <c r="F949" s="101">
        <v>15</v>
      </c>
      <c r="G949" s="26" t="s">
        <v>529</v>
      </c>
      <c r="H949" s="102">
        <f>IFERROR(VLOOKUP($D949,NOMENCLATOR!$A:$F,6,FALSE()),"")*IF(OR($G949="g",$G949="ml"),0.001,1)</f>
        <v>1.9992780000000002E-2</v>
      </c>
      <c r="I949" s="102">
        <f t="shared" si="44"/>
        <v>0.29989170000000004</v>
      </c>
    </row>
    <row r="950" spans="1:11" x14ac:dyDescent="0.2">
      <c r="A950" s="26" t="s">
        <v>293</v>
      </c>
      <c r="B950" s="26" t="s">
        <v>672</v>
      </c>
      <c r="C950" s="26" t="s">
        <v>506</v>
      </c>
      <c r="D950" s="26" t="s">
        <v>634</v>
      </c>
      <c r="E950" s="26" t="s">
        <v>635</v>
      </c>
      <c r="F950" s="101">
        <v>5.6</v>
      </c>
      <c r="G950" s="26" t="s">
        <v>529</v>
      </c>
      <c r="H950" s="102">
        <f>IFERROR(VLOOKUP($D950,NOMENCLATOR!$A:$F,6,FALSE()),"")*IF(OR($G950="g",$G950="ml"),0.001,1)</f>
        <v>1.554E-2</v>
      </c>
      <c r="I950" s="102">
        <f t="shared" si="44"/>
        <v>8.702399999999999E-2</v>
      </c>
    </row>
    <row r="951" spans="1:11" x14ac:dyDescent="0.2">
      <c r="A951" s="103" t="s">
        <v>293</v>
      </c>
      <c r="B951" s="104"/>
      <c r="C951" s="104"/>
      <c r="D951" s="104"/>
      <c r="E951" s="103" t="s">
        <v>510</v>
      </c>
      <c r="F951" s="104"/>
      <c r="G951" s="104"/>
      <c r="H951" s="104"/>
      <c r="I951" s="104"/>
      <c r="J951" s="105">
        <f>SUMIFS($I$944:$I$950,$C$944:$C$950,"AMBELE")+SUMIFS($I$944:$I$950,$C$944:$C$950,"INSTORE")</f>
        <v>7.8007356999999988</v>
      </c>
      <c r="K951" s="105">
        <f>SUMIFS($I$944:$I$950,$C$944:$C$950,"AMBELE")+SUMIFS($I$944:$I$950,$C$944:$C$950,"DELIVERY")</f>
        <v>7.8007356999999988</v>
      </c>
    </row>
    <row r="952" spans="1:11" x14ac:dyDescent="0.2">
      <c r="A952" s="26" t="s">
        <v>319</v>
      </c>
      <c r="B952" s="26" t="s">
        <v>104</v>
      </c>
      <c r="C952" s="26" t="s">
        <v>506</v>
      </c>
      <c r="D952" s="26" t="s">
        <v>544</v>
      </c>
      <c r="E952" s="26" t="s">
        <v>545</v>
      </c>
      <c r="F952" s="101">
        <v>10</v>
      </c>
      <c r="G952" s="26" t="s">
        <v>514</v>
      </c>
      <c r="H952" s="102">
        <f>IFERROR(VLOOKUP($D952,NOMENCLATOR!$A:$F,6,FALSE()),"")*IF(OR($G952="g",$G952="ml"),0.001,1)</f>
        <v>6.1350800000000004E-2</v>
      </c>
      <c r="I952" s="102">
        <f t="shared" ref="I952:I957" si="45">IFERROR($F952*$H952,"")</f>
        <v>0.61350800000000005</v>
      </c>
    </row>
    <row r="953" spans="1:11" x14ac:dyDescent="0.2">
      <c r="A953" s="26" t="s">
        <v>319</v>
      </c>
      <c r="B953" s="26" t="s">
        <v>104</v>
      </c>
      <c r="C953" s="26" t="s">
        <v>506</v>
      </c>
      <c r="D953" s="26" t="s">
        <v>639</v>
      </c>
      <c r="E953" s="26" t="s">
        <v>640</v>
      </c>
      <c r="F953" s="101">
        <v>130</v>
      </c>
      <c r="G953" s="26" t="s">
        <v>514</v>
      </c>
      <c r="H953" s="102">
        <f>IFERROR(VLOOKUP($D953,NOMENCLATOR!$A:$F,6,FALSE()),"")*IF(OR($G953="g",$G953="ml"),0.001,1)</f>
        <v>9.8002499999999999E-3</v>
      </c>
      <c r="I953" s="102">
        <f t="shared" si="45"/>
        <v>1.2740324999999999</v>
      </c>
    </row>
    <row r="954" spans="1:11" x14ac:dyDescent="0.2">
      <c r="A954" s="26" t="s">
        <v>319</v>
      </c>
      <c r="B954" s="26" t="s">
        <v>104</v>
      </c>
      <c r="C954" s="26" t="s">
        <v>506</v>
      </c>
      <c r="D954" s="26" t="s">
        <v>572</v>
      </c>
      <c r="E954" s="26" t="s">
        <v>573</v>
      </c>
      <c r="F954" s="101">
        <v>12</v>
      </c>
      <c r="G954" s="26" t="s">
        <v>529</v>
      </c>
      <c r="H954" s="102">
        <f>IFERROR(VLOOKUP($D954,NOMENCLATOR!$A:$F,6,FALSE()),"")*IF(OR($G954="g",$G954="ml"),0.001,1)</f>
        <v>0.23816300000000001</v>
      </c>
      <c r="I954" s="102">
        <f t="shared" si="45"/>
        <v>2.8579560000000002</v>
      </c>
    </row>
    <row r="955" spans="1:11" x14ac:dyDescent="0.2">
      <c r="A955" s="26" t="s">
        <v>319</v>
      </c>
      <c r="B955" s="26" t="s">
        <v>104</v>
      </c>
      <c r="C955" s="26" t="s">
        <v>506</v>
      </c>
      <c r="D955" s="26" t="s">
        <v>574</v>
      </c>
      <c r="E955" s="26" t="s">
        <v>575</v>
      </c>
      <c r="F955" s="101">
        <v>1</v>
      </c>
      <c r="G955" s="26" t="s">
        <v>509</v>
      </c>
      <c r="H955" s="102">
        <f>IFERROR(VLOOKUP($D955,NOMENCLATOR!$A:$F,6,FALSE()),"")*IF(OR($G955="g",$G955="ml"),0.001,1)</f>
        <v>0.70499999999999996</v>
      </c>
      <c r="I955" s="102">
        <f t="shared" si="45"/>
        <v>0.70499999999999996</v>
      </c>
    </row>
    <row r="956" spans="1:11" x14ac:dyDescent="0.2">
      <c r="A956" s="26" t="s">
        <v>319</v>
      </c>
      <c r="B956" s="26" t="s">
        <v>104</v>
      </c>
      <c r="C956" s="26" t="s">
        <v>506</v>
      </c>
      <c r="D956" s="26" t="s">
        <v>576</v>
      </c>
      <c r="E956" s="26" t="s">
        <v>577</v>
      </c>
      <c r="F956" s="101">
        <v>1</v>
      </c>
      <c r="G956" s="26" t="s">
        <v>509</v>
      </c>
      <c r="H956" s="102">
        <f>IFERROR(VLOOKUP($D956,NOMENCLATOR!$A:$F,6,FALSE()),"")*IF(OR($G956="g",$G956="ml"),0.001,1)</f>
        <v>0.14699999999999999</v>
      </c>
      <c r="I956" s="102">
        <f t="shared" si="45"/>
        <v>0.14699999999999999</v>
      </c>
    </row>
    <row r="957" spans="1:11" x14ac:dyDescent="0.2">
      <c r="A957" s="26" t="s">
        <v>319</v>
      </c>
      <c r="B957" s="26" t="s">
        <v>104</v>
      </c>
      <c r="C957" s="26" t="s">
        <v>506</v>
      </c>
      <c r="D957" s="26" t="s">
        <v>578</v>
      </c>
      <c r="E957" s="26" t="s">
        <v>579</v>
      </c>
      <c r="F957" s="101">
        <v>1</v>
      </c>
      <c r="G957" s="26" t="s">
        <v>509</v>
      </c>
      <c r="H957" s="102">
        <f>IFERROR(VLOOKUP($D957,NOMENCLATOR!$A:$F,6,FALSE()),"")*IF(OR($G957="g",$G957="ml"),0.001,1)</f>
        <v>1.2999999999999999E-2</v>
      </c>
      <c r="I957" s="102">
        <f t="shared" si="45"/>
        <v>1.2999999999999999E-2</v>
      </c>
    </row>
    <row r="958" spans="1:11" x14ac:dyDescent="0.2">
      <c r="A958" s="103" t="s">
        <v>319</v>
      </c>
      <c r="B958" s="104"/>
      <c r="C958" s="104"/>
      <c r="D958" s="104"/>
      <c r="E958" s="103" t="s">
        <v>510</v>
      </c>
      <c r="F958" s="104"/>
      <c r="G958" s="104"/>
      <c r="H958" s="104"/>
      <c r="I958" s="104"/>
      <c r="J958" s="105">
        <f>SUMIFS($I$952:$I$957,$C$952:$C$957,"AMBELE")+SUMIFS($I$952:$I$957,$C$952:$C$957,"INSTORE")</f>
        <v>5.6104965</v>
      </c>
      <c r="K958" s="105">
        <f>SUMIFS($I$952:$I$957,$C$952:$C$957,"AMBELE")+SUMIFS($I$952:$I$957,$C$952:$C$957,"DELIVERY")</f>
        <v>5.6104965</v>
      </c>
    </row>
    <row r="959" spans="1:11" x14ac:dyDescent="0.2">
      <c r="A959" s="26" t="s">
        <v>316</v>
      </c>
      <c r="B959" s="26" t="s">
        <v>104</v>
      </c>
      <c r="C959" s="26" t="s">
        <v>506</v>
      </c>
      <c r="D959" s="26" t="s">
        <v>544</v>
      </c>
      <c r="E959" s="26" t="s">
        <v>545</v>
      </c>
      <c r="F959" s="101">
        <v>10</v>
      </c>
      <c r="G959" s="26" t="s">
        <v>514</v>
      </c>
      <c r="H959" s="102">
        <f>IFERROR(VLOOKUP($D959,NOMENCLATOR!$A:$F,6,FALSE()),"")*IF(OR($G959="g",$G959="ml"),0.001,1)</f>
        <v>6.1350800000000004E-2</v>
      </c>
      <c r="I959" s="102">
        <f t="shared" ref="I959:I964" si="46">IFERROR($F959*$H959,"")</f>
        <v>0.61350800000000005</v>
      </c>
    </row>
    <row r="960" spans="1:11" x14ac:dyDescent="0.2">
      <c r="A960" s="26" t="s">
        <v>316</v>
      </c>
      <c r="B960" s="26" t="s">
        <v>104</v>
      </c>
      <c r="C960" s="26" t="s">
        <v>506</v>
      </c>
      <c r="D960" s="26" t="s">
        <v>639</v>
      </c>
      <c r="E960" s="26" t="s">
        <v>640</v>
      </c>
      <c r="F960" s="101">
        <v>165</v>
      </c>
      <c r="G960" s="26" t="s">
        <v>514</v>
      </c>
      <c r="H960" s="102">
        <f>IFERROR(VLOOKUP($D960,NOMENCLATOR!$A:$F,6,FALSE()),"")*IF(OR($G960="g",$G960="ml"),0.001,1)</f>
        <v>9.8002499999999999E-3</v>
      </c>
      <c r="I960" s="102">
        <f t="shared" si="46"/>
        <v>1.61704125</v>
      </c>
    </row>
    <row r="961" spans="1:11" x14ac:dyDescent="0.2">
      <c r="A961" s="26" t="s">
        <v>316</v>
      </c>
      <c r="B961" s="26" t="s">
        <v>104</v>
      </c>
      <c r="C961" s="26" t="s">
        <v>506</v>
      </c>
      <c r="D961" s="26" t="s">
        <v>572</v>
      </c>
      <c r="E961" s="26" t="s">
        <v>573</v>
      </c>
      <c r="F961" s="101">
        <v>14</v>
      </c>
      <c r="G961" s="26" t="s">
        <v>529</v>
      </c>
      <c r="H961" s="102">
        <f>IFERROR(VLOOKUP($D961,NOMENCLATOR!$A:$F,6,FALSE()),"")*IF(OR($G961="g",$G961="ml"),0.001,1)</f>
        <v>0.23816300000000001</v>
      </c>
      <c r="I961" s="102">
        <f t="shared" si="46"/>
        <v>3.334282</v>
      </c>
    </row>
    <row r="962" spans="1:11" x14ac:dyDescent="0.2">
      <c r="A962" s="26" t="s">
        <v>316</v>
      </c>
      <c r="B962" s="26" t="s">
        <v>104</v>
      </c>
      <c r="C962" s="26" t="s">
        <v>506</v>
      </c>
      <c r="D962" s="26" t="s">
        <v>580</v>
      </c>
      <c r="E962" s="26" t="s">
        <v>581</v>
      </c>
      <c r="F962" s="101">
        <v>1</v>
      </c>
      <c r="G962" s="26" t="s">
        <v>509</v>
      </c>
      <c r="H962" s="102">
        <f>IFERROR(VLOOKUP($D962,NOMENCLATOR!$A:$F,6,FALSE()),"")*IF(OR($G962="g",$G962="ml"),0.001,1)</f>
        <v>0.49</v>
      </c>
      <c r="I962" s="102">
        <f t="shared" si="46"/>
        <v>0.49</v>
      </c>
    </row>
    <row r="963" spans="1:11" x14ac:dyDescent="0.2">
      <c r="A963" s="26" t="s">
        <v>316</v>
      </c>
      <c r="B963" s="26" t="s">
        <v>104</v>
      </c>
      <c r="C963" s="26" t="s">
        <v>506</v>
      </c>
      <c r="D963" s="26" t="s">
        <v>582</v>
      </c>
      <c r="E963" s="26" t="s">
        <v>583</v>
      </c>
      <c r="F963" s="101">
        <v>1</v>
      </c>
      <c r="G963" s="26" t="s">
        <v>509</v>
      </c>
      <c r="H963" s="102">
        <f>IFERROR(VLOOKUP($D963,NOMENCLATOR!$A:$F,6,FALSE()),"")*IF(OR($G963="g",$G963="ml"),0.001,1)</f>
        <v>0.17799999999999999</v>
      </c>
      <c r="I963" s="102">
        <f t="shared" si="46"/>
        <v>0.17799999999999999</v>
      </c>
    </row>
    <row r="964" spans="1:11" x14ac:dyDescent="0.2">
      <c r="A964" s="26" t="s">
        <v>316</v>
      </c>
      <c r="B964" s="26" t="s">
        <v>104</v>
      </c>
      <c r="C964" s="26" t="s">
        <v>506</v>
      </c>
      <c r="D964" s="26" t="s">
        <v>578</v>
      </c>
      <c r="E964" s="26" t="s">
        <v>579</v>
      </c>
      <c r="F964" s="101">
        <v>1</v>
      </c>
      <c r="G964" s="26" t="s">
        <v>509</v>
      </c>
      <c r="H964" s="102">
        <f>IFERROR(VLOOKUP($D964,NOMENCLATOR!$A:$F,6,FALSE()),"")*IF(OR($G964="g",$G964="ml"),0.001,1)</f>
        <v>1.2999999999999999E-2</v>
      </c>
      <c r="I964" s="102">
        <f t="shared" si="46"/>
        <v>1.2999999999999999E-2</v>
      </c>
    </row>
    <row r="965" spans="1:11" x14ac:dyDescent="0.2">
      <c r="A965" s="103" t="s">
        <v>316</v>
      </c>
      <c r="B965" s="104"/>
      <c r="C965" s="104"/>
      <c r="D965" s="104"/>
      <c r="E965" s="103" t="s">
        <v>510</v>
      </c>
      <c r="F965" s="104"/>
      <c r="G965" s="104"/>
      <c r="H965" s="104"/>
      <c r="I965" s="104"/>
      <c r="J965" s="105">
        <f>SUMIFS($I$959:$I$964,$C$959:$C$964,"AMBELE")+SUMIFS($I$959:$I$964,$C$959:$C$964,"INSTORE")</f>
        <v>6.2458312500000002</v>
      </c>
      <c r="K965" s="105">
        <f>SUMIFS($I$959:$I$964,$C$959:$C$964,"AMBELE")+SUMIFS($I$959:$I$964,$C$959:$C$964,"DELIVERY")</f>
        <v>6.2458312500000002</v>
      </c>
    </row>
    <row r="966" spans="1:11" x14ac:dyDescent="0.2">
      <c r="A966" s="26" t="s">
        <v>933</v>
      </c>
      <c r="B966" s="26" t="s">
        <v>694</v>
      </c>
      <c r="C966" s="26" t="s">
        <v>506</v>
      </c>
      <c r="D966" s="26" t="s">
        <v>934</v>
      </c>
      <c r="E966" s="26" t="s">
        <v>935</v>
      </c>
      <c r="F966" s="101">
        <v>1</v>
      </c>
      <c r="G966" s="26" t="s">
        <v>509</v>
      </c>
      <c r="H966" s="102">
        <f>IFERROR(VLOOKUP($D966,NOMENCLATOR!$A:$F,6,FALSE()),"")*IF(OR($G966="g",$G966="ml"),0.001,1)</f>
        <v>16.123000000000001</v>
      </c>
      <c r="I966" s="102">
        <f>IFERROR($F966*$H966,"")</f>
        <v>16.123000000000001</v>
      </c>
    </row>
    <row r="967" spans="1:11" x14ac:dyDescent="0.2">
      <c r="A967" s="103" t="s">
        <v>933</v>
      </c>
      <c r="B967" s="104"/>
      <c r="C967" s="104"/>
      <c r="D967" s="104"/>
      <c r="E967" s="103" t="s">
        <v>510</v>
      </c>
      <c r="F967" s="104"/>
      <c r="G967" s="104"/>
      <c r="H967" s="104"/>
      <c r="I967" s="104"/>
      <c r="J967" s="105">
        <f>SUMIFS($I$966:$I$966,$C$966:$C$966,"AMBELE")+SUMIFS($I$966:$I$966,$C$966:$C$966,"INSTORE")</f>
        <v>16.123000000000001</v>
      </c>
      <c r="K967" s="105">
        <f>SUMIFS($I$966:$I$966,$C$966:$C$966,"AMBELE")+SUMIFS($I$966:$I$966,$C$966:$C$966,"DELIVERY")</f>
        <v>16.123000000000001</v>
      </c>
    </row>
  </sheetData>
  <mergeCells count="2">
    <mergeCell ref="A1:K1"/>
    <mergeCell ref="A2:K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04"/>
  <sheetViews>
    <sheetView zoomScale="176" zoomScaleNormal="100" workbookViewId="0">
      <pane ySplit="3" topLeftCell="A173" activePane="bottomLeft" state="frozen"/>
      <selection pane="bottomLeft" activeCell="B187" sqref="B187"/>
    </sheetView>
  </sheetViews>
  <sheetFormatPr baseColWidth="10" defaultColWidth="8.6640625" defaultRowHeight="15" x14ac:dyDescent="0.2"/>
  <cols>
    <col min="1" max="1" width="13" customWidth="1"/>
    <col min="2" max="2" width="50" customWidth="1"/>
    <col min="3" max="4" width="10" customWidth="1"/>
    <col min="5" max="5" width="9" customWidth="1"/>
    <col min="6" max="6" width="18" customWidth="1"/>
    <col min="7" max="7" width="13" customWidth="1"/>
  </cols>
  <sheetData>
    <row r="1" spans="1:7" ht="19" x14ac:dyDescent="0.2">
      <c r="A1" s="107" t="s">
        <v>936</v>
      </c>
      <c r="B1" s="107"/>
      <c r="C1" s="107"/>
      <c r="D1" s="107"/>
      <c r="E1" s="107"/>
      <c r="F1" s="107"/>
      <c r="G1" s="107"/>
    </row>
    <row r="2" spans="1:7" x14ac:dyDescent="0.2">
      <c r="A2" s="114" t="s">
        <v>937</v>
      </c>
      <c r="B2" s="114"/>
      <c r="C2" s="114"/>
      <c r="D2" s="114"/>
      <c r="E2" s="114"/>
      <c r="F2" s="114"/>
      <c r="G2" s="114"/>
    </row>
    <row r="3" spans="1:7" x14ac:dyDescent="0.2">
      <c r="A3" s="40" t="s">
        <v>938</v>
      </c>
      <c r="B3" s="40" t="s">
        <v>939</v>
      </c>
      <c r="C3" s="40" t="s">
        <v>940</v>
      </c>
      <c r="D3" s="40" t="s">
        <v>941</v>
      </c>
      <c r="E3" s="40" t="s">
        <v>942</v>
      </c>
      <c r="F3" s="40" t="s">
        <v>943</v>
      </c>
      <c r="G3" s="40" t="s">
        <v>944</v>
      </c>
    </row>
    <row r="4" spans="1:7" x14ac:dyDescent="0.2">
      <c r="A4" s="26" t="s">
        <v>592</v>
      </c>
      <c r="B4" s="26" t="s">
        <v>593</v>
      </c>
      <c r="C4" s="26" t="s">
        <v>945</v>
      </c>
      <c r="D4" s="26" t="s">
        <v>946</v>
      </c>
      <c r="E4" s="26" t="s">
        <v>509</v>
      </c>
      <c r="F4" s="106">
        <v>2.7919999999999998</v>
      </c>
      <c r="G4" s="26" t="s">
        <v>947</v>
      </c>
    </row>
    <row r="5" spans="1:7" x14ac:dyDescent="0.2">
      <c r="A5" s="26" t="s">
        <v>519</v>
      </c>
      <c r="B5" s="26" t="s">
        <v>520</v>
      </c>
      <c r="C5" s="26" t="s">
        <v>945</v>
      </c>
      <c r="D5" s="26" t="s">
        <v>946</v>
      </c>
      <c r="E5" s="26" t="s">
        <v>509</v>
      </c>
      <c r="F5" s="106">
        <v>1.5044299999999999</v>
      </c>
      <c r="G5" s="26" t="s">
        <v>948</v>
      </c>
    </row>
    <row r="6" spans="1:7" x14ac:dyDescent="0.2">
      <c r="A6" s="26" t="s">
        <v>899</v>
      </c>
      <c r="B6" s="26" t="s">
        <v>900</v>
      </c>
      <c r="C6" s="26" t="s">
        <v>945</v>
      </c>
      <c r="D6" s="26" t="s">
        <v>946</v>
      </c>
      <c r="E6" s="26" t="s">
        <v>509</v>
      </c>
      <c r="F6" s="106">
        <v>1.0820000000000001</v>
      </c>
      <c r="G6" s="26" t="s">
        <v>948</v>
      </c>
    </row>
    <row r="7" spans="1:7" x14ac:dyDescent="0.2">
      <c r="A7" s="26" t="s">
        <v>806</v>
      </c>
      <c r="B7" s="26" t="s">
        <v>807</v>
      </c>
      <c r="C7" s="26" t="s">
        <v>945</v>
      </c>
      <c r="D7" s="26" t="s">
        <v>946</v>
      </c>
      <c r="E7" s="26" t="s">
        <v>509</v>
      </c>
      <c r="F7" s="106">
        <v>5.1509999999999998</v>
      </c>
      <c r="G7" s="26" t="s">
        <v>948</v>
      </c>
    </row>
    <row r="8" spans="1:7" x14ac:dyDescent="0.2">
      <c r="A8" s="26" t="s">
        <v>800</v>
      </c>
      <c r="B8" s="26" t="s">
        <v>801</v>
      </c>
      <c r="C8" s="26" t="s">
        <v>945</v>
      </c>
      <c r="D8" s="26" t="s">
        <v>946</v>
      </c>
      <c r="E8" s="26" t="s">
        <v>509</v>
      </c>
      <c r="F8" s="106">
        <v>3.1480000000000001</v>
      </c>
      <c r="G8" s="26" t="s">
        <v>949</v>
      </c>
    </row>
    <row r="9" spans="1:7" x14ac:dyDescent="0.2">
      <c r="A9" s="26" t="s">
        <v>804</v>
      </c>
      <c r="B9" s="26" t="s">
        <v>805</v>
      </c>
      <c r="C9" s="26" t="s">
        <v>945</v>
      </c>
      <c r="D9" s="26" t="s">
        <v>946</v>
      </c>
      <c r="E9" s="26" t="s">
        <v>509</v>
      </c>
      <c r="F9" s="106">
        <v>5.2489999999999997</v>
      </c>
      <c r="G9" s="26" t="s">
        <v>949</v>
      </c>
    </row>
    <row r="10" spans="1:7" x14ac:dyDescent="0.2">
      <c r="A10" s="26" t="s">
        <v>643</v>
      </c>
      <c r="B10" s="26" t="s">
        <v>644</v>
      </c>
      <c r="C10" s="26" t="s">
        <v>945</v>
      </c>
      <c r="D10" s="26" t="s">
        <v>946</v>
      </c>
      <c r="E10" s="26" t="s">
        <v>509</v>
      </c>
      <c r="F10" s="106">
        <v>7.9089799999999997</v>
      </c>
      <c r="G10" s="26" t="s">
        <v>947</v>
      </c>
    </row>
    <row r="11" spans="1:7" x14ac:dyDescent="0.2">
      <c r="A11" s="26" t="s">
        <v>856</v>
      </c>
      <c r="B11" s="26" t="s">
        <v>857</v>
      </c>
      <c r="C11" s="26" t="s">
        <v>945</v>
      </c>
      <c r="D11" s="26" t="s">
        <v>946</v>
      </c>
      <c r="E11" s="26" t="s">
        <v>509</v>
      </c>
      <c r="F11" s="106">
        <v>9.50502</v>
      </c>
      <c r="G11" s="26" t="s">
        <v>947</v>
      </c>
    </row>
    <row r="12" spans="1:7" x14ac:dyDescent="0.2">
      <c r="A12" s="26" t="s">
        <v>820</v>
      </c>
      <c r="B12" s="26" t="s">
        <v>821</v>
      </c>
      <c r="C12" s="26" t="s">
        <v>945</v>
      </c>
      <c r="D12" s="26" t="s">
        <v>946</v>
      </c>
      <c r="E12" s="26" t="s">
        <v>509</v>
      </c>
      <c r="F12" s="106">
        <v>8.2170299999999994</v>
      </c>
      <c r="G12" s="26" t="s">
        <v>947</v>
      </c>
    </row>
    <row r="13" spans="1:7" x14ac:dyDescent="0.2">
      <c r="A13" s="26" t="s">
        <v>523</v>
      </c>
      <c r="B13" s="26" t="s">
        <v>524</v>
      </c>
      <c r="C13" s="26" t="s">
        <v>945</v>
      </c>
      <c r="D13" s="26" t="s">
        <v>946</v>
      </c>
      <c r="E13" s="26" t="s">
        <v>509</v>
      </c>
      <c r="F13" s="106">
        <v>0.67483000000000004</v>
      </c>
      <c r="G13" s="26" t="s">
        <v>948</v>
      </c>
    </row>
    <row r="14" spans="1:7" x14ac:dyDescent="0.2">
      <c r="A14" s="26" t="s">
        <v>713</v>
      </c>
      <c r="B14" s="26" t="s">
        <v>714</v>
      </c>
      <c r="C14" s="26" t="s">
        <v>945</v>
      </c>
      <c r="D14" s="26" t="s">
        <v>946</v>
      </c>
      <c r="E14" s="26" t="s">
        <v>509</v>
      </c>
      <c r="F14" s="106">
        <v>0.64300000000000002</v>
      </c>
      <c r="G14" s="26" t="s">
        <v>948</v>
      </c>
    </row>
    <row r="15" spans="1:7" x14ac:dyDescent="0.2">
      <c r="A15" s="26" t="s">
        <v>788</v>
      </c>
      <c r="B15" s="26" t="s">
        <v>789</v>
      </c>
      <c r="C15" s="26" t="s">
        <v>945</v>
      </c>
      <c r="D15" s="26" t="s">
        <v>950</v>
      </c>
      <c r="E15" s="26" t="s">
        <v>951</v>
      </c>
      <c r="F15" s="106">
        <v>14.764200000000001</v>
      </c>
      <c r="G15" s="26" t="s">
        <v>949</v>
      </c>
    </row>
    <row r="16" spans="1:7" x14ac:dyDescent="0.2">
      <c r="A16" s="26" t="s">
        <v>920</v>
      </c>
      <c r="B16" s="26" t="s">
        <v>921</v>
      </c>
      <c r="C16" s="26" t="s">
        <v>945</v>
      </c>
      <c r="D16" s="26" t="s">
        <v>952</v>
      </c>
      <c r="E16" s="26" t="s">
        <v>953</v>
      </c>
      <c r="F16" s="106">
        <v>68.534270000000006</v>
      </c>
      <c r="G16" s="26" t="s">
        <v>947</v>
      </c>
    </row>
    <row r="17" spans="1:7" x14ac:dyDescent="0.2">
      <c r="A17" s="26" t="s">
        <v>924</v>
      </c>
      <c r="B17" s="26" t="s">
        <v>925</v>
      </c>
      <c r="C17" s="26" t="s">
        <v>945</v>
      </c>
      <c r="D17" s="26" t="s">
        <v>946</v>
      </c>
      <c r="E17" s="26" t="s">
        <v>509</v>
      </c>
      <c r="F17" s="106">
        <v>8.5030099999999997</v>
      </c>
      <c r="G17" s="26" t="s">
        <v>947</v>
      </c>
    </row>
    <row r="18" spans="1:7" x14ac:dyDescent="0.2">
      <c r="A18" s="26" t="s">
        <v>725</v>
      </c>
      <c r="B18" s="26" t="s">
        <v>726</v>
      </c>
      <c r="C18" s="26" t="s">
        <v>945</v>
      </c>
      <c r="D18" s="26" t="s">
        <v>946</v>
      </c>
      <c r="E18" s="26" t="s">
        <v>509</v>
      </c>
      <c r="F18" s="106">
        <v>0.69299999999999995</v>
      </c>
      <c r="G18" s="26" t="s">
        <v>948</v>
      </c>
    </row>
    <row r="19" spans="1:7" x14ac:dyDescent="0.2">
      <c r="A19" s="26" t="s">
        <v>929</v>
      </c>
      <c r="B19" s="26" t="s">
        <v>930</v>
      </c>
      <c r="C19" s="26" t="s">
        <v>945</v>
      </c>
      <c r="D19" s="26" t="s">
        <v>946</v>
      </c>
      <c r="E19" s="26" t="s">
        <v>509</v>
      </c>
      <c r="F19" s="106">
        <v>3.4129999999999998</v>
      </c>
      <c r="G19" s="26" t="s">
        <v>949</v>
      </c>
    </row>
    <row r="20" spans="1:7" x14ac:dyDescent="0.2">
      <c r="A20" s="26" t="s">
        <v>683</v>
      </c>
      <c r="B20" s="26" t="s">
        <v>684</v>
      </c>
      <c r="C20" s="26" t="s">
        <v>945</v>
      </c>
      <c r="D20" s="26" t="s">
        <v>946</v>
      </c>
      <c r="E20" s="26" t="s">
        <v>509</v>
      </c>
      <c r="F20" s="106">
        <v>5.3079999999999998</v>
      </c>
      <c r="G20" s="26" t="s">
        <v>949</v>
      </c>
    </row>
    <row r="21" spans="1:7" x14ac:dyDescent="0.2">
      <c r="A21" s="26" t="s">
        <v>615</v>
      </c>
      <c r="B21" s="26" t="s">
        <v>616</v>
      </c>
      <c r="C21" s="26" t="s">
        <v>945</v>
      </c>
      <c r="D21" s="26" t="s">
        <v>946</v>
      </c>
      <c r="E21" s="26" t="s">
        <v>509</v>
      </c>
      <c r="F21" s="106">
        <v>3.6909999999999998</v>
      </c>
      <c r="G21" s="26" t="s">
        <v>947</v>
      </c>
    </row>
    <row r="22" spans="1:7" x14ac:dyDescent="0.2">
      <c r="A22" s="26" t="s">
        <v>611</v>
      </c>
      <c r="B22" s="26" t="s">
        <v>612</v>
      </c>
      <c r="C22" s="26" t="s">
        <v>945</v>
      </c>
      <c r="D22" s="26" t="s">
        <v>950</v>
      </c>
      <c r="E22" s="26" t="s">
        <v>951</v>
      </c>
      <c r="F22" s="106">
        <v>44.933480000000003</v>
      </c>
      <c r="G22" s="26" t="s">
        <v>947</v>
      </c>
    </row>
    <row r="23" spans="1:7" x14ac:dyDescent="0.2">
      <c r="A23" s="26" t="s">
        <v>552</v>
      </c>
      <c r="B23" s="26" t="s">
        <v>553</v>
      </c>
      <c r="C23" s="26" t="s">
        <v>945</v>
      </c>
      <c r="D23" s="26" t="s">
        <v>952</v>
      </c>
      <c r="E23" s="26" t="s">
        <v>953</v>
      </c>
      <c r="F23" s="106">
        <v>41.067520000000002</v>
      </c>
      <c r="G23" s="26" t="s">
        <v>947</v>
      </c>
    </row>
    <row r="24" spans="1:7" x14ac:dyDescent="0.2">
      <c r="A24" s="26" t="s">
        <v>835</v>
      </c>
      <c r="B24" s="26" t="s">
        <v>836</v>
      </c>
      <c r="C24" s="26" t="s">
        <v>954</v>
      </c>
      <c r="D24" s="26" t="s">
        <v>946</v>
      </c>
      <c r="E24" s="26" t="s">
        <v>509</v>
      </c>
      <c r="F24" s="106">
        <v>2.06</v>
      </c>
      <c r="G24" s="26" t="s">
        <v>948</v>
      </c>
    </row>
    <row r="25" spans="1:7" x14ac:dyDescent="0.2">
      <c r="A25" s="26" t="s">
        <v>955</v>
      </c>
      <c r="B25" s="26" t="s">
        <v>956</v>
      </c>
      <c r="C25" s="26" t="s">
        <v>945</v>
      </c>
      <c r="D25" s="26" t="s">
        <v>946</v>
      </c>
      <c r="E25" s="26" t="s">
        <v>509</v>
      </c>
      <c r="F25" s="106">
        <v>0.63100000000000001</v>
      </c>
      <c r="G25" s="26" t="s">
        <v>957</v>
      </c>
    </row>
    <row r="26" spans="1:7" x14ac:dyDescent="0.2">
      <c r="A26" s="26" t="s">
        <v>584</v>
      </c>
      <c r="B26" s="26" t="s">
        <v>585</v>
      </c>
      <c r="C26" s="26" t="s">
        <v>945</v>
      </c>
      <c r="D26" s="26" t="s">
        <v>946</v>
      </c>
      <c r="E26" s="26" t="s">
        <v>509</v>
      </c>
      <c r="F26" s="106">
        <v>6.4539999999999997</v>
      </c>
      <c r="G26" s="26" t="s">
        <v>947</v>
      </c>
    </row>
    <row r="27" spans="1:7" x14ac:dyDescent="0.2">
      <c r="A27" s="26" t="s">
        <v>590</v>
      </c>
      <c r="B27" s="26" t="s">
        <v>591</v>
      </c>
      <c r="C27" s="26" t="s">
        <v>945</v>
      </c>
      <c r="D27" s="26" t="s">
        <v>946</v>
      </c>
      <c r="E27" s="26" t="s">
        <v>509</v>
      </c>
      <c r="F27" s="106">
        <v>5.74</v>
      </c>
      <c r="G27" s="26" t="s">
        <v>957</v>
      </c>
    </row>
    <row r="28" spans="1:7" x14ac:dyDescent="0.2">
      <c r="A28" s="26" t="s">
        <v>595</v>
      </c>
      <c r="B28" s="26" t="s">
        <v>596</v>
      </c>
      <c r="C28" s="26" t="s">
        <v>945</v>
      </c>
      <c r="D28" s="26" t="s">
        <v>946</v>
      </c>
      <c r="E28" s="26" t="s">
        <v>509</v>
      </c>
      <c r="F28" s="106">
        <v>5.74</v>
      </c>
      <c r="G28" s="26" t="s">
        <v>957</v>
      </c>
    </row>
    <row r="29" spans="1:7" x14ac:dyDescent="0.2">
      <c r="A29" s="26" t="s">
        <v>741</v>
      </c>
      <c r="B29" s="26" t="s">
        <v>742</v>
      </c>
      <c r="C29" s="26" t="s">
        <v>945</v>
      </c>
      <c r="D29" s="26" t="s">
        <v>946</v>
      </c>
      <c r="E29" s="26" t="s">
        <v>509</v>
      </c>
      <c r="F29" s="106">
        <v>15.192</v>
      </c>
      <c r="G29" s="26" t="s">
        <v>949</v>
      </c>
    </row>
    <row r="30" spans="1:7" x14ac:dyDescent="0.2">
      <c r="A30" s="26" t="s">
        <v>802</v>
      </c>
      <c r="B30" s="26" t="s">
        <v>803</v>
      </c>
      <c r="C30" s="26" t="s">
        <v>945</v>
      </c>
      <c r="D30" s="26" t="s">
        <v>952</v>
      </c>
      <c r="E30" s="26" t="s">
        <v>953</v>
      </c>
      <c r="F30" s="106">
        <v>18.661940000000001</v>
      </c>
      <c r="G30" s="26" t="s">
        <v>947</v>
      </c>
    </row>
    <row r="31" spans="1:7" x14ac:dyDescent="0.2">
      <c r="A31" s="26" t="s">
        <v>586</v>
      </c>
      <c r="B31" s="26" t="s">
        <v>587</v>
      </c>
      <c r="C31" s="26" t="s">
        <v>945</v>
      </c>
      <c r="D31" s="26" t="s">
        <v>946</v>
      </c>
      <c r="E31" s="26" t="s">
        <v>509</v>
      </c>
      <c r="F31" s="106">
        <v>2.75</v>
      </c>
      <c r="G31" s="26" t="s">
        <v>948</v>
      </c>
    </row>
    <row r="32" spans="1:7" x14ac:dyDescent="0.2">
      <c r="A32" s="26" t="s">
        <v>556</v>
      </c>
      <c r="B32" s="26" t="s">
        <v>557</v>
      </c>
      <c r="C32" s="26" t="s">
        <v>945</v>
      </c>
      <c r="D32" s="26" t="s">
        <v>952</v>
      </c>
      <c r="E32" s="26" t="s">
        <v>953</v>
      </c>
      <c r="F32" s="106">
        <v>20.073709999999998</v>
      </c>
      <c r="G32" s="26" t="s">
        <v>947</v>
      </c>
    </row>
    <row r="33" spans="1:7" x14ac:dyDescent="0.2">
      <c r="A33" s="26" t="s">
        <v>511</v>
      </c>
      <c r="B33" s="26" t="s">
        <v>512</v>
      </c>
      <c r="C33" s="26" t="s">
        <v>945</v>
      </c>
      <c r="D33" s="26" t="s">
        <v>946</v>
      </c>
      <c r="E33" s="26" t="s">
        <v>509</v>
      </c>
      <c r="F33" s="106">
        <v>1.39123</v>
      </c>
      <c r="G33" s="26" t="s">
        <v>948</v>
      </c>
    </row>
    <row r="34" spans="1:7" x14ac:dyDescent="0.2">
      <c r="A34" s="26" t="s">
        <v>527</v>
      </c>
      <c r="B34" s="26" t="s">
        <v>528</v>
      </c>
      <c r="C34" s="26" t="s">
        <v>945</v>
      </c>
      <c r="D34" s="26" t="s">
        <v>952</v>
      </c>
      <c r="E34" s="26" t="s">
        <v>953</v>
      </c>
      <c r="F34" s="106">
        <v>50.773429999999998</v>
      </c>
      <c r="G34" s="26" t="s">
        <v>947</v>
      </c>
    </row>
    <row r="35" spans="1:7" x14ac:dyDescent="0.2">
      <c r="A35" s="26" t="s">
        <v>841</v>
      </c>
      <c r="B35" s="26" t="s">
        <v>842</v>
      </c>
      <c r="C35" s="26" t="s">
        <v>945</v>
      </c>
      <c r="D35" s="26" t="s">
        <v>946</v>
      </c>
      <c r="E35" s="26" t="s">
        <v>509</v>
      </c>
      <c r="F35" s="106">
        <v>0.77700000000000002</v>
      </c>
      <c r="G35" s="26" t="s">
        <v>949</v>
      </c>
    </row>
    <row r="36" spans="1:7" x14ac:dyDescent="0.2">
      <c r="A36" s="26" t="s">
        <v>637</v>
      </c>
      <c r="B36" s="26" t="s">
        <v>638</v>
      </c>
      <c r="C36" s="26" t="s">
        <v>945</v>
      </c>
      <c r="D36" s="26" t="s">
        <v>946</v>
      </c>
      <c r="E36" s="26" t="s">
        <v>509</v>
      </c>
      <c r="F36" s="106">
        <v>0.63100000000000001</v>
      </c>
      <c r="G36" s="26" t="s">
        <v>949</v>
      </c>
    </row>
    <row r="37" spans="1:7" x14ac:dyDescent="0.2">
      <c r="A37" s="26" t="s">
        <v>609</v>
      </c>
      <c r="B37" s="26" t="s">
        <v>610</v>
      </c>
      <c r="C37" s="26" t="s">
        <v>945</v>
      </c>
      <c r="D37" s="26" t="s">
        <v>946</v>
      </c>
      <c r="E37" s="26" t="s">
        <v>509</v>
      </c>
      <c r="F37" s="106">
        <v>0.86799999999999999</v>
      </c>
      <c r="G37" s="26" t="s">
        <v>949</v>
      </c>
    </row>
    <row r="38" spans="1:7" x14ac:dyDescent="0.2">
      <c r="A38" s="26" t="s">
        <v>613</v>
      </c>
      <c r="B38" s="26" t="s">
        <v>614</v>
      </c>
      <c r="C38" s="26" t="s">
        <v>945</v>
      </c>
      <c r="D38" s="26" t="s">
        <v>946</v>
      </c>
      <c r="E38" s="26" t="s">
        <v>509</v>
      </c>
      <c r="F38" s="106">
        <v>1.0469999999999999</v>
      </c>
      <c r="G38" s="26" t="s">
        <v>949</v>
      </c>
    </row>
    <row r="39" spans="1:7" x14ac:dyDescent="0.2">
      <c r="A39" s="26" t="s">
        <v>607</v>
      </c>
      <c r="B39" s="26" t="s">
        <v>608</v>
      </c>
      <c r="C39" s="26" t="s">
        <v>945</v>
      </c>
      <c r="D39" s="26" t="s">
        <v>946</v>
      </c>
      <c r="E39" s="26" t="s">
        <v>509</v>
      </c>
      <c r="F39" s="106">
        <v>92.31</v>
      </c>
      <c r="G39" s="26" t="s">
        <v>957</v>
      </c>
    </row>
    <row r="40" spans="1:7" x14ac:dyDescent="0.2">
      <c r="A40" s="26" t="s">
        <v>782</v>
      </c>
      <c r="B40" s="26" t="s">
        <v>783</v>
      </c>
      <c r="C40" s="26" t="s">
        <v>945</v>
      </c>
      <c r="D40" s="26" t="s">
        <v>946</v>
      </c>
      <c r="E40" s="26" t="s">
        <v>509</v>
      </c>
      <c r="F40" s="106">
        <v>4.0510999999999999</v>
      </c>
      <c r="G40" s="26" t="s">
        <v>949</v>
      </c>
    </row>
    <row r="41" spans="1:7" x14ac:dyDescent="0.2">
      <c r="A41" s="26" t="s">
        <v>625</v>
      </c>
      <c r="B41" s="26" t="s">
        <v>626</v>
      </c>
      <c r="C41" s="26" t="s">
        <v>945</v>
      </c>
      <c r="D41" s="26" t="s">
        <v>946</v>
      </c>
      <c r="E41" s="26" t="s">
        <v>509</v>
      </c>
      <c r="F41" s="106">
        <v>6.23</v>
      </c>
      <c r="G41" s="26" t="s">
        <v>948</v>
      </c>
    </row>
    <row r="42" spans="1:7" x14ac:dyDescent="0.2">
      <c r="A42" s="26" t="s">
        <v>751</v>
      </c>
      <c r="B42" s="26" t="s">
        <v>752</v>
      </c>
      <c r="C42" s="26" t="s">
        <v>945</v>
      </c>
      <c r="D42" s="26" t="s">
        <v>952</v>
      </c>
      <c r="E42" s="26" t="s">
        <v>953</v>
      </c>
      <c r="F42" s="106">
        <v>25.351009999999999</v>
      </c>
      <c r="G42" s="26" t="s">
        <v>947</v>
      </c>
    </row>
    <row r="43" spans="1:7" x14ac:dyDescent="0.2">
      <c r="A43" s="26" t="s">
        <v>883</v>
      </c>
      <c r="B43" s="26" t="s">
        <v>884</v>
      </c>
      <c r="C43" s="26" t="s">
        <v>945</v>
      </c>
      <c r="D43" s="26" t="s">
        <v>946</v>
      </c>
      <c r="E43" s="26" t="s">
        <v>509</v>
      </c>
      <c r="F43" s="106">
        <v>0.438</v>
      </c>
      <c r="G43" s="26" t="s">
        <v>948</v>
      </c>
    </row>
    <row r="44" spans="1:7" x14ac:dyDescent="0.2">
      <c r="A44" s="26" t="s">
        <v>530</v>
      </c>
      <c r="B44" s="26" t="s">
        <v>531</v>
      </c>
      <c r="C44" s="26" t="s">
        <v>945</v>
      </c>
      <c r="D44" s="26" t="s">
        <v>946</v>
      </c>
      <c r="E44" s="26" t="s">
        <v>509</v>
      </c>
      <c r="F44" s="106">
        <v>0.63</v>
      </c>
      <c r="G44" s="26" t="s">
        <v>947</v>
      </c>
    </row>
    <row r="45" spans="1:7" x14ac:dyDescent="0.2">
      <c r="A45" s="26" t="s">
        <v>890</v>
      </c>
      <c r="B45" s="26" t="s">
        <v>891</v>
      </c>
      <c r="C45" s="26" t="s">
        <v>945</v>
      </c>
      <c r="D45" s="26" t="s">
        <v>946</v>
      </c>
      <c r="E45" s="26" t="s">
        <v>509</v>
      </c>
      <c r="F45" s="106">
        <v>5.4009999999999998</v>
      </c>
      <c r="G45" s="26" t="s">
        <v>947</v>
      </c>
    </row>
    <row r="46" spans="1:7" x14ac:dyDescent="0.2">
      <c r="A46" s="26" t="s">
        <v>827</v>
      </c>
      <c r="B46" s="26" t="s">
        <v>828</v>
      </c>
      <c r="C46" s="26" t="s">
        <v>945</v>
      </c>
      <c r="D46" s="26" t="s">
        <v>946</v>
      </c>
      <c r="E46" s="26" t="s">
        <v>509</v>
      </c>
      <c r="F46" s="106">
        <v>0.06</v>
      </c>
      <c r="G46" s="26" t="s">
        <v>947</v>
      </c>
    </row>
    <row r="47" spans="1:7" x14ac:dyDescent="0.2">
      <c r="A47" s="26" t="s">
        <v>829</v>
      </c>
      <c r="B47" s="26" t="s">
        <v>830</v>
      </c>
      <c r="C47" s="26" t="s">
        <v>945</v>
      </c>
      <c r="D47" s="26" t="s">
        <v>946</v>
      </c>
      <c r="E47" s="26" t="s">
        <v>509</v>
      </c>
      <c r="F47" s="106">
        <v>0.06</v>
      </c>
      <c r="G47" s="26" t="s">
        <v>947</v>
      </c>
    </row>
    <row r="48" spans="1:7" x14ac:dyDescent="0.2">
      <c r="A48" s="26" t="s">
        <v>879</v>
      </c>
      <c r="B48" s="26" t="s">
        <v>880</v>
      </c>
      <c r="C48" s="26" t="s">
        <v>945</v>
      </c>
      <c r="D48" s="26" t="s">
        <v>946</v>
      </c>
      <c r="E48" s="26" t="s">
        <v>509</v>
      </c>
      <c r="F48" s="106">
        <v>7.8E-2</v>
      </c>
      <c r="G48" s="26" t="s">
        <v>949</v>
      </c>
    </row>
    <row r="49" spans="1:7" x14ac:dyDescent="0.2">
      <c r="A49" s="26" t="s">
        <v>885</v>
      </c>
      <c r="B49" s="26" t="s">
        <v>886</v>
      </c>
      <c r="C49" s="26" t="s">
        <v>954</v>
      </c>
      <c r="D49" s="26" t="s">
        <v>946</v>
      </c>
      <c r="E49" s="26" t="s">
        <v>509</v>
      </c>
      <c r="F49" s="106">
        <v>0.41099999999999998</v>
      </c>
      <c r="G49" s="26" t="s">
        <v>949</v>
      </c>
    </row>
    <row r="50" spans="1:7" x14ac:dyDescent="0.2">
      <c r="A50" s="26" t="s">
        <v>731</v>
      </c>
      <c r="B50" s="26" t="s">
        <v>732</v>
      </c>
      <c r="C50" s="26" t="s">
        <v>954</v>
      </c>
      <c r="D50" s="26" t="s">
        <v>946</v>
      </c>
      <c r="E50" s="26" t="s">
        <v>509</v>
      </c>
      <c r="F50" s="106">
        <v>0.123</v>
      </c>
      <c r="G50" s="26" t="s">
        <v>947</v>
      </c>
    </row>
    <row r="51" spans="1:7" x14ac:dyDescent="0.2">
      <c r="A51" s="26" t="s">
        <v>576</v>
      </c>
      <c r="B51" s="26" t="s">
        <v>577</v>
      </c>
      <c r="C51" s="26" t="s">
        <v>954</v>
      </c>
      <c r="D51" s="26" t="s">
        <v>946</v>
      </c>
      <c r="E51" s="26" t="s">
        <v>509</v>
      </c>
      <c r="F51" s="106">
        <v>0.14699999999999999</v>
      </c>
      <c r="G51" s="26" t="s">
        <v>947</v>
      </c>
    </row>
    <row r="52" spans="1:7" x14ac:dyDescent="0.2">
      <c r="A52" s="26" t="s">
        <v>582</v>
      </c>
      <c r="B52" s="26" t="s">
        <v>583</v>
      </c>
      <c r="C52" s="26" t="s">
        <v>954</v>
      </c>
      <c r="D52" s="26" t="s">
        <v>946</v>
      </c>
      <c r="E52" s="26" t="s">
        <v>509</v>
      </c>
      <c r="F52" s="106">
        <v>0.17799999999999999</v>
      </c>
      <c r="G52" s="26" t="s">
        <v>947</v>
      </c>
    </row>
    <row r="53" spans="1:7" x14ac:dyDescent="0.2">
      <c r="A53" s="26" t="s">
        <v>707</v>
      </c>
      <c r="B53" s="26" t="s">
        <v>708</v>
      </c>
      <c r="C53" s="26" t="s">
        <v>954</v>
      </c>
      <c r="D53" s="26" t="s">
        <v>946</v>
      </c>
      <c r="E53" s="26" t="s">
        <v>509</v>
      </c>
      <c r="F53" s="106">
        <v>0.115</v>
      </c>
      <c r="G53" s="26" t="s">
        <v>947</v>
      </c>
    </row>
    <row r="54" spans="1:7" x14ac:dyDescent="0.2">
      <c r="A54" s="26" t="s">
        <v>745</v>
      </c>
      <c r="B54" s="26" t="s">
        <v>746</v>
      </c>
      <c r="C54" s="26" t="s">
        <v>954</v>
      </c>
      <c r="D54" s="26" t="s">
        <v>946</v>
      </c>
      <c r="E54" s="26" t="s">
        <v>509</v>
      </c>
      <c r="F54" s="106">
        <v>0.1</v>
      </c>
      <c r="G54" s="26" t="s">
        <v>947</v>
      </c>
    </row>
    <row r="55" spans="1:7" x14ac:dyDescent="0.2">
      <c r="A55" s="26" t="s">
        <v>699</v>
      </c>
      <c r="B55" s="26" t="s">
        <v>700</v>
      </c>
      <c r="C55" s="26" t="s">
        <v>954</v>
      </c>
      <c r="D55" s="26" t="s">
        <v>946</v>
      </c>
      <c r="E55" s="26" t="s">
        <v>509</v>
      </c>
      <c r="F55" s="106">
        <v>0.05</v>
      </c>
      <c r="G55" s="26" t="s">
        <v>947</v>
      </c>
    </row>
    <row r="56" spans="1:7" x14ac:dyDescent="0.2">
      <c r="A56" s="26" t="s">
        <v>653</v>
      </c>
      <c r="B56" s="26" t="s">
        <v>480</v>
      </c>
      <c r="C56" s="26" t="s">
        <v>945</v>
      </c>
      <c r="D56" s="26" t="s">
        <v>952</v>
      </c>
      <c r="E56" s="26" t="s">
        <v>953</v>
      </c>
      <c r="F56" s="106">
        <v>12.203060000000001</v>
      </c>
      <c r="G56" s="26" t="s">
        <v>947</v>
      </c>
    </row>
    <row r="57" spans="1:7" x14ac:dyDescent="0.2">
      <c r="A57" s="26" t="s">
        <v>623</v>
      </c>
      <c r="B57" s="26" t="s">
        <v>624</v>
      </c>
      <c r="C57" s="26" t="s">
        <v>945</v>
      </c>
      <c r="D57" s="26" t="s">
        <v>952</v>
      </c>
      <c r="E57" s="26" t="s">
        <v>953</v>
      </c>
      <c r="F57" s="106">
        <v>26.576879999999999</v>
      </c>
      <c r="G57" s="26" t="s">
        <v>947</v>
      </c>
    </row>
    <row r="58" spans="1:7" x14ac:dyDescent="0.2">
      <c r="A58" s="26" t="s">
        <v>670</v>
      </c>
      <c r="B58" s="26" t="s">
        <v>671</v>
      </c>
      <c r="C58" s="26" t="s">
        <v>945</v>
      </c>
      <c r="D58" s="26" t="s">
        <v>946</v>
      </c>
      <c r="E58" s="26" t="s">
        <v>509</v>
      </c>
      <c r="F58" s="106">
        <v>9.1890099999999997</v>
      </c>
      <c r="G58" s="26" t="s">
        <v>947</v>
      </c>
    </row>
    <row r="59" spans="1:7" x14ac:dyDescent="0.2">
      <c r="A59" s="26" t="s">
        <v>550</v>
      </c>
      <c r="B59" s="26" t="s">
        <v>551</v>
      </c>
      <c r="C59" s="26" t="s">
        <v>945</v>
      </c>
      <c r="D59" s="26" t="s">
        <v>946</v>
      </c>
      <c r="E59" s="26" t="s">
        <v>509</v>
      </c>
      <c r="F59" s="106">
        <v>2.36</v>
      </c>
      <c r="G59" s="26" t="s">
        <v>947</v>
      </c>
    </row>
    <row r="60" spans="1:7" x14ac:dyDescent="0.2">
      <c r="A60" s="26" t="s">
        <v>691</v>
      </c>
      <c r="B60" s="26" t="s">
        <v>692</v>
      </c>
      <c r="C60" s="26" t="s">
        <v>945</v>
      </c>
      <c r="D60" s="26" t="s">
        <v>946</v>
      </c>
      <c r="E60" s="26" t="s">
        <v>509</v>
      </c>
      <c r="F60" s="106">
        <v>7.4220199999999998</v>
      </c>
      <c r="G60" s="26" t="s">
        <v>947</v>
      </c>
    </row>
    <row r="61" spans="1:7" x14ac:dyDescent="0.2">
      <c r="A61" s="26" t="s">
        <v>564</v>
      </c>
      <c r="B61" s="26" t="s">
        <v>565</v>
      </c>
      <c r="C61" s="26" t="s">
        <v>945</v>
      </c>
      <c r="D61" s="26" t="s">
        <v>952</v>
      </c>
      <c r="E61" s="26" t="s">
        <v>953</v>
      </c>
      <c r="F61" s="106">
        <v>35.959859999999999</v>
      </c>
      <c r="G61" s="26" t="s">
        <v>947</v>
      </c>
    </row>
    <row r="62" spans="1:7" x14ac:dyDescent="0.2">
      <c r="A62" s="26" t="s">
        <v>654</v>
      </c>
      <c r="B62" s="26" t="s">
        <v>655</v>
      </c>
      <c r="C62" s="26" t="s">
        <v>954</v>
      </c>
      <c r="D62" s="26" t="s">
        <v>946</v>
      </c>
      <c r="E62" s="26" t="s">
        <v>509</v>
      </c>
      <c r="F62" s="106">
        <v>0.182</v>
      </c>
      <c r="G62" s="26" t="s">
        <v>948</v>
      </c>
    </row>
    <row r="63" spans="1:7" x14ac:dyDescent="0.2">
      <c r="A63" s="26" t="s">
        <v>659</v>
      </c>
      <c r="B63" s="26" t="s">
        <v>660</v>
      </c>
      <c r="C63" s="26" t="s">
        <v>954</v>
      </c>
      <c r="D63" s="26" t="s">
        <v>946</v>
      </c>
      <c r="E63" s="26" t="s">
        <v>509</v>
      </c>
      <c r="F63" s="106">
        <v>0.157</v>
      </c>
      <c r="G63" s="26" t="s">
        <v>947</v>
      </c>
    </row>
    <row r="64" spans="1:7" x14ac:dyDescent="0.2">
      <c r="A64" s="26" t="s">
        <v>662</v>
      </c>
      <c r="B64" s="26" t="s">
        <v>663</v>
      </c>
      <c r="C64" s="26" t="s">
        <v>954</v>
      </c>
      <c r="D64" s="26" t="s">
        <v>946</v>
      </c>
      <c r="E64" s="26" t="s">
        <v>509</v>
      </c>
      <c r="F64" s="106">
        <v>0.35499999999999998</v>
      </c>
      <c r="G64" s="26" t="s">
        <v>947</v>
      </c>
    </row>
    <row r="65" spans="1:7" x14ac:dyDescent="0.2">
      <c r="A65" s="26" t="s">
        <v>605</v>
      </c>
      <c r="B65" s="26" t="s">
        <v>606</v>
      </c>
      <c r="C65" s="26" t="s">
        <v>954</v>
      </c>
      <c r="D65" s="26" t="s">
        <v>946</v>
      </c>
      <c r="E65" s="26" t="s">
        <v>509</v>
      </c>
      <c r="F65" s="106">
        <v>0.55000000000000004</v>
      </c>
      <c r="G65" s="26" t="s">
        <v>947</v>
      </c>
    </row>
    <row r="66" spans="1:7" x14ac:dyDescent="0.2">
      <c r="A66" s="26" t="s">
        <v>780</v>
      </c>
      <c r="B66" s="26" t="s">
        <v>781</v>
      </c>
      <c r="C66" s="26" t="s">
        <v>954</v>
      </c>
      <c r="D66" s="26" t="s">
        <v>946</v>
      </c>
      <c r="E66" s="26" t="s">
        <v>509</v>
      </c>
      <c r="F66" s="106">
        <v>12.367000000000001</v>
      </c>
      <c r="G66" s="26" t="s">
        <v>947</v>
      </c>
    </row>
    <row r="67" spans="1:7" x14ac:dyDescent="0.2">
      <c r="A67" s="26" t="s">
        <v>687</v>
      </c>
      <c r="B67" s="26" t="s">
        <v>688</v>
      </c>
      <c r="C67" s="26" t="s">
        <v>954</v>
      </c>
      <c r="D67" s="26" t="s">
        <v>946</v>
      </c>
      <c r="E67" s="26" t="s">
        <v>509</v>
      </c>
      <c r="F67" s="106">
        <v>0.95299999999999996</v>
      </c>
      <c r="G67" s="26" t="s">
        <v>947</v>
      </c>
    </row>
    <row r="68" spans="1:7" x14ac:dyDescent="0.2">
      <c r="A68" s="26" t="s">
        <v>617</v>
      </c>
      <c r="B68" s="26" t="s">
        <v>618</v>
      </c>
      <c r="C68" s="26" t="s">
        <v>954</v>
      </c>
      <c r="D68" s="26" t="s">
        <v>946</v>
      </c>
      <c r="E68" s="26" t="s">
        <v>509</v>
      </c>
      <c r="F68" s="106">
        <v>0.69299999999999995</v>
      </c>
      <c r="G68" s="26" t="s">
        <v>948</v>
      </c>
    </row>
    <row r="69" spans="1:7" x14ac:dyDescent="0.2">
      <c r="A69" s="26" t="s">
        <v>770</v>
      </c>
      <c r="B69" s="26" t="s">
        <v>771</v>
      </c>
      <c r="C69" s="26" t="s">
        <v>954</v>
      </c>
      <c r="D69" s="26" t="s">
        <v>946</v>
      </c>
      <c r="E69" s="26" t="s">
        <v>509</v>
      </c>
      <c r="F69" s="106">
        <v>0.69299999999999995</v>
      </c>
      <c r="G69" s="26" t="s">
        <v>948</v>
      </c>
    </row>
    <row r="70" spans="1:7" x14ac:dyDescent="0.2">
      <c r="A70" s="26" t="s">
        <v>723</v>
      </c>
      <c r="B70" s="26" t="s">
        <v>724</v>
      </c>
      <c r="C70" s="26" t="s">
        <v>954</v>
      </c>
      <c r="D70" s="26" t="s">
        <v>946</v>
      </c>
      <c r="E70" s="26" t="s">
        <v>509</v>
      </c>
      <c r="F70" s="106">
        <v>0.69299999999999995</v>
      </c>
      <c r="G70" s="26" t="s">
        <v>948</v>
      </c>
    </row>
    <row r="71" spans="1:7" x14ac:dyDescent="0.2">
      <c r="A71" s="26" t="s">
        <v>894</v>
      </c>
      <c r="B71" s="26" t="s">
        <v>895</v>
      </c>
      <c r="C71" s="26" t="s">
        <v>954</v>
      </c>
      <c r="D71" s="26" t="s">
        <v>946</v>
      </c>
      <c r="E71" s="26" t="s">
        <v>509</v>
      </c>
      <c r="F71" s="106">
        <v>0.67</v>
      </c>
      <c r="G71" s="26" t="s">
        <v>947</v>
      </c>
    </row>
    <row r="72" spans="1:7" x14ac:dyDescent="0.2">
      <c r="A72" s="26" t="s">
        <v>717</v>
      </c>
      <c r="B72" s="26" t="s">
        <v>718</v>
      </c>
      <c r="C72" s="26" t="s">
        <v>945</v>
      </c>
      <c r="D72" s="26" t="s">
        <v>946</v>
      </c>
      <c r="E72" s="26" t="s">
        <v>509</v>
      </c>
      <c r="F72" s="106">
        <v>3.64</v>
      </c>
      <c r="G72" s="26" t="s">
        <v>948</v>
      </c>
    </row>
    <row r="73" spans="1:7" x14ac:dyDescent="0.2">
      <c r="A73" s="26" t="s">
        <v>695</v>
      </c>
      <c r="B73" s="26" t="s">
        <v>696</v>
      </c>
      <c r="C73" s="26" t="s">
        <v>945</v>
      </c>
      <c r="D73" s="26" t="s">
        <v>952</v>
      </c>
      <c r="E73" s="26" t="s">
        <v>953</v>
      </c>
      <c r="F73" s="106">
        <v>107.48569999999999</v>
      </c>
      <c r="G73" s="26" t="s">
        <v>949</v>
      </c>
    </row>
    <row r="74" spans="1:7" x14ac:dyDescent="0.2">
      <c r="A74" s="26" t="s">
        <v>934</v>
      </c>
      <c r="B74" s="26" t="s">
        <v>935</v>
      </c>
      <c r="C74" s="26" t="s">
        <v>945</v>
      </c>
      <c r="D74" s="26" t="s">
        <v>946</v>
      </c>
      <c r="E74" s="26" t="s">
        <v>509</v>
      </c>
      <c r="F74" s="106">
        <v>16.123000000000001</v>
      </c>
      <c r="G74" s="26" t="s">
        <v>949</v>
      </c>
    </row>
    <row r="75" spans="1:7" x14ac:dyDescent="0.2">
      <c r="A75" s="26" t="s">
        <v>733</v>
      </c>
      <c r="B75" s="26" t="s">
        <v>734</v>
      </c>
      <c r="C75" s="26" t="s">
        <v>945</v>
      </c>
      <c r="D75" s="26" t="s">
        <v>946</v>
      </c>
      <c r="E75" s="26" t="s">
        <v>509</v>
      </c>
      <c r="F75" s="106">
        <v>2.75</v>
      </c>
      <c r="G75" s="26" t="s">
        <v>947</v>
      </c>
    </row>
    <row r="76" spans="1:7" x14ac:dyDescent="0.2">
      <c r="A76" s="26" t="s">
        <v>645</v>
      </c>
      <c r="B76" s="26" t="s">
        <v>646</v>
      </c>
      <c r="C76" s="26" t="s">
        <v>945</v>
      </c>
      <c r="D76" s="26" t="s">
        <v>946</v>
      </c>
      <c r="E76" s="26" t="s">
        <v>509</v>
      </c>
      <c r="F76" s="106">
        <v>0.27</v>
      </c>
      <c r="G76" s="26" t="s">
        <v>947</v>
      </c>
    </row>
    <row r="77" spans="1:7" x14ac:dyDescent="0.2">
      <c r="A77" s="26" t="s">
        <v>763</v>
      </c>
      <c r="B77" s="26" t="s">
        <v>764</v>
      </c>
      <c r="C77" s="26" t="s">
        <v>945</v>
      </c>
      <c r="D77" s="26" t="s">
        <v>946</v>
      </c>
      <c r="E77" s="26" t="s">
        <v>509</v>
      </c>
      <c r="F77" s="106">
        <v>0.5</v>
      </c>
      <c r="G77" s="26" t="s">
        <v>949</v>
      </c>
    </row>
    <row r="78" spans="1:7" x14ac:dyDescent="0.2">
      <c r="A78" s="26" t="s">
        <v>765</v>
      </c>
      <c r="B78" s="26" t="s">
        <v>766</v>
      </c>
      <c r="C78" s="26" t="s">
        <v>945</v>
      </c>
      <c r="D78" s="26" t="s">
        <v>946</v>
      </c>
      <c r="E78" s="26" t="s">
        <v>509</v>
      </c>
      <c r="F78" s="106">
        <v>0.5</v>
      </c>
      <c r="G78" s="26" t="s">
        <v>949</v>
      </c>
    </row>
    <row r="79" spans="1:7" x14ac:dyDescent="0.2">
      <c r="A79" s="26" t="s">
        <v>767</v>
      </c>
      <c r="B79" s="26" t="s">
        <v>768</v>
      </c>
      <c r="C79" s="26" t="s">
        <v>945</v>
      </c>
      <c r="D79" s="26" t="s">
        <v>946</v>
      </c>
      <c r="E79" s="26" t="s">
        <v>509</v>
      </c>
      <c r="F79" s="106">
        <v>0.5</v>
      </c>
      <c r="G79" s="26" t="s">
        <v>949</v>
      </c>
    </row>
    <row r="80" spans="1:7" x14ac:dyDescent="0.2">
      <c r="A80" s="26" t="s">
        <v>680</v>
      </c>
      <c r="B80" s="26" t="s">
        <v>681</v>
      </c>
      <c r="C80" s="26" t="s">
        <v>945</v>
      </c>
      <c r="D80" s="26" t="s">
        <v>950</v>
      </c>
      <c r="E80" s="26" t="s">
        <v>951</v>
      </c>
      <c r="F80" s="106">
        <v>46.999270000000003</v>
      </c>
      <c r="G80" s="26" t="s">
        <v>947</v>
      </c>
    </row>
    <row r="81" spans="1:7" x14ac:dyDescent="0.2">
      <c r="A81" s="26" t="s">
        <v>568</v>
      </c>
      <c r="B81" s="26" t="s">
        <v>569</v>
      </c>
      <c r="C81" s="26" t="s">
        <v>954</v>
      </c>
      <c r="D81" s="26" t="s">
        <v>946</v>
      </c>
      <c r="E81" s="26" t="s">
        <v>509</v>
      </c>
      <c r="F81" s="106">
        <v>0.107</v>
      </c>
      <c r="G81" s="26" t="s">
        <v>949</v>
      </c>
    </row>
    <row r="82" spans="1:7" x14ac:dyDescent="0.2">
      <c r="A82" s="26" t="s">
        <v>719</v>
      </c>
      <c r="B82" s="26" t="s">
        <v>720</v>
      </c>
      <c r="C82" s="26" t="s">
        <v>954</v>
      </c>
      <c r="D82" s="26" t="s">
        <v>946</v>
      </c>
      <c r="E82" s="26" t="s">
        <v>509</v>
      </c>
      <c r="F82" s="106">
        <v>0.107</v>
      </c>
      <c r="G82" s="26" t="s">
        <v>949</v>
      </c>
    </row>
    <row r="83" spans="1:7" x14ac:dyDescent="0.2">
      <c r="A83" s="26" t="s">
        <v>560</v>
      </c>
      <c r="B83" s="26" t="s">
        <v>561</v>
      </c>
      <c r="C83" s="26" t="s">
        <v>954</v>
      </c>
      <c r="D83" s="26" t="s">
        <v>946</v>
      </c>
      <c r="E83" s="26" t="s">
        <v>509</v>
      </c>
      <c r="F83" s="106">
        <v>0.106</v>
      </c>
      <c r="G83" s="26" t="s">
        <v>949</v>
      </c>
    </row>
    <row r="84" spans="1:7" x14ac:dyDescent="0.2">
      <c r="A84" s="26" t="s">
        <v>689</v>
      </c>
      <c r="B84" s="26" t="s">
        <v>690</v>
      </c>
      <c r="C84" s="26" t="s">
        <v>954</v>
      </c>
      <c r="D84" s="26" t="s">
        <v>946</v>
      </c>
      <c r="E84" s="26" t="s">
        <v>509</v>
      </c>
      <c r="F84" s="106">
        <v>0.13</v>
      </c>
      <c r="G84" s="26" t="s">
        <v>947</v>
      </c>
    </row>
    <row r="85" spans="1:7" x14ac:dyDescent="0.2">
      <c r="A85" s="26" t="s">
        <v>664</v>
      </c>
      <c r="B85" s="26" t="s">
        <v>665</v>
      </c>
      <c r="C85" s="26" t="s">
        <v>954</v>
      </c>
      <c r="D85" s="26" t="s">
        <v>946</v>
      </c>
      <c r="E85" s="26" t="s">
        <v>509</v>
      </c>
      <c r="F85" s="106">
        <v>0.111</v>
      </c>
      <c r="G85" s="26" t="s">
        <v>948</v>
      </c>
    </row>
    <row r="86" spans="1:7" x14ac:dyDescent="0.2">
      <c r="A86" s="26" t="s">
        <v>901</v>
      </c>
      <c r="B86" s="26" t="s">
        <v>902</v>
      </c>
      <c r="C86" s="26" t="s">
        <v>945</v>
      </c>
      <c r="D86" s="26" t="s">
        <v>946</v>
      </c>
      <c r="E86" s="26" t="s">
        <v>509</v>
      </c>
      <c r="F86" s="106">
        <v>1.43</v>
      </c>
      <c r="G86" s="26" t="s">
        <v>948</v>
      </c>
    </row>
    <row r="87" spans="1:7" x14ac:dyDescent="0.2">
      <c r="A87" s="26" t="s">
        <v>507</v>
      </c>
      <c r="B87" s="26" t="s">
        <v>508</v>
      </c>
      <c r="C87" s="26" t="s">
        <v>945</v>
      </c>
      <c r="D87" s="26" t="s">
        <v>946</v>
      </c>
      <c r="E87" s="26" t="s">
        <v>509</v>
      </c>
      <c r="F87" s="106">
        <v>0.45200000000000001</v>
      </c>
      <c r="G87" s="26" t="s">
        <v>948</v>
      </c>
    </row>
    <row r="88" spans="1:7" x14ac:dyDescent="0.2">
      <c r="A88" s="26" t="s">
        <v>903</v>
      </c>
      <c r="B88" s="26" t="s">
        <v>904</v>
      </c>
      <c r="C88" s="26" t="s">
        <v>945</v>
      </c>
      <c r="D88" s="26" t="s">
        <v>946</v>
      </c>
      <c r="E88" s="26" t="s">
        <v>509</v>
      </c>
      <c r="F88" s="106">
        <v>0.45</v>
      </c>
      <c r="G88" s="26" t="s">
        <v>948</v>
      </c>
    </row>
    <row r="89" spans="1:7" x14ac:dyDescent="0.2">
      <c r="A89" s="26" t="s">
        <v>907</v>
      </c>
      <c r="B89" s="26" t="s">
        <v>908</v>
      </c>
      <c r="C89" s="26" t="s">
        <v>945</v>
      </c>
      <c r="D89" s="26" t="s">
        <v>946</v>
      </c>
      <c r="E89" s="26" t="s">
        <v>509</v>
      </c>
      <c r="F89" s="106">
        <v>1.43</v>
      </c>
      <c r="G89" s="26" t="s">
        <v>948</v>
      </c>
    </row>
    <row r="90" spans="1:7" x14ac:dyDescent="0.2">
      <c r="A90" s="26" t="s">
        <v>769</v>
      </c>
      <c r="B90" s="26" t="s">
        <v>486</v>
      </c>
      <c r="C90" s="26" t="s">
        <v>945</v>
      </c>
      <c r="D90" s="26" t="s">
        <v>946</v>
      </c>
      <c r="E90" s="26" t="s">
        <v>509</v>
      </c>
      <c r="F90" s="106">
        <v>4.74</v>
      </c>
      <c r="G90" s="26" t="s">
        <v>947</v>
      </c>
    </row>
    <row r="91" spans="1:7" x14ac:dyDescent="0.2">
      <c r="A91" s="26" t="s">
        <v>570</v>
      </c>
      <c r="B91" s="26" t="s">
        <v>571</v>
      </c>
      <c r="C91" s="26" t="s">
        <v>945</v>
      </c>
      <c r="D91" s="26" t="s">
        <v>946</v>
      </c>
      <c r="E91" s="26" t="s">
        <v>509</v>
      </c>
      <c r="F91" s="106">
        <v>7.4924400000000002</v>
      </c>
      <c r="G91" s="26" t="s">
        <v>947</v>
      </c>
    </row>
    <row r="92" spans="1:7" x14ac:dyDescent="0.2">
      <c r="A92" s="26" t="s">
        <v>572</v>
      </c>
      <c r="B92" s="26" t="s">
        <v>573</v>
      </c>
      <c r="C92" s="26" t="s">
        <v>945</v>
      </c>
      <c r="D92" s="26" t="s">
        <v>952</v>
      </c>
      <c r="E92" s="26" t="s">
        <v>953</v>
      </c>
      <c r="F92" s="106">
        <v>238.16300000000001</v>
      </c>
      <c r="G92" s="26" t="s">
        <v>947</v>
      </c>
    </row>
    <row r="93" spans="1:7" x14ac:dyDescent="0.2">
      <c r="A93" s="26" t="s">
        <v>532</v>
      </c>
      <c r="B93" s="26" t="s">
        <v>533</v>
      </c>
      <c r="C93" s="26" t="s">
        <v>945</v>
      </c>
      <c r="D93" s="26" t="s">
        <v>952</v>
      </c>
      <c r="E93" s="26" t="s">
        <v>953</v>
      </c>
      <c r="F93" s="106">
        <v>41.119680000000002</v>
      </c>
      <c r="G93" s="26" t="s">
        <v>947</v>
      </c>
    </row>
    <row r="94" spans="1:7" x14ac:dyDescent="0.2">
      <c r="A94" s="26" t="s">
        <v>786</v>
      </c>
      <c r="B94" s="26" t="s">
        <v>787</v>
      </c>
      <c r="C94" s="26" t="s">
        <v>945</v>
      </c>
      <c r="D94" s="26" t="s">
        <v>946</v>
      </c>
      <c r="E94" s="26" t="s">
        <v>509</v>
      </c>
      <c r="F94" s="106">
        <v>98.51</v>
      </c>
      <c r="G94" s="26" t="s">
        <v>957</v>
      </c>
    </row>
    <row r="95" spans="1:7" x14ac:dyDescent="0.2">
      <c r="A95" s="26" t="s">
        <v>629</v>
      </c>
      <c r="B95" s="26" t="s">
        <v>630</v>
      </c>
      <c r="C95" s="26" t="s">
        <v>945</v>
      </c>
      <c r="D95" s="26" t="s">
        <v>950</v>
      </c>
      <c r="E95" s="26" t="s">
        <v>951</v>
      </c>
      <c r="F95" s="106">
        <v>22.14931</v>
      </c>
      <c r="G95" s="26" t="s">
        <v>947</v>
      </c>
    </row>
    <row r="96" spans="1:7" x14ac:dyDescent="0.2">
      <c r="A96" s="26" t="s">
        <v>639</v>
      </c>
      <c r="B96" s="26" t="s">
        <v>640</v>
      </c>
      <c r="C96" s="26" t="s">
        <v>945</v>
      </c>
      <c r="D96" s="26" t="s">
        <v>950</v>
      </c>
      <c r="E96" s="26" t="s">
        <v>951</v>
      </c>
      <c r="F96" s="106">
        <v>9.8002500000000001</v>
      </c>
      <c r="G96" s="26" t="s">
        <v>947</v>
      </c>
    </row>
    <row r="97" spans="1:7" x14ac:dyDescent="0.2">
      <c r="A97" s="26" t="s">
        <v>599</v>
      </c>
      <c r="B97" s="26" t="s">
        <v>600</v>
      </c>
      <c r="C97" s="26" t="s">
        <v>945</v>
      </c>
      <c r="D97" s="26" t="s">
        <v>952</v>
      </c>
      <c r="E97" s="26" t="s">
        <v>953</v>
      </c>
      <c r="F97" s="106">
        <v>18.158999999999999</v>
      </c>
      <c r="G97" s="26" t="s">
        <v>947</v>
      </c>
    </row>
    <row r="98" spans="1:7" x14ac:dyDescent="0.2">
      <c r="A98" s="26" t="s">
        <v>678</v>
      </c>
      <c r="B98" s="26" t="s">
        <v>679</v>
      </c>
      <c r="C98" s="26" t="s">
        <v>945</v>
      </c>
      <c r="D98" s="26" t="s">
        <v>952</v>
      </c>
      <c r="E98" s="26" t="s">
        <v>953</v>
      </c>
      <c r="F98" s="106">
        <v>40.739370000000001</v>
      </c>
      <c r="G98" s="26" t="s">
        <v>947</v>
      </c>
    </row>
    <row r="99" spans="1:7" x14ac:dyDescent="0.2">
      <c r="A99" s="26" t="s">
        <v>792</v>
      </c>
      <c r="B99" s="26" t="s">
        <v>793</v>
      </c>
      <c r="C99" s="26" t="s">
        <v>945</v>
      </c>
      <c r="D99" s="26" t="s">
        <v>950</v>
      </c>
      <c r="E99" s="26" t="s">
        <v>951</v>
      </c>
      <c r="F99" s="106">
        <v>65.23545</v>
      </c>
      <c r="G99" s="26" t="s">
        <v>947</v>
      </c>
    </row>
    <row r="100" spans="1:7" x14ac:dyDescent="0.2">
      <c r="A100" s="26" t="s">
        <v>794</v>
      </c>
      <c r="B100" s="26" t="s">
        <v>295</v>
      </c>
      <c r="C100" s="26" t="s">
        <v>945</v>
      </c>
      <c r="D100" s="26" t="s">
        <v>946</v>
      </c>
      <c r="E100" s="26" t="s">
        <v>509</v>
      </c>
      <c r="F100" s="106">
        <v>6.7410100000000002</v>
      </c>
      <c r="G100" s="26" t="s">
        <v>947</v>
      </c>
    </row>
    <row r="101" spans="1:7" x14ac:dyDescent="0.2">
      <c r="A101" s="26" t="s">
        <v>810</v>
      </c>
      <c r="B101" s="26" t="s">
        <v>811</v>
      </c>
      <c r="C101" s="26" t="s">
        <v>945</v>
      </c>
      <c r="D101" s="26" t="s">
        <v>952</v>
      </c>
      <c r="E101" s="26" t="s">
        <v>953</v>
      </c>
      <c r="F101" s="106">
        <v>50.32</v>
      </c>
      <c r="G101" s="26" t="s">
        <v>947</v>
      </c>
    </row>
    <row r="102" spans="1:7" x14ac:dyDescent="0.2">
      <c r="A102" s="26" t="s">
        <v>648</v>
      </c>
      <c r="B102" s="26" t="s">
        <v>649</v>
      </c>
      <c r="C102" s="26" t="s">
        <v>945</v>
      </c>
      <c r="D102" s="26" t="s">
        <v>952</v>
      </c>
      <c r="E102" s="26" t="s">
        <v>953</v>
      </c>
      <c r="F102" s="106">
        <v>13.38189</v>
      </c>
      <c r="G102" s="26" t="s">
        <v>947</v>
      </c>
    </row>
    <row r="103" spans="1:7" x14ac:dyDescent="0.2">
      <c r="A103" s="26" t="s">
        <v>796</v>
      </c>
      <c r="B103" s="26" t="s">
        <v>797</v>
      </c>
      <c r="C103" s="26" t="s">
        <v>945</v>
      </c>
      <c r="D103" s="26" t="s">
        <v>946</v>
      </c>
      <c r="E103" s="26" t="s">
        <v>509</v>
      </c>
      <c r="F103" s="106">
        <v>0.76285999999999998</v>
      </c>
      <c r="G103" s="26" t="s">
        <v>948</v>
      </c>
    </row>
    <row r="104" spans="1:7" x14ac:dyDescent="0.2">
      <c r="A104" s="26" t="s">
        <v>798</v>
      </c>
      <c r="B104" s="26" t="s">
        <v>799</v>
      </c>
      <c r="C104" s="26" t="s">
        <v>945</v>
      </c>
      <c r="D104" s="26" t="s">
        <v>946</v>
      </c>
      <c r="E104" s="26" t="s">
        <v>509</v>
      </c>
      <c r="F104" s="106">
        <v>11.38799</v>
      </c>
      <c r="G104" s="26" t="s">
        <v>947</v>
      </c>
    </row>
    <row r="105" spans="1:7" x14ac:dyDescent="0.2">
      <c r="A105" s="26" t="s">
        <v>825</v>
      </c>
      <c r="B105" s="26" t="s">
        <v>826</v>
      </c>
      <c r="C105" s="26" t="s">
        <v>945</v>
      </c>
      <c r="D105" s="26" t="s">
        <v>950</v>
      </c>
      <c r="E105" s="26" t="s">
        <v>951</v>
      </c>
      <c r="F105" s="106">
        <v>44.932290000000002</v>
      </c>
      <c r="G105" s="26" t="s">
        <v>947</v>
      </c>
    </row>
    <row r="106" spans="1:7" x14ac:dyDescent="0.2">
      <c r="A106" s="26" t="s">
        <v>822</v>
      </c>
      <c r="B106" s="26" t="s">
        <v>823</v>
      </c>
      <c r="C106" s="26" t="s">
        <v>945</v>
      </c>
      <c r="D106" s="26" t="s">
        <v>946</v>
      </c>
      <c r="E106" s="26" t="s">
        <v>509</v>
      </c>
      <c r="F106" s="106">
        <v>3.8029999999999999</v>
      </c>
      <c r="G106" s="26" t="s">
        <v>947</v>
      </c>
    </row>
    <row r="107" spans="1:7" x14ac:dyDescent="0.2">
      <c r="A107" s="26" t="s">
        <v>815</v>
      </c>
      <c r="B107" s="26" t="s">
        <v>816</v>
      </c>
      <c r="C107" s="26" t="s">
        <v>945</v>
      </c>
      <c r="D107" s="26" t="s">
        <v>950</v>
      </c>
      <c r="E107" s="26" t="s">
        <v>951</v>
      </c>
      <c r="F107" s="106">
        <v>88.410020000000003</v>
      </c>
      <c r="G107" s="26" t="s">
        <v>947</v>
      </c>
    </row>
    <row r="108" spans="1:7" x14ac:dyDescent="0.2">
      <c r="A108" s="26" t="s">
        <v>818</v>
      </c>
      <c r="B108" s="26" t="s">
        <v>819</v>
      </c>
      <c r="C108" s="26" t="s">
        <v>945</v>
      </c>
      <c r="D108" s="26" t="s">
        <v>950</v>
      </c>
      <c r="E108" s="26" t="s">
        <v>951</v>
      </c>
      <c r="F108" s="106">
        <v>90.028850000000006</v>
      </c>
      <c r="G108" s="26" t="s">
        <v>947</v>
      </c>
    </row>
    <row r="109" spans="1:7" x14ac:dyDescent="0.2">
      <c r="A109" s="26" t="s">
        <v>540</v>
      </c>
      <c r="B109" s="26" t="s">
        <v>541</v>
      </c>
      <c r="C109" s="26" t="s">
        <v>945</v>
      </c>
      <c r="D109" s="26" t="s">
        <v>950</v>
      </c>
      <c r="E109" s="26" t="s">
        <v>951</v>
      </c>
      <c r="F109" s="106">
        <v>65.083169999999996</v>
      </c>
      <c r="G109" s="26" t="s">
        <v>947</v>
      </c>
    </row>
    <row r="110" spans="1:7" x14ac:dyDescent="0.2">
      <c r="A110" s="26" t="s">
        <v>542</v>
      </c>
      <c r="B110" s="26" t="s">
        <v>543</v>
      </c>
      <c r="C110" s="26" t="s">
        <v>945</v>
      </c>
      <c r="D110" s="26" t="s">
        <v>950</v>
      </c>
      <c r="E110" s="26" t="s">
        <v>951</v>
      </c>
      <c r="F110" s="106">
        <v>62.573599999999999</v>
      </c>
      <c r="G110" s="26" t="s">
        <v>947</v>
      </c>
    </row>
    <row r="111" spans="1:7" x14ac:dyDescent="0.2">
      <c r="A111" s="26" t="s">
        <v>759</v>
      </c>
      <c r="B111" s="26" t="s">
        <v>760</v>
      </c>
      <c r="C111" s="26" t="s">
        <v>945</v>
      </c>
      <c r="D111" s="26" t="s">
        <v>950</v>
      </c>
      <c r="E111" s="26" t="s">
        <v>951</v>
      </c>
      <c r="F111" s="106">
        <v>63.209470000000003</v>
      </c>
      <c r="G111" s="26" t="s">
        <v>947</v>
      </c>
    </row>
    <row r="112" spans="1:7" x14ac:dyDescent="0.2">
      <c r="A112" s="26" t="s">
        <v>761</v>
      </c>
      <c r="B112" s="26" t="s">
        <v>762</v>
      </c>
      <c r="C112" s="26" t="s">
        <v>945</v>
      </c>
      <c r="D112" s="26" t="s">
        <v>950</v>
      </c>
      <c r="E112" s="26" t="s">
        <v>951</v>
      </c>
      <c r="F112" s="106">
        <v>64.909440000000004</v>
      </c>
      <c r="G112" s="26" t="s">
        <v>947</v>
      </c>
    </row>
    <row r="113" spans="1:7" x14ac:dyDescent="0.2">
      <c r="A113" s="26" t="s">
        <v>753</v>
      </c>
      <c r="B113" s="26" t="s">
        <v>754</v>
      </c>
      <c r="C113" s="26" t="s">
        <v>945</v>
      </c>
      <c r="D113" s="26" t="s">
        <v>950</v>
      </c>
      <c r="E113" s="26" t="s">
        <v>951</v>
      </c>
      <c r="F113" s="106">
        <v>62.651730000000001</v>
      </c>
      <c r="G113" s="26" t="s">
        <v>947</v>
      </c>
    </row>
    <row r="114" spans="1:7" x14ac:dyDescent="0.2">
      <c r="A114" s="26" t="s">
        <v>749</v>
      </c>
      <c r="B114" s="26" t="s">
        <v>750</v>
      </c>
      <c r="C114" s="26" t="s">
        <v>945</v>
      </c>
      <c r="D114" s="26" t="s">
        <v>950</v>
      </c>
      <c r="E114" s="26" t="s">
        <v>951</v>
      </c>
      <c r="F114" s="106">
        <v>64.668090000000007</v>
      </c>
      <c r="G114" s="26" t="s">
        <v>947</v>
      </c>
    </row>
    <row r="115" spans="1:7" x14ac:dyDescent="0.2">
      <c r="A115" s="26" t="s">
        <v>544</v>
      </c>
      <c r="B115" s="26" t="s">
        <v>545</v>
      </c>
      <c r="C115" s="26" t="s">
        <v>945</v>
      </c>
      <c r="D115" s="26" t="s">
        <v>950</v>
      </c>
      <c r="E115" s="26" t="s">
        <v>951</v>
      </c>
      <c r="F115" s="106">
        <v>61.3508</v>
      </c>
      <c r="G115" s="26" t="s">
        <v>947</v>
      </c>
    </row>
    <row r="116" spans="1:7" x14ac:dyDescent="0.2">
      <c r="A116" s="26" t="s">
        <v>757</v>
      </c>
      <c r="B116" s="26" t="s">
        <v>758</v>
      </c>
      <c r="C116" s="26" t="s">
        <v>945</v>
      </c>
      <c r="D116" s="26" t="s">
        <v>950</v>
      </c>
      <c r="E116" s="26" t="s">
        <v>951</v>
      </c>
      <c r="F116" s="106">
        <v>65.246970000000005</v>
      </c>
      <c r="G116" s="26" t="s">
        <v>947</v>
      </c>
    </row>
    <row r="117" spans="1:7" x14ac:dyDescent="0.2">
      <c r="A117" s="26" t="s">
        <v>666</v>
      </c>
      <c r="B117" s="26" t="s">
        <v>667</v>
      </c>
      <c r="C117" s="26" t="s">
        <v>945</v>
      </c>
      <c r="D117" s="26" t="s">
        <v>950</v>
      </c>
      <c r="E117" s="26" t="s">
        <v>951</v>
      </c>
      <c r="F117" s="106">
        <v>33</v>
      </c>
      <c r="G117" s="26" t="s">
        <v>948</v>
      </c>
    </row>
    <row r="118" spans="1:7" x14ac:dyDescent="0.2">
      <c r="A118" s="26" t="s">
        <v>892</v>
      </c>
      <c r="B118" s="26" t="s">
        <v>893</v>
      </c>
      <c r="C118" s="26" t="s">
        <v>945</v>
      </c>
      <c r="D118" s="26" t="s">
        <v>950</v>
      </c>
      <c r="E118" s="26" t="s">
        <v>951</v>
      </c>
      <c r="F118" s="106">
        <v>32.160699999999999</v>
      </c>
      <c r="G118" s="26" t="s">
        <v>947</v>
      </c>
    </row>
    <row r="119" spans="1:7" x14ac:dyDescent="0.2">
      <c r="A119" s="26" t="s">
        <v>536</v>
      </c>
      <c r="B119" s="26" t="s">
        <v>537</v>
      </c>
      <c r="C119" s="26" t="s">
        <v>945</v>
      </c>
      <c r="D119" s="26" t="s">
        <v>952</v>
      </c>
      <c r="E119" s="26" t="s">
        <v>953</v>
      </c>
      <c r="F119" s="106">
        <v>36.645400000000002</v>
      </c>
      <c r="G119" s="26" t="s">
        <v>947</v>
      </c>
    </row>
    <row r="120" spans="1:7" x14ac:dyDescent="0.2">
      <c r="A120" s="26" t="s">
        <v>833</v>
      </c>
      <c r="B120" s="26" t="s">
        <v>834</v>
      </c>
      <c r="C120" s="26" t="s">
        <v>945</v>
      </c>
      <c r="D120" s="26" t="s">
        <v>946</v>
      </c>
      <c r="E120" s="26" t="s">
        <v>509</v>
      </c>
      <c r="F120" s="106">
        <v>5.76</v>
      </c>
      <c r="G120" s="26" t="s">
        <v>957</v>
      </c>
    </row>
    <row r="121" spans="1:7" x14ac:dyDescent="0.2">
      <c r="A121" s="26" t="s">
        <v>773</v>
      </c>
      <c r="B121" s="26" t="s">
        <v>774</v>
      </c>
      <c r="C121" s="26" t="s">
        <v>945</v>
      </c>
      <c r="D121" s="26" t="s">
        <v>952</v>
      </c>
      <c r="E121" s="26" t="s">
        <v>953</v>
      </c>
      <c r="F121" s="106">
        <v>12.54</v>
      </c>
      <c r="G121" s="26" t="s">
        <v>947</v>
      </c>
    </row>
    <row r="122" spans="1:7" x14ac:dyDescent="0.2">
      <c r="A122" s="26" t="s">
        <v>729</v>
      </c>
      <c r="B122" s="26" t="s">
        <v>730</v>
      </c>
      <c r="C122" s="26" t="s">
        <v>954</v>
      </c>
      <c r="D122" s="26" t="s">
        <v>946</v>
      </c>
      <c r="E122" s="26" t="s">
        <v>509</v>
      </c>
      <c r="F122" s="106">
        <v>0.30099999999999999</v>
      </c>
      <c r="G122" s="26" t="s">
        <v>947</v>
      </c>
    </row>
    <row r="123" spans="1:7" x14ac:dyDescent="0.2">
      <c r="A123" s="26" t="s">
        <v>650</v>
      </c>
      <c r="B123" s="26" t="s">
        <v>651</v>
      </c>
      <c r="C123" s="26" t="s">
        <v>954</v>
      </c>
      <c r="D123" s="26" t="s">
        <v>946</v>
      </c>
      <c r="E123" s="26" t="s">
        <v>509</v>
      </c>
      <c r="F123" s="106">
        <v>0.45300000000000001</v>
      </c>
      <c r="G123" s="26" t="s">
        <v>948</v>
      </c>
    </row>
    <row r="124" spans="1:7" x14ac:dyDescent="0.2">
      <c r="A124" s="26" t="s">
        <v>697</v>
      </c>
      <c r="B124" s="26" t="s">
        <v>698</v>
      </c>
      <c r="C124" s="26" t="s">
        <v>954</v>
      </c>
      <c r="D124" s="26" t="s">
        <v>946</v>
      </c>
      <c r="E124" s="26" t="s">
        <v>509</v>
      </c>
      <c r="F124" s="106">
        <v>0.33500000000000002</v>
      </c>
      <c r="G124" s="26" t="s">
        <v>948</v>
      </c>
    </row>
    <row r="125" spans="1:7" x14ac:dyDescent="0.2">
      <c r="A125" s="26" t="s">
        <v>703</v>
      </c>
      <c r="B125" s="26" t="s">
        <v>704</v>
      </c>
      <c r="C125" s="26" t="s">
        <v>954</v>
      </c>
      <c r="D125" s="26" t="s">
        <v>946</v>
      </c>
      <c r="E125" s="26" t="s">
        <v>509</v>
      </c>
      <c r="F125" s="106">
        <v>0.33500000000000002</v>
      </c>
      <c r="G125" s="26" t="s">
        <v>948</v>
      </c>
    </row>
    <row r="126" spans="1:7" x14ac:dyDescent="0.2">
      <c r="A126" s="26" t="s">
        <v>711</v>
      </c>
      <c r="B126" s="26" t="s">
        <v>712</v>
      </c>
      <c r="C126" s="26" t="s">
        <v>954</v>
      </c>
      <c r="D126" s="26" t="s">
        <v>946</v>
      </c>
      <c r="E126" s="26" t="s">
        <v>509</v>
      </c>
      <c r="F126" s="106">
        <v>0.33500000000000002</v>
      </c>
      <c r="G126" s="26" t="s">
        <v>948</v>
      </c>
    </row>
    <row r="127" spans="1:7" x14ac:dyDescent="0.2">
      <c r="A127" s="26" t="s">
        <v>574</v>
      </c>
      <c r="B127" s="26" t="s">
        <v>575</v>
      </c>
      <c r="C127" s="26" t="s">
        <v>954</v>
      </c>
      <c r="D127" s="26" t="s">
        <v>946</v>
      </c>
      <c r="E127" s="26" t="s">
        <v>509</v>
      </c>
      <c r="F127" s="106">
        <v>0.70499999999999996</v>
      </c>
      <c r="G127" s="26" t="s">
        <v>947</v>
      </c>
    </row>
    <row r="128" spans="1:7" x14ac:dyDescent="0.2">
      <c r="A128" s="26" t="s">
        <v>580</v>
      </c>
      <c r="B128" s="26" t="s">
        <v>581</v>
      </c>
      <c r="C128" s="26" t="s">
        <v>954</v>
      </c>
      <c r="D128" s="26" t="s">
        <v>946</v>
      </c>
      <c r="E128" s="26" t="s">
        <v>509</v>
      </c>
      <c r="F128" s="106">
        <v>0.49</v>
      </c>
      <c r="G128" s="26" t="s">
        <v>947</v>
      </c>
    </row>
    <row r="129" spans="1:7" x14ac:dyDescent="0.2">
      <c r="A129" s="26" t="s">
        <v>705</v>
      </c>
      <c r="B129" s="26" t="s">
        <v>706</v>
      </c>
      <c r="C129" s="26" t="s">
        <v>954</v>
      </c>
      <c r="D129" s="26" t="s">
        <v>946</v>
      </c>
      <c r="E129" s="26" t="s">
        <v>509</v>
      </c>
      <c r="F129" s="106">
        <v>0.28000000000000003</v>
      </c>
      <c r="G129" s="26" t="s">
        <v>949</v>
      </c>
    </row>
    <row r="130" spans="1:7" x14ac:dyDescent="0.2">
      <c r="A130" s="26" t="s">
        <v>709</v>
      </c>
      <c r="B130" s="26" t="s">
        <v>710</v>
      </c>
      <c r="C130" s="26" t="s">
        <v>954</v>
      </c>
      <c r="D130" s="26" t="s">
        <v>946</v>
      </c>
      <c r="E130" s="26" t="s">
        <v>509</v>
      </c>
      <c r="F130" s="106">
        <v>0.33</v>
      </c>
      <c r="G130" s="26" t="s">
        <v>949</v>
      </c>
    </row>
    <row r="131" spans="1:7" x14ac:dyDescent="0.2">
      <c r="A131" s="26" t="s">
        <v>743</v>
      </c>
      <c r="B131" s="26" t="s">
        <v>744</v>
      </c>
      <c r="C131" s="26" t="s">
        <v>954</v>
      </c>
      <c r="D131" s="26" t="s">
        <v>946</v>
      </c>
      <c r="E131" s="26" t="s">
        <v>509</v>
      </c>
      <c r="F131" s="106">
        <v>0.42</v>
      </c>
      <c r="G131" s="26" t="s">
        <v>947</v>
      </c>
    </row>
    <row r="132" spans="1:7" x14ac:dyDescent="0.2">
      <c r="A132" s="26" t="s">
        <v>597</v>
      </c>
      <c r="B132" s="26" t="s">
        <v>598</v>
      </c>
      <c r="C132" s="26" t="s">
        <v>954</v>
      </c>
      <c r="D132" s="26" t="s">
        <v>946</v>
      </c>
      <c r="E132" s="26" t="s">
        <v>509</v>
      </c>
      <c r="F132" s="106">
        <v>0.78200000000000003</v>
      </c>
      <c r="G132" s="26" t="s">
        <v>948</v>
      </c>
    </row>
    <row r="133" spans="1:7" x14ac:dyDescent="0.2">
      <c r="A133" s="26" t="s">
        <v>603</v>
      </c>
      <c r="B133" s="26" t="s">
        <v>604</v>
      </c>
      <c r="C133" s="26" t="s">
        <v>945</v>
      </c>
      <c r="D133" s="26" t="s">
        <v>946</v>
      </c>
      <c r="E133" s="26" t="s">
        <v>509</v>
      </c>
      <c r="F133" s="106">
        <v>0.3</v>
      </c>
      <c r="G133" s="26" t="s">
        <v>947</v>
      </c>
    </row>
    <row r="134" spans="1:7" x14ac:dyDescent="0.2">
      <c r="A134" s="26" t="s">
        <v>747</v>
      </c>
      <c r="B134" s="26" t="s">
        <v>748</v>
      </c>
      <c r="C134" s="26" t="s">
        <v>954</v>
      </c>
      <c r="D134" s="26" t="s">
        <v>946</v>
      </c>
      <c r="E134" s="26" t="s">
        <v>509</v>
      </c>
      <c r="F134" s="106">
        <v>0.17599999999999999</v>
      </c>
      <c r="G134" s="26" t="s">
        <v>948</v>
      </c>
    </row>
    <row r="135" spans="1:7" x14ac:dyDescent="0.2">
      <c r="A135" s="26" t="s">
        <v>578</v>
      </c>
      <c r="B135" s="26" t="s">
        <v>579</v>
      </c>
      <c r="C135" s="26" t="s">
        <v>945</v>
      </c>
      <c r="D135" s="26" t="s">
        <v>946</v>
      </c>
      <c r="E135" s="26" t="s">
        <v>509</v>
      </c>
      <c r="F135" s="106">
        <v>1.2999999999999999E-2</v>
      </c>
      <c r="G135" s="26" t="s">
        <v>948</v>
      </c>
    </row>
    <row r="136" spans="1:7" x14ac:dyDescent="0.2">
      <c r="A136" s="26" t="s">
        <v>562</v>
      </c>
      <c r="B136" s="26" t="s">
        <v>563</v>
      </c>
      <c r="C136" s="26" t="s">
        <v>945</v>
      </c>
      <c r="D136" s="26" t="s">
        <v>946</v>
      </c>
      <c r="E136" s="26" t="s">
        <v>509</v>
      </c>
      <c r="F136" s="106">
        <v>1.1499999999999999</v>
      </c>
      <c r="G136" s="26" t="s">
        <v>947</v>
      </c>
    </row>
    <row r="137" spans="1:7" x14ac:dyDescent="0.2">
      <c r="A137" s="26" t="s">
        <v>850</v>
      </c>
      <c r="B137" s="26" t="s">
        <v>851</v>
      </c>
      <c r="C137" s="26" t="s">
        <v>945</v>
      </c>
      <c r="D137" s="26" t="s">
        <v>950</v>
      </c>
      <c r="E137" s="26" t="s">
        <v>951</v>
      </c>
      <c r="F137" s="106">
        <v>44.935200000000002</v>
      </c>
      <c r="G137" s="26" t="s">
        <v>949</v>
      </c>
    </row>
    <row r="138" spans="1:7" x14ac:dyDescent="0.2">
      <c r="A138" s="26" t="s">
        <v>847</v>
      </c>
      <c r="B138" s="26" t="s">
        <v>848</v>
      </c>
      <c r="C138" s="26" t="s">
        <v>945</v>
      </c>
      <c r="D138" s="26" t="s">
        <v>946</v>
      </c>
      <c r="E138" s="26" t="s">
        <v>509</v>
      </c>
      <c r="F138" s="106">
        <v>3.7360000000000002</v>
      </c>
      <c r="G138" s="26" t="s">
        <v>947</v>
      </c>
    </row>
    <row r="139" spans="1:7" x14ac:dyDescent="0.2">
      <c r="A139" s="26" t="s">
        <v>845</v>
      </c>
      <c r="B139" s="26" t="s">
        <v>846</v>
      </c>
      <c r="C139" s="26" t="s">
        <v>945</v>
      </c>
      <c r="D139" s="26" t="s">
        <v>946</v>
      </c>
      <c r="E139" s="26" t="s">
        <v>509</v>
      </c>
      <c r="F139" s="106">
        <v>3.702</v>
      </c>
      <c r="G139" s="26" t="s">
        <v>947</v>
      </c>
    </row>
    <row r="140" spans="1:7" x14ac:dyDescent="0.2">
      <c r="A140" s="26" t="s">
        <v>843</v>
      </c>
      <c r="B140" s="26" t="s">
        <v>844</v>
      </c>
      <c r="C140" s="26" t="s">
        <v>945</v>
      </c>
      <c r="D140" s="26" t="s">
        <v>946</v>
      </c>
      <c r="E140" s="26" t="s">
        <v>509</v>
      </c>
      <c r="F140" s="106">
        <v>3.7050100000000001</v>
      </c>
      <c r="G140" s="26" t="s">
        <v>947</v>
      </c>
    </row>
    <row r="141" spans="1:7" x14ac:dyDescent="0.2">
      <c r="A141" s="26" t="s">
        <v>715</v>
      </c>
      <c r="B141" s="26" t="s">
        <v>716</v>
      </c>
      <c r="C141" s="26" t="s">
        <v>945</v>
      </c>
      <c r="D141" s="26" t="s">
        <v>946</v>
      </c>
      <c r="E141" s="26" t="s">
        <v>509</v>
      </c>
      <c r="F141" s="106">
        <v>3.9249999999999998</v>
      </c>
      <c r="G141" s="26" t="s">
        <v>947</v>
      </c>
    </row>
    <row r="142" spans="1:7" x14ac:dyDescent="0.2">
      <c r="A142" s="26" t="s">
        <v>837</v>
      </c>
      <c r="B142" s="26" t="s">
        <v>838</v>
      </c>
      <c r="C142" s="26" t="s">
        <v>945</v>
      </c>
      <c r="D142" s="26" t="s">
        <v>950</v>
      </c>
      <c r="E142" s="26" t="s">
        <v>951</v>
      </c>
      <c r="F142" s="106">
        <v>44.933639999999997</v>
      </c>
      <c r="G142" s="26" t="s">
        <v>947</v>
      </c>
    </row>
    <row r="143" spans="1:7" x14ac:dyDescent="0.2">
      <c r="A143" s="26" t="s">
        <v>854</v>
      </c>
      <c r="B143" s="26" t="s">
        <v>855</v>
      </c>
      <c r="C143" s="26" t="s">
        <v>945</v>
      </c>
      <c r="D143" s="26" t="s">
        <v>946</v>
      </c>
      <c r="E143" s="26" t="s">
        <v>509</v>
      </c>
      <c r="F143" s="106">
        <v>12</v>
      </c>
      <c r="G143" s="26" t="s">
        <v>957</v>
      </c>
    </row>
    <row r="144" spans="1:7" x14ac:dyDescent="0.2">
      <c r="A144" s="26" t="s">
        <v>808</v>
      </c>
      <c r="B144" s="26" t="s">
        <v>809</v>
      </c>
      <c r="C144" s="26" t="s">
        <v>945</v>
      </c>
      <c r="D144" s="26" t="s">
        <v>950</v>
      </c>
      <c r="E144" s="26" t="s">
        <v>951</v>
      </c>
      <c r="F144" s="106">
        <v>87.47</v>
      </c>
      <c r="G144" s="26" t="s">
        <v>948</v>
      </c>
    </row>
    <row r="145" spans="1:7" x14ac:dyDescent="0.2">
      <c r="A145" s="26" t="s">
        <v>813</v>
      </c>
      <c r="B145" s="26" t="s">
        <v>814</v>
      </c>
      <c r="C145" s="26" t="s">
        <v>945</v>
      </c>
      <c r="D145" s="26" t="s">
        <v>950</v>
      </c>
      <c r="E145" s="26" t="s">
        <v>951</v>
      </c>
      <c r="F145" s="106">
        <v>87.47</v>
      </c>
      <c r="G145" s="26" t="s">
        <v>948</v>
      </c>
    </row>
    <row r="146" spans="1:7" x14ac:dyDescent="0.2">
      <c r="A146" s="26" t="s">
        <v>958</v>
      </c>
      <c r="B146" s="26" t="s">
        <v>959</v>
      </c>
      <c r="C146" s="26" t="s">
        <v>945</v>
      </c>
      <c r="D146" s="26" t="s">
        <v>950</v>
      </c>
      <c r="E146" s="26" t="s">
        <v>951</v>
      </c>
      <c r="F146" s="106">
        <v>87.47</v>
      </c>
      <c r="G146" s="26" t="s">
        <v>948</v>
      </c>
    </row>
    <row r="147" spans="1:7" x14ac:dyDescent="0.2">
      <c r="A147" s="26" t="s">
        <v>960</v>
      </c>
      <c r="B147" s="26" t="s">
        <v>961</v>
      </c>
      <c r="C147" s="26" t="s">
        <v>945</v>
      </c>
      <c r="D147" s="26" t="s">
        <v>950</v>
      </c>
      <c r="E147" s="26" t="s">
        <v>951</v>
      </c>
      <c r="F147" s="106">
        <v>87.47</v>
      </c>
      <c r="G147" s="26" t="s">
        <v>948</v>
      </c>
    </row>
    <row r="148" spans="1:7" x14ac:dyDescent="0.2">
      <c r="A148" s="26" t="s">
        <v>962</v>
      </c>
      <c r="B148" s="26" t="s">
        <v>963</v>
      </c>
      <c r="C148" s="26" t="s">
        <v>945</v>
      </c>
      <c r="D148" s="26" t="s">
        <v>950</v>
      </c>
      <c r="E148" s="26" t="s">
        <v>951</v>
      </c>
      <c r="F148" s="106">
        <v>87.47</v>
      </c>
      <c r="G148" s="26" t="s">
        <v>948</v>
      </c>
    </row>
    <row r="149" spans="1:7" x14ac:dyDescent="0.2">
      <c r="A149" s="26" t="s">
        <v>601</v>
      </c>
      <c r="B149" s="26" t="s">
        <v>602</v>
      </c>
      <c r="C149" s="26" t="s">
        <v>945</v>
      </c>
      <c r="D149" s="26" t="s">
        <v>946</v>
      </c>
      <c r="E149" s="26" t="s">
        <v>509</v>
      </c>
      <c r="F149" s="106">
        <v>1.581</v>
      </c>
      <c r="G149" s="26" t="s">
        <v>947</v>
      </c>
    </row>
    <row r="150" spans="1:7" x14ac:dyDescent="0.2">
      <c r="A150" s="26" t="s">
        <v>737</v>
      </c>
      <c r="B150" s="26" t="s">
        <v>738</v>
      </c>
      <c r="C150" s="26" t="s">
        <v>945</v>
      </c>
      <c r="D150" s="26" t="s">
        <v>946</v>
      </c>
      <c r="E150" s="26" t="s">
        <v>509</v>
      </c>
      <c r="F150" s="106">
        <v>0.17299999999999999</v>
      </c>
      <c r="G150" s="26" t="s">
        <v>947</v>
      </c>
    </row>
    <row r="151" spans="1:7" x14ac:dyDescent="0.2">
      <c r="A151" s="26" t="s">
        <v>739</v>
      </c>
      <c r="B151" s="26" t="s">
        <v>740</v>
      </c>
      <c r="C151" s="26" t="s">
        <v>945</v>
      </c>
      <c r="D151" s="26" t="s">
        <v>946</v>
      </c>
      <c r="E151" s="26" t="s">
        <v>509</v>
      </c>
      <c r="F151" s="106">
        <v>0.44600000000000001</v>
      </c>
      <c r="G151" s="26" t="s">
        <v>948</v>
      </c>
    </row>
    <row r="152" spans="1:7" x14ac:dyDescent="0.2">
      <c r="A152" s="26" t="s">
        <v>858</v>
      </c>
      <c r="B152" s="26" t="s">
        <v>859</v>
      </c>
      <c r="C152" s="26" t="s">
        <v>954</v>
      </c>
      <c r="D152" s="26" t="s">
        <v>946</v>
      </c>
      <c r="E152" s="26" t="s">
        <v>509</v>
      </c>
      <c r="F152" s="106">
        <v>9.15</v>
      </c>
      <c r="G152" s="26" t="s">
        <v>947</v>
      </c>
    </row>
    <row r="153" spans="1:7" x14ac:dyDescent="0.2">
      <c r="A153" s="26" t="s">
        <v>860</v>
      </c>
      <c r="B153" s="26" t="s">
        <v>861</v>
      </c>
      <c r="C153" s="26" t="s">
        <v>945</v>
      </c>
      <c r="D153" s="26" t="s">
        <v>946</v>
      </c>
      <c r="E153" s="26" t="s">
        <v>509</v>
      </c>
      <c r="F153" s="106">
        <v>5.0719799999999999</v>
      </c>
      <c r="G153" s="26" t="s">
        <v>947</v>
      </c>
    </row>
    <row r="154" spans="1:7" x14ac:dyDescent="0.2">
      <c r="A154" s="26" t="s">
        <v>918</v>
      </c>
      <c r="B154" s="26" t="s">
        <v>919</v>
      </c>
      <c r="C154" s="26" t="s">
        <v>945</v>
      </c>
      <c r="D154" s="26" t="s">
        <v>952</v>
      </c>
      <c r="E154" s="26" t="s">
        <v>953</v>
      </c>
      <c r="F154" s="106">
        <v>0</v>
      </c>
      <c r="G154" s="26" t="s">
        <v>949</v>
      </c>
    </row>
    <row r="155" spans="1:7" x14ac:dyDescent="0.2">
      <c r="A155" s="26" t="s">
        <v>784</v>
      </c>
      <c r="B155" s="26" t="s">
        <v>785</v>
      </c>
      <c r="C155" s="26" t="s">
        <v>945</v>
      </c>
      <c r="D155" s="26" t="s">
        <v>946</v>
      </c>
      <c r="E155" s="26" t="s">
        <v>509</v>
      </c>
      <c r="F155" s="106">
        <v>3.57</v>
      </c>
      <c r="G155" s="26" t="s">
        <v>949</v>
      </c>
    </row>
    <row r="156" spans="1:7" x14ac:dyDescent="0.2">
      <c r="A156" s="26" t="s">
        <v>567</v>
      </c>
      <c r="B156" s="26" t="s">
        <v>489</v>
      </c>
      <c r="C156" s="26" t="s">
        <v>945</v>
      </c>
      <c r="D156" s="26" t="s">
        <v>946</v>
      </c>
      <c r="E156" s="26" t="s">
        <v>509</v>
      </c>
      <c r="F156" s="106">
        <v>3.57</v>
      </c>
      <c r="G156" s="26" t="s">
        <v>949</v>
      </c>
    </row>
    <row r="157" spans="1:7" x14ac:dyDescent="0.2">
      <c r="A157" s="26" t="s">
        <v>673</v>
      </c>
      <c r="B157" s="26" t="s">
        <v>674</v>
      </c>
      <c r="C157" s="26" t="s">
        <v>945</v>
      </c>
      <c r="D157" s="26" t="s">
        <v>952</v>
      </c>
      <c r="E157" s="26" t="s">
        <v>953</v>
      </c>
      <c r="F157" s="106">
        <v>18.940000000000001</v>
      </c>
      <c r="G157" s="26" t="s">
        <v>948</v>
      </c>
    </row>
    <row r="158" spans="1:7" x14ac:dyDescent="0.2">
      <c r="A158" s="26" t="s">
        <v>831</v>
      </c>
      <c r="B158" s="26" t="s">
        <v>832</v>
      </c>
      <c r="C158" s="26" t="s">
        <v>945</v>
      </c>
      <c r="D158" s="26" t="s">
        <v>952</v>
      </c>
      <c r="E158" s="26" t="s">
        <v>953</v>
      </c>
      <c r="F158" s="106">
        <v>121.15</v>
      </c>
      <c r="G158" s="26" t="s">
        <v>949</v>
      </c>
    </row>
    <row r="159" spans="1:7" x14ac:dyDescent="0.2">
      <c r="A159" s="26" t="s">
        <v>931</v>
      </c>
      <c r="B159" s="26" t="s">
        <v>932</v>
      </c>
      <c r="C159" s="26" t="s">
        <v>945</v>
      </c>
      <c r="D159" s="26" t="s">
        <v>946</v>
      </c>
      <c r="E159" s="26" t="s">
        <v>509</v>
      </c>
      <c r="F159" s="106">
        <v>3.3502999999999998</v>
      </c>
      <c r="G159" s="26" t="s">
        <v>949</v>
      </c>
    </row>
    <row r="160" spans="1:7" x14ac:dyDescent="0.2">
      <c r="A160" s="26" t="s">
        <v>862</v>
      </c>
      <c r="B160" s="26" t="s">
        <v>863</v>
      </c>
      <c r="C160" s="26" t="s">
        <v>945</v>
      </c>
      <c r="D160" s="26" t="s">
        <v>946</v>
      </c>
      <c r="E160" s="26" t="s">
        <v>509</v>
      </c>
      <c r="F160" s="106">
        <v>4.4089999999999998</v>
      </c>
      <c r="G160" s="26" t="s">
        <v>947</v>
      </c>
    </row>
    <row r="161" spans="1:7" x14ac:dyDescent="0.2">
      <c r="A161" s="26" t="s">
        <v>864</v>
      </c>
      <c r="B161" s="26" t="s">
        <v>865</v>
      </c>
      <c r="C161" s="26" t="s">
        <v>945</v>
      </c>
      <c r="D161" s="26" t="s">
        <v>946</v>
      </c>
      <c r="E161" s="26" t="s">
        <v>509</v>
      </c>
      <c r="F161" s="106">
        <v>4.17</v>
      </c>
      <c r="G161" s="26" t="s">
        <v>948</v>
      </c>
    </row>
    <row r="162" spans="1:7" x14ac:dyDescent="0.2">
      <c r="A162" s="26" t="s">
        <v>866</v>
      </c>
      <c r="B162" s="26" t="s">
        <v>867</v>
      </c>
      <c r="C162" s="26" t="s">
        <v>945</v>
      </c>
      <c r="D162" s="26" t="s">
        <v>946</v>
      </c>
      <c r="E162" s="26" t="s">
        <v>509</v>
      </c>
      <c r="F162" s="106">
        <v>4.9270100000000001</v>
      </c>
      <c r="G162" s="26" t="s">
        <v>947</v>
      </c>
    </row>
    <row r="163" spans="1:7" x14ac:dyDescent="0.2">
      <c r="A163" s="26" t="s">
        <v>869</v>
      </c>
      <c r="B163" s="26" t="s">
        <v>870</v>
      </c>
      <c r="C163" s="26" t="s">
        <v>945</v>
      </c>
      <c r="D163" s="26" t="s">
        <v>946</v>
      </c>
      <c r="E163" s="26" t="s">
        <v>509</v>
      </c>
      <c r="F163" s="106">
        <v>1.6579999999999999</v>
      </c>
      <c r="G163" s="26" t="s">
        <v>949</v>
      </c>
    </row>
    <row r="164" spans="1:7" x14ac:dyDescent="0.2">
      <c r="A164" s="26" t="s">
        <v>619</v>
      </c>
      <c r="B164" s="26" t="s">
        <v>620</v>
      </c>
      <c r="C164" s="26" t="s">
        <v>954</v>
      </c>
      <c r="D164" s="26" t="s">
        <v>946</v>
      </c>
      <c r="E164" s="26" t="s">
        <v>509</v>
      </c>
      <c r="F164" s="106">
        <v>0.11</v>
      </c>
      <c r="G164" s="26" t="s">
        <v>947</v>
      </c>
    </row>
    <row r="165" spans="1:7" x14ac:dyDescent="0.2">
      <c r="A165" s="26" t="s">
        <v>525</v>
      </c>
      <c r="B165" s="26" t="s">
        <v>526</v>
      </c>
      <c r="C165" s="26" t="s">
        <v>954</v>
      </c>
      <c r="D165" s="26" t="s">
        <v>946</v>
      </c>
      <c r="E165" s="26" t="s">
        <v>509</v>
      </c>
      <c r="F165" s="106">
        <v>0.127</v>
      </c>
      <c r="G165" s="26" t="s">
        <v>948</v>
      </c>
    </row>
    <row r="166" spans="1:7" x14ac:dyDescent="0.2">
      <c r="A166" s="26" t="s">
        <v>735</v>
      </c>
      <c r="B166" s="26" t="s">
        <v>736</v>
      </c>
      <c r="C166" s="26" t="s">
        <v>954</v>
      </c>
      <c r="D166" s="26" t="s">
        <v>946</v>
      </c>
      <c r="E166" s="26" t="s">
        <v>509</v>
      </c>
      <c r="F166" s="106">
        <v>0.31900000000000001</v>
      </c>
      <c r="G166" s="26" t="s">
        <v>948</v>
      </c>
    </row>
    <row r="167" spans="1:7" x14ac:dyDescent="0.2">
      <c r="A167" s="26" t="s">
        <v>873</v>
      </c>
      <c r="B167" s="26" t="s">
        <v>874</v>
      </c>
      <c r="C167" s="26" t="s">
        <v>954</v>
      </c>
      <c r="D167" s="26" t="s">
        <v>946</v>
      </c>
      <c r="E167" s="26" t="s">
        <v>509</v>
      </c>
      <c r="F167" s="106">
        <v>0.52900000000000003</v>
      </c>
      <c r="G167" s="26" t="s">
        <v>948</v>
      </c>
    </row>
    <row r="168" spans="1:7" x14ac:dyDescent="0.2">
      <c r="A168" s="26" t="s">
        <v>515</v>
      </c>
      <c r="B168" s="26" t="s">
        <v>516</v>
      </c>
      <c r="C168" s="26" t="s">
        <v>954</v>
      </c>
      <c r="D168" s="26" t="s">
        <v>946</v>
      </c>
      <c r="E168" s="26" t="s">
        <v>509</v>
      </c>
      <c r="F168" s="106">
        <v>0.29399999999999998</v>
      </c>
      <c r="G168" s="26" t="s">
        <v>948</v>
      </c>
    </row>
    <row r="169" spans="1:7" x14ac:dyDescent="0.2">
      <c r="A169" s="26" t="s">
        <v>521</v>
      </c>
      <c r="B169" s="26" t="s">
        <v>522</v>
      </c>
      <c r="C169" s="26" t="s">
        <v>954</v>
      </c>
      <c r="D169" s="26" t="s">
        <v>946</v>
      </c>
      <c r="E169" s="26" t="s">
        <v>509</v>
      </c>
      <c r="F169" s="106">
        <v>0.34</v>
      </c>
      <c r="G169" s="26" t="s">
        <v>948</v>
      </c>
    </row>
    <row r="170" spans="1:7" x14ac:dyDescent="0.2">
      <c r="A170" s="26" t="s">
        <v>871</v>
      </c>
      <c r="B170" s="26" t="s">
        <v>872</v>
      </c>
      <c r="C170" s="26" t="s">
        <v>954</v>
      </c>
      <c r="D170" s="26" t="s">
        <v>946</v>
      </c>
      <c r="E170" s="26" t="s">
        <v>509</v>
      </c>
      <c r="F170" s="106">
        <v>0.93899999999999995</v>
      </c>
      <c r="G170" s="26" t="s">
        <v>948</v>
      </c>
    </row>
    <row r="171" spans="1:7" x14ac:dyDescent="0.2">
      <c r="A171" s="26" t="s">
        <v>875</v>
      </c>
      <c r="B171" s="26" t="s">
        <v>876</v>
      </c>
      <c r="C171" s="26" t="s">
        <v>945</v>
      </c>
      <c r="D171" s="26" t="s">
        <v>946</v>
      </c>
      <c r="E171" s="26" t="s">
        <v>509</v>
      </c>
      <c r="F171" s="106">
        <v>6.08</v>
      </c>
      <c r="G171" s="26" t="s">
        <v>948</v>
      </c>
    </row>
    <row r="172" spans="1:7" x14ac:dyDescent="0.2">
      <c r="A172" s="26" t="s">
        <v>721</v>
      </c>
      <c r="B172" s="26" t="s">
        <v>722</v>
      </c>
      <c r="C172" s="26" t="s">
        <v>945</v>
      </c>
      <c r="D172" s="26" t="s">
        <v>950</v>
      </c>
      <c r="E172" s="26" t="s">
        <v>951</v>
      </c>
      <c r="F172" s="106">
        <v>39.498510000000003</v>
      </c>
      <c r="G172" s="26" t="s">
        <v>947</v>
      </c>
    </row>
    <row r="173" spans="1:7" x14ac:dyDescent="0.2">
      <c r="A173" s="26" t="s">
        <v>877</v>
      </c>
      <c r="B173" s="26" t="s">
        <v>878</v>
      </c>
      <c r="C173" s="26" t="s">
        <v>945</v>
      </c>
      <c r="D173" s="26" t="s">
        <v>946</v>
      </c>
      <c r="E173" s="26" t="s">
        <v>509</v>
      </c>
      <c r="F173" s="106">
        <v>1.3670100000000001</v>
      </c>
      <c r="G173" s="26" t="s">
        <v>947</v>
      </c>
    </row>
    <row r="174" spans="1:7" x14ac:dyDescent="0.2">
      <c r="A174" s="26" t="s">
        <v>905</v>
      </c>
      <c r="B174" s="26" t="s">
        <v>906</v>
      </c>
      <c r="C174" s="26" t="s">
        <v>945</v>
      </c>
      <c r="D174" s="26" t="s">
        <v>946</v>
      </c>
      <c r="E174" s="26" t="s">
        <v>509</v>
      </c>
      <c r="F174" s="106">
        <v>2.1280000000000001</v>
      </c>
      <c r="G174" s="26" t="s">
        <v>947</v>
      </c>
    </row>
    <row r="175" spans="1:7" x14ac:dyDescent="0.2">
      <c r="A175" s="26" t="s">
        <v>909</v>
      </c>
      <c r="B175" s="26" t="s">
        <v>910</v>
      </c>
      <c r="C175" s="26" t="s">
        <v>945</v>
      </c>
      <c r="D175" s="26" t="s">
        <v>946</v>
      </c>
      <c r="E175" s="26" t="s">
        <v>509</v>
      </c>
      <c r="F175" s="106">
        <v>2.2719999999999998</v>
      </c>
      <c r="G175" s="26" t="s">
        <v>948</v>
      </c>
    </row>
    <row r="176" spans="1:7" x14ac:dyDescent="0.2">
      <c r="A176" s="26" t="s">
        <v>911</v>
      </c>
      <c r="B176" s="26" t="s">
        <v>912</v>
      </c>
      <c r="C176" s="26" t="s">
        <v>945</v>
      </c>
      <c r="D176" s="26" t="s">
        <v>946</v>
      </c>
      <c r="E176" s="26" t="s">
        <v>509</v>
      </c>
      <c r="F176" s="106">
        <v>1.984</v>
      </c>
      <c r="G176" s="26" t="s">
        <v>948</v>
      </c>
    </row>
    <row r="177" spans="1:7" x14ac:dyDescent="0.2">
      <c r="A177" s="26" t="s">
        <v>881</v>
      </c>
      <c r="B177" s="26" t="s">
        <v>882</v>
      </c>
      <c r="C177" s="26" t="s">
        <v>945</v>
      </c>
      <c r="D177" s="26" t="s">
        <v>946</v>
      </c>
      <c r="E177" s="26" t="s">
        <v>509</v>
      </c>
      <c r="F177" s="106">
        <v>0.76</v>
      </c>
      <c r="G177" s="26" t="s">
        <v>947</v>
      </c>
    </row>
    <row r="178" spans="1:7" x14ac:dyDescent="0.2">
      <c r="A178" s="26" t="s">
        <v>632</v>
      </c>
      <c r="B178" s="26" t="s">
        <v>633</v>
      </c>
      <c r="C178" s="26" t="s">
        <v>945</v>
      </c>
      <c r="D178" s="26" t="s">
        <v>952</v>
      </c>
      <c r="E178" s="26" t="s">
        <v>953</v>
      </c>
      <c r="F178" s="106">
        <v>19.99278</v>
      </c>
      <c r="G178" s="26" t="s">
        <v>947</v>
      </c>
    </row>
    <row r="179" spans="1:7" x14ac:dyDescent="0.2">
      <c r="A179" s="26" t="s">
        <v>558</v>
      </c>
      <c r="B179" s="26" t="s">
        <v>559</v>
      </c>
      <c r="C179" s="26" t="s">
        <v>945</v>
      </c>
      <c r="D179" s="26" t="s">
        <v>952</v>
      </c>
      <c r="E179" s="26" t="s">
        <v>953</v>
      </c>
      <c r="F179" s="106">
        <v>36</v>
      </c>
      <c r="G179" s="26" t="s">
        <v>948</v>
      </c>
    </row>
    <row r="180" spans="1:7" x14ac:dyDescent="0.2">
      <c r="A180" s="26" t="s">
        <v>554</v>
      </c>
      <c r="B180" s="26" t="s">
        <v>555</v>
      </c>
      <c r="C180" s="26" t="s">
        <v>945</v>
      </c>
      <c r="D180" s="26" t="s">
        <v>946</v>
      </c>
      <c r="E180" s="26" t="s">
        <v>509</v>
      </c>
      <c r="F180" s="106">
        <v>2.4359999999999999</v>
      </c>
      <c r="G180" s="26" t="s">
        <v>947</v>
      </c>
    </row>
    <row r="181" spans="1:7" x14ac:dyDescent="0.2">
      <c r="A181" s="26" t="s">
        <v>685</v>
      </c>
      <c r="B181" s="26" t="s">
        <v>686</v>
      </c>
      <c r="C181" s="26" t="s">
        <v>945</v>
      </c>
      <c r="D181" s="26" t="s">
        <v>946</v>
      </c>
      <c r="E181" s="26" t="s">
        <v>509</v>
      </c>
      <c r="F181" s="106">
        <v>3.7</v>
      </c>
      <c r="G181" s="26" t="s">
        <v>947</v>
      </c>
    </row>
    <row r="182" spans="1:7" x14ac:dyDescent="0.2">
      <c r="A182" s="26" t="s">
        <v>517</v>
      </c>
      <c r="B182" s="26" t="s">
        <v>518</v>
      </c>
      <c r="C182" s="26" t="s">
        <v>954</v>
      </c>
      <c r="D182" s="26" t="s">
        <v>946</v>
      </c>
      <c r="E182" s="26" t="s">
        <v>509</v>
      </c>
      <c r="F182" s="106">
        <v>0.19800000000000001</v>
      </c>
      <c r="G182" s="26" t="s">
        <v>948</v>
      </c>
    </row>
    <row r="183" spans="1:7" x14ac:dyDescent="0.2">
      <c r="A183" s="26" t="s">
        <v>755</v>
      </c>
      <c r="B183" s="26" t="s">
        <v>756</v>
      </c>
      <c r="C183" s="26" t="s">
        <v>945</v>
      </c>
      <c r="D183" s="26" t="s">
        <v>950</v>
      </c>
      <c r="E183" s="26" t="s">
        <v>951</v>
      </c>
      <c r="F183" s="106">
        <v>65.1922</v>
      </c>
      <c r="G183" s="26" t="s">
        <v>947</v>
      </c>
    </row>
    <row r="184" spans="1:7" x14ac:dyDescent="0.2">
      <c r="A184" s="26" t="s">
        <v>775</v>
      </c>
      <c r="B184" s="26" t="s">
        <v>776</v>
      </c>
      <c r="C184" s="26" t="s">
        <v>945</v>
      </c>
      <c r="D184" s="26" t="s">
        <v>950</v>
      </c>
      <c r="E184" s="26" t="s">
        <v>951</v>
      </c>
      <c r="F184" s="106">
        <v>65.177570000000003</v>
      </c>
      <c r="G184" s="26" t="s">
        <v>947</v>
      </c>
    </row>
    <row r="185" spans="1:7" x14ac:dyDescent="0.2">
      <c r="A185" s="26" t="s">
        <v>777</v>
      </c>
      <c r="B185" s="26" t="s">
        <v>778</v>
      </c>
      <c r="C185" s="26" t="s">
        <v>945</v>
      </c>
      <c r="D185" s="26" t="s">
        <v>950</v>
      </c>
      <c r="E185" s="26" t="s">
        <v>951</v>
      </c>
      <c r="F185" s="106">
        <v>65.240290000000002</v>
      </c>
      <c r="G185" s="26" t="s">
        <v>947</v>
      </c>
    </row>
    <row r="186" spans="1:7" x14ac:dyDescent="0.2">
      <c r="A186" s="26" t="s">
        <v>631</v>
      </c>
      <c r="B186" s="26" t="s">
        <v>491</v>
      </c>
      <c r="C186" s="26" t="s">
        <v>945</v>
      </c>
      <c r="D186" s="26" t="s">
        <v>950</v>
      </c>
      <c r="E186" s="26" t="s">
        <v>951</v>
      </c>
      <c r="F186" s="106">
        <v>22.99982</v>
      </c>
      <c r="G186" s="26" t="s">
        <v>947</v>
      </c>
    </row>
    <row r="187" spans="1:7" x14ac:dyDescent="0.2">
      <c r="A187" s="26" t="s">
        <v>701</v>
      </c>
      <c r="B187" s="26" t="s">
        <v>702</v>
      </c>
      <c r="C187" s="26" t="s">
        <v>945</v>
      </c>
      <c r="D187" s="26" t="s">
        <v>952</v>
      </c>
      <c r="E187" s="26" t="s">
        <v>953</v>
      </c>
      <c r="F187" s="106">
        <v>45.072099999999999</v>
      </c>
      <c r="G187" s="26" t="s">
        <v>947</v>
      </c>
    </row>
    <row r="188" spans="1:7" x14ac:dyDescent="0.2">
      <c r="A188" s="26" t="s">
        <v>675</v>
      </c>
      <c r="B188" s="26" t="s">
        <v>676</v>
      </c>
      <c r="C188" s="26" t="s">
        <v>945</v>
      </c>
      <c r="D188" s="26" t="s">
        <v>952</v>
      </c>
      <c r="E188" s="26" t="s">
        <v>953</v>
      </c>
      <c r="F188" s="106">
        <v>26.133800000000001</v>
      </c>
      <c r="G188" s="26" t="s">
        <v>947</v>
      </c>
    </row>
    <row r="189" spans="1:7" x14ac:dyDescent="0.2">
      <c r="A189" s="26" t="s">
        <v>964</v>
      </c>
      <c r="B189" s="26" t="s">
        <v>965</v>
      </c>
      <c r="C189" s="26" t="s">
        <v>945</v>
      </c>
      <c r="D189" s="26" t="s">
        <v>950</v>
      </c>
      <c r="E189" s="26" t="s">
        <v>951</v>
      </c>
      <c r="F189" s="106">
        <v>27.03</v>
      </c>
      <c r="G189" s="26" t="s">
        <v>948</v>
      </c>
    </row>
    <row r="190" spans="1:7" x14ac:dyDescent="0.2">
      <c r="A190" s="26" t="s">
        <v>727</v>
      </c>
      <c r="B190" s="26" t="s">
        <v>728</v>
      </c>
      <c r="C190" s="26" t="s">
        <v>945</v>
      </c>
      <c r="D190" s="26" t="s">
        <v>950</v>
      </c>
      <c r="E190" s="26" t="s">
        <v>951</v>
      </c>
      <c r="F190" s="106">
        <v>27.028079999999999</v>
      </c>
      <c r="G190" s="26" t="s">
        <v>947</v>
      </c>
    </row>
    <row r="191" spans="1:7" x14ac:dyDescent="0.2">
      <c r="A191" s="26" t="s">
        <v>887</v>
      </c>
      <c r="B191" s="26" t="s">
        <v>888</v>
      </c>
      <c r="C191" s="26" t="s">
        <v>945</v>
      </c>
      <c r="D191" s="26" t="s">
        <v>950</v>
      </c>
      <c r="E191" s="26" t="s">
        <v>951</v>
      </c>
      <c r="F191" s="106">
        <v>32.896909999999998</v>
      </c>
      <c r="G191" s="26" t="s">
        <v>947</v>
      </c>
    </row>
    <row r="192" spans="1:7" x14ac:dyDescent="0.2">
      <c r="A192" s="26" t="s">
        <v>897</v>
      </c>
      <c r="B192" s="26" t="s">
        <v>898</v>
      </c>
      <c r="C192" s="26" t="s">
        <v>945</v>
      </c>
      <c r="D192" s="26" t="s">
        <v>946</v>
      </c>
      <c r="E192" s="26" t="s">
        <v>509</v>
      </c>
      <c r="F192" s="106">
        <v>0.17599999999999999</v>
      </c>
      <c r="G192" s="26" t="s">
        <v>948</v>
      </c>
    </row>
    <row r="193" spans="1:7" x14ac:dyDescent="0.2">
      <c r="A193" s="26" t="s">
        <v>915</v>
      </c>
      <c r="B193" s="26" t="s">
        <v>916</v>
      </c>
      <c r="C193" s="26" t="s">
        <v>945</v>
      </c>
      <c r="D193" s="26" t="s">
        <v>946</v>
      </c>
      <c r="E193" s="26" t="s">
        <v>509</v>
      </c>
      <c r="F193" s="106">
        <v>9.2980199999999993</v>
      </c>
      <c r="G193" s="26" t="s">
        <v>947</v>
      </c>
    </row>
    <row r="194" spans="1:7" x14ac:dyDescent="0.2">
      <c r="A194" s="26" t="s">
        <v>913</v>
      </c>
      <c r="B194" s="26" t="s">
        <v>914</v>
      </c>
      <c r="C194" s="26" t="s">
        <v>954</v>
      </c>
      <c r="D194" s="26" t="s">
        <v>946</v>
      </c>
      <c r="E194" s="26" t="s">
        <v>509</v>
      </c>
      <c r="F194" s="106">
        <v>7.1790099999999999</v>
      </c>
      <c r="G194" s="26" t="s">
        <v>947</v>
      </c>
    </row>
    <row r="195" spans="1:7" x14ac:dyDescent="0.2">
      <c r="A195" s="26" t="s">
        <v>641</v>
      </c>
      <c r="B195" s="26" t="s">
        <v>642</v>
      </c>
      <c r="C195" s="26" t="s">
        <v>945</v>
      </c>
      <c r="D195" s="26" t="s">
        <v>950</v>
      </c>
      <c r="E195" s="26" t="s">
        <v>951</v>
      </c>
      <c r="F195" s="106">
        <v>73.291430000000005</v>
      </c>
      <c r="G195" s="26" t="s">
        <v>947</v>
      </c>
    </row>
    <row r="196" spans="1:7" x14ac:dyDescent="0.2">
      <c r="A196" s="26" t="s">
        <v>922</v>
      </c>
      <c r="B196" s="26" t="s">
        <v>923</v>
      </c>
      <c r="C196" s="26" t="s">
        <v>945</v>
      </c>
      <c r="D196" s="26" t="s">
        <v>952</v>
      </c>
      <c r="E196" s="26" t="s">
        <v>953</v>
      </c>
      <c r="F196" s="106">
        <v>96.30395</v>
      </c>
      <c r="G196" s="26" t="s">
        <v>947</v>
      </c>
    </row>
    <row r="197" spans="1:7" x14ac:dyDescent="0.2">
      <c r="A197" s="26" t="s">
        <v>926</v>
      </c>
      <c r="B197" s="26" t="s">
        <v>927</v>
      </c>
      <c r="C197" s="26" t="s">
        <v>945</v>
      </c>
      <c r="D197" s="26" t="s">
        <v>946</v>
      </c>
      <c r="E197" s="26" t="s">
        <v>509</v>
      </c>
      <c r="F197" s="106">
        <v>7.52</v>
      </c>
      <c r="G197" s="26" t="s">
        <v>947</v>
      </c>
    </row>
    <row r="198" spans="1:7" x14ac:dyDescent="0.2">
      <c r="A198" s="26" t="s">
        <v>621</v>
      </c>
      <c r="B198" s="26" t="s">
        <v>622</v>
      </c>
      <c r="C198" s="26" t="s">
        <v>945</v>
      </c>
      <c r="D198" s="26" t="s">
        <v>950</v>
      </c>
      <c r="E198" s="26" t="s">
        <v>951</v>
      </c>
      <c r="F198" s="106">
        <v>35.110300000000002</v>
      </c>
      <c r="G198" s="26" t="s">
        <v>947</v>
      </c>
    </row>
    <row r="199" spans="1:7" x14ac:dyDescent="0.2">
      <c r="A199" s="26" t="s">
        <v>513</v>
      </c>
      <c r="B199" s="26" t="s">
        <v>492</v>
      </c>
      <c r="C199" s="26" t="s">
        <v>945</v>
      </c>
      <c r="D199" s="26" t="s">
        <v>950</v>
      </c>
      <c r="E199" s="26" t="s">
        <v>951</v>
      </c>
      <c r="F199" s="106">
        <v>16.89706</v>
      </c>
      <c r="G199" s="26" t="s">
        <v>947</v>
      </c>
    </row>
    <row r="200" spans="1:7" x14ac:dyDescent="0.2">
      <c r="A200" s="26" t="s">
        <v>627</v>
      </c>
      <c r="B200" s="26" t="s">
        <v>628</v>
      </c>
      <c r="C200" s="26" t="s">
        <v>945</v>
      </c>
      <c r="D200" s="26" t="s">
        <v>946</v>
      </c>
      <c r="E200" s="26" t="s">
        <v>509</v>
      </c>
      <c r="F200" s="106">
        <v>3.5489999999999999</v>
      </c>
      <c r="G200" s="26" t="s">
        <v>947</v>
      </c>
    </row>
    <row r="201" spans="1:7" x14ac:dyDescent="0.2">
      <c r="A201" s="26" t="s">
        <v>668</v>
      </c>
      <c r="B201" s="26" t="s">
        <v>669</v>
      </c>
      <c r="C201" s="26" t="s">
        <v>945</v>
      </c>
      <c r="D201" s="26" t="s">
        <v>952</v>
      </c>
      <c r="E201" s="26" t="s">
        <v>953</v>
      </c>
      <c r="F201" s="106">
        <v>7</v>
      </c>
      <c r="G201" s="26" t="s">
        <v>948</v>
      </c>
    </row>
    <row r="202" spans="1:7" x14ac:dyDescent="0.2">
      <c r="A202" s="26" t="s">
        <v>546</v>
      </c>
      <c r="B202" s="26" t="s">
        <v>547</v>
      </c>
      <c r="C202" s="26" t="s">
        <v>945</v>
      </c>
      <c r="D202" s="26" t="s">
        <v>952</v>
      </c>
      <c r="E202" s="26" t="s">
        <v>953</v>
      </c>
      <c r="F202" s="106">
        <v>14</v>
      </c>
      <c r="G202" s="26" t="s">
        <v>948</v>
      </c>
    </row>
    <row r="203" spans="1:7" x14ac:dyDescent="0.2">
      <c r="A203" s="26" t="s">
        <v>548</v>
      </c>
      <c r="B203" s="26" t="s">
        <v>549</v>
      </c>
      <c r="C203" s="26" t="s">
        <v>945</v>
      </c>
      <c r="D203" s="26" t="s">
        <v>952</v>
      </c>
      <c r="E203" s="26" t="s">
        <v>953</v>
      </c>
      <c r="F203" s="106">
        <v>34</v>
      </c>
      <c r="G203" s="26" t="s">
        <v>948</v>
      </c>
    </row>
    <row r="204" spans="1:7" x14ac:dyDescent="0.2">
      <c r="A204" s="26" t="s">
        <v>634</v>
      </c>
      <c r="B204" s="26" t="s">
        <v>635</v>
      </c>
      <c r="C204" s="26" t="s">
        <v>945</v>
      </c>
      <c r="D204" s="26" t="s">
        <v>952</v>
      </c>
      <c r="E204" s="26" t="s">
        <v>953</v>
      </c>
      <c r="F204" s="106">
        <v>15.54</v>
      </c>
      <c r="G204" s="26" t="s">
        <v>948</v>
      </c>
    </row>
  </sheetData>
  <mergeCells count="2">
    <mergeCell ref="A1:G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GHID</vt:lpstr>
      <vt:lpstr>MASTER FC SĂPTĂMÂNĂ</vt:lpstr>
      <vt:lpstr>MASTER FC LUNĂ</vt:lpstr>
      <vt:lpstr>MASTER FC PERIOADĂ</vt:lpstr>
      <vt:lpstr>TOP SALES</vt:lpstr>
      <vt:lpstr>TOP FC</vt:lpstr>
      <vt:lpstr>SCENARIU</vt:lpstr>
      <vt:lpstr>AJUSTĂRI PE PRODUS</vt:lpstr>
      <vt:lpstr>SIMULARE PE PRODUS</vt:lpstr>
      <vt:lpstr>ECONOMII</vt:lpstr>
      <vt:lpstr>RETETAR</vt:lpstr>
      <vt:lpstr>NOMENCLATOR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lucian florea</cp:lastModifiedBy>
  <cp:revision>0</cp:revision>
  <dcterms:created xsi:type="dcterms:W3CDTF">2026-08-16T01:12:55Z</dcterms:created>
  <dcterms:modified xsi:type="dcterms:W3CDTF">2026-08-16T13:09:14Z</dcterms:modified>
  <dc:language>en-US</dc:language>
</cp:coreProperties>
</file>